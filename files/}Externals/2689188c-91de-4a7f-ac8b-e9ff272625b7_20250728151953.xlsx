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 AMRAOUI\AppData\Local\Temp\"/>
    </mc:Choice>
  </mc:AlternateContent>
  <xr:revisionPtr revIDLastSave="0" documentId="8_{8783EAE8-41A4-4A70-AECE-9A2BEB3D7ABF}" xr6:coauthVersionLast="47" xr6:coauthVersionMax="47" xr10:uidLastSave="{00000000-0000-0000-0000-000000000000}"/>
  <bookViews>
    <workbookView xWindow="-110" yWindow="-110" windowWidth="19420" windowHeight="11500" firstSheet="1" activeTab="1" xr2:uid="{C2035F33-E1F4-422F-BB29-1EE7C9E483C1}"/>
  </bookViews>
  <sheets>
    <sheet name="Cognos_Office_Connection_Cache" sheetId="2" state="veryHidden" r:id="rId1"/>
    <sheet name="Feuil1" sheetId="1" r:id="rId2"/>
  </sheets>
  <definedNames>
    <definedName name="ID" localSheetId="0" hidden="1">"ce260047-b8ec-4e0f-934b-1bbaeb137dd0"</definedName>
    <definedName name="ID" localSheetId="1" hidden="1">"567f30a3-8346-41ae-a676-7e59f35e7415"</definedName>
    <definedName name="Server">Feuil1!$B$1</definedName>
    <definedName name="TM1RPTDATARNG24742797" localSheetId="1">Feuil1!$23:$86</definedName>
    <definedName name="TM1RPTFMTIDCOL24742797" localSheetId="1">Feuil1!$B$3:$B$12</definedName>
    <definedName name="TM1RPTFMTRNG24742797" localSheetId="1">Feuil1!$C$3:$G$12</definedName>
    <definedName name="TM1RPTQRYRNG24742797" localSheetId="1">Feuil1!$C$13</definedName>
    <definedName name="TM1RPTVIEWRNG24742797" localSheetId="1">Feuil1!$C$14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2" i="1" l="1"/>
  <c r="B70" i="1"/>
  <c r="B58" i="1"/>
  <c r="B46" i="1"/>
  <c r="B34" i="1"/>
  <c r="B43" i="1"/>
  <c r="B38" i="1"/>
  <c r="B26" i="1"/>
  <c r="B69" i="1"/>
  <c r="B77" i="1"/>
  <c r="B65" i="1"/>
  <c r="B53" i="1"/>
  <c r="B41" i="1"/>
  <c r="B29" i="1"/>
  <c r="B84" i="1"/>
  <c r="B72" i="1"/>
  <c r="B60" i="1"/>
  <c r="B48" i="1"/>
  <c r="B36" i="1"/>
  <c r="B24" i="1"/>
  <c r="B79" i="1"/>
  <c r="B67" i="1"/>
  <c r="B55" i="1"/>
  <c r="B31" i="1"/>
  <c r="B86" i="1"/>
  <c r="B74" i="1"/>
  <c r="B62" i="1"/>
  <c r="B50" i="1"/>
  <c r="B81" i="1"/>
  <c r="B57" i="1"/>
  <c r="B45" i="1"/>
  <c r="B33" i="1"/>
  <c r="B76" i="1"/>
  <c r="B75" i="1"/>
  <c r="B59" i="1"/>
  <c r="B35" i="1"/>
  <c r="B25" i="1"/>
  <c r="B73" i="1"/>
  <c r="B68" i="1"/>
  <c r="B44" i="1"/>
  <c r="B63" i="1"/>
  <c r="B47" i="1"/>
  <c r="B61" i="1"/>
  <c r="B51" i="1"/>
  <c r="B27" i="1"/>
  <c r="B64" i="1"/>
  <c r="B40" i="1"/>
  <c r="B80" i="1"/>
  <c r="B54" i="1"/>
  <c r="B30" i="1"/>
  <c r="B49" i="1"/>
  <c r="B78" i="1"/>
  <c r="B39" i="1"/>
  <c r="B71" i="1"/>
  <c r="B37" i="1"/>
  <c r="B56" i="1"/>
  <c r="B85" i="1"/>
  <c r="B83" i="1"/>
  <c r="B52" i="1"/>
  <c r="B28" i="1"/>
  <c r="B66" i="1"/>
  <c r="B42" i="1"/>
  <c r="B32" i="1"/>
  <c r="B1" i="1" a="1"/>
  <c r="B23" i="1"/>
  <c r="B1" i="1" l="1"/>
  <c r="D18" i="1"/>
  <c r="D17" i="1"/>
  <c r="D16" i="1"/>
  <c r="C14" i="1" s="1"/>
  <c r="E30" i="1"/>
  <c r="G44" i="1"/>
  <c r="D59" i="1"/>
  <c r="G68" i="1"/>
  <c r="E41" i="1"/>
  <c r="G55" i="1"/>
  <c r="D70" i="1"/>
  <c r="E70" i="1"/>
  <c r="D32" i="1"/>
  <c r="F46" i="1"/>
  <c r="G65" i="1"/>
  <c r="F70" i="1"/>
  <c r="F27" i="1"/>
  <c r="E56" i="1"/>
  <c r="F82" i="1"/>
  <c r="F32" i="1"/>
  <c r="D42" i="1"/>
  <c r="F56" i="1"/>
  <c r="F77" i="1"/>
  <c r="E42" i="1"/>
  <c r="E66" i="1"/>
  <c r="D78" i="1"/>
  <c r="G29" i="1"/>
  <c r="D44" i="1"/>
  <c r="F58" i="1"/>
  <c r="E63" i="1"/>
  <c r="D68" i="1"/>
  <c r="D73" i="1"/>
  <c r="G79" i="1"/>
  <c r="D35" i="1"/>
  <c r="E54" i="1"/>
  <c r="E80" i="1"/>
  <c r="F36" i="1"/>
  <c r="D46" i="1"/>
  <c r="F60" i="1"/>
  <c r="F80" i="1"/>
  <c r="G36" i="1"/>
  <c r="E46" i="1"/>
  <c r="F65" i="1"/>
  <c r="D82" i="1"/>
  <c r="E51" i="1"/>
  <c r="E82" i="1"/>
  <c r="E32" i="1"/>
  <c r="G46" i="1"/>
  <c r="G70" i="1"/>
  <c r="G51" i="1"/>
  <c r="G32" i="1"/>
  <c r="G56" i="1"/>
  <c r="F72" i="1"/>
  <c r="E29" i="1"/>
  <c r="D58" i="1"/>
  <c r="E34" i="1"/>
  <c r="G48" i="1"/>
  <c r="D63" i="1"/>
  <c r="G84" i="1"/>
  <c r="F34" i="1"/>
  <c r="D25" i="1"/>
  <c r="F39" i="1"/>
  <c r="E68" i="1"/>
  <c r="D85" i="1"/>
  <c r="F25" i="1"/>
  <c r="F49" i="1"/>
  <c r="D75" i="1"/>
  <c r="G31" i="1"/>
  <c r="E65" i="1"/>
  <c r="E75" i="1"/>
  <c r="D27" i="1"/>
  <c r="F41" i="1"/>
  <c r="D51" i="1"/>
  <c r="G60" i="1"/>
  <c r="F75" i="1"/>
  <c r="E27" i="1"/>
  <c r="G41" i="1"/>
  <c r="D56" i="1"/>
  <c r="G75" i="1"/>
  <c r="D37" i="1"/>
  <c r="F51" i="1"/>
  <c r="D61" i="1"/>
  <c r="E77" i="1"/>
  <c r="G27" i="1"/>
  <c r="E37" i="1"/>
  <c r="E61" i="1"/>
  <c r="D66" i="1"/>
  <c r="G82" i="1"/>
  <c r="F37" i="1"/>
  <c r="D47" i="1"/>
  <c r="F61" i="1"/>
  <c r="G77" i="1"/>
  <c r="F24" i="1"/>
  <c r="D34" i="1"/>
  <c r="G43" i="1"/>
  <c r="F48" i="1"/>
  <c r="E53" i="1"/>
  <c r="G67" i="1"/>
  <c r="G72" i="1"/>
  <c r="F84" i="1"/>
  <c r="G24" i="1"/>
  <c r="F29" i="1"/>
  <c r="D39" i="1"/>
  <c r="F53" i="1"/>
  <c r="E58" i="1"/>
  <c r="E39" i="1"/>
  <c r="G53" i="1"/>
  <c r="G34" i="1"/>
  <c r="E44" i="1"/>
  <c r="D49" i="1"/>
  <c r="G58" i="1"/>
  <c r="F63" i="1"/>
  <c r="E73" i="1"/>
  <c r="E25" i="1"/>
  <c r="D30" i="1"/>
  <c r="G39" i="1"/>
  <c r="F44" i="1"/>
  <c r="E49" i="1"/>
  <c r="D54" i="1"/>
  <c r="G63" i="1"/>
  <c r="F68" i="1"/>
  <c r="D80" i="1"/>
  <c r="E85" i="1"/>
  <c r="D86" i="1"/>
  <c r="D71" i="1"/>
  <c r="F73" i="1"/>
  <c r="E78" i="1"/>
  <c r="G80" i="1"/>
  <c r="D83" i="1"/>
  <c r="F85" i="1"/>
  <c r="G25" i="1"/>
  <c r="D28" i="1"/>
  <c r="F30" i="1"/>
  <c r="E35" i="1"/>
  <c r="G37" i="1"/>
  <c r="D40" i="1"/>
  <c r="F42" i="1"/>
  <c r="E47" i="1"/>
  <c r="G49" i="1"/>
  <c r="D52" i="1"/>
  <c r="F54" i="1"/>
  <c r="E59" i="1"/>
  <c r="D64" i="1"/>
  <c r="E71" i="1"/>
  <c r="D76" i="1"/>
  <c r="G85" i="1"/>
  <c r="E28" i="1"/>
  <c r="G30" i="1"/>
  <c r="D33" i="1"/>
  <c r="F35" i="1"/>
  <c r="E40" i="1"/>
  <c r="G42" i="1"/>
  <c r="D45" i="1"/>
  <c r="F47" i="1"/>
  <c r="G54" i="1"/>
  <c r="D57" i="1"/>
  <c r="F59" i="1"/>
  <c r="E64" i="1"/>
  <c r="G66" i="1"/>
  <c r="D69" i="1"/>
  <c r="F71" i="1"/>
  <c r="E76" i="1"/>
  <c r="G78" i="1"/>
  <c r="D81" i="1"/>
  <c r="F83" i="1"/>
  <c r="D26" i="1"/>
  <c r="F28" i="1"/>
  <c r="E33" i="1"/>
  <c r="D38" i="1"/>
  <c r="F40" i="1"/>
  <c r="E45" i="1"/>
  <c r="G47" i="1"/>
  <c r="D50" i="1"/>
  <c r="F52" i="1"/>
  <c r="E57" i="1"/>
  <c r="G59" i="1"/>
  <c r="D62" i="1"/>
  <c r="F64" i="1"/>
  <c r="E69" i="1"/>
  <c r="G71" i="1"/>
  <c r="D74" i="1"/>
  <c r="F76" i="1"/>
  <c r="E81" i="1"/>
  <c r="G83" i="1"/>
  <c r="E26" i="1"/>
  <c r="G28" i="1"/>
  <c r="D31" i="1"/>
  <c r="F33" i="1"/>
  <c r="E38" i="1"/>
  <c r="G40" i="1"/>
  <c r="D43" i="1"/>
  <c r="F45" i="1"/>
  <c r="E50" i="1"/>
  <c r="G52" i="1"/>
  <c r="D55" i="1"/>
  <c r="F57" i="1"/>
  <c r="E62" i="1"/>
  <c r="G64" i="1"/>
  <c r="D67" i="1"/>
  <c r="F69" i="1"/>
  <c r="E74" i="1"/>
  <c r="G76" i="1"/>
  <c r="D79" i="1"/>
  <c r="F81" i="1"/>
  <c r="E86" i="1"/>
  <c r="D24" i="1"/>
  <c r="F26" i="1"/>
  <c r="E31" i="1"/>
  <c r="G33" i="1"/>
  <c r="D36" i="1"/>
  <c r="F38" i="1"/>
  <c r="E43" i="1"/>
  <c r="G45" i="1"/>
  <c r="D48" i="1"/>
  <c r="F50" i="1"/>
  <c r="E55" i="1"/>
  <c r="G57" i="1"/>
  <c r="D60" i="1"/>
  <c r="F62" i="1"/>
  <c r="E67" i="1"/>
  <c r="G69" i="1"/>
  <c r="D72" i="1"/>
  <c r="F74" i="1"/>
  <c r="E79" i="1"/>
  <c r="G81" i="1"/>
  <c r="D84" i="1"/>
  <c r="F86" i="1"/>
  <c r="G61" i="1"/>
  <c r="F66" i="1"/>
  <c r="G73" i="1"/>
  <c r="F78" i="1"/>
  <c r="E83" i="1"/>
  <c r="E52" i="1"/>
  <c r="G35" i="1"/>
  <c r="E24" i="1"/>
  <c r="G26" i="1"/>
  <c r="D29" i="1"/>
  <c r="F31" i="1"/>
  <c r="E36" i="1"/>
  <c r="G38" i="1"/>
  <c r="D41" i="1"/>
  <c r="F43" i="1"/>
  <c r="E48" i="1"/>
  <c r="G50" i="1"/>
  <c r="D53" i="1"/>
  <c r="F55" i="1"/>
  <c r="E60" i="1"/>
  <c r="G62" i="1"/>
  <c r="D65" i="1"/>
  <c r="F67" i="1"/>
  <c r="E72" i="1"/>
  <c r="G74" i="1"/>
  <c r="D77" i="1"/>
  <c r="F79" i="1"/>
  <c r="E84" i="1"/>
  <c r="G86" i="1"/>
  <c r="C23" i="1"/>
  <c r="E23" i="1"/>
  <c r="D23" i="1"/>
  <c r="F23" i="1"/>
  <c r="G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<sst xmlns="http://schemas.openxmlformats.org/spreadsheetml/2006/main" count="87" uniqueCount="76">
  <si>
    <t>Actual</t>
  </si>
  <si>
    <t>Version 1</t>
  </si>
  <si>
    <t>2014</t>
  </si>
  <si>
    <t>2015</t>
  </si>
  <si>
    <t>Western Region</t>
  </si>
  <si>
    <t>Eastern Region</t>
  </si>
  <si>
    <t>Central Region</t>
  </si>
  <si>
    <t>[Begin Format Range]</t>
  </si>
  <si>
    <t>Default</t>
  </si>
  <si>
    <t>Leaf</t>
  </si>
  <si>
    <t>[End Format Range]</t>
  </si>
  <si>
    <t>Nom de l'élément</t>
  </si>
  <si>
    <t>{DISTINCT(DESCENDANTS([organization].[organization].[Total Company]))}</t>
  </si>
  <si>
    <t>Currency Calc</t>
  </si>
  <si>
    <t>Account</t>
  </si>
  <si>
    <t>month</t>
  </si>
  <si>
    <t>Europe</t>
  </si>
  <si>
    <t>Southern Europe</t>
  </si>
  <si>
    <t>Italy</t>
  </si>
  <si>
    <t>Spain</t>
  </si>
  <si>
    <t>Greece</t>
  </si>
  <si>
    <t>Croatia</t>
  </si>
  <si>
    <t>Portugal</t>
  </si>
  <si>
    <t>Republic of Serbia</t>
  </si>
  <si>
    <t>Slovenia</t>
  </si>
  <si>
    <t>Western Europe</t>
  </si>
  <si>
    <t>France</t>
  </si>
  <si>
    <t>Austria</t>
  </si>
  <si>
    <t>Germany</t>
  </si>
  <si>
    <t>Belgium</t>
  </si>
  <si>
    <t>Netherlands</t>
  </si>
  <si>
    <t>Luxembourg</t>
  </si>
  <si>
    <t>Switzerland</t>
  </si>
  <si>
    <t>Northern Europe</t>
  </si>
  <si>
    <t>United Kingdom</t>
  </si>
  <si>
    <t>Denmark</t>
  </si>
  <si>
    <t>Estonia</t>
  </si>
  <si>
    <t>Finland</t>
  </si>
  <si>
    <t>Norway</t>
  </si>
  <si>
    <t>Sweden</t>
  </si>
  <si>
    <t>Eastern Europe</t>
  </si>
  <si>
    <t>Bulgaria</t>
  </si>
  <si>
    <t>Czech Republic</t>
  </si>
  <si>
    <t>Hungary</t>
  </si>
  <si>
    <t>Poland</t>
  </si>
  <si>
    <t>Russia</t>
  </si>
  <si>
    <t>Slovakia</t>
  </si>
  <si>
    <t>North America</t>
  </si>
  <si>
    <t>Alaska</t>
  </si>
  <si>
    <t>Alabama</t>
  </si>
  <si>
    <t>Arkansas</t>
  </si>
  <si>
    <t>Delaware</t>
  </si>
  <si>
    <t>District of Columbia</t>
  </si>
  <si>
    <t>Idaho</t>
  </si>
  <si>
    <t>Kentucky</t>
  </si>
  <si>
    <t>Montana</t>
  </si>
  <si>
    <t>New Mexico</t>
  </si>
  <si>
    <t>South Dakota</t>
  </si>
  <si>
    <t>Nebraska</t>
  </si>
  <si>
    <t>Nevada</t>
  </si>
  <si>
    <t>Colorado</t>
  </si>
  <si>
    <t>Utah</t>
  </si>
  <si>
    <t>Wyoming</t>
  </si>
  <si>
    <t>Massachusetts</t>
  </si>
  <si>
    <t>Florida</t>
  </si>
  <si>
    <t>Georgia</t>
  </si>
  <si>
    <t>Mississippi</t>
  </si>
  <si>
    <t>Virginia</t>
  </si>
  <si>
    <t>Wisconsin</t>
  </si>
  <si>
    <t>Maryland</t>
  </si>
  <si>
    <t>New Jersey</t>
  </si>
  <si>
    <t>New York</t>
  </si>
  <si>
    <t>Michigan</t>
  </si>
  <si>
    <t>Louisiana</t>
  </si>
  <si>
    <t>Texas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</si>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</sst>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-\ @"/>
  </numFmts>
  <fonts count="11" x14ac:knownFonts="1">
    <font>
      <sz val="11"/>
      <color theme="1"/>
      <name val="Aptos Narrow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FBE6"/>
        <bgColor indexed="64"/>
      </patternFill>
    </fill>
    <fill>
      <patternFill patternType="solid">
        <fgColor rgb="FFF4F4F4"/>
        <bgColor indexed="64"/>
      </patternFill>
    </fill>
  </fills>
  <borders count="9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otted">
        <color rgb="FF3BAB5A"/>
      </left>
      <right style="dotted">
        <color rgb="FF3BAB5A"/>
      </right>
      <top style="dotted">
        <color rgb="FF3BAB5A"/>
      </top>
      <bottom style="dotted">
        <color rgb="FF3BAB5A"/>
      </bottom>
      <diagonal/>
    </border>
    <border>
      <left style="dotted">
        <color rgb="FFA8A8A8"/>
      </left>
      <right style="dotted">
        <color rgb="FFA8A8A8"/>
      </right>
      <top style="dotted">
        <color rgb="FFA8A8A8"/>
      </top>
      <bottom style="dotted">
        <color rgb="FFA8A8A8"/>
      </bottom>
      <diagonal/>
    </border>
  </borders>
  <cellStyleXfs count="76">
    <xf numFmtId="0" fontId="0" fillId="0" borderId="0"/>
    <xf numFmtId="0" fontId="1" fillId="0" borderId="1" applyNumberFormat="0" applyFill="0" applyProtection="0">
      <alignment horizontal="center" vertical="center"/>
    </xf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1" fillId="0" borderId="1" applyNumberFormat="0" applyFill="0" applyAlignment="0" applyProtection="0"/>
    <xf numFmtId="0" fontId="1" fillId="0" borderId="1" applyNumberFormat="0" applyFill="0" applyAlignment="0" applyProtection="0"/>
    <xf numFmtId="3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2" applyNumberFormat="0" applyBorder="0" applyAlignment="0" applyProtection="0"/>
    <xf numFmtId="3" fontId="2" fillId="0" borderId="2" applyNumberFormat="0" applyBorder="0" applyAlignment="0" applyProtection="0"/>
    <xf numFmtId="3" fontId="2" fillId="0" borderId="2" applyNumberFormat="0" applyBorder="0" applyAlignment="0" applyProtection="0"/>
    <xf numFmtId="0" fontId="2" fillId="0" borderId="2" applyNumberFormat="0" applyFill="0" applyAlignment="0" applyProtection="0"/>
    <xf numFmtId="0" fontId="2" fillId="0" borderId="2" applyNumberFormat="0" applyFill="0" applyAlignment="0" applyProtection="0"/>
    <xf numFmtId="0" fontId="2" fillId="0" borderId="2">
      <alignment horizontal="right" vertical="center"/>
    </xf>
    <xf numFmtId="3" fontId="2" fillId="2" borderId="2">
      <alignment horizontal="center" vertical="center"/>
    </xf>
    <xf numFmtId="0" fontId="2" fillId="2" borderId="2">
      <alignment horizontal="right" vertical="center"/>
    </xf>
    <xf numFmtId="0" fontId="1" fillId="0" borderId="3">
      <alignment horizontal="left" vertical="center"/>
    </xf>
    <xf numFmtId="0" fontId="1" fillId="0" borderId="4">
      <alignment horizontal="center" vertical="center"/>
    </xf>
    <xf numFmtId="0" fontId="3" fillId="0" borderId="5">
      <alignment horizontal="center" vertical="center"/>
    </xf>
    <xf numFmtId="0" fontId="2" fillId="3" borderId="2"/>
    <xf numFmtId="3" fontId="1" fillId="0" borderId="1" applyFill="0" applyAlignment="0" applyProtection="0"/>
    <xf numFmtId="3" fontId="1" fillId="0" borderId="1" applyFill="0" applyAlignment="0" applyProtection="0"/>
    <xf numFmtId="3" fontId="1" fillId="0" borderId="1" applyFill="0" applyAlignment="0" applyProtection="0"/>
    <xf numFmtId="3" fontId="1" fillId="0" borderId="1" applyFill="0" applyAlignment="0" applyProtection="0"/>
    <xf numFmtId="0" fontId="1" fillId="0" borderId="1" applyFill="0" applyAlignment="0" applyProtection="0"/>
    <xf numFmtId="3" fontId="1" fillId="0" borderId="1" applyFill="0" applyAlignment="0" applyProtection="0"/>
    <xf numFmtId="0" fontId="1" fillId="0" borderId="4">
      <alignment horizontal="center" vertical="center"/>
    </xf>
    <xf numFmtId="0" fontId="1" fillId="0" borderId="4">
      <alignment horizontal="center" vertical="center"/>
    </xf>
    <xf numFmtId="3" fontId="2" fillId="0" borderId="2" applyFont="0" applyFill="0" applyAlignment="0" applyProtection="0"/>
    <xf numFmtId="0" fontId="2" fillId="0" borderId="2" applyFill="0" applyAlignment="0" applyProtection="0"/>
    <xf numFmtId="0" fontId="1" fillId="0" borderId="1" applyFill="0" applyAlignment="0" applyProtection="0"/>
    <xf numFmtId="3" fontId="1" fillId="0" borderId="1" applyFill="0" applyAlignment="0" applyProtection="0"/>
    <xf numFmtId="0" fontId="1" fillId="0" borderId="1" applyFill="0" applyAlignment="0" applyProtection="0"/>
    <xf numFmtId="0" fontId="1" fillId="0" borderId="1" applyFill="0" applyAlignment="0" applyProtection="0"/>
    <xf numFmtId="0" fontId="1" fillId="0" borderId="1" applyFill="0" applyAlignment="0" applyProtection="0"/>
    <xf numFmtId="0" fontId="1" fillId="0" borderId="1" applyFill="0" applyAlignment="0" applyProtection="0"/>
    <xf numFmtId="0" fontId="1" fillId="0" borderId="3">
      <alignment horizontal="left" vertical="center"/>
    </xf>
    <xf numFmtId="3" fontId="1" fillId="0" borderId="1" applyFill="0" applyAlignment="0" applyProtection="0"/>
    <xf numFmtId="3" fontId="4" fillId="0" borderId="2"/>
    <xf numFmtId="3" fontId="5" fillId="0" borderId="2"/>
    <xf numFmtId="0" fontId="1" fillId="0" borderId="4">
      <alignment horizontal="left" vertical="top"/>
    </xf>
    <xf numFmtId="0" fontId="6" fillId="0" borderId="2"/>
    <xf numFmtId="0" fontId="1" fillId="0" borderId="4">
      <alignment horizontal="left" vertical="center"/>
    </xf>
    <xf numFmtId="0" fontId="2" fillId="2" borderId="6"/>
    <xf numFmtId="3" fontId="2" fillId="0" borderId="2">
      <alignment horizontal="right" vertical="center"/>
    </xf>
    <xf numFmtId="0" fontId="1" fillId="0" borderId="4">
      <alignment horizontal="right" vertical="center"/>
    </xf>
    <xf numFmtId="0" fontId="2" fillId="0" borderId="5">
      <alignment horizontal="center" vertical="center"/>
    </xf>
    <xf numFmtId="3" fontId="2" fillId="0" borderId="2"/>
    <xf numFmtId="3" fontId="2" fillId="0" borderId="2"/>
    <xf numFmtId="0" fontId="2" fillId="0" borderId="5">
      <alignment horizontal="center" vertical="center" wrapText="1"/>
    </xf>
    <xf numFmtId="0" fontId="7" fillId="0" borderId="5">
      <alignment horizontal="left" vertical="center" indent="1"/>
    </xf>
    <xf numFmtId="0" fontId="8" fillId="0" borderId="2"/>
    <xf numFmtId="0" fontId="1" fillId="0" borderId="3">
      <alignment horizontal="left" vertical="center"/>
    </xf>
    <xf numFmtId="3" fontId="2" fillId="0" borderId="2">
      <alignment horizontal="center" vertical="center"/>
    </xf>
    <xf numFmtId="0" fontId="1" fillId="0" borderId="4">
      <alignment horizontal="center" vertical="center"/>
    </xf>
    <xf numFmtId="0" fontId="1" fillId="0" borderId="4">
      <alignment horizontal="center" vertical="center"/>
    </xf>
    <xf numFmtId="0" fontId="1" fillId="0" borderId="3">
      <alignment horizontal="left" vertical="center"/>
    </xf>
    <xf numFmtId="0" fontId="1" fillId="0" borderId="3">
      <alignment horizontal="left" vertical="center"/>
    </xf>
    <xf numFmtId="0" fontId="9" fillId="0" borderId="2"/>
    <xf numFmtId="3" fontId="1" fillId="4" borderId="7" applyNumberFormat="0" applyFont="0" applyAlignment="0" applyProtection="0"/>
    <xf numFmtId="0" fontId="10" fillId="5" borderId="8" applyNumberFormat="0" applyFont="0" applyAlignment="0" applyProtection="0"/>
  </cellStyleXfs>
  <cellXfs count="35">
    <xf numFmtId="0" fontId="0" fillId="0" borderId="0" xfId="0"/>
    <xf numFmtId="0" fontId="0" fillId="0" borderId="0" xfId="0" quotePrefix="1"/>
    <xf numFmtId="0" fontId="2" fillId="0" borderId="0" xfId="19" applyNumberFormat="1"/>
    <xf numFmtId="0" fontId="1" fillId="0" borderId="1" xfId="11" applyNumberFormat="1"/>
    <xf numFmtId="3" fontId="2" fillId="0" borderId="2" xfId="3"/>
    <xf numFmtId="0" fontId="2" fillId="0" borderId="0" xfId="20" applyNumberFormat="1"/>
    <xf numFmtId="0" fontId="1" fillId="0" borderId="1" xfId="12" applyNumberFormat="1"/>
    <xf numFmtId="3" fontId="2" fillId="0" borderId="2" xfId="4"/>
    <xf numFmtId="0" fontId="2" fillId="0" borderId="0" xfId="21" applyNumberFormat="1"/>
    <xf numFmtId="0" fontId="1" fillId="0" borderId="1" xfId="13" applyNumberFormat="1"/>
    <xf numFmtId="3" fontId="2" fillId="0" borderId="2" xfId="5"/>
    <xf numFmtId="0" fontId="2" fillId="0" borderId="0" xfId="22" applyNumberFormat="1"/>
    <xf numFmtId="0" fontId="1" fillId="0" borderId="1" xfId="14" applyNumberFormat="1"/>
    <xf numFmtId="3" fontId="2" fillId="0" borderId="2" xfId="6"/>
    <xf numFmtId="0" fontId="2" fillId="0" borderId="0" xfId="23" applyNumberFormat="1" applyBorder="1"/>
    <xf numFmtId="0" fontId="1" fillId="0" borderId="1" xfId="15" applyNumberFormat="1"/>
    <xf numFmtId="3" fontId="2" fillId="0" borderId="2" xfId="7"/>
    <xf numFmtId="0" fontId="2" fillId="0" borderId="0" xfId="24" applyNumberFormat="1" applyBorder="1"/>
    <xf numFmtId="0" fontId="1" fillId="0" borderId="1" xfId="16" applyNumberFormat="1"/>
    <xf numFmtId="3" fontId="2" fillId="0" borderId="2" xfId="8"/>
    <xf numFmtId="0" fontId="2" fillId="0" borderId="0" xfId="18" quotePrefix="1" applyNumberFormat="1"/>
    <xf numFmtId="0" fontId="2" fillId="0" borderId="0" xfId="18" applyNumberFormat="1"/>
    <xf numFmtId="0" fontId="1" fillId="0" borderId="1" xfId="10" applyNumberFormat="1"/>
    <xf numFmtId="3" fontId="2" fillId="0" borderId="2" xfId="2"/>
    <xf numFmtId="0" fontId="2" fillId="0" borderId="0" xfId="25" quotePrefix="1" applyNumberFormat="1" applyBorder="1"/>
    <xf numFmtId="0" fontId="2" fillId="0" borderId="0" xfId="25" applyNumberFormat="1" applyBorder="1"/>
    <xf numFmtId="0" fontId="1" fillId="0" borderId="1" xfId="17" applyNumberFormat="1"/>
    <xf numFmtId="3" fontId="2" fillId="0" borderId="2" xfId="9"/>
    <xf numFmtId="0" fontId="2" fillId="0" borderId="2" xfId="27" quotePrefix="1"/>
    <xf numFmtId="0" fontId="2" fillId="0" borderId="2" xfId="26"/>
    <xf numFmtId="0" fontId="1" fillId="0" borderId="1" xfId="1" quotePrefix="1">
      <alignment horizontal="center" vertical="center"/>
    </xf>
    <xf numFmtId="164" fontId="1" fillId="0" borderId="1" xfId="11" applyNumberFormat="1" applyAlignment="1"/>
    <xf numFmtId="164" fontId="1" fillId="0" borderId="1" xfId="12" applyNumberFormat="1" applyAlignment="1">
      <alignment horizontal="left" indent="1"/>
    </xf>
    <xf numFmtId="164" fontId="1" fillId="0" borderId="1" xfId="13" applyNumberFormat="1" applyAlignment="1">
      <alignment horizontal="left" indent="2"/>
    </xf>
    <xf numFmtId="49" fontId="1" fillId="0" borderId="1" xfId="17" applyNumberFormat="1" applyAlignment="1">
      <alignment horizontal="left" indent="3"/>
    </xf>
  </cellXfs>
  <cellStyles count="76">
    <cellStyle name="AF Column - IBM Cognos" xfId="1" xr:uid="{A2FC9DDE-7F60-4198-8F77-F59445AF81D5}"/>
    <cellStyle name="AF Data - IBM Cognos" xfId="2" xr:uid="{9AA6747A-D52C-4516-91D1-76D40EB727FB}"/>
    <cellStyle name="AF Data 0 - IBM Cognos" xfId="3" xr:uid="{33949BCC-D384-427D-94B5-9FE6256860C0}"/>
    <cellStyle name="AF Data 1 - IBM Cognos" xfId="4" xr:uid="{19730A72-78AF-4CCF-BA21-69A2DD80F127}"/>
    <cellStyle name="AF Data 2 - IBM Cognos" xfId="5" xr:uid="{805C49EA-C899-4533-A3D4-BBF2016A461B}"/>
    <cellStyle name="AF Data 3 - IBM Cognos" xfId="6" xr:uid="{CDE857F9-AD79-46BE-8297-EC1B30D70858}"/>
    <cellStyle name="AF Data 4 - IBM Cognos" xfId="7" xr:uid="{31433686-9D16-4C9C-B4AC-FE2DCBC899B1}"/>
    <cellStyle name="AF Data 5 - IBM Cognos" xfId="8" xr:uid="{47407B04-0A52-470D-8266-BC2533674DBB}"/>
    <cellStyle name="AF Data Leaf - IBM Cognos" xfId="9" xr:uid="{7E32A064-EBFB-48C7-AFDC-A1A4B0463144}"/>
    <cellStyle name="AF Header - IBM Cognos" xfId="10" xr:uid="{6CA1D912-A7C2-43AF-B68E-FD5EC02889A2}"/>
    <cellStyle name="AF Header 0 - IBM Cognos" xfId="11" xr:uid="{C80404B6-DE18-46FA-BA56-1E4D6E5C8555}"/>
    <cellStyle name="AF Header 1 - IBM Cognos" xfId="12" xr:uid="{68E3F87C-08E3-4551-BAE0-FB2F968773A7}"/>
    <cellStyle name="AF Header 2 - IBM Cognos" xfId="13" xr:uid="{1CDC0BD6-B33A-4DF3-ADC9-45077AD61DBF}"/>
    <cellStyle name="AF Header 3 - IBM Cognos" xfId="14" xr:uid="{99034B3A-4BD7-417E-856C-0575881BC9D1}"/>
    <cellStyle name="AF Header 4 - IBM Cognos" xfId="15" xr:uid="{E609BA20-9B9F-488F-8AB9-77D255397542}"/>
    <cellStyle name="AF Header 5 - IBM Cognos" xfId="16" xr:uid="{6E75AE71-90BC-460D-A9D7-3A15363784FD}"/>
    <cellStyle name="AF Header Leaf - IBM Cognos" xfId="17" xr:uid="{40292E0D-02A0-40B4-9859-834FB093DC28}"/>
    <cellStyle name="AF Row - IBM Cognos" xfId="18" xr:uid="{D5D6BE02-0D0B-42E3-AACB-2F7611D0CF02}"/>
    <cellStyle name="AF Row 0 - IBM Cognos" xfId="19" xr:uid="{E80721DE-CB4D-4685-9BED-3BBE955A3BF8}"/>
    <cellStyle name="AF Row 1 - IBM Cognos" xfId="20" xr:uid="{D08ECF58-3575-4EE7-8D9F-EBACA6701E8C}"/>
    <cellStyle name="AF Row 2 - IBM Cognos" xfId="21" xr:uid="{F999A22B-FA84-49CF-B5BD-7408EA671411}"/>
    <cellStyle name="AF Row 3 - IBM Cognos" xfId="22" xr:uid="{455FA484-D2BC-45EF-9EC3-5365948AD53C}"/>
    <cellStyle name="AF Row 4 - IBM Cognos" xfId="23" xr:uid="{B8239AF7-0781-4EE0-A510-7BD3B3007426}"/>
    <cellStyle name="AF Row 5 - IBM Cognos" xfId="24" xr:uid="{D544169B-B23F-4127-9526-276BD407F3A7}"/>
    <cellStyle name="AF Row Leaf - IBM Cognos" xfId="25" xr:uid="{9ADBED6F-DDE5-4834-87A8-51AE0E72AB24}"/>
    <cellStyle name="AF Subnm - IBM Cognos" xfId="26" xr:uid="{018D0472-5C00-485D-959E-F4847C8B9CDF}"/>
    <cellStyle name="AF Title - IBM Cognos" xfId="27" xr:uid="{D2773243-7A3B-4354-8768-EFB105102C13}"/>
    <cellStyle name="Calculated Column - IBM Cognos" xfId="28" xr:uid="{68147935-513C-4A08-8E0A-37879DB7A17D}"/>
    <cellStyle name="Calculated Column Name - IBM Cognos" xfId="29" xr:uid="{69C32C0F-2F90-497B-9BB7-9CCD623DB9B7}"/>
    <cellStyle name="Calculated Row - IBM Cognos" xfId="30" xr:uid="{0FD2B2AF-162A-4639-AFBC-B5A40F90DC81}"/>
    <cellStyle name="Calculated Row Name - IBM Cognos" xfId="31" xr:uid="{E314ED1A-47FD-4702-92A9-8185C6B731F2}"/>
    <cellStyle name="Column Name - IBM Cognos" xfId="32" xr:uid="{E59405D8-D69C-40D7-BB07-33F10DF8EAD0}"/>
    <cellStyle name="Column Template - IBM Cognos" xfId="33" xr:uid="{A34CCDC6-5392-4392-8122-793B7332B168}"/>
    <cellStyle name="Differs From Base - IBM Cognos" xfId="34" xr:uid="{09A7FAA4-A893-4276-83D3-3B7DDA5A34C3}"/>
    <cellStyle name="DQR Column 0 - IBM Cognos" xfId="35" xr:uid="{D77C8696-0B64-40BA-BDE3-615AC9277656}"/>
    <cellStyle name="DQR Column 1 - IBM Cognos" xfId="36" xr:uid="{CD471CF1-75B3-403F-B2E2-EEA57295BC14}"/>
    <cellStyle name="DQR Column 2 - IBM Cognos" xfId="37" xr:uid="{E2028E07-5A28-4EF8-8356-F056E29F7EFD}"/>
    <cellStyle name="DQR Column 3 - IBM Cognos" xfId="38" xr:uid="{6ECF2E5D-33A1-4E24-90DA-21D8DF0D6B0E}"/>
    <cellStyle name="DQR Column 4 - IBM Cognos" xfId="39" xr:uid="{A7B90564-FD50-4AF0-A68D-F8B3B6D31331}"/>
    <cellStyle name="DQR Column 5 - IBM Cognos" xfId="40" xr:uid="{1E6DC4F7-C5F4-45DA-BBE0-ECD8938753DF}"/>
    <cellStyle name="DQR Column Default - IBM Cognos" xfId="41" xr:uid="{7522DC44-9034-4392-B717-766CE86C2ADE}"/>
    <cellStyle name="DQR Column Leaf - IBM Cognos" xfId="42" xr:uid="{B8778E06-BD2D-4B87-8108-36D7AC4986F8}"/>
    <cellStyle name="DQR Data Default - IBM Cognos" xfId="43" xr:uid="{17069446-242B-4108-BF9E-55E7FB79500C}"/>
    <cellStyle name="DQR Default - IBM Cognos" xfId="44" xr:uid="{48720D3F-D50A-4997-8C0E-51072B1E62EF}"/>
    <cellStyle name="DQR Gutter Default - IBM Cognos" xfId="74" xr:uid="{F310458F-967D-4DA8-8D60-CAC17C67CE65}"/>
    <cellStyle name="DQR Gutter Default (OFF) - IBM Cognos" xfId="75" xr:uid="{BF488A15-B11B-4B34-AA41-DCCCD905340C}"/>
    <cellStyle name="DQR Row 0 - IBM Cognos" xfId="45" xr:uid="{FBBE670A-F72E-4940-A6CB-64238B57DD07}"/>
    <cellStyle name="DQR Row 1 - IBM Cognos" xfId="46" xr:uid="{9631E563-085A-4A46-8777-3B8AE6717BA6}"/>
    <cellStyle name="DQR Row 2 - IBM Cognos" xfId="47" xr:uid="{80ABD321-4B16-4617-B290-1C523E38964F}"/>
    <cellStyle name="DQR Row 3 - IBM Cognos" xfId="48" xr:uid="{080BF86E-54FB-4A03-BBC0-07B57558CEB3}"/>
    <cellStyle name="DQR Row 4 - IBM Cognos" xfId="49" xr:uid="{CB2A962F-A366-4168-8271-F6DD7A059968}"/>
    <cellStyle name="DQR Row 5 - IBM Cognos" xfId="50" xr:uid="{45B81A5E-7FBB-461C-B7DB-55ACFA7CA155}"/>
    <cellStyle name="DQR Row Default - IBM Cognos" xfId="51" xr:uid="{17718C33-24E1-41C5-8F35-7BCFDB1DC1FA}"/>
    <cellStyle name="DQR Row Leaf - IBM Cognos" xfId="52" xr:uid="{DD2978DF-330A-4E6D-97B3-A6B053B2CF07}"/>
    <cellStyle name="Edit - IBM Cognos" xfId="53" xr:uid="{3E0C324B-6F2E-4333-B005-596C66473410}"/>
    <cellStyle name="Formula - IBM Cognos" xfId="54" xr:uid="{A1E4B001-2016-487F-8299-CB43B392A145}"/>
    <cellStyle name="Group Name - IBM Cognos" xfId="55" xr:uid="{F1AA1E19-02A4-489A-87BB-D34AEB756E78}"/>
    <cellStyle name="Hold Values - IBM Cognos" xfId="56" xr:uid="{5AC88F65-2279-4EE6-B11F-F2F747ACF06B}"/>
    <cellStyle name="List Name - IBM Cognos" xfId="57" xr:uid="{A321946D-AA4A-4168-9690-4933A1BB2FB2}"/>
    <cellStyle name="Locked - IBM Cognos" xfId="58" xr:uid="{EF85FFA6-AD76-49E2-939A-6B3670FEF603}"/>
    <cellStyle name="Measure - IBM Cognos" xfId="59" xr:uid="{A1B4BA17-3252-4496-BCD1-4E030B59065C}"/>
    <cellStyle name="Measure Header - IBM Cognos" xfId="60" xr:uid="{F7733E89-AA5D-421A-A6BF-B90B2DBF60C3}"/>
    <cellStyle name="Measure Name - IBM Cognos" xfId="61" xr:uid="{C9537C1D-EE8A-4617-966B-EAA337764FF0}"/>
    <cellStyle name="Measure Summary - IBM Cognos" xfId="62" xr:uid="{54342705-1AEC-4C78-AC72-3BD92271F244}"/>
    <cellStyle name="Measure Summary TM1 - IBM Cognos" xfId="63" xr:uid="{A8D523EA-3254-4E59-BF9A-8C7D4A7EAE6A}"/>
    <cellStyle name="Measure Template - IBM Cognos" xfId="64" xr:uid="{442BA46A-2A31-4353-AAE0-B08323EDF2C8}"/>
    <cellStyle name="More - IBM Cognos" xfId="65" xr:uid="{97E9EF28-ADA5-4AF9-AE67-7A773EA6F540}"/>
    <cellStyle name="Normal" xfId="0" builtinId="0" customBuiltin="1"/>
    <cellStyle name="Pending Change - IBM Cognos" xfId="66" xr:uid="{0C17E2C7-53D5-44DA-B485-8E9D57186E77}"/>
    <cellStyle name="Row Name - IBM Cognos" xfId="67" xr:uid="{FD1F6ED4-90E5-4CC1-968F-0F26973E84AE}"/>
    <cellStyle name="Row Template - IBM Cognos" xfId="68" xr:uid="{F30761BC-888D-47D4-B8AC-3C29374415D6}"/>
    <cellStyle name="Summary Column Name - IBM Cognos" xfId="69" xr:uid="{B72027AA-EA5B-4225-8C74-78A84D40C9CB}"/>
    <cellStyle name="Summary Column Name TM1 - IBM Cognos" xfId="70" xr:uid="{E3E7AB61-A288-49CB-9857-207F1F557928}"/>
    <cellStyle name="Summary Row Name - IBM Cognos" xfId="71" xr:uid="{DE7B780E-6D62-4F6A-A5C9-665616971342}"/>
    <cellStyle name="Summary Row Name TM1 - IBM Cognos" xfId="72" xr:uid="{BFF1AD3F-ACAD-4F85-B347-AC788A2AE333}"/>
    <cellStyle name="Unsaved Change - IBM Cognos" xfId="73" xr:uid="{BCB14FD9-5A09-4DBD-9C1C-C1DE739151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A50BB-3478-454D-B0ED-ED336DA9C2E1}">
  <dimension ref="A1"/>
  <sheetViews>
    <sheetView workbookViewId="0"/>
  </sheetViews>
  <sheetFormatPr defaultColWidth="10.6328125" defaultRowHeight="14.5" x14ac:dyDescent="0.35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84D2-4A6A-4E68-B32F-62E28ACC825D}">
  <dimension ref="B1:G86"/>
  <sheetViews>
    <sheetView tabSelected="1" workbookViewId="0"/>
  </sheetViews>
  <sheetFormatPr defaultColWidth="10.6328125" defaultRowHeight="14.5" x14ac:dyDescent="0.35"/>
  <cols>
    <col min="1" max="1" width="2.6328125" customWidth="1"/>
    <col min="2" max="2" width="25.6328125" hidden="1" customWidth="1"/>
    <col min="3" max="3" width="25.6328125" customWidth="1"/>
    <col min="4" max="5" width="8.81640625" bestFit="1" customWidth="1"/>
    <col min="6" max="6" width="8.1796875" bestFit="1" customWidth="1"/>
    <col min="7" max="7" width="9.1796875" bestFit="1" customWidth="1"/>
  </cols>
  <sheetData>
    <row r="1" spans="2:7" x14ac:dyDescent="0.35">
      <c r="B1" t="str" cm="1">
        <f t="array" ref="B1">_xll.TM1PRIMARYDBNAME()</f>
        <v>Formation</v>
      </c>
    </row>
    <row r="3" spans="2:7" ht="15" hidden="1" thickBot="1" x14ac:dyDescent="0.4">
      <c r="B3" s="1" t="s">
        <v>7</v>
      </c>
    </row>
    <row r="4" spans="2:7" s="2" customFormat="1" hidden="1" thickBot="1" x14ac:dyDescent="0.4">
      <c r="B4" s="2">
        <v>0</v>
      </c>
      <c r="C4" s="3" t="s">
        <v>11</v>
      </c>
      <c r="D4" s="4">
        <v>123.456789</v>
      </c>
      <c r="E4" s="4">
        <v>123.456789</v>
      </c>
      <c r="F4" s="4">
        <v>123.456789</v>
      </c>
      <c r="G4" s="4">
        <v>123.456789</v>
      </c>
    </row>
    <row r="5" spans="2:7" s="5" customFormat="1" hidden="1" thickBot="1" x14ac:dyDescent="0.4">
      <c r="B5" s="5">
        <v>1</v>
      </c>
      <c r="C5" s="6" t="s">
        <v>11</v>
      </c>
      <c r="D5" s="7">
        <v>123.456789</v>
      </c>
      <c r="E5" s="7">
        <v>123.456789</v>
      </c>
      <c r="F5" s="7">
        <v>123.456789</v>
      </c>
      <c r="G5" s="7">
        <v>123.456789</v>
      </c>
    </row>
    <row r="6" spans="2:7" s="8" customFormat="1" hidden="1" thickBot="1" x14ac:dyDescent="0.4">
      <c r="B6" s="8">
        <v>2</v>
      </c>
      <c r="C6" s="9" t="s">
        <v>11</v>
      </c>
      <c r="D6" s="10">
        <v>123.456789</v>
      </c>
      <c r="E6" s="10">
        <v>123.456789</v>
      </c>
      <c r="F6" s="10">
        <v>123.456789</v>
      </c>
      <c r="G6" s="10">
        <v>123.456789</v>
      </c>
    </row>
    <row r="7" spans="2:7" s="11" customFormat="1" hidden="1" thickBot="1" x14ac:dyDescent="0.4">
      <c r="B7" s="11">
        <v>3</v>
      </c>
      <c r="C7" s="12" t="s">
        <v>11</v>
      </c>
      <c r="D7" s="13">
        <v>123.456789</v>
      </c>
      <c r="E7" s="13">
        <v>123.456789</v>
      </c>
      <c r="F7" s="13">
        <v>123.456789</v>
      </c>
      <c r="G7" s="13">
        <v>123.456789</v>
      </c>
    </row>
    <row r="8" spans="2:7" s="14" customFormat="1" hidden="1" thickBot="1" x14ac:dyDescent="0.4">
      <c r="B8" s="14">
        <v>4</v>
      </c>
      <c r="C8" s="15" t="s">
        <v>11</v>
      </c>
      <c r="D8" s="16">
        <v>123.456789</v>
      </c>
      <c r="E8" s="16">
        <v>123.456789</v>
      </c>
      <c r="F8" s="16">
        <v>123.456789</v>
      </c>
      <c r="G8" s="16">
        <v>123.456789</v>
      </c>
    </row>
    <row r="9" spans="2:7" s="17" customFormat="1" hidden="1" thickBot="1" x14ac:dyDescent="0.4">
      <c r="B9" s="17">
        <v>5</v>
      </c>
      <c r="C9" s="18" t="s">
        <v>11</v>
      </c>
      <c r="D9" s="19">
        <v>123.456789</v>
      </c>
      <c r="E9" s="19">
        <v>123.456789</v>
      </c>
      <c r="F9" s="19">
        <v>123.456789</v>
      </c>
      <c r="G9" s="19">
        <v>123.456789</v>
      </c>
    </row>
    <row r="10" spans="2:7" s="21" customFormat="1" hidden="1" thickBot="1" x14ac:dyDescent="0.4">
      <c r="B10" s="20" t="s">
        <v>8</v>
      </c>
      <c r="C10" s="22" t="s">
        <v>11</v>
      </c>
      <c r="D10" s="23">
        <v>123.456789</v>
      </c>
      <c r="E10" s="23">
        <v>123.456789</v>
      </c>
      <c r="F10" s="23">
        <v>123.456789</v>
      </c>
      <c r="G10" s="23">
        <v>123.456789</v>
      </c>
    </row>
    <row r="11" spans="2:7" s="25" customFormat="1" hidden="1" thickBot="1" x14ac:dyDescent="0.4">
      <c r="B11" s="24" t="s">
        <v>9</v>
      </c>
      <c r="C11" s="26" t="s">
        <v>11</v>
      </c>
      <c r="D11" s="27">
        <v>123.456789</v>
      </c>
      <c r="E11" s="27">
        <v>123.456789</v>
      </c>
      <c r="F11" s="27">
        <v>123.456789</v>
      </c>
      <c r="G11" s="27">
        <v>123.456789</v>
      </c>
    </row>
    <row r="12" spans="2:7" hidden="1" x14ac:dyDescent="0.35">
      <c r="B12" s="1" t="s">
        <v>10</v>
      </c>
    </row>
    <row r="13" spans="2:7" hidden="1" x14ac:dyDescent="0.35">
      <c r="C13" s="1" t="s">
        <v>12</v>
      </c>
    </row>
    <row r="14" spans="2:7" hidden="1" x14ac:dyDescent="0.35">
      <c r="C14" t="str">
        <f>_xll.TM1RPTVIEW(Server&amp;":Income Statement:24742797",1,_xll.TM1RPTTITLE(Server&amp;":Currency Calc",$D$16),_xll.TM1RPTTITLE(Server&amp;":Account",$D$17),_xll.TM1RPTTITLE(Server&amp;":month",$D$18),TM1RPTFMTRNG24742797,TM1RPTFMTIDCOL24742797)</f>
        <v>Formation:Income Statement:24742797</v>
      </c>
    </row>
    <row r="16" spans="2:7" x14ac:dyDescent="0.35">
      <c r="C16" s="28" t="s">
        <v>13</v>
      </c>
      <c r="D16" s="29" t="str">
        <f>_xll.SUBNM(Server&amp;":Currency Calc",,"Local")</f>
        <v>Local</v>
      </c>
    </row>
    <row r="17" spans="2:7" x14ac:dyDescent="0.35">
      <c r="C17" s="28" t="s">
        <v>14</v>
      </c>
      <c r="D17" s="29" t="str">
        <f>_xll.SUBNM(Server&amp;":Account",,"Net Profit After Allocations","Caption_Base")</f>
        <v>Net Profit After Allocations</v>
      </c>
    </row>
    <row r="18" spans="2:7" x14ac:dyDescent="0.35">
      <c r="C18" s="28" t="s">
        <v>15</v>
      </c>
      <c r="D18" s="29" t="str">
        <f>_xll.SUBNM(Server&amp;":month",,"Jan")</f>
        <v>Jan</v>
      </c>
    </row>
    <row r="20" spans="2:7" ht="15" thickBot="1" x14ac:dyDescent="0.4"/>
    <row r="21" spans="2:7" ht="15" thickBot="1" x14ac:dyDescent="0.4">
      <c r="D21" s="30" t="s">
        <v>0</v>
      </c>
      <c r="E21" s="30" t="s">
        <v>0</v>
      </c>
      <c r="F21" s="30" t="s">
        <v>1</v>
      </c>
      <c r="G21" s="30" t="s">
        <v>1</v>
      </c>
    </row>
    <row r="22" spans="2:7" ht="15" thickBot="1" x14ac:dyDescent="0.4">
      <c r="D22" s="30" t="s">
        <v>2</v>
      </c>
      <c r="E22" s="30" t="s">
        <v>3</v>
      </c>
      <c r="F22" s="30" t="s">
        <v>2</v>
      </c>
      <c r="G22" s="30" t="s">
        <v>3</v>
      </c>
    </row>
    <row r="23" spans="2:7" s="2" customFormat="1" thickBot="1" x14ac:dyDescent="0.4">
      <c r="B23" s="2">
        <f>IF(_xll.TM1RPTELISCONSOLIDATED($C$23,$C23),IF(_xll.TM1RPTELLEV($C$23,$C23)&lt;=5,_xll.TM1RPTELLEV($C$23,$C23),"Default"),"Leaf")</f>
        <v>0</v>
      </c>
      <c r="C23" s="31" t="str">
        <f>_xll.TM1RPTROW($C$14,Server&amp;":organization",,,,FALSE,C$13)</f>
        <v>Total groupe</v>
      </c>
      <c r="D23" s="4">
        <f>_xll.DBRW($C$14,$D$16,$C23,D$22,$D$18,$D$17,D$21)</f>
        <v>2202396.7963688332</v>
      </c>
      <c r="E23" s="4">
        <f>_xll.DBRW($C$14,$D$16,$C23,E$22,$D$18,$D$17,E$21)</f>
        <v>2095467.0367807713</v>
      </c>
      <c r="F23" s="4">
        <f>_xll.DBRW($C$14,$D$16,$C23,F$22,$D$18,$D$17,F$21)</f>
        <v>-319303.5011805555</v>
      </c>
      <c r="G23" s="4">
        <f>_xll.DBRW($C$14,$D$16,$C23,G$22,$D$18,$D$17,G$21)</f>
        <v>-895343.84937169985</v>
      </c>
    </row>
    <row r="24" spans="2:7" s="5" customFormat="1" thickBot="1" x14ac:dyDescent="0.4">
      <c r="B24" s="5">
        <f>IF(_xll.TM1RPTELISCONSOLIDATED($C$23,$C24),IF(_xll.TM1RPTELLEV($C$23,$C24)&lt;=5,_xll.TM1RPTELLEV($C$23,$C24),"Default"),"Leaf")</f>
        <v>1</v>
      </c>
      <c r="C24" s="32" t="s">
        <v>16</v>
      </c>
      <c r="D24" s="7">
        <f>_xll.DBRW($C$14,$D$16,$C24,D$22,$D$18,$D$17,D$21)</f>
        <v>1806578.9158360157</v>
      </c>
      <c r="E24" s="7">
        <f>_xll.DBRW($C$14,$D$16,$C24,E$22,$D$18,$D$17,E$21)</f>
        <v>1565924.1905836181</v>
      </c>
      <c r="F24" s="7">
        <f>_xll.DBRW($C$14,$D$16,$C24,F$22,$D$18,$D$17,F$21)</f>
        <v>-251696.82499999998</v>
      </c>
      <c r="G24" s="7">
        <f>_xll.DBRW($C$14,$D$16,$C24,G$22,$D$18,$D$17,G$21)</f>
        <v>-548235.12306598132</v>
      </c>
    </row>
    <row r="25" spans="2:7" s="8" customFormat="1" thickBot="1" x14ac:dyDescent="0.4">
      <c r="B25" s="8">
        <f>IF(_xll.TM1RPTELISCONSOLIDATED($C$23,$C25),IF(_xll.TM1RPTELLEV($C$23,$C25)&lt;=5,_xll.TM1RPTELLEV($C$23,$C25),"Default"),"Leaf")</f>
        <v>2</v>
      </c>
      <c r="C25" s="33" t="s">
        <v>17</v>
      </c>
      <c r="D25" s="10">
        <f>_xll.DBRW($C$14,$D$16,$C25,D$22,$D$18,$D$17,D$21)</f>
        <v>7804.3615978196322</v>
      </c>
      <c r="E25" s="10">
        <f>_xll.DBRW($C$14,$D$16,$C25,E$22,$D$18,$D$17,E$21)</f>
        <v>3712.4363284877718</v>
      </c>
      <c r="F25" s="10">
        <f>_xll.DBRW($C$14,$D$16,$C25,F$22,$D$18,$D$17,F$21)</f>
        <v>-93557.079166666648</v>
      </c>
      <c r="G25" s="10">
        <f>_xll.DBRW($C$14,$D$16,$C25,G$22,$D$18,$D$17,G$21)</f>
        <v>0.16666666666666763</v>
      </c>
    </row>
    <row r="26" spans="2:7" s="25" customFormat="1" thickBot="1" x14ac:dyDescent="0.4">
      <c r="B26" s="24" t="str">
        <f>IF(_xll.TM1RPTELISCONSOLIDATED($C$23,$C26),IF(_xll.TM1RPTELLEV($C$23,$C26)&lt;=5,_xll.TM1RPTELLEV($C$23,$C26),"Default"),"Leaf")</f>
        <v>Leaf</v>
      </c>
      <c r="C26" s="34" t="s">
        <v>18</v>
      </c>
      <c r="D26" s="27">
        <f>_xll.DBRW($C$14,$D$16,$C26,D$22,$D$18,$D$17,D$21)</f>
        <v>3712.2632471878578</v>
      </c>
      <c r="E26" s="27">
        <f>_xll.DBRW($C$14,$D$16,$C26,E$22,$D$18,$D$17,E$21)</f>
        <v>5039.8818736712728</v>
      </c>
      <c r="F26" s="27">
        <f>_xll.DBRW($C$14,$D$16,$C26,F$22,$D$18,$D$17,F$21)</f>
        <v>-85402.74583333332</v>
      </c>
      <c r="G26" s="27">
        <f>_xll.DBRW($C$14,$D$16,$C26,G$22,$D$18,$D$17,G$21)</f>
        <v>0.16666666666666763</v>
      </c>
    </row>
    <row r="27" spans="2:7" s="25" customFormat="1" thickBot="1" x14ac:dyDescent="0.4">
      <c r="B27" s="24" t="str">
        <f>IF(_xll.TM1RPTELISCONSOLIDATED($C$23,$C27),IF(_xll.TM1RPTELLEV($C$23,$C27)&lt;=5,_xll.TM1RPTELLEV($C$23,$C27),"Default"),"Leaf")</f>
        <v>Leaf</v>
      </c>
      <c r="C27" s="34" t="s">
        <v>19</v>
      </c>
      <c r="D27" s="27">
        <f>_xll.DBRW($C$14,$D$16,$C27,D$22,$D$18,$D$17,D$21)</f>
        <v>-3533.5573624148828</v>
      </c>
      <c r="E27" s="27">
        <f>_xll.DBRW($C$14,$D$16,$C27,E$22,$D$18,$D$17,E$21)</f>
        <v>-2202.8126276446101</v>
      </c>
      <c r="F27" s="27">
        <f>_xll.DBRW($C$14,$D$16,$C27,F$22,$D$18,$D$17,F$21)</f>
        <v>-7871</v>
      </c>
      <c r="G27" s="27">
        <f>_xll.DBRW($C$14,$D$16,$C27,G$22,$D$18,$D$17,G$21)</f>
        <v>0</v>
      </c>
    </row>
    <row r="28" spans="2:7" s="25" customFormat="1" thickBot="1" x14ac:dyDescent="0.4">
      <c r="B28" s="24" t="str">
        <f>IF(_xll.TM1RPTELISCONSOLIDATED($C$23,$C28),IF(_xll.TM1RPTELLEV($C$23,$C28)&lt;=5,_xll.TM1RPTELLEV($C$23,$C28),"Default"),"Leaf")</f>
        <v>Leaf</v>
      </c>
      <c r="C28" s="34" t="s">
        <v>20</v>
      </c>
      <c r="D28" s="27">
        <f>_xll.DBRW($C$14,$D$16,$C28,D$22,$D$18,$D$17,D$21)</f>
        <v>-2079.2340607959413</v>
      </c>
      <c r="E28" s="27">
        <f>_xll.DBRW($C$14,$D$16,$C28,E$22,$D$18,$D$17,E$21)</f>
        <v>160.58206158693338</v>
      </c>
      <c r="F28" s="27">
        <f>_xll.DBRW($C$14,$D$16,$C28,F$22,$D$18,$D$17,F$21)</f>
        <v>0</v>
      </c>
      <c r="G28" s="27">
        <f>_xll.DBRW($C$14,$D$16,$C28,G$22,$D$18,$D$17,G$21)</f>
        <v>0</v>
      </c>
    </row>
    <row r="29" spans="2:7" s="25" customFormat="1" thickBot="1" x14ac:dyDescent="0.4">
      <c r="B29" s="24" t="str">
        <f>IF(_xll.TM1RPTELISCONSOLIDATED($C$23,$C29),IF(_xll.TM1RPTELLEV($C$23,$C29)&lt;=5,_xll.TM1RPTELLEV($C$23,$C29),"Default"),"Leaf")</f>
        <v>Leaf</v>
      </c>
      <c r="C29" s="34" t="s">
        <v>21</v>
      </c>
      <c r="D29" s="27">
        <f>_xll.DBRW($C$14,$D$16,$C29,D$22,$D$18,$D$17,D$21)</f>
        <v>34252.445248308999</v>
      </c>
      <c r="E29" s="27">
        <f>_xll.DBRW($C$14,$D$16,$C29,E$22,$D$18,$D$17,E$21)</f>
        <v>305.30216630771793</v>
      </c>
      <c r="F29" s="27">
        <f>_xll.DBRW($C$14,$D$16,$C29,F$22,$D$18,$D$17,F$21)</f>
        <v>0</v>
      </c>
      <c r="G29" s="27">
        <f>_xll.DBRW($C$14,$D$16,$C29,G$22,$D$18,$D$17,G$21)</f>
        <v>0</v>
      </c>
    </row>
    <row r="30" spans="2:7" s="25" customFormat="1" thickBot="1" x14ac:dyDescent="0.4">
      <c r="B30" s="24" t="str">
        <f>IF(_xll.TM1RPTELISCONSOLIDATED($C$23,$C30),IF(_xll.TM1RPTELLEV($C$23,$C30)&lt;=5,_xll.TM1RPTELLEV($C$23,$C30),"Default"),"Leaf")</f>
        <v>Leaf</v>
      </c>
      <c r="C30" s="34" t="s">
        <v>22</v>
      </c>
      <c r="D30" s="27">
        <f>_xll.DBRW($C$14,$D$16,$C30,D$22,$D$18,$D$17,D$21)</f>
        <v>-4323.4154989310027</v>
      </c>
      <c r="E30" s="27">
        <f>_xll.DBRW($C$14,$D$16,$C30,E$22,$D$18,$D$17,E$21)</f>
        <v>151.52034272283254</v>
      </c>
      <c r="F30" s="27">
        <f>_xll.DBRW($C$14,$D$16,$C30,F$22,$D$18,$D$17,F$21)</f>
        <v>0</v>
      </c>
      <c r="G30" s="27">
        <f>_xll.DBRW($C$14,$D$16,$C30,G$22,$D$18,$D$17,G$21)</f>
        <v>0</v>
      </c>
    </row>
    <row r="31" spans="2:7" s="25" customFormat="1" thickBot="1" x14ac:dyDescent="0.4">
      <c r="B31" s="24" t="str">
        <f>IF(_xll.TM1RPTELISCONSOLIDATED($C$23,$C31),IF(_xll.TM1RPTELLEV($C$23,$C31)&lt;=5,_xll.TM1RPTELLEV($C$23,$C31),"Default"),"Leaf")</f>
        <v>Leaf</v>
      </c>
      <c r="C31" s="34" t="s">
        <v>23</v>
      </c>
      <c r="D31" s="27">
        <f>_xll.DBRW($C$14,$D$16,$C31,D$22,$D$18,$D$17,D$21)</f>
        <v>-10112.0699877677</v>
      </c>
      <c r="E31" s="27">
        <f>_xll.DBRW($C$14,$D$16,$C31,E$22,$D$18,$D$17,E$21)</f>
        <v>128.98125592181259</v>
      </c>
      <c r="F31" s="27">
        <f>_xll.DBRW($C$14,$D$16,$C31,F$22,$D$18,$D$17,F$21)</f>
        <v>-283.33333333333331</v>
      </c>
      <c r="G31" s="27">
        <f>_xll.DBRW($C$14,$D$16,$C31,G$22,$D$18,$D$17,G$21)</f>
        <v>0</v>
      </c>
    </row>
    <row r="32" spans="2:7" s="25" customFormat="1" thickBot="1" x14ac:dyDescent="0.4">
      <c r="B32" s="24" t="str">
        <f>IF(_xll.TM1RPTELISCONSOLIDATED($C$23,$C32),IF(_xll.TM1RPTELLEV($C$23,$C32)&lt;=5,_xll.TM1RPTELLEV($C$23,$C32),"Default"),"Leaf")</f>
        <v>Leaf</v>
      </c>
      <c r="C32" s="34" t="s">
        <v>24</v>
      </c>
      <c r="D32" s="27">
        <f>_xll.DBRW($C$14,$D$16,$C32,D$22,$D$18,$D$17,D$21)</f>
        <v>-10112.0699877677</v>
      </c>
      <c r="E32" s="27">
        <f>_xll.DBRW($C$14,$D$16,$C32,E$22,$D$18,$D$17,E$21)</f>
        <v>128.98125592181259</v>
      </c>
      <c r="F32" s="27">
        <f>_xll.DBRW($C$14,$D$16,$C32,F$22,$D$18,$D$17,F$21)</f>
        <v>0</v>
      </c>
      <c r="G32" s="27">
        <f>_xll.DBRW($C$14,$D$16,$C32,G$22,$D$18,$D$17,G$21)</f>
        <v>0</v>
      </c>
    </row>
    <row r="33" spans="2:7" s="8" customFormat="1" thickBot="1" x14ac:dyDescent="0.4">
      <c r="B33" s="8">
        <f>IF(_xll.TM1RPTELISCONSOLIDATED($C$23,$C33),IF(_xll.TM1RPTELLEV($C$23,$C33)&lt;=5,_xll.TM1RPTELLEV($C$23,$C33),"Default"),"Leaf")</f>
        <v>2</v>
      </c>
      <c r="C33" s="33" t="s">
        <v>25</v>
      </c>
      <c r="D33" s="10">
        <f>_xll.DBRW($C$14,$D$16,$C33,D$22,$D$18,$D$17,D$21)</f>
        <v>77595.605054599262</v>
      </c>
      <c r="E33" s="10">
        <f>_xll.DBRW($C$14,$D$16,$C33,E$22,$D$18,$D$17,E$21)</f>
        <v>72748.577416196567</v>
      </c>
      <c r="F33" s="10">
        <f>_xll.DBRW($C$14,$D$16,$C33,F$22,$D$18,$D$17,F$21)</f>
        <v>-25511</v>
      </c>
      <c r="G33" s="10">
        <f>_xll.DBRW($C$14,$D$16,$C33,G$22,$D$18,$D$17,G$21)</f>
        <v>-153951.23374118202</v>
      </c>
    </row>
    <row r="34" spans="2:7" s="25" customFormat="1" thickBot="1" x14ac:dyDescent="0.4">
      <c r="B34" s="24" t="str">
        <f>IF(_xll.TM1RPTELISCONSOLIDATED($C$23,$C34),IF(_xll.TM1RPTELLEV($C$23,$C34)&lt;=5,_xll.TM1RPTELLEV($C$23,$C34),"Default"),"Leaf")</f>
        <v>Leaf</v>
      </c>
      <c r="C34" s="34" t="s">
        <v>26</v>
      </c>
      <c r="D34" s="27">
        <f>_xll.DBRW($C$14,$D$16,$C34,D$22,$D$18,$D$17,D$21)</f>
        <v>22084.26095084336</v>
      </c>
      <c r="E34" s="27">
        <f>_xll.DBRW($C$14,$D$16,$C34,E$22,$D$18,$D$17,E$21)</f>
        <v>7027.3611423480761</v>
      </c>
      <c r="F34" s="27">
        <f>_xll.DBRW($C$14,$D$16,$C34,F$22,$D$18,$D$17,F$21)</f>
        <v>0</v>
      </c>
      <c r="G34" s="27">
        <f>_xll.DBRW($C$14,$D$16,$C34,G$22,$D$18,$D$17,G$21)</f>
        <v>-74739.770122918548</v>
      </c>
    </row>
    <row r="35" spans="2:7" s="25" customFormat="1" thickBot="1" x14ac:dyDescent="0.4">
      <c r="B35" s="24" t="str">
        <f>IF(_xll.TM1RPTELISCONSOLIDATED($C$23,$C35),IF(_xll.TM1RPTELLEV($C$23,$C35)&lt;=5,_xll.TM1RPTELLEV($C$23,$C35),"Default"),"Leaf")</f>
        <v>Leaf</v>
      </c>
      <c r="C35" s="34" t="s">
        <v>27</v>
      </c>
      <c r="D35" s="27">
        <f>_xll.DBRW($C$14,$D$16,$C35,D$22,$D$18,$D$17,D$21)</f>
        <v>7244.9092589660386</v>
      </c>
      <c r="E35" s="27">
        <f>_xll.DBRW($C$14,$D$16,$C35,E$22,$D$18,$D$17,E$21)</f>
        <v>5422.4333025508313</v>
      </c>
      <c r="F35" s="27">
        <f>_xll.DBRW($C$14,$D$16,$C35,F$22,$D$18,$D$17,F$21)</f>
        <v>0</v>
      </c>
      <c r="G35" s="27">
        <f>_xll.DBRW($C$14,$D$16,$C35,G$22,$D$18,$D$17,G$21)</f>
        <v>0</v>
      </c>
    </row>
    <row r="36" spans="2:7" s="25" customFormat="1" thickBot="1" x14ac:dyDescent="0.4">
      <c r="B36" s="24" t="str">
        <f>IF(_xll.TM1RPTELISCONSOLIDATED($C$23,$C36),IF(_xll.TM1RPTELLEV($C$23,$C36)&lt;=5,_xll.TM1RPTELLEV($C$23,$C36),"Default"),"Leaf")</f>
        <v>Leaf</v>
      </c>
      <c r="C36" s="34" t="s">
        <v>28</v>
      </c>
      <c r="D36" s="27">
        <f>_xll.DBRW($C$14,$D$16,$C36,D$22,$D$18,$D$17,D$21)</f>
        <v>-11602.531487204313</v>
      </c>
      <c r="E36" s="27">
        <f>_xll.DBRW($C$14,$D$16,$C36,E$22,$D$18,$D$17,E$21)</f>
        <v>-20021.490771791498</v>
      </c>
      <c r="F36" s="27">
        <f>_xll.DBRW($C$14,$D$16,$C36,F$22,$D$18,$D$17,F$21)</f>
        <v>0</v>
      </c>
      <c r="G36" s="27">
        <f>_xll.DBRW($C$14,$D$16,$C36,G$22,$D$18,$D$17,G$21)</f>
        <v>-9447.6506620744076</v>
      </c>
    </row>
    <row r="37" spans="2:7" s="25" customFormat="1" thickBot="1" x14ac:dyDescent="0.4">
      <c r="B37" s="24" t="str">
        <f>IF(_xll.TM1RPTELISCONSOLIDATED($C$23,$C37),IF(_xll.TM1RPTELLEV($C$23,$C37)&lt;=5,_xll.TM1RPTELLEV($C$23,$C37),"Default"),"Leaf")</f>
        <v>Leaf</v>
      </c>
      <c r="C37" s="34" t="s">
        <v>29</v>
      </c>
      <c r="D37" s="27">
        <f>_xll.DBRW($C$14,$D$16,$C37,D$22,$D$18,$D$17,D$21)</f>
        <v>5180.4062927155182</v>
      </c>
      <c r="E37" s="27">
        <f>_xll.DBRW($C$14,$D$16,$C37,E$22,$D$18,$D$17,E$21)</f>
        <v>4371.6610599567666</v>
      </c>
      <c r="F37" s="27">
        <f>_xll.DBRW($C$14,$D$16,$C37,F$22,$D$18,$D$17,F$21)</f>
        <v>-9769</v>
      </c>
      <c r="G37" s="27">
        <f>_xll.DBRW($C$14,$D$16,$C37,G$22,$D$18,$D$17,G$21)</f>
        <v>-51630.001121409106</v>
      </c>
    </row>
    <row r="38" spans="2:7" s="25" customFormat="1" thickBot="1" x14ac:dyDescent="0.4">
      <c r="B38" s="24" t="str">
        <f>IF(_xll.TM1RPTELISCONSOLIDATED($C$23,$C38),IF(_xll.TM1RPTELLEV($C$23,$C38)&lt;=5,_xll.TM1RPTELLEV($C$23,$C38),"Default"),"Leaf")</f>
        <v>Leaf</v>
      </c>
      <c r="C38" s="34" t="s">
        <v>30</v>
      </c>
      <c r="D38" s="27">
        <f>_xll.DBRW($C$14,$D$16,$C38,D$22,$D$18,$D$17,D$21)</f>
        <v>34662.232029281899</v>
      </c>
      <c r="E38" s="27">
        <f>_xll.DBRW($C$14,$D$16,$C38,E$22,$D$18,$D$17,E$21)</f>
        <v>68708.05435389452</v>
      </c>
      <c r="F38" s="27">
        <f>_xll.DBRW($C$14,$D$16,$C38,F$22,$D$18,$D$17,F$21)</f>
        <v>-7871</v>
      </c>
      <c r="G38" s="27">
        <f>_xll.DBRW($C$14,$D$16,$C38,G$22,$D$18,$D$17,G$21)</f>
        <v>-9066.9059173899768</v>
      </c>
    </row>
    <row r="39" spans="2:7" s="25" customFormat="1" thickBot="1" x14ac:dyDescent="0.4">
      <c r="B39" s="24" t="str">
        <f>IF(_xll.TM1RPTELISCONSOLIDATED($C$23,$C39),IF(_xll.TM1RPTELLEV($C$23,$C39)&lt;=5,_xll.TM1RPTELLEV($C$23,$C39),"Default"),"Leaf")</f>
        <v>Leaf</v>
      </c>
      <c r="C39" s="34" t="s">
        <v>31</v>
      </c>
      <c r="D39" s="27">
        <f>_xll.DBRW($C$14,$D$16,$C39,D$22,$D$18,$D$17,D$21)</f>
        <v>16243.085351746984</v>
      </c>
      <c r="E39" s="27">
        <f>_xll.DBRW($C$14,$D$16,$C39,E$22,$D$18,$D$17,E$21)</f>
        <v>2192.8128256860637</v>
      </c>
      <c r="F39" s="27">
        <f>_xll.DBRW($C$14,$D$16,$C39,F$22,$D$18,$D$17,F$21)</f>
        <v>-7871</v>
      </c>
      <c r="G39" s="27">
        <f>_xll.DBRW($C$14,$D$16,$C39,G$22,$D$18,$D$17,G$21)</f>
        <v>-9066.9059173899768</v>
      </c>
    </row>
    <row r="40" spans="2:7" s="25" customFormat="1" thickBot="1" x14ac:dyDescent="0.4">
      <c r="B40" s="24" t="str">
        <f>IF(_xll.TM1RPTELISCONSOLIDATED($C$23,$C40),IF(_xll.TM1RPTELLEV($C$23,$C40)&lt;=5,_xll.TM1RPTELLEV($C$23,$C40),"Default"),"Leaf")</f>
        <v>Leaf</v>
      </c>
      <c r="C40" s="34" t="s">
        <v>32</v>
      </c>
      <c r="D40" s="27">
        <f>_xll.DBRW($C$14,$D$16,$C40,D$22,$D$18,$D$17,D$21)</f>
        <v>3783.242658249771</v>
      </c>
      <c r="E40" s="27">
        <f>_xll.DBRW($C$14,$D$16,$C40,E$22,$D$18,$D$17,E$21)</f>
        <v>5047.7455035518078</v>
      </c>
      <c r="F40" s="27">
        <f>_xll.DBRW($C$14,$D$16,$C40,F$22,$D$18,$D$17,F$21)</f>
        <v>0</v>
      </c>
      <c r="G40" s="27">
        <f>_xll.DBRW($C$14,$D$16,$C40,G$22,$D$18,$D$17,G$21)</f>
        <v>0</v>
      </c>
    </row>
    <row r="41" spans="2:7" s="8" customFormat="1" thickBot="1" x14ac:dyDescent="0.4">
      <c r="B41" s="8">
        <f>IF(_xll.TM1RPTELISCONSOLIDATED($C$23,$C41),IF(_xll.TM1RPTELLEV($C$23,$C41)&lt;=5,_xll.TM1RPTELLEV($C$23,$C41),"Default"),"Leaf")</f>
        <v>2</v>
      </c>
      <c r="C41" s="33" t="s">
        <v>33</v>
      </c>
      <c r="D41" s="10">
        <f>_xll.DBRW($C$14,$D$16,$C41,D$22,$D$18,$D$17,D$21)</f>
        <v>42401.627869147873</v>
      </c>
      <c r="E41" s="10">
        <f>_xll.DBRW($C$14,$D$16,$C41,E$22,$D$18,$D$17,E$21)</f>
        <v>-21126.06557707084</v>
      </c>
      <c r="F41" s="10">
        <f>_xll.DBRW($C$14,$D$16,$C41,F$22,$D$18,$D$17,F$21)</f>
        <v>-23613</v>
      </c>
      <c r="G41" s="10">
        <f>_xll.DBRW($C$14,$D$16,$C41,G$22,$D$18,$D$17,G$21)</f>
        <v>-145038.62538826995</v>
      </c>
    </row>
    <row r="42" spans="2:7" s="25" customFormat="1" thickBot="1" x14ac:dyDescent="0.4">
      <c r="B42" s="24" t="str">
        <f>IF(_xll.TM1RPTELISCONSOLIDATED($C$23,$C42),IF(_xll.TM1RPTELLEV($C$23,$C42)&lt;=5,_xll.TM1RPTELLEV($C$23,$C42),"Default"),"Leaf")</f>
        <v>Leaf</v>
      </c>
      <c r="C42" s="34" t="s">
        <v>34</v>
      </c>
      <c r="D42" s="27">
        <f>_xll.DBRW($C$14,$D$16,$C42,D$22,$D$18,$D$17,D$21)</f>
        <v>57716.198647377692</v>
      </c>
      <c r="E42" s="27">
        <f>_xll.DBRW($C$14,$D$16,$C42,E$22,$D$18,$D$17,E$21)</f>
        <v>50422.66170824843</v>
      </c>
      <c r="F42" s="27">
        <f>_xll.DBRW($C$14,$D$16,$C42,F$22,$D$18,$D$17,F$21)</f>
        <v>-7871</v>
      </c>
      <c r="G42" s="27">
        <f>_xll.DBRW($C$14,$D$16,$C42,G$22,$D$18,$D$17,G$21)</f>
        <v>-11343.847437287508</v>
      </c>
    </row>
    <row r="43" spans="2:7" s="25" customFormat="1" thickBot="1" x14ac:dyDescent="0.4">
      <c r="B43" s="24" t="str">
        <f>IF(_xll.TM1RPTELISCONSOLIDATED($C$23,$C43),IF(_xll.TM1RPTELLEV($C$23,$C43)&lt;=5,_xll.TM1RPTELLEV($C$23,$C43),"Default"),"Leaf")</f>
        <v>Leaf</v>
      </c>
      <c r="C43" s="34" t="s">
        <v>35</v>
      </c>
      <c r="D43" s="27">
        <f>_xll.DBRW($C$14,$D$16,$C43,D$22,$D$18,$D$17,D$21)</f>
        <v>-26342.865540425377</v>
      </c>
      <c r="E43" s="27">
        <f>_xll.DBRW($C$14,$D$16,$C43,E$22,$D$18,$D$17,E$21)</f>
        <v>-34703.099368346448</v>
      </c>
      <c r="F43" s="27">
        <f>_xll.DBRW($C$14,$D$16,$C43,F$22,$D$18,$D$17,F$21)</f>
        <v>-7871</v>
      </c>
      <c r="G43" s="27">
        <f>_xll.DBRW($C$14,$D$16,$C43,G$22,$D$18,$D$17,G$21)</f>
        <v>-108802.87100867945</v>
      </c>
    </row>
    <row r="44" spans="2:7" s="25" customFormat="1" thickBot="1" x14ac:dyDescent="0.4">
      <c r="B44" s="24" t="str">
        <f>IF(_xll.TM1RPTELISCONSOLIDATED($C$23,$C44),IF(_xll.TM1RPTELLEV($C$23,$C44)&lt;=5,_xll.TM1RPTELLEV($C$23,$C44),"Default"),"Leaf")</f>
        <v>Leaf</v>
      </c>
      <c r="C44" s="34" t="s">
        <v>36</v>
      </c>
      <c r="D44" s="27">
        <f>_xll.DBRW($C$14,$D$16,$C44,D$22,$D$18,$D$17,D$21)</f>
        <v>28665.300604291308</v>
      </c>
      <c r="E44" s="27">
        <f>_xll.DBRW($C$14,$D$16,$C44,E$22,$D$18,$D$17,E$21)</f>
        <v>3635.0842559303192</v>
      </c>
      <c r="F44" s="27">
        <f>_xll.DBRW($C$14,$D$16,$C44,F$22,$D$18,$D$17,F$21)</f>
        <v>-7871</v>
      </c>
      <c r="G44" s="27">
        <f>_xll.DBRW($C$14,$D$16,$C44,G$22,$D$18,$D$17,G$21)</f>
        <v>-9066.9059173899768</v>
      </c>
    </row>
    <row r="45" spans="2:7" s="25" customFormat="1" thickBot="1" x14ac:dyDescent="0.4">
      <c r="B45" s="24" t="str">
        <f>IF(_xll.TM1RPTELISCONSOLIDATED($C$23,$C45),IF(_xll.TM1RPTELLEV($C$23,$C45)&lt;=5,_xll.TM1RPTELLEV($C$23,$C45),"Default"),"Leaf")</f>
        <v>Leaf</v>
      </c>
      <c r="C45" s="34" t="s">
        <v>37</v>
      </c>
      <c r="D45" s="27">
        <f>_xll.DBRW($C$14,$D$16,$C45,D$22,$D$18,$D$17,D$21)</f>
        <v>2416.3397856261263</v>
      </c>
      <c r="E45" s="27">
        <f>_xll.DBRW($C$14,$D$16,$C45,E$22,$D$18,$D$17,E$21)</f>
        <v>-16517.489005144547</v>
      </c>
      <c r="F45" s="27">
        <f>_xll.DBRW($C$14,$D$16,$C45,F$22,$D$18,$D$17,F$21)</f>
        <v>0</v>
      </c>
      <c r="G45" s="27">
        <f>_xll.DBRW($C$14,$D$16,$C45,G$22,$D$18,$D$17,G$21)</f>
        <v>-6350.11266178593</v>
      </c>
    </row>
    <row r="46" spans="2:7" s="25" customFormat="1" thickBot="1" x14ac:dyDescent="0.4">
      <c r="B46" s="24" t="str">
        <f>IF(_xll.TM1RPTELISCONSOLIDATED($C$23,$C46),IF(_xll.TM1RPTELLEV($C$23,$C46)&lt;=5,_xll.TM1RPTELLEV($C$23,$C46),"Default"),"Leaf")</f>
        <v>Leaf</v>
      </c>
      <c r="C46" s="34" t="s">
        <v>38</v>
      </c>
      <c r="D46" s="27">
        <f>_xll.DBRW($C$14,$D$16,$C46,D$22,$D$18,$D$17,D$21)</f>
        <v>-7552.0131633476476</v>
      </c>
      <c r="E46" s="27">
        <f>_xll.DBRW($C$14,$D$16,$C46,E$22,$D$18,$D$17,E$21)</f>
        <v>-12883.134277216293</v>
      </c>
      <c r="F46" s="27">
        <f>_xll.DBRW($C$14,$D$16,$C46,F$22,$D$18,$D$17,F$21)</f>
        <v>0</v>
      </c>
      <c r="G46" s="27">
        <f>_xll.DBRW($C$14,$D$16,$C46,G$22,$D$18,$D$17,G$21)</f>
        <v>0</v>
      </c>
    </row>
    <row r="47" spans="2:7" s="25" customFormat="1" thickBot="1" x14ac:dyDescent="0.4">
      <c r="B47" s="24" t="str">
        <f>IF(_xll.TM1RPTELISCONSOLIDATED($C$23,$C47),IF(_xll.TM1RPTELLEV($C$23,$C47)&lt;=5,_xll.TM1RPTELLEV($C$23,$C47),"Default"),"Leaf")</f>
        <v>Leaf</v>
      </c>
      <c r="C47" s="34" t="s">
        <v>39</v>
      </c>
      <c r="D47" s="27">
        <f>_xll.DBRW($C$14,$D$16,$C47,D$22,$D$18,$D$17,D$21)</f>
        <v>-12501.332464374229</v>
      </c>
      <c r="E47" s="27">
        <f>_xll.DBRW($C$14,$D$16,$C47,E$22,$D$18,$D$17,E$21)</f>
        <v>-11080.0888905423</v>
      </c>
      <c r="F47" s="27">
        <f>_xll.DBRW($C$14,$D$16,$C47,F$22,$D$18,$D$17,F$21)</f>
        <v>0</v>
      </c>
      <c r="G47" s="27">
        <f>_xll.DBRW($C$14,$D$16,$C47,G$22,$D$18,$D$17,G$21)</f>
        <v>-9474.888363127091</v>
      </c>
    </row>
    <row r="48" spans="2:7" s="8" customFormat="1" thickBot="1" x14ac:dyDescent="0.4">
      <c r="B48" s="8">
        <f>IF(_xll.TM1RPTELISCONSOLIDATED($C$23,$C48),IF(_xll.TM1RPTELLEV($C$23,$C48)&lt;=5,_xll.TM1RPTELLEV($C$23,$C48),"Default"),"Leaf")</f>
        <v>2</v>
      </c>
      <c r="C48" s="33" t="s">
        <v>40</v>
      </c>
      <c r="D48" s="10">
        <f>_xll.DBRW($C$14,$D$16,$C48,D$22,$D$18,$D$17,D$21)</f>
        <v>1678777.321314449</v>
      </c>
      <c r="E48" s="10">
        <f>_xll.DBRW($C$14,$D$16,$C48,E$22,$D$18,$D$17,E$21)</f>
        <v>1510589.2424160044</v>
      </c>
      <c r="F48" s="10">
        <f>_xll.DBRW($C$14,$D$16,$C48,F$22,$D$18,$D$17,F$21)</f>
        <v>-109015.74583333332</v>
      </c>
      <c r="G48" s="10">
        <f>_xll.DBRW($C$14,$D$16,$C48,G$22,$D$18,$D$17,G$21)</f>
        <v>-249245.43060319615</v>
      </c>
    </row>
    <row r="49" spans="2:7" s="25" customFormat="1" thickBot="1" x14ac:dyDescent="0.4">
      <c r="B49" s="24" t="str">
        <f>IF(_xll.TM1RPTELISCONSOLIDATED($C$23,$C49),IF(_xll.TM1RPTELLEV($C$23,$C49)&lt;=5,_xll.TM1RPTELLEV($C$23,$C49),"Default"),"Leaf")</f>
        <v>Leaf</v>
      </c>
      <c r="C49" s="34" t="s">
        <v>41</v>
      </c>
      <c r="D49" s="27">
        <f>_xll.DBRW($C$14,$D$16,$C49,D$22,$D$18,$D$17,D$21)</f>
        <v>271343.27870070178</v>
      </c>
      <c r="E49" s="27">
        <f>_xll.DBRW($C$14,$D$16,$C49,E$22,$D$18,$D$17,E$21)</f>
        <v>-27318.982585340709</v>
      </c>
      <c r="F49" s="27">
        <f>_xll.DBRW($C$14,$D$16,$C49,F$22,$D$18,$D$17,F$21)</f>
        <v>-7871</v>
      </c>
      <c r="G49" s="27">
        <f>_xll.DBRW($C$14,$D$16,$C49,G$22,$D$18,$D$17,G$21)</f>
        <v>-9066.9059173899768</v>
      </c>
    </row>
    <row r="50" spans="2:7" s="25" customFormat="1" thickBot="1" x14ac:dyDescent="0.4">
      <c r="B50" s="24" t="str">
        <f>IF(_xll.TM1RPTELISCONSOLIDATED($C$23,$C50),IF(_xll.TM1RPTELLEV($C$23,$C50)&lt;=5,_xll.TM1RPTELLEV($C$23,$C50),"Default"),"Leaf")</f>
        <v>Leaf</v>
      </c>
      <c r="C50" s="34" t="s">
        <v>42</v>
      </c>
      <c r="D50" s="27">
        <f>_xll.DBRW($C$14,$D$16,$C50,D$22,$D$18,$D$17,D$21)</f>
        <v>384493.17008185928</v>
      </c>
      <c r="E50" s="27">
        <f>_xll.DBRW($C$14,$D$16,$C50,E$22,$D$18,$D$17,E$21)</f>
        <v>415612.4919648603</v>
      </c>
      <c r="F50" s="27">
        <f>_xll.DBRW($C$14,$D$16,$C50,F$22,$D$18,$D$17,F$21)</f>
        <v>-7871</v>
      </c>
      <c r="G50" s="27">
        <f>_xll.DBRW($C$14,$D$16,$C50,G$22,$D$18,$D$17,G$21)</f>
        <v>-9066.9059173899768</v>
      </c>
    </row>
    <row r="51" spans="2:7" s="25" customFormat="1" thickBot="1" x14ac:dyDescent="0.4">
      <c r="B51" s="24" t="str">
        <f>IF(_xll.TM1RPTELISCONSOLIDATED($C$23,$C51),IF(_xll.TM1RPTELLEV($C$23,$C51)&lt;=5,_xll.TM1RPTELLEV($C$23,$C51),"Default"),"Leaf")</f>
        <v>Leaf</v>
      </c>
      <c r="C51" s="34" t="s">
        <v>43</v>
      </c>
      <c r="D51" s="27">
        <f>_xll.DBRW($C$14,$D$16,$C51,D$22,$D$18,$D$17,D$21)</f>
        <v>260422.93847191418</v>
      </c>
      <c r="E51" s="27">
        <f>_xll.DBRW($C$14,$D$16,$C51,E$22,$D$18,$D$17,E$21)</f>
        <v>286143.40301886899</v>
      </c>
      <c r="F51" s="27">
        <f>_xll.DBRW($C$14,$D$16,$C51,F$22,$D$18,$D$17,F$21)</f>
        <v>-7871</v>
      </c>
      <c r="G51" s="27">
        <f>_xll.DBRW($C$14,$D$16,$C51,G$22,$D$18,$D$17,G$21)</f>
        <v>-9066.9059173899768</v>
      </c>
    </row>
    <row r="52" spans="2:7" s="25" customFormat="1" thickBot="1" x14ac:dyDescent="0.4">
      <c r="B52" s="24" t="str">
        <f>IF(_xll.TM1RPTELISCONSOLIDATED($C$23,$C52),IF(_xll.TM1RPTELLEV($C$23,$C52)&lt;=5,_xll.TM1RPTELLEV($C$23,$C52),"Default"),"Leaf")</f>
        <v>Leaf</v>
      </c>
      <c r="C52" s="34" t="s">
        <v>44</v>
      </c>
      <c r="D52" s="27">
        <f>_xll.DBRW($C$14,$D$16,$C52,D$22,$D$18,$D$17,D$21)</f>
        <v>346626.41258301859</v>
      </c>
      <c r="E52" s="27">
        <f>_xll.DBRW($C$14,$D$16,$C52,E$22,$D$18,$D$17,E$21)</f>
        <v>391293.46566366567</v>
      </c>
      <c r="F52" s="27">
        <f>_xll.DBRW($C$14,$D$16,$C52,F$22,$D$18,$D$17,F$21)</f>
        <v>-85402.74583333332</v>
      </c>
      <c r="G52" s="27">
        <f>_xll.DBRW($C$14,$D$16,$C52,G$22,$D$18,$D$17,G$21)</f>
        <v>-103550.90627822123</v>
      </c>
    </row>
    <row r="53" spans="2:7" s="25" customFormat="1" thickBot="1" x14ac:dyDescent="0.4">
      <c r="B53" s="24" t="str">
        <f>IF(_xll.TM1RPTELISCONSOLIDATED($C$23,$C53),IF(_xll.TM1RPTELLEV($C$23,$C53)&lt;=5,_xll.TM1RPTELLEV($C$23,$C53),"Default"),"Leaf")</f>
        <v>Leaf</v>
      </c>
      <c r="C53" s="34" t="s">
        <v>45</v>
      </c>
      <c r="D53" s="27">
        <f>_xll.DBRW($C$14,$D$16,$C53,D$22,$D$18,$D$17,D$21)</f>
        <v>395697.27503749222</v>
      </c>
      <c r="E53" s="27">
        <f>_xll.DBRW($C$14,$D$16,$C53,E$22,$D$18,$D$17,E$21)</f>
        <v>430273.54959156725</v>
      </c>
      <c r="F53" s="27">
        <f>_xll.DBRW($C$14,$D$16,$C53,F$22,$D$18,$D$17,F$21)</f>
        <v>0</v>
      </c>
      <c r="G53" s="27">
        <f>_xll.DBRW($C$14,$D$16,$C53,G$22,$D$18,$D$17,G$21)</f>
        <v>-118493.80657280498</v>
      </c>
    </row>
    <row r="54" spans="2:7" s="25" customFormat="1" thickBot="1" x14ac:dyDescent="0.4">
      <c r="B54" s="24" t="str">
        <f>IF(_xll.TM1RPTELISCONSOLIDATED($C$23,$C54),IF(_xll.TM1RPTELLEV($C$23,$C54)&lt;=5,_xll.TM1RPTELLEV($C$23,$C54),"Default"),"Leaf")</f>
        <v>Leaf</v>
      </c>
      <c r="C54" s="34" t="s">
        <v>46</v>
      </c>
      <c r="D54" s="27">
        <f>_xll.DBRW($C$14,$D$16,$C54,D$22,$D$18,$D$17,D$21)</f>
        <v>20194.246439463084</v>
      </c>
      <c r="E54" s="27">
        <f>_xll.DBRW($C$14,$D$16,$C54,E$22,$D$18,$D$17,E$21)</f>
        <v>14585.314762382992</v>
      </c>
      <c r="F54" s="27">
        <f>_xll.DBRW($C$14,$D$16,$C54,F$22,$D$18,$D$17,F$21)</f>
        <v>0</v>
      </c>
      <c r="G54" s="27">
        <f>_xll.DBRW($C$14,$D$16,$C54,G$22,$D$18,$D$17,G$21)</f>
        <v>0</v>
      </c>
    </row>
    <row r="55" spans="2:7" s="5" customFormat="1" thickBot="1" x14ac:dyDescent="0.4">
      <c r="B55" s="5">
        <f>IF(_xll.TM1RPTELISCONSOLIDATED($C$23,$C55),IF(_xll.TM1RPTELLEV($C$23,$C55)&lt;=5,_xll.TM1RPTELLEV($C$23,$C55),"Default"),"Leaf")</f>
        <v>1</v>
      </c>
      <c r="C55" s="32" t="s">
        <v>47</v>
      </c>
      <c r="D55" s="7">
        <f>_xll.DBRW($C$14,$D$16,$C55,D$22,$D$18,$D$17,D$21)</f>
        <v>395817.88053281687</v>
      </c>
      <c r="E55" s="7">
        <f>_xll.DBRW($C$14,$D$16,$C55,E$22,$D$18,$D$17,E$21)</f>
        <v>529542.84619715321</v>
      </c>
      <c r="F55" s="7">
        <f>_xll.DBRW($C$14,$D$16,$C55,F$22,$D$18,$D$17,F$21)</f>
        <v>-67606.676180555543</v>
      </c>
      <c r="G55" s="7">
        <f>_xll.DBRW($C$14,$D$16,$C55,G$22,$D$18,$D$17,G$21)</f>
        <v>-347108.72630571865</v>
      </c>
    </row>
    <row r="56" spans="2:7" s="8" customFormat="1" thickBot="1" x14ac:dyDescent="0.4">
      <c r="B56" s="8">
        <f>IF(_xll.TM1RPTELISCONSOLIDATED($C$23,$C56),IF(_xll.TM1RPTELLEV($C$23,$C56)&lt;=5,_xll.TM1RPTELLEV($C$23,$C56),"Default"),"Leaf")</f>
        <v>2</v>
      </c>
      <c r="C56" s="33" t="s">
        <v>4</v>
      </c>
      <c r="D56" s="10">
        <f>_xll.DBRW($C$14,$D$16,$C56,D$22,$D$18,$D$17,D$21)</f>
        <v>127606.23869420032</v>
      </c>
      <c r="E56" s="10">
        <f>_xll.DBRW($C$14,$D$16,$C56,E$22,$D$18,$D$17,E$21)</f>
        <v>272049.88717265218</v>
      </c>
      <c r="F56" s="10">
        <f>_xll.DBRW($C$14,$D$16,$C56,F$22,$D$18,$D$17,F$21)</f>
        <v>-7871</v>
      </c>
      <c r="G56" s="10">
        <f>_xll.DBRW($C$14,$D$16,$C56,G$22,$D$18,$D$17,G$21)</f>
        <v>-154668.23912466652</v>
      </c>
    </row>
    <row r="57" spans="2:7" s="25" customFormat="1" thickBot="1" x14ac:dyDescent="0.4">
      <c r="B57" s="24" t="str">
        <f>IF(_xll.TM1RPTELISCONSOLIDATED($C$23,$C57),IF(_xll.TM1RPTELLEV($C$23,$C57)&lt;=5,_xll.TM1RPTELLEV($C$23,$C57),"Default"),"Leaf")</f>
        <v>Leaf</v>
      </c>
      <c r="C57" s="34" t="s">
        <v>48</v>
      </c>
      <c r="D57" s="27">
        <f>_xll.DBRW($C$14,$D$16,$C57,D$22,$D$18,$D$17,D$21)</f>
        <v>3461.6826352231701</v>
      </c>
      <c r="E57" s="27">
        <f>_xll.DBRW($C$14,$D$16,$C57,E$22,$D$18,$D$17,E$21)</f>
        <v>5039.1873723553308</v>
      </c>
      <c r="F57" s="27">
        <f>_xll.DBRW($C$14,$D$16,$C57,F$22,$D$18,$D$17,F$21)</f>
        <v>0</v>
      </c>
      <c r="G57" s="27">
        <f>_xll.DBRW($C$14,$D$16,$C57,G$22,$D$18,$D$17,G$21)</f>
        <v>0</v>
      </c>
    </row>
    <row r="58" spans="2:7" s="25" customFormat="1" thickBot="1" x14ac:dyDescent="0.4">
      <c r="B58" s="24" t="str">
        <f>IF(_xll.TM1RPTELISCONSOLIDATED($C$23,$C58),IF(_xll.TM1RPTELLEV($C$23,$C58)&lt;=5,_xll.TM1RPTELLEV($C$23,$C58),"Default"),"Leaf")</f>
        <v>Leaf</v>
      </c>
      <c r="C58" s="34" t="s">
        <v>49</v>
      </c>
      <c r="D58" s="27">
        <f>_xll.DBRW($C$14,$D$16,$C58,D$22,$D$18,$D$17,D$21)</f>
        <v>-7530.9908819253906</v>
      </c>
      <c r="E58" s="27">
        <f>_xll.DBRW($C$14,$D$16,$C58,E$22,$D$18,$D$17,E$21)</f>
        <v>-7396.0463688767159</v>
      </c>
      <c r="F58" s="27">
        <f>_xll.DBRW($C$14,$D$16,$C58,F$22,$D$18,$D$17,F$21)</f>
        <v>0</v>
      </c>
      <c r="G58" s="27">
        <f>_xll.DBRW($C$14,$D$16,$C58,G$22,$D$18,$D$17,G$21)</f>
        <v>-105673.79714622696</v>
      </c>
    </row>
    <row r="59" spans="2:7" s="25" customFormat="1" thickBot="1" x14ac:dyDescent="0.4">
      <c r="B59" s="24" t="str">
        <f>IF(_xll.TM1RPTELISCONSOLIDATED($C$23,$C59),IF(_xll.TM1RPTELLEV($C$23,$C59)&lt;=5,_xll.TM1RPTELLEV($C$23,$C59),"Default"),"Leaf")</f>
        <v>Leaf</v>
      </c>
      <c r="C59" s="34" t="s">
        <v>50</v>
      </c>
      <c r="D59" s="27">
        <f>_xll.DBRW($C$14,$D$16,$C59,D$22,$D$18,$D$17,D$21)</f>
        <v>-9476.2748638962657</v>
      </c>
      <c r="E59" s="27">
        <f>_xll.DBRW($C$14,$D$16,$C59,E$22,$D$18,$D$17,E$21)</f>
        <v>-6988.3320639731792</v>
      </c>
      <c r="F59" s="27">
        <f>_xll.DBRW($C$14,$D$16,$C59,F$22,$D$18,$D$17,F$21)</f>
        <v>0</v>
      </c>
      <c r="G59" s="27">
        <f>_xll.DBRW($C$14,$D$16,$C59,G$22,$D$18,$D$17,G$21)</f>
        <v>0</v>
      </c>
    </row>
    <row r="60" spans="2:7" s="25" customFormat="1" thickBot="1" x14ac:dyDescent="0.4">
      <c r="B60" s="24" t="str">
        <f>IF(_xll.TM1RPTELISCONSOLIDATED($C$23,$C60),IF(_xll.TM1RPTELLEV($C$23,$C60)&lt;=5,_xll.TM1RPTELLEV($C$23,$C60),"Default"),"Leaf")</f>
        <v>Leaf</v>
      </c>
      <c r="C60" s="34" t="s">
        <v>51</v>
      </c>
      <c r="D60" s="27">
        <f>_xll.DBRW($C$14,$D$16,$C60,D$22,$D$18,$D$17,D$21)</f>
        <v>-25214.852874320015</v>
      </c>
      <c r="E60" s="27">
        <f>_xll.DBRW($C$14,$D$16,$C60,E$22,$D$18,$D$17,E$21)</f>
        <v>-3697.3675041924771</v>
      </c>
      <c r="F60" s="27">
        <f>_xll.DBRW($C$14,$D$16,$C60,F$22,$D$18,$D$17,F$21)</f>
        <v>0</v>
      </c>
      <c r="G60" s="27">
        <f>_xll.DBRW($C$14,$D$16,$C60,G$22,$D$18,$D$17,G$21)</f>
        <v>-16109.461978439564</v>
      </c>
    </row>
    <row r="61" spans="2:7" s="25" customFormat="1" thickBot="1" x14ac:dyDescent="0.4">
      <c r="B61" s="24" t="str">
        <f>IF(_xll.TM1RPTELISCONSOLIDATED($C$23,$C61),IF(_xll.TM1RPTELLEV($C$23,$C61)&lt;=5,_xll.TM1RPTELLEV($C$23,$C61),"Default"),"Leaf")</f>
        <v>Leaf</v>
      </c>
      <c r="C61" s="34" t="s">
        <v>52</v>
      </c>
      <c r="D61" s="27">
        <f>_xll.DBRW($C$14,$D$16,$C61,D$22,$D$18,$D$17,D$21)</f>
        <v>-21843.052236693216</v>
      </c>
      <c r="E61" s="27">
        <f>_xll.DBRW($C$14,$D$16,$C61,E$22,$D$18,$D$17,E$21)</f>
        <v>-4402.7182529321708</v>
      </c>
      <c r="F61" s="27">
        <f>_xll.DBRW($C$14,$D$16,$C61,F$22,$D$18,$D$17,F$21)</f>
        <v>0</v>
      </c>
      <c r="G61" s="27">
        <f>_xll.DBRW($C$14,$D$16,$C61,G$22,$D$18,$D$17,G$21)</f>
        <v>0</v>
      </c>
    </row>
    <row r="62" spans="2:7" s="25" customFormat="1" thickBot="1" x14ac:dyDescent="0.4">
      <c r="B62" s="24" t="str">
        <f>IF(_xll.TM1RPTELISCONSOLIDATED($C$23,$C62),IF(_xll.TM1RPTELLEV($C$23,$C62)&lt;=5,_xll.TM1RPTELLEV($C$23,$C62),"Default"),"Leaf")</f>
        <v>Leaf</v>
      </c>
      <c r="C62" s="34" t="s">
        <v>53</v>
      </c>
      <c r="D62" s="27">
        <f>_xll.DBRW($C$14,$D$16,$C62,D$22,$D$18,$D$17,D$21)</f>
        <v>41109.309945098728</v>
      </c>
      <c r="E62" s="27">
        <f>_xll.DBRW($C$14,$D$16,$C62,E$22,$D$18,$D$17,E$21)</f>
        <v>53867.728111954631</v>
      </c>
      <c r="F62" s="27">
        <f>_xll.DBRW($C$14,$D$16,$C62,F$22,$D$18,$D$17,F$21)</f>
        <v>0</v>
      </c>
      <c r="G62" s="27">
        <f>_xll.DBRW($C$14,$D$16,$C62,G$22,$D$18,$D$17,G$21)</f>
        <v>-23499.999999999996</v>
      </c>
    </row>
    <row r="63" spans="2:7" s="25" customFormat="1" thickBot="1" x14ac:dyDescent="0.4">
      <c r="B63" s="24" t="str">
        <f>IF(_xll.TM1RPTELISCONSOLIDATED($C$23,$C63),IF(_xll.TM1RPTELLEV($C$23,$C63)&lt;=5,_xll.TM1RPTELLEV($C$23,$C63),"Default"),"Leaf")</f>
        <v>Leaf</v>
      </c>
      <c r="C63" s="34" t="s">
        <v>54</v>
      </c>
      <c r="D63" s="27">
        <f>_xll.DBRW($C$14,$D$16,$C63,D$22,$D$18,$D$17,D$21)</f>
        <v>3711.9768407179522</v>
      </c>
      <c r="E63" s="27">
        <f>_xll.DBRW($C$14,$D$16,$C63,E$22,$D$18,$D$17,E$21)</f>
        <v>5039.5896221712756</v>
      </c>
      <c r="F63" s="27">
        <f>_xll.DBRW($C$14,$D$16,$C63,F$22,$D$18,$D$17,F$21)</f>
        <v>-7871</v>
      </c>
      <c r="G63" s="27">
        <f>_xll.DBRW($C$14,$D$16,$C63,G$22,$D$18,$D$17,G$21)</f>
        <v>-9384.98</v>
      </c>
    </row>
    <row r="64" spans="2:7" s="25" customFormat="1" thickBot="1" x14ac:dyDescent="0.4">
      <c r="B64" s="24" t="str">
        <f>IF(_xll.TM1RPTELISCONSOLIDATED($C$23,$C64),IF(_xll.TM1RPTELLEV($C$23,$C64)&lt;=5,_xll.TM1RPTELLEV($C$23,$C64),"Default"),"Leaf")</f>
        <v>Leaf</v>
      </c>
      <c r="C64" s="34" t="s">
        <v>55</v>
      </c>
      <c r="D64" s="27">
        <f>_xll.DBRW($C$14,$D$16,$C64,D$22,$D$18,$D$17,D$21)</f>
        <v>-40679.161450370717</v>
      </c>
      <c r="E64" s="27">
        <f>_xll.DBRW($C$14,$D$16,$C64,E$22,$D$18,$D$17,E$21)</f>
        <v>1424.0314502056538</v>
      </c>
      <c r="F64" s="27">
        <f>_xll.DBRW($C$14,$D$16,$C64,F$22,$D$18,$D$17,F$21)</f>
        <v>0</v>
      </c>
      <c r="G64" s="27">
        <f>_xll.DBRW($C$14,$D$16,$C64,G$22,$D$18,$D$17,G$21)</f>
        <v>0</v>
      </c>
    </row>
    <row r="65" spans="2:7" s="25" customFormat="1" thickBot="1" x14ac:dyDescent="0.4">
      <c r="B65" s="24" t="str">
        <f>IF(_xll.TM1RPTELISCONSOLIDATED($C$23,$C65),IF(_xll.TM1RPTELLEV($C$23,$C65)&lt;=5,_xll.TM1RPTELLEV($C$23,$C65),"Default"),"Leaf")</f>
        <v>Leaf</v>
      </c>
      <c r="C65" s="34" t="s">
        <v>56</v>
      </c>
      <c r="D65" s="27">
        <f>_xll.DBRW($C$14,$D$16,$C65,D$22,$D$18,$D$17,D$21)</f>
        <v>-36238.9860251926</v>
      </c>
      <c r="E65" s="27">
        <f>_xll.DBRW($C$14,$D$16,$C65,E$22,$D$18,$D$17,E$21)</f>
        <v>4273.562030130779</v>
      </c>
      <c r="F65" s="27">
        <f>_xll.DBRW($C$14,$D$16,$C65,F$22,$D$18,$D$17,F$21)</f>
        <v>0</v>
      </c>
      <c r="G65" s="27">
        <f>_xll.DBRW($C$14,$D$16,$C65,G$22,$D$18,$D$17,G$21)</f>
        <v>0</v>
      </c>
    </row>
    <row r="66" spans="2:7" s="25" customFormat="1" thickBot="1" x14ac:dyDescent="0.4">
      <c r="B66" s="24" t="str">
        <f>IF(_xll.TM1RPTELISCONSOLIDATED($C$23,$C66),IF(_xll.TM1RPTELLEV($C$23,$C66)&lt;=5,_xll.TM1RPTELLEV($C$23,$C66),"Default"),"Leaf")</f>
        <v>Leaf</v>
      </c>
      <c r="C66" s="34" t="s">
        <v>57</v>
      </c>
      <c r="D66" s="27">
        <f>_xll.DBRW($C$14,$D$16,$C66,D$22,$D$18,$D$17,D$21)</f>
        <v>-3552.8949471259502</v>
      </c>
      <c r="E66" s="27">
        <f>_xll.DBRW($C$14,$D$16,$C66,E$22,$D$18,$D$17,E$21)</f>
        <v>155.39897464791966</v>
      </c>
      <c r="F66" s="27">
        <f>_xll.DBRW($C$14,$D$16,$C66,F$22,$D$18,$D$17,F$21)</f>
        <v>0</v>
      </c>
      <c r="G66" s="27">
        <f>_xll.DBRW($C$14,$D$16,$C66,G$22,$D$18,$D$17,G$21)</f>
        <v>0</v>
      </c>
    </row>
    <row r="67" spans="2:7" s="25" customFormat="1" thickBot="1" x14ac:dyDescent="0.4">
      <c r="B67" s="24" t="str">
        <f>IF(_xll.TM1RPTELISCONSOLIDATED($C$23,$C67),IF(_xll.TM1RPTELLEV($C$23,$C67)&lt;=5,_xll.TM1RPTELLEV($C$23,$C67),"Default"),"Leaf")</f>
        <v>Leaf</v>
      </c>
      <c r="C67" s="34" t="s">
        <v>58</v>
      </c>
      <c r="D67" s="27">
        <f>_xll.DBRW($C$14,$D$16,$C67,D$22,$D$18,$D$17,D$21)</f>
        <v>2349.73634220754</v>
      </c>
      <c r="E67" s="27">
        <f>_xll.DBRW($C$14,$D$16,$C67,E$22,$D$18,$D$17,E$21)</f>
        <v>177.63589292688266</v>
      </c>
      <c r="F67" s="27">
        <f>_xll.DBRW($C$14,$D$16,$C67,F$22,$D$18,$D$17,F$21)</f>
        <v>0</v>
      </c>
      <c r="G67" s="27">
        <f>_xll.DBRW($C$14,$D$16,$C67,G$22,$D$18,$D$17,G$21)</f>
        <v>0</v>
      </c>
    </row>
    <row r="68" spans="2:7" s="25" customFormat="1" thickBot="1" x14ac:dyDescent="0.4">
      <c r="B68" s="24" t="str">
        <f>IF(_xll.TM1RPTELISCONSOLIDATED($C$23,$C68),IF(_xll.TM1RPTELLEV($C$23,$C68)&lt;=5,_xll.TM1RPTELLEV($C$23,$C68),"Default"),"Leaf")</f>
        <v>Leaf</v>
      </c>
      <c r="C68" s="34" t="s">
        <v>59</v>
      </c>
      <c r="D68" s="27">
        <f>_xll.DBRW($C$14,$D$16,$C68,D$22,$D$18,$D$17,D$21)</f>
        <v>103204.10238313106</v>
      </c>
      <c r="E68" s="27">
        <f>_xll.DBRW($C$14,$D$16,$C68,E$22,$D$18,$D$17,E$21)</f>
        <v>93682.501286451967</v>
      </c>
      <c r="F68" s="27">
        <f>_xll.DBRW($C$14,$D$16,$C68,F$22,$D$18,$D$17,F$21)</f>
        <v>0</v>
      </c>
      <c r="G68" s="27">
        <f>_xll.DBRW($C$14,$D$16,$C68,G$22,$D$18,$D$17,G$21)</f>
        <v>0</v>
      </c>
    </row>
    <row r="69" spans="2:7" s="25" customFormat="1" thickBot="1" x14ac:dyDescent="0.4">
      <c r="B69" s="24" t="str">
        <f>IF(_xll.TM1RPTELISCONSOLIDATED($C$23,$C69),IF(_xll.TM1RPTELLEV($C$23,$C69)&lt;=5,_xll.TM1RPTELLEV($C$23,$C69),"Default"),"Leaf")</f>
        <v>Leaf</v>
      </c>
      <c r="C69" s="34" t="s">
        <v>60</v>
      </c>
      <c r="D69" s="27">
        <f>_xll.DBRW($C$14,$D$16,$C69,D$22,$D$18,$D$17,D$21)</f>
        <v>30150.782690474909</v>
      </c>
      <c r="E69" s="27">
        <f>_xll.DBRW($C$14,$D$16,$C69,E$22,$D$18,$D$17,E$21)</f>
        <v>46840.956254361503</v>
      </c>
      <c r="F69" s="27">
        <f>_xll.DBRW($C$14,$D$16,$C69,F$22,$D$18,$D$17,F$21)</f>
        <v>0</v>
      </c>
      <c r="G69" s="27">
        <f>_xll.DBRW($C$14,$D$16,$C69,G$22,$D$18,$D$17,G$21)</f>
        <v>0</v>
      </c>
    </row>
    <row r="70" spans="2:7" s="25" customFormat="1" thickBot="1" x14ac:dyDescent="0.4">
      <c r="B70" s="24" t="str">
        <f>IF(_xll.TM1RPTELISCONSOLIDATED($C$23,$C70),IF(_xll.TM1RPTELLEV($C$23,$C70)&lt;=5,_xll.TM1RPTELLEV($C$23,$C70),"Default"),"Leaf")</f>
        <v>Leaf</v>
      </c>
      <c r="C70" s="34" t="s">
        <v>61</v>
      </c>
      <c r="D70" s="27">
        <f>_xll.DBRW($C$14,$D$16,$C70,D$22,$D$18,$D$17,D$21)</f>
        <v>88154.861136871114</v>
      </c>
      <c r="E70" s="27">
        <f>_xll.DBRW($C$14,$D$16,$C70,E$22,$D$18,$D$17,E$21)</f>
        <v>84033.760367420764</v>
      </c>
      <c r="F70" s="27">
        <f>_xll.DBRW($C$14,$D$16,$C70,F$22,$D$18,$D$17,F$21)</f>
        <v>0</v>
      </c>
      <c r="G70" s="27">
        <f>_xll.DBRW($C$14,$D$16,$C70,G$22,$D$18,$D$17,G$21)</f>
        <v>0</v>
      </c>
    </row>
    <row r="71" spans="2:7" s="8" customFormat="1" thickBot="1" x14ac:dyDescent="0.4">
      <c r="B71" s="8">
        <f>IF(_xll.TM1RPTELISCONSOLIDATED($C$23,$C71),IF(_xll.TM1RPTELLEV($C$23,$C71)&lt;=5,_xll.TM1RPTELLEV($C$23,$C71),"Default"),"Leaf")</f>
        <v>2</v>
      </c>
      <c r="C71" s="33" t="s">
        <v>5</v>
      </c>
      <c r="D71" s="10">
        <f>_xll.DBRW($C$14,$D$16,$C71,D$22,$D$18,$D$17,D$21)</f>
        <v>-23240.414866101553</v>
      </c>
      <c r="E71" s="10">
        <f>_xll.DBRW($C$14,$D$16,$C71,E$22,$D$18,$D$17,E$21)</f>
        <v>-1584.6311036410116</v>
      </c>
      <c r="F71" s="10">
        <f>_xll.DBRW($C$14,$D$16,$C71,F$22,$D$18,$D$17,F$21)</f>
        <v>-43993.676180555536</v>
      </c>
      <c r="G71" s="10">
        <f>_xll.DBRW($C$14,$D$16,$C71,G$22,$D$18,$D$17,G$21)</f>
        <v>-67455.44997915042</v>
      </c>
    </row>
    <row r="72" spans="2:7" s="25" customFormat="1" thickBot="1" x14ac:dyDescent="0.4">
      <c r="B72" s="24" t="str">
        <f>IF(_xll.TM1RPTELISCONSOLIDATED($C$23,$C72),IF(_xll.TM1RPTELLEV($C$23,$C72)&lt;=5,_xll.TM1RPTELLEV($C$23,$C72),"Default"),"Leaf")</f>
        <v>Leaf</v>
      </c>
      <c r="C72" s="34" t="s">
        <v>62</v>
      </c>
      <c r="D72" s="27">
        <f>_xll.DBRW($C$14,$D$16,$C72,D$22,$D$18,$D$17,D$21)</f>
        <v>-36238.9860251926</v>
      </c>
      <c r="E72" s="27">
        <f>_xll.DBRW($C$14,$D$16,$C72,E$22,$D$18,$D$17,E$21)</f>
        <v>4273.562030130779</v>
      </c>
      <c r="F72" s="27">
        <f>_xll.DBRW($C$14,$D$16,$C72,F$22,$D$18,$D$17,F$21)</f>
        <v>0</v>
      </c>
      <c r="G72" s="27">
        <f>_xll.DBRW($C$14,$D$16,$C72,G$22,$D$18,$D$17,G$21)</f>
        <v>0</v>
      </c>
    </row>
    <row r="73" spans="2:7" s="25" customFormat="1" thickBot="1" x14ac:dyDescent="0.4">
      <c r="B73" s="24" t="str">
        <f>IF(_xll.TM1RPTELISCONSOLIDATED($C$23,$C73),IF(_xll.TM1RPTELLEV($C$23,$C73)&lt;=5,_xll.TM1RPTELLEV($C$23,$C73),"Default"),"Leaf")</f>
        <v>Leaf</v>
      </c>
      <c r="C73" s="34" t="s">
        <v>63</v>
      </c>
      <c r="D73" s="27">
        <f>_xll.DBRW($C$14,$D$16,$C73,D$22,$D$18,$D$17,D$21)</f>
        <v>-10747.584286515032</v>
      </c>
      <c r="E73" s="27">
        <f>_xll.DBRW($C$14,$D$16,$C73,E$22,$D$18,$D$17,E$21)</f>
        <v>-6723.2052641343571</v>
      </c>
      <c r="F73" s="27">
        <f>_xll.DBRW($C$14,$D$16,$C73,F$22,$D$18,$D$17,F$21)</f>
        <v>0</v>
      </c>
      <c r="G73" s="27">
        <f>_xll.DBRW($C$14,$D$16,$C73,G$22,$D$18,$D$17,G$21)</f>
        <v>-9384.98</v>
      </c>
    </row>
    <row r="74" spans="2:7" s="25" customFormat="1" thickBot="1" x14ac:dyDescent="0.4">
      <c r="B74" s="24" t="str">
        <f>IF(_xll.TM1RPTELISCONSOLIDATED($C$23,$C74),IF(_xll.TM1RPTELLEV($C$23,$C74)&lt;=5,_xll.TM1RPTELLEV($C$23,$C74),"Default"),"Leaf")</f>
        <v>Leaf</v>
      </c>
      <c r="C74" s="34" t="s">
        <v>64</v>
      </c>
      <c r="D74" s="27">
        <f>_xll.DBRW($C$14,$D$16,$C74,D$22,$D$18,$D$17,D$21)</f>
        <v>3905.2668676119079</v>
      </c>
      <c r="E74" s="27">
        <f>_xll.DBRW($C$14,$D$16,$C74,E$22,$D$18,$D$17,E$21)</f>
        <v>-6103.1756570398247</v>
      </c>
      <c r="F74" s="27">
        <f>_xll.DBRW($C$14,$D$16,$C74,F$22,$D$18,$D$17,F$21)</f>
        <v>0</v>
      </c>
      <c r="G74" s="27">
        <f>_xll.DBRW($C$14,$D$16,$C74,G$22,$D$18,$D$17,G$21)</f>
        <v>-9284.9800000000014</v>
      </c>
    </row>
    <row r="75" spans="2:7" s="25" customFormat="1" thickBot="1" x14ac:dyDescent="0.4">
      <c r="B75" s="24" t="str">
        <f>IF(_xll.TM1RPTELISCONSOLIDATED($C$23,$C75),IF(_xll.TM1RPTELLEV($C$23,$C75)&lt;=5,_xll.TM1RPTELLEV($C$23,$C75),"Default"),"Leaf")</f>
        <v>Leaf</v>
      </c>
      <c r="C75" s="34" t="s">
        <v>65</v>
      </c>
      <c r="D75" s="27">
        <f>_xll.DBRW($C$14,$D$16,$C75,D$22,$D$18,$D$17,D$21)</f>
        <v>14670.484569877281</v>
      </c>
      <c r="E75" s="27">
        <f>_xll.DBRW($C$14,$D$16,$C75,E$22,$D$18,$D$17,E$21)</f>
        <v>-7506.9096064092419</v>
      </c>
      <c r="F75" s="27">
        <f>_xll.DBRW($C$14,$D$16,$C75,F$22,$D$18,$D$17,F$21)</f>
        <v>0</v>
      </c>
      <c r="G75" s="27">
        <f>_xll.DBRW($C$14,$D$16,$C75,G$22,$D$18,$D$17,G$21)</f>
        <v>0</v>
      </c>
    </row>
    <row r="76" spans="2:7" s="25" customFormat="1" thickBot="1" x14ac:dyDescent="0.4">
      <c r="B76" s="24" t="str">
        <f>IF(_xll.TM1RPTELISCONSOLIDATED($C$23,$C76),IF(_xll.TM1RPTELLEV($C$23,$C76)&lt;=5,_xll.TM1RPTELLEV($C$23,$C76),"Default"),"Leaf")</f>
        <v>Leaf</v>
      </c>
      <c r="C76" s="34" t="s">
        <v>66</v>
      </c>
      <c r="D76" s="27">
        <f>_xll.DBRW($C$14,$D$16,$C76,D$22,$D$18,$D$17,D$21)</f>
        <v>3712.2632471878578</v>
      </c>
      <c r="E76" s="27">
        <f>_xll.DBRW($C$14,$D$16,$C76,E$22,$D$18,$D$17,E$21)</f>
        <v>5039.8818736712728</v>
      </c>
      <c r="F76" s="27">
        <f>_xll.DBRW($C$14,$D$16,$C76,F$22,$D$18,$D$17,F$21)</f>
        <v>-43993.676180555536</v>
      </c>
      <c r="G76" s="27">
        <f>_xll.DBRW($C$14,$D$16,$C76,G$22,$D$18,$D$17,G$21)</f>
        <v>-40406.037379150424</v>
      </c>
    </row>
    <row r="77" spans="2:7" s="25" customFormat="1" thickBot="1" x14ac:dyDescent="0.4">
      <c r="B77" s="24" t="str">
        <f>IF(_xll.TM1RPTELISCONSOLIDATED($C$23,$C77),IF(_xll.TM1RPTELLEV($C$23,$C77)&lt;=5,_xll.TM1RPTELLEV($C$23,$C77),"Default"),"Leaf")</f>
        <v>Leaf</v>
      </c>
      <c r="C77" s="34" t="s">
        <v>67</v>
      </c>
      <c r="D77" s="27">
        <f>_xll.DBRW($C$14,$D$16,$C77,D$22,$D$18,$D$17,D$21)</f>
        <v>-3278.9907070502163</v>
      </c>
      <c r="E77" s="27">
        <f>_xll.DBRW($C$14,$D$16,$C77,E$22,$D$18,$D$17,E$21)</f>
        <v>4284.5470751088051</v>
      </c>
      <c r="F77" s="27">
        <f>_xll.DBRW($C$14,$D$16,$C77,F$22,$D$18,$D$17,F$21)</f>
        <v>0</v>
      </c>
      <c r="G77" s="27">
        <f>_xll.DBRW($C$14,$D$16,$C77,G$22,$D$18,$D$17,G$21)</f>
        <v>0</v>
      </c>
    </row>
    <row r="78" spans="2:7" s="25" customFormat="1" thickBot="1" x14ac:dyDescent="0.4">
      <c r="B78" s="24" t="str">
        <f>IF(_xll.TM1RPTELISCONSOLIDATED($C$23,$C78),IF(_xll.TM1RPTELLEV($C$23,$C78)&lt;=5,_xll.TM1RPTELLEV($C$23,$C78),"Default"),"Leaf")</f>
        <v>Leaf</v>
      </c>
      <c r="C78" s="34" t="s">
        <v>68</v>
      </c>
      <c r="D78" s="27">
        <f>_xll.DBRW($C$14,$D$16,$C78,D$22,$D$18,$D$17,D$21)</f>
        <v>4737.1314679792531</v>
      </c>
      <c r="E78" s="27">
        <f>_xll.DBRW($C$14,$D$16,$C78,E$22,$D$18,$D$17,E$21)</f>
        <v>5150.6684450315552</v>
      </c>
      <c r="F78" s="27">
        <f>_xll.DBRW($C$14,$D$16,$C78,F$22,$D$18,$D$17,F$21)</f>
        <v>0</v>
      </c>
      <c r="G78" s="27">
        <f>_xll.DBRW($C$14,$D$16,$C78,G$22,$D$18,$D$17,G$21)</f>
        <v>-8379.4526000000005</v>
      </c>
    </row>
    <row r="79" spans="2:7" s="8" customFormat="1" thickBot="1" x14ac:dyDescent="0.4">
      <c r="B79" s="8">
        <f>IF(_xll.TM1RPTELISCONSOLIDATED($C$23,$C79),IF(_xll.TM1RPTELLEV($C$23,$C79)&lt;=5,_xll.TM1RPTELLEV($C$23,$C79),"Default"),"Leaf")</f>
        <v>2</v>
      </c>
      <c r="C79" s="33" t="s">
        <v>6</v>
      </c>
      <c r="D79" s="10">
        <f>_xll.DBRW($C$14,$D$16,$C79,D$22,$D$18,$D$17,D$21)</f>
        <v>291452.0567047181</v>
      </c>
      <c r="E79" s="10">
        <f>_xll.DBRW($C$14,$D$16,$C79,E$22,$D$18,$D$17,E$21)</f>
        <v>259077.59012814204</v>
      </c>
      <c r="F79" s="10">
        <f>_xll.DBRW($C$14,$D$16,$C79,F$22,$D$18,$D$17,F$21)</f>
        <v>-15742</v>
      </c>
      <c r="G79" s="10">
        <f>_xll.DBRW($C$14,$D$16,$C79,G$22,$D$18,$D$17,G$21)</f>
        <v>-124985.03720190169</v>
      </c>
    </row>
    <row r="80" spans="2:7" s="25" customFormat="1" thickBot="1" x14ac:dyDescent="0.4">
      <c r="B80" s="24" t="str">
        <f>IF(_xll.TM1RPTELISCONSOLIDATED($C$23,$C80),IF(_xll.TM1RPTELLEV($C$23,$C80)&lt;=5,_xll.TM1RPTELLEV($C$23,$C80),"Default"),"Leaf")</f>
        <v>Leaf</v>
      </c>
      <c r="C80" s="34" t="s">
        <v>69</v>
      </c>
      <c r="D80" s="27">
        <f>_xll.DBRW($C$14,$D$16,$C80,D$22,$D$18,$D$17,D$21)</f>
        <v>3712.2632471878578</v>
      </c>
      <c r="E80" s="27">
        <f>_xll.DBRW($C$14,$D$16,$C80,E$22,$D$18,$D$17,E$21)</f>
        <v>5039.8818736712728</v>
      </c>
      <c r="F80" s="27">
        <f>_xll.DBRW($C$14,$D$16,$C80,F$22,$D$18,$D$17,F$21)</f>
        <v>0</v>
      </c>
      <c r="G80" s="27">
        <f>_xll.DBRW($C$14,$D$16,$C80,G$22,$D$18,$D$17,G$21)</f>
        <v>-97450.057201901698</v>
      </c>
    </row>
    <row r="81" spans="2:7" s="25" customFormat="1" thickBot="1" x14ac:dyDescent="0.4">
      <c r="B81" s="24" t="str">
        <f>IF(_xll.TM1RPTELISCONSOLIDATED($C$23,$C81),IF(_xll.TM1RPTELLEV($C$23,$C81)&lt;=5,_xll.TM1RPTELLEV($C$23,$C81),"Default"),"Leaf")</f>
        <v>Leaf</v>
      </c>
      <c r="C81" s="34" t="s">
        <v>70</v>
      </c>
      <c r="D81" s="27">
        <f>_xll.DBRW($C$14,$D$16,$C81,D$22,$D$18,$D$17,D$21)</f>
        <v>-3278.9907070502163</v>
      </c>
      <c r="E81" s="27">
        <f>_xll.DBRW($C$14,$D$16,$C81,E$22,$D$18,$D$17,E$21)</f>
        <v>4284.5470751088051</v>
      </c>
      <c r="F81" s="27">
        <f>_xll.DBRW($C$14,$D$16,$C81,F$22,$D$18,$D$17,F$21)</f>
        <v>0</v>
      </c>
      <c r="G81" s="27">
        <f>_xll.DBRW($C$14,$D$16,$C81,G$22,$D$18,$D$17,G$21)</f>
        <v>0</v>
      </c>
    </row>
    <row r="82" spans="2:7" s="25" customFormat="1" thickBot="1" x14ac:dyDescent="0.4">
      <c r="B82" s="24" t="str">
        <f>IF(_xll.TM1RPTELISCONSOLIDATED($C$23,$C82),IF(_xll.TM1RPTELLEV($C$23,$C82)&lt;=5,_xll.TM1RPTELLEV($C$23,$C82),"Default"),"Leaf")</f>
        <v>Leaf</v>
      </c>
      <c r="C82" s="34" t="s">
        <v>71</v>
      </c>
      <c r="D82" s="27">
        <f>_xll.DBRW($C$14,$D$16,$C82,D$22,$D$18,$D$17,D$21)</f>
        <v>1871.3139339254235</v>
      </c>
      <c r="E82" s="27">
        <f>_xll.DBRW($C$14,$D$16,$C82,E$22,$D$18,$D$17,E$21)</f>
        <v>4842.0129223152508</v>
      </c>
      <c r="F82" s="27">
        <f>_xll.DBRW($C$14,$D$16,$C82,F$22,$D$18,$D$17,F$21)</f>
        <v>0</v>
      </c>
      <c r="G82" s="27">
        <f>_xll.DBRW($C$14,$D$16,$C82,G$22,$D$18,$D$17,G$21)</f>
        <v>-9284.98</v>
      </c>
    </row>
    <row r="83" spans="2:7" s="25" customFormat="1" thickBot="1" x14ac:dyDescent="0.4">
      <c r="B83" s="24" t="str">
        <f>IF(_xll.TM1RPTELISCONSOLIDATED($C$23,$C83),IF(_xll.TM1RPTELLEV($C$23,$C83)&lt;=5,_xll.TM1RPTELLEV($C$23,$C83),"Default"),"Leaf")</f>
        <v>Leaf</v>
      </c>
      <c r="C83" s="34" t="s">
        <v>72</v>
      </c>
      <c r="D83" s="27">
        <f>_xll.DBRW($C$14,$D$16,$C83,D$22,$D$18,$D$17,D$21)</f>
        <v>96960.610865100709</v>
      </c>
      <c r="E83" s="27">
        <f>_xll.DBRW($C$14,$D$16,$C83,E$22,$D$18,$D$17,E$21)</f>
        <v>83314.578192547138</v>
      </c>
      <c r="F83" s="27">
        <f>_xll.DBRW($C$14,$D$16,$C83,F$22,$D$18,$D$17,F$21)</f>
        <v>-7871</v>
      </c>
      <c r="G83" s="27">
        <f>_xll.DBRW($C$14,$D$16,$C83,G$22,$D$18,$D$17,G$21)</f>
        <v>-9179</v>
      </c>
    </row>
    <row r="84" spans="2:7" s="25" customFormat="1" thickBot="1" x14ac:dyDescent="0.4">
      <c r="B84" s="24" t="str">
        <f>IF(_xll.TM1RPTELISCONSOLIDATED($C$23,$C84),IF(_xll.TM1RPTELLEV($C$23,$C84)&lt;=5,_xll.TM1RPTELLEV($C$23,$C84),"Default"),"Leaf")</f>
        <v>Leaf</v>
      </c>
      <c r="C84" s="34" t="s">
        <v>73</v>
      </c>
      <c r="D84" s="27">
        <f>_xll.DBRW($C$14,$D$16,$C84,D$22,$D$18,$D$17,D$21)</f>
        <v>64191.222460531935</v>
      </c>
      <c r="E84" s="27">
        <f>_xll.DBRW($C$14,$D$16,$C84,E$22,$D$18,$D$17,E$21)</f>
        <v>60595.188134152937</v>
      </c>
      <c r="F84" s="27">
        <f>_xll.DBRW($C$14,$D$16,$C84,F$22,$D$18,$D$17,F$21)</f>
        <v>0</v>
      </c>
      <c r="G84" s="27">
        <f>_xll.DBRW($C$14,$D$16,$C84,G$22,$D$18,$D$17,G$21)</f>
        <v>0</v>
      </c>
    </row>
    <row r="85" spans="2:7" s="25" customFormat="1" thickBot="1" x14ac:dyDescent="0.4">
      <c r="B85" s="24" t="str">
        <f>IF(_xll.TM1RPTELISCONSOLIDATED($C$23,$C85),IF(_xll.TM1RPTELLEV($C$23,$C85)&lt;=5,_xll.TM1RPTELLEV($C$23,$C85),"Default"),"Leaf")</f>
        <v>Leaf</v>
      </c>
      <c r="C85" s="34" t="s">
        <v>74</v>
      </c>
      <c r="D85" s="27">
        <f>_xll.DBRW($C$14,$D$16,$C85,D$22,$D$18,$D$17,D$21)</f>
        <v>103204.10238313106</v>
      </c>
      <c r="E85" s="27">
        <f>_xll.DBRW($C$14,$D$16,$C85,E$22,$D$18,$D$17,E$21)</f>
        <v>93682.501286451967</v>
      </c>
      <c r="F85" s="27">
        <f>_xll.DBRW($C$14,$D$16,$C85,F$22,$D$18,$D$17,F$21)</f>
        <v>-7871</v>
      </c>
      <c r="G85" s="27">
        <f>_xll.DBRW($C$14,$D$16,$C85,G$22,$D$18,$D$17,G$21)</f>
        <v>-9071</v>
      </c>
    </row>
    <row r="86" spans="2:7" s="25" customFormat="1" thickBot="1" x14ac:dyDescent="0.4">
      <c r="B86" s="24" t="str">
        <f>IF(_xll.TM1RPTELISCONSOLIDATED($C$23,$C86),IF(_xll.TM1RPTELLEV($C$23,$C86)&lt;=5,_xll.TM1RPTELLEV($C$23,$C86),"Default"),"Leaf")</f>
        <v>Leaf</v>
      </c>
      <c r="C86" s="34" t="s">
        <v>75</v>
      </c>
      <c r="D86" s="27">
        <f>_xll.DBRW($C$14,$D$16,$C86,D$22,$D$18,$D$17,D$21)</f>
        <v>24791.534521891343</v>
      </c>
      <c r="E86" s="27">
        <f>_xll.DBRW($C$14,$D$16,$C86,E$22,$D$18,$D$17,E$21)</f>
        <v>7318.8806438946749</v>
      </c>
      <c r="F86" s="27">
        <f>_xll.DBRW($C$14,$D$16,$C86,F$22,$D$18,$D$17,F$21)</f>
        <v>0</v>
      </c>
      <c r="G86" s="27">
        <f>_xll.DBRW($C$14,$D$16,$C86,G$22,$D$18,$D$17,G$21)</f>
        <v>0</v>
      </c>
    </row>
  </sheetData>
  <pageMargins left="0.7" right="0.7" top="0.75" bottom="0.75" header="0.3" footer="0.3"/>
  <pageSetup paperSize="9" orientation="portrait" r:id="rId1"/>
  <customProperties>
    <customPr name="###UNCOMMITTEDCHANGES###" r:id="rId2"/>
    <customPr name="COR_DefaultExpandDirection" r:id="rId3"/>
    <customPr name="COR_GroupingOption" r:id="rId4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Feuil1</vt:lpstr>
      <vt:lpstr>Server</vt:lpstr>
      <vt:lpstr>Feuil1!TM1RPTDATARNG24742797</vt:lpstr>
      <vt:lpstr>Feuil1!TM1RPTFMTIDCOL24742797</vt:lpstr>
      <vt:lpstr>Feuil1!TM1RPTFMTRNG24742797</vt:lpstr>
      <vt:lpstr>Feuil1!TM1RPTQRYRNG24742797</vt:lpstr>
      <vt:lpstr>Feuil1!TM1RPTVIEWRNG24742797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Auriane LARTIGUE</dc:creator>
  <cp:lastModifiedBy>Ahmed AMRAOUI</cp:lastModifiedBy>
  <dcterms:created xsi:type="dcterms:W3CDTF">2025-03-19T13:15:42Z</dcterms:created>
  <dcterms:modified xsi:type="dcterms:W3CDTF">2025-07-28T15:19:48Z</dcterms:modified>
</cp:coreProperties>
</file>