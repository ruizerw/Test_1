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rv191\Desktop\"/>
    </mc:Choice>
  </mc:AlternateContent>
  <bookViews>
    <workbookView xWindow="0" yWindow="0" windowWidth="21600" windowHeight="9135"/>
  </bookViews>
  <sheets>
    <sheet name="Recap" sheetId="4" r:id="rId1"/>
    <sheet name="{AR}01" sheetId="2" state="hidden" r:id="rId2"/>
    <sheet name="{AR}11" sheetId="3" state="hidden" r:id="rId3"/>
  </sheets>
  <definedNames>
    <definedName name="TM1REBUILDOPTION">1</definedName>
    <definedName name="TM1RPTDATARNGARPT1" localSheetId="0">Recap!$26:$75</definedName>
    <definedName name="TM1RPTFMTIDCOL" localSheetId="0">Recap!$A$1:$A$8</definedName>
    <definedName name="TM1RPTFMTRNG" localSheetId="0">Recap!$B$1:$AE$8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" i="4" l="1"/>
  <c r="L20" i="4"/>
  <c r="C16" i="4"/>
  <c r="K75" i="4"/>
  <c r="J75" i="4"/>
  <c r="J59" i="4"/>
  <c r="J43" i="4"/>
  <c r="J60" i="4"/>
  <c r="K60" i="4"/>
  <c r="J61" i="4"/>
  <c r="K61" i="4"/>
  <c r="J62" i="4"/>
  <c r="K62" i="4"/>
  <c r="J63" i="4"/>
  <c r="K63" i="4"/>
  <c r="J64" i="4"/>
  <c r="K64" i="4"/>
  <c r="J65" i="4"/>
  <c r="K65" i="4"/>
  <c r="J66" i="4"/>
  <c r="K66" i="4"/>
  <c r="J67" i="4"/>
  <c r="K67" i="4"/>
  <c r="J68" i="4"/>
  <c r="K68" i="4"/>
  <c r="J69" i="4"/>
  <c r="K69" i="4"/>
  <c r="J70" i="4"/>
  <c r="K70" i="4"/>
  <c r="J71" i="4"/>
  <c r="K71" i="4"/>
  <c r="J72" i="4"/>
  <c r="K72" i="4"/>
  <c r="J73" i="4"/>
  <c r="K73" i="4"/>
  <c r="K59" i="4"/>
  <c r="M75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59" i="4"/>
  <c r="F21" i="4"/>
  <c r="R21" i="4"/>
  <c r="R20" i="4"/>
  <c r="Q75" i="4"/>
  <c r="P75" i="4"/>
  <c r="P60" i="4"/>
  <c r="Q60" i="4"/>
  <c r="P61" i="4"/>
  <c r="Q61" i="4"/>
  <c r="P62" i="4"/>
  <c r="Q62" i="4"/>
  <c r="P63" i="4"/>
  <c r="Q63" i="4"/>
  <c r="P64" i="4"/>
  <c r="Q64" i="4"/>
  <c r="P65" i="4"/>
  <c r="Q65" i="4"/>
  <c r="P66" i="4"/>
  <c r="Q66" i="4"/>
  <c r="P67" i="4"/>
  <c r="Q67" i="4"/>
  <c r="P68" i="4"/>
  <c r="Q68" i="4"/>
  <c r="P69" i="4"/>
  <c r="Q69" i="4"/>
  <c r="P70" i="4"/>
  <c r="Q70" i="4"/>
  <c r="P71" i="4"/>
  <c r="Q71" i="4"/>
  <c r="P72" i="4"/>
  <c r="Q72" i="4"/>
  <c r="P73" i="4"/>
  <c r="Q73" i="4"/>
  <c r="Q59" i="4"/>
  <c r="P59" i="4"/>
  <c r="S75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59" i="4"/>
  <c r="AD21" i="4"/>
  <c r="AD20" i="4"/>
  <c r="AE75" i="4"/>
  <c r="AD75" i="4"/>
  <c r="AD60" i="4"/>
  <c r="AE60" i="4"/>
  <c r="AD61" i="4"/>
  <c r="AE61" i="4"/>
  <c r="AD62" i="4"/>
  <c r="AE62" i="4"/>
  <c r="AD63" i="4"/>
  <c r="AE63" i="4"/>
  <c r="AD64" i="4"/>
  <c r="AE64" i="4"/>
  <c r="AD65" i="4"/>
  <c r="AE65" i="4"/>
  <c r="AD66" i="4"/>
  <c r="AE66" i="4"/>
  <c r="AD67" i="4"/>
  <c r="AE67" i="4"/>
  <c r="AD68" i="4"/>
  <c r="AE68" i="4"/>
  <c r="AD69" i="4"/>
  <c r="AE69" i="4"/>
  <c r="AD70" i="4"/>
  <c r="AE70" i="4"/>
  <c r="AD71" i="4"/>
  <c r="AE71" i="4"/>
  <c r="AD72" i="4"/>
  <c r="AE72" i="4"/>
  <c r="AD73" i="4"/>
  <c r="AE73" i="4"/>
  <c r="AE59" i="4"/>
  <c r="AD59" i="4"/>
  <c r="AD44" i="4"/>
  <c r="AE44" i="4"/>
  <c r="AD45" i="4"/>
  <c r="AE45" i="4"/>
  <c r="AD46" i="4"/>
  <c r="AE46" i="4"/>
  <c r="AD47" i="4"/>
  <c r="AE47" i="4"/>
  <c r="AD48" i="4"/>
  <c r="AE48" i="4"/>
  <c r="AD49" i="4"/>
  <c r="AE49" i="4"/>
  <c r="AD50" i="4"/>
  <c r="AE50" i="4"/>
  <c r="AD51" i="4"/>
  <c r="AE51" i="4"/>
  <c r="AD52" i="4"/>
  <c r="AE52" i="4"/>
  <c r="AD53" i="4"/>
  <c r="AE53" i="4"/>
  <c r="AD54" i="4"/>
  <c r="AE54" i="4"/>
  <c r="AD55" i="4"/>
  <c r="AE55" i="4"/>
  <c r="AD56" i="4"/>
  <c r="AE56" i="4"/>
  <c r="AD57" i="4"/>
  <c r="AE57" i="4"/>
  <c r="AE43" i="4"/>
  <c r="AD43" i="4"/>
  <c r="AD28" i="4"/>
  <c r="AE28" i="4"/>
  <c r="AD29" i="4"/>
  <c r="AE29" i="4"/>
  <c r="AD30" i="4"/>
  <c r="AE30" i="4"/>
  <c r="AD31" i="4"/>
  <c r="AE31" i="4"/>
  <c r="AD32" i="4"/>
  <c r="AE32" i="4"/>
  <c r="AD33" i="4"/>
  <c r="AE33" i="4"/>
  <c r="AD34" i="4"/>
  <c r="AE34" i="4"/>
  <c r="AD35" i="4"/>
  <c r="AE35" i="4"/>
  <c r="AD36" i="4"/>
  <c r="AE36" i="4"/>
  <c r="AD37" i="4"/>
  <c r="AE37" i="4"/>
  <c r="AD38" i="4"/>
  <c r="AE38" i="4"/>
  <c r="AD39" i="4"/>
  <c r="AE39" i="4"/>
  <c r="AD40" i="4"/>
  <c r="AE40" i="4"/>
  <c r="AD41" i="4"/>
  <c r="AE41" i="4"/>
  <c r="AE27" i="4"/>
  <c r="AD27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43" i="4"/>
  <c r="P44" i="4"/>
  <c r="Q44" i="4"/>
  <c r="P45" i="4"/>
  <c r="Q45" i="4"/>
  <c r="P46" i="4"/>
  <c r="Q46" i="4"/>
  <c r="P47" i="4"/>
  <c r="Q47" i="4"/>
  <c r="P48" i="4"/>
  <c r="Q48" i="4"/>
  <c r="P49" i="4"/>
  <c r="Q49" i="4"/>
  <c r="P50" i="4"/>
  <c r="Q50" i="4"/>
  <c r="P51" i="4"/>
  <c r="Q51" i="4"/>
  <c r="P52" i="4"/>
  <c r="Q52" i="4"/>
  <c r="P53" i="4"/>
  <c r="Q53" i="4"/>
  <c r="P54" i="4"/>
  <c r="Q54" i="4"/>
  <c r="P55" i="4"/>
  <c r="Q55" i="4"/>
  <c r="P56" i="4"/>
  <c r="Q56" i="4"/>
  <c r="P57" i="4"/>
  <c r="Q57" i="4"/>
  <c r="Q43" i="4"/>
  <c r="P43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27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27" i="4"/>
  <c r="J27" i="4"/>
  <c r="F20" i="4"/>
  <c r="G75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59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43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27" i="4"/>
  <c r="E75" i="4"/>
  <c r="D75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I14" i="4"/>
  <c r="AF20" i="4"/>
  <c r="AF21" i="4"/>
  <c r="AJ68" i="4"/>
  <c r="AI68" i="4"/>
  <c r="J20" i="4"/>
  <c r="P20" i="4"/>
  <c r="D21" i="4"/>
  <c r="P21" i="4"/>
  <c r="AH68" i="4"/>
  <c r="AG68" i="4"/>
  <c r="AF68" i="4"/>
  <c r="U68" i="4"/>
  <c r="I68" i="4"/>
  <c r="AB68" i="4"/>
  <c r="AC68" i="4"/>
  <c r="AA68" i="4"/>
  <c r="Z68" i="4"/>
  <c r="Y68" i="4"/>
  <c r="X68" i="4"/>
  <c r="D20" i="4"/>
  <c r="W68" i="4"/>
  <c r="V68" i="4"/>
  <c r="T68" i="4"/>
  <c r="R68" i="4"/>
  <c r="O68" i="4"/>
  <c r="N68" i="4"/>
  <c r="L68" i="4"/>
  <c r="J21" i="4"/>
  <c r="H68" i="4"/>
  <c r="F68" i="4"/>
  <c r="AJ67" i="4"/>
  <c r="AI67" i="4"/>
  <c r="AH67" i="4"/>
  <c r="AG67" i="4"/>
  <c r="AF67" i="4"/>
  <c r="U67" i="4"/>
  <c r="I67" i="4"/>
  <c r="AB67" i="4"/>
  <c r="AC67" i="4"/>
  <c r="AA67" i="4"/>
  <c r="Z67" i="4"/>
  <c r="Y67" i="4"/>
  <c r="X67" i="4"/>
  <c r="W67" i="4"/>
  <c r="V67" i="4"/>
  <c r="T67" i="4"/>
  <c r="R67" i="4"/>
  <c r="O67" i="4"/>
  <c r="N67" i="4"/>
  <c r="L67" i="4"/>
  <c r="H67" i="4"/>
  <c r="F67" i="4"/>
  <c r="AJ66" i="4"/>
  <c r="AI66" i="4"/>
  <c r="AH66" i="4"/>
  <c r="AG66" i="4"/>
  <c r="AF66" i="4"/>
  <c r="U66" i="4"/>
  <c r="I66" i="4"/>
  <c r="AB66" i="4"/>
  <c r="AC66" i="4"/>
  <c r="AA66" i="4"/>
  <c r="Z66" i="4"/>
  <c r="Y66" i="4"/>
  <c r="X66" i="4"/>
  <c r="W66" i="4"/>
  <c r="V66" i="4"/>
  <c r="T66" i="4"/>
  <c r="R66" i="4"/>
  <c r="O66" i="4"/>
  <c r="N66" i="4"/>
  <c r="L66" i="4"/>
  <c r="H66" i="4"/>
  <c r="F66" i="4"/>
  <c r="AJ65" i="4"/>
  <c r="AI65" i="4"/>
  <c r="AH65" i="4"/>
  <c r="AG65" i="4"/>
  <c r="AF65" i="4"/>
  <c r="U65" i="4"/>
  <c r="I65" i="4"/>
  <c r="AB65" i="4"/>
  <c r="AC65" i="4"/>
  <c r="AA65" i="4"/>
  <c r="Z65" i="4"/>
  <c r="Y65" i="4"/>
  <c r="X65" i="4"/>
  <c r="W65" i="4"/>
  <c r="V65" i="4"/>
  <c r="T65" i="4"/>
  <c r="R65" i="4"/>
  <c r="O65" i="4"/>
  <c r="N65" i="4"/>
  <c r="L65" i="4"/>
  <c r="H65" i="4"/>
  <c r="F65" i="4"/>
  <c r="AF59" i="4"/>
  <c r="AF60" i="4"/>
  <c r="AF61" i="4"/>
  <c r="AF62" i="4"/>
  <c r="AF63" i="4"/>
  <c r="AF64" i="4"/>
  <c r="AF69" i="4"/>
  <c r="AF70" i="4"/>
  <c r="AF71" i="4"/>
  <c r="AF72" i="4"/>
  <c r="AF73" i="4"/>
  <c r="AE74" i="4"/>
  <c r="AF74" i="4"/>
  <c r="AF75" i="4"/>
  <c r="AF58" i="4"/>
  <c r="AE58" i="4"/>
  <c r="AD74" i="4"/>
  <c r="AD58" i="4"/>
  <c r="T59" i="4"/>
  <c r="T60" i="4"/>
  <c r="T61" i="4"/>
  <c r="T62" i="4"/>
  <c r="T63" i="4"/>
  <c r="T64" i="4"/>
  <c r="T69" i="4"/>
  <c r="T70" i="4"/>
  <c r="T71" i="4"/>
  <c r="T72" i="4"/>
  <c r="T73" i="4"/>
  <c r="S74" i="4"/>
  <c r="T74" i="4"/>
  <c r="T75" i="4"/>
  <c r="T58" i="4"/>
  <c r="S58" i="4"/>
  <c r="R59" i="4"/>
  <c r="R60" i="4"/>
  <c r="R61" i="4"/>
  <c r="R62" i="4"/>
  <c r="R63" i="4"/>
  <c r="R64" i="4"/>
  <c r="R69" i="4"/>
  <c r="R70" i="4"/>
  <c r="R71" i="4"/>
  <c r="R72" i="4"/>
  <c r="R73" i="4"/>
  <c r="Q74" i="4"/>
  <c r="R74" i="4"/>
  <c r="R75" i="4"/>
  <c r="R58" i="4"/>
  <c r="Q58" i="4"/>
  <c r="P74" i="4"/>
  <c r="P58" i="4"/>
  <c r="N59" i="4"/>
  <c r="N60" i="4"/>
  <c r="N61" i="4"/>
  <c r="N62" i="4"/>
  <c r="N63" i="4"/>
  <c r="N64" i="4"/>
  <c r="N69" i="4"/>
  <c r="N70" i="4"/>
  <c r="N71" i="4"/>
  <c r="N72" i="4"/>
  <c r="N73" i="4"/>
  <c r="M74" i="4"/>
  <c r="N74" i="4"/>
  <c r="N75" i="4"/>
  <c r="N58" i="4"/>
  <c r="M58" i="4"/>
  <c r="L59" i="4"/>
  <c r="L60" i="4"/>
  <c r="L61" i="4"/>
  <c r="L62" i="4"/>
  <c r="L63" i="4"/>
  <c r="L64" i="4"/>
  <c r="L69" i="4"/>
  <c r="L70" i="4"/>
  <c r="L71" i="4"/>
  <c r="L72" i="4"/>
  <c r="L73" i="4"/>
  <c r="K74" i="4"/>
  <c r="L74" i="4"/>
  <c r="L75" i="4"/>
  <c r="L58" i="4"/>
  <c r="K58" i="4"/>
  <c r="J74" i="4"/>
  <c r="J58" i="4"/>
  <c r="H59" i="4"/>
  <c r="H60" i="4"/>
  <c r="H61" i="4"/>
  <c r="H62" i="4"/>
  <c r="H63" i="4"/>
  <c r="H64" i="4"/>
  <c r="H69" i="4"/>
  <c r="H70" i="4"/>
  <c r="H71" i="4"/>
  <c r="H72" i="4"/>
  <c r="H73" i="4"/>
  <c r="G74" i="4"/>
  <c r="H74" i="4"/>
  <c r="H75" i="4"/>
  <c r="H58" i="4"/>
  <c r="G58" i="4"/>
  <c r="F59" i="4"/>
  <c r="F60" i="4"/>
  <c r="F61" i="4"/>
  <c r="F62" i="4"/>
  <c r="F63" i="4"/>
  <c r="F64" i="4"/>
  <c r="F69" i="4"/>
  <c r="F70" i="4"/>
  <c r="F71" i="4"/>
  <c r="F72" i="4"/>
  <c r="F73" i="4"/>
  <c r="E74" i="4"/>
  <c r="F74" i="4"/>
  <c r="F75" i="4"/>
  <c r="F58" i="4"/>
  <c r="E58" i="4"/>
  <c r="D74" i="4"/>
  <c r="D58" i="4"/>
  <c r="AJ52" i="4"/>
  <c r="AI52" i="4"/>
  <c r="AH52" i="4"/>
  <c r="AG52" i="4"/>
  <c r="AF52" i="4"/>
  <c r="U52" i="4"/>
  <c r="I52" i="4"/>
  <c r="AB52" i="4"/>
  <c r="AC52" i="4"/>
  <c r="AA52" i="4"/>
  <c r="Z52" i="4"/>
  <c r="Y52" i="4"/>
  <c r="X52" i="4"/>
  <c r="W52" i="4"/>
  <c r="V52" i="4"/>
  <c r="T52" i="4"/>
  <c r="R52" i="4"/>
  <c r="O52" i="4"/>
  <c r="N52" i="4"/>
  <c r="L52" i="4"/>
  <c r="H52" i="4"/>
  <c r="F52" i="4"/>
  <c r="AJ51" i="4"/>
  <c r="AI51" i="4"/>
  <c r="AH51" i="4"/>
  <c r="AG51" i="4"/>
  <c r="AF51" i="4"/>
  <c r="U51" i="4"/>
  <c r="I51" i="4"/>
  <c r="AB51" i="4"/>
  <c r="AC51" i="4"/>
  <c r="AA51" i="4"/>
  <c r="Z51" i="4"/>
  <c r="Y51" i="4"/>
  <c r="X51" i="4"/>
  <c r="W51" i="4"/>
  <c r="V51" i="4"/>
  <c r="T51" i="4"/>
  <c r="R51" i="4"/>
  <c r="O51" i="4"/>
  <c r="N51" i="4"/>
  <c r="L51" i="4"/>
  <c r="H51" i="4"/>
  <c r="F51" i="4"/>
  <c r="AJ50" i="4"/>
  <c r="AI50" i="4"/>
  <c r="AH50" i="4"/>
  <c r="AG50" i="4"/>
  <c r="AF50" i="4"/>
  <c r="U50" i="4"/>
  <c r="I50" i="4"/>
  <c r="AB50" i="4"/>
  <c r="AC50" i="4"/>
  <c r="AA50" i="4"/>
  <c r="Z50" i="4"/>
  <c r="Y50" i="4"/>
  <c r="X50" i="4"/>
  <c r="W50" i="4"/>
  <c r="V50" i="4"/>
  <c r="T50" i="4"/>
  <c r="R50" i="4"/>
  <c r="O50" i="4"/>
  <c r="N50" i="4"/>
  <c r="L50" i="4"/>
  <c r="H50" i="4"/>
  <c r="F50" i="4"/>
  <c r="AJ49" i="4"/>
  <c r="AI49" i="4"/>
  <c r="AH49" i="4"/>
  <c r="AG49" i="4"/>
  <c r="AF49" i="4"/>
  <c r="U49" i="4"/>
  <c r="I49" i="4"/>
  <c r="AB49" i="4"/>
  <c r="AC49" i="4"/>
  <c r="AA49" i="4"/>
  <c r="Z49" i="4"/>
  <c r="Y49" i="4"/>
  <c r="X49" i="4"/>
  <c r="W49" i="4"/>
  <c r="V49" i="4"/>
  <c r="T49" i="4"/>
  <c r="R49" i="4"/>
  <c r="O49" i="4"/>
  <c r="N49" i="4"/>
  <c r="L49" i="4"/>
  <c r="H49" i="4"/>
  <c r="F49" i="4"/>
  <c r="AF43" i="4"/>
  <c r="AF44" i="4"/>
  <c r="AF45" i="4"/>
  <c r="AF46" i="4"/>
  <c r="AF47" i="4"/>
  <c r="AF48" i="4"/>
  <c r="AF53" i="4"/>
  <c r="AF54" i="4"/>
  <c r="AF55" i="4"/>
  <c r="AF56" i="4"/>
  <c r="AF57" i="4"/>
  <c r="AF42" i="4"/>
  <c r="AE42" i="4"/>
  <c r="AD42" i="4"/>
  <c r="T43" i="4"/>
  <c r="T44" i="4"/>
  <c r="T45" i="4"/>
  <c r="T46" i="4"/>
  <c r="T47" i="4"/>
  <c r="T48" i="4"/>
  <c r="T53" i="4"/>
  <c r="T54" i="4"/>
  <c r="T55" i="4"/>
  <c r="T56" i="4"/>
  <c r="T57" i="4"/>
  <c r="T42" i="4"/>
  <c r="S42" i="4"/>
  <c r="R43" i="4"/>
  <c r="R44" i="4"/>
  <c r="R45" i="4"/>
  <c r="R46" i="4"/>
  <c r="R47" i="4"/>
  <c r="R48" i="4"/>
  <c r="R53" i="4"/>
  <c r="R54" i="4"/>
  <c r="R55" i="4"/>
  <c r="R56" i="4"/>
  <c r="R57" i="4"/>
  <c r="R42" i="4"/>
  <c r="Q42" i="4"/>
  <c r="P42" i="4"/>
  <c r="N43" i="4"/>
  <c r="N44" i="4"/>
  <c r="N45" i="4"/>
  <c r="N46" i="4"/>
  <c r="N47" i="4"/>
  <c r="N48" i="4"/>
  <c r="N53" i="4"/>
  <c r="N54" i="4"/>
  <c r="N55" i="4"/>
  <c r="N56" i="4"/>
  <c r="N57" i="4"/>
  <c r="N42" i="4"/>
  <c r="M42" i="4"/>
  <c r="L43" i="4"/>
  <c r="L44" i="4"/>
  <c r="L45" i="4"/>
  <c r="L46" i="4"/>
  <c r="L47" i="4"/>
  <c r="L48" i="4"/>
  <c r="L53" i="4"/>
  <c r="L54" i="4"/>
  <c r="L55" i="4"/>
  <c r="L56" i="4"/>
  <c r="L57" i="4"/>
  <c r="L42" i="4"/>
  <c r="K42" i="4"/>
  <c r="J42" i="4"/>
  <c r="H43" i="4"/>
  <c r="H44" i="4"/>
  <c r="H45" i="4"/>
  <c r="H46" i="4"/>
  <c r="H47" i="4"/>
  <c r="H48" i="4"/>
  <c r="H53" i="4"/>
  <c r="H54" i="4"/>
  <c r="H55" i="4"/>
  <c r="H56" i="4"/>
  <c r="H57" i="4"/>
  <c r="H42" i="4"/>
  <c r="G42" i="4"/>
  <c r="F43" i="4"/>
  <c r="F44" i="4"/>
  <c r="F45" i="4"/>
  <c r="F46" i="4"/>
  <c r="F47" i="4"/>
  <c r="F48" i="4"/>
  <c r="F53" i="4"/>
  <c r="F54" i="4"/>
  <c r="F55" i="4"/>
  <c r="F56" i="4"/>
  <c r="F57" i="4"/>
  <c r="F42" i="4"/>
  <c r="E42" i="4"/>
  <c r="D42" i="4"/>
  <c r="AJ36" i="4"/>
  <c r="AI36" i="4"/>
  <c r="AH36" i="4"/>
  <c r="AG36" i="4"/>
  <c r="AF36" i="4"/>
  <c r="U36" i="4"/>
  <c r="I36" i="4"/>
  <c r="AB36" i="4"/>
  <c r="AC36" i="4"/>
  <c r="AA36" i="4"/>
  <c r="Z36" i="4"/>
  <c r="Y36" i="4"/>
  <c r="X36" i="4"/>
  <c r="W36" i="4"/>
  <c r="V36" i="4"/>
  <c r="T36" i="4"/>
  <c r="R36" i="4"/>
  <c r="O36" i="4"/>
  <c r="N36" i="4"/>
  <c r="L36" i="4"/>
  <c r="H36" i="4"/>
  <c r="F36" i="4"/>
  <c r="AJ35" i="4"/>
  <c r="AI35" i="4"/>
  <c r="AH35" i="4"/>
  <c r="AG35" i="4"/>
  <c r="AF35" i="4"/>
  <c r="U35" i="4"/>
  <c r="I35" i="4"/>
  <c r="AB35" i="4"/>
  <c r="AC35" i="4"/>
  <c r="AA35" i="4"/>
  <c r="Z35" i="4"/>
  <c r="Y35" i="4"/>
  <c r="X35" i="4"/>
  <c r="W35" i="4"/>
  <c r="V35" i="4"/>
  <c r="T35" i="4"/>
  <c r="R35" i="4"/>
  <c r="O35" i="4"/>
  <c r="N35" i="4"/>
  <c r="L35" i="4"/>
  <c r="H35" i="4"/>
  <c r="F35" i="4"/>
  <c r="AJ34" i="4"/>
  <c r="AI34" i="4"/>
  <c r="AH34" i="4"/>
  <c r="AG34" i="4"/>
  <c r="AF34" i="4"/>
  <c r="U34" i="4"/>
  <c r="I34" i="4"/>
  <c r="AB34" i="4"/>
  <c r="AC34" i="4"/>
  <c r="AA34" i="4"/>
  <c r="Z34" i="4"/>
  <c r="Y34" i="4"/>
  <c r="X34" i="4"/>
  <c r="W34" i="4"/>
  <c r="V34" i="4"/>
  <c r="T34" i="4"/>
  <c r="R34" i="4"/>
  <c r="O34" i="4"/>
  <c r="N34" i="4"/>
  <c r="L34" i="4"/>
  <c r="H34" i="4"/>
  <c r="F34" i="4"/>
  <c r="AJ33" i="4"/>
  <c r="AI33" i="4"/>
  <c r="AH33" i="4"/>
  <c r="AG33" i="4"/>
  <c r="AF33" i="4"/>
  <c r="U33" i="4"/>
  <c r="I33" i="4"/>
  <c r="AB33" i="4"/>
  <c r="AC33" i="4"/>
  <c r="AA33" i="4"/>
  <c r="Z33" i="4"/>
  <c r="Y33" i="4"/>
  <c r="X33" i="4"/>
  <c r="W33" i="4"/>
  <c r="V33" i="4"/>
  <c r="T33" i="4"/>
  <c r="R33" i="4"/>
  <c r="O33" i="4"/>
  <c r="N33" i="4"/>
  <c r="L33" i="4"/>
  <c r="H33" i="4"/>
  <c r="F33" i="4"/>
  <c r="AF27" i="4"/>
  <c r="AF28" i="4"/>
  <c r="AF29" i="4"/>
  <c r="AF30" i="4"/>
  <c r="AF31" i="4"/>
  <c r="AF32" i="4"/>
  <c r="AF37" i="4"/>
  <c r="AF38" i="4"/>
  <c r="AF39" i="4"/>
  <c r="AF40" i="4"/>
  <c r="AF41" i="4"/>
  <c r="AF26" i="4"/>
  <c r="AE26" i="4"/>
  <c r="AD26" i="4"/>
  <c r="T27" i="4"/>
  <c r="T28" i="4"/>
  <c r="T29" i="4"/>
  <c r="T30" i="4"/>
  <c r="T31" i="4"/>
  <c r="T32" i="4"/>
  <c r="T37" i="4"/>
  <c r="T38" i="4"/>
  <c r="T39" i="4"/>
  <c r="T40" i="4"/>
  <c r="T41" i="4"/>
  <c r="T26" i="4"/>
  <c r="S26" i="4"/>
  <c r="R27" i="4"/>
  <c r="R28" i="4"/>
  <c r="R29" i="4"/>
  <c r="R30" i="4"/>
  <c r="R31" i="4"/>
  <c r="R32" i="4"/>
  <c r="R37" i="4"/>
  <c r="R38" i="4"/>
  <c r="R39" i="4"/>
  <c r="R40" i="4"/>
  <c r="R41" i="4"/>
  <c r="R26" i="4"/>
  <c r="Q26" i="4"/>
  <c r="P26" i="4"/>
  <c r="N27" i="4"/>
  <c r="N28" i="4"/>
  <c r="N29" i="4"/>
  <c r="N30" i="4"/>
  <c r="N31" i="4"/>
  <c r="N32" i="4"/>
  <c r="N37" i="4"/>
  <c r="N38" i="4"/>
  <c r="N39" i="4"/>
  <c r="N40" i="4"/>
  <c r="N41" i="4"/>
  <c r="N26" i="4"/>
  <c r="M26" i="4"/>
  <c r="L27" i="4"/>
  <c r="L28" i="4"/>
  <c r="L29" i="4"/>
  <c r="L30" i="4"/>
  <c r="L31" i="4"/>
  <c r="L32" i="4"/>
  <c r="L37" i="4"/>
  <c r="L38" i="4"/>
  <c r="L39" i="4"/>
  <c r="L40" i="4"/>
  <c r="L41" i="4"/>
  <c r="L26" i="4"/>
  <c r="K26" i="4"/>
  <c r="J26" i="4"/>
  <c r="H27" i="4"/>
  <c r="H28" i="4"/>
  <c r="H29" i="4"/>
  <c r="H30" i="4"/>
  <c r="H31" i="4"/>
  <c r="H32" i="4"/>
  <c r="H37" i="4"/>
  <c r="H38" i="4"/>
  <c r="H39" i="4"/>
  <c r="H40" i="4"/>
  <c r="H41" i="4"/>
  <c r="H26" i="4"/>
  <c r="G26" i="4"/>
  <c r="F27" i="4"/>
  <c r="F28" i="4"/>
  <c r="F29" i="4"/>
  <c r="F30" i="4"/>
  <c r="F31" i="4"/>
  <c r="F32" i="4"/>
  <c r="F37" i="4"/>
  <c r="F38" i="4"/>
  <c r="F39" i="4"/>
  <c r="F40" i="4"/>
  <c r="F41" i="4"/>
  <c r="F26" i="4"/>
  <c r="E26" i="4"/>
  <c r="D26" i="4"/>
  <c r="Q20" i="4"/>
  <c r="Q21" i="4"/>
  <c r="I74" i="4"/>
  <c r="O74" i="4"/>
  <c r="U74" i="4"/>
  <c r="V74" i="4"/>
  <c r="W74" i="4"/>
  <c r="X74" i="4"/>
  <c r="Y74" i="4"/>
  <c r="Z74" i="4"/>
  <c r="AA74" i="4"/>
  <c r="AB74" i="4"/>
  <c r="AC74" i="4"/>
  <c r="AG74" i="4"/>
  <c r="AH74" i="4"/>
  <c r="AI74" i="4"/>
  <c r="AJ75" i="4"/>
  <c r="AI75" i="4"/>
  <c r="AH75" i="4"/>
  <c r="AG75" i="4"/>
  <c r="U75" i="4"/>
  <c r="I75" i="4"/>
  <c r="AB75" i="4"/>
  <c r="AC75" i="4"/>
  <c r="AA75" i="4"/>
  <c r="Z75" i="4"/>
  <c r="Y75" i="4"/>
  <c r="X75" i="4"/>
  <c r="W75" i="4"/>
  <c r="V75" i="4"/>
  <c r="O75" i="4"/>
  <c r="AJ73" i="4"/>
  <c r="AI73" i="4"/>
  <c r="AH73" i="4"/>
  <c r="AG73" i="4"/>
  <c r="U73" i="4"/>
  <c r="I73" i="4"/>
  <c r="AB73" i="4"/>
  <c r="AC73" i="4"/>
  <c r="AA73" i="4"/>
  <c r="Z73" i="4"/>
  <c r="Y73" i="4"/>
  <c r="X73" i="4"/>
  <c r="W73" i="4"/>
  <c r="V73" i="4"/>
  <c r="O73" i="4"/>
  <c r="AJ72" i="4"/>
  <c r="AI72" i="4"/>
  <c r="AH72" i="4"/>
  <c r="AG72" i="4"/>
  <c r="U72" i="4"/>
  <c r="I72" i="4"/>
  <c r="AB72" i="4"/>
  <c r="AC72" i="4"/>
  <c r="AA72" i="4"/>
  <c r="Z72" i="4"/>
  <c r="Y72" i="4"/>
  <c r="X72" i="4"/>
  <c r="W72" i="4"/>
  <c r="V72" i="4"/>
  <c r="O72" i="4"/>
  <c r="AJ71" i="4"/>
  <c r="AI71" i="4"/>
  <c r="AH71" i="4"/>
  <c r="AG71" i="4"/>
  <c r="U71" i="4"/>
  <c r="I71" i="4"/>
  <c r="AB71" i="4"/>
  <c r="AC71" i="4"/>
  <c r="AA71" i="4"/>
  <c r="Z71" i="4"/>
  <c r="Y71" i="4"/>
  <c r="X71" i="4"/>
  <c r="W71" i="4"/>
  <c r="V71" i="4"/>
  <c r="O71" i="4"/>
  <c r="AJ70" i="4"/>
  <c r="AI70" i="4"/>
  <c r="AH70" i="4"/>
  <c r="AG70" i="4"/>
  <c r="U70" i="4"/>
  <c r="I70" i="4"/>
  <c r="AB70" i="4"/>
  <c r="AC70" i="4"/>
  <c r="AA70" i="4"/>
  <c r="Z70" i="4"/>
  <c r="Y70" i="4"/>
  <c r="X70" i="4"/>
  <c r="W70" i="4"/>
  <c r="V70" i="4"/>
  <c r="O70" i="4"/>
  <c r="AJ69" i="4"/>
  <c r="AI69" i="4"/>
  <c r="AH69" i="4"/>
  <c r="AG69" i="4"/>
  <c r="U69" i="4"/>
  <c r="I69" i="4"/>
  <c r="AB69" i="4"/>
  <c r="AC69" i="4"/>
  <c r="AA69" i="4"/>
  <c r="Z69" i="4"/>
  <c r="Y69" i="4"/>
  <c r="X69" i="4"/>
  <c r="W69" i="4"/>
  <c r="V69" i="4"/>
  <c r="O69" i="4"/>
  <c r="AJ64" i="4"/>
  <c r="AI64" i="4"/>
  <c r="AH64" i="4"/>
  <c r="AG64" i="4"/>
  <c r="U64" i="4"/>
  <c r="I64" i="4"/>
  <c r="AB64" i="4"/>
  <c r="AC64" i="4"/>
  <c r="AA64" i="4"/>
  <c r="Z64" i="4"/>
  <c r="Y64" i="4"/>
  <c r="X64" i="4"/>
  <c r="W64" i="4"/>
  <c r="V64" i="4"/>
  <c r="O64" i="4"/>
  <c r="AJ63" i="4"/>
  <c r="AI63" i="4"/>
  <c r="AH63" i="4"/>
  <c r="AG63" i="4"/>
  <c r="U63" i="4"/>
  <c r="I63" i="4"/>
  <c r="AB63" i="4"/>
  <c r="AC63" i="4"/>
  <c r="AA63" i="4"/>
  <c r="Z63" i="4"/>
  <c r="Y63" i="4"/>
  <c r="X63" i="4"/>
  <c r="W63" i="4"/>
  <c r="V63" i="4"/>
  <c r="O63" i="4"/>
  <c r="AJ62" i="4"/>
  <c r="AI62" i="4"/>
  <c r="AH62" i="4"/>
  <c r="AG62" i="4"/>
  <c r="U62" i="4"/>
  <c r="I62" i="4"/>
  <c r="AB62" i="4"/>
  <c r="AC62" i="4"/>
  <c r="AA62" i="4"/>
  <c r="Z62" i="4"/>
  <c r="Y62" i="4"/>
  <c r="X62" i="4"/>
  <c r="W62" i="4"/>
  <c r="V62" i="4"/>
  <c r="O62" i="4"/>
  <c r="AJ61" i="4"/>
  <c r="AI61" i="4"/>
  <c r="AH61" i="4"/>
  <c r="AG61" i="4"/>
  <c r="U61" i="4"/>
  <c r="I61" i="4"/>
  <c r="AB61" i="4"/>
  <c r="AC61" i="4"/>
  <c r="AA61" i="4"/>
  <c r="Z61" i="4"/>
  <c r="Y61" i="4"/>
  <c r="X61" i="4"/>
  <c r="W61" i="4"/>
  <c r="V61" i="4"/>
  <c r="O61" i="4"/>
  <c r="AJ60" i="4"/>
  <c r="AI60" i="4"/>
  <c r="AH60" i="4"/>
  <c r="AG60" i="4"/>
  <c r="U60" i="4"/>
  <c r="I60" i="4"/>
  <c r="AB60" i="4"/>
  <c r="AC60" i="4"/>
  <c r="AA60" i="4"/>
  <c r="Z60" i="4"/>
  <c r="Y60" i="4"/>
  <c r="X60" i="4"/>
  <c r="W60" i="4"/>
  <c r="V60" i="4"/>
  <c r="O60" i="4"/>
  <c r="AJ59" i="4"/>
  <c r="AI59" i="4"/>
  <c r="AH59" i="4"/>
  <c r="AG59" i="4"/>
  <c r="U59" i="4"/>
  <c r="I59" i="4"/>
  <c r="AB59" i="4"/>
  <c r="AC59" i="4"/>
  <c r="AA59" i="4"/>
  <c r="Z59" i="4"/>
  <c r="Y59" i="4"/>
  <c r="X59" i="4"/>
  <c r="W59" i="4"/>
  <c r="V59" i="4"/>
  <c r="O59" i="4"/>
  <c r="AI58" i="4"/>
  <c r="AH58" i="4"/>
  <c r="AG58" i="4"/>
  <c r="U58" i="4"/>
  <c r="I58" i="4"/>
  <c r="AB58" i="4"/>
  <c r="AC58" i="4"/>
  <c r="AA58" i="4"/>
  <c r="Z58" i="4"/>
  <c r="Y58" i="4"/>
  <c r="X58" i="4"/>
  <c r="W58" i="4"/>
  <c r="V58" i="4"/>
  <c r="O58" i="4"/>
  <c r="AJ57" i="4"/>
  <c r="AI57" i="4"/>
  <c r="AH57" i="4"/>
  <c r="AG57" i="4"/>
  <c r="U57" i="4"/>
  <c r="I57" i="4"/>
  <c r="AB57" i="4"/>
  <c r="AC57" i="4"/>
  <c r="AA57" i="4"/>
  <c r="Z57" i="4"/>
  <c r="Y57" i="4"/>
  <c r="X57" i="4"/>
  <c r="W57" i="4"/>
  <c r="V57" i="4"/>
  <c r="O57" i="4"/>
  <c r="AJ56" i="4"/>
  <c r="AI56" i="4"/>
  <c r="AH56" i="4"/>
  <c r="AG56" i="4"/>
  <c r="U56" i="4"/>
  <c r="I56" i="4"/>
  <c r="AB56" i="4"/>
  <c r="AC56" i="4"/>
  <c r="AA56" i="4"/>
  <c r="Z56" i="4"/>
  <c r="Y56" i="4"/>
  <c r="X56" i="4"/>
  <c r="W56" i="4"/>
  <c r="V56" i="4"/>
  <c r="O56" i="4"/>
  <c r="AJ55" i="4"/>
  <c r="AI55" i="4"/>
  <c r="AH55" i="4"/>
  <c r="AG55" i="4"/>
  <c r="U55" i="4"/>
  <c r="I55" i="4"/>
  <c r="AB55" i="4"/>
  <c r="AC55" i="4"/>
  <c r="AA55" i="4"/>
  <c r="Z55" i="4"/>
  <c r="Y55" i="4"/>
  <c r="X55" i="4"/>
  <c r="W55" i="4"/>
  <c r="V55" i="4"/>
  <c r="O55" i="4"/>
  <c r="AJ54" i="4"/>
  <c r="AI54" i="4"/>
  <c r="AH54" i="4"/>
  <c r="AG54" i="4"/>
  <c r="U54" i="4"/>
  <c r="I54" i="4"/>
  <c r="AB54" i="4"/>
  <c r="AC54" i="4"/>
  <c r="AA54" i="4"/>
  <c r="Z54" i="4"/>
  <c r="Y54" i="4"/>
  <c r="X54" i="4"/>
  <c r="W54" i="4"/>
  <c r="V54" i="4"/>
  <c r="O54" i="4"/>
  <c r="AJ53" i="4"/>
  <c r="AI53" i="4"/>
  <c r="AH53" i="4"/>
  <c r="AG53" i="4"/>
  <c r="U53" i="4"/>
  <c r="I53" i="4"/>
  <c r="AB53" i="4"/>
  <c r="AC53" i="4"/>
  <c r="AA53" i="4"/>
  <c r="Z53" i="4"/>
  <c r="Y53" i="4"/>
  <c r="X53" i="4"/>
  <c r="W53" i="4"/>
  <c r="V53" i="4"/>
  <c r="O53" i="4"/>
  <c r="AJ48" i="4"/>
  <c r="AI48" i="4"/>
  <c r="AH48" i="4"/>
  <c r="AG48" i="4"/>
  <c r="U48" i="4"/>
  <c r="I48" i="4"/>
  <c r="AB48" i="4"/>
  <c r="AC48" i="4"/>
  <c r="AA48" i="4"/>
  <c r="Z48" i="4"/>
  <c r="Y48" i="4"/>
  <c r="X48" i="4"/>
  <c r="W48" i="4"/>
  <c r="V48" i="4"/>
  <c r="O48" i="4"/>
  <c r="AJ47" i="4"/>
  <c r="AI47" i="4"/>
  <c r="AH47" i="4"/>
  <c r="AG47" i="4"/>
  <c r="U47" i="4"/>
  <c r="I47" i="4"/>
  <c r="AB47" i="4"/>
  <c r="AC47" i="4"/>
  <c r="AA47" i="4"/>
  <c r="Z47" i="4"/>
  <c r="Y47" i="4"/>
  <c r="X47" i="4"/>
  <c r="W47" i="4"/>
  <c r="V47" i="4"/>
  <c r="O47" i="4"/>
  <c r="AJ46" i="4"/>
  <c r="AI46" i="4"/>
  <c r="AH46" i="4"/>
  <c r="AG46" i="4"/>
  <c r="U46" i="4"/>
  <c r="I46" i="4"/>
  <c r="AB46" i="4"/>
  <c r="AC46" i="4"/>
  <c r="AA46" i="4"/>
  <c r="Z46" i="4"/>
  <c r="Y46" i="4"/>
  <c r="X46" i="4"/>
  <c r="W46" i="4"/>
  <c r="V46" i="4"/>
  <c r="O46" i="4"/>
  <c r="AJ45" i="4"/>
  <c r="AI45" i="4"/>
  <c r="AH45" i="4"/>
  <c r="AG45" i="4"/>
  <c r="U45" i="4"/>
  <c r="I45" i="4"/>
  <c r="AB45" i="4"/>
  <c r="AC45" i="4"/>
  <c r="AA45" i="4"/>
  <c r="Z45" i="4"/>
  <c r="Y45" i="4"/>
  <c r="X45" i="4"/>
  <c r="W45" i="4"/>
  <c r="V45" i="4"/>
  <c r="O45" i="4"/>
  <c r="AJ44" i="4"/>
  <c r="AI44" i="4"/>
  <c r="AH44" i="4"/>
  <c r="AG44" i="4"/>
  <c r="U44" i="4"/>
  <c r="I44" i="4"/>
  <c r="AB44" i="4"/>
  <c r="AC44" i="4"/>
  <c r="AA44" i="4"/>
  <c r="Z44" i="4"/>
  <c r="Y44" i="4"/>
  <c r="X44" i="4"/>
  <c r="W44" i="4"/>
  <c r="V44" i="4"/>
  <c r="O44" i="4"/>
  <c r="AJ43" i="4"/>
  <c r="AI43" i="4"/>
  <c r="AH43" i="4"/>
  <c r="AG43" i="4"/>
  <c r="U43" i="4"/>
  <c r="I43" i="4"/>
  <c r="AB43" i="4"/>
  <c r="AC43" i="4"/>
  <c r="AA43" i="4"/>
  <c r="Z43" i="4"/>
  <c r="Y43" i="4"/>
  <c r="X43" i="4"/>
  <c r="W43" i="4"/>
  <c r="V43" i="4"/>
  <c r="O43" i="4"/>
  <c r="AI42" i="4"/>
  <c r="AH42" i="4"/>
  <c r="AG42" i="4"/>
  <c r="U42" i="4"/>
  <c r="I42" i="4"/>
  <c r="AB42" i="4"/>
  <c r="AC42" i="4"/>
  <c r="AA42" i="4"/>
  <c r="Z42" i="4"/>
  <c r="Y42" i="4"/>
  <c r="X42" i="4"/>
  <c r="W42" i="4"/>
  <c r="V42" i="4"/>
  <c r="O42" i="4"/>
  <c r="AG26" i="4"/>
  <c r="AJ41" i="4"/>
  <c r="AI41" i="4"/>
  <c r="AH41" i="4"/>
  <c r="AG41" i="4"/>
  <c r="U41" i="4"/>
  <c r="I41" i="4"/>
  <c r="AB41" i="4"/>
  <c r="AC41" i="4"/>
  <c r="AA41" i="4"/>
  <c r="Z41" i="4"/>
  <c r="Y41" i="4"/>
  <c r="X41" i="4"/>
  <c r="W41" i="4"/>
  <c r="V41" i="4"/>
  <c r="O41" i="4"/>
  <c r="AJ40" i="4"/>
  <c r="AI40" i="4"/>
  <c r="AH40" i="4"/>
  <c r="AG40" i="4"/>
  <c r="U40" i="4"/>
  <c r="I40" i="4"/>
  <c r="AB40" i="4"/>
  <c r="AC40" i="4"/>
  <c r="AA40" i="4"/>
  <c r="Z40" i="4"/>
  <c r="Y40" i="4"/>
  <c r="X40" i="4"/>
  <c r="W40" i="4"/>
  <c r="V40" i="4"/>
  <c r="O40" i="4"/>
  <c r="AJ39" i="4"/>
  <c r="AI39" i="4"/>
  <c r="AH39" i="4"/>
  <c r="AG39" i="4"/>
  <c r="U39" i="4"/>
  <c r="I39" i="4"/>
  <c r="AB39" i="4"/>
  <c r="AC39" i="4"/>
  <c r="AA39" i="4"/>
  <c r="Z39" i="4"/>
  <c r="Y39" i="4"/>
  <c r="X39" i="4"/>
  <c r="W39" i="4"/>
  <c r="V39" i="4"/>
  <c r="O39" i="4"/>
  <c r="AJ38" i="4"/>
  <c r="AI38" i="4"/>
  <c r="AH38" i="4"/>
  <c r="AG38" i="4"/>
  <c r="U38" i="4"/>
  <c r="I38" i="4"/>
  <c r="AB38" i="4"/>
  <c r="AC38" i="4"/>
  <c r="AA38" i="4"/>
  <c r="Z38" i="4"/>
  <c r="Y38" i="4"/>
  <c r="X38" i="4"/>
  <c r="W38" i="4"/>
  <c r="V38" i="4"/>
  <c r="O38" i="4"/>
  <c r="AJ37" i="4"/>
  <c r="AI37" i="4"/>
  <c r="AH37" i="4"/>
  <c r="AG37" i="4"/>
  <c r="U37" i="4"/>
  <c r="I37" i="4"/>
  <c r="AB37" i="4"/>
  <c r="AC37" i="4"/>
  <c r="AA37" i="4"/>
  <c r="Z37" i="4"/>
  <c r="Y37" i="4"/>
  <c r="X37" i="4"/>
  <c r="W37" i="4"/>
  <c r="V37" i="4"/>
  <c r="O37" i="4"/>
  <c r="AJ32" i="4"/>
  <c r="AI32" i="4"/>
  <c r="AH32" i="4"/>
  <c r="AG32" i="4"/>
  <c r="U32" i="4"/>
  <c r="I32" i="4"/>
  <c r="AB32" i="4"/>
  <c r="AC32" i="4"/>
  <c r="AA32" i="4"/>
  <c r="Z32" i="4"/>
  <c r="Y32" i="4"/>
  <c r="X32" i="4"/>
  <c r="W32" i="4"/>
  <c r="V32" i="4"/>
  <c r="O32" i="4"/>
  <c r="AJ31" i="4"/>
  <c r="AI31" i="4"/>
  <c r="AH31" i="4"/>
  <c r="AG31" i="4"/>
  <c r="U31" i="4"/>
  <c r="I31" i="4"/>
  <c r="AB31" i="4"/>
  <c r="AC31" i="4"/>
  <c r="AA31" i="4"/>
  <c r="Z31" i="4"/>
  <c r="Y31" i="4"/>
  <c r="X31" i="4"/>
  <c r="W31" i="4"/>
  <c r="V31" i="4"/>
  <c r="O31" i="4"/>
  <c r="A40" i="4"/>
  <c r="A37" i="4"/>
  <c r="A32" i="4"/>
  <c r="A31" i="4"/>
  <c r="A30" i="4"/>
  <c r="A29" i="4"/>
  <c r="A28" i="4"/>
  <c r="A27" i="4"/>
  <c r="AJ30" i="4"/>
  <c r="AI30" i="4"/>
  <c r="AH30" i="4"/>
  <c r="AG30" i="4"/>
  <c r="U30" i="4"/>
  <c r="I30" i="4"/>
  <c r="AB30" i="4"/>
  <c r="AC30" i="4"/>
  <c r="AA30" i="4"/>
  <c r="Z30" i="4"/>
  <c r="Y30" i="4"/>
  <c r="X30" i="4"/>
  <c r="W30" i="4"/>
  <c r="V30" i="4"/>
  <c r="O30" i="4"/>
  <c r="AJ29" i="4"/>
  <c r="AI29" i="4"/>
  <c r="AH29" i="4"/>
  <c r="AG29" i="4"/>
  <c r="U29" i="4"/>
  <c r="I29" i="4"/>
  <c r="AB29" i="4"/>
  <c r="AC29" i="4"/>
  <c r="AA29" i="4"/>
  <c r="Z29" i="4"/>
  <c r="Y29" i="4"/>
  <c r="X29" i="4"/>
  <c r="W29" i="4"/>
  <c r="V29" i="4"/>
  <c r="O29" i="4"/>
  <c r="AJ28" i="4"/>
  <c r="AI28" i="4"/>
  <c r="AH28" i="4"/>
  <c r="AG28" i="4"/>
  <c r="U28" i="4"/>
  <c r="I28" i="4"/>
  <c r="AB28" i="4"/>
  <c r="AC28" i="4"/>
  <c r="AA28" i="4"/>
  <c r="Z28" i="4"/>
  <c r="Y28" i="4"/>
  <c r="X28" i="4"/>
  <c r="W28" i="4"/>
  <c r="V28" i="4"/>
  <c r="O28" i="4"/>
  <c r="AJ27" i="4"/>
  <c r="AI27" i="4"/>
  <c r="AH27" i="4"/>
  <c r="AG27" i="4"/>
  <c r="U27" i="4"/>
  <c r="I27" i="4"/>
  <c r="AB27" i="4"/>
  <c r="AC27" i="4"/>
  <c r="AA27" i="4"/>
  <c r="Z27" i="4"/>
  <c r="Y27" i="4"/>
  <c r="X27" i="4"/>
  <c r="W27" i="4"/>
  <c r="V27" i="4"/>
  <c r="O27" i="4"/>
  <c r="AI26" i="4"/>
  <c r="U26" i="4"/>
  <c r="I26" i="4"/>
  <c r="AB26" i="4"/>
  <c r="AC26" i="4"/>
  <c r="Z26" i="4"/>
  <c r="X26" i="4"/>
  <c r="AJ26" i="4"/>
  <c r="AH26" i="4"/>
  <c r="AA26" i="4"/>
  <c r="Y26" i="4"/>
  <c r="W26" i="4"/>
  <c r="V26" i="4"/>
  <c r="O26" i="4"/>
  <c r="A26" i="4"/>
  <c r="A5" i="4"/>
  <c r="A4" i="4"/>
  <c r="A3" i="4"/>
  <c r="A2" i="4"/>
</calcChain>
</file>

<file path=xl/sharedStrings.xml><?xml version="1.0" encoding="utf-8"?>
<sst xmlns="http://schemas.openxmlformats.org/spreadsheetml/2006/main" count="203" uniqueCount="71">
  <si>
    <t>Origin_Company</t>
  </si>
  <si>
    <t>Customer_Supplier</t>
  </si>
  <si>
    <t>QTY</t>
  </si>
  <si>
    <t>SALES</t>
  </si>
  <si>
    <t>MARGIN_ON_TOTAL_COST</t>
  </si>
  <si>
    <t>MARGIN_ON_TOTAL_COST_%</t>
  </si>
  <si>
    <t>Total Allocation</t>
  </si>
  <si>
    <t>TOTAL PRODUCT</t>
  </si>
  <si>
    <t>D</t>
  </si>
  <si>
    <t>N</t>
  </si>
  <si>
    <t>[Begin Format Range]</t>
  </si>
  <si>
    <t>[End Format Range]</t>
  </si>
  <si>
    <t>Product configuration</t>
  </si>
  <si>
    <t>Area / Region</t>
  </si>
  <si>
    <t>Local currency</t>
  </si>
  <si>
    <t>Margin %</t>
  </si>
  <si>
    <t>MARGIN</t>
  </si>
  <si>
    <t>(in '000)</t>
  </si>
  <si>
    <t>Variances YTD</t>
  </si>
  <si>
    <t>in pt</t>
  </si>
  <si>
    <t>Year To Go vs annual goal</t>
  </si>
  <si>
    <t>x</t>
  </si>
  <si>
    <t>L - 000 -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</si>
  <si>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</si>
  <si>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</si>
  <si>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</si>
  <si>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</si>
  <si>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</si>
  <si>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</si>
  <si>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</si>
  <si>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</si>
  <si>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</si>
  <si>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</si>
  <si>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- 712000 - CHOPPERS</t>
  </si>
  <si>
    <t>L - 715000 - BEDDING &amp; FEEDING</t>
  </si>
  <si>
    <t>L - 718000 - MANURE SPREADING</t>
  </si>
  <si>
    <t>L - 719000 - NON CONVENTIO. HARVESTING</t>
  </si>
  <si>
    <t>L - 720000 - FREIGHT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</si>
  <si>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</si>
  <si>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</si>
  <si>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</si>
  <si>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</si>
  <si>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</si>
  <si>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</si>
  <si>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</si>
  <si>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</si>
  <si>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</si>
  <si>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 SERVICES/EQUIPMENT</t>
  </si>
  <si>
    <t>L - 999000 - RECONCILIATION GEN</t>
  </si>
  <si>
    <t>L - NA - Not Available</t>
  </si>
  <si>
    <t>K_SALES - Sales KSA</t>
  </si>
  <si>
    <t>K_EXPORT</t>
  </si>
  <si>
    <t>K_METROP</t>
  </si>
  <si>
    <t>K_OTHERS.</t>
  </si>
  <si>
    <t>KUHN</t>
  </si>
  <si>
    <t xml:space="preserve">     Sales margin report KSA _ product wo Spraying</t>
  </si>
  <si>
    <t>L - SOL - Tillage</t>
  </si>
  <si>
    <t>L - SEM - Seeding</t>
  </si>
  <si>
    <t>L - FER - Fertilisation</t>
  </si>
  <si>
    <t>L - ENT - Landscape Maintenance</t>
  </si>
  <si>
    <t>L - BRO - Shredders</t>
  </si>
  <si>
    <t>L - RFO - Hay / Silage Making</t>
  </si>
  <si>
    <t>F - GMD - Mowers</t>
  </si>
  <si>
    <t>F - FC - Mower Conditioners</t>
  </si>
  <si>
    <t>F - GF - Gyrotedders</t>
  </si>
  <si>
    <t>F - GA - Rakes</t>
  </si>
  <si>
    <t>L - PRE - Balers</t>
  </si>
  <si>
    <t>L - CDE - Bedding &amp; Feeding</t>
  </si>
  <si>
    <t>L - DIV - OTHER</t>
  </si>
  <si>
    <t>L - SER - SERVICES</t>
  </si>
  <si>
    <t>L - PDR - Parts : Common &amp; Kuhn 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</si>
</sst>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+ &quot;@"/>
    <numFmt numFmtId="165" formatCode="#,##0.0"/>
    <numFmt numFmtId="166" formatCode="0.0%"/>
    <numFmt numFmtId="167" formatCode="&quot;- &quot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9"/>
      <color indexed="9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indexed="9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0" tint="-0.249977111117893"/>
      <name val="Calibri"/>
      <family val="2"/>
      <scheme val="minor"/>
    </font>
    <font>
      <b/>
      <i/>
      <sz val="9"/>
      <color theme="0" tint="-0.249977111117893"/>
      <name val="Calibri"/>
      <family val="2"/>
      <scheme val="minor"/>
    </font>
    <font>
      <sz val="11"/>
      <color rgb="FFBDD6E7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b/>
      <sz val="10"/>
      <color indexed="9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240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165" fontId="0" fillId="6" borderId="0" xfId="0" applyNumberFormat="1" applyFill="1" applyBorder="1"/>
    <xf numFmtId="0" fontId="1" fillId="7" borderId="0" xfId="0" applyFont="1" applyFill="1"/>
    <xf numFmtId="0" fontId="0" fillId="7" borderId="0" xfId="0" applyFill="1"/>
    <xf numFmtId="0" fontId="4" fillId="7" borderId="0" xfId="0" applyFont="1" applyFill="1"/>
    <xf numFmtId="0" fontId="4" fillId="7" borderId="2" xfId="0" applyFont="1" applyFill="1" applyBorder="1" applyAlignment="1">
      <alignment horizontal="center"/>
    </xf>
    <xf numFmtId="0" fontId="0" fillId="7" borderId="2" xfId="0" applyFill="1" applyBorder="1"/>
    <xf numFmtId="0" fontId="0" fillId="0" borderId="0" xfId="0" applyAlignment="1">
      <alignment vertical="center" wrapText="1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/>
    <xf numFmtId="0" fontId="0" fillId="7" borderId="8" xfId="0" applyFill="1" applyBorder="1" applyAlignment="1">
      <alignment vertical="center" wrapText="1"/>
    </xf>
    <xf numFmtId="0" fontId="0" fillId="7" borderId="7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3" fontId="3" fillId="2" borderId="0" xfId="0" applyNumberFormat="1" applyFont="1" applyFill="1" applyAlignment="1">
      <alignment horizontal="right"/>
    </xf>
    <xf numFmtId="166" fontId="3" fillId="2" borderId="2" xfId="1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166" fontId="3" fillId="3" borderId="2" xfId="1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166" fontId="3" fillId="4" borderId="2" xfId="1" applyNumberFormat="1" applyFont="1" applyFill="1" applyBorder="1" applyAlignment="1">
      <alignment horizontal="right"/>
    </xf>
    <xf numFmtId="3" fontId="3" fillId="5" borderId="0" xfId="0" applyNumberFormat="1" applyFont="1" applyFill="1" applyAlignment="1">
      <alignment horizontal="right"/>
    </xf>
    <xf numFmtId="166" fontId="3" fillId="5" borderId="2" xfId="1" applyNumberFormat="1" applyFont="1" applyFill="1" applyBorder="1" applyAlignment="1">
      <alignment horizontal="right"/>
    </xf>
    <xf numFmtId="3" fontId="3" fillId="0" borderId="0" xfId="0" applyNumberFormat="1" applyFont="1" applyAlignment="1">
      <alignment horizontal="right"/>
    </xf>
    <xf numFmtId="166" fontId="3" fillId="0" borderId="2" xfId="1" applyNumberFormat="1" applyFont="1" applyBorder="1" applyAlignment="1">
      <alignment horizontal="right"/>
    </xf>
    <xf numFmtId="3" fontId="0" fillId="6" borderId="0" xfId="0" applyNumberFormat="1" applyFill="1" applyBorder="1" applyAlignment="1">
      <alignment horizontal="right"/>
    </xf>
    <xf numFmtId="166" fontId="0" fillId="6" borderId="0" xfId="1" applyNumberFormat="1" applyFont="1" applyFill="1" applyBorder="1" applyAlignment="1">
      <alignment horizontal="right"/>
    </xf>
    <xf numFmtId="3" fontId="0" fillId="7" borderId="0" xfId="0" applyNumberFormat="1" applyFill="1" applyAlignment="1">
      <alignment horizontal="right"/>
    </xf>
    <xf numFmtId="166" fontId="0" fillId="7" borderId="0" xfId="1" applyNumberFormat="1" applyFont="1" applyFill="1" applyAlignment="1">
      <alignment horizontal="right"/>
    </xf>
    <xf numFmtId="0" fontId="1" fillId="8" borderId="0" xfId="0" applyFont="1" applyFill="1" applyBorder="1" applyAlignment="1">
      <alignment horizontal="right"/>
    </xf>
    <xf numFmtId="3" fontId="5" fillId="7" borderId="0" xfId="0" applyNumberFormat="1" applyFont="1" applyFill="1" applyAlignment="1">
      <alignment horizontal="right"/>
    </xf>
    <xf numFmtId="3" fontId="2" fillId="7" borderId="0" xfId="0" applyNumberFormat="1" applyFont="1" applyFill="1" applyAlignment="1">
      <alignment horizontal="right" vertical="center" wrapText="1"/>
    </xf>
    <xf numFmtId="166" fontId="2" fillId="7" borderId="2" xfId="1" applyNumberFormat="1" applyFont="1" applyFill="1" applyBorder="1" applyAlignment="1">
      <alignment horizontal="right" vertical="center" wrapText="1"/>
    </xf>
    <xf numFmtId="3" fontId="2" fillId="7" borderId="8" xfId="0" applyNumberFormat="1" applyFont="1" applyFill="1" applyBorder="1" applyAlignment="1">
      <alignment horizontal="right" vertical="center" wrapText="1"/>
    </xf>
    <xf numFmtId="166" fontId="2" fillId="7" borderId="7" xfId="1" applyNumberFormat="1" applyFont="1" applyFill="1" applyBorder="1" applyAlignment="1">
      <alignment horizontal="right" vertical="center" wrapText="1"/>
    </xf>
    <xf numFmtId="3" fontId="2" fillId="7" borderId="0" xfId="0" applyNumberFormat="1" applyFont="1" applyFill="1" applyBorder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7" borderId="2" xfId="0" applyNumberFormat="1" applyFont="1" applyFill="1" applyBorder="1" applyAlignment="1">
      <alignment horizontal="center"/>
    </xf>
    <xf numFmtId="166" fontId="11" fillId="0" borderId="0" xfId="1" applyNumberFormat="1" applyFont="1" applyAlignment="1">
      <alignment horizontal="right"/>
    </xf>
    <xf numFmtId="166" fontId="12" fillId="2" borderId="0" xfId="1" applyNumberFormat="1" applyFont="1" applyFill="1" applyBorder="1" applyAlignment="1">
      <alignment horizontal="right"/>
    </xf>
    <xf numFmtId="166" fontId="12" fillId="2" borderId="2" xfId="1" applyNumberFormat="1" applyFont="1" applyFill="1" applyBorder="1" applyAlignment="1">
      <alignment horizontal="right"/>
    </xf>
    <xf numFmtId="166" fontId="12" fillId="3" borderId="0" xfId="1" applyNumberFormat="1" applyFont="1" applyFill="1" applyBorder="1" applyAlignment="1">
      <alignment horizontal="right"/>
    </xf>
    <xf numFmtId="166" fontId="12" fillId="3" borderId="2" xfId="1" applyNumberFormat="1" applyFont="1" applyFill="1" applyBorder="1" applyAlignment="1">
      <alignment horizontal="right"/>
    </xf>
    <xf numFmtId="166" fontId="12" fillId="4" borderId="0" xfId="1" applyNumberFormat="1" applyFont="1" applyFill="1" applyBorder="1" applyAlignment="1">
      <alignment horizontal="right"/>
    </xf>
    <xf numFmtId="166" fontId="12" fillId="4" borderId="2" xfId="1" applyNumberFormat="1" applyFont="1" applyFill="1" applyBorder="1" applyAlignment="1">
      <alignment horizontal="right"/>
    </xf>
    <xf numFmtId="166" fontId="12" fillId="5" borderId="0" xfId="1" applyNumberFormat="1" applyFont="1" applyFill="1" applyBorder="1" applyAlignment="1">
      <alignment horizontal="right"/>
    </xf>
    <xf numFmtId="166" fontId="12" fillId="5" borderId="2" xfId="1" applyNumberFormat="1" applyFont="1" applyFill="1" applyBorder="1" applyAlignment="1">
      <alignment horizontal="right"/>
    </xf>
    <xf numFmtId="166" fontId="12" fillId="0" borderId="0" xfId="1" applyNumberFormat="1" applyFont="1" applyBorder="1" applyAlignment="1">
      <alignment horizontal="right"/>
    </xf>
    <xf numFmtId="166" fontId="12" fillId="0" borderId="2" xfId="1" applyNumberFormat="1" applyFont="1" applyBorder="1" applyAlignment="1">
      <alignment horizontal="right"/>
    </xf>
    <xf numFmtId="166" fontId="11" fillId="6" borderId="0" xfId="1" applyNumberFormat="1" applyFont="1" applyFill="1" applyBorder="1" applyAlignment="1">
      <alignment horizontal="right"/>
    </xf>
    <xf numFmtId="166" fontId="11" fillId="7" borderId="0" xfId="1" applyNumberFormat="1" applyFont="1" applyFill="1" applyAlignment="1">
      <alignment horizontal="right"/>
    </xf>
    <xf numFmtId="3" fontId="11" fillId="0" borderId="0" xfId="1" applyNumberFormat="1" applyFont="1" applyAlignment="1">
      <alignment horizontal="right"/>
    </xf>
    <xf numFmtId="3" fontId="12" fillId="2" borderId="0" xfId="1" applyNumberFormat="1" applyFont="1" applyFill="1" applyBorder="1" applyAlignment="1">
      <alignment horizontal="right"/>
    </xf>
    <xf numFmtId="3" fontId="12" fillId="2" borderId="2" xfId="1" applyNumberFormat="1" applyFont="1" applyFill="1" applyBorder="1" applyAlignment="1">
      <alignment horizontal="right"/>
    </xf>
    <xf numFmtId="3" fontId="12" fillId="3" borderId="0" xfId="1" applyNumberFormat="1" applyFont="1" applyFill="1" applyBorder="1" applyAlignment="1">
      <alignment horizontal="right"/>
    </xf>
    <xf numFmtId="3" fontId="12" fillId="3" borderId="2" xfId="1" applyNumberFormat="1" applyFont="1" applyFill="1" applyBorder="1" applyAlignment="1">
      <alignment horizontal="right"/>
    </xf>
    <xf numFmtId="3" fontId="12" fillId="4" borderId="0" xfId="1" applyNumberFormat="1" applyFont="1" applyFill="1" applyBorder="1" applyAlignment="1">
      <alignment horizontal="right"/>
    </xf>
    <xf numFmtId="3" fontId="12" fillId="4" borderId="2" xfId="1" applyNumberFormat="1" applyFont="1" applyFill="1" applyBorder="1" applyAlignment="1">
      <alignment horizontal="right"/>
    </xf>
    <xf numFmtId="3" fontId="12" fillId="5" borderId="0" xfId="1" applyNumberFormat="1" applyFont="1" applyFill="1" applyBorder="1" applyAlignment="1">
      <alignment horizontal="right"/>
    </xf>
    <xf numFmtId="3" fontId="12" fillId="5" borderId="2" xfId="1" applyNumberFormat="1" applyFont="1" applyFill="1" applyBorder="1" applyAlignment="1">
      <alignment horizontal="right"/>
    </xf>
    <xf numFmtId="3" fontId="12" fillId="0" borderId="0" xfId="1" applyNumberFormat="1" applyFont="1" applyBorder="1" applyAlignment="1">
      <alignment horizontal="right"/>
    </xf>
    <xf numFmtId="3" fontId="12" fillId="0" borderId="2" xfId="1" applyNumberFormat="1" applyFont="1" applyBorder="1" applyAlignment="1">
      <alignment horizontal="right"/>
    </xf>
    <xf numFmtId="3" fontId="11" fillId="6" borderId="0" xfId="1" applyNumberFormat="1" applyFont="1" applyFill="1" applyBorder="1" applyAlignment="1">
      <alignment horizontal="right"/>
    </xf>
    <xf numFmtId="3" fontId="11" fillId="7" borderId="0" xfId="1" applyNumberFormat="1" applyFont="1" applyFill="1" applyAlignment="1">
      <alignment horizontal="right"/>
    </xf>
    <xf numFmtId="3" fontId="14" fillId="10" borderId="0" xfId="1" applyNumberFormat="1" applyFont="1" applyFill="1" applyBorder="1" applyAlignment="1">
      <alignment horizontal="center"/>
    </xf>
    <xf numFmtId="3" fontId="14" fillId="10" borderId="2" xfId="1" applyNumberFormat="1" applyFont="1" applyFill="1" applyBorder="1" applyAlignment="1">
      <alignment horizontal="center"/>
    </xf>
    <xf numFmtId="3" fontId="15" fillId="10" borderId="8" xfId="1" applyNumberFormat="1" applyFont="1" applyFill="1" applyBorder="1" applyAlignment="1">
      <alignment horizontal="right" vertical="center" wrapText="1"/>
    </xf>
    <xf numFmtId="3" fontId="15" fillId="10" borderId="7" xfId="1" applyNumberFormat="1" applyFont="1" applyFill="1" applyBorder="1" applyAlignment="1">
      <alignment horizontal="right" vertical="center" wrapText="1"/>
    </xf>
    <xf numFmtId="166" fontId="14" fillId="10" borderId="0" xfId="1" applyNumberFormat="1" applyFont="1" applyFill="1" applyBorder="1" applyAlignment="1">
      <alignment horizontal="center"/>
    </xf>
    <xf numFmtId="166" fontId="15" fillId="10" borderId="8" xfId="1" applyNumberFormat="1" applyFont="1" applyFill="1" applyBorder="1" applyAlignment="1">
      <alignment horizontal="right" vertical="center" wrapText="1"/>
    </xf>
    <xf numFmtId="165" fontId="11" fillId="0" borderId="0" xfId="1" applyNumberFormat="1" applyFont="1" applyAlignment="1">
      <alignment horizontal="right"/>
    </xf>
    <xf numFmtId="165" fontId="11" fillId="6" borderId="0" xfId="1" applyNumberFormat="1" applyFont="1" applyFill="1" applyBorder="1" applyAlignment="1">
      <alignment horizontal="right"/>
    </xf>
    <xf numFmtId="165" fontId="11" fillId="7" borderId="0" xfId="1" applyNumberFormat="1" applyFont="1" applyFill="1" applyAlignment="1">
      <alignment horizontal="right"/>
    </xf>
    <xf numFmtId="165" fontId="12" fillId="2" borderId="0" xfId="1" applyNumberFormat="1" applyFont="1" applyFill="1" applyBorder="1" applyAlignment="1">
      <alignment horizontal="right"/>
    </xf>
    <xf numFmtId="165" fontId="12" fillId="3" borderId="0" xfId="1" applyNumberFormat="1" applyFont="1" applyFill="1" applyBorder="1" applyAlignment="1">
      <alignment horizontal="right"/>
    </xf>
    <xf numFmtId="165" fontId="12" fillId="4" borderId="0" xfId="1" applyNumberFormat="1" applyFont="1" applyFill="1" applyBorder="1" applyAlignment="1">
      <alignment horizontal="right"/>
    </xf>
    <xf numFmtId="165" fontId="12" fillId="5" borderId="0" xfId="1" applyNumberFormat="1" applyFont="1" applyFill="1" applyBorder="1" applyAlignment="1">
      <alignment horizontal="right"/>
    </xf>
    <xf numFmtId="165" fontId="12" fillId="0" borderId="0" xfId="1" applyNumberFormat="1" applyFont="1" applyBorder="1" applyAlignment="1">
      <alignment horizontal="right"/>
    </xf>
    <xf numFmtId="165" fontId="14" fillId="10" borderId="0" xfId="1" applyNumberFormat="1" applyFont="1" applyFill="1" applyBorder="1" applyAlignment="1">
      <alignment horizontal="center"/>
    </xf>
    <xf numFmtId="165" fontId="15" fillId="10" borderId="8" xfId="1" applyNumberFormat="1" applyFont="1" applyFill="1" applyBorder="1" applyAlignment="1">
      <alignment horizontal="right" vertical="center" wrapText="1"/>
    </xf>
    <xf numFmtId="3" fontId="11" fillId="0" borderId="0" xfId="0" applyNumberFormat="1" applyFont="1" applyAlignment="1">
      <alignment horizontal="right"/>
    </xf>
    <xf numFmtId="3" fontId="12" fillId="2" borderId="0" xfId="0" applyNumberFormat="1" applyFont="1" applyFill="1" applyAlignment="1">
      <alignment horizontal="right"/>
    </xf>
    <xf numFmtId="3" fontId="12" fillId="3" borderId="0" xfId="0" applyNumberFormat="1" applyFont="1" applyFill="1" applyAlignment="1">
      <alignment horizontal="right"/>
    </xf>
    <xf numFmtId="3" fontId="12" fillId="4" borderId="0" xfId="0" applyNumberFormat="1" applyFont="1" applyFill="1" applyAlignment="1">
      <alignment horizontal="right"/>
    </xf>
    <xf numFmtId="3" fontId="12" fillId="5" borderId="0" xfId="0" applyNumberFormat="1" applyFont="1" applyFill="1" applyAlignment="1">
      <alignment horizontal="right"/>
    </xf>
    <xf numFmtId="3" fontId="12" fillId="0" borderId="0" xfId="0" applyNumberFormat="1" applyFont="1" applyAlignment="1">
      <alignment horizontal="right"/>
    </xf>
    <xf numFmtId="3" fontId="11" fillId="6" borderId="0" xfId="0" applyNumberFormat="1" applyFont="1" applyFill="1" applyBorder="1" applyAlignment="1">
      <alignment horizontal="right"/>
    </xf>
    <xf numFmtId="3" fontId="11" fillId="7" borderId="0" xfId="0" applyNumberFormat="1" applyFont="1" applyFill="1" applyAlignment="1">
      <alignment horizontal="right"/>
    </xf>
    <xf numFmtId="0" fontId="13" fillId="10" borderId="5" xfId="0" applyFont="1" applyFill="1" applyBorder="1" applyAlignment="1"/>
    <xf numFmtId="0" fontId="13" fillId="10" borderId="6" xfId="0" applyFont="1" applyFill="1" applyBorder="1" applyAlignment="1"/>
    <xf numFmtId="3" fontId="15" fillId="10" borderId="0" xfId="0" applyNumberFormat="1" applyFont="1" applyFill="1" applyBorder="1" applyAlignment="1">
      <alignment horizontal="center"/>
    </xf>
    <xf numFmtId="3" fontId="15" fillId="10" borderId="2" xfId="0" applyNumberFormat="1" applyFont="1" applyFill="1" applyBorder="1" applyAlignment="1">
      <alignment horizontal="center"/>
    </xf>
    <xf numFmtId="3" fontId="14" fillId="7" borderId="8" xfId="0" applyNumberFormat="1" applyFont="1" applyFill="1" applyBorder="1" applyAlignment="1">
      <alignment horizontal="right" vertical="center" wrapText="1"/>
    </xf>
    <xf numFmtId="166" fontId="14" fillId="7" borderId="7" xfId="1" applyNumberFormat="1" applyFont="1" applyFill="1" applyBorder="1" applyAlignment="1">
      <alignment horizontal="right" vertical="center" wrapText="1"/>
    </xf>
    <xf numFmtId="3" fontId="12" fillId="2" borderId="3" xfId="0" applyNumberFormat="1" applyFont="1" applyFill="1" applyBorder="1" applyAlignment="1">
      <alignment horizontal="right"/>
    </xf>
    <xf numFmtId="3" fontId="12" fillId="3" borderId="3" xfId="0" applyNumberFormat="1" applyFont="1" applyFill="1" applyBorder="1" applyAlignment="1">
      <alignment horizontal="right"/>
    </xf>
    <xf numFmtId="3" fontId="12" fillId="4" borderId="3" xfId="0" applyNumberFormat="1" applyFont="1" applyFill="1" applyBorder="1" applyAlignment="1">
      <alignment horizontal="right"/>
    </xf>
    <xf numFmtId="3" fontId="12" fillId="5" borderId="3" xfId="0" applyNumberFormat="1" applyFont="1" applyFill="1" applyBorder="1" applyAlignment="1">
      <alignment horizontal="right"/>
    </xf>
    <xf numFmtId="3" fontId="12" fillId="0" borderId="3" xfId="0" applyNumberFormat="1" applyFont="1" applyBorder="1" applyAlignment="1">
      <alignment horizontal="right"/>
    </xf>
    <xf numFmtId="3" fontId="15" fillId="10" borderId="3" xfId="0" applyNumberFormat="1" applyFont="1" applyFill="1" applyBorder="1" applyAlignment="1">
      <alignment horizontal="center"/>
    </xf>
    <xf numFmtId="3" fontId="14" fillId="7" borderId="9" xfId="0" applyNumberFormat="1" applyFont="1" applyFill="1" applyBorder="1" applyAlignment="1">
      <alignment horizontal="right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3" fontId="10" fillId="7" borderId="8" xfId="0" applyNumberFormat="1" applyFont="1" applyFill="1" applyBorder="1" applyAlignment="1">
      <alignment horizontal="right" vertical="center" wrapText="1"/>
    </xf>
    <xf numFmtId="3" fontId="15" fillId="10" borderId="0" xfId="0" applyNumberFormat="1" applyFont="1" applyFill="1" applyBorder="1" applyAlignment="1">
      <alignment horizontal="right" vertical="center"/>
    </xf>
    <xf numFmtId="3" fontId="15" fillId="10" borderId="3" xfId="0" applyNumberFormat="1" applyFont="1" applyFill="1" applyBorder="1" applyAlignment="1">
      <alignment horizontal="right" vertical="center"/>
    </xf>
    <xf numFmtId="166" fontId="15" fillId="10" borderId="2" xfId="1" applyNumberFormat="1" applyFont="1" applyFill="1" applyBorder="1" applyAlignment="1">
      <alignment horizontal="right" vertical="center"/>
    </xf>
    <xf numFmtId="166" fontId="15" fillId="10" borderId="0" xfId="1" applyNumberFormat="1" applyFont="1" applyFill="1" applyBorder="1" applyAlignment="1">
      <alignment horizontal="center"/>
    </xf>
    <xf numFmtId="166" fontId="15" fillId="10" borderId="0" xfId="1" applyNumberFormat="1" applyFont="1" applyFill="1" applyBorder="1" applyAlignment="1">
      <alignment horizontal="right" vertical="center"/>
    </xf>
    <xf numFmtId="166" fontId="14" fillId="7" borderId="8" xfId="1" applyNumberFormat="1" applyFont="1" applyFill="1" applyBorder="1" applyAlignment="1">
      <alignment horizontal="right" vertical="center" wrapText="1"/>
    </xf>
    <xf numFmtId="166" fontId="12" fillId="2" borderId="0" xfId="1" applyNumberFormat="1" applyFont="1" applyFill="1" applyAlignment="1">
      <alignment horizontal="right"/>
    </xf>
    <xf numFmtId="166" fontId="12" fillId="3" borderId="0" xfId="1" applyNumberFormat="1" applyFont="1" applyFill="1" applyAlignment="1">
      <alignment horizontal="right"/>
    </xf>
    <xf numFmtId="166" fontId="12" fillId="4" borderId="0" xfId="1" applyNumberFormat="1" applyFont="1" applyFill="1" applyAlignment="1">
      <alignment horizontal="right"/>
    </xf>
    <xf numFmtId="166" fontId="12" fillId="5" borderId="0" xfId="1" applyNumberFormat="1" applyFont="1" applyFill="1" applyAlignment="1">
      <alignment horizontal="right"/>
    </xf>
    <xf numFmtId="166" fontId="12" fillId="0" borderId="0" xfId="1" applyNumberFormat="1" applyFont="1" applyAlignment="1">
      <alignment horizontal="right"/>
    </xf>
    <xf numFmtId="3" fontId="15" fillId="9" borderId="0" xfId="1" applyNumberFormat="1" applyFont="1" applyFill="1" applyBorder="1" applyAlignment="1">
      <alignment horizontal="right" vertical="center"/>
    </xf>
    <xf numFmtId="3" fontId="15" fillId="10" borderId="0" xfId="1" applyNumberFormat="1" applyFont="1" applyFill="1" applyBorder="1" applyAlignment="1">
      <alignment horizontal="right" vertical="center"/>
    </xf>
    <xf numFmtId="165" fontId="15" fillId="9" borderId="0" xfId="1" applyNumberFormat="1" applyFont="1" applyFill="1" applyBorder="1" applyAlignment="1">
      <alignment horizontal="right" vertical="center"/>
    </xf>
    <xf numFmtId="3" fontId="15" fillId="9" borderId="2" xfId="1" applyNumberFormat="1" applyFont="1" applyFill="1" applyBorder="1" applyAlignment="1">
      <alignment horizontal="right" vertical="center"/>
    </xf>
    <xf numFmtId="3" fontId="16" fillId="9" borderId="8" xfId="1" applyNumberFormat="1" applyFont="1" applyFill="1" applyBorder="1" applyAlignment="1">
      <alignment horizontal="right" vertical="center"/>
    </xf>
    <xf numFmtId="166" fontId="16" fillId="9" borderId="8" xfId="1" applyNumberFormat="1" applyFont="1" applyFill="1" applyBorder="1" applyAlignment="1">
      <alignment horizontal="right" vertical="center"/>
    </xf>
    <xf numFmtId="3" fontId="16" fillId="10" borderId="8" xfId="1" applyNumberFormat="1" applyFont="1" applyFill="1" applyBorder="1" applyAlignment="1">
      <alignment horizontal="right" vertical="center"/>
    </xf>
    <xf numFmtId="166" fontId="16" fillId="10" borderId="8" xfId="1" applyNumberFormat="1" applyFont="1" applyFill="1" applyBorder="1" applyAlignment="1">
      <alignment horizontal="right" vertical="center"/>
    </xf>
    <xf numFmtId="165" fontId="16" fillId="9" borderId="8" xfId="1" applyNumberFormat="1" applyFont="1" applyFill="1" applyBorder="1" applyAlignment="1">
      <alignment horizontal="right" vertical="center"/>
    </xf>
    <xf numFmtId="3" fontId="16" fillId="9" borderId="7" xfId="1" applyNumberFormat="1" applyFont="1" applyFill="1" applyBorder="1" applyAlignment="1">
      <alignment horizontal="right" vertical="center"/>
    </xf>
    <xf numFmtId="3" fontId="16" fillId="10" borderId="8" xfId="0" applyNumberFormat="1" applyFont="1" applyFill="1" applyBorder="1" applyAlignment="1">
      <alignment horizontal="right" vertical="center"/>
    </xf>
    <xf numFmtId="166" fontId="15" fillId="10" borderId="7" xfId="1" applyNumberFormat="1" applyFont="1" applyFill="1" applyBorder="1" applyAlignment="1">
      <alignment horizontal="right" vertical="center"/>
    </xf>
    <xf numFmtId="166" fontId="15" fillId="10" borderId="8" xfId="1" applyNumberFormat="1" applyFont="1" applyFill="1" applyBorder="1" applyAlignment="1">
      <alignment horizontal="right" vertical="center"/>
    </xf>
    <xf numFmtId="3" fontId="15" fillId="10" borderId="9" xfId="0" applyNumberFormat="1" applyFont="1" applyFill="1" applyBorder="1" applyAlignment="1">
      <alignment horizontal="right" vertical="center"/>
    </xf>
    <xf numFmtId="3" fontId="10" fillId="7" borderId="8" xfId="0" applyNumberFormat="1" applyFont="1" applyFill="1" applyBorder="1" applyAlignment="1">
      <alignment horizontal="right" vertical="center"/>
    </xf>
    <xf numFmtId="3" fontId="2" fillId="7" borderId="0" xfId="0" applyNumberFormat="1" applyFont="1" applyFill="1" applyAlignment="1">
      <alignment horizontal="right" vertical="center"/>
    </xf>
    <xf numFmtId="3" fontId="2" fillId="7" borderId="8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left" indent="1"/>
    </xf>
    <xf numFmtId="164" fontId="19" fillId="2" borderId="1" xfId="0" applyNumberFormat="1" applyFont="1" applyFill="1" applyBorder="1" applyAlignment="1"/>
    <xf numFmtId="3" fontId="2" fillId="7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3" fontId="2" fillId="7" borderId="0" xfId="0" applyNumberFormat="1" applyFont="1" applyFill="1" applyAlignment="1">
      <alignment horizontal="center"/>
    </xf>
    <xf numFmtId="0" fontId="9" fillId="8" borderId="4" xfId="0" applyFont="1" applyFill="1" applyBorder="1" applyAlignment="1"/>
    <xf numFmtId="0" fontId="9" fillId="8" borderId="5" xfId="0" applyFont="1" applyFill="1" applyBorder="1" applyAlignment="1"/>
    <xf numFmtId="0" fontId="9" fillId="8" borderId="6" xfId="0" applyFont="1" applyFill="1" applyBorder="1" applyAlignment="1"/>
    <xf numFmtId="3" fontId="2" fillId="7" borderId="3" xfId="0" applyNumberFormat="1" applyFont="1" applyFill="1" applyBorder="1" applyAlignment="1"/>
    <xf numFmtId="3" fontId="2" fillId="7" borderId="0" xfId="0" applyNumberFormat="1" applyFont="1" applyFill="1" applyAlignment="1"/>
    <xf numFmtId="3" fontId="2" fillId="7" borderId="2" xfId="0" applyNumberFormat="1" applyFont="1" applyFill="1" applyBorder="1" applyAlignment="1"/>
    <xf numFmtId="3" fontId="13" fillId="10" borderId="4" xfId="1" applyNumberFormat="1" applyFont="1" applyFill="1" applyBorder="1" applyAlignment="1"/>
    <xf numFmtId="3" fontId="13" fillId="10" borderId="5" xfId="1" applyNumberFormat="1" applyFont="1" applyFill="1" applyBorder="1" applyAlignment="1"/>
    <xf numFmtId="3" fontId="13" fillId="10" borderId="6" xfId="1" applyNumberFormat="1" applyFont="1" applyFill="1" applyBorder="1" applyAlignment="1"/>
    <xf numFmtId="3" fontId="15" fillId="10" borderId="0" xfId="0" applyNumberFormat="1" applyFont="1" applyFill="1" applyBorder="1" applyAlignment="1"/>
    <xf numFmtId="3" fontId="15" fillId="10" borderId="2" xfId="0" applyNumberFormat="1" applyFont="1" applyFill="1" applyBorder="1" applyAlignment="1"/>
    <xf numFmtId="3" fontId="3" fillId="11" borderId="0" xfId="0" applyNumberFormat="1" applyFont="1" applyFill="1" applyAlignment="1">
      <alignment horizontal="right"/>
    </xf>
    <xf numFmtId="167" fontId="1" fillId="2" borderId="1" xfId="0" applyNumberFormat="1" applyFont="1" applyFill="1" applyBorder="1" applyAlignment="1"/>
    <xf numFmtId="3" fontId="20" fillId="2" borderId="0" xfId="0" applyNumberFormat="1" applyFont="1" applyFill="1" applyAlignment="1">
      <alignment horizontal="right"/>
    </xf>
    <xf numFmtId="166" fontId="20" fillId="2" borderId="2" xfId="1" applyNumberFormat="1" applyFont="1" applyFill="1" applyBorder="1" applyAlignment="1">
      <alignment horizontal="right"/>
    </xf>
    <xf numFmtId="3" fontId="16" fillId="2" borderId="0" xfId="1" applyNumberFormat="1" applyFont="1" applyFill="1" applyBorder="1" applyAlignment="1">
      <alignment horizontal="right"/>
    </xf>
    <xf numFmtId="166" fontId="16" fillId="2" borderId="0" xfId="1" applyNumberFormat="1" applyFont="1" applyFill="1" applyBorder="1" applyAlignment="1">
      <alignment horizontal="right"/>
    </xf>
    <xf numFmtId="165" fontId="16" fillId="2" borderId="0" xfId="1" applyNumberFormat="1" applyFont="1" applyFill="1" applyBorder="1" applyAlignment="1">
      <alignment horizontal="right"/>
    </xf>
    <xf numFmtId="3" fontId="16" fillId="2" borderId="2" xfId="1" applyNumberFormat="1" applyFont="1" applyFill="1" applyBorder="1" applyAlignment="1">
      <alignment horizontal="right"/>
    </xf>
    <xf numFmtId="0" fontId="21" fillId="0" borderId="0" xfId="0" applyFont="1"/>
    <xf numFmtId="0" fontId="21" fillId="0" borderId="3" xfId="0" applyFont="1" applyBorder="1"/>
    <xf numFmtId="167" fontId="21" fillId="12" borderId="1" xfId="0" applyNumberFormat="1" applyFont="1" applyFill="1" applyBorder="1" applyAlignment="1">
      <alignment vertical="center"/>
    </xf>
    <xf numFmtId="3" fontId="21" fillId="12" borderId="0" xfId="0" applyNumberFormat="1" applyFont="1" applyFill="1" applyAlignment="1">
      <alignment vertical="center"/>
    </xf>
    <xf numFmtId="166" fontId="21" fillId="12" borderId="2" xfId="1" applyNumberFormat="1" applyFont="1" applyFill="1" applyBorder="1" applyAlignment="1">
      <alignment vertical="center"/>
    </xf>
    <xf numFmtId="3" fontId="13" fillId="12" borderId="0" xfId="1" applyNumberFormat="1" applyFont="1" applyFill="1" applyBorder="1" applyAlignment="1">
      <alignment vertical="center"/>
    </xf>
    <xf numFmtId="166" fontId="13" fillId="12" borderId="0" xfId="1" applyNumberFormat="1" applyFont="1" applyFill="1" applyBorder="1" applyAlignment="1">
      <alignment vertical="center"/>
    </xf>
    <xf numFmtId="165" fontId="13" fillId="12" borderId="0" xfId="1" applyNumberFormat="1" applyFont="1" applyFill="1" applyBorder="1" applyAlignment="1">
      <alignment vertical="center"/>
    </xf>
    <xf numFmtId="3" fontId="13" fillId="12" borderId="2" xfId="1" applyNumberFormat="1" applyFont="1" applyFill="1" applyBorder="1" applyAlignment="1">
      <alignment vertical="center"/>
    </xf>
    <xf numFmtId="3" fontId="13" fillId="12" borderId="4" xfId="0" applyNumberFormat="1" applyFont="1" applyFill="1" applyBorder="1" applyAlignment="1">
      <alignment vertical="center"/>
    </xf>
    <xf numFmtId="166" fontId="13" fillId="12" borderId="5" xfId="1" applyNumberFormat="1" applyFont="1" applyFill="1" applyBorder="1" applyAlignment="1">
      <alignment vertical="center"/>
    </xf>
    <xf numFmtId="3" fontId="13" fillId="12" borderId="5" xfId="0" applyNumberFormat="1" applyFont="1" applyFill="1" applyBorder="1" applyAlignment="1">
      <alignment vertical="center"/>
    </xf>
    <xf numFmtId="166" fontId="13" fillId="12" borderId="6" xfId="1" applyNumberFormat="1" applyFont="1" applyFill="1" applyBorder="1" applyAlignment="1">
      <alignment vertical="center"/>
    </xf>
    <xf numFmtId="3" fontId="20" fillId="13" borderId="0" xfId="0" applyNumberFormat="1" applyFont="1" applyFill="1" applyAlignment="1">
      <alignment horizontal="right"/>
    </xf>
    <xf numFmtId="166" fontId="20" fillId="13" borderId="2" xfId="1" applyNumberFormat="1" applyFont="1" applyFill="1" applyBorder="1" applyAlignment="1">
      <alignment horizontal="right"/>
    </xf>
    <xf numFmtId="3" fontId="16" fillId="13" borderId="0" xfId="1" applyNumberFormat="1" applyFont="1" applyFill="1" applyBorder="1" applyAlignment="1">
      <alignment horizontal="right"/>
    </xf>
    <xf numFmtId="166" fontId="16" fillId="13" borderId="0" xfId="1" applyNumberFormat="1" applyFont="1" applyFill="1" applyBorder="1" applyAlignment="1">
      <alignment horizontal="right"/>
    </xf>
    <xf numFmtId="165" fontId="16" fillId="13" borderId="0" xfId="1" applyNumberFormat="1" applyFont="1" applyFill="1" applyBorder="1" applyAlignment="1">
      <alignment horizontal="right"/>
    </xf>
    <xf numFmtId="3" fontId="16" fillId="13" borderId="2" xfId="1" applyNumberFormat="1" applyFont="1" applyFill="1" applyBorder="1" applyAlignment="1">
      <alignment horizontal="right"/>
    </xf>
    <xf numFmtId="164" fontId="22" fillId="12" borderId="1" xfId="0" applyNumberFormat="1" applyFont="1" applyFill="1" applyBorder="1" applyAlignment="1"/>
    <xf numFmtId="164" fontId="1" fillId="2" borderId="1" xfId="0" applyNumberFormat="1" applyFont="1" applyFill="1" applyBorder="1" applyAlignment="1">
      <alignment horizontal="center"/>
    </xf>
    <xf numFmtId="164" fontId="1" fillId="13" borderId="1" xfId="0" applyNumberFormat="1" applyFont="1" applyFill="1" applyBorder="1" applyAlignment="1">
      <alignment horizontal="center"/>
    </xf>
    <xf numFmtId="164" fontId="21" fillId="12" borderId="1" xfId="0" applyNumberFormat="1" applyFont="1" applyFill="1" applyBorder="1" applyAlignment="1">
      <alignment horizontal="center" vertical="center"/>
    </xf>
    <xf numFmtId="3" fontId="5" fillId="7" borderId="0" xfId="0" applyNumberFormat="1" applyFont="1" applyFill="1" applyAlignment="1">
      <alignment horizontal="left"/>
    </xf>
    <xf numFmtId="164" fontId="0" fillId="11" borderId="1" xfId="0" applyNumberFormat="1" applyFill="1" applyBorder="1" applyAlignment="1">
      <alignment horizontal="left" indent="1"/>
    </xf>
    <xf numFmtId="166" fontId="3" fillId="11" borderId="2" xfId="1" applyNumberFormat="1" applyFont="1" applyFill="1" applyBorder="1" applyAlignment="1">
      <alignment horizontal="right"/>
    </xf>
    <xf numFmtId="3" fontId="12" fillId="11" borderId="0" xfId="1" applyNumberFormat="1" applyFont="1" applyFill="1" applyBorder="1" applyAlignment="1">
      <alignment horizontal="right"/>
    </xf>
    <xf numFmtId="166" fontId="12" fillId="11" borderId="0" xfId="1" applyNumberFormat="1" applyFont="1" applyFill="1" applyBorder="1" applyAlignment="1">
      <alignment horizontal="right"/>
    </xf>
    <xf numFmtId="165" fontId="12" fillId="11" borderId="0" xfId="1" applyNumberFormat="1" applyFont="1" applyFill="1" applyBorder="1" applyAlignment="1">
      <alignment horizontal="right"/>
    </xf>
    <xf numFmtId="3" fontId="12" fillId="11" borderId="2" xfId="1" applyNumberFormat="1" applyFont="1" applyFill="1" applyBorder="1" applyAlignment="1">
      <alignment horizontal="right"/>
    </xf>
    <xf numFmtId="3" fontId="12" fillId="2" borderId="0" xfId="0" applyNumberFormat="1" applyFont="1" applyFill="1" applyBorder="1" applyAlignment="1">
      <alignment horizontal="right"/>
    </xf>
    <xf numFmtId="3" fontId="16" fillId="13" borderId="3" xfId="0" applyNumberFormat="1" applyFont="1" applyFill="1" applyBorder="1" applyAlignment="1">
      <alignment horizontal="right"/>
    </xf>
    <xf numFmtId="166" fontId="12" fillId="13" borderId="0" xfId="1" applyNumberFormat="1" applyFont="1" applyFill="1" applyBorder="1" applyAlignment="1">
      <alignment horizontal="right"/>
    </xf>
    <xf numFmtId="3" fontId="12" fillId="13" borderId="0" xfId="0" applyNumberFormat="1" applyFont="1" applyFill="1" applyBorder="1" applyAlignment="1">
      <alignment horizontal="right"/>
    </xf>
    <xf numFmtId="3" fontId="16" fillId="2" borderId="3" xfId="0" applyNumberFormat="1" applyFont="1" applyFill="1" applyBorder="1" applyAlignment="1">
      <alignment horizontal="right"/>
    </xf>
    <xf numFmtId="166" fontId="12" fillId="13" borderId="2" xfId="1" applyNumberFormat="1" applyFont="1" applyFill="1" applyBorder="1" applyAlignment="1">
      <alignment horizontal="right"/>
    </xf>
    <xf numFmtId="3" fontId="12" fillId="11" borderId="3" xfId="0" applyNumberFormat="1" applyFont="1" applyFill="1" applyBorder="1" applyAlignment="1">
      <alignment horizontal="right"/>
    </xf>
    <xf numFmtId="3" fontId="12" fillId="11" borderId="0" xfId="0" applyNumberFormat="1" applyFont="1" applyFill="1" applyBorder="1" applyAlignment="1">
      <alignment horizontal="right"/>
    </xf>
    <xf numFmtId="166" fontId="12" fillId="11" borderId="2" xfId="1" applyNumberFormat="1" applyFont="1" applyFill="1" applyBorder="1" applyAlignment="1">
      <alignment horizontal="right"/>
    </xf>
    <xf numFmtId="166" fontId="15" fillId="9" borderId="2" xfId="1" applyNumberFormat="1" applyFont="1" applyFill="1" applyBorder="1" applyAlignment="1">
      <alignment horizontal="right" vertical="center"/>
    </xf>
    <xf numFmtId="166" fontId="16" fillId="9" borderId="7" xfId="1" applyNumberFormat="1" applyFont="1" applyFill="1" applyBorder="1" applyAlignment="1">
      <alignment horizontal="right" vertical="center"/>
    </xf>
    <xf numFmtId="166" fontId="15" fillId="10" borderId="7" xfId="1" applyNumberFormat="1" applyFont="1" applyFill="1" applyBorder="1" applyAlignment="1">
      <alignment horizontal="right" vertical="center" wrapText="1"/>
    </xf>
    <xf numFmtId="166" fontId="13" fillId="12" borderId="2" xfId="1" applyNumberFormat="1" applyFont="1" applyFill="1" applyBorder="1" applyAlignment="1">
      <alignment vertical="center"/>
    </xf>
    <xf numFmtId="166" fontId="16" fillId="13" borderId="2" xfId="1" applyNumberFormat="1" applyFont="1" applyFill="1" applyBorder="1" applyAlignment="1">
      <alignment horizontal="right"/>
    </xf>
    <xf numFmtId="166" fontId="16" fillId="2" borderId="2" xfId="1" applyNumberFormat="1" applyFont="1" applyFill="1" applyBorder="1" applyAlignment="1">
      <alignment horizontal="right"/>
    </xf>
    <xf numFmtId="166" fontId="17" fillId="10" borderId="2" xfId="1" applyNumberFormat="1" applyFont="1" applyFill="1" applyBorder="1" applyAlignment="1">
      <alignment horizontal="right" vertical="center"/>
    </xf>
    <xf numFmtId="166" fontId="18" fillId="10" borderId="7" xfId="1" applyNumberFormat="1" applyFont="1" applyFill="1" applyBorder="1" applyAlignment="1">
      <alignment horizontal="right" vertical="center"/>
    </xf>
    <xf numFmtId="3" fontId="14" fillId="10" borderId="3" xfId="1" applyNumberFormat="1" applyFont="1" applyFill="1" applyBorder="1" applyAlignment="1">
      <alignment horizontal="center"/>
    </xf>
    <xf numFmtId="0" fontId="13" fillId="10" borderId="4" xfId="0" applyFont="1" applyFill="1" applyBorder="1" applyAlignment="1">
      <alignment vertical="center" wrapText="1"/>
    </xf>
    <xf numFmtId="0" fontId="13" fillId="10" borderId="5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vertical="center" wrapText="1"/>
    </xf>
    <xf numFmtId="0" fontId="13" fillId="10" borderId="0" xfId="0" applyFont="1" applyFill="1" applyBorder="1" applyAlignment="1">
      <alignment vertical="center" wrapText="1"/>
    </xf>
    <xf numFmtId="3" fontId="3" fillId="2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right"/>
    </xf>
    <xf numFmtId="3" fontId="3" fillId="5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12" fillId="2" borderId="3" xfId="1" applyNumberFormat="1" applyFont="1" applyFill="1" applyBorder="1" applyAlignment="1">
      <alignment horizontal="right"/>
    </xf>
    <xf numFmtId="3" fontId="12" fillId="3" borderId="3" xfId="1" applyNumberFormat="1" applyFont="1" applyFill="1" applyBorder="1" applyAlignment="1">
      <alignment horizontal="right"/>
    </xf>
    <xf numFmtId="3" fontId="12" fillId="4" borderId="3" xfId="1" applyNumberFormat="1" applyFont="1" applyFill="1" applyBorder="1" applyAlignment="1">
      <alignment horizontal="right"/>
    </xf>
    <xf numFmtId="3" fontId="12" fillId="5" borderId="3" xfId="1" applyNumberFormat="1" applyFont="1" applyFill="1" applyBorder="1" applyAlignment="1">
      <alignment horizontal="right"/>
    </xf>
    <xf numFmtId="3" fontId="12" fillId="0" borderId="3" xfId="1" applyNumberFormat="1" applyFont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3" fontId="3" fillId="4" borderId="3" xfId="0" applyNumberFormat="1" applyFont="1" applyFill="1" applyBorder="1" applyAlignment="1">
      <alignment horizontal="right"/>
    </xf>
    <xf numFmtId="3" fontId="3" fillId="5" borderId="3" xfId="0" applyNumberFormat="1" applyFont="1" applyFill="1" applyBorder="1" applyAlignment="1">
      <alignment horizontal="right"/>
    </xf>
    <xf numFmtId="3" fontId="3" fillId="0" borderId="3" xfId="0" applyNumberFormat="1" applyFont="1" applyBorder="1" applyAlignment="1">
      <alignment horizontal="right"/>
    </xf>
    <xf numFmtId="3" fontId="16" fillId="10" borderId="9" xfId="0" applyNumberFormat="1" applyFont="1" applyFill="1" applyBorder="1" applyAlignment="1">
      <alignment horizontal="right" vertical="center"/>
    </xf>
    <xf numFmtId="3" fontId="23" fillId="7" borderId="3" xfId="0" applyNumberFormat="1" applyFont="1" applyFill="1" applyBorder="1" applyAlignment="1">
      <alignment horizontal="left"/>
    </xf>
    <xf numFmtId="164" fontId="0" fillId="4" borderId="1" xfId="0" applyNumberFormat="1" applyFill="1" applyBorder="1" applyAlignment="1">
      <alignment horizontal="left" indent="2"/>
    </xf>
    <xf numFmtId="3" fontId="21" fillId="12" borderId="6" xfId="0" applyNumberFormat="1" applyFont="1" applyFill="1" applyBorder="1" applyAlignment="1">
      <alignment vertical="center"/>
    </xf>
    <xf numFmtId="3" fontId="12" fillId="4" borderId="0" xfId="0" applyNumberFormat="1" applyFont="1" applyFill="1" applyBorder="1" applyAlignment="1">
      <alignment horizontal="right"/>
    </xf>
    <xf numFmtId="3" fontId="20" fillId="13" borderId="2" xfId="0" applyNumberFormat="1" applyFont="1" applyFill="1" applyBorder="1" applyAlignment="1">
      <alignment horizontal="right"/>
    </xf>
    <xf numFmtId="3" fontId="20" fillId="2" borderId="2" xfId="0" applyNumberFormat="1" applyFont="1" applyFill="1" applyBorder="1" applyAlignment="1">
      <alignment horizontal="right"/>
    </xf>
    <xf numFmtId="3" fontId="15" fillId="9" borderId="0" xfId="1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6"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  <dxf>
      <font>
        <b/>
        <i/>
        <color rgb="FF00B050"/>
      </font>
    </dxf>
    <dxf>
      <font>
        <b/>
        <i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3678"/>
  <ax:ocxPr ax:name="_ExtentY" ax:value="953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4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21166</xdr:rowOff>
    </xdr:from>
    <xdr:to>
      <xdr:col>13</xdr:col>
      <xdr:colOff>539750</xdr:colOff>
      <xdr:row>12</xdr:row>
      <xdr:rowOff>172450</xdr:rowOff>
    </xdr:to>
    <xdr:pic>
      <xdr:nvPicPr>
        <xdr:cNvPr id="2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166"/>
          <a:ext cx="7789333" cy="7227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15</xdr:row>
          <xdr:rowOff>152400</xdr:rowOff>
        </xdr:from>
        <xdr:to>
          <xdr:col>13</xdr:col>
          <xdr:colOff>276225</xdr:colOff>
          <xdr:row>17</xdr:row>
          <xdr:rowOff>28575</xdr:rowOff>
        </xdr:to>
        <xdr:sp macro="" textlink="">
          <xdr:nvSpPr>
            <xdr:cNvPr id="4097" name="TIButton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AQ76"/>
  <sheetViews>
    <sheetView showGridLines="0" showZeros="0" tabSelected="1" zoomScale="90" zoomScaleNormal="90" workbookViewId="0">
      <pane xSplit="3" ySplit="25" topLeftCell="D26" activePane="bottomRight" state="frozen"/>
      <selection activeCell="B10" sqref="B10"/>
      <selection pane="topRight" activeCell="D10" sqref="D10"/>
      <selection pane="bottomLeft" activeCell="B28" sqref="B28"/>
      <selection pane="bottomRight" activeCell="C15" sqref="C15"/>
    </sheetView>
  </sheetViews>
  <sheetFormatPr defaultColWidth="0" defaultRowHeight="15" x14ac:dyDescent="0.25"/>
  <cols>
    <col min="1" max="1" width="4.5703125" hidden="1" customWidth="1"/>
    <col min="2" max="2" width="24.7109375" customWidth="1"/>
    <col min="3" max="3" width="41.85546875" customWidth="1"/>
    <col min="4" max="4" width="8.7109375" style="17" hidden="1" customWidth="1"/>
    <col min="5" max="5" width="12.28515625" style="17" hidden="1" customWidth="1"/>
    <col min="6" max="6" width="10.7109375" style="17" customWidth="1"/>
    <col min="7" max="7" width="10.7109375" style="17" hidden="1" customWidth="1"/>
    <col min="8" max="8" width="10.7109375" style="17" customWidth="1"/>
    <col min="9" max="9" width="9.7109375" style="18" customWidth="1"/>
    <col min="10" max="10" width="11.28515625" style="17" hidden="1" customWidth="1"/>
    <col min="11" max="11" width="12.140625" style="17" hidden="1" customWidth="1"/>
    <col min="12" max="12" width="10.7109375" style="17" customWidth="1"/>
    <col min="13" max="13" width="10.7109375" style="17" hidden="1" customWidth="1"/>
    <col min="14" max="14" width="10.7109375" style="17" customWidth="1"/>
    <col min="15" max="15" width="9.7109375" style="18" customWidth="1"/>
    <col min="16" max="16" width="10.7109375" style="17" hidden="1" customWidth="1"/>
    <col min="17" max="17" width="12" style="17" hidden="1" customWidth="1"/>
    <col min="18" max="18" width="10.7109375" style="17" customWidth="1"/>
    <col min="19" max="19" width="10.7109375" style="17" hidden="1" customWidth="1"/>
    <col min="20" max="20" width="10.7109375" style="17" customWidth="1"/>
    <col min="21" max="21" width="9.7109375" style="18" customWidth="1"/>
    <col min="22" max="22" width="8.7109375" style="55" hidden="1" customWidth="1"/>
    <col min="23" max="23" width="8.7109375" style="42" hidden="1" customWidth="1"/>
    <col min="24" max="24" width="10.28515625" style="55" customWidth="1"/>
    <col min="25" max="25" width="8.7109375" style="42" customWidth="1"/>
    <col min="26" max="26" width="10.140625" style="55" customWidth="1"/>
    <col min="27" max="27" width="8.7109375" style="42" customWidth="1"/>
    <col min="28" max="28" width="8.7109375" style="74" customWidth="1"/>
    <col min="29" max="29" width="10.5703125" style="55" customWidth="1"/>
    <col min="30" max="30" width="10.7109375" style="17" hidden="1" customWidth="1"/>
    <col min="31" max="31" width="12" style="17" hidden="1" customWidth="1"/>
    <col min="32" max="32" width="20" style="17" customWidth="1"/>
    <col min="33" max="33" width="10" style="84" hidden="1" customWidth="1"/>
    <col min="34" max="34" width="8.7109375" style="42" hidden="1" customWidth="1"/>
    <col min="35" max="35" width="15.140625" style="84" customWidth="1"/>
    <col min="36" max="36" width="8.7109375" style="42" hidden="1" customWidth="1"/>
    <col min="37" max="37" width="0.7109375" style="84" customWidth="1"/>
    <col min="38" max="38" width="0.7109375" style="42" customWidth="1"/>
    <col min="39" max="40" width="1.140625" customWidth="1"/>
    <col min="41" max="41" width="1" customWidth="1"/>
    <col min="42" max="42" width="1.140625" hidden="1" customWidth="1"/>
    <col min="43" max="43" width="1" hidden="1" customWidth="1"/>
    <col min="44" max="16384" width="12.28515625" hidden="1"/>
  </cols>
  <sheetData>
    <row r="1" spans="1:39" ht="20.25" hidden="1" customHeight="1" x14ac:dyDescent="0.25">
      <c r="A1" t="s">
        <v>10</v>
      </c>
    </row>
    <row r="2" spans="1:39" ht="17.25" hidden="1" customHeight="1" x14ac:dyDescent="0.25">
      <c r="A2">
        <f>0</f>
        <v>0</v>
      </c>
      <c r="B2" s="1"/>
      <c r="C2" s="2"/>
      <c r="D2" s="19"/>
      <c r="E2" s="19"/>
      <c r="F2" s="225"/>
      <c r="G2" s="19"/>
      <c r="H2" s="19"/>
      <c r="I2" s="20"/>
      <c r="J2" s="19"/>
      <c r="K2" s="19"/>
      <c r="L2" s="225"/>
      <c r="M2" s="19"/>
      <c r="N2" s="19"/>
      <c r="O2" s="20"/>
      <c r="P2" s="19"/>
      <c r="Q2" s="19"/>
      <c r="R2" s="225"/>
      <c r="S2" s="19"/>
      <c r="T2" s="19"/>
      <c r="U2" s="20"/>
      <c r="V2" s="56"/>
      <c r="W2" s="43"/>
      <c r="X2" s="220"/>
      <c r="Y2" s="43"/>
      <c r="Z2" s="56"/>
      <c r="AA2" s="43"/>
      <c r="AB2" s="77"/>
      <c r="AC2" s="57"/>
      <c r="AD2" s="19"/>
      <c r="AE2" s="19"/>
      <c r="AF2" s="215"/>
      <c r="AG2" s="98"/>
      <c r="AH2" s="43"/>
      <c r="AI2" s="98"/>
      <c r="AJ2" s="117"/>
      <c r="AK2" s="85"/>
      <c r="AL2" s="44"/>
      <c r="AM2" s="105"/>
    </row>
    <row r="3" spans="1:39" ht="17.25" hidden="1" customHeight="1" x14ac:dyDescent="0.25">
      <c r="A3">
        <f>1</f>
        <v>1</v>
      </c>
      <c r="B3" s="2"/>
      <c r="C3" s="10"/>
      <c r="D3" s="21"/>
      <c r="E3" s="21"/>
      <c r="F3" s="226"/>
      <c r="G3" s="21"/>
      <c r="H3" s="21"/>
      <c r="I3" s="22"/>
      <c r="J3" s="21"/>
      <c r="K3" s="21"/>
      <c r="L3" s="226"/>
      <c r="M3" s="21"/>
      <c r="N3" s="21"/>
      <c r="O3" s="22"/>
      <c r="P3" s="21"/>
      <c r="Q3" s="21"/>
      <c r="R3" s="226"/>
      <c r="S3" s="21"/>
      <c r="T3" s="21"/>
      <c r="U3" s="22"/>
      <c r="V3" s="58"/>
      <c r="W3" s="45"/>
      <c r="X3" s="221"/>
      <c r="Y3" s="45"/>
      <c r="Z3" s="58"/>
      <c r="AA3" s="45"/>
      <c r="AB3" s="78"/>
      <c r="AC3" s="59"/>
      <c r="AD3" s="21"/>
      <c r="AE3" s="21"/>
      <c r="AF3" s="216"/>
      <c r="AG3" s="99"/>
      <c r="AH3" s="45"/>
      <c r="AI3" s="99"/>
      <c r="AJ3" s="118"/>
      <c r="AK3" s="86"/>
      <c r="AL3" s="46"/>
      <c r="AM3" s="105"/>
    </row>
    <row r="4" spans="1:39" ht="18" hidden="1" customHeight="1" x14ac:dyDescent="0.25">
      <c r="A4">
        <f>2</f>
        <v>2</v>
      </c>
      <c r="B4" s="2"/>
      <c r="C4" s="11"/>
      <c r="D4" s="23"/>
      <c r="E4" s="23"/>
      <c r="F4" s="227"/>
      <c r="G4" s="23"/>
      <c r="H4" s="23"/>
      <c r="I4" s="24"/>
      <c r="J4" s="23"/>
      <c r="K4" s="23"/>
      <c r="L4" s="227"/>
      <c r="M4" s="23"/>
      <c r="N4" s="23"/>
      <c r="O4" s="24"/>
      <c r="P4" s="23"/>
      <c r="Q4" s="23"/>
      <c r="R4" s="227"/>
      <c r="S4" s="23"/>
      <c r="T4" s="23"/>
      <c r="U4" s="24"/>
      <c r="V4" s="60"/>
      <c r="W4" s="47"/>
      <c r="X4" s="222"/>
      <c r="Y4" s="47"/>
      <c r="Z4" s="60"/>
      <c r="AA4" s="47"/>
      <c r="AB4" s="79"/>
      <c r="AC4" s="61"/>
      <c r="AD4" s="23"/>
      <c r="AE4" s="23"/>
      <c r="AF4" s="217"/>
      <c r="AG4" s="100"/>
      <c r="AH4" s="47"/>
      <c r="AI4" s="100"/>
      <c r="AJ4" s="119"/>
      <c r="AK4" s="87"/>
      <c r="AL4" s="48"/>
      <c r="AM4" s="105"/>
    </row>
    <row r="5" spans="1:39" ht="17.25" hidden="1" customHeight="1" x14ac:dyDescent="0.25">
      <c r="A5">
        <f>3</f>
        <v>3</v>
      </c>
      <c r="B5" s="2"/>
      <c r="C5" s="12"/>
      <c r="D5" s="25"/>
      <c r="E5" s="25"/>
      <c r="F5" s="228"/>
      <c r="G5" s="25"/>
      <c r="H5" s="25"/>
      <c r="I5" s="26"/>
      <c r="J5" s="25"/>
      <c r="K5" s="25"/>
      <c r="L5" s="228"/>
      <c r="M5" s="25"/>
      <c r="N5" s="25"/>
      <c r="O5" s="26"/>
      <c r="P5" s="25"/>
      <c r="Q5" s="25"/>
      <c r="R5" s="228"/>
      <c r="S5" s="25"/>
      <c r="T5" s="25"/>
      <c r="U5" s="26"/>
      <c r="V5" s="62"/>
      <c r="W5" s="49"/>
      <c r="X5" s="223"/>
      <c r="Y5" s="49"/>
      <c r="Z5" s="62"/>
      <c r="AA5" s="49"/>
      <c r="AB5" s="80"/>
      <c r="AC5" s="63"/>
      <c r="AD5" s="25"/>
      <c r="AE5" s="25"/>
      <c r="AF5" s="218"/>
      <c r="AG5" s="101"/>
      <c r="AH5" s="49"/>
      <c r="AI5" s="101"/>
      <c r="AJ5" s="120"/>
      <c r="AK5" s="88"/>
      <c r="AL5" s="50"/>
      <c r="AM5" s="105"/>
    </row>
    <row r="6" spans="1:39" ht="24.75" hidden="1" customHeight="1" x14ac:dyDescent="0.25">
      <c r="A6" t="s">
        <v>8</v>
      </c>
      <c r="B6" s="2"/>
      <c r="C6" s="10"/>
      <c r="D6" s="21"/>
      <c r="E6" s="21"/>
      <c r="F6" s="226"/>
      <c r="G6" s="21"/>
      <c r="H6" s="21"/>
      <c r="I6" s="22"/>
      <c r="J6" s="21"/>
      <c r="K6" s="21"/>
      <c r="L6" s="226"/>
      <c r="M6" s="21"/>
      <c r="N6" s="21"/>
      <c r="O6" s="22"/>
      <c r="P6" s="21"/>
      <c r="Q6" s="21"/>
      <c r="R6" s="226"/>
      <c r="S6" s="21"/>
      <c r="T6" s="21"/>
      <c r="U6" s="22"/>
      <c r="V6" s="58"/>
      <c r="W6" s="45"/>
      <c r="X6" s="221"/>
      <c r="Y6" s="45"/>
      <c r="Z6" s="58"/>
      <c r="AA6" s="45"/>
      <c r="AB6" s="78"/>
      <c r="AC6" s="59"/>
      <c r="AD6" s="21"/>
      <c r="AE6" s="21"/>
      <c r="AF6" s="216"/>
      <c r="AG6" s="99"/>
      <c r="AH6" s="45"/>
      <c r="AI6" s="99"/>
      <c r="AJ6" s="118"/>
      <c r="AK6" s="86"/>
      <c r="AL6" s="46"/>
      <c r="AM6" s="105"/>
    </row>
    <row r="7" spans="1:39" ht="20.25" hidden="1" customHeight="1" x14ac:dyDescent="0.25">
      <c r="A7" t="s">
        <v>9</v>
      </c>
      <c r="B7" s="2"/>
      <c r="C7" s="13"/>
      <c r="D7" s="27"/>
      <c r="E7" s="27"/>
      <c r="F7" s="229"/>
      <c r="G7" s="27"/>
      <c r="H7" s="27"/>
      <c r="I7" s="28"/>
      <c r="J7" s="27"/>
      <c r="K7" s="27"/>
      <c r="L7" s="229"/>
      <c r="M7" s="27"/>
      <c r="N7" s="27"/>
      <c r="O7" s="28"/>
      <c r="P7" s="27"/>
      <c r="Q7" s="27"/>
      <c r="R7" s="229"/>
      <c r="S7" s="27"/>
      <c r="T7" s="27"/>
      <c r="U7" s="28"/>
      <c r="V7" s="64"/>
      <c r="W7" s="51"/>
      <c r="X7" s="224"/>
      <c r="Y7" s="51"/>
      <c r="Z7" s="64"/>
      <c r="AA7" s="51"/>
      <c r="AB7" s="81"/>
      <c r="AC7" s="65"/>
      <c r="AD7" s="27"/>
      <c r="AE7" s="27"/>
      <c r="AF7" s="219"/>
      <c r="AG7" s="102"/>
      <c r="AH7" s="51"/>
      <c r="AI7" s="102"/>
      <c r="AJ7" s="121"/>
      <c r="AK7" s="89"/>
      <c r="AL7" s="52"/>
      <c r="AM7" s="105"/>
    </row>
    <row r="8" spans="1:39" ht="18" hidden="1" customHeight="1" x14ac:dyDescent="0.25">
      <c r="A8" t="s">
        <v>11</v>
      </c>
    </row>
    <row r="9" spans="1:39" ht="21" hidden="1" customHeight="1" x14ac:dyDescent="0.25"/>
    <row r="10" spans="1:39" x14ac:dyDescent="0.25">
      <c r="B10" s="3"/>
      <c r="C10" s="3"/>
      <c r="D10" s="29"/>
      <c r="E10" s="29"/>
      <c r="F10" s="29"/>
      <c r="G10" s="29"/>
      <c r="H10" s="29"/>
      <c r="I10" s="30"/>
      <c r="J10" s="29"/>
      <c r="K10" s="29"/>
      <c r="L10" s="29"/>
      <c r="M10" s="29"/>
      <c r="N10" s="29"/>
      <c r="O10" s="30"/>
      <c r="P10" s="29"/>
      <c r="Q10" s="29"/>
      <c r="R10" s="29"/>
      <c r="S10" s="29"/>
      <c r="T10" s="29"/>
      <c r="U10" s="30"/>
      <c r="V10" s="66"/>
      <c r="W10" s="53"/>
      <c r="X10" s="66"/>
      <c r="Y10" s="53"/>
      <c r="Z10" s="66"/>
      <c r="AA10" s="53"/>
      <c r="AB10" s="75"/>
      <c r="AC10" s="66"/>
      <c r="AD10" s="29"/>
      <c r="AE10" s="29"/>
      <c r="AF10" s="29"/>
      <c r="AG10" s="90"/>
      <c r="AH10" s="53"/>
      <c r="AI10" s="90"/>
      <c r="AJ10" s="53"/>
      <c r="AK10" s="90"/>
      <c r="AL10" s="53"/>
    </row>
    <row r="11" spans="1:39" x14ac:dyDescent="0.25">
      <c r="B11" s="3"/>
      <c r="C11" s="3"/>
      <c r="D11" s="29"/>
      <c r="E11" s="29"/>
      <c r="F11" s="29"/>
      <c r="G11" s="29"/>
      <c r="H11" s="29"/>
      <c r="I11" s="30"/>
      <c r="J11" s="29"/>
      <c r="K11" s="29"/>
      <c r="L11" s="29"/>
      <c r="M11" s="29"/>
      <c r="N11" s="29"/>
      <c r="O11" s="30"/>
      <c r="P11" s="29"/>
      <c r="Q11" s="29"/>
      <c r="R11" s="29"/>
      <c r="S11" s="29"/>
      <c r="T11" s="29"/>
      <c r="U11" s="30"/>
      <c r="V11" s="66"/>
      <c r="W11" s="53"/>
      <c r="X11" s="66"/>
      <c r="Y11" s="53"/>
      <c r="Z11" s="66"/>
      <c r="AA11" s="53"/>
      <c r="AB11" s="75"/>
      <c r="AC11" s="66"/>
      <c r="AD11" s="29"/>
      <c r="AE11" s="29"/>
      <c r="AF11" s="29"/>
      <c r="AG11" s="90"/>
      <c r="AH11" s="53"/>
      <c r="AI11" s="90"/>
      <c r="AJ11" s="53"/>
      <c r="AK11" s="90"/>
      <c r="AL11" s="53"/>
    </row>
    <row r="12" spans="1:39" x14ac:dyDescent="0.25">
      <c r="B12" s="3"/>
      <c r="C12" s="3"/>
      <c r="D12" s="29"/>
      <c r="E12" s="29"/>
      <c r="F12" s="29"/>
      <c r="G12" s="29"/>
      <c r="H12" s="29"/>
      <c r="I12" s="30"/>
      <c r="J12" s="29"/>
      <c r="K12" s="29"/>
      <c r="L12" s="29"/>
      <c r="M12" s="29"/>
      <c r="N12" s="29"/>
      <c r="O12" s="30"/>
      <c r="P12" s="29"/>
      <c r="Q12" s="29"/>
      <c r="R12" s="29"/>
      <c r="S12" s="29"/>
      <c r="T12" s="29"/>
      <c r="U12" s="30"/>
      <c r="V12" s="66"/>
      <c r="W12" s="53"/>
      <c r="X12" s="66"/>
      <c r="Y12" s="53"/>
      <c r="Z12" s="66"/>
      <c r="AA12" s="53"/>
      <c r="AB12" s="75"/>
      <c r="AC12" s="66"/>
      <c r="AD12" s="29"/>
      <c r="AE12" s="29"/>
      <c r="AF12" s="29"/>
      <c r="AG12" s="90"/>
      <c r="AH12" s="53"/>
      <c r="AI12" s="90"/>
      <c r="AJ12" s="53"/>
      <c r="AK12" s="90"/>
      <c r="AL12" s="53"/>
    </row>
    <row r="13" spans="1:39" x14ac:dyDescent="0.25">
      <c r="B13" s="3"/>
      <c r="C13" s="3"/>
      <c r="D13" s="29"/>
      <c r="E13" s="29"/>
      <c r="F13" s="29"/>
      <c r="G13" s="29"/>
      <c r="H13" s="29"/>
      <c r="I13" s="30"/>
      <c r="J13" s="29"/>
      <c r="K13" s="29"/>
      <c r="L13" s="29"/>
      <c r="M13" s="29"/>
      <c r="N13" s="29"/>
      <c r="O13" s="30"/>
      <c r="P13" s="29"/>
      <c r="Q13" s="29"/>
      <c r="R13" s="29"/>
      <c r="S13" s="29"/>
      <c r="T13" s="29"/>
      <c r="U13" s="30"/>
      <c r="V13" s="66"/>
      <c r="W13" s="53"/>
      <c r="X13" s="66"/>
      <c r="Y13" s="53"/>
      <c r="Z13" s="66"/>
      <c r="AA13" s="53"/>
      <c r="AB13" s="75"/>
      <c r="AC13" s="66"/>
      <c r="AD13" s="29"/>
      <c r="AE13" s="29"/>
      <c r="AF13" s="29"/>
      <c r="AG13" s="90"/>
      <c r="AH13" s="53"/>
      <c r="AI13" s="90"/>
      <c r="AJ13" s="53"/>
      <c r="AK13" s="90"/>
      <c r="AL13" s="53"/>
    </row>
    <row r="14" spans="1:39" hidden="1" x14ac:dyDescent="0.25">
      <c r="B14" s="4"/>
      <c r="C14" s="6"/>
      <c r="D14" s="31"/>
      <c r="E14" s="31"/>
      <c r="F14" s="31"/>
      <c r="G14" s="31"/>
      <c r="H14" s="31"/>
      <c r="I14" s="33" t="str">
        <f ca="1">CONCATENATE(_xll.DBRA("CXMD:DIM_Origin_Company",C15,"Origin Company"),"_SALES")</f>
        <v>K_SALES</v>
      </c>
      <c r="J14" s="31"/>
      <c r="K14" s="31"/>
      <c r="L14" s="31"/>
      <c r="M14" s="31"/>
      <c r="N14" s="31"/>
      <c r="O14" s="32"/>
      <c r="P14" s="31"/>
      <c r="Q14" s="31"/>
      <c r="R14" s="31"/>
      <c r="S14" s="31"/>
      <c r="T14" s="31"/>
      <c r="U14" s="32"/>
      <c r="V14" s="67"/>
      <c r="W14" s="54"/>
      <c r="X14" s="67"/>
      <c r="Y14" s="54"/>
      <c r="Z14" s="67"/>
      <c r="AA14" s="54"/>
      <c r="AB14" s="76"/>
      <c r="AC14" s="67"/>
      <c r="AD14" s="31"/>
      <c r="AE14" s="31"/>
      <c r="AF14" s="31"/>
      <c r="AG14" s="91"/>
      <c r="AH14" s="54"/>
      <c r="AI14" s="91"/>
      <c r="AJ14" s="54"/>
      <c r="AK14" s="91"/>
      <c r="AL14" s="54"/>
    </row>
    <row r="15" spans="1:39" ht="29.25" customHeight="1" x14ac:dyDescent="0.35">
      <c r="B15" s="4" t="s">
        <v>0</v>
      </c>
      <c r="C15" s="6" t="s">
        <v>54</v>
      </c>
      <c r="D15" s="186"/>
      <c r="E15" s="31"/>
      <c r="F15" s="186" t="s">
        <v>55</v>
      </c>
      <c r="G15" s="31"/>
      <c r="H15" s="31"/>
      <c r="I15" s="32"/>
      <c r="J15" s="34"/>
      <c r="K15" s="31"/>
      <c r="L15" s="34"/>
      <c r="M15" s="31"/>
      <c r="N15" s="34"/>
      <c r="O15" s="32"/>
      <c r="P15" s="31"/>
      <c r="Q15" s="31"/>
      <c r="R15" s="31"/>
      <c r="S15" s="31"/>
      <c r="T15" s="31"/>
      <c r="U15" s="32"/>
      <c r="V15" s="67"/>
      <c r="W15" s="54"/>
      <c r="X15" s="67"/>
      <c r="Y15" s="54"/>
      <c r="Z15" s="67"/>
      <c r="AA15" s="54"/>
      <c r="AB15" s="76"/>
      <c r="AC15" s="67"/>
      <c r="AD15" s="31"/>
      <c r="AE15" s="31"/>
      <c r="AF15" s="31"/>
      <c r="AG15" s="91"/>
      <c r="AH15" s="54"/>
      <c r="AI15" s="91"/>
      <c r="AJ15" s="54"/>
      <c r="AK15" s="91"/>
      <c r="AL15" s="54"/>
    </row>
    <row r="16" spans="1:39" x14ac:dyDescent="0.25">
      <c r="B16" s="4" t="s">
        <v>1</v>
      </c>
      <c r="C16" s="6" t="str">
        <f ca="1">_xll.SUBNM("CXMD:DIM_Customer_Supplier","","Total_Customer_Supplier")</f>
        <v>Total_Customer_Supplier</v>
      </c>
      <c r="D16" s="31"/>
      <c r="E16" s="31"/>
      <c r="F16" s="31"/>
      <c r="G16" s="31"/>
      <c r="H16" s="31"/>
      <c r="I16" s="32"/>
      <c r="J16" s="31"/>
      <c r="K16" s="31"/>
      <c r="L16" s="31"/>
      <c r="M16" s="31"/>
      <c r="N16" s="31"/>
      <c r="O16" s="32"/>
      <c r="P16" s="31"/>
      <c r="Q16" s="31"/>
      <c r="R16" s="31"/>
      <c r="S16" s="31"/>
      <c r="T16" s="31"/>
      <c r="U16" s="32"/>
      <c r="V16" s="67"/>
      <c r="W16" s="54"/>
      <c r="X16" s="67"/>
      <c r="Y16" s="54"/>
      <c r="Z16" s="67"/>
      <c r="AA16" s="54"/>
      <c r="AB16" s="76"/>
      <c r="AC16" s="67"/>
      <c r="AD16" s="31"/>
      <c r="AE16" s="31"/>
      <c r="AF16" s="31"/>
      <c r="AG16" s="91"/>
      <c r="AH16" s="54"/>
      <c r="AI16" s="91"/>
      <c r="AJ16" s="54"/>
      <c r="AK16" s="91"/>
      <c r="AL16" s="54"/>
    </row>
    <row r="17" spans="1:39" x14ac:dyDescent="0.25">
      <c r="B17" s="4"/>
      <c r="C17" s="6"/>
      <c r="D17" s="31"/>
      <c r="E17" s="31"/>
      <c r="F17" s="31"/>
      <c r="G17" s="31"/>
      <c r="H17" s="31"/>
      <c r="I17" s="32"/>
      <c r="J17" s="31"/>
      <c r="K17" s="31"/>
      <c r="L17" s="31"/>
      <c r="M17" s="31"/>
      <c r="N17" s="31"/>
      <c r="O17" s="32"/>
      <c r="P17" s="31"/>
      <c r="Q17" s="31"/>
      <c r="R17" s="31"/>
      <c r="S17" s="31"/>
      <c r="T17" s="31"/>
      <c r="U17" s="32"/>
      <c r="V17" s="67"/>
      <c r="W17" s="54"/>
      <c r="X17" s="67"/>
      <c r="Y17" s="54"/>
      <c r="Z17" s="67"/>
      <c r="AA17" s="54"/>
      <c r="AB17" s="76"/>
      <c r="AC17" s="67"/>
      <c r="AD17" s="31"/>
      <c r="AE17" s="31"/>
      <c r="AF17" s="31"/>
      <c r="AG17" s="91"/>
      <c r="AH17" s="54"/>
      <c r="AI17" s="91"/>
      <c r="AJ17" s="54"/>
      <c r="AK17" s="91"/>
      <c r="AL17" s="54"/>
    </row>
    <row r="18" spans="1:39" ht="7.5" customHeight="1" x14ac:dyDescent="0.25">
      <c r="B18" s="5"/>
      <c r="C18" s="5"/>
      <c r="D18" s="31"/>
      <c r="E18" s="31"/>
      <c r="F18" s="31"/>
      <c r="G18" s="31"/>
      <c r="H18" s="31"/>
      <c r="I18" s="32"/>
      <c r="J18" s="31"/>
      <c r="K18" s="31"/>
      <c r="L18" s="31"/>
      <c r="M18" s="31"/>
      <c r="N18" s="31"/>
      <c r="O18" s="32"/>
      <c r="P18" s="31"/>
      <c r="Q18" s="31"/>
      <c r="R18" s="31"/>
      <c r="S18" s="31"/>
      <c r="T18" s="31"/>
      <c r="U18" s="32"/>
      <c r="V18" s="67"/>
      <c r="W18" s="54"/>
      <c r="X18" s="67"/>
      <c r="Y18" s="54"/>
      <c r="Z18" s="67"/>
      <c r="AA18" s="54"/>
      <c r="AB18" s="76"/>
      <c r="AC18" s="67"/>
      <c r="AD18" s="31"/>
      <c r="AE18" s="31"/>
      <c r="AF18" s="31"/>
      <c r="AG18" s="91"/>
      <c r="AH18" s="54"/>
      <c r="AI18" s="91"/>
      <c r="AJ18" s="54"/>
      <c r="AK18" s="91"/>
      <c r="AL18" s="54"/>
    </row>
    <row r="19" spans="1:39" ht="7.5" customHeight="1" x14ac:dyDescent="0.25">
      <c r="B19" s="5"/>
      <c r="C19" s="5"/>
      <c r="D19" s="31"/>
      <c r="E19" s="31"/>
      <c r="F19" s="31"/>
      <c r="G19" s="31"/>
      <c r="H19" s="31"/>
      <c r="I19" s="32"/>
      <c r="J19" s="31"/>
      <c r="K19" s="31"/>
      <c r="L19" s="31"/>
      <c r="M19" s="31"/>
      <c r="N19" s="31"/>
      <c r="O19" s="32"/>
      <c r="P19" s="31"/>
      <c r="Q19" s="31"/>
      <c r="R19" s="31"/>
      <c r="S19" s="31"/>
      <c r="T19" s="31"/>
      <c r="U19" s="32"/>
      <c r="V19" s="67"/>
      <c r="W19" s="54"/>
      <c r="X19" s="67"/>
      <c r="Y19" s="54"/>
      <c r="Z19" s="67"/>
      <c r="AA19" s="54"/>
      <c r="AB19" s="76"/>
      <c r="AC19" s="67"/>
      <c r="AD19" s="31"/>
      <c r="AE19" s="31"/>
      <c r="AF19" s="31"/>
      <c r="AG19" s="91"/>
      <c r="AH19" s="54"/>
      <c r="AI19" s="91"/>
      <c r="AJ19" s="54"/>
      <c r="AK19" s="91"/>
      <c r="AL19" s="54"/>
    </row>
    <row r="20" spans="1:39" ht="25.5" customHeight="1" x14ac:dyDescent="0.25">
      <c r="B20" s="5"/>
      <c r="C20" s="7" t="s">
        <v>14</v>
      </c>
      <c r="D20" s="144" t="str">
        <f ca="1">_xll.SUBNM("CXMD:Actuality","Actuality","AC2017","Description EN")</f>
        <v>AC2017</v>
      </c>
      <c r="E20" s="144"/>
      <c r="F20" s="144" t="str">
        <f ca="1">_xll.SUBNM("CXMD:Actuality","","AC2022","Description EN")</f>
        <v>AC2022</v>
      </c>
      <c r="G20" s="145"/>
      <c r="H20" s="145"/>
      <c r="I20" s="146"/>
      <c r="J20" s="144" t="str">
        <f ca="1">_xll.SUBNM("CXMD:Actuality","Actuality","AC2018","Description EN")</f>
        <v>AC2018</v>
      </c>
      <c r="K20" s="144"/>
      <c r="L20" s="144" t="str">
        <f ca="1">_xll.SUBNM("CXMD:Actuality","","AC2022","Description EN")</f>
        <v>AC2022</v>
      </c>
      <c r="M20" s="145"/>
      <c r="N20" s="145"/>
      <c r="O20" s="146"/>
      <c r="P20" s="144" t="str">
        <f ca="1">J20</f>
        <v>AC2018</v>
      </c>
      <c r="Q20" s="144">
        <f>K20</f>
        <v>0</v>
      </c>
      <c r="R20" s="144" t="str">
        <f ca="1">L20</f>
        <v>AC2022</v>
      </c>
      <c r="S20" s="145"/>
      <c r="T20" s="145"/>
      <c r="U20" s="146"/>
      <c r="V20" s="150" t="s">
        <v>18</v>
      </c>
      <c r="W20" s="151"/>
      <c r="X20" s="150" t="s">
        <v>18</v>
      </c>
      <c r="Y20" s="151"/>
      <c r="Z20" s="151"/>
      <c r="AA20" s="151"/>
      <c r="AB20" s="151"/>
      <c r="AC20" s="152"/>
      <c r="AD20" s="144" t="str">
        <f ca="1">_xll.SUBNM("CXMD:Actuality","","BU2018","Description EN")</f>
        <v>BU2018</v>
      </c>
      <c r="AE20" s="145"/>
      <c r="AF20" s="144" t="str">
        <f ca="1">_xll.SUBNM("CXMD:Actuality","","BU2018","Description EN")</f>
        <v>BU2018</v>
      </c>
      <c r="AG20" s="211" t="s">
        <v>20</v>
      </c>
      <c r="AH20" s="212"/>
      <c r="AI20" s="238" t="s">
        <v>20</v>
      </c>
      <c r="AJ20" s="92"/>
      <c r="AK20" s="92"/>
      <c r="AL20" s="93"/>
      <c r="AM20" s="105"/>
    </row>
    <row r="21" spans="1:39" ht="15" customHeight="1" x14ac:dyDescent="0.25">
      <c r="B21" s="5"/>
      <c r="C21" s="8"/>
      <c r="D21" s="147" t="str">
        <f ca="1">_xll.SUBNM("CXMD:Month","","YTD_January","Description EN")</f>
        <v>YTD_January</v>
      </c>
      <c r="E21" s="147"/>
      <c r="F21" s="147" t="str">
        <f ca="1">_xll.SUBNM("CXMD:Month","","YTD_January","Description EN")</f>
        <v>YTD_January</v>
      </c>
      <c r="G21" s="148"/>
      <c r="H21" s="148"/>
      <c r="I21" s="149"/>
      <c r="J21" s="147" t="str">
        <f ca="1">_xll.SUBNM("CXMD:Month","","01","Description EN")</f>
        <v>January</v>
      </c>
      <c r="K21" s="147"/>
      <c r="L21" s="147" t="str">
        <f ca="1">_xll.SUBNM("CXMD:Month","","01","Description EN")</f>
        <v>January</v>
      </c>
      <c r="M21" s="148"/>
      <c r="N21" s="148"/>
      <c r="O21" s="149"/>
      <c r="P21" s="147" t="str">
        <f ca="1">D21</f>
        <v>YTD_January</v>
      </c>
      <c r="Q21" s="147">
        <f>E21</f>
        <v>0</v>
      </c>
      <c r="R21" s="147" t="str">
        <f ca="1">F21</f>
        <v>YTD_January</v>
      </c>
      <c r="S21" s="148"/>
      <c r="T21" s="148"/>
      <c r="U21" s="149"/>
      <c r="V21" s="68"/>
      <c r="W21" s="72"/>
      <c r="X21" s="210"/>
      <c r="Y21" s="72"/>
      <c r="Z21" s="68"/>
      <c r="AA21" s="72"/>
      <c r="AB21" s="82"/>
      <c r="AC21" s="69"/>
      <c r="AD21" s="147" t="str">
        <f ca="1">_xll.SUBNM("CXMD:Month","","YTD_December","Description EN")</f>
        <v>YTD_December</v>
      </c>
      <c r="AE21" s="148"/>
      <c r="AF21" s="231" t="str">
        <f ca="1">_xll.SUBNM("CXMD:Month","","YTD_December","Description EN")</f>
        <v>YTD_December</v>
      </c>
      <c r="AG21" s="213"/>
      <c r="AH21" s="214"/>
      <c r="AI21" s="239"/>
      <c r="AJ21" s="153"/>
      <c r="AK21" s="153"/>
      <c r="AL21" s="154"/>
      <c r="AM21" s="105"/>
    </row>
    <row r="22" spans="1:39" ht="8.25" customHeight="1" x14ac:dyDescent="0.25">
      <c r="B22" s="5"/>
      <c r="C22" s="8"/>
      <c r="D22" s="39"/>
      <c r="E22" s="40"/>
      <c r="F22" s="141"/>
      <c r="G22" s="40"/>
      <c r="H22" s="142"/>
      <c r="I22" s="41"/>
      <c r="J22" s="39"/>
      <c r="K22" s="40"/>
      <c r="L22" s="142"/>
      <c r="M22" s="40"/>
      <c r="N22" s="142"/>
      <c r="O22" s="41"/>
      <c r="P22" s="39"/>
      <c r="Q22" s="40"/>
      <c r="R22" s="142"/>
      <c r="S22" s="40"/>
      <c r="T22" s="142"/>
      <c r="U22" s="41"/>
      <c r="V22" s="68"/>
      <c r="W22" s="72"/>
      <c r="X22" s="210"/>
      <c r="Y22" s="72"/>
      <c r="Z22" s="68"/>
      <c r="AA22" s="72"/>
      <c r="AB22" s="82"/>
      <c r="AC22" s="69"/>
      <c r="AD22" s="39"/>
      <c r="AE22" s="40"/>
      <c r="AF22" s="143"/>
      <c r="AG22" s="103"/>
      <c r="AH22" s="114"/>
      <c r="AI22" s="103"/>
      <c r="AJ22" s="114"/>
      <c r="AK22" s="94"/>
      <c r="AL22" s="95"/>
      <c r="AM22" s="105"/>
    </row>
    <row r="23" spans="1:39" ht="17.100000000000001" customHeight="1" x14ac:dyDescent="0.25">
      <c r="B23" s="5"/>
      <c r="C23" s="8"/>
      <c r="D23" s="35" t="s">
        <v>2</v>
      </c>
      <c r="E23" s="35" t="s">
        <v>3</v>
      </c>
      <c r="F23" s="35" t="s">
        <v>3</v>
      </c>
      <c r="G23" s="35" t="s">
        <v>16</v>
      </c>
      <c r="H23" s="35" t="s">
        <v>16</v>
      </c>
      <c r="I23" s="36" t="s">
        <v>15</v>
      </c>
      <c r="J23" s="35" t="s">
        <v>2</v>
      </c>
      <c r="K23" s="35" t="s">
        <v>3</v>
      </c>
      <c r="L23" s="35" t="s">
        <v>3</v>
      </c>
      <c r="M23" s="35" t="s">
        <v>16</v>
      </c>
      <c r="N23" s="35" t="s">
        <v>16</v>
      </c>
      <c r="O23" s="36" t="s">
        <v>15</v>
      </c>
      <c r="P23" s="35" t="s">
        <v>2</v>
      </c>
      <c r="Q23" s="35" t="s">
        <v>3</v>
      </c>
      <c r="R23" s="35" t="s">
        <v>3</v>
      </c>
      <c r="S23" s="35" t="s">
        <v>16</v>
      </c>
      <c r="T23" s="35" t="s">
        <v>16</v>
      </c>
      <c r="U23" s="36" t="s">
        <v>15</v>
      </c>
      <c r="V23" s="122" t="s">
        <v>2</v>
      </c>
      <c r="W23" s="202"/>
      <c r="X23" s="123" t="s">
        <v>3</v>
      </c>
      <c r="Y23" s="208" t="s">
        <v>21</v>
      </c>
      <c r="Z23" s="237" t="s">
        <v>16</v>
      </c>
      <c r="AA23" s="237"/>
      <c r="AB23" s="124"/>
      <c r="AC23" s="125"/>
      <c r="AD23" s="137" t="s">
        <v>2</v>
      </c>
      <c r="AE23" s="137" t="s">
        <v>3</v>
      </c>
      <c r="AF23" s="137" t="s">
        <v>3</v>
      </c>
      <c r="AG23" s="112" t="s">
        <v>2</v>
      </c>
      <c r="AH23" s="115"/>
      <c r="AI23" s="112" t="s">
        <v>3</v>
      </c>
      <c r="AJ23" s="115"/>
      <c r="AK23" s="111"/>
      <c r="AL23" s="113"/>
      <c r="AM23" s="105"/>
    </row>
    <row r="24" spans="1:39" s="16" customFormat="1" ht="47.25" customHeight="1" x14ac:dyDescent="0.25">
      <c r="B24" s="108" t="s">
        <v>13</v>
      </c>
      <c r="C24" s="109" t="s">
        <v>12</v>
      </c>
      <c r="D24" s="37"/>
      <c r="E24" s="110"/>
      <c r="F24" s="110" t="s">
        <v>17</v>
      </c>
      <c r="G24" s="110"/>
      <c r="H24" s="110" t="s">
        <v>17</v>
      </c>
      <c r="I24" s="38"/>
      <c r="J24" s="37"/>
      <c r="K24" s="110"/>
      <c r="L24" s="110" t="s">
        <v>17</v>
      </c>
      <c r="M24" s="110"/>
      <c r="N24" s="110" t="s">
        <v>17</v>
      </c>
      <c r="O24" s="38"/>
      <c r="P24" s="37"/>
      <c r="Q24" s="110"/>
      <c r="R24" s="110" t="s">
        <v>17</v>
      </c>
      <c r="S24" s="110"/>
      <c r="T24" s="110" t="s">
        <v>17</v>
      </c>
      <c r="U24" s="38"/>
      <c r="V24" s="126"/>
      <c r="W24" s="203"/>
      <c r="X24" s="128" t="s">
        <v>17</v>
      </c>
      <c r="Y24" s="209" t="s">
        <v>21</v>
      </c>
      <c r="Z24" s="126" t="s">
        <v>17</v>
      </c>
      <c r="AA24" s="127"/>
      <c r="AB24" s="130" t="s">
        <v>19</v>
      </c>
      <c r="AC24" s="131" t="s">
        <v>17</v>
      </c>
      <c r="AD24" s="138"/>
      <c r="AE24" s="136"/>
      <c r="AF24" s="136" t="s">
        <v>17</v>
      </c>
      <c r="AG24" s="135"/>
      <c r="AH24" s="134"/>
      <c r="AI24" s="230" t="s">
        <v>17</v>
      </c>
      <c r="AJ24" s="129"/>
      <c r="AK24" s="132"/>
      <c r="AL24" s="133"/>
      <c r="AM24" s="106"/>
    </row>
    <row r="25" spans="1:39" s="9" customFormat="1" ht="47.25" hidden="1" customHeight="1" x14ac:dyDescent="0.25">
      <c r="B25" s="14"/>
      <c r="C25" s="15"/>
      <c r="D25" s="37" t="s">
        <v>2</v>
      </c>
      <c r="E25" s="37" t="s">
        <v>3</v>
      </c>
      <c r="F25" s="37"/>
      <c r="G25" s="37" t="s">
        <v>4</v>
      </c>
      <c r="H25" s="37"/>
      <c r="I25" s="38" t="s">
        <v>5</v>
      </c>
      <c r="J25" s="37" t="s">
        <v>2</v>
      </c>
      <c r="K25" s="37" t="s">
        <v>3</v>
      </c>
      <c r="L25" s="37"/>
      <c r="M25" s="37" t="s">
        <v>4</v>
      </c>
      <c r="N25" s="37"/>
      <c r="O25" s="38" t="s">
        <v>5</v>
      </c>
      <c r="P25" s="37" t="s">
        <v>2</v>
      </c>
      <c r="Q25" s="37" t="s">
        <v>3</v>
      </c>
      <c r="R25" s="37"/>
      <c r="S25" s="37" t="s">
        <v>4</v>
      </c>
      <c r="T25" s="37"/>
      <c r="U25" s="38" t="s">
        <v>5</v>
      </c>
      <c r="V25" s="70"/>
      <c r="W25" s="204"/>
      <c r="X25" s="70"/>
      <c r="Y25" s="204"/>
      <c r="Z25" s="70"/>
      <c r="AA25" s="73"/>
      <c r="AB25" s="83"/>
      <c r="AC25" s="71"/>
      <c r="AD25" s="37" t="s">
        <v>2</v>
      </c>
      <c r="AE25" s="37" t="s">
        <v>3</v>
      </c>
      <c r="AF25" s="37"/>
      <c r="AG25" s="104" t="s">
        <v>2</v>
      </c>
      <c r="AH25" s="116"/>
      <c r="AI25" s="104" t="s">
        <v>3</v>
      </c>
      <c r="AJ25" s="116"/>
      <c r="AK25" s="96" t="s">
        <v>4</v>
      </c>
      <c r="AL25" s="97" t="s">
        <v>5</v>
      </c>
      <c r="AM25" s="107"/>
    </row>
    <row r="26" spans="1:39" s="163" customFormat="1" ht="20.25" customHeight="1" x14ac:dyDescent="0.25">
      <c r="A26" s="163" t="str">
        <f ca="1">IF(_xll.TM1RPTELISCONSOLIDATED($C$26,$C26),IF(_xll.TM1RPTELLEV($C$26,$C26)&lt;=3,_xll.TM1RPTELLEV($C$26,$C26),"D"),"N")</f>
        <v>N</v>
      </c>
      <c r="B26" s="185" t="s">
        <v>50</v>
      </c>
      <c r="C26" s="165" t="s">
        <v>7</v>
      </c>
      <c r="D26" s="166">
        <f ca="1">SUM(D27:D41)-SUM(D33:D36)</f>
        <v>2749</v>
      </c>
      <c r="E26" s="166">
        <f ca="1">SUM(E27:E41)-SUM(E33:E36)</f>
        <v>37614765.329999983</v>
      </c>
      <c r="F26" s="166">
        <f ca="1">SUM(F27:F41)-SUM(F33:F36)</f>
        <v>37614.765330000002</v>
      </c>
      <c r="G26" s="166">
        <f ca="1">SUM(G27:G41)-SUM(G33:G36)</f>
        <v>37614765.329999983</v>
      </c>
      <c r="H26" s="166">
        <f ca="1">SUM(H27:H41)-SUM(H33:H36)</f>
        <v>37614.765330000002</v>
      </c>
      <c r="I26" s="167">
        <f ca="1">IF(E26&lt;&gt;0,G26/E26,0)</f>
        <v>1</v>
      </c>
      <c r="J26" s="166">
        <f ca="1">SUM(J27:J41)-SUM(J33:J36)</f>
        <v>2749</v>
      </c>
      <c r="K26" s="166">
        <f ca="1">SUM(K27:K41)-SUM(K33:K36)</f>
        <v>37614765.329999983</v>
      </c>
      <c r="L26" s="166">
        <f ca="1">SUM(L27:L41)-SUM(L33:L36)</f>
        <v>37614.765330000002</v>
      </c>
      <c r="M26" s="166">
        <f ca="1">SUM(M27:M41)-SUM(M33:M36)</f>
        <v>37614765.329999983</v>
      </c>
      <c r="N26" s="166">
        <f ca="1">SUM(N27:N41)-SUM(N33:N36)</f>
        <v>37614.765330000002</v>
      </c>
      <c r="O26" s="167">
        <f ca="1">IF(K26&lt;&gt;0,M26/K26,0)</f>
        <v>1</v>
      </c>
      <c r="P26" s="166">
        <f ca="1">SUM(P27:P41)-SUM(P33:P36)</f>
        <v>2749</v>
      </c>
      <c r="Q26" s="166">
        <f ca="1">SUM(Q27:Q41)-SUM(Q33:Q36)</f>
        <v>37614765.329999983</v>
      </c>
      <c r="R26" s="166">
        <f ca="1">SUM(R27:R41)-SUM(R33:R36)</f>
        <v>37614.765330000002</v>
      </c>
      <c r="S26" s="166">
        <f ca="1">SUM(S27:S41)-SUM(S33:S36)</f>
        <v>37614765.329999983</v>
      </c>
      <c r="T26" s="166">
        <f ca="1">SUM(T27:T41)-SUM(T33:T36)</f>
        <v>37614.765330000002</v>
      </c>
      <c r="U26" s="167">
        <f ca="1">IF(Q26&lt;&gt;0,S26/Q26,0)</f>
        <v>1</v>
      </c>
      <c r="V26" s="168">
        <f ca="1">P26-D26</f>
        <v>0</v>
      </c>
      <c r="W26" s="205">
        <f ca="1">IF(D26&lt;&gt;0,(P26/D26)-1,0)</f>
        <v>0</v>
      </c>
      <c r="X26" s="168">
        <f ca="1">(Q26-E26)/1000</f>
        <v>0</v>
      </c>
      <c r="Y26" s="205">
        <f ca="1">IF(E26&lt;&gt;0,(Q26/E26)-1,0)</f>
        <v>0</v>
      </c>
      <c r="Z26" s="168">
        <f ca="1">(S26-G26)/1000</f>
        <v>0</v>
      </c>
      <c r="AA26" s="169">
        <f ca="1">IF(G26&lt;&gt;0,(S26/G26)-1,0)</f>
        <v>0</v>
      </c>
      <c r="AB26" s="170">
        <f ca="1">(U26-I26)*100</f>
        <v>0</v>
      </c>
      <c r="AC26" s="171">
        <f ca="1">AB26*Q26/100/1000</f>
        <v>0</v>
      </c>
      <c r="AD26" s="166">
        <f ca="1">SUM(AD27:AD41)-SUM(AD33:AD36)</f>
        <v>0</v>
      </c>
      <c r="AE26" s="166">
        <f ca="1">SUM(AE27:AE41)-SUM(AE33:AE36)</f>
        <v>0</v>
      </c>
      <c r="AF26" s="233">
        <f ca="1">SUM(AF27:AF41)-SUM(AF33:AF36)</f>
        <v>0</v>
      </c>
      <c r="AG26" s="172">
        <f ca="1">AD26-P26</f>
        <v>-2749</v>
      </c>
      <c r="AH26" s="173">
        <f ca="1">IF(P26&lt;&gt;0,(AD26/P26)-1,0)</f>
        <v>-1</v>
      </c>
      <c r="AI26" s="172">
        <f ca="1">(AE26-Q26)/1000</f>
        <v>-37614.76532999998</v>
      </c>
      <c r="AJ26" s="173">
        <f ca="1">IF(Q26&lt;&gt;0,(AE26/Q26)-1,0)</f>
        <v>-1</v>
      </c>
      <c r="AK26" s="174"/>
      <c r="AL26" s="175"/>
      <c r="AM26" s="164"/>
    </row>
    <row r="27" spans="1:39" ht="15" customHeight="1" x14ac:dyDescent="0.25">
      <c r="A27" t="str">
        <f ca="1">IF(_xll.TM1RPTELISCONSOLIDATED($C$26,$C27),IF(_xll.TM1RPTELLEV($C$26,$C27)&lt;=3,_xll.TM1RPTELLEV($C$26,$C27),"D"),"N")</f>
        <v>N</v>
      </c>
      <c r="B27" s="182" t="s">
        <v>50</v>
      </c>
      <c r="C27" s="187" t="s">
        <v>56</v>
      </c>
      <c r="D27" s="155">
        <f ca="1">_xll.DBR("CXMD:FTM_DATA_MARGIN",$F$21,$F$20,$C$15,$B27,$C$16,$C27,D$25)</f>
        <v>273</v>
      </c>
      <c r="E27" s="155">
        <f ca="1">_xll.DBR("CXMD:FTM_DATA_MARGIN",$F$21,$F$20,$C$15,$B27,$C$16,$C27,E$25)</f>
        <v>5521502.1700000009</v>
      </c>
      <c r="F27" s="155">
        <f t="shared" ref="F27:F41" ca="1" si="0">E27/1000</f>
        <v>5521.5021700000007</v>
      </c>
      <c r="G27" s="155">
        <f ca="1">_xll.DBR("CXMD:FTM_DATA_MARGIN",$F$21,$F$20,$C$15,$B27,$C$16,$C27,G$25)</f>
        <v>5521502.1700000009</v>
      </c>
      <c r="H27" s="155">
        <f t="shared" ref="H27:H41" ca="1" si="1">G27/1000</f>
        <v>5521.5021700000007</v>
      </c>
      <c r="I27" s="188">
        <f t="shared" ref="I27:I30" ca="1" si="2">IF(E27&lt;&gt;0,G27/E27,0)</f>
        <v>1</v>
      </c>
      <c r="J27" s="155">
        <f ca="1">_xll.DBR("CXMD:FTM_DATA_MARGIN",$L$21,$L$20,$C$15,$B27,$C$16,$C27,J$25)</f>
        <v>273</v>
      </c>
      <c r="K27" s="155">
        <f ca="1">_xll.DBR("CXMD:FTM_DATA_MARGIN",$L$21,$L$20,$C$15,$B27,$C$16,$C27,K$25)</f>
        <v>5521502.1700000009</v>
      </c>
      <c r="L27" s="155">
        <f t="shared" ref="L27:L41" ca="1" si="3">K27/1000</f>
        <v>5521.5021700000007</v>
      </c>
      <c r="M27" s="155">
        <f ca="1">_xll.DBR("CXMD:FTM_DATA_MARGIN",$L$21,$L$20,$C$15,$B27,$C$16,$C27,M$25)</f>
        <v>5521502.1700000009</v>
      </c>
      <c r="N27" s="155">
        <f t="shared" ref="N27:N41" ca="1" si="4">M27/1000</f>
        <v>5521.5021700000007</v>
      </c>
      <c r="O27" s="188">
        <f t="shared" ref="O27:O30" ca="1" si="5">IF(K27&lt;&gt;0,M27/K27,0)</f>
        <v>1</v>
      </c>
      <c r="P27" s="155">
        <f ca="1">_xll.DBR("CXMD:FTM_DATA_MARGIN",$R$21,$R$20,$C$15,$B27,$C$16,$C27,P$25)</f>
        <v>273</v>
      </c>
      <c r="Q27" s="155">
        <f ca="1">_xll.DBR("CXMD:FTM_DATA_MARGIN",$R$21,$R$20,$C$15,$B27,$C$16,$C27,Q$25)</f>
        <v>5521502.1700000009</v>
      </c>
      <c r="R27" s="155">
        <f t="shared" ref="R27:R41" ca="1" si="6">Q27/1000</f>
        <v>5521.5021700000007</v>
      </c>
      <c r="S27" s="155">
        <f ca="1">_xll.DBR("CXMD:FTM_DATA_MARGIN",$R$21,$R$20,$C$15,$B27,$C$16,$C27,S$25)</f>
        <v>5521502.1700000009</v>
      </c>
      <c r="T27" s="155">
        <f t="shared" ref="T27:T41" ca="1" si="7">S27/1000</f>
        <v>5521.5021700000007</v>
      </c>
      <c r="U27" s="188">
        <f t="shared" ref="U27:U30" ca="1" si="8">IF(Q27&lt;&gt;0,S27/Q27,0)</f>
        <v>1</v>
      </c>
      <c r="V27" s="189">
        <f t="shared" ref="V27:V30" ca="1" si="9">P27-D27</f>
        <v>0</v>
      </c>
      <c r="W27" s="201">
        <f t="shared" ref="W27:W30" ca="1" si="10">IF(D27&lt;&gt;0,(P27/D27)-1,0)</f>
        <v>0</v>
      </c>
      <c r="X27" s="189">
        <f t="shared" ref="X27:X30" ca="1" si="11">(Q27-E27)/1000</f>
        <v>0</v>
      </c>
      <c r="Y27" s="201">
        <f t="shared" ref="Y27:Y30" ca="1" si="12">IF(E27&lt;&gt;0,(Q27/E27)-1,0)</f>
        <v>0</v>
      </c>
      <c r="Z27" s="189">
        <f t="shared" ref="Z27:Z30" ca="1" si="13">(S27-G27)/1000</f>
        <v>0</v>
      </c>
      <c r="AA27" s="190">
        <f t="shared" ref="AA27:AA30" ca="1" si="14">IF(G27&lt;&gt;0,(S27/G27)-1,0)</f>
        <v>0</v>
      </c>
      <c r="AB27" s="191">
        <f t="shared" ref="AB27:AB30" ca="1" si="15">(U27-I27)*100</f>
        <v>0</v>
      </c>
      <c r="AC27" s="192">
        <f t="shared" ref="AC27:AC30" ca="1" si="16">AB27*Q27/100/1000</f>
        <v>0</v>
      </c>
      <c r="AD27" s="155">
        <f ca="1">_xll.DBR("CXMD:FTM_DATA_MARGIN",$AD$21,$AD$20,$C$15,$B27,$C$16,$C27,AD$25)</f>
        <v>0</v>
      </c>
      <c r="AE27" s="155">
        <f ca="1">_xll.DBR("CXMD:FTM_DATA_MARGIN",$AD$21,$AD$20,$C$15,$B27,$C$16,$C27,AE$25)</f>
        <v>0</v>
      </c>
      <c r="AF27" s="155">
        <f t="shared" ref="AF27:AF41" ca="1" si="17">AE27/1000</f>
        <v>0</v>
      </c>
      <c r="AG27" s="199">
        <f t="shared" ref="AG27:AG30" ca="1" si="18">AD27-P27</f>
        <v>-273</v>
      </c>
      <c r="AH27" s="190">
        <f t="shared" ref="AH27:AH30" ca="1" si="19">IF(P27&lt;&gt;0,(AD27/P27)-1,0)</f>
        <v>-1</v>
      </c>
      <c r="AI27" s="199">
        <f t="shared" ref="AI27:AI30" ca="1" si="20">(AE27-Q27)/1000</f>
        <v>-5521.5021700000007</v>
      </c>
      <c r="AJ27" s="190">
        <f t="shared" ref="AJ27:AJ30" ca="1" si="21">IF(Q27&lt;&gt;0,(AE27/Q27)-1,0)</f>
        <v>-1</v>
      </c>
      <c r="AK27" s="200"/>
      <c r="AL27" s="201"/>
      <c r="AM27" s="105"/>
    </row>
    <row r="28" spans="1:39" ht="15" customHeight="1" x14ac:dyDescent="0.25">
      <c r="A28" t="str">
        <f ca="1">IF(_xll.TM1RPTELISCONSOLIDATED($C$26,$C28),IF(_xll.TM1RPTELLEV($C$26,$C28)&lt;=3,_xll.TM1RPTELLEV($C$26,$C28),"D"),"N")</f>
        <v>N</v>
      </c>
      <c r="B28" s="182" t="s">
        <v>50</v>
      </c>
      <c r="C28" s="187" t="s">
        <v>57</v>
      </c>
      <c r="D28" s="155">
        <f ca="1">_xll.DBR("CXMD:FTM_DATA_MARGIN",$F$21,$F$20,$C$15,$B28,$C$16,$C28,D$25)</f>
        <v>98</v>
      </c>
      <c r="E28" s="155">
        <f ca="1">_xll.DBR("CXMD:FTM_DATA_MARGIN",$F$21,$F$20,$C$15,$B28,$C$16,$C28,E$25)</f>
        <v>1827357.5899999994</v>
      </c>
      <c r="F28" s="155">
        <f t="shared" ca="1" si="0"/>
        <v>1827.3575899999994</v>
      </c>
      <c r="G28" s="155">
        <f ca="1">_xll.DBR("CXMD:FTM_DATA_MARGIN",$F$21,$F$20,$C$15,$B28,$C$16,$C28,G$25)</f>
        <v>1827357.5899999994</v>
      </c>
      <c r="H28" s="155">
        <f t="shared" ca="1" si="1"/>
        <v>1827.3575899999994</v>
      </c>
      <c r="I28" s="188">
        <f t="shared" ca="1" si="2"/>
        <v>1</v>
      </c>
      <c r="J28" s="155">
        <f ca="1">_xll.DBR("CXMD:FTM_DATA_MARGIN",$L$21,$L$20,$C$15,$B28,$C$16,$C28,J$25)</f>
        <v>98</v>
      </c>
      <c r="K28" s="155">
        <f ca="1">_xll.DBR("CXMD:FTM_DATA_MARGIN",$L$21,$L$20,$C$15,$B28,$C$16,$C28,K$25)</f>
        <v>1827357.5899999994</v>
      </c>
      <c r="L28" s="155">
        <f t="shared" ca="1" si="3"/>
        <v>1827.3575899999994</v>
      </c>
      <c r="M28" s="155">
        <f ca="1">_xll.DBR("CXMD:FTM_DATA_MARGIN",$L$21,$L$20,$C$15,$B28,$C$16,$C28,M$25)</f>
        <v>1827357.5899999994</v>
      </c>
      <c r="N28" s="155">
        <f t="shared" ca="1" si="4"/>
        <v>1827.3575899999994</v>
      </c>
      <c r="O28" s="188">
        <f t="shared" ca="1" si="5"/>
        <v>1</v>
      </c>
      <c r="P28" s="155">
        <f ca="1">_xll.DBR("CXMD:FTM_DATA_MARGIN",$R$21,$R$20,$C$15,$B28,$C$16,$C28,P$25)</f>
        <v>98</v>
      </c>
      <c r="Q28" s="155">
        <f ca="1">_xll.DBR("CXMD:FTM_DATA_MARGIN",$R$21,$R$20,$C$15,$B28,$C$16,$C28,Q$25)</f>
        <v>1827357.5899999994</v>
      </c>
      <c r="R28" s="155">
        <f t="shared" ca="1" si="6"/>
        <v>1827.3575899999994</v>
      </c>
      <c r="S28" s="155">
        <f ca="1">_xll.DBR("CXMD:FTM_DATA_MARGIN",$R$21,$R$20,$C$15,$B28,$C$16,$C28,S$25)</f>
        <v>1827357.5899999994</v>
      </c>
      <c r="T28" s="155">
        <f t="shared" ca="1" si="7"/>
        <v>1827.3575899999994</v>
      </c>
      <c r="U28" s="188">
        <f t="shared" ca="1" si="8"/>
        <v>1</v>
      </c>
      <c r="V28" s="189">
        <f t="shared" ca="1" si="9"/>
        <v>0</v>
      </c>
      <c r="W28" s="201">
        <f t="shared" ca="1" si="10"/>
        <v>0</v>
      </c>
      <c r="X28" s="189">
        <f t="shared" ca="1" si="11"/>
        <v>0</v>
      </c>
      <c r="Y28" s="201">
        <f t="shared" ca="1" si="12"/>
        <v>0</v>
      </c>
      <c r="Z28" s="189">
        <f t="shared" ca="1" si="13"/>
        <v>0</v>
      </c>
      <c r="AA28" s="190">
        <f t="shared" ca="1" si="14"/>
        <v>0</v>
      </c>
      <c r="AB28" s="191">
        <f t="shared" ca="1" si="15"/>
        <v>0</v>
      </c>
      <c r="AC28" s="192">
        <f t="shared" ca="1" si="16"/>
        <v>0</v>
      </c>
      <c r="AD28" s="155">
        <f ca="1">_xll.DBR("CXMD:FTM_DATA_MARGIN",$AD$21,$AD$20,$C$15,$B28,$C$16,$C28,AD$25)</f>
        <v>0</v>
      </c>
      <c r="AE28" s="155">
        <f ca="1">_xll.DBR("CXMD:FTM_DATA_MARGIN",$AD$21,$AD$20,$C$15,$B28,$C$16,$C28,AE$25)</f>
        <v>0</v>
      </c>
      <c r="AF28" s="155">
        <f t="shared" ca="1" si="17"/>
        <v>0</v>
      </c>
      <c r="AG28" s="199">
        <f t="shared" ca="1" si="18"/>
        <v>-98</v>
      </c>
      <c r="AH28" s="190">
        <f t="shared" ca="1" si="19"/>
        <v>-1</v>
      </c>
      <c r="AI28" s="199">
        <f t="shared" ca="1" si="20"/>
        <v>-1827.3575899999994</v>
      </c>
      <c r="AJ28" s="190">
        <f t="shared" ca="1" si="21"/>
        <v>-1</v>
      </c>
      <c r="AK28" s="200"/>
      <c r="AL28" s="201"/>
      <c r="AM28" s="105"/>
    </row>
    <row r="29" spans="1:39" ht="15" customHeight="1" x14ac:dyDescent="0.25">
      <c r="A29" t="str">
        <f ca="1">IF(_xll.TM1RPTELISCONSOLIDATED($C$26,$C29),IF(_xll.TM1RPTELLEV($C$26,$C29)&lt;=3,_xll.TM1RPTELLEV($C$26,$C29),"D"),"N")</f>
        <v>N</v>
      </c>
      <c r="B29" s="182" t="s">
        <v>50</v>
      </c>
      <c r="C29" s="187" t="s">
        <v>58</v>
      </c>
      <c r="D29" s="155">
        <f ca="1">_xll.DBR("CXMD:FTM_DATA_MARGIN",$F$21,$F$20,$C$15,$B29,$C$16,$C29,D$25)</f>
        <v>142</v>
      </c>
      <c r="E29" s="155">
        <f ca="1">_xll.DBR("CXMD:FTM_DATA_MARGIN",$F$21,$F$20,$C$15,$B29,$C$16,$C29,E$25)</f>
        <v>1534544.4300000002</v>
      </c>
      <c r="F29" s="155">
        <f t="shared" ca="1" si="0"/>
        <v>1534.5444300000001</v>
      </c>
      <c r="G29" s="155">
        <f ca="1">_xll.DBR("CXMD:FTM_DATA_MARGIN",$F$21,$F$20,$C$15,$B29,$C$16,$C29,G$25)</f>
        <v>1534544.4300000002</v>
      </c>
      <c r="H29" s="155">
        <f t="shared" ca="1" si="1"/>
        <v>1534.5444300000001</v>
      </c>
      <c r="I29" s="188">
        <f t="shared" ca="1" si="2"/>
        <v>1</v>
      </c>
      <c r="J29" s="155">
        <f ca="1">_xll.DBR("CXMD:FTM_DATA_MARGIN",$L$21,$L$20,$C$15,$B29,$C$16,$C29,J$25)</f>
        <v>142</v>
      </c>
      <c r="K29" s="155">
        <f ca="1">_xll.DBR("CXMD:FTM_DATA_MARGIN",$L$21,$L$20,$C$15,$B29,$C$16,$C29,K$25)</f>
        <v>1534544.4300000002</v>
      </c>
      <c r="L29" s="155">
        <f t="shared" ca="1" si="3"/>
        <v>1534.5444300000001</v>
      </c>
      <c r="M29" s="155">
        <f ca="1">_xll.DBR("CXMD:FTM_DATA_MARGIN",$L$21,$L$20,$C$15,$B29,$C$16,$C29,M$25)</f>
        <v>1534544.4300000002</v>
      </c>
      <c r="N29" s="155">
        <f t="shared" ca="1" si="4"/>
        <v>1534.5444300000001</v>
      </c>
      <c r="O29" s="188">
        <f t="shared" ca="1" si="5"/>
        <v>1</v>
      </c>
      <c r="P29" s="155">
        <f ca="1">_xll.DBR("CXMD:FTM_DATA_MARGIN",$R$21,$R$20,$C$15,$B29,$C$16,$C29,P$25)</f>
        <v>142</v>
      </c>
      <c r="Q29" s="155">
        <f ca="1">_xll.DBR("CXMD:FTM_DATA_MARGIN",$R$21,$R$20,$C$15,$B29,$C$16,$C29,Q$25)</f>
        <v>1534544.4300000002</v>
      </c>
      <c r="R29" s="155">
        <f t="shared" ca="1" si="6"/>
        <v>1534.5444300000001</v>
      </c>
      <c r="S29" s="155">
        <f ca="1">_xll.DBR("CXMD:FTM_DATA_MARGIN",$R$21,$R$20,$C$15,$B29,$C$16,$C29,S$25)</f>
        <v>1534544.4300000002</v>
      </c>
      <c r="T29" s="155">
        <f t="shared" ca="1" si="7"/>
        <v>1534.5444300000001</v>
      </c>
      <c r="U29" s="188">
        <f t="shared" ca="1" si="8"/>
        <v>1</v>
      </c>
      <c r="V29" s="189">
        <f t="shared" ca="1" si="9"/>
        <v>0</v>
      </c>
      <c r="W29" s="201">
        <f t="shared" ca="1" si="10"/>
        <v>0</v>
      </c>
      <c r="X29" s="189">
        <f t="shared" ca="1" si="11"/>
        <v>0</v>
      </c>
      <c r="Y29" s="201">
        <f t="shared" ca="1" si="12"/>
        <v>0</v>
      </c>
      <c r="Z29" s="189">
        <f t="shared" ca="1" si="13"/>
        <v>0</v>
      </c>
      <c r="AA29" s="190">
        <f t="shared" ca="1" si="14"/>
        <v>0</v>
      </c>
      <c r="AB29" s="191">
        <f t="shared" ca="1" si="15"/>
        <v>0</v>
      </c>
      <c r="AC29" s="192">
        <f t="shared" ca="1" si="16"/>
        <v>0</v>
      </c>
      <c r="AD29" s="155">
        <f ca="1">_xll.DBR("CXMD:FTM_DATA_MARGIN",$AD$21,$AD$20,$C$15,$B29,$C$16,$C29,AD$25)</f>
        <v>0</v>
      </c>
      <c r="AE29" s="155">
        <f ca="1">_xll.DBR("CXMD:FTM_DATA_MARGIN",$AD$21,$AD$20,$C$15,$B29,$C$16,$C29,AE$25)</f>
        <v>0</v>
      </c>
      <c r="AF29" s="155">
        <f t="shared" ca="1" si="17"/>
        <v>0</v>
      </c>
      <c r="AG29" s="199">
        <f t="shared" ca="1" si="18"/>
        <v>-142</v>
      </c>
      <c r="AH29" s="190">
        <f t="shared" ca="1" si="19"/>
        <v>-1</v>
      </c>
      <c r="AI29" s="199">
        <f t="shared" ca="1" si="20"/>
        <v>-1534.5444300000001</v>
      </c>
      <c r="AJ29" s="190">
        <f t="shared" ca="1" si="21"/>
        <v>-1</v>
      </c>
      <c r="AK29" s="200"/>
      <c r="AL29" s="201"/>
      <c r="AM29" s="105"/>
    </row>
    <row r="30" spans="1:39" ht="15" customHeight="1" x14ac:dyDescent="0.25">
      <c r="A30" t="str">
        <f ca="1">IF(_xll.TM1RPTELISCONSOLIDATED($C$26,$C30),IF(_xll.TM1RPTELLEV($C$26,$C30)&lt;=3,_xll.TM1RPTELLEV($C$26,$C30),"D"),"N")</f>
        <v>N</v>
      </c>
      <c r="B30" s="182" t="s">
        <v>50</v>
      </c>
      <c r="C30" s="187" t="s">
        <v>59</v>
      </c>
      <c r="D30" s="155">
        <f ca="1">_xll.DBR("CXMD:FTM_DATA_MARGIN",$F$21,$F$20,$C$15,$B30,$C$16,$C30,D$25)</f>
        <v>33</v>
      </c>
      <c r="E30" s="155">
        <f ca="1">_xll.DBR("CXMD:FTM_DATA_MARGIN",$F$21,$F$20,$C$15,$B30,$C$16,$C30,E$25)</f>
        <v>203074.5500000001</v>
      </c>
      <c r="F30" s="155">
        <f t="shared" ca="1" si="0"/>
        <v>203.0745500000001</v>
      </c>
      <c r="G30" s="155">
        <f ca="1">_xll.DBR("CXMD:FTM_DATA_MARGIN",$F$21,$F$20,$C$15,$B30,$C$16,$C30,G$25)</f>
        <v>203074.5500000001</v>
      </c>
      <c r="H30" s="155">
        <f t="shared" ca="1" si="1"/>
        <v>203.0745500000001</v>
      </c>
      <c r="I30" s="188">
        <f t="shared" ca="1" si="2"/>
        <v>1</v>
      </c>
      <c r="J30" s="155">
        <f ca="1">_xll.DBR("CXMD:FTM_DATA_MARGIN",$L$21,$L$20,$C$15,$B30,$C$16,$C30,J$25)</f>
        <v>33</v>
      </c>
      <c r="K30" s="155">
        <f ca="1">_xll.DBR("CXMD:FTM_DATA_MARGIN",$L$21,$L$20,$C$15,$B30,$C$16,$C30,K$25)</f>
        <v>203074.5500000001</v>
      </c>
      <c r="L30" s="155">
        <f t="shared" ca="1" si="3"/>
        <v>203.0745500000001</v>
      </c>
      <c r="M30" s="155">
        <f ca="1">_xll.DBR("CXMD:FTM_DATA_MARGIN",$L$21,$L$20,$C$15,$B30,$C$16,$C30,M$25)</f>
        <v>203074.5500000001</v>
      </c>
      <c r="N30" s="155">
        <f t="shared" ca="1" si="4"/>
        <v>203.0745500000001</v>
      </c>
      <c r="O30" s="188">
        <f t="shared" ca="1" si="5"/>
        <v>1</v>
      </c>
      <c r="P30" s="155">
        <f ca="1">_xll.DBR("CXMD:FTM_DATA_MARGIN",$R$21,$R$20,$C$15,$B30,$C$16,$C30,P$25)</f>
        <v>33</v>
      </c>
      <c r="Q30" s="155">
        <f ca="1">_xll.DBR("CXMD:FTM_DATA_MARGIN",$R$21,$R$20,$C$15,$B30,$C$16,$C30,Q$25)</f>
        <v>203074.5500000001</v>
      </c>
      <c r="R30" s="155">
        <f t="shared" ca="1" si="6"/>
        <v>203.0745500000001</v>
      </c>
      <c r="S30" s="155">
        <f ca="1">_xll.DBR("CXMD:FTM_DATA_MARGIN",$R$21,$R$20,$C$15,$B30,$C$16,$C30,S$25)</f>
        <v>203074.5500000001</v>
      </c>
      <c r="T30" s="155">
        <f t="shared" ca="1" si="7"/>
        <v>203.0745500000001</v>
      </c>
      <c r="U30" s="188">
        <f t="shared" ca="1" si="8"/>
        <v>1</v>
      </c>
      <c r="V30" s="189">
        <f t="shared" ca="1" si="9"/>
        <v>0</v>
      </c>
      <c r="W30" s="201">
        <f t="shared" ca="1" si="10"/>
        <v>0</v>
      </c>
      <c r="X30" s="189">
        <f t="shared" ca="1" si="11"/>
        <v>0</v>
      </c>
      <c r="Y30" s="201">
        <f t="shared" ca="1" si="12"/>
        <v>0</v>
      </c>
      <c r="Z30" s="189">
        <f t="shared" ca="1" si="13"/>
        <v>0</v>
      </c>
      <c r="AA30" s="190">
        <f t="shared" ca="1" si="14"/>
        <v>0</v>
      </c>
      <c r="AB30" s="191">
        <f t="shared" ca="1" si="15"/>
        <v>0</v>
      </c>
      <c r="AC30" s="192">
        <f t="shared" ca="1" si="16"/>
        <v>0</v>
      </c>
      <c r="AD30" s="155">
        <f ca="1">_xll.DBR("CXMD:FTM_DATA_MARGIN",$AD$21,$AD$20,$C$15,$B30,$C$16,$C30,AD$25)</f>
        <v>0</v>
      </c>
      <c r="AE30" s="155">
        <f ca="1">_xll.DBR("CXMD:FTM_DATA_MARGIN",$AD$21,$AD$20,$C$15,$B30,$C$16,$C30,AE$25)</f>
        <v>0</v>
      </c>
      <c r="AF30" s="155">
        <f t="shared" ca="1" si="17"/>
        <v>0</v>
      </c>
      <c r="AG30" s="199">
        <f t="shared" ca="1" si="18"/>
        <v>-33</v>
      </c>
      <c r="AH30" s="190">
        <f t="shared" ca="1" si="19"/>
        <v>-1</v>
      </c>
      <c r="AI30" s="199">
        <f t="shared" ca="1" si="20"/>
        <v>-203.0745500000001</v>
      </c>
      <c r="AJ30" s="190">
        <f t="shared" ca="1" si="21"/>
        <v>-1</v>
      </c>
      <c r="AK30" s="200"/>
      <c r="AL30" s="201"/>
      <c r="AM30" s="105"/>
    </row>
    <row r="31" spans="1:39" ht="15" customHeight="1" x14ac:dyDescent="0.25">
      <c r="A31" t="str">
        <f ca="1">IF(_xll.TM1RPTELISCONSOLIDATED($C$26,$C31),IF(_xll.TM1RPTELLEV($C$26,$C31)&lt;=3,_xll.TM1RPTELLEV($C$26,$C31),"D"),"N")</f>
        <v>N</v>
      </c>
      <c r="B31" s="182" t="s">
        <v>50</v>
      </c>
      <c r="C31" s="187" t="s">
        <v>60</v>
      </c>
      <c r="D31" s="155">
        <f ca="1">_xll.DBR("CXMD:FTM_DATA_MARGIN",$F$21,$F$20,$C$15,$B31,$C$16,$C31,D$25)</f>
        <v>55</v>
      </c>
      <c r="E31" s="155">
        <f ca="1">_xll.DBR("CXMD:FTM_DATA_MARGIN",$F$21,$F$20,$C$15,$B31,$C$16,$C31,E$25)</f>
        <v>760408.4600000002</v>
      </c>
      <c r="F31" s="155">
        <f t="shared" ca="1" si="0"/>
        <v>760.40846000000022</v>
      </c>
      <c r="G31" s="155">
        <f ca="1">_xll.DBR("CXMD:FTM_DATA_MARGIN",$F$21,$F$20,$C$15,$B31,$C$16,$C31,G$25)</f>
        <v>760408.4600000002</v>
      </c>
      <c r="H31" s="155">
        <f t="shared" ca="1" si="1"/>
        <v>760.40846000000022</v>
      </c>
      <c r="I31" s="188">
        <f t="shared" ref="I31:I41" ca="1" si="22">IF(E31&lt;&gt;0,G31/E31,0)</f>
        <v>1</v>
      </c>
      <c r="J31" s="155">
        <f ca="1">_xll.DBR("CXMD:FTM_DATA_MARGIN",$L$21,$L$20,$C$15,$B31,$C$16,$C31,J$25)</f>
        <v>55</v>
      </c>
      <c r="K31" s="155">
        <f ca="1">_xll.DBR("CXMD:FTM_DATA_MARGIN",$L$21,$L$20,$C$15,$B31,$C$16,$C31,K$25)</f>
        <v>760408.4600000002</v>
      </c>
      <c r="L31" s="155">
        <f t="shared" ca="1" si="3"/>
        <v>760.40846000000022</v>
      </c>
      <c r="M31" s="155">
        <f ca="1">_xll.DBR("CXMD:FTM_DATA_MARGIN",$L$21,$L$20,$C$15,$B31,$C$16,$C31,M$25)</f>
        <v>760408.4600000002</v>
      </c>
      <c r="N31" s="155">
        <f t="shared" ca="1" si="4"/>
        <v>760.40846000000022</v>
      </c>
      <c r="O31" s="188">
        <f t="shared" ref="O31:O41" ca="1" si="23">IF(K31&lt;&gt;0,M31/K31,0)</f>
        <v>1</v>
      </c>
      <c r="P31" s="155">
        <f ca="1">_xll.DBR("CXMD:FTM_DATA_MARGIN",$R$21,$R$20,$C$15,$B31,$C$16,$C31,P$25)</f>
        <v>55</v>
      </c>
      <c r="Q31" s="155">
        <f ca="1">_xll.DBR("CXMD:FTM_DATA_MARGIN",$R$21,$R$20,$C$15,$B31,$C$16,$C31,Q$25)</f>
        <v>760408.4600000002</v>
      </c>
      <c r="R31" s="155">
        <f t="shared" ca="1" si="6"/>
        <v>760.40846000000022</v>
      </c>
      <c r="S31" s="155">
        <f ca="1">_xll.DBR("CXMD:FTM_DATA_MARGIN",$R$21,$R$20,$C$15,$B31,$C$16,$C31,S$25)</f>
        <v>760408.4600000002</v>
      </c>
      <c r="T31" s="155">
        <f t="shared" ca="1" si="7"/>
        <v>760.40846000000022</v>
      </c>
      <c r="U31" s="188">
        <f t="shared" ref="U31:U41" ca="1" si="24">IF(Q31&lt;&gt;0,S31/Q31,0)</f>
        <v>1</v>
      </c>
      <c r="V31" s="189">
        <f t="shared" ref="V31:V41" ca="1" si="25">P31-D31</f>
        <v>0</v>
      </c>
      <c r="W31" s="201">
        <f t="shared" ref="W31:W41" ca="1" si="26">IF(D31&lt;&gt;0,(P31/D31)-1,0)</f>
        <v>0</v>
      </c>
      <c r="X31" s="189">
        <f t="shared" ref="X31:X41" ca="1" si="27">(Q31-E31)/1000</f>
        <v>0</v>
      </c>
      <c r="Y31" s="201">
        <f t="shared" ref="Y31:Y41" ca="1" si="28">IF(E31&lt;&gt;0,(Q31/E31)-1,0)</f>
        <v>0</v>
      </c>
      <c r="Z31" s="189">
        <f t="shared" ref="Z31:Z41" ca="1" si="29">(S31-G31)/1000</f>
        <v>0</v>
      </c>
      <c r="AA31" s="190">
        <f t="shared" ref="AA31:AA41" ca="1" si="30">IF(G31&lt;&gt;0,(S31/G31)-1,0)</f>
        <v>0</v>
      </c>
      <c r="AB31" s="191">
        <f t="shared" ref="AB31:AB41" ca="1" si="31">(U31-I31)*100</f>
        <v>0</v>
      </c>
      <c r="AC31" s="192">
        <f t="shared" ref="AC31:AC41" ca="1" si="32">AB31*Q31/100/1000</f>
        <v>0</v>
      </c>
      <c r="AD31" s="155">
        <f ca="1">_xll.DBR("CXMD:FTM_DATA_MARGIN",$AD$21,$AD$20,$C$15,$B31,$C$16,$C31,AD$25)</f>
        <v>0</v>
      </c>
      <c r="AE31" s="155">
        <f ca="1">_xll.DBR("CXMD:FTM_DATA_MARGIN",$AD$21,$AD$20,$C$15,$B31,$C$16,$C31,AE$25)</f>
        <v>0</v>
      </c>
      <c r="AF31" s="155">
        <f t="shared" ca="1" si="17"/>
        <v>0</v>
      </c>
      <c r="AG31" s="199">
        <f t="shared" ref="AG31:AG41" ca="1" si="33">AD31-P31</f>
        <v>-55</v>
      </c>
      <c r="AH31" s="190">
        <f t="shared" ref="AH31:AH41" ca="1" si="34">IF(P31&lt;&gt;0,(AD31/P31)-1,0)</f>
        <v>-1</v>
      </c>
      <c r="AI31" s="199">
        <f t="shared" ref="AI31:AI41" ca="1" si="35">(AE31-Q31)/1000</f>
        <v>-760.40846000000022</v>
      </c>
      <c r="AJ31" s="190">
        <f t="shared" ref="AJ31:AJ41" ca="1" si="36">IF(Q31&lt;&gt;0,(AE31/Q31)-1,0)</f>
        <v>-1</v>
      </c>
      <c r="AK31" s="200"/>
      <c r="AL31" s="201"/>
      <c r="AM31" s="105"/>
    </row>
    <row r="32" spans="1:39" ht="15" customHeight="1" x14ac:dyDescent="0.25">
      <c r="A32" t="str">
        <f ca="1">IF(_xll.TM1RPTELISCONSOLIDATED($C$26,$C32),IF(_xll.TM1RPTELLEV($C$26,$C32)&lt;=3,_xll.TM1RPTELLEV($C$26,$C32),"D"),"N")</f>
        <v>N</v>
      </c>
      <c r="B32" s="182" t="s">
        <v>50</v>
      </c>
      <c r="C32" s="187" t="s">
        <v>61</v>
      </c>
      <c r="D32" s="155">
        <f ca="1">_xll.DBR("CXMD:FTM_DATA_MARGIN",$F$21,$F$20,$C$15,$B32,$C$16,$C32,D$25)</f>
        <v>2148</v>
      </c>
      <c r="E32" s="155">
        <f ca="1">_xll.DBR("CXMD:FTM_DATA_MARGIN",$F$21,$F$20,$C$15,$B32,$C$16,$C32,E$25)</f>
        <v>26221771.079999994</v>
      </c>
      <c r="F32" s="155">
        <f t="shared" ca="1" si="0"/>
        <v>26221.771079999995</v>
      </c>
      <c r="G32" s="155">
        <f ca="1">_xll.DBR("CXMD:FTM_DATA_MARGIN",$F$21,$F$20,$C$15,$B32,$C$16,$C32,G$25)</f>
        <v>26221771.079999994</v>
      </c>
      <c r="H32" s="155">
        <f t="shared" ca="1" si="1"/>
        <v>26221.771079999995</v>
      </c>
      <c r="I32" s="188">
        <f t="shared" ca="1" si="22"/>
        <v>1</v>
      </c>
      <c r="J32" s="155">
        <f ca="1">_xll.DBR("CXMD:FTM_DATA_MARGIN",$L$21,$L$20,$C$15,$B32,$C$16,$C32,J$25)</f>
        <v>2148</v>
      </c>
      <c r="K32" s="155">
        <f ca="1">_xll.DBR("CXMD:FTM_DATA_MARGIN",$L$21,$L$20,$C$15,$B32,$C$16,$C32,K$25)</f>
        <v>26221771.079999994</v>
      </c>
      <c r="L32" s="155">
        <f t="shared" ca="1" si="3"/>
        <v>26221.771079999995</v>
      </c>
      <c r="M32" s="155">
        <f ca="1">_xll.DBR("CXMD:FTM_DATA_MARGIN",$L$21,$L$20,$C$15,$B32,$C$16,$C32,M$25)</f>
        <v>26221771.079999994</v>
      </c>
      <c r="N32" s="155">
        <f t="shared" ca="1" si="4"/>
        <v>26221.771079999995</v>
      </c>
      <c r="O32" s="188">
        <f t="shared" ca="1" si="23"/>
        <v>1</v>
      </c>
      <c r="P32" s="155">
        <f ca="1">_xll.DBR("CXMD:FTM_DATA_MARGIN",$R$21,$R$20,$C$15,$B32,$C$16,$C32,P$25)</f>
        <v>2148</v>
      </c>
      <c r="Q32" s="155">
        <f ca="1">_xll.DBR("CXMD:FTM_DATA_MARGIN",$R$21,$R$20,$C$15,$B32,$C$16,$C32,Q$25)</f>
        <v>26221771.079999994</v>
      </c>
      <c r="R32" s="155">
        <f t="shared" ca="1" si="6"/>
        <v>26221.771079999995</v>
      </c>
      <c r="S32" s="155">
        <f ca="1">_xll.DBR("CXMD:FTM_DATA_MARGIN",$R$21,$R$20,$C$15,$B32,$C$16,$C32,S$25)</f>
        <v>26221771.079999994</v>
      </c>
      <c r="T32" s="155">
        <f t="shared" ca="1" si="7"/>
        <v>26221.771079999995</v>
      </c>
      <c r="U32" s="188">
        <f t="shared" ca="1" si="24"/>
        <v>1</v>
      </c>
      <c r="V32" s="189">
        <f t="shared" ca="1" si="25"/>
        <v>0</v>
      </c>
      <c r="W32" s="201">
        <f t="shared" ca="1" si="26"/>
        <v>0</v>
      </c>
      <c r="X32" s="189">
        <f t="shared" ca="1" si="27"/>
        <v>0</v>
      </c>
      <c r="Y32" s="201">
        <f t="shared" ca="1" si="28"/>
        <v>0</v>
      </c>
      <c r="Z32" s="189">
        <f t="shared" ca="1" si="29"/>
        <v>0</v>
      </c>
      <c r="AA32" s="190">
        <f t="shared" ca="1" si="30"/>
        <v>0</v>
      </c>
      <c r="AB32" s="191">
        <f t="shared" ca="1" si="31"/>
        <v>0</v>
      </c>
      <c r="AC32" s="192">
        <f t="shared" ca="1" si="32"/>
        <v>0</v>
      </c>
      <c r="AD32" s="155">
        <f ca="1">_xll.DBR("CXMD:FTM_DATA_MARGIN",$AD$21,$AD$20,$C$15,$B32,$C$16,$C32,AD$25)</f>
        <v>0</v>
      </c>
      <c r="AE32" s="155">
        <f ca="1">_xll.DBR("CXMD:FTM_DATA_MARGIN",$AD$21,$AD$20,$C$15,$B32,$C$16,$C32,AE$25)</f>
        <v>0</v>
      </c>
      <c r="AF32" s="155">
        <f t="shared" ca="1" si="17"/>
        <v>0</v>
      </c>
      <c r="AG32" s="199">
        <f t="shared" ca="1" si="33"/>
        <v>-2148</v>
      </c>
      <c r="AH32" s="190">
        <f t="shared" ca="1" si="34"/>
        <v>-1</v>
      </c>
      <c r="AI32" s="199">
        <f t="shared" ca="1" si="35"/>
        <v>-26221.771079999995</v>
      </c>
      <c r="AJ32" s="190">
        <f t="shared" ca="1" si="36"/>
        <v>-1</v>
      </c>
      <c r="AK32" s="200"/>
      <c r="AL32" s="201"/>
      <c r="AM32" s="105"/>
    </row>
    <row r="33" spans="1:39" ht="15" customHeight="1" x14ac:dyDescent="0.25">
      <c r="B33" s="182" t="s">
        <v>50</v>
      </c>
      <c r="C33" s="232" t="s">
        <v>62</v>
      </c>
      <c r="D33" s="23">
        <f ca="1">_xll.DBR("CXMD:FTM_DATA_MARGIN",$F$21,$F$20,$C$15,$B33,$C$16,$C33,D$25)</f>
        <v>1014</v>
      </c>
      <c r="E33" s="23">
        <f ca="1">_xll.DBR("CXMD:FTM_DATA_MARGIN",$F$21,$F$20,$C$15,$B33,$C$16,$C33,E$25)</f>
        <v>8299868.1700000018</v>
      </c>
      <c r="F33" s="23">
        <f t="shared" ref="F33:F36" ca="1" si="37">E33/1000</f>
        <v>8299.8681700000016</v>
      </c>
      <c r="G33" s="23">
        <f ca="1">_xll.DBR("CXMD:FTM_DATA_MARGIN",$F$21,$F$20,$C$15,$B33,$C$16,$C33,G$25)</f>
        <v>8299868.1700000018</v>
      </c>
      <c r="H33" s="23">
        <f t="shared" ref="H33:H36" ca="1" si="38">G33/1000</f>
        <v>8299.8681700000016</v>
      </c>
      <c r="I33" s="24">
        <f t="shared" ref="I33:I36" ca="1" si="39">IF(E33&lt;&gt;0,G33/E33,0)</f>
        <v>1</v>
      </c>
      <c r="J33" s="23">
        <f ca="1">_xll.DBR("CXMD:FTM_DATA_MARGIN",$L$21,$L$20,$C$15,$B33,$C$16,$C33,J$25)</f>
        <v>1014</v>
      </c>
      <c r="K33" s="23">
        <f ca="1">_xll.DBR("CXMD:FTM_DATA_MARGIN",$L$21,$L$20,$C$15,$B33,$C$16,$C33,K$25)</f>
        <v>8299868.1700000018</v>
      </c>
      <c r="L33" s="23">
        <f t="shared" ref="L33:L36" ca="1" si="40">K33/1000</f>
        <v>8299.8681700000016</v>
      </c>
      <c r="M33" s="23">
        <f ca="1">_xll.DBR("CXMD:FTM_DATA_MARGIN",$L$21,$L$20,$C$15,$B33,$C$16,$C33,M$25)</f>
        <v>8299868.1700000018</v>
      </c>
      <c r="N33" s="23">
        <f t="shared" ref="N33:N36" ca="1" si="41">M33/1000</f>
        <v>8299.8681700000016</v>
      </c>
      <c r="O33" s="24">
        <f t="shared" ref="O33:O36" ca="1" si="42">IF(K33&lt;&gt;0,M33/K33,0)</f>
        <v>1</v>
      </c>
      <c r="P33" s="23">
        <f ca="1">_xll.DBR("CXMD:FTM_DATA_MARGIN",$R$21,$R$20,$C$15,$B33,$C$16,$C33,P$25)</f>
        <v>1014</v>
      </c>
      <c r="Q33" s="23">
        <f ca="1">_xll.DBR("CXMD:FTM_DATA_MARGIN",$R$21,$R$20,$C$15,$B33,$C$16,$C33,Q$25)</f>
        <v>8299868.1700000018</v>
      </c>
      <c r="R33" s="23">
        <f t="shared" ref="R33:R36" ca="1" si="43">Q33/1000</f>
        <v>8299.8681700000016</v>
      </c>
      <c r="S33" s="23">
        <f ca="1">_xll.DBR("CXMD:FTM_DATA_MARGIN",$R$21,$R$20,$C$15,$B33,$C$16,$C33,S$25)</f>
        <v>8299868.1700000018</v>
      </c>
      <c r="T33" s="23">
        <f t="shared" ref="T33:T36" ca="1" si="44">S33/1000</f>
        <v>8299.8681700000016</v>
      </c>
      <c r="U33" s="24">
        <f t="shared" ref="U33:U36" ca="1" si="45">IF(Q33&lt;&gt;0,S33/Q33,0)</f>
        <v>1</v>
      </c>
      <c r="V33" s="60">
        <f t="shared" ref="V33:V36" ca="1" si="46">P33-D33</f>
        <v>0</v>
      </c>
      <c r="W33" s="48">
        <f t="shared" ref="W33:W36" ca="1" si="47">IF(D33&lt;&gt;0,(P33/D33)-1,0)</f>
        <v>0</v>
      </c>
      <c r="X33" s="60">
        <f t="shared" ref="X33:X36" ca="1" si="48">(Q33-E33)/1000</f>
        <v>0</v>
      </c>
      <c r="Y33" s="48">
        <f t="shared" ref="Y33:Y36" ca="1" si="49">IF(E33&lt;&gt;0,(Q33/E33)-1,0)</f>
        <v>0</v>
      </c>
      <c r="Z33" s="60">
        <f t="shared" ref="Z33:Z36" ca="1" si="50">(S33-G33)/1000</f>
        <v>0</v>
      </c>
      <c r="AA33" s="47">
        <f t="shared" ref="AA33:AA36" ca="1" si="51">IF(G33&lt;&gt;0,(S33/G33)-1,0)</f>
        <v>0</v>
      </c>
      <c r="AB33" s="79">
        <f t="shared" ref="AB33:AB36" ca="1" si="52">(U33-I33)*100</f>
        <v>0</v>
      </c>
      <c r="AC33" s="61">
        <f t="shared" ref="AC33:AC36" ca="1" si="53">AB33*Q33/100/1000</f>
        <v>0</v>
      </c>
      <c r="AD33" s="23">
        <f ca="1">_xll.DBR("CXMD:FTM_DATA_MARGIN",$AD$21,$AD$20,$C$15,$B33,$C$16,$C33,AD$25)</f>
        <v>0</v>
      </c>
      <c r="AE33" s="23">
        <f ca="1">_xll.DBR("CXMD:FTM_DATA_MARGIN",$AD$21,$AD$20,$C$15,$B33,$C$16,$C33,AE$25)</f>
        <v>0</v>
      </c>
      <c r="AF33" s="23">
        <f t="shared" ref="AF33:AF36" ca="1" si="54">AE33/1000</f>
        <v>0</v>
      </c>
      <c r="AG33" s="100">
        <f t="shared" ref="AG33:AG36" ca="1" si="55">AD33-P33</f>
        <v>-1014</v>
      </c>
      <c r="AH33" s="47">
        <f t="shared" ref="AH33:AH36" ca="1" si="56">IF(P33&lt;&gt;0,(AD33/P33)-1,0)</f>
        <v>-1</v>
      </c>
      <c r="AI33" s="100">
        <f t="shared" ref="AI33:AI36" ca="1" si="57">(AE33-Q33)/1000</f>
        <v>-8299.8681700000016</v>
      </c>
      <c r="AJ33" s="47">
        <f t="shared" ref="AJ33:AJ36" ca="1" si="58">IF(Q33&lt;&gt;0,(AE33/Q33)-1,0)</f>
        <v>-1</v>
      </c>
      <c r="AK33" s="234"/>
      <c r="AL33" s="48"/>
      <c r="AM33" s="105"/>
    </row>
    <row r="34" spans="1:39" ht="15" customHeight="1" x14ac:dyDescent="0.25">
      <c r="B34" s="182" t="s">
        <v>50</v>
      </c>
      <c r="C34" s="232" t="s">
        <v>63</v>
      </c>
      <c r="D34" s="23">
        <f ca="1">_xll.DBR("CXMD:FTM_DATA_MARGIN",$F$21,$F$20,$C$15,$B34,$C$16,$C34,D$25)</f>
        <v>97</v>
      </c>
      <c r="E34" s="23">
        <f ca="1">_xll.DBR("CXMD:FTM_DATA_MARGIN",$F$21,$F$20,$C$15,$B34,$C$16,$C34,E$25)</f>
        <v>2970306.1</v>
      </c>
      <c r="F34" s="23">
        <f t="shared" ca="1" si="37"/>
        <v>2970.3061000000002</v>
      </c>
      <c r="G34" s="23">
        <f ca="1">_xll.DBR("CXMD:FTM_DATA_MARGIN",$F$21,$F$20,$C$15,$B34,$C$16,$C34,G$25)</f>
        <v>2970306.1</v>
      </c>
      <c r="H34" s="23">
        <f t="shared" ca="1" si="38"/>
        <v>2970.3061000000002</v>
      </c>
      <c r="I34" s="24">
        <f t="shared" ca="1" si="39"/>
        <v>1</v>
      </c>
      <c r="J34" s="23">
        <f ca="1">_xll.DBR("CXMD:FTM_DATA_MARGIN",$L$21,$L$20,$C$15,$B34,$C$16,$C34,J$25)</f>
        <v>97</v>
      </c>
      <c r="K34" s="23">
        <f ca="1">_xll.DBR("CXMD:FTM_DATA_MARGIN",$L$21,$L$20,$C$15,$B34,$C$16,$C34,K$25)</f>
        <v>2970306.1</v>
      </c>
      <c r="L34" s="23">
        <f t="shared" ca="1" si="40"/>
        <v>2970.3061000000002</v>
      </c>
      <c r="M34" s="23">
        <f ca="1">_xll.DBR("CXMD:FTM_DATA_MARGIN",$L$21,$L$20,$C$15,$B34,$C$16,$C34,M$25)</f>
        <v>2970306.1</v>
      </c>
      <c r="N34" s="23">
        <f t="shared" ca="1" si="41"/>
        <v>2970.3061000000002</v>
      </c>
      <c r="O34" s="24">
        <f t="shared" ca="1" si="42"/>
        <v>1</v>
      </c>
      <c r="P34" s="23">
        <f ca="1">_xll.DBR("CXMD:FTM_DATA_MARGIN",$R$21,$R$20,$C$15,$B34,$C$16,$C34,P$25)</f>
        <v>97</v>
      </c>
      <c r="Q34" s="23">
        <f ca="1">_xll.DBR("CXMD:FTM_DATA_MARGIN",$R$21,$R$20,$C$15,$B34,$C$16,$C34,Q$25)</f>
        <v>2970306.1</v>
      </c>
      <c r="R34" s="23">
        <f t="shared" ca="1" si="43"/>
        <v>2970.3061000000002</v>
      </c>
      <c r="S34" s="23">
        <f ca="1">_xll.DBR("CXMD:FTM_DATA_MARGIN",$R$21,$R$20,$C$15,$B34,$C$16,$C34,S$25)</f>
        <v>2970306.1</v>
      </c>
      <c r="T34" s="23">
        <f t="shared" ca="1" si="44"/>
        <v>2970.3061000000002</v>
      </c>
      <c r="U34" s="24">
        <f t="shared" ca="1" si="45"/>
        <v>1</v>
      </c>
      <c r="V34" s="60">
        <f t="shared" ca="1" si="46"/>
        <v>0</v>
      </c>
      <c r="W34" s="48">
        <f t="shared" ca="1" si="47"/>
        <v>0</v>
      </c>
      <c r="X34" s="60">
        <f t="shared" ca="1" si="48"/>
        <v>0</v>
      </c>
      <c r="Y34" s="48">
        <f t="shared" ca="1" si="49"/>
        <v>0</v>
      </c>
      <c r="Z34" s="60">
        <f t="shared" ca="1" si="50"/>
        <v>0</v>
      </c>
      <c r="AA34" s="47">
        <f t="shared" ca="1" si="51"/>
        <v>0</v>
      </c>
      <c r="AB34" s="79">
        <f t="shared" ca="1" si="52"/>
        <v>0</v>
      </c>
      <c r="AC34" s="61">
        <f t="shared" ca="1" si="53"/>
        <v>0</v>
      </c>
      <c r="AD34" s="23">
        <f ca="1">_xll.DBR("CXMD:FTM_DATA_MARGIN",$AD$21,$AD$20,$C$15,$B34,$C$16,$C34,AD$25)</f>
        <v>0</v>
      </c>
      <c r="AE34" s="23">
        <f ca="1">_xll.DBR("CXMD:FTM_DATA_MARGIN",$AD$21,$AD$20,$C$15,$B34,$C$16,$C34,AE$25)</f>
        <v>0</v>
      </c>
      <c r="AF34" s="23">
        <f t="shared" ca="1" si="54"/>
        <v>0</v>
      </c>
      <c r="AG34" s="100">
        <f t="shared" ca="1" si="55"/>
        <v>-97</v>
      </c>
      <c r="AH34" s="47">
        <f t="shared" ca="1" si="56"/>
        <v>-1</v>
      </c>
      <c r="AI34" s="100">
        <f t="shared" ca="1" si="57"/>
        <v>-2970.3061000000002</v>
      </c>
      <c r="AJ34" s="47">
        <f t="shared" ca="1" si="58"/>
        <v>-1</v>
      </c>
      <c r="AK34" s="234"/>
      <c r="AL34" s="48"/>
      <c r="AM34" s="105"/>
    </row>
    <row r="35" spans="1:39" ht="15" customHeight="1" x14ac:dyDescent="0.25">
      <c r="B35" s="182" t="s">
        <v>50</v>
      </c>
      <c r="C35" s="232" t="s">
        <v>64</v>
      </c>
      <c r="D35" s="23">
        <f ca="1">_xll.DBR("CXMD:FTM_DATA_MARGIN",$F$21,$F$20,$C$15,$B35,$C$16,$C35,D$25)</f>
        <v>390</v>
      </c>
      <c r="E35" s="23">
        <f ca="1">_xll.DBR("CXMD:FTM_DATA_MARGIN",$F$21,$F$20,$C$15,$B35,$C$16,$C35,E$25)</f>
        <v>4014498.0500000003</v>
      </c>
      <c r="F35" s="23">
        <f t="shared" ca="1" si="37"/>
        <v>4014.4980500000001</v>
      </c>
      <c r="G35" s="23">
        <f ca="1">_xll.DBR("CXMD:FTM_DATA_MARGIN",$F$21,$F$20,$C$15,$B35,$C$16,$C35,G$25)</f>
        <v>4014498.0500000003</v>
      </c>
      <c r="H35" s="23">
        <f t="shared" ca="1" si="38"/>
        <v>4014.4980500000001</v>
      </c>
      <c r="I35" s="24">
        <f t="shared" ca="1" si="39"/>
        <v>1</v>
      </c>
      <c r="J35" s="23">
        <f ca="1">_xll.DBR("CXMD:FTM_DATA_MARGIN",$L$21,$L$20,$C$15,$B35,$C$16,$C35,J$25)</f>
        <v>390</v>
      </c>
      <c r="K35" s="23">
        <f ca="1">_xll.DBR("CXMD:FTM_DATA_MARGIN",$L$21,$L$20,$C$15,$B35,$C$16,$C35,K$25)</f>
        <v>4014498.0500000003</v>
      </c>
      <c r="L35" s="23">
        <f t="shared" ca="1" si="40"/>
        <v>4014.4980500000001</v>
      </c>
      <c r="M35" s="23">
        <f ca="1">_xll.DBR("CXMD:FTM_DATA_MARGIN",$L$21,$L$20,$C$15,$B35,$C$16,$C35,M$25)</f>
        <v>4014498.0500000003</v>
      </c>
      <c r="N35" s="23">
        <f t="shared" ca="1" si="41"/>
        <v>4014.4980500000001</v>
      </c>
      <c r="O35" s="24">
        <f t="shared" ca="1" si="42"/>
        <v>1</v>
      </c>
      <c r="P35" s="23">
        <f ca="1">_xll.DBR("CXMD:FTM_DATA_MARGIN",$R$21,$R$20,$C$15,$B35,$C$16,$C35,P$25)</f>
        <v>390</v>
      </c>
      <c r="Q35" s="23">
        <f ca="1">_xll.DBR("CXMD:FTM_DATA_MARGIN",$R$21,$R$20,$C$15,$B35,$C$16,$C35,Q$25)</f>
        <v>4014498.0500000003</v>
      </c>
      <c r="R35" s="23">
        <f t="shared" ca="1" si="43"/>
        <v>4014.4980500000001</v>
      </c>
      <c r="S35" s="23">
        <f ca="1">_xll.DBR("CXMD:FTM_DATA_MARGIN",$R$21,$R$20,$C$15,$B35,$C$16,$C35,S$25)</f>
        <v>4014498.0500000003</v>
      </c>
      <c r="T35" s="23">
        <f t="shared" ca="1" si="44"/>
        <v>4014.4980500000001</v>
      </c>
      <c r="U35" s="24">
        <f t="shared" ca="1" si="45"/>
        <v>1</v>
      </c>
      <c r="V35" s="60">
        <f t="shared" ca="1" si="46"/>
        <v>0</v>
      </c>
      <c r="W35" s="48">
        <f t="shared" ca="1" si="47"/>
        <v>0</v>
      </c>
      <c r="X35" s="60">
        <f t="shared" ca="1" si="48"/>
        <v>0</v>
      </c>
      <c r="Y35" s="48">
        <f t="shared" ca="1" si="49"/>
        <v>0</v>
      </c>
      <c r="Z35" s="60">
        <f t="shared" ca="1" si="50"/>
        <v>0</v>
      </c>
      <c r="AA35" s="47">
        <f t="shared" ca="1" si="51"/>
        <v>0</v>
      </c>
      <c r="AB35" s="79">
        <f t="shared" ca="1" si="52"/>
        <v>0</v>
      </c>
      <c r="AC35" s="61">
        <f t="shared" ca="1" si="53"/>
        <v>0</v>
      </c>
      <c r="AD35" s="23">
        <f ca="1">_xll.DBR("CXMD:FTM_DATA_MARGIN",$AD$21,$AD$20,$C$15,$B35,$C$16,$C35,AD$25)</f>
        <v>0</v>
      </c>
      <c r="AE35" s="23">
        <f ca="1">_xll.DBR("CXMD:FTM_DATA_MARGIN",$AD$21,$AD$20,$C$15,$B35,$C$16,$C35,AE$25)</f>
        <v>0</v>
      </c>
      <c r="AF35" s="23">
        <f t="shared" ca="1" si="54"/>
        <v>0</v>
      </c>
      <c r="AG35" s="100">
        <f t="shared" ca="1" si="55"/>
        <v>-390</v>
      </c>
      <c r="AH35" s="47">
        <f t="shared" ca="1" si="56"/>
        <v>-1</v>
      </c>
      <c r="AI35" s="100">
        <f t="shared" ca="1" si="57"/>
        <v>-4014.4980500000001</v>
      </c>
      <c r="AJ35" s="47">
        <f t="shared" ca="1" si="58"/>
        <v>-1</v>
      </c>
      <c r="AK35" s="234"/>
      <c r="AL35" s="48"/>
      <c r="AM35" s="105"/>
    </row>
    <row r="36" spans="1:39" ht="15" customHeight="1" x14ac:dyDescent="0.25">
      <c r="B36" s="182" t="s">
        <v>50</v>
      </c>
      <c r="C36" s="232" t="s">
        <v>65</v>
      </c>
      <c r="D36" s="23">
        <f ca="1">_xll.DBR("CXMD:FTM_DATA_MARGIN",$F$21,$F$20,$C$15,$B36,$C$16,$C36,D$25)</f>
        <v>647</v>
      </c>
      <c r="E36" s="23">
        <f ca="1">_xll.DBR("CXMD:FTM_DATA_MARGIN",$F$21,$F$20,$C$15,$B36,$C$16,$C36,E$25)</f>
        <v>10201266.229999999</v>
      </c>
      <c r="F36" s="23">
        <f t="shared" ca="1" si="37"/>
        <v>10201.266229999999</v>
      </c>
      <c r="G36" s="23">
        <f ca="1">_xll.DBR("CXMD:FTM_DATA_MARGIN",$F$21,$F$20,$C$15,$B36,$C$16,$C36,G$25)</f>
        <v>10201266.229999999</v>
      </c>
      <c r="H36" s="23">
        <f t="shared" ca="1" si="38"/>
        <v>10201.266229999999</v>
      </c>
      <c r="I36" s="24">
        <f t="shared" ca="1" si="39"/>
        <v>1</v>
      </c>
      <c r="J36" s="23">
        <f ca="1">_xll.DBR("CXMD:FTM_DATA_MARGIN",$L$21,$L$20,$C$15,$B36,$C$16,$C36,J$25)</f>
        <v>647</v>
      </c>
      <c r="K36" s="23">
        <f ca="1">_xll.DBR("CXMD:FTM_DATA_MARGIN",$L$21,$L$20,$C$15,$B36,$C$16,$C36,K$25)</f>
        <v>10201266.229999999</v>
      </c>
      <c r="L36" s="23">
        <f t="shared" ca="1" si="40"/>
        <v>10201.266229999999</v>
      </c>
      <c r="M36" s="23">
        <f ca="1">_xll.DBR("CXMD:FTM_DATA_MARGIN",$L$21,$L$20,$C$15,$B36,$C$16,$C36,M$25)</f>
        <v>10201266.229999999</v>
      </c>
      <c r="N36" s="23">
        <f t="shared" ca="1" si="41"/>
        <v>10201.266229999999</v>
      </c>
      <c r="O36" s="24">
        <f t="shared" ca="1" si="42"/>
        <v>1</v>
      </c>
      <c r="P36" s="23">
        <f ca="1">_xll.DBR("CXMD:FTM_DATA_MARGIN",$R$21,$R$20,$C$15,$B36,$C$16,$C36,P$25)</f>
        <v>647</v>
      </c>
      <c r="Q36" s="23">
        <f ca="1">_xll.DBR("CXMD:FTM_DATA_MARGIN",$R$21,$R$20,$C$15,$B36,$C$16,$C36,Q$25)</f>
        <v>10201266.229999999</v>
      </c>
      <c r="R36" s="23">
        <f t="shared" ca="1" si="43"/>
        <v>10201.266229999999</v>
      </c>
      <c r="S36" s="23">
        <f ca="1">_xll.DBR("CXMD:FTM_DATA_MARGIN",$R$21,$R$20,$C$15,$B36,$C$16,$C36,S$25)</f>
        <v>10201266.229999999</v>
      </c>
      <c r="T36" s="23">
        <f t="shared" ca="1" si="44"/>
        <v>10201.266229999999</v>
      </c>
      <c r="U36" s="24">
        <f t="shared" ca="1" si="45"/>
        <v>1</v>
      </c>
      <c r="V36" s="60">
        <f t="shared" ca="1" si="46"/>
        <v>0</v>
      </c>
      <c r="W36" s="48">
        <f t="shared" ca="1" si="47"/>
        <v>0</v>
      </c>
      <c r="X36" s="60">
        <f t="shared" ca="1" si="48"/>
        <v>0</v>
      </c>
      <c r="Y36" s="48">
        <f t="shared" ca="1" si="49"/>
        <v>0</v>
      </c>
      <c r="Z36" s="60">
        <f t="shared" ca="1" si="50"/>
        <v>0</v>
      </c>
      <c r="AA36" s="47">
        <f t="shared" ca="1" si="51"/>
        <v>0</v>
      </c>
      <c r="AB36" s="79">
        <f t="shared" ca="1" si="52"/>
        <v>0</v>
      </c>
      <c r="AC36" s="61">
        <f t="shared" ca="1" si="53"/>
        <v>0</v>
      </c>
      <c r="AD36" s="23">
        <f ca="1">_xll.DBR("CXMD:FTM_DATA_MARGIN",$AD$21,$AD$20,$C$15,$B36,$C$16,$C36,AD$25)</f>
        <v>0</v>
      </c>
      <c r="AE36" s="23">
        <f ca="1">_xll.DBR("CXMD:FTM_DATA_MARGIN",$AD$21,$AD$20,$C$15,$B36,$C$16,$C36,AE$25)</f>
        <v>0</v>
      </c>
      <c r="AF36" s="23">
        <f t="shared" ca="1" si="54"/>
        <v>0</v>
      </c>
      <c r="AG36" s="100">
        <f t="shared" ca="1" si="55"/>
        <v>-647</v>
      </c>
      <c r="AH36" s="47">
        <f t="shared" ca="1" si="56"/>
        <v>-1</v>
      </c>
      <c r="AI36" s="100">
        <f t="shared" ca="1" si="57"/>
        <v>-10201.266229999999</v>
      </c>
      <c r="AJ36" s="47">
        <f t="shared" ca="1" si="58"/>
        <v>-1</v>
      </c>
      <c r="AK36" s="234"/>
      <c r="AL36" s="48"/>
      <c r="AM36" s="105"/>
    </row>
    <row r="37" spans="1:39" ht="15" customHeight="1" x14ac:dyDescent="0.25">
      <c r="A37" t="str">
        <f ca="1">IF(_xll.TM1RPTELISCONSOLIDATED($C$26,$C37),IF(_xll.TM1RPTELLEV($C$26,$C37)&lt;=3,_xll.TM1RPTELLEV($C$26,$C37),"D"),"N")</f>
        <v>N</v>
      </c>
      <c r="B37" s="182" t="s">
        <v>50</v>
      </c>
      <c r="C37" s="187" t="s">
        <v>66</v>
      </c>
      <c r="D37" s="155">
        <f ca="1">_xll.DBR("CXMD:FTM_DATA_MARGIN",$F$21,$F$20,$C$15,$B37,$C$16,$C37,D$25)</f>
        <v>0</v>
      </c>
      <c r="E37" s="155">
        <f ca="1">_xll.DBR("CXMD:FTM_DATA_MARGIN",$F$21,$F$20,$C$15,$B37,$C$16,$C37,E$25)</f>
        <v>-2590.84</v>
      </c>
      <c r="F37" s="155">
        <f t="shared" ca="1" si="0"/>
        <v>-2.59084</v>
      </c>
      <c r="G37" s="155">
        <f ca="1">_xll.DBR("CXMD:FTM_DATA_MARGIN",$F$21,$F$20,$C$15,$B37,$C$16,$C37,G$25)</f>
        <v>-2590.84</v>
      </c>
      <c r="H37" s="155">
        <f t="shared" ca="1" si="1"/>
        <v>-2.59084</v>
      </c>
      <c r="I37" s="188">
        <f t="shared" ca="1" si="22"/>
        <v>1</v>
      </c>
      <c r="J37" s="155">
        <f ca="1">_xll.DBR("CXMD:FTM_DATA_MARGIN",$L$21,$L$20,$C$15,$B37,$C$16,$C37,J$25)</f>
        <v>0</v>
      </c>
      <c r="K37" s="155">
        <f ca="1">_xll.DBR("CXMD:FTM_DATA_MARGIN",$L$21,$L$20,$C$15,$B37,$C$16,$C37,K$25)</f>
        <v>-2590.84</v>
      </c>
      <c r="L37" s="155">
        <f t="shared" ca="1" si="3"/>
        <v>-2.59084</v>
      </c>
      <c r="M37" s="155">
        <f ca="1">_xll.DBR("CXMD:FTM_DATA_MARGIN",$L$21,$L$20,$C$15,$B37,$C$16,$C37,M$25)</f>
        <v>-2590.84</v>
      </c>
      <c r="N37" s="155">
        <f t="shared" ca="1" si="4"/>
        <v>-2.59084</v>
      </c>
      <c r="O37" s="188">
        <f t="shared" ca="1" si="23"/>
        <v>1</v>
      </c>
      <c r="P37" s="155">
        <f ca="1">_xll.DBR("CXMD:FTM_DATA_MARGIN",$R$21,$R$20,$C$15,$B37,$C$16,$C37,P$25)</f>
        <v>0</v>
      </c>
      <c r="Q37" s="155">
        <f ca="1">_xll.DBR("CXMD:FTM_DATA_MARGIN",$R$21,$R$20,$C$15,$B37,$C$16,$C37,Q$25)</f>
        <v>-2590.84</v>
      </c>
      <c r="R37" s="155">
        <f t="shared" ca="1" si="6"/>
        <v>-2.59084</v>
      </c>
      <c r="S37" s="155">
        <f ca="1">_xll.DBR("CXMD:FTM_DATA_MARGIN",$R$21,$R$20,$C$15,$B37,$C$16,$C37,S$25)</f>
        <v>-2590.84</v>
      </c>
      <c r="T37" s="155">
        <f t="shared" ca="1" si="7"/>
        <v>-2.59084</v>
      </c>
      <c r="U37" s="188">
        <f t="shared" ca="1" si="24"/>
        <v>1</v>
      </c>
      <c r="V37" s="189">
        <f t="shared" ca="1" si="25"/>
        <v>0</v>
      </c>
      <c r="W37" s="201">
        <f t="shared" ca="1" si="26"/>
        <v>0</v>
      </c>
      <c r="X37" s="189">
        <f t="shared" ca="1" si="27"/>
        <v>0</v>
      </c>
      <c r="Y37" s="201">
        <f t="shared" ca="1" si="28"/>
        <v>0</v>
      </c>
      <c r="Z37" s="189">
        <f t="shared" ca="1" si="29"/>
        <v>0</v>
      </c>
      <c r="AA37" s="190">
        <f t="shared" ca="1" si="30"/>
        <v>0</v>
      </c>
      <c r="AB37" s="191">
        <f t="shared" ca="1" si="31"/>
        <v>0</v>
      </c>
      <c r="AC37" s="192">
        <f t="shared" ca="1" si="32"/>
        <v>0</v>
      </c>
      <c r="AD37" s="155">
        <f ca="1">_xll.DBR("CXMD:FTM_DATA_MARGIN",$AD$21,$AD$20,$C$15,$B37,$C$16,$C37,AD$25)</f>
        <v>0</v>
      </c>
      <c r="AE37" s="155">
        <f ca="1">_xll.DBR("CXMD:FTM_DATA_MARGIN",$AD$21,$AD$20,$C$15,$B37,$C$16,$C37,AE$25)</f>
        <v>0</v>
      </c>
      <c r="AF37" s="155">
        <f t="shared" ca="1" si="17"/>
        <v>0</v>
      </c>
      <c r="AG37" s="199">
        <f t="shared" ca="1" si="33"/>
        <v>0</v>
      </c>
      <c r="AH37" s="190">
        <f t="shared" ca="1" si="34"/>
        <v>0</v>
      </c>
      <c r="AI37" s="199">
        <f t="shared" ca="1" si="35"/>
        <v>2.59084</v>
      </c>
      <c r="AJ37" s="190">
        <f t="shared" ca="1" si="36"/>
        <v>-1</v>
      </c>
      <c r="AK37" s="200"/>
      <c r="AL37" s="201"/>
      <c r="AM37" s="105"/>
    </row>
    <row r="38" spans="1:39" ht="15" customHeight="1" x14ac:dyDescent="0.25">
      <c r="B38" s="182" t="s">
        <v>50</v>
      </c>
      <c r="C38" s="187" t="s">
        <v>67</v>
      </c>
      <c r="D38" s="155">
        <f ca="1">_xll.DBR("CXMD:FTM_DATA_MARGIN",$F$21,$F$20,$C$15,$B38,$C$16,$C38,D$25)</f>
        <v>0</v>
      </c>
      <c r="E38" s="155">
        <f ca="1">_xll.DBR("CXMD:FTM_DATA_MARGIN",$F$21,$F$20,$C$15,$B38,$C$16,$C38,E$25)</f>
        <v>-915.9500000000005</v>
      </c>
      <c r="F38" s="155">
        <f t="shared" ca="1" si="0"/>
        <v>-0.91595000000000049</v>
      </c>
      <c r="G38" s="155">
        <f ca="1">_xll.DBR("CXMD:FTM_DATA_MARGIN",$F$21,$F$20,$C$15,$B38,$C$16,$C38,G$25)</f>
        <v>-915.9500000000005</v>
      </c>
      <c r="H38" s="155">
        <f t="shared" ca="1" si="1"/>
        <v>-0.91595000000000049</v>
      </c>
      <c r="I38" s="188">
        <f t="shared" ca="1" si="22"/>
        <v>1</v>
      </c>
      <c r="J38" s="155">
        <f ca="1">_xll.DBR("CXMD:FTM_DATA_MARGIN",$L$21,$L$20,$C$15,$B38,$C$16,$C38,J$25)</f>
        <v>0</v>
      </c>
      <c r="K38" s="155">
        <f ca="1">_xll.DBR("CXMD:FTM_DATA_MARGIN",$L$21,$L$20,$C$15,$B38,$C$16,$C38,K$25)</f>
        <v>-915.9500000000005</v>
      </c>
      <c r="L38" s="155">
        <f t="shared" ca="1" si="3"/>
        <v>-0.91595000000000049</v>
      </c>
      <c r="M38" s="155">
        <f ca="1">_xll.DBR("CXMD:FTM_DATA_MARGIN",$L$21,$L$20,$C$15,$B38,$C$16,$C38,M$25)</f>
        <v>-915.9500000000005</v>
      </c>
      <c r="N38" s="155">
        <f t="shared" ca="1" si="4"/>
        <v>-0.91595000000000049</v>
      </c>
      <c r="O38" s="188">
        <f t="shared" ca="1" si="23"/>
        <v>1</v>
      </c>
      <c r="P38" s="155">
        <f ca="1">_xll.DBR("CXMD:FTM_DATA_MARGIN",$R$21,$R$20,$C$15,$B38,$C$16,$C38,P$25)</f>
        <v>0</v>
      </c>
      <c r="Q38" s="155">
        <f ca="1">_xll.DBR("CXMD:FTM_DATA_MARGIN",$R$21,$R$20,$C$15,$B38,$C$16,$C38,Q$25)</f>
        <v>-915.9500000000005</v>
      </c>
      <c r="R38" s="155">
        <f t="shared" ca="1" si="6"/>
        <v>-0.91595000000000049</v>
      </c>
      <c r="S38" s="155">
        <f ca="1">_xll.DBR("CXMD:FTM_DATA_MARGIN",$R$21,$R$20,$C$15,$B38,$C$16,$C38,S$25)</f>
        <v>-915.9500000000005</v>
      </c>
      <c r="T38" s="155">
        <f t="shared" ca="1" si="7"/>
        <v>-0.91595000000000049</v>
      </c>
      <c r="U38" s="188">
        <f t="shared" ca="1" si="24"/>
        <v>1</v>
      </c>
      <c r="V38" s="189">
        <f t="shared" ca="1" si="25"/>
        <v>0</v>
      </c>
      <c r="W38" s="201">
        <f t="shared" ca="1" si="26"/>
        <v>0</v>
      </c>
      <c r="X38" s="189">
        <f t="shared" ca="1" si="27"/>
        <v>0</v>
      </c>
      <c r="Y38" s="201">
        <f t="shared" ca="1" si="28"/>
        <v>0</v>
      </c>
      <c r="Z38" s="189">
        <f t="shared" ca="1" si="29"/>
        <v>0</v>
      </c>
      <c r="AA38" s="190">
        <f t="shared" ca="1" si="30"/>
        <v>0</v>
      </c>
      <c r="AB38" s="191">
        <f t="shared" ca="1" si="31"/>
        <v>0</v>
      </c>
      <c r="AC38" s="192">
        <f t="shared" ca="1" si="32"/>
        <v>0</v>
      </c>
      <c r="AD38" s="155">
        <f ca="1">_xll.DBR("CXMD:FTM_DATA_MARGIN",$AD$21,$AD$20,$C$15,$B38,$C$16,$C38,AD$25)</f>
        <v>0</v>
      </c>
      <c r="AE38" s="155">
        <f ca="1">_xll.DBR("CXMD:FTM_DATA_MARGIN",$AD$21,$AD$20,$C$15,$B38,$C$16,$C38,AE$25)</f>
        <v>0</v>
      </c>
      <c r="AF38" s="155">
        <f t="shared" ca="1" si="17"/>
        <v>0</v>
      </c>
      <c r="AG38" s="199">
        <f t="shared" ca="1" si="33"/>
        <v>0</v>
      </c>
      <c r="AH38" s="190">
        <f t="shared" ca="1" si="34"/>
        <v>0</v>
      </c>
      <c r="AI38" s="199">
        <f t="shared" ca="1" si="35"/>
        <v>0.91595000000000049</v>
      </c>
      <c r="AJ38" s="190">
        <f t="shared" ca="1" si="36"/>
        <v>-1</v>
      </c>
      <c r="AK38" s="200"/>
      <c r="AL38" s="201"/>
      <c r="AM38" s="105"/>
    </row>
    <row r="39" spans="1:39" ht="15" customHeight="1" x14ac:dyDescent="0.25">
      <c r="B39" s="182" t="s">
        <v>50</v>
      </c>
      <c r="C39" s="187" t="s">
        <v>68</v>
      </c>
      <c r="D39" s="155">
        <f ca="1">_xll.DBR("CXMD:FTM_DATA_MARGIN",$F$21,$F$20,$C$15,$B39,$C$16,$C39,D$25)</f>
        <v>0</v>
      </c>
      <c r="E39" s="155">
        <f ca="1">_xll.DBR("CXMD:FTM_DATA_MARGIN",$F$21,$F$20,$C$15,$B39,$C$16,$C39,E$25)</f>
        <v>144229.65</v>
      </c>
      <c r="F39" s="155">
        <f t="shared" ca="1" si="0"/>
        <v>144.22964999999999</v>
      </c>
      <c r="G39" s="155">
        <f ca="1">_xll.DBR("CXMD:FTM_DATA_MARGIN",$F$21,$F$20,$C$15,$B39,$C$16,$C39,G$25)</f>
        <v>144229.65</v>
      </c>
      <c r="H39" s="155">
        <f t="shared" ca="1" si="1"/>
        <v>144.22964999999999</v>
      </c>
      <c r="I39" s="188">
        <f t="shared" ca="1" si="22"/>
        <v>1</v>
      </c>
      <c r="J39" s="155">
        <f ca="1">_xll.DBR("CXMD:FTM_DATA_MARGIN",$L$21,$L$20,$C$15,$B39,$C$16,$C39,J$25)</f>
        <v>0</v>
      </c>
      <c r="K39" s="155">
        <f ca="1">_xll.DBR("CXMD:FTM_DATA_MARGIN",$L$21,$L$20,$C$15,$B39,$C$16,$C39,K$25)</f>
        <v>144229.65</v>
      </c>
      <c r="L39" s="155">
        <f t="shared" ca="1" si="3"/>
        <v>144.22964999999999</v>
      </c>
      <c r="M39" s="155">
        <f ca="1">_xll.DBR("CXMD:FTM_DATA_MARGIN",$L$21,$L$20,$C$15,$B39,$C$16,$C39,M$25)</f>
        <v>144229.65</v>
      </c>
      <c r="N39" s="155">
        <f t="shared" ca="1" si="4"/>
        <v>144.22964999999999</v>
      </c>
      <c r="O39" s="188">
        <f t="shared" ca="1" si="23"/>
        <v>1</v>
      </c>
      <c r="P39" s="155">
        <f ca="1">_xll.DBR("CXMD:FTM_DATA_MARGIN",$R$21,$R$20,$C$15,$B39,$C$16,$C39,P$25)</f>
        <v>0</v>
      </c>
      <c r="Q39" s="155">
        <f ca="1">_xll.DBR("CXMD:FTM_DATA_MARGIN",$R$21,$R$20,$C$15,$B39,$C$16,$C39,Q$25)</f>
        <v>144229.65</v>
      </c>
      <c r="R39" s="155">
        <f t="shared" ca="1" si="6"/>
        <v>144.22964999999999</v>
      </c>
      <c r="S39" s="155">
        <f ca="1">_xll.DBR("CXMD:FTM_DATA_MARGIN",$R$21,$R$20,$C$15,$B39,$C$16,$C39,S$25)</f>
        <v>144229.65</v>
      </c>
      <c r="T39" s="155">
        <f t="shared" ca="1" si="7"/>
        <v>144.22964999999999</v>
      </c>
      <c r="U39" s="188">
        <f t="shared" ca="1" si="24"/>
        <v>1</v>
      </c>
      <c r="V39" s="189">
        <f t="shared" ca="1" si="25"/>
        <v>0</v>
      </c>
      <c r="W39" s="201">
        <f t="shared" ca="1" si="26"/>
        <v>0</v>
      </c>
      <c r="X39" s="189">
        <f t="shared" ca="1" si="27"/>
        <v>0</v>
      </c>
      <c r="Y39" s="201">
        <f t="shared" ca="1" si="28"/>
        <v>0</v>
      </c>
      <c r="Z39" s="189">
        <f t="shared" ca="1" si="29"/>
        <v>0</v>
      </c>
      <c r="AA39" s="190">
        <f t="shared" ca="1" si="30"/>
        <v>0</v>
      </c>
      <c r="AB39" s="191">
        <f t="shared" ca="1" si="31"/>
        <v>0</v>
      </c>
      <c r="AC39" s="192">
        <f t="shared" ca="1" si="32"/>
        <v>0</v>
      </c>
      <c r="AD39" s="155">
        <f ca="1">_xll.DBR("CXMD:FTM_DATA_MARGIN",$AD$21,$AD$20,$C$15,$B39,$C$16,$C39,AD$25)</f>
        <v>0</v>
      </c>
      <c r="AE39" s="155">
        <f ca="1">_xll.DBR("CXMD:FTM_DATA_MARGIN",$AD$21,$AD$20,$C$15,$B39,$C$16,$C39,AE$25)</f>
        <v>0</v>
      </c>
      <c r="AF39" s="155">
        <f t="shared" ca="1" si="17"/>
        <v>0</v>
      </c>
      <c r="AG39" s="199">
        <f t="shared" ca="1" si="33"/>
        <v>0</v>
      </c>
      <c r="AH39" s="190">
        <f t="shared" ca="1" si="34"/>
        <v>0</v>
      </c>
      <c r="AI39" s="199">
        <f t="shared" ca="1" si="35"/>
        <v>-144.22964999999999</v>
      </c>
      <c r="AJ39" s="190">
        <f t="shared" ca="1" si="36"/>
        <v>-1</v>
      </c>
      <c r="AK39" s="200"/>
      <c r="AL39" s="201"/>
      <c r="AM39" s="105"/>
    </row>
    <row r="40" spans="1:39" ht="15" customHeight="1" x14ac:dyDescent="0.25">
      <c r="A40" t="str">
        <f ca="1">IF(_xll.TM1RPTELISCONSOLIDATED($C$26,$C40),IF(_xll.TM1RPTELLEV($C$26,$C40)&lt;=3,_xll.TM1RPTELLEV($C$26,$C40),"D"),"N")</f>
        <v>N</v>
      </c>
      <c r="B40" s="182" t="s">
        <v>50</v>
      </c>
      <c r="C40" s="187" t="s">
        <v>69</v>
      </c>
      <c r="D40" s="155">
        <f ca="1">_xll.DBR("CXMD:FTM_DATA_MARGIN",$F$21,$F$20,$C$15,$B40,$C$16,$C40,D$25)</f>
        <v>0</v>
      </c>
      <c r="E40" s="155">
        <f ca="1">_xll.DBR("CXMD:FTM_DATA_MARGIN",$F$21,$F$20,$C$15,$B40,$C$16,$C40,E$25)</f>
        <v>14921.14</v>
      </c>
      <c r="F40" s="155">
        <f t="shared" ca="1" si="0"/>
        <v>14.921139999999999</v>
      </c>
      <c r="G40" s="155">
        <f ca="1">_xll.DBR("CXMD:FTM_DATA_MARGIN",$F$21,$F$20,$C$15,$B40,$C$16,$C40,G$25)</f>
        <v>14921.14</v>
      </c>
      <c r="H40" s="155">
        <f t="shared" ca="1" si="1"/>
        <v>14.921139999999999</v>
      </c>
      <c r="I40" s="188">
        <f t="shared" ca="1" si="22"/>
        <v>1</v>
      </c>
      <c r="J40" s="155">
        <f ca="1">_xll.DBR("CXMD:FTM_DATA_MARGIN",$L$21,$L$20,$C$15,$B40,$C$16,$C40,J$25)</f>
        <v>0</v>
      </c>
      <c r="K40" s="155">
        <f ca="1">_xll.DBR("CXMD:FTM_DATA_MARGIN",$L$21,$L$20,$C$15,$B40,$C$16,$C40,K$25)</f>
        <v>14921.14</v>
      </c>
      <c r="L40" s="155">
        <f t="shared" ca="1" si="3"/>
        <v>14.921139999999999</v>
      </c>
      <c r="M40" s="155">
        <f ca="1">_xll.DBR("CXMD:FTM_DATA_MARGIN",$L$21,$L$20,$C$15,$B40,$C$16,$C40,M$25)</f>
        <v>14921.14</v>
      </c>
      <c r="N40" s="155">
        <f t="shared" ca="1" si="4"/>
        <v>14.921139999999999</v>
      </c>
      <c r="O40" s="188">
        <f t="shared" ca="1" si="23"/>
        <v>1</v>
      </c>
      <c r="P40" s="155">
        <f ca="1">_xll.DBR("CXMD:FTM_DATA_MARGIN",$R$21,$R$20,$C$15,$B40,$C$16,$C40,P$25)</f>
        <v>0</v>
      </c>
      <c r="Q40" s="155">
        <f ca="1">_xll.DBR("CXMD:FTM_DATA_MARGIN",$R$21,$R$20,$C$15,$B40,$C$16,$C40,Q$25)</f>
        <v>14921.14</v>
      </c>
      <c r="R40" s="155">
        <f t="shared" ca="1" si="6"/>
        <v>14.921139999999999</v>
      </c>
      <c r="S40" s="155">
        <f ca="1">_xll.DBR("CXMD:FTM_DATA_MARGIN",$R$21,$R$20,$C$15,$B40,$C$16,$C40,S$25)</f>
        <v>14921.14</v>
      </c>
      <c r="T40" s="155">
        <f t="shared" ca="1" si="7"/>
        <v>14.921139999999999</v>
      </c>
      <c r="U40" s="188">
        <f t="shared" ca="1" si="24"/>
        <v>1</v>
      </c>
      <c r="V40" s="189">
        <f t="shared" ca="1" si="25"/>
        <v>0</v>
      </c>
      <c r="W40" s="201">
        <f t="shared" ca="1" si="26"/>
        <v>0</v>
      </c>
      <c r="X40" s="189">
        <f t="shared" ca="1" si="27"/>
        <v>0</v>
      </c>
      <c r="Y40" s="201">
        <f t="shared" ca="1" si="28"/>
        <v>0</v>
      </c>
      <c r="Z40" s="189">
        <f t="shared" ca="1" si="29"/>
        <v>0</v>
      </c>
      <c r="AA40" s="190">
        <f t="shared" ca="1" si="30"/>
        <v>0</v>
      </c>
      <c r="AB40" s="191">
        <f t="shared" ca="1" si="31"/>
        <v>0</v>
      </c>
      <c r="AC40" s="192">
        <f t="shared" ca="1" si="32"/>
        <v>0</v>
      </c>
      <c r="AD40" s="155">
        <f ca="1">_xll.DBR("CXMD:FTM_DATA_MARGIN",$AD$21,$AD$20,$C$15,$B40,$C$16,$C40,AD$25)</f>
        <v>0</v>
      </c>
      <c r="AE40" s="155">
        <f ca="1">_xll.DBR("CXMD:FTM_DATA_MARGIN",$AD$21,$AD$20,$C$15,$B40,$C$16,$C40,AE$25)</f>
        <v>0</v>
      </c>
      <c r="AF40" s="155">
        <f t="shared" ca="1" si="17"/>
        <v>0</v>
      </c>
      <c r="AG40" s="199">
        <f t="shared" ca="1" si="33"/>
        <v>0</v>
      </c>
      <c r="AH40" s="190">
        <f t="shared" ca="1" si="34"/>
        <v>0</v>
      </c>
      <c r="AI40" s="199">
        <f t="shared" ca="1" si="35"/>
        <v>-14.921139999999999</v>
      </c>
      <c r="AJ40" s="190">
        <f t="shared" ca="1" si="36"/>
        <v>-1</v>
      </c>
      <c r="AK40" s="200"/>
      <c r="AL40" s="201"/>
      <c r="AM40" s="105"/>
    </row>
    <row r="41" spans="1:39" ht="15" customHeight="1" x14ac:dyDescent="0.25">
      <c r="B41" s="182" t="s">
        <v>50</v>
      </c>
      <c r="C41" s="187" t="s">
        <v>70</v>
      </c>
      <c r="D41" s="155">
        <f ca="1">_xll.DBR("CXMD:FTM_DATA_MARGIN",$F$21,$F$20,$C$15,$B41,$C$16,$C41,D$25)</f>
        <v>0</v>
      </c>
      <c r="E41" s="155">
        <f ca="1">_xll.DBR("CXMD:FTM_DATA_MARGIN",$F$21,$F$20,$C$15,$B41,$C$16,$C41,E$25)</f>
        <v>1390463.05</v>
      </c>
      <c r="F41" s="155">
        <f t="shared" ca="1" si="0"/>
        <v>1390.4630500000001</v>
      </c>
      <c r="G41" s="155">
        <f ca="1">_xll.DBR("CXMD:FTM_DATA_MARGIN",$F$21,$F$20,$C$15,$B41,$C$16,$C41,G$25)</f>
        <v>1390463.05</v>
      </c>
      <c r="H41" s="155">
        <f t="shared" ca="1" si="1"/>
        <v>1390.4630500000001</v>
      </c>
      <c r="I41" s="188">
        <f t="shared" ca="1" si="22"/>
        <v>1</v>
      </c>
      <c r="J41" s="155">
        <f ca="1">_xll.DBR("CXMD:FTM_DATA_MARGIN",$L$21,$L$20,$C$15,$B41,$C$16,$C41,J$25)</f>
        <v>0</v>
      </c>
      <c r="K41" s="155">
        <f ca="1">_xll.DBR("CXMD:FTM_DATA_MARGIN",$L$21,$L$20,$C$15,$B41,$C$16,$C41,K$25)</f>
        <v>1390463.05</v>
      </c>
      <c r="L41" s="155">
        <f t="shared" ca="1" si="3"/>
        <v>1390.4630500000001</v>
      </c>
      <c r="M41" s="155">
        <f ca="1">_xll.DBR("CXMD:FTM_DATA_MARGIN",$L$21,$L$20,$C$15,$B41,$C$16,$C41,M$25)</f>
        <v>1390463.05</v>
      </c>
      <c r="N41" s="155">
        <f t="shared" ca="1" si="4"/>
        <v>1390.4630500000001</v>
      </c>
      <c r="O41" s="188">
        <f t="shared" ca="1" si="23"/>
        <v>1</v>
      </c>
      <c r="P41" s="155">
        <f ca="1">_xll.DBR("CXMD:FTM_DATA_MARGIN",$R$21,$R$20,$C$15,$B41,$C$16,$C41,P$25)</f>
        <v>0</v>
      </c>
      <c r="Q41" s="155">
        <f ca="1">_xll.DBR("CXMD:FTM_DATA_MARGIN",$R$21,$R$20,$C$15,$B41,$C$16,$C41,Q$25)</f>
        <v>1390463.05</v>
      </c>
      <c r="R41" s="155">
        <f t="shared" ca="1" si="6"/>
        <v>1390.4630500000001</v>
      </c>
      <c r="S41" s="155">
        <f ca="1">_xll.DBR("CXMD:FTM_DATA_MARGIN",$R$21,$R$20,$C$15,$B41,$C$16,$C41,S$25)</f>
        <v>1390463.05</v>
      </c>
      <c r="T41" s="155">
        <f t="shared" ca="1" si="7"/>
        <v>1390.4630500000001</v>
      </c>
      <c r="U41" s="188">
        <f t="shared" ca="1" si="24"/>
        <v>1</v>
      </c>
      <c r="V41" s="189">
        <f t="shared" ca="1" si="25"/>
        <v>0</v>
      </c>
      <c r="W41" s="201">
        <f t="shared" ca="1" si="26"/>
        <v>0</v>
      </c>
      <c r="X41" s="189">
        <f t="shared" ca="1" si="27"/>
        <v>0</v>
      </c>
      <c r="Y41" s="201">
        <f t="shared" ca="1" si="28"/>
        <v>0</v>
      </c>
      <c r="Z41" s="189">
        <f t="shared" ca="1" si="29"/>
        <v>0</v>
      </c>
      <c r="AA41" s="190">
        <f t="shared" ca="1" si="30"/>
        <v>0</v>
      </c>
      <c r="AB41" s="191">
        <f t="shared" ca="1" si="31"/>
        <v>0</v>
      </c>
      <c r="AC41" s="192">
        <f t="shared" ca="1" si="32"/>
        <v>0</v>
      </c>
      <c r="AD41" s="155">
        <f ca="1">_xll.DBR("CXMD:FTM_DATA_MARGIN",$AD$21,$AD$20,$C$15,$B41,$C$16,$C41,AD$25)</f>
        <v>0</v>
      </c>
      <c r="AE41" s="155">
        <f ca="1">_xll.DBR("CXMD:FTM_DATA_MARGIN",$AD$21,$AD$20,$C$15,$B41,$C$16,$C41,AE$25)</f>
        <v>0</v>
      </c>
      <c r="AF41" s="155">
        <f t="shared" ca="1" si="17"/>
        <v>0</v>
      </c>
      <c r="AG41" s="199">
        <f t="shared" ca="1" si="33"/>
        <v>0</v>
      </c>
      <c r="AH41" s="190">
        <f t="shared" ca="1" si="34"/>
        <v>0</v>
      </c>
      <c r="AI41" s="199">
        <f t="shared" ca="1" si="35"/>
        <v>-1390.4630500000001</v>
      </c>
      <c r="AJ41" s="190">
        <f t="shared" ca="1" si="36"/>
        <v>-1</v>
      </c>
      <c r="AK41" s="200"/>
      <c r="AL41" s="201"/>
      <c r="AM41" s="105"/>
    </row>
    <row r="42" spans="1:39" ht="15" customHeight="1" x14ac:dyDescent="0.25">
      <c r="B42" s="184" t="s">
        <v>51</v>
      </c>
      <c r="C42" s="165" t="s">
        <v>7</v>
      </c>
      <c r="D42" s="176">
        <f ca="1">SUM(D43:D57)-SUM(D49:D52)</f>
        <v>1917</v>
      </c>
      <c r="E42" s="176">
        <f ca="1">SUM(E43:E57)-SUM(E49:E52)</f>
        <v>25495557.530000001</v>
      </c>
      <c r="F42" s="176">
        <f ca="1">SUM(F43:F57)-SUM(F49:F52)</f>
        <v>25495.557529999995</v>
      </c>
      <c r="G42" s="176">
        <f ca="1">SUM(G43:G57)-SUM(G49:G52)</f>
        <v>25495557.530000001</v>
      </c>
      <c r="H42" s="176">
        <f ca="1">SUM(H43:H57)-SUM(H49:H52)</f>
        <v>25495.557529999995</v>
      </c>
      <c r="I42" s="177">
        <f ca="1">IF(E42&lt;&gt;0,G42/E42,0)</f>
        <v>1</v>
      </c>
      <c r="J42" s="176">
        <f ca="1">SUM(J43:J57)-SUM(J49:J52)</f>
        <v>3221</v>
      </c>
      <c r="K42" s="176">
        <f ca="1">SUM(K43:K57)-SUM(K49:K52)</f>
        <v>25495557.530000001</v>
      </c>
      <c r="L42" s="176">
        <f ca="1">SUM(L43:L57)-SUM(L49:L52)</f>
        <v>25495.557529999995</v>
      </c>
      <c r="M42" s="176">
        <f ca="1">SUM(M43:M57)-SUM(M49:M52)</f>
        <v>25495557.530000001</v>
      </c>
      <c r="N42" s="176">
        <f ca="1">SUM(N43:N57)-SUM(N49:N52)</f>
        <v>25495.557529999995</v>
      </c>
      <c r="O42" s="177">
        <f ca="1">IF(K42&lt;&gt;0,M42/K42,0)</f>
        <v>1</v>
      </c>
      <c r="P42" s="176">
        <f ca="1">SUM(P43:P57)-SUM(P49:P52)</f>
        <v>1917</v>
      </c>
      <c r="Q42" s="176">
        <f ca="1">SUM(Q43:Q57)-SUM(Q49:Q52)</f>
        <v>25495557.530000001</v>
      </c>
      <c r="R42" s="176">
        <f ca="1">SUM(R43:R57)-SUM(R49:R52)</f>
        <v>25495.557529999995</v>
      </c>
      <c r="S42" s="176">
        <f ca="1">SUM(S43:S57)-SUM(S49:S52)</f>
        <v>25495557.530000001</v>
      </c>
      <c r="T42" s="176">
        <f ca="1">SUM(T43:T57)-SUM(T49:T52)</f>
        <v>25495.557529999995</v>
      </c>
      <c r="U42" s="177">
        <f ca="1">IF(Q42&lt;&gt;0,S42/Q42,0)</f>
        <v>1</v>
      </c>
      <c r="V42" s="178">
        <f ca="1">P42-D42</f>
        <v>0</v>
      </c>
      <c r="W42" s="206">
        <f ca="1">IF(D42&lt;&gt;0,(P42/D42)-1,0)</f>
        <v>0</v>
      </c>
      <c r="X42" s="178">
        <f ca="1">(Q42-E42)/1000</f>
        <v>0</v>
      </c>
      <c r="Y42" s="206">
        <f ca="1">IF(E42&lt;&gt;0,(Q42/E42)-1,0)</f>
        <v>0</v>
      </c>
      <c r="Z42" s="178">
        <f ca="1">(S42-G42)/1000</f>
        <v>0</v>
      </c>
      <c r="AA42" s="179">
        <f ca="1">IF(G42&lt;&gt;0,(S42/G42)-1,0)</f>
        <v>0</v>
      </c>
      <c r="AB42" s="180">
        <f ca="1">(U42-I42)*100</f>
        <v>0</v>
      </c>
      <c r="AC42" s="181">
        <f ca="1">AB42*Q42/100/1000</f>
        <v>0</v>
      </c>
      <c r="AD42" s="176">
        <f ca="1">SUM(AD43:AD57)-SUM(AD49:AD52)</f>
        <v>0</v>
      </c>
      <c r="AE42" s="176">
        <f ca="1">SUM(AE43:AE57)-SUM(AE49:AE52)</f>
        <v>0</v>
      </c>
      <c r="AF42" s="235">
        <f ca="1">SUM(AF43:AF57)-SUM(AF49:AF52)</f>
        <v>0</v>
      </c>
      <c r="AG42" s="194">
        <f ca="1">AD42-P42</f>
        <v>-1917</v>
      </c>
      <c r="AH42" s="179">
        <f ca="1">IF(P42&lt;&gt;0,(AD42/P42)-1,0)</f>
        <v>-1</v>
      </c>
      <c r="AI42" s="194">
        <f ca="1">(AE42-Q42)/1000</f>
        <v>-25495.557530000002</v>
      </c>
      <c r="AJ42" s="195"/>
      <c r="AK42" s="196"/>
      <c r="AL42" s="198"/>
      <c r="AM42" s="105"/>
    </row>
    <row r="43" spans="1:39" ht="15" customHeight="1" x14ac:dyDescent="0.25">
      <c r="B43" s="140" t="s">
        <v>51</v>
      </c>
      <c r="C43" s="187" t="s">
        <v>56</v>
      </c>
      <c r="D43" s="21">
        <f ca="1">_xll.DBR("CXMD:FTM_DATA_MARGIN",$F$21,$F$20,$C$15,$B43,$C$16,$C43,D$25)</f>
        <v>212</v>
      </c>
      <c r="E43" s="21">
        <f ca="1">_xll.DBR("CXMD:FTM_DATA_MARGIN",$F$21,$F$20,$C$15,$B43,$C$16,$C43,E$25)</f>
        <v>3826926.4400000009</v>
      </c>
      <c r="F43" s="21">
        <f t="shared" ref="F43:F57" ca="1" si="59">E43/1000</f>
        <v>3826.9264400000011</v>
      </c>
      <c r="G43" s="155">
        <f ca="1">_xll.DBR("CXMD:FTM_DATA_MARGIN",$F$21,$F$20,$C$15,$B43,$C$16,$C43,G$25)</f>
        <v>3826926.4400000009</v>
      </c>
      <c r="H43" s="21">
        <f t="shared" ref="H43:H57" ca="1" si="60">G43/1000</f>
        <v>3826.9264400000011</v>
      </c>
      <c r="I43" s="22">
        <f t="shared" ref="I43:I57" ca="1" si="61">IF(E43&lt;&gt;0,G43/E43,0)</f>
        <v>1</v>
      </c>
      <c r="J43" s="21">
        <f ca="1">_xll.DBR("CXMD:FTM_DATA_MARGIN",$L$21,$L$20,$C$15,$B43,$C$16,$C43,J$25)</f>
        <v>212</v>
      </c>
      <c r="K43" s="155">
        <f ca="1">_xll.DBR("CXMD:FTM_DATA_MARGIN",$L$21,$L$20,$C$15,$B43,$C$16,$C43,K$25)</f>
        <v>3826926.4400000009</v>
      </c>
      <c r="L43" s="21">
        <f t="shared" ref="L43:L57" ca="1" si="62">K43/1000</f>
        <v>3826.9264400000011</v>
      </c>
      <c r="M43" s="155">
        <f ca="1">_xll.DBR("CXMD:FTM_DATA_MARGIN",$L$21,$L$20,$C$15,$B43,$C$16,$C43,M$25)</f>
        <v>3826926.4400000009</v>
      </c>
      <c r="N43" s="21">
        <f t="shared" ref="N43:N57" ca="1" si="63">M43/1000</f>
        <v>3826.9264400000011</v>
      </c>
      <c r="O43" s="22">
        <f t="shared" ref="O43:O57" ca="1" si="64">IF(K43&lt;&gt;0,M43/K43,0)</f>
        <v>1</v>
      </c>
      <c r="P43" s="21">
        <f ca="1">_xll.DBR("CXMD:FTM_DATA_MARGIN",$R$21,$R$20,$C$15,$B43,$C$16,$C43,P$25)</f>
        <v>212</v>
      </c>
      <c r="Q43" s="21">
        <f ca="1">_xll.DBR("CXMD:FTM_DATA_MARGIN",$R$21,$R$20,$C$15,$B43,$C$16,$C43,Q$25)</f>
        <v>3826926.4400000009</v>
      </c>
      <c r="R43" s="21">
        <f t="shared" ref="R43:R57" ca="1" si="65">Q43/1000</f>
        <v>3826.9264400000011</v>
      </c>
      <c r="S43" s="155">
        <f ca="1">_xll.DBR("CXMD:FTM_DATA_MARGIN",$R$21,$R$20,$C$15,$B43,$C$16,$C43,S$25)</f>
        <v>3826926.4400000009</v>
      </c>
      <c r="T43" s="21">
        <f t="shared" ref="T43:T57" ca="1" si="66">S43/1000</f>
        <v>3826.9264400000011</v>
      </c>
      <c r="U43" s="22">
        <f t="shared" ref="U43:U57" ca="1" si="67">IF(Q43&lt;&gt;0,S43/Q43,0)</f>
        <v>1</v>
      </c>
      <c r="V43" s="58">
        <f t="shared" ref="V43:V57" ca="1" si="68">P43-D43</f>
        <v>0</v>
      </c>
      <c r="W43" s="46">
        <f t="shared" ref="W43:W57" ca="1" si="69">IF(D43&lt;&gt;0,(P43/D43)-1,0)</f>
        <v>0</v>
      </c>
      <c r="X43" s="58">
        <f t="shared" ref="X43:X57" ca="1" si="70">(Q43-E43)/1000</f>
        <v>0</v>
      </c>
      <c r="Y43" s="46">
        <f t="shared" ref="Y43:Y57" ca="1" si="71">IF(E43&lt;&gt;0,(Q43/E43)-1,0)</f>
        <v>0</v>
      </c>
      <c r="Z43" s="58">
        <f t="shared" ref="Z43:Z57" ca="1" si="72">(S43-G43)/1000</f>
        <v>0</v>
      </c>
      <c r="AA43" s="45">
        <f t="shared" ref="AA43:AA57" ca="1" si="73">IF(G43&lt;&gt;0,(S43/G43)-1,0)</f>
        <v>0</v>
      </c>
      <c r="AB43" s="78">
        <f t="shared" ref="AB43:AB57" ca="1" si="74">(U43-I43)*100</f>
        <v>0</v>
      </c>
      <c r="AC43" s="59">
        <f t="shared" ref="AC43:AC57" ca="1" si="75">AB43*Q43/100/1000</f>
        <v>0</v>
      </c>
      <c r="AD43" s="21">
        <f ca="1">_xll.DBR("CXMD:FTM_DATA_MARGIN",$AD$21,$AD$20,$C$15,$B43,$C$16,$C43,AD$25)</f>
        <v>0</v>
      </c>
      <c r="AE43" s="21">
        <f ca="1">_xll.DBR("CXMD:FTM_DATA_MARGIN",$AD$21,$AD$20,$C$15,$B43,$C$16,$C43,AE$25)</f>
        <v>0</v>
      </c>
      <c r="AF43" s="155">
        <f t="shared" ref="AF43:AF57" ca="1" si="76">AE43/1000</f>
        <v>0</v>
      </c>
      <c r="AG43" s="199">
        <f t="shared" ref="AG43:AG57" ca="1" si="77">AD43-P43</f>
        <v>-212</v>
      </c>
      <c r="AH43" s="190">
        <f t="shared" ref="AH43:AH57" ca="1" si="78">IF(P43&lt;&gt;0,(AD43/P43)-1,0)</f>
        <v>-1</v>
      </c>
      <c r="AI43" s="199">
        <f t="shared" ref="AI43:AI57" ca="1" si="79">(AE43-Q43)/1000</f>
        <v>-3826.9264400000011</v>
      </c>
      <c r="AJ43" s="190">
        <f t="shared" ref="AJ43:AJ57" ca="1" si="80">IF(Q43&lt;&gt;0,(AE43/Q43)-1,0)</f>
        <v>-1</v>
      </c>
      <c r="AK43" s="200"/>
      <c r="AL43" s="201"/>
      <c r="AM43" s="105"/>
    </row>
    <row r="44" spans="1:39" ht="15" customHeight="1" x14ac:dyDescent="0.25">
      <c r="B44" s="140" t="s">
        <v>51</v>
      </c>
      <c r="C44" s="187" t="s">
        <v>57</v>
      </c>
      <c r="D44" s="21">
        <f ca="1">_xll.DBR("CXMD:FTM_DATA_MARGIN",$F$21,$F$20,$C$15,$B44,$C$16,$C44,D$25)</f>
        <v>91</v>
      </c>
      <c r="E44" s="21">
        <f ca="1">_xll.DBR("CXMD:FTM_DATA_MARGIN",$F$21,$F$20,$C$15,$B44,$C$16,$C44,E$25)</f>
        <v>1540038.3199999996</v>
      </c>
      <c r="F44" s="21">
        <f t="shared" ca="1" si="59"/>
        <v>1540.0383199999997</v>
      </c>
      <c r="G44" s="155">
        <f ca="1">_xll.DBR("CXMD:FTM_DATA_MARGIN",$F$21,$F$20,$C$15,$B44,$C$16,$C44,G$25)</f>
        <v>1540038.3199999996</v>
      </c>
      <c r="H44" s="21">
        <f t="shared" ca="1" si="60"/>
        <v>1540.0383199999997</v>
      </c>
      <c r="I44" s="22">
        <f t="shared" ca="1" si="61"/>
        <v>1</v>
      </c>
      <c r="J44" s="21">
        <f ca="1">_xll.DBR("CXMD:FTM_DATA_MARGIN",$L$21,$L$20,$C$15,$B42,$C$16,$C42,J$25)</f>
        <v>1924</v>
      </c>
      <c r="K44" s="155">
        <f ca="1">_xll.DBR("CXMD:FTM_DATA_MARGIN",$L$21,$L$20,$C$15,$B44,$C$16,$C44,K$25)</f>
        <v>1540038.3199999996</v>
      </c>
      <c r="L44" s="21">
        <f t="shared" ca="1" si="62"/>
        <v>1540.0383199999997</v>
      </c>
      <c r="M44" s="155">
        <f ca="1">_xll.DBR("CXMD:FTM_DATA_MARGIN",$L$21,$L$20,$C$15,$B44,$C$16,$C44,M$25)</f>
        <v>1540038.3199999996</v>
      </c>
      <c r="N44" s="21">
        <f t="shared" ca="1" si="63"/>
        <v>1540.0383199999997</v>
      </c>
      <c r="O44" s="22">
        <f t="shared" ca="1" si="64"/>
        <v>1</v>
      </c>
      <c r="P44" s="21">
        <f ca="1">_xll.DBR("CXMD:FTM_DATA_MARGIN",$R$21,$R$20,$C$15,$B44,$C$16,$C44,P$25)</f>
        <v>91</v>
      </c>
      <c r="Q44" s="21">
        <f ca="1">_xll.DBR("CXMD:FTM_DATA_MARGIN",$R$21,$R$20,$C$15,$B44,$C$16,$C44,Q$25)</f>
        <v>1540038.3199999996</v>
      </c>
      <c r="R44" s="21">
        <f t="shared" ca="1" si="65"/>
        <v>1540.0383199999997</v>
      </c>
      <c r="S44" s="155">
        <f ca="1">_xll.DBR("CXMD:FTM_DATA_MARGIN",$R$21,$R$20,$C$15,$B44,$C$16,$C44,S$25)</f>
        <v>1540038.3199999996</v>
      </c>
      <c r="T44" s="21">
        <f t="shared" ca="1" si="66"/>
        <v>1540.0383199999997</v>
      </c>
      <c r="U44" s="22">
        <f t="shared" ca="1" si="67"/>
        <v>1</v>
      </c>
      <c r="V44" s="58">
        <f t="shared" ca="1" si="68"/>
        <v>0</v>
      </c>
      <c r="W44" s="46">
        <f t="shared" ca="1" si="69"/>
        <v>0</v>
      </c>
      <c r="X44" s="58">
        <f t="shared" ca="1" si="70"/>
        <v>0</v>
      </c>
      <c r="Y44" s="46">
        <f t="shared" ca="1" si="71"/>
        <v>0</v>
      </c>
      <c r="Z44" s="58">
        <f t="shared" ca="1" si="72"/>
        <v>0</v>
      </c>
      <c r="AA44" s="45">
        <f t="shared" ca="1" si="73"/>
        <v>0</v>
      </c>
      <c r="AB44" s="78">
        <f t="shared" ca="1" si="74"/>
        <v>0</v>
      </c>
      <c r="AC44" s="59">
        <f t="shared" ca="1" si="75"/>
        <v>0</v>
      </c>
      <c r="AD44" s="21">
        <f ca="1">_xll.DBR("CXMD:FTM_DATA_MARGIN",$AD$21,$AD$20,$C$15,$B44,$C$16,$C44,AD$25)</f>
        <v>0</v>
      </c>
      <c r="AE44" s="21">
        <f ca="1">_xll.DBR("CXMD:FTM_DATA_MARGIN",$AD$21,$AD$20,$C$15,$B44,$C$16,$C44,AE$25)</f>
        <v>0</v>
      </c>
      <c r="AF44" s="155">
        <f t="shared" ca="1" si="76"/>
        <v>0</v>
      </c>
      <c r="AG44" s="199">
        <f t="shared" ca="1" si="77"/>
        <v>-91</v>
      </c>
      <c r="AH44" s="190">
        <f t="shared" ca="1" si="78"/>
        <v>-1</v>
      </c>
      <c r="AI44" s="199">
        <f t="shared" ca="1" si="79"/>
        <v>-1540.0383199999997</v>
      </c>
      <c r="AJ44" s="190">
        <f t="shared" ca="1" si="80"/>
        <v>-1</v>
      </c>
      <c r="AK44" s="200"/>
      <c r="AL44" s="201"/>
      <c r="AM44" s="105"/>
    </row>
    <row r="45" spans="1:39" ht="15" customHeight="1" x14ac:dyDescent="0.25">
      <c r="B45" s="140" t="s">
        <v>51</v>
      </c>
      <c r="C45" s="187" t="s">
        <v>58</v>
      </c>
      <c r="D45" s="21">
        <f ca="1">_xll.DBR("CXMD:FTM_DATA_MARGIN",$F$21,$F$20,$C$15,$B45,$C$16,$C45,D$25)</f>
        <v>102</v>
      </c>
      <c r="E45" s="21">
        <f ca="1">_xll.DBR("CXMD:FTM_DATA_MARGIN",$F$21,$F$20,$C$15,$B45,$C$16,$C45,E$25)</f>
        <v>1004483.04</v>
      </c>
      <c r="F45" s="21">
        <f t="shared" ca="1" si="59"/>
        <v>1004.4830400000001</v>
      </c>
      <c r="G45" s="155">
        <f ca="1">_xll.DBR("CXMD:FTM_DATA_MARGIN",$F$21,$F$20,$C$15,$B45,$C$16,$C45,G$25)</f>
        <v>1004483.04</v>
      </c>
      <c r="H45" s="21">
        <f t="shared" ca="1" si="60"/>
        <v>1004.4830400000001</v>
      </c>
      <c r="I45" s="22">
        <f t="shared" ca="1" si="61"/>
        <v>1</v>
      </c>
      <c r="J45" s="21">
        <f ca="1">_xll.DBR("CXMD:FTM_DATA_MARGIN",$L$21,$L$20,$C$15,$B43,$C$16,$C43,J$25)</f>
        <v>212</v>
      </c>
      <c r="K45" s="155">
        <f ca="1">_xll.DBR("CXMD:FTM_DATA_MARGIN",$L$21,$L$20,$C$15,$B45,$C$16,$C45,K$25)</f>
        <v>1004483.04</v>
      </c>
      <c r="L45" s="21">
        <f t="shared" ca="1" si="62"/>
        <v>1004.4830400000001</v>
      </c>
      <c r="M45" s="155">
        <f ca="1">_xll.DBR("CXMD:FTM_DATA_MARGIN",$L$21,$L$20,$C$15,$B45,$C$16,$C45,M$25)</f>
        <v>1004483.04</v>
      </c>
      <c r="N45" s="21">
        <f t="shared" ca="1" si="63"/>
        <v>1004.4830400000001</v>
      </c>
      <c r="O45" s="22">
        <f t="shared" ca="1" si="64"/>
        <v>1</v>
      </c>
      <c r="P45" s="21">
        <f ca="1">_xll.DBR("CXMD:FTM_DATA_MARGIN",$R$21,$R$20,$C$15,$B45,$C$16,$C45,P$25)</f>
        <v>102</v>
      </c>
      <c r="Q45" s="21">
        <f ca="1">_xll.DBR("CXMD:FTM_DATA_MARGIN",$R$21,$R$20,$C$15,$B45,$C$16,$C45,Q$25)</f>
        <v>1004483.04</v>
      </c>
      <c r="R45" s="21">
        <f t="shared" ca="1" si="65"/>
        <v>1004.4830400000001</v>
      </c>
      <c r="S45" s="155">
        <f ca="1">_xll.DBR("CXMD:FTM_DATA_MARGIN",$R$21,$R$20,$C$15,$B45,$C$16,$C45,S$25)</f>
        <v>1004483.04</v>
      </c>
      <c r="T45" s="21">
        <f t="shared" ca="1" si="66"/>
        <v>1004.4830400000001</v>
      </c>
      <c r="U45" s="22">
        <f t="shared" ca="1" si="67"/>
        <v>1</v>
      </c>
      <c r="V45" s="58">
        <f t="shared" ca="1" si="68"/>
        <v>0</v>
      </c>
      <c r="W45" s="46">
        <f t="shared" ca="1" si="69"/>
        <v>0</v>
      </c>
      <c r="X45" s="58">
        <f t="shared" ca="1" si="70"/>
        <v>0</v>
      </c>
      <c r="Y45" s="46">
        <f t="shared" ca="1" si="71"/>
        <v>0</v>
      </c>
      <c r="Z45" s="58">
        <f t="shared" ca="1" si="72"/>
        <v>0</v>
      </c>
      <c r="AA45" s="45">
        <f t="shared" ca="1" si="73"/>
        <v>0</v>
      </c>
      <c r="AB45" s="78">
        <f t="shared" ca="1" si="74"/>
        <v>0</v>
      </c>
      <c r="AC45" s="59">
        <f t="shared" ca="1" si="75"/>
        <v>0</v>
      </c>
      <c r="AD45" s="21">
        <f ca="1">_xll.DBR("CXMD:FTM_DATA_MARGIN",$AD$21,$AD$20,$C$15,$B45,$C$16,$C45,AD$25)</f>
        <v>0</v>
      </c>
      <c r="AE45" s="21">
        <f ca="1">_xll.DBR("CXMD:FTM_DATA_MARGIN",$AD$21,$AD$20,$C$15,$B45,$C$16,$C45,AE$25)</f>
        <v>0</v>
      </c>
      <c r="AF45" s="155">
        <f t="shared" ca="1" si="76"/>
        <v>0</v>
      </c>
      <c r="AG45" s="199">
        <f t="shared" ca="1" si="77"/>
        <v>-102</v>
      </c>
      <c r="AH45" s="190">
        <f t="shared" ca="1" si="78"/>
        <v>-1</v>
      </c>
      <c r="AI45" s="199">
        <f t="shared" ca="1" si="79"/>
        <v>-1004.4830400000001</v>
      </c>
      <c r="AJ45" s="190">
        <f t="shared" ca="1" si="80"/>
        <v>-1</v>
      </c>
      <c r="AK45" s="200"/>
      <c r="AL45" s="201"/>
      <c r="AM45" s="105"/>
    </row>
    <row r="46" spans="1:39" ht="15" customHeight="1" x14ac:dyDescent="0.25">
      <c r="B46" s="140" t="s">
        <v>51</v>
      </c>
      <c r="C46" s="187" t="s">
        <v>59</v>
      </c>
      <c r="D46" s="21">
        <f ca="1">_xll.DBR("CXMD:FTM_DATA_MARGIN",$F$21,$F$20,$C$15,$B46,$C$16,$C46,D$25)</f>
        <v>9</v>
      </c>
      <c r="E46" s="21">
        <f ca="1">_xll.DBR("CXMD:FTM_DATA_MARGIN",$F$21,$F$20,$C$15,$B46,$C$16,$C46,E$25)</f>
        <v>80802.080000000002</v>
      </c>
      <c r="F46" s="21">
        <f t="shared" ca="1" si="59"/>
        <v>80.802080000000004</v>
      </c>
      <c r="G46" s="155">
        <f ca="1">_xll.DBR("CXMD:FTM_DATA_MARGIN",$F$21,$F$20,$C$15,$B46,$C$16,$C46,G$25)</f>
        <v>80802.080000000002</v>
      </c>
      <c r="H46" s="21">
        <f t="shared" ca="1" si="60"/>
        <v>80.802080000000004</v>
      </c>
      <c r="I46" s="22">
        <f t="shared" ca="1" si="61"/>
        <v>1</v>
      </c>
      <c r="J46" s="21">
        <f ca="1">_xll.DBR("CXMD:FTM_DATA_MARGIN",$L$21,$L$20,$C$15,$B44,$C$16,$C44,J$25)</f>
        <v>91</v>
      </c>
      <c r="K46" s="155">
        <f ca="1">_xll.DBR("CXMD:FTM_DATA_MARGIN",$L$21,$L$20,$C$15,$B46,$C$16,$C46,K$25)</f>
        <v>80802.080000000002</v>
      </c>
      <c r="L46" s="21">
        <f t="shared" ca="1" si="62"/>
        <v>80.802080000000004</v>
      </c>
      <c r="M46" s="155">
        <f ca="1">_xll.DBR("CXMD:FTM_DATA_MARGIN",$L$21,$L$20,$C$15,$B46,$C$16,$C46,M$25)</f>
        <v>80802.080000000002</v>
      </c>
      <c r="N46" s="21">
        <f t="shared" ca="1" si="63"/>
        <v>80.802080000000004</v>
      </c>
      <c r="O46" s="22">
        <f t="shared" ca="1" si="64"/>
        <v>1</v>
      </c>
      <c r="P46" s="21">
        <f ca="1">_xll.DBR("CXMD:FTM_DATA_MARGIN",$R$21,$R$20,$C$15,$B46,$C$16,$C46,P$25)</f>
        <v>9</v>
      </c>
      <c r="Q46" s="21">
        <f ca="1">_xll.DBR("CXMD:FTM_DATA_MARGIN",$R$21,$R$20,$C$15,$B46,$C$16,$C46,Q$25)</f>
        <v>80802.080000000002</v>
      </c>
      <c r="R46" s="21">
        <f t="shared" ca="1" si="65"/>
        <v>80.802080000000004</v>
      </c>
      <c r="S46" s="155">
        <f ca="1">_xll.DBR("CXMD:FTM_DATA_MARGIN",$R$21,$R$20,$C$15,$B46,$C$16,$C46,S$25)</f>
        <v>80802.080000000002</v>
      </c>
      <c r="T46" s="21">
        <f t="shared" ca="1" si="66"/>
        <v>80.802080000000004</v>
      </c>
      <c r="U46" s="22">
        <f t="shared" ca="1" si="67"/>
        <v>1</v>
      </c>
      <c r="V46" s="58">
        <f t="shared" ca="1" si="68"/>
        <v>0</v>
      </c>
      <c r="W46" s="46">
        <f t="shared" ca="1" si="69"/>
        <v>0</v>
      </c>
      <c r="X46" s="58">
        <f t="shared" ca="1" si="70"/>
        <v>0</v>
      </c>
      <c r="Y46" s="46">
        <f t="shared" ca="1" si="71"/>
        <v>0</v>
      </c>
      <c r="Z46" s="58">
        <f t="shared" ca="1" si="72"/>
        <v>0</v>
      </c>
      <c r="AA46" s="45">
        <f t="shared" ca="1" si="73"/>
        <v>0</v>
      </c>
      <c r="AB46" s="78">
        <f t="shared" ca="1" si="74"/>
        <v>0</v>
      </c>
      <c r="AC46" s="59">
        <f t="shared" ca="1" si="75"/>
        <v>0</v>
      </c>
      <c r="AD46" s="21">
        <f ca="1">_xll.DBR("CXMD:FTM_DATA_MARGIN",$AD$21,$AD$20,$C$15,$B46,$C$16,$C46,AD$25)</f>
        <v>0</v>
      </c>
      <c r="AE46" s="21">
        <f ca="1">_xll.DBR("CXMD:FTM_DATA_MARGIN",$AD$21,$AD$20,$C$15,$B46,$C$16,$C46,AE$25)</f>
        <v>0</v>
      </c>
      <c r="AF46" s="155">
        <f t="shared" ca="1" si="76"/>
        <v>0</v>
      </c>
      <c r="AG46" s="199">
        <f t="shared" ca="1" si="77"/>
        <v>-9</v>
      </c>
      <c r="AH46" s="190">
        <f t="shared" ca="1" si="78"/>
        <v>-1</v>
      </c>
      <c r="AI46" s="199">
        <f t="shared" ca="1" si="79"/>
        <v>-80.802080000000004</v>
      </c>
      <c r="AJ46" s="190">
        <f t="shared" ca="1" si="80"/>
        <v>-1</v>
      </c>
      <c r="AK46" s="200"/>
      <c r="AL46" s="201"/>
      <c r="AM46" s="105"/>
    </row>
    <row r="47" spans="1:39" ht="15" customHeight="1" x14ac:dyDescent="0.25">
      <c r="B47" s="140" t="s">
        <v>51</v>
      </c>
      <c r="C47" s="187" t="s">
        <v>60</v>
      </c>
      <c r="D47" s="21">
        <f ca="1">_xll.DBR("CXMD:FTM_DATA_MARGIN",$F$21,$F$20,$C$15,$B47,$C$16,$C47,D$25)</f>
        <v>32</v>
      </c>
      <c r="E47" s="21">
        <f ca="1">_xll.DBR("CXMD:FTM_DATA_MARGIN",$F$21,$F$20,$C$15,$B47,$C$16,$C47,E$25)</f>
        <v>506213.27000000008</v>
      </c>
      <c r="F47" s="21">
        <f t="shared" ca="1" si="59"/>
        <v>506.21327000000008</v>
      </c>
      <c r="G47" s="155">
        <f ca="1">_xll.DBR("CXMD:FTM_DATA_MARGIN",$F$21,$F$20,$C$15,$B47,$C$16,$C47,G$25)</f>
        <v>506213.27000000008</v>
      </c>
      <c r="H47" s="21">
        <f t="shared" ca="1" si="60"/>
        <v>506.21327000000008</v>
      </c>
      <c r="I47" s="22">
        <f t="shared" ca="1" si="61"/>
        <v>1</v>
      </c>
      <c r="J47" s="21">
        <f ca="1">_xll.DBR("CXMD:FTM_DATA_MARGIN",$L$21,$L$20,$C$15,$B45,$C$16,$C45,J$25)</f>
        <v>102</v>
      </c>
      <c r="K47" s="155">
        <f ca="1">_xll.DBR("CXMD:FTM_DATA_MARGIN",$L$21,$L$20,$C$15,$B47,$C$16,$C47,K$25)</f>
        <v>506213.27000000008</v>
      </c>
      <c r="L47" s="21">
        <f t="shared" ca="1" si="62"/>
        <v>506.21327000000008</v>
      </c>
      <c r="M47" s="155">
        <f ca="1">_xll.DBR("CXMD:FTM_DATA_MARGIN",$L$21,$L$20,$C$15,$B47,$C$16,$C47,M$25)</f>
        <v>506213.27000000008</v>
      </c>
      <c r="N47" s="21">
        <f t="shared" ca="1" si="63"/>
        <v>506.21327000000008</v>
      </c>
      <c r="O47" s="22">
        <f t="shared" ca="1" si="64"/>
        <v>1</v>
      </c>
      <c r="P47" s="21">
        <f ca="1">_xll.DBR("CXMD:FTM_DATA_MARGIN",$R$21,$R$20,$C$15,$B47,$C$16,$C47,P$25)</f>
        <v>32</v>
      </c>
      <c r="Q47" s="21">
        <f ca="1">_xll.DBR("CXMD:FTM_DATA_MARGIN",$R$21,$R$20,$C$15,$B47,$C$16,$C47,Q$25)</f>
        <v>506213.27000000008</v>
      </c>
      <c r="R47" s="21">
        <f t="shared" ca="1" si="65"/>
        <v>506.21327000000008</v>
      </c>
      <c r="S47" s="155">
        <f ca="1">_xll.DBR("CXMD:FTM_DATA_MARGIN",$R$21,$R$20,$C$15,$B47,$C$16,$C47,S$25)</f>
        <v>506213.27000000008</v>
      </c>
      <c r="T47" s="21">
        <f t="shared" ca="1" si="66"/>
        <v>506.21327000000008</v>
      </c>
      <c r="U47" s="22">
        <f t="shared" ca="1" si="67"/>
        <v>1</v>
      </c>
      <c r="V47" s="58">
        <f t="shared" ca="1" si="68"/>
        <v>0</v>
      </c>
      <c r="W47" s="46">
        <f t="shared" ca="1" si="69"/>
        <v>0</v>
      </c>
      <c r="X47" s="58">
        <f t="shared" ca="1" si="70"/>
        <v>0</v>
      </c>
      <c r="Y47" s="46">
        <f t="shared" ca="1" si="71"/>
        <v>0</v>
      </c>
      <c r="Z47" s="58">
        <f t="shared" ca="1" si="72"/>
        <v>0</v>
      </c>
      <c r="AA47" s="45">
        <f t="shared" ca="1" si="73"/>
        <v>0</v>
      </c>
      <c r="AB47" s="78">
        <f t="shared" ca="1" si="74"/>
        <v>0</v>
      </c>
      <c r="AC47" s="59">
        <f t="shared" ca="1" si="75"/>
        <v>0</v>
      </c>
      <c r="AD47" s="21">
        <f ca="1">_xll.DBR("CXMD:FTM_DATA_MARGIN",$AD$21,$AD$20,$C$15,$B47,$C$16,$C47,AD$25)</f>
        <v>0</v>
      </c>
      <c r="AE47" s="21">
        <f ca="1">_xll.DBR("CXMD:FTM_DATA_MARGIN",$AD$21,$AD$20,$C$15,$B47,$C$16,$C47,AE$25)</f>
        <v>0</v>
      </c>
      <c r="AF47" s="155">
        <f t="shared" ca="1" si="76"/>
        <v>0</v>
      </c>
      <c r="AG47" s="199">
        <f t="shared" ca="1" si="77"/>
        <v>-32</v>
      </c>
      <c r="AH47" s="190">
        <f t="shared" ca="1" si="78"/>
        <v>-1</v>
      </c>
      <c r="AI47" s="199">
        <f t="shared" ca="1" si="79"/>
        <v>-506.21327000000008</v>
      </c>
      <c r="AJ47" s="190">
        <f t="shared" ca="1" si="80"/>
        <v>-1</v>
      </c>
      <c r="AK47" s="200"/>
      <c r="AL47" s="201"/>
      <c r="AM47" s="105"/>
    </row>
    <row r="48" spans="1:39" ht="15" customHeight="1" x14ac:dyDescent="0.25">
      <c r="B48" s="140" t="s">
        <v>51</v>
      </c>
      <c r="C48" s="187" t="s">
        <v>61</v>
      </c>
      <c r="D48" s="21">
        <f ca="1">_xll.DBR("CXMD:FTM_DATA_MARGIN",$F$21,$F$20,$C$15,$B48,$C$16,$C48,D$25)</f>
        <v>1471</v>
      </c>
      <c r="E48" s="21">
        <f ca="1">_xll.DBR("CXMD:FTM_DATA_MARGIN",$F$21,$F$20,$C$15,$B48,$C$16,$C48,E$25)</f>
        <v>17435805.419999994</v>
      </c>
      <c r="F48" s="21">
        <f t="shared" ca="1" si="59"/>
        <v>17435.805419999993</v>
      </c>
      <c r="G48" s="155">
        <f ca="1">_xll.DBR("CXMD:FTM_DATA_MARGIN",$F$21,$F$20,$C$15,$B48,$C$16,$C48,G$25)</f>
        <v>17435805.419999994</v>
      </c>
      <c r="H48" s="21">
        <f t="shared" ca="1" si="60"/>
        <v>17435.805419999993</v>
      </c>
      <c r="I48" s="22">
        <f t="shared" ca="1" si="61"/>
        <v>1</v>
      </c>
      <c r="J48" s="21">
        <f ca="1">_xll.DBR("CXMD:FTM_DATA_MARGIN",$L$21,$L$20,$C$15,$B46,$C$16,$C46,J$25)</f>
        <v>9</v>
      </c>
      <c r="K48" s="155">
        <f ca="1">_xll.DBR("CXMD:FTM_DATA_MARGIN",$L$21,$L$20,$C$15,$B48,$C$16,$C48,K$25)</f>
        <v>17435805.419999994</v>
      </c>
      <c r="L48" s="21">
        <f t="shared" ca="1" si="62"/>
        <v>17435.805419999993</v>
      </c>
      <c r="M48" s="155">
        <f ca="1">_xll.DBR("CXMD:FTM_DATA_MARGIN",$L$21,$L$20,$C$15,$B48,$C$16,$C48,M$25)</f>
        <v>17435805.419999994</v>
      </c>
      <c r="N48" s="21">
        <f t="shared" ca="1" si="63"/>
        <v>17435.805419999993</v>
      </c>
      <c r="O48" s="22">
        <f t="shared" ca="1" si="64"/>
        <v>1</v>
      </c>
      <c r="P48" s="21">
        <f ca="1">_xll.DBR("CXMD:FTM_DATA_MARGIN",$R$21,$R$20,$C$15,$B48,$C$16,$C48,P$25)</f>
        <v>1471</v>
      </c>
      <c r="Q48" s="21">
        <f ca="1">_xll.DBR("CXMD:FTM_DATA_MARGIN",$R$21,$R$20,$C$15,$B48,$C$16,$C48,Q$25)</f>
        <v>17435805.419999994</v>
      </c>
      <c r="R48" s="21">
        <f t="shared" ca="1" si="65"/>
        <v>17435.805419999993</v>
      </c>
      <c r="S48" s="155">
        <f ca="1">_xll.DBR("CXMD:FTM_DATA_MARGIN",$R$21,$R$20,$C$15,$B48,$C$16,$C48,S$25)</f>
        <v>17435805.419999994</v>
      </c>
      <c r="T48" s="21">
        <f t="shared" ca="1" si="66"/>
        <v>17435.805419999993</v>
      </c>
      <c r="U48" s="22">
        <f t="shared" ca="1" si="67"/>
        <v>1</v>
      </c>
      <c r="V48" s="58">
        <f t="shared" ca="1" si="68"/>
        <v>0</v>
      </c>
      <c r="W48" s="46">
        <f t="shared" ca="1" si="69"/>
        <v>0</v>
      </c>
      <c r="X48" s="58">
        <f t="shared" ca="1" si="70"/>
        <v>0</v>
      </c>
      <c r="Y48" s="46">
        <f t="shared" ca="1" si="71"/>
        <v>0</v>
      </c>
      <c r="Z48" s="58">
        <f t="shared" ca="1" si="72"/>
        <v>0</v>
      </c>
      <c r="AA48" s="45">
        <f t="shared" ca="1" si="73"/>
        <v>0</v>
      </c>
      <c r="AB48" s="78">
        <f t="shared" ca="1" si="74"/>
        <v>0</v>
      </c>
      <c r="AC48" s="59">
        <f t="shared" ca="1" si="75"/>
        <v>0</v>
      </c>
      <c r="AD48" s="21">
        <f ca="1">_xll.DBR("CXMD:FTM_DATA_MARGIN",$AD$21,$AD$20,$C$15,$B48,$C$16,$C48,AD$25)</f>
        <v>0</v>
      </c>
      <c r="AE48" s="21">
        <f ca="1">_xll.DBR("CXMD:FTM_DATA_MARGIN",$AD$21,$AD$20,$C$15,$B48,$C$16,$C48,AE$25)</f>
        <v>0</v>
      </c>
      <c r="AF48" s="155">
        <f t="shared" ca="1" si="76"/>
        <v>0</v>
      </c>
      <c r="AG48" s="199">
        <f t="shared" ca="1" si="77"/>
        <v>-1471</v>
      </c>
      <c r="AH48" s="190">
        <f t="shared" ca="1" si="78"/>
        <v>-1</v>
      </c>
      <c r="AI48" s="199">
        <f t="shared" ca="1" si="79"/>
        <v>-17435.805419999993</v>
      </c>
      <c r="AJ48" s="190">
        <f t="shared" ca="1" si="80"/>
        <v>-1</v>
      </c>
      <c r="AK48" s="200"/>
      <c r="AL48" s="201"/>
      <c r="AM48" s="105"/>
    </row>
    <row r="49" spans="2:39" ht="15" customHeight="1" x14ac:dyDescent="0.25">
      <c r="B49" s="140" t="s">
        <v>51</v>
      </c>
      <c r="C49" s="232" t="s">
        <v>62</v>
      </c>
      <c r="D49" s="23">
        <f ca="1">_xll.DBR("CXMD:FTM_DATA_MARGIN",$F$21,$F$20,$C$15,$B49,$C$16,$C49,D$25)</f>
        <v>717</v>
      </c>
      <c r="E49" s="23">
        <f ca="1">_xll.DBR("CXMD:FTM_DATA_MARGIN",$F$21,$F$20,$C$15,$B49,$C$16,$C49,E$25)</f>
        <v>5391114.5400000019</v>
      </c>
      <c r="F49" s="23">
        <f t="shared" ref="F49:F52" ca="1" si="81">E49/1000</f>
        <v>5391.1145400000023</v>
      </c>
      <c r="G49" s="23">
        <f ca="1">_xll.DBR("CXMD:FTM_DATA_MARGIN",$F$21,$F$20,$C$15,$B49,$C$16,$C49,G$25)</f>
        <v>5391114.5400000019</v>
      </c>
      <c r="H49" s="23">
        <f t="shared" ref="H49:H52" ca="1" si="82">G49/1000</f>
        <v>5391.1145400000023</v>
      </c>
      <c r="I49" s="24">
        <f t="shared" ref="I49:I52" ca="1" si="83">IF(E49&lt;&gt;0,G49/E49,0)</f>
        <v>1</v>
      </c>
      <c r="J49" s="23">
        <f ca="1">_xll.DBR("CXMD:FTM_DATA_MARGIN",$L$21,$L$20,$C$15,$B47,$C$16,$C47,J$25)</f>
        <v>32</v>
      </c>
      <c r="K49" s="23">
        <f ca="1">_xll.DBR("CXMD:FTM_DATA_MARGIN",$L$21,$L$20,$C$15,$B49,$C$16,$C49,K$25)</f>
        <v>5391114.5400000019</v>
      </c>
      <c r="L49" s="23">
        <f t="shared" ref="L49:L52" ca="1" si="84">K49/1000</f>
        <v>5391.1145400000023</v>
      </c>
      <c r="M49" s="23">
        <f ca="1">_xll.DBR("CXMD:FTM_DATA_MARGIN",$L$21,$L$20,$C$15,$B49,$C$16,$C49,M$25)</f>
        <v>5391114.5400000019</v>
      </c>
      <c r="N49" s="23">
        <f t="shared" ref="N49:N52" ca="1" si="85">M49/1000</f>
        <v>5391.1145400000023</v>
      </c>
      <c r="O49" s="24">
        <f t="shared" ref="O49:O52" ca="1" si="86">IF(K49&lt;&gt;0,M49/K49,0)</f>
        <v>1</v>
      </c>
      <c r="P49" s="23">
        <f ca="1">_xll.DBR("CXMD:FTM_DATA_MARGIN",$R$21,$R$20,$C$15,$B49,$C$16,$C49,P$25)</f>
        <v>717</v>
      </c>
      <c r="Q49" s="23">
        <f ca="1">_xll.DBR("CXMD:FTM_DATA_MARGIN",$R$21,$R$20,$C$15,$B49,$C$16,$C49,Q$25)</f>
        <v>5391114.5400000019</v>
      </c>
      <c r="R49" s="23">
        <f t="shared" ref="R49:R52" ca="1" si="87">Q49/1000</f>
        <v>5391.1145400000023</v>
      </c>
      <c r="S49" s="23">
        <f ca="1">_xll.DBR("CXMD:FTM_DATA_MARGIN",$R$21,$R$20,$C$15,$B49,$C$16,$C49,S$25)</f>
        <v>5391114.5400000019</v>
      </c>
      <c r="T49" s="23">
        <f t="shared" ref="T49:T52" ca="1" si="88">S49/1000</f>
        <v>5391.1145400000023</v>
      </c>
      <c r="U49" s="24">
        <f t="shared" ref="U49:U52" ca="1" si="89">IF(Q49&lt;&gt;0,S49/Q49,0)</f>
        <v>1</v>
      </c>
      <c r="V49" s="60">
        <f t="shared" ref="V49:V52" ca="1" si="90">P49-D49</f>
        <v>0</v>
      </c>
      <c r="W49" s="48">
        <f t="shared" ref="W49:W52" ca="1" si="91">IF(D49&lt;&gt;0,(P49/D49)-1,0)</f>
        <v>0</v>
      </c>
      <c r="X49" s="60">
        <f t="shared" ref="X49:X52" ca="1" si="92">(Q49-E49)/1000</f>
        <v>0</v>
      </c>
      <c r="Y49" s="48">
        <f t="shared" ref="Y49:Y52" ca="1" si="93">IF(E49&lt;&gt;0,(Q49/E49)-1,0)</f>
        <v>0</v>
      </c>
      <c r="Z49" s="60">
        <f t="shared" ref="Z49:Z52" ca="1" si="94">(S49-G49)/1000</f>
        <v>0</v>
      </c>
      <c r="AA49" s="47">
        <f t="shared" ref="AA49:AA52" ca="1" si="95">IF(G49&lt;&gt;0,(S49/G49)-1,0)</f>
        <v>0</v>
      </c>
      <c r="AB49" s="79">
        <f t="shared" ref="AB49:AB52" ca="1" si="96">(U49-I49)*100</f>
        <v>0</v>
      </c>
      <c r="AC49" s="61">
        <f t="shared" ref="AC49:AC52" ca="1" si="97">AB49*Q49/100/1000</f>
        <v>0</v>
      </c>
      <c r="AD49" s="23">
        <f ca="1">_xll.DBR("CXMD:FTM_DATA_MARGIN",$AD$21,$AD$20,$C$15,$B49,$C$16,$C49,AD$25)</f>
        <v>0</v>
      </c>
      <c r="AE49" s="23">
        <f ca="1">_xll.DBR("CXMD:FTM_DATA_MARGIN",$AD$21,$AD$20,$C$15,$B49,$C$16,$C49,AE$25)</f>
        <v>0</v>
      </c>
      <c r="AF49" s="23">
        <f t="shared" ref="AF49:AF52" ca="1" si="98">AE49/1000</f>
        <v>0</v>
      </c>
      <c r="AG49" s="100">
        <f t="shared" ref="AG49:AG52" ca="1" si="99">AD49-P49</f>
        <v>-717</v>
      </c>
      <c r="AH49" s="47">
        <f t="shared" ref="AH49:AH52" ca="1" si="100">IF(P49&lt;&gt;0,(AD49/P49)-1,0)</f>
        <v>-1</v>
      </c>
      <c r="AI49" s="100">
        <f t="shared" ref="AI49:AI52" ca="1" si="101">(AE49-Q49)/1000</f>
        <v>-5391.1145400000023</v>
      </c>
      <c r="AJ49" s="47">
        <f t="shared" ref="AJ49:AJ52" ca="1" si="102">IF(Q49&lt;&gt;0,(AE49/Q49)-1,0)</f>
        <v>-1</v>
      </c>
      <c r="AK49" s="234"/>
      <c r="AL49" s="48"/>
      <c r="AM49" s="105"/>
    </row>
    <row r="50" spans="2:39" ht="15" customHeight="1" x14ac:dyDescent="0.25">
      <c r="B50" s="140" t="s">
        <v>51</v>
      </c>
      <c r="C50" s="232" t="s">
        <v>63</v>
      </c>
      <c r="D50" s="23">
        <f ca="1">_xll.DBR("CXMD:FTM_DATA_MARGIN",$F$21,$F$20,$C$15,$B50,$C$16,$C50,D$25)</f>
        <v>83</v>
      </c>
      <c r="E50" s="23">
        <f ca="1">_xll.DBR("CXMD:FTM_DATA_MARGIN",$F$21,$F$20,$C$15,$B50,$C$16,$C50,E$25)</f>
        <v>2417937.2600000002</v>
      </c>
      <c r="F50" s="23">
        <f t="shared" ca="1" si="81"/>
        <v>2417.9372600000002</v>
      </c>
      <c r="G50" s="23">
        <f ca="1">_xll.DBR("CXMD:FTM_DATA_MARGIN",$F$21,$F$20,$C$15,$B50,$C$16,$C50,G$25)</f>
        <v>2417937.2600000002</v>
      </c>
      <c r="H50" s="23">
        <f t="shared" ca="1" si="82"/>
        <v>2417.9372600000002</v>
      </c>
      <c r="I50" s="24">
        <f t="shared" ca="1" si="83"/>
        <v>1</v>
      </c>
      <c r="J50" s="23">
        <f ca="1">_xll.DBR("CXMD:FTM_DATA_MARGIN",$L$21,$L$20,$C$15,$B48,$C$16,$C48,J$25)</f>
        <v>1471</v>
      </c>
      <c r="K50" s="23">
        <f ca="1">_xll.DBR("CXMD:FTM_DATA_MARGIN",$L$21,$L$20,$C$15,$B50,$C$16,$C50,K$25)</f>
        <v>2417937.2600000002</v>
      </c>
      <c r="L50" s="23">
        <f t="shared" ca="1" si="84"/>
        <v>2417.9372600000002</v>
      </c>
      <c r="M50" s="23">
        <f ca="1">_xll.DBR("CXMD:FTM_DATA_MARGIN",$L$21,$L$20,$C$15,$B50,$C$16,$C50,M$25)</f>
        <v>2417937.2600000002</v>
      </c>
      <c r="N50" s="23">
        <f t="shared" ca="1" si="85"/>
        <v>2417.9372600000002</v>
      </c>
      <c r="O50" s="24">
        <f t="shared" ca="1" si="86"/>
        <v>1</v>
      </c>
      <c r="P50" s="23">
        <f ca="1">_xll.DBR("CXMD:FTM_DATA_MARGIN",$R$21,$R$20,$C$15,$B50,$C$16,$C50,P$25)</f>
        <v>83</v>
      </c>
      <c r="Q50" s="23">
        <f ca="1">_xll.DBR("CXMD:FTM_DATA_MARGIN",$R$21,$R$20,$C$15,$B50,$C$16,$C50,Q$25)</f>
        <v>2417937.2600000002</v>
      </c>
      <c r="R50" s="23">
        <f t="shared" ca="1" si="87"/>
        <v>2417.9372600000002</v>
      </c>
      <c r="S50" s="23">
        <f ca="1">_xll.DBR("CXMD:FTM_DATA_MARGIN",$R$21,$R$20,$C$15,$B50,$C$16,$C50,S$25)</f>
        <v>2417937.2600000002</v>
      </c>
      <c r="T50" s="23">
        <f t="shared" ca="1" si="88"/>
        <v>2417.9372600000002</v>
      </c>
      <c r="U50" s="24">
        <f t="shared" ca="1" si="89"/>
        <v>1</v>
      </c>
      <c r="V50" s="60">
        <f t="shared" ca="1" si="90"/>
        <v>0</v>
      </c>
      <c r="W50" s="48">
        <f t="shared" ca="1" si="91"/>
        <v>0</v>
      </c>
      <c r="X50" s="60">
        <f t="shared" ca="1" si="92"/>
        <v>0</v>
      </c>
      <c r="Y50" s="48">
        <f t="shared" ca="1" si="93"/>
        <v>0</v>
      </c>
      <c r="Z50" s="60">
        <f t="shared" ca="1" si="94"/>
        <v>0</v>
      </c>
      <c r="AA50" s="47">
        <f t="shared" ca="1" si="95"/>
        <v>0</v>
      </c>
      <c r="AB50" s="79">
        <f t="shared" ca="1" si="96"/>
        <v>0</v>
      </c>
      <c r="AC50" s="61">
        <f t="shared" ca="1" si="97"/>
        <v>0</v>
      </c>
      <c r="AD50" s="23">
        <f ca="1">_xll.DBR("CXMD:FTM_DATA_MARGIN",$AD$21,$AD$20,$C$15,$B50,$C$16,$C50,AD$25)</f>
        <v>0</v>
      </c>
      <c r="AE50" s="23">
        <f ca="1">_xll.DBR("CXMD:FTM_DATA_MARGIN",$AD$21,$AD$20,$C$15,$B50,$C$16,$C50,AE$25)</f>
        <v>0</v>
      </c>
      <c r="AF50" s="23">
        <f t="shared" ca="1" si="98"/>
        <v>0</v>
      </c>
      <c r="AG50" s="100">
        <f t="shared" ca="1" si="99"/>
        <v>-83</v>
      </c>
      <c r="AH50" s="47">
        <f t="shared" ca="1" si="100"/>
        <v>-1</v>
      </c>
      <c r="AI50" s="100">
        <f t="shared" ca="1" si="101"/>
        <v>-2417.9372600000002</v>
      </c>
      <c r="AJ50" s="47">
        <f t="shared" ca="1" si="102"/>
        <v>-1</v>
      </c>
      <c r="AK50" s="234"/>
      <c r="AL50" s="48"/>
      <c r="AM50" s="105"/>
    </row>
    <row r="51" spans="2:39" ht="15" customHeight="1" x14ac:dyDescent="0.25">
      <c r="B51" s="140" t="s">
        <v>51</v>
      </c>
      <c r="C51" s="232" t="s">
        <v>64</v>
      </c>
      <c r="D51" s="23">
        <f ca="1">_xll.DBR("CXMD:FTM_DATA_MARGIN",$F$21,$F$20,$C$15,$B51,$C$16,$C51,D$25)</f>
        <v>256</v>
      </c>
      <c r="E51" s="23">
        <f ca="1">_xll.DBR("CXMD:FTM_DATA_MARGIN",$F$21,$F$20,$C$15,$B51,$C$16,$C51,E$25)</f>
        <v>2411121.77</v>
      </c>
      <c r="F51" s="23">
        <f t="shared" ca="1" si="81"/>
        <v>2411.1217700000002</v>
      </c>
      <c r="G51" s="23">
        <f ca="1">_xll.DBR("CXMD:FTM_DATA_MARGIN",$F$21,$F$20,$C$15,$B51,$C$16,$C51,G$25)</f>
        <v>2411121.77</v>
      </c>
      <c r="H51" s="23">
        <f t="shared" ca="1" si="82"/>
        <v>2411.1217700000002</v>
      </c>
      <c r="I51" s="24">
        <f t="shared" ca="1" si="83"/>
        <v>1</v>
      </c>
      <c r="J51" s="23">
        <f ca="1">_xll.DBR("CXMD:FTM_DATA_MARGIN",$L$21,$L$20,$C$15,$B49,$C$16,$C49,J$25)</f>
        <v>717</v>
      </c>
      <c r="K51" s="23">
        <f ca="1">_xll.DBR("CXMD:FTM_DATA_MARGIN",$L$21,$L$20,$C$15,$B51,$C$16,$C51,K$25)</f>
        <v>2411121.77</v>
      </c>
      <c r="L51" s="23">
        <f t="shared" ca="1" si="84"/>
        <v>2411.1217700000002</v>
      </c>
      <c r="M51" s="23">
        <f ca="1">_xll.DBR("CXMD:FTM_DATA_MARGIN",$L$21,$L$20,$C$15,$B51,$C$16,$C51,M$25)</f>
        <v>2411121.77</v>
      </c>
      <c r="N51" s="23">
        <f t="shared" ca="1" si="85"/>
        <v>2411.1217700000002</v>
      </c>
      <c r="O51" s="24">
        <f t="shared" ca="1" si="86"/>
        <v>1</v>
      </c>
      <c r="P51" s="23">
        <f ca="1">_xll.DBR("CXMD:FTM_DATA_MARGIN",$R$21,$R$20,$C$15,$B51,$C$16,$C51,P$25)</f>
        <v>256</v>
      </c>
      <c r="Q51" s="23">
        <f ca="1">_xll.DBR("CXMD:FTM_DATA_MARGIN",$R$21,$R$20,$C$15,$B51,$C$16,$C51,Q$25)</f>
        <v>2411121.77</v>
      </c>
      <c r="R51" s="23">
        <f t="shared" ca="1" si="87"/>
        <v>2411.1217700000002</v>
      </c>
      <c r="S51" s="23">
        <f ca="1">_xll.DBR("CXMD:FTM_DATA_MARGIN",$R$21,$R$20,$C$15,$B51,$C$16,$C51,S$25)</f>
        <v>2411121.77</v>
      </c>
      <c r="T51" s="23">
        <f t="shared" ca="1" si="88"/>
        <v>2411.1217700000002</v>
      </c>
      <c r="U51" s="24">
        <f t="shared" ca="1" si="89"/>
        <v>1</v>
      </c>
      <c r="V51" s="60">
        <f t="shared" ca="1" si="90"/>
        <v>0</v>
      </c>
      <c r="W51" s="48">
        <f t="shared" ca="1" si="91"/>
        <v>0</v>
      </c>
      <c r="X51" s="60">
        <f t="shared" ca="1" si="92"/>
        <v>0</v>
      </c>
      <c r="Y51" s="48">
        <f t="shared" ca="1" si="93"/>
        <v>0</v>
      </c>
      <c r="Z51" s="60">
        <f t="shared" ca="1" si="94"/>
        <v>0</v>
      </c>
      <c r="AA51" s="47">
        <f t="shared" ca="1" si="95"/>
        <v>0</v>
      </c>
      <c r="AB51" s="79">
        <f t="shared" ca="1" si="96"/>
        <v>0</v>
      </c>
      <c r="AC51" s="61">
        <f t="shared" ca="1" si="97"/>
        <v>0</v>
      </c>
      <c r="AD51" s="23">
        <f ca="1">_xll.DBR("CXMD:FTM_DATA_MARGIN",$AD$21,$AD$20,$C$15,$B51,$C$16,$C51,AD$25)</f>
        <v>0</v>
      </c>
      <c r="AE51" s="23">
        <f ca="1">_xll.DBR("CXMD:FTM_DATA_MARGIN",$AD$21,$AD$20,$C$15,$B51,$C$16,$C51,AE$25)</f>
        <v>0</v>
      </c>
      <c r="AF51" s="23">
        <f t="shared" ca="1" si="98"/>
        <v>0</v>
      </c>
      <c r="AG51" s="100">
        <f t="shared" ca="1" si="99"/>
        <v>-256</v>
      </c>
      <c r="AH51" s="47">
        <f t="shared" ca="1" si="100"/>
        <v>-1</v>
      </c>
      <c r="AI51" s="100">
        <f t="shared" ca="1" si="101"/>
        <v>-2411.1217700000002</v>
      </c>
      <c r="AJ51" s="47">
        <f t="shared" ca="1" si="102"/>
        <v>-1</v>
      </c>
      <c r="AK51" s="234"/>
      <c r="AL51" s="48"/>
      <c r="AM51" s="105"/>
    </row>
    <row r="52" spans="2:39" ht="15" customHeight="1" x14ac:dyDescent="0.25">
      <c r="B52" s="140" t="s">
        <v>51</v>
      </c>
      <c r="C52" s="232" t="s">
        <v>65</v>
      </c>
      <c r="D52" s="23">
        <f ca="1">_xll.DBR("CXMD:FTM_DATA_MARGIN",$F$21,$F$20,$C$15,$B52,$C$16,$C52,D$25)</f>
        <v>415</v>
      </c>
      <c r="E52" s="23">
        <f ca="1">_xll.DBR("CXMD:FTM_DATA_MARGIN",$F$21,$F$20,$C$15,$B52,$C$16,$C52,E$25)</f>
        <v>6661667.0599999996</v>
      </c>
      <c r="F52" s="23">
        <f t="shared" ca="1" si="81"/>
        <v>6661.6670599999998</v>
      </c>
      <c r="G52" s="23">
        <f ca="1">_xll.DBR("CXMD:FTM_DATA_MARGIN",$F$21,$F$20,$C$15,$B52,$C$16,$C52,G$25)</f>
        <v>6661667.0599999996</v>
      </c>
      <c r="H52" s="23">
        <f t="shared" ca="1" si="82"/>
        <v>6661.6670599999998</v>
      </c>
      <c r="I52" s="24">
        <f t="shared" ca="1" si="83"/>
        <v>1</v>
      </c>
      <c r="J52" s="23">
        <f ca="1">_xll.DBR("CXMD:FTM_DATA_MARGIN",$L$21,$L$20,$C$15,$B50,$C$16,$C50,J$25)</f>
        <v>83</v>
      </c>
      <c r="K52" s="23">
        <f ca="1">_xll.DBR("CXMD:FTM_DATA_MARGIN",$L$21,$L$20,$C$15,$B52,$C$16,$C52,K$25)</f>
        <v>6661667.0599999996</v>
      </c>
      <c r="L52" s="23">
        <f t="shared" ca="1" si="84"/>
        <v>6661.6670599999998</v>
      </c>
      <c r="M52" s="23">
        <f ca="1">_xll.DBR("CXMD:FTM_DATA_MARGIN",$L$21,$L$20,$C$15,$B52,$C$16,$C52,M$25)</f>
        <v>6661667.0599999996</v>
      </c>
      <c r="N52" s="23">
        <f t="shared" ca="1" si="85"/>
        <v>6661.6670599999998</v>
      </c>
      <c r="O52" s="24">
        <f t="shared" ca="1" si="86"/>
        <v>1</v>
      </c>
      <c r="P52" s="23">
        <f ca="1">_xll.DBR("CXMD:FTM_DATA_MARGIN",$R$21,$R$20,$C$15,$B52,$C$16,$C52,P$25)</f>
        <v>415</v>
      </c>
      <c r="Q52" s="23">
        <f ca="1">_xll.DBR("CXMD:FTM_DATA_MARGIN",$R$21,$R$20,$C$15,$B52,$C$16,$C52,Q$25)</f>
        <v>6661667.0599999996</v>
      </c>
      <c r="R52" s="23">
        <f t="shared" ca="1" si="87"/>
        <v>6661.6670599999998</v>
      </c>
      <c r="S52" s="23">
        <f ca="1">_xll.DBR("CXMD:FTM_DATA_MARGIN",$R$21,$R$20,$C$15,$B52,$C$16,$C52,S$25)</f>
        <v>6661667.0599999996</v>
      </c>
      <c r="T52" s="23">
        <f t="shared" ca="1" si="88"/>
        <v>6661.6670599999998</v>
      </c>
      <c r="U52" s="24">
        <f t="shared" ca="1" si="89"/>
        <v>1</v>
      </c>
      <c r="V52" s="60">
        <f t="shared" ca="1" si="90"/>
        <v>0</v>
      </c>
      <c r="W52" s="48">
        <f t="shared" ca="1" si="91"/>
        <v>0</v>
      </c>
      <c r="X52" s="60">
        <f t="shared" ca="1" si="92"/>
        <v>0</v>
      </c>
      <c r="Y52" s="48">
        <f t="shared" ca="1" si="93"/>
        <v>0</v>
      </c>
      <c r="Z52" s="60">
        <f t="shared" ca="1" si="94"/>
        <v>0</v>
      </c>
      <c r="AA52" s="47">
        <f t="shared" ca="1" si="95"/>
        <v>0</v>
      </c>
      <c r="AB52" s="79">
        <f t="shared" ca="1" si="96"/>
        <v>0</v>
      </c>
      <c r="AC52" s="61">
        <f t="shared" ca="1" si="97"/>
        <v>0</v>
      </c>
      <c r="AD52" s="23">
        <f ca="1">_xll.DBR("CXMD:FTM_DATA_MARGIN",$AD$21,$AD$20,$C$15,$B52,$C$16,$C52,AD$25)</f>
        <v>0</v>
      </c>
      <c r="AE52" s="23">
        <f ca="1">_xll.DBR("CXMD:FTM_DATA_MARGIN",$AD$21,$AD$20,$C$15,$B52,$C$16,$C52,AE$25)</f>
        <v>0</v>
      </c>
      <c r="AF52" s="23">
        <f t="shared" ca="1" si="98"/>
        <v>0</v>
      </c>
      <c r="AG52" s="100">
        <f t="shared" ca="1" si="99"/>
        <v>-415</v>
      </c>
      <c r="AH52" s="47">
        <f t="shared" ca="1" si="100"/>
        <v>-1</v>
      </c>
      <c r="AI52" s="100">
        <f t="shared" ca="1" si="101"/>
        <v>-6661.6670599999998</v>
      </c>
      <c r="AJ52" s="47">
        <f t="shared" ca="1" si="102"/>
        <v>-1</v>
      </c>
      <c r="AK52" s="234"/>
      <c r="AL52" s="48"/>
      <c r="AM52" s="105"/>
    </row>
    <row r="53" spans="2:39" ht="15" customHeight="1" x14ac:dyDescent="0.25">
      <c r="B53" s="140" t="s">
        <v>51</v>
      </c>
      <c r="C53" s="187" t="s">
        <v>66</v>
      </c>
      <c r="D53" s="21">
        <f ca="1">_xll.DBR("CXMD:FTM_DATA_MARGIN",$F$21,$F$20,$C$15,$B53,$C$16,$C53,D$25)</f>
        <v>0</v>
      </c>
      <c r="E53" s="21">
        <f ca="1">_xll.DBR("CXMD:FTM_DATA_MARGIN",$F$21,$F$20,$C$15,$B53,$C$16,$C53,E$25)</f>
        <v>-2831.6499999999996</v>
      </c>
      <c r="F53" s="21">
        <f t="shared" ca="1" si="59"/>
        <v>-2.8316499999999998</v>
      </c>
      <c r="G53" s="155">
        <f ca="1">_xll.DBR("CXMD:FTM_DATA_MARGIN",$F$21,$F$20,$C$15,$B53,$C$16,$C53,G$25)</f>
        <v>-2831.6499999999996</v>
      </c>
      <c r="H53" s="21">
        <f t="shared" ca="1" si="60"/>
        <v>-2.8316499999999998</v>
      </c>
      <c r="I53" s="22">
        <f t="shared" ca="1" si="61"/>
        <v>1</v>
      </c>
      <c r="J53" s="21">
        <f ca="1">_xll.DBR("CXMD:FTM_DATA_MARGIN",$L$21,$L$20,$C$15,$B51,$C$16,$C51,J$25)</f>
        <v>256</v>
      </c>
      <c r="K53" s="155">
        <f ca="1">_xll.DBR("CXMD:FTM_DATA_MARGIN",$L$21,$L$20,$C$15,$B53,$C$16,$C53,K$25)</f>
        <v>-2831.6499999999996</v>
      </c>
      <c r="L53" s="21">
        <f t="shared" ca="1" si="62"/>
        <v>-2.8316499999999998</v>
      </c>
      <c r="M53" s="155">
        <f ca="1">_xll.DBR("CXMD:FTM_DATA_MARGIN",$L$21,$L$20,$C$15,$B53,$C$16,$C53,M$25)</f>
        <v>-2831.6499999999996</v>
      </c>
      <c r="N53" s="21">
        <f t="shared" ca="1" si="63"/>
        <v>-2.8316499999999998</v>
      </c>
      <c r="O53" s="22">
        <f t="shared" ca="1" si="64"/>
        <v>1</v>
      </c>
      <c r="P53" s="21">
        <f ca="1">_xll.DBR("CXMD:FTM_DATA_MARGIN",$R$21,$R$20,$C$15,$B53,$C$16,$C53,P$25)</f>
        <v>0</v>
      </c>
      <c r="Q53" s="21">
        <f ca="1">_xll.DBR("CXMD:FTM_DATA_MARGIN",$R$21,$R$20,$C$15,$B53,$C$16,$C53,Q$25)</f>
        <v>-2831.6499999999996</v>
      </c>
      <c r="R53" s="21">
        <f t="shared" ca="1" si="65"/>
        <v>-2.8316499999999998</v>
      </c>
      <c r="S53" s="155">
        <f ca="1">_xll.DBR("CXMD:FTM_DATA_MARGIN",$R$21,$R$20,$C$15,$B53,$C$16,$C53,S$25)</f>
        <v>-2831.6499999999996</v>
      </c>
      <c r="T53" s="21">
        <f t="shared" ca="1" si="66"/>
        <v>-2.8316499999999998</v>
      </c>
      <c r="U53" s="22">
        <f t="shared" ca="1" si="67"/>
        <v>1</v>
      </c>
      <c r="V53" s="58">
        <f t="shared" ca="1" si="68"/>
        <v>0</v>
      </c>
      <c r="W53" s="46">
        <f t="shared" ca="1" si="69"/>
        <v>0</v>
      </c>
      <c r="X53" s="58">
        <f t="shared" ca="1" si="70"/>
        <v>0</v>
      </c>
      <c r="Y53" s="46">
        <f t="shared" ca="1" si="71"/>
        <v>0</v>
      </c>
      <c r="Z53" s="58">
        <f t="shared" ca="1" si="72"/>
        <v>0</v>
      </c>
      <c r="AA53" s="45">
        <f t="shared" ca="1" si="73"/>
        <v>0</v>
      </c>
      <c r="AB53" s="78">
        <f t="shared" ca="1" si="74"/>
        <v>0</v>
      </c>
      <c r="AC53" s="59">
        <f t="shared" ca="1" si="75"/>
        <v>0</v>
      </c>
      <c r="AD53" s="21">
        <f ca="1">_xll.DBR("CXMD:FTM_DATA_MARGIN",$AD$21,$AD$20,$C$15,$B53,$C$16,$C53,AD$25)</f>
        <v>0</v>
      </c>
      <c r="AE53" s="21">
        <f ca="1">_xll.DBR("CXMD:FTM_DATA_MARGIN",$AD$21,$AD$20,$C$15,$B53,$C$16,$C53,AE$25)</f>
        <v>0</v>
      </c>
      <c r="AF53" s="155">
        <f t="shared" ca="1" si="76"/>
        <v>0</v>
      </c>
      <c r="AG53" s="199">
        <f t="shared" ca="1" si="77"/>
        <v>0</v>
      </c>
      <c r="AH53" s="190">
        <f t="shared" ca="1" si="78"/>
        <v>0</v>
      </c>
      <c r="AI53" s="199">
        <f t="shared" ca="1" si="79"/>
        <v>2.8316499999999998</v>
      </c>
      <c r="AJ53" s="190">
        <f t="shared" ca="1" si="80"/>
        <v>-1</v>
      </c>
      <c r="AK53" s="200"/>
      <c r="AL53" s="201"/>
      <c r="AM53" s="105"/>
    </row>
    <row r="54" spans="2:39" ht="15" customHeight="1" x14ac:dyDescent="0.25">
      <c r="B54" s="140" t="s">
        <v>51</v>
      </c>
      <c r="C54" s="187" t="s">
        <v>67</v>
      </c>
      <c r="D54" s="21">
        <f ca="1">_xll.DBR("CXMD:FTM_DATA_MARGIN",$F$21,$F$20,$C$15,$B54,$C$16,$C54,D$25)</f>
        <v>0</v>
      </c>
      <c r="E54" s="21">
        <f ca="1">_xll.DBR("CXMD:FTM_DATA_MARGIN",$F$21,$F$20,$C$15,$B54,$C$16,$C54,E$25)</f>
        <v>-1318.3600000000004</v>
      </c>
      <c r="F54" s="21">
        <f t="shared" ca="1" si="59"/>
        <v>-1.3183600000000004</v>
      </c>
      <c r="G54" s="155">
        <f ca="1">_xll.DBR("CXMD:FTM_DATA_MARGIN",$F$21,$F$20,$C$15,$B54,$C$16,$C54,G$25)</f>
        <v>-1318.3600000000004</v>
      </c>
      <c r="H54" s="21">
        <f t="shared" ca="1" si="60"/>
        <v>-1.3183600000000004</v>
      </c>
      <c r="I54" s="22">
        <f t="shared" ca="1" si="61"/>
        <v>1</v>
      </c>
      <c r="J54" s="21">
        <f ca="1">_xll.DBR("CXMD:FTM_DATA_MARGIN",$L$21,$L$20,$C$15,$B52,$C$16,$C52,J$25)</f>
        <v>415</v>
      </c>
      <c r="K54" s="155">
        <f ca="1">_xll.DBR("CXMD:FTM_DATA_MARGIN",$L$21,$L$20,$C$15,$B54,$C$16,$C54,K$25)</f>
        <v>-1318.3600000000004</v>
      </c>
      <c r="L54" s="21">
        <f t="shared" ca="1" si="62"/>
        <v>-1.3183600000000004</v>
      </c>
      <c r="M54" s="155">
        <f ca="1">_xll.DBR("CXMD:FTM_DATA_MARGIN",$L$21,$L$20,$C$15,$B54,$C$16,$C54,M$25)</f>
        <v>-1318.3600000000004</v>
      </c>
      <c r="N54" s="21">
        <f t="shared" ca="1" si="63"/>
        <v>-1.3183600000000004</v>
      </c>
      <c r="O54" s="22">
        <f t="shared" ca="1" si="64"/>
        <v>1</v>
      </c>
      <c r="P54" s="21">
        <f ca="1">_xll.DBR("CXMD:FTM_DATA_MARGIN",$R$21,$R$20,$C$15,$B54,$C$16,$C54,P$25)</f>
        <v>0</v>
      </c>
      <c r="Q54" s="21">
        <f ca="1">_xll.DBR("CXMD:FTM_DATA_MARGIN",$R$21,$R$20,$C$15,$B54,$C$16,$C54,Q$25)</f>
        <v>-1318.3600000000004</v>
      </c>
      <c r="R54" s="21">
        <f t="shared" ca="1" si="65"/>
        <v>-1.3183600000000004</v>
      </c>
      <c r="S54" s="155">
        <f ca="1">_xll.DBR("CXMD:FTM_DATA_MARGIN",$R$21,$R$20,$C$15,$B54,$C$16,$C54,S$25)</f>
        <v>-1318.3600000000004</v>
      </c>
      <c r="T54" s="21">
        <f t="shared" ca="1" si="66"/>
        <v>-1.3183600000000004</v>
      </c>
      <c r="U54" s="22">
        <f t="shared" ca="1" si="67"/>
        <v>1</v>
      </c>
      <c r="V54" s="58">
        <f t="shared" ca="1" si="68"/>
        <v>0</v>
      </c>
      <c r="W54" s="46">
        <f t="shared" ca="1" si="69"/>
        <v>0</v>
      </c>
      <c r="X54" s="58">
        <f t="shared" ca="1" si="70"/>
        <v>0</v>
      </c>
      <c r="Y54" s="46">
        <f t="shared" ca="1" si="71"/>
        <v>0</v>
      </c>
      <c r="Z54" s="58">
        <f t="shared" ca="1" si="72"/>
        <v>0</v>
      </c>
      <c r="AA54" s="45">
        <f t="shared" ca="1" si="73"/>
        <v>0</v>
      </c>
      <c r="AB54" s="78">
        <f t="shared" ca="1" si="74"/>
        <v>0</v>
      </c>
      <c r="AC54" s="59">
        <f t="shared" ca="1" si="75"/>
        <v>0</v>
      </c>
      <c r="AD54" s="21">
        <f ca="1">_xll.DBR("CXMD:FTM_DATA_MARGIN",$AD$21,$AD$20,$C$15,$B54,$C$16,$C54,AD$25)</f>
        <v>0</v>
      </c>
      <c r="AE54" s="21">
        <f ca="1">_xll.DBR("CXMD:FTM_DATA_MARGIN",$AD$21,$AD$20,$C$15,$B54,$C$16,$C54,AE$25)</f>
        <v>0</v>
      </c>
      <c r="AF54" s="155">
        <f t="shared" ca="1" si="76"/>
        <v>0</v>
      </c>
      <c r="AG54" s="199">
        <f t="shared" ca="1" si="77"/>
        <v>0</v>
      </c>
      <c r="AH54" s="190">
        <f t="shared" ca="1" si="78"/>
        <v>0</v>
      </c>
      <c r="AI54" s="199">
        <f t="shared" ca="1" si="79"/>
        <v>1.3183600000000004</v>
      </c>
      <c r="AJ54" s="190">
        <f t="shared" ca="1" si="80"/>
        <v>-1</v>
      </c>
      <c r="AK54" s="200"/>
      <c r="AL54" s="201"/>
      <c r="AM54" s="105"/>
    </row>
    <row r="55" spans="2:39" ht="15" customHeight="1" x14ac:dyDescent="0.25">
      <c r="B55" s="140" t="s">
        <v>51</v>
      </c>
      <c r="C55" s="187" t="s">
        <v>68</v>
      </c>
      <c r="D55" s="21">
        <f ca="1">_xll.DBR("CXMD:FTM_DATA_MARGIN",$F$21,$F$20,$C$15,$B55,$C$16,$C55,D$25)</f>
        <v>0</v>
      </c>
      <c r="E55" s="21">
        <f ca="1">_xll.DBR("CXMD:FTM_DATA_MARGIN",$F$21,$F$20,$C$15,$B55,$C$16,$C55,E$25)</f>
        <v>107652.68000000001</v>
      </c>
      <c r="F55" s="21">
        <f t="shared" ca="1" si="59"/>
        <v>107.65268</v>
      </c>
      <c r="G55" s="155">
        <f ca="1">_xll.DBR("CXMD:FTM_DATA_MARGIN",$F$21,$F$20,$C$15,$B55,$C$16,$C55,G$25)</f>
        <v>107652.68000000001</v>
      </c>
      <c r="H55" s="21">
        <f t="shared" ca="1" si="60"/>
        <v>107.65268</v>
      </c>
      <c r="I55" s="22">
        <f t="shared" ca="1" si="61"/>
        <v>1</v>
      </c>
      <c r="J55" s="21">
        <f ca="1">_xll.DBR("CXMD:FTM_DATA_MARGIN",$L$21,$L$20,$C$15,$B53,$C$16,$C53,J$25)</f>
        <v>0</v>
      </c>
      <c r="K55" s="155">
        <f ca="1">_xll.DBR("CXMD:FTM_DATA_MARGIN",$L$21,$L$20,$C$15,$B55,$C$16,$C55,K$25)</f>
        <v>107652.68000000001</v>
      </c>
      <c r="L55" s="21">
        <f t="shared" ca="1" si="62"/>
        <v>107.65268</v>
      </c>
      <c r="M55" s="155">
        <f ca="1">_xll.DBR("CXMD:FTM_DATA_MARGIN",$L$21,$L$20,$C$15,$B55,$C$16,$C55,M$25)</f>
        <v>107652.68000000001</v>
      </c>
      <c r="N55" s="21">
        <f t="shared" ca="1" si="63"/>
        <v>107.65268</v>
      </c>
      <c r="O55" s="22">
        <f t="shared" ca="1" si="64"/>
        <v>1</v>
      </c>
      <c r="P55" s="21">
        <f ca="1">_xll.DBR("CXMD:FTM_DATA_MARGIN",$R$21,$R$20,$C$15,$B55,$C$16,$C55,P$25)</f>
        <v>0</v>
      </c>
      <c r="Q55" s="21">
        <f ca="1">_xll.DBR("CXMD:FTM_DATA_MARGIN",$R$21,$R$20,$C$15,$B55,$C$16,$C55,Q$25)</f>
        <v>107652.68000000001</v>
      </c>
      <c r="R55" s="21">
        <f t="shared" ca="1" si="65"/>
        <v>107.65268</v>
      </c>
      <c r="S55" s="155">
        <f ca="1">_xll.DBR("CXMD:FTM_DATA_MARGIN",$R$21,$R$20,$C$15,$B55,$C$16,$C55,S$25)</f>
        <v>107652.68000000001</v>
      </c>
      <c r="T55" s="21">
        <f t="shared" ca="1" si="66"/>
        <v>107.65268</v>
      </c>
      <c r="U55" s="22">
        <f t="shared" ca="1" si="67"/>
        <v>1</v>
      </c>
      <c r="V55" s="58">
        <f t="shared" ca="1" si="68"/>
        <v>0</v>
      </c>
      <c r="W55" s="46">
        <f t="shared" ca="1" si="69"/>
        <v>0</v>
      </c>
      <c r="X55" s="58">
        <f t="shared" ca="1" si="70"/>
        <v>0</v>
      </c>
      <c r="Y55" s="46">
        <f t="shared" ca="1" si="71"/>
        <v>0</v>
      </c>
      <c r="Z55" s="58">
        <f t="shared" ca="1" si="72"/>
        <v>0</v>
      </c>
      <c r="AA55" s="45">
        <f t="shared" ca="1" si="73"/>
        <v>0</v>
      </c>
      <c r="AB55" s="78">
        <f t="shared" ca="1" si="74"/>
        <v>0</v>
      </c>
      <c r="AC55" s="59">
        <f t="shared" ca="1" si="75"/>
        <v>0</v>
      </c>
      <c r="AD55" s="21">
        <f ca="1">_xll.DBR("CXMD:FTM_DATA_MARGIN",$AD$21,$AD$20,$C$15,$B55,$C$16,$C55,AD$25)</f>
        <v>0</v>
      </c>
      <c r="AE55" s="21">
        <f ca="1">_xll.DBR("CXMD:FTM_DATA_MARGIN",$AD$21,$AD$20,$C$15,$B55,$C$16,$C55,AE$25)</f>
        <v>0</v>
      </c>
      <c r="AF55" s="155">
        <f t="shared" ca="1" si="76"/>
        <v>0</v>
      </c>
      <c r="AG55" s="199">
        <f t="shared" ca="1" si="77"/>
        <v>0</v>
      </c>
      <c r="AH55" s="190">
        <f t="shared" ca="1" si="78"/>
        <v>0</v>
      </c>
      <c r="AI55" s="199">
        <f t="shared" ca="1" si="79"/>
        <v>-107.65268</v>
      </c>
      <c r="AJ55" s="190">
        <f t="shared" ca="1" si="80"/>
        <v>-1</v>
      </c>
      <c r="AK55" s="200"/>
      <c r="AL55" s="201"/>
      <c r="AM55" s="105"/>
    </row>
    <row r="56" spans="2:39" ht="15" customHeight="1" x14ac:dyDescent="0.25">
      <c r="B56" s="140" t="s">
        <v>51</v>
      </c>
      <c r="C56" s="187" t="s">
        <v>69</v>
      </c>
      <c r="D56" s="21">
        <f ca="1">_xll.DBR("CXMD:FTM_DATA_MARGIN",$F$21,$F$20,$C$15,$B56,$C$16,$C56,D$25)</f>
        <v>0</v>
      </c>
      <c r="E56" s="21">
        <f ca="1">_xll.DBR("CXMD:FTM_DATA_MARGIN",$F$21,$F$20,$C$15,$B56,$C$16,$C56,E$25)</f>
        <v>10386.31</v>
      </c>
      <c r="F56" s="21">
        <f t="shared" ca="1" si="59"/>
        <v>10.38631</v>
      </c>
      <c r="G56" s="155">
        <f ca="1">_xll.DBR("CXMD:FTM_DATA_MARGIN",$F$21,$F$20,$C$15,$B56,$C$16,$C56,G$25)</f>
        <v>10386.31</v>
      </c>
      <c r="H56" s="21">
        <f t="shared" ca="1" si="60"/>
        <v>10.38631</v>
      </c>
      <c r="I56" s="22">
        <f t="shared" ca="1" si="61"/>
        <v>1</v>
      </c>
      <c r="J56" s="21">
        <f ca="1">_xll.DBR("CXMD:FTM_DATA_MARGIN",$L$21,$L$20,$C$15,$B54,$C$16,$C54,J$25)</f>
        <v>0</v>
      </c>
      <c r="K56" s="155">
        <f ca="1">_xll.DBR("CXMD:FTM_DATA_MARGIN",$L$21,$L$20,$C$15,$B56,$C$16,$C56,K$25)</f>
        <v>10386.31</v>
      </c>
      <c r="L56" s="21">
        <f t="shared" ca="1" si="62"/>
        <v>10.38631</v>
      </c>
      <c r="M56" s="155">
        <f ca="1">_xll.DBR("CXMD:FTM_DATA_MARGIN",$L$21,$L$20,$C$15,$B56,$C$16,$C56,M$25)</f>
        <v>10386.31</v>
      </c>
      <c r="N56" s="21">
        <f t="shared" ca="1" si="63"/>
        <v>10.38631</v>
      </c>
      <c r="O56" s="22">
        <f t="shared" ca="1" si="64"/>
        <v>1</v>
      </c>
      <c r="P56" s="21">
        <f ca="1">_xll.DBR("CXMD:FTM_DATA_MARGIN",$R$21,$R$20,$C$15,$B56,$C$16,$C56,P$25)</f>
        <v>0</v>
      </c>
      <c r="Q56" s="21">
        <f ca="1">_xll.DBR("CXMD:FTM_DATA_MARGIN",$R$21,$R$20,$C$15,$B56,$C$16,$C56,Q$25)</f>
        <v>10386.31</v>
      </c>
      <c r="R56" s="21">
        <f t="shared" ca="1" si="65"/>
        <v>10.38631</v>
      </c>
      <c r="S56" s="155">
        <f ca="1">_xll.DBR("CXMD:FTM_DATA_MARGIN",$R$21,$R$20,$C$15,$B56,$C$16,$C56,S$25)</f>
        <v>10386.31</v>
      </c>
      <c r="T56" s="21">
        <f t="shared" ca="1" si="66"/>
        <v>10.38631</v>
      </c>
      <c r="U56" s="22">
        <f t="shared" ca="1" si="67"/>
        <v>1</v>
      </c>
      <c r="V56" s="58">
        <f t="shared" ca="1" si="68"/>
        <v>0</v>
      </c>
      <c r="W56" s="46">
        <f t="shared" ca="1" si="69"/>
        <v>0</v>
      </c>
      <c r="X56" s="58">
        <f t="shared" ca="1" si="70"/>
        <v>0</v>
      </c>
      <c r="Y56" s="46">
        <f t="shared" ca="1" si="71"/>
        <v>0</v>
      </c>
      <c r="Z56" s="58">
        <f t="shared" ca="1" si="72"/>
        <v>0</v>
      </c>
      <c r="AA56" s="45">
        <f t="shared" ca="1" si="73"/>
        <v>0</v>
      </c>
      <c r="AB56" s="78">
        <f t="shared" ca="1" si="74"/>
        <v>0</v>
      </c>
      <c r="AC56" s="59">
        <f t="shared" ca="1" si="75"/>
        <v>0</v>
      </c>
      <c r="AD56" s="21">
        <f ca="1">_xll.DBR("CXMD:FTM_DATA_MARGIN",$AD$21,$AD$20,$C$15,$B56,$C$16,$C56,AD$25)</f>
        <v>0</v>
      </c>
      <c r="AE56" s="21">
        <f ca="1">_xll.DBR("CXMD:FTM_DATA_MARGIN",$AD$21,$AD$20,$C$15,$B56,$C$16,$C56,AE$25)</f>
        <v>0</v>
      </c>
      <c r="AF56" s="155">
        <f t="shared" ca="1" si="76"/>
        <v>0</v>
      </c>
      <c r="AG56" s="199">
        <f t="shared" ca="1" si="77"/>
        <v>0</v>
      </c>
      <c r="AH56" s="190">
        <f t="shared" ca="1" si="78"/>
        <v>0</v>
      </c>
      <c r="AI56" s="199">
        <f t="shared" ca="1" si="79"/>
        <v>-10.38631</v>
      </c>
      <c r="AJ56" s="190">
        <f t="shared" ca="1" si="80"/>
        <v>-1</v>
      </c>
      <c r="AK56" s="200"/>
      <c r="AL56" s="201"/>
      <c r="AM56" s="105"/>
    </row>
    <row r="57" spans="2:39" ht="15" customHeight="1" x14ac:dyDescent="0.25">
      <c r="B57" s="140" t="s">
        <v>51</v>
      </c>
      <c r="C57" s="187" t="s">
        <v>70</v>
      </c>
      <c r="D57" s="21">
        <f ca="1">_xll.DBR("CXMD:FTM_DATA_MARGIN",$F$21,$F$20,$C$15,$B57,$C$16,$C57,D$25)</f>
        <v>0</v>
      </c>
      <c r="E57" s="21">
        <f ca="1">_xll.DBR("CXMD:FTM_DATA_MARGIN",$F$21,$F$20,$C$15,$B57,$C$16,$C57,E$25)</f>
        <v>987399.98</v>
      </c>
      <c r="F57" s="21">
        <f t="shared" ca="1" si="59"/>
        <v>987.39998000000003</v>
      </c>
      <c r="G57" s="155">
        <f ca="1">_xll.DBR("CXMD:FTM_DATA_MARGIN",$F$21,$F$20,$C$15,$B57,$C$16,$C57,G$25)</f>
        <v>987399.98</v>
      </c>
      <c r="H57" s="21">
        <f t="shared" ca="1" si="60"/>
        <v>987.39998000000003</v>
      </c>
      <c r="I57" s="22">
        <f t="shared" ca="1" si="61"/>
        <v>1</v>
      </c>
      <c r="J57" s="21">
        <f ca="1">_xll.DBR("CXMD:FTM_DATA_MARGIN",$L$21,$L$20,$C$15,$B55,$C$16,$C55,J$25)</f>
        <v>0</v>
      </c>
      <c r="K57" s="155">
        <f ca="1">_xll.DBR("CXMD:FTM_DATA_MARGIN",$L$21,$L$20,$C$15,$B57,$C$16,$C57,K$25)</f>
        <v>987399.98</v>
      </c>
      <c r="L57" s="21">
        <f t="shared" ca="1" si="62"/>
        <v>987.39998000000003</v>
      </c>
      <c r="M57" s="155">
        <f ca="1">_xll.DBR("CXMD:FTM_DATA_MARGIN",$L$21,$L$20,$C$15,$B57,$C$16,$C57,M$25)</f>
        <v>987399.98</v>
      </c>
      <c r="N57" s="21">
        <f t="shared" ca="1" si="63"/>
        <v>987.39998000000003</v>
      </c>
      <c r="O57" s="22">
        <f t="shared" ca="1" si="64"/>
        <v>1</v>
      </c>
      <c r="P57" s="21">
        <f ca="1">_xll.DBR("CXMD:FTM_DATA_MARGIN",$R$21,$R$20,$C$15,$B57,$C$16,$C57,P$25)</f>
        <v>0</v>
      </c>
      <c r="Q57" s="21">
        <f ca="1">_xll.DBR("CXMD:FTM_DATA_MARGIN",$R$21,$R$20,$C$15,$B57,$C$16,$C57,Q$25)</f>
        <v>987399.98</v>
      </c>
      <c r="R57" s="21">
        <f t="shared" ca="1" si="65"/>
        <v>987.39998000000003</v>
      </c>
      <c r="S57" s="155">
        <f ca="1">_xll.DBR("CXMD:FTM_DATA_MARGIN",$R$21,$R$20,$C$15,$B57,$C$16,$C57,S$25)</f>
        <v>987399.98</v>
      </c>
      <c r="T57" s="21">
        <f t="shared" ca="1" si="66"/>
        <v>987.39998000000003</v>
      </c>
      <c r="U57" s="22">
        <f t="shared" ca="1" si="67"/>
        <v>1</v>
      </c>
      <c r="V57" s="58">
        <f t="shared" ca="1" si="68"/>
        <v>0</v>
      </c>
      <c r="W57" s="46">
        <f t="shared" ca="1" si="69"/>
        <v>0</v>
      </c>
      <c r="X57" s="58">
        <f t="shared" ca="1" si="70"/>
        <v>0</v>
      </c>
      <c r="Y57" s="46">
        <f t="shared" ca="1" si="71"/>
        <v>0</v>
      </c>
      <c r="Z57" s="58">
        <f t="shared" ca="1" si="72"/>
        <v>0</v>
      </c>
      <c r="AA57" s="45">
        <f t="shared" ca="1" si="73"/>
        <v>0</v>
      </c>
      <c r="AB57" s="78">
        <f t="shared" ca="1" si="74"/>
        <v>0</v>
      </c>
      <c r="AC57" s="59">
        <f t="shared" ca="1" si="75"/>
        <v>0</v>
      </c>
      <c r="AD57" s="21">
        <f ca="1">_xll.DBR("CXMD:FTM_DATA_MARGIN",$AD$21,$AD$20,$C$15,$B57,$C$16,$C57,AD$25)</f>
        <v>0</v>
      </c>
      <c r="AE57" s="21">
        <f ca="1">_xll.DBR("CXMD:FTM_DATA_MARGIN",$AD$21,$AD$20,$C$15,$B57,$C$16,$C57,AE$25)</f>
        <v>0</v>
      </c>
      <c r="AF57" s="155">
        <f t="shared" ca="1" si="76"/>
        <v>0</v>
      </c>
      <c r="AG57" s="199">
        <f t="shared" ca="1" si="77"/>
        <v>0</v>
      </c>
      <c r="AH57" s="190">
        <f t="shared" ca="1" si="78"/>
        <v>0</v>
      </c>
      <c r="AI57" s="199">
        <f t="shared" ca="1" si="79"/>
        <v>-987.39998000000003</v>
      </c>
      <c r="AJ57" s="190">
        <f t="shared" ca="1" si="80"/>
        <v>-1</v>
      </c>
      <c r="AK57" s="200"/>
      <c r="AL57" s="201"/>
      <c r="AM57" s="105"/>
    </row>
    <row r="58" spans="2:39" ht="15" customHeight="1" x14ac:dyDescent="0.25">
      <c r="B58" s="183" t="s">
        <v>52</v>
      </c>
      <c r="C58" s="165" t="s">
        <v>7</v>
      </c>
      <c r="D58" s="157">
        <f ca="1">SUM(D59:D86)-SUM(D65:D68)</f>
        <v>832</v>
      </c>
      <c r="E58" s="157">
        <f ca="1">SUM(E59:E86)-SUM(E65:E68)</f>
        <v>12119207.799999997</v>
      </c>
      <c r="F58" s="157">
        <f ca="1">SUM(F59:F86)-SUM(F65:F68)</f>
        <v>12119.207799999995</v>
      </c>
      <c r="G58" s="157">
        <f ca="1">SUM(G59:G86)-SUM(G65:G68)</f>
        <v>12119207.799999997</v>
      </c>
      <c r="H58" s="157">
        <f ca="1">SUM(H59:H86)-SUM(H65:H68)</f>
        <v>12119.207799999995</v>
      </c>
      <c r="I58" s="158">
        <f ca="1">IF(E58&lt;&gt;0,G58/E58,0)</f>
        <v>1</v>
      </c>
      <c r="J58" s="157">
        <f ca="1">SUM(J59:J86)-SUM(J65:J68)</f>
        <v>1391</v>
      </c>
      <c r="K58" s="157">
        <f ca="1">SUM(K59:K86)-SUM(K65:K68)</f>
        <v>12119207.799999997</v>
      </c>
      <c r="L58" s="157">
        <f ca="1">SUM(L59:L86)-SUM(L65:L68)</f>
        <v>12119.207799999995</v>
      </c>
      <c r="M58" s="157">
        <f ca="1">SUM(M59:M86)-SUM(M65:M68)</f>
        <v>12119207.799999997</v>
      </c>
      <c r="N58" s="157">
        <f ca="1">SUM(N59:N86)-SUM(N65:N68)</f>
        <v>12119.207799999995</v>
      </c>
      <c r="O58" s="158">
        <f ca="1">IF(K58&lt;&gt;0,M58/K58,0)</f>
        <v>1</v>
      </c>
      <c r="P58" s="157">
        <f ca="1">SUM(P59:P86)-SUM(P65:P68)</f>
        <v>832</v>
      </c>
      <c r="Q58" s="157">
        <f ca="1">SUM(Q59:Q86)-SUM(Q65:Q68)</f>
        <v>12119207.799999997</v>
      </c>
      <c r="R58" s="157">
        <f ca="1">SUM(R59:R86)-SUM(R65:R68)</f>
        <v>12119.207799999995</v>
      </c>
      <c r="S58" s="157">
        <f ca="1">SUM(S59:S86)-SUM(S65:S68)</f>
        <v>12119207.799999997</v>
      </c>
      <c r="T58" s="157">
        <f ca="1">SUM(T59:T86)-SUM(T65:T68)</f>
        <v>12119.207799999995</v>
      </c>
      <c r="U58" s="158">
        <f ca="1">IF(Q58&lt;&gt;0,S58/Q58,0)</f>
        <v>1</v>
      </c>
      <c r="V58" s="159">
        <f ca="1">P58-D58</f>
        <v>0</v>
      </c>
      <c r="W58" s="207">
        <f ca="1">IF(D58&lt;&gt;0,(P58/D58)-1,0)</f>
        <v>0</v>
      </c>
      <c r="X58" s="159">
        <f ca="1">(Q58-E58)/1000</f>
        <v>0</v>
      </c>
      <c r="Y58" s="207">
        <f ca="1">IF(E58&lt;&gt;0,(Q58/E58)-1,0)</f>
        <v>0</v>
      </c>
      <c r="Z58" s="159">
        <f ca="1">(S58-G58)/1000</f>
        <v>0</v>
      </c>
      <c r="AA58" s="160">
        <f ca="1">IF(G58&lt;&gt;0,(S58/G58)-1,0)</f>
        <v>0</v>
      </c>
      <c r="AB58" s="161">
        <f ca="1">(U58-I58)*100</f>
        <v>0</v>
      </c>
      <c r="AC58" s="162">
        <f ca="1">AB58*Q58/100/1000</f>
        <v>0</v>
      </c>
      <c r="AD58" s="157">
        <f ca="1">SUM(AD59:AD86)-SUM(AD65:AD68)</f>
        <v>0</v>
      </c>
      <c r="AE58" s="157">
        <f ca="1">SUM(AE59:AE86)-SUM(AE65:AE68)</f>
        <v>0</v>
      </c>
      <c r="AF58" s="236">
        <f ca="1">SUM(AF59:AF86)-SUM(AF65:AF68)</f>
        <v>0</v>
      </c>
      <c r="AG58" s="197">
        <f ca="1">AD58-P58</f>
        <v>-832</v>
      </c>
      <c r="AH58" s="160">
        <f ca="1">IF(P58&lt;&gt;0,(AD58/P58)-1,0)</f>
        <v>-1</v>
      </c>
      <c r="AI58" s="197">
        <f ca="1">(AE58-Q58)/1000</f>
        <v>-12119.207799999996</v>
      </c>
      <c r="AJ58" s="43"/>
      <c r="AK58" s="193"/>
      <c r="AL58" s="44"/>
      <c r="AM58" s="105"/>
    </row>
    <row r="59" spans="2:39" ht="15" customHeight="1" x14ac:dyDescent="0.25">
      <c r="B59" s="140" t="s">
        <v>52</v>
      </c>
      <c r="C59" s="187" t="s">
        <v>56</v>
      </c>
      <c r="D59" s="21">
        <f ca="1">_xll.DBR("CXMD:FTM_DATA_MARGIN",$F$21,$F$20,$C$15,$B59,$C$16,$C59,D$25)</f>
        <v>61</v>
      </c>
      <c r="E59" s="21">
        <f ca="1">_xll.DBR("CXMD:FTM_DATA_MARGIN",$F$21,$F$20,$C$15,$B59,$C$16,$C59,E$25)</f>
        <v>1694575.73</v>
      </c>
      <c r="F59" s="21">
        <f t="shared" ref="F59" ca="1" si="103">E59/1000</f>
        <v>1694.57573</v>
      </c>
      <c r="G59" s="155">
        <f ca="1">_xll.DBR("CXMD:FTM_DATA_MARGIN",$F$21,$F$20,$C$15,$B59,$C$16,$C59,G$25)</f>
        <v>1694575.73</v>
      </c>
      <c r="H59" s="21">
        <f t="shared" ref="H59" ca="1" si="104">G59/1000</f>
        <v>1694.57573</v>
      </c>
      <c r="I59" s="22">
        <f t="shared" ref="I59" ca="1" si="105">IF(E59&lt;&gt;0,G59/E59,0)</f>
        <v>1</v>
      </c>
      <c r="J59" s="21">
        <f ca="1">_xll.DBR("CXMD:FTM_DATA_MARGIN",$L$21,$L$20,$C$15,$B59,$C$16,$C59,J$25)</f>
        <v>61</v>
      </c>
      <c r="K59" s="155">
        <f ca="1">_xll.DBR("CXMD:FTM_DATA_MARGIN",$L$21,$L$20,$C$15,$B59,$C$16,$C59,K$25)</f>
        <v>1694575.73</v>
      </c>
      <c r="L59" s="21">
        <f t="shared" ref="L59" ca="1" si="106">K59/1000</f>
        <v>1694.57573</v>
      </c>
      <c r="M59" s="155">
        <f ca="1">_xll.DBR("CXMD:FTM_DATA_MARGIN",$L$21,$L$20,$C$15,$B59,$C$16,$C59,M$25)</f>
        <v>1694575.73</v>
      </c>
      <c r="N59" s="21">
        <f t="shared" ref="N59" ca="1" si="107">M59/1000</f>
        <v>1694.57573</v>
      </c>
      <c r="O59" s="22">
        <f t="shared" ref="O59" ca="1" si="108">IF(K59&lt;&gt;0,M59/K59,0)</f>
        <v>1</v>
      </c>
      <c r="P59" s="21">
        <f ca="1">_xll.DBR("CXMD:FTM_DATA_MARGIN",$R$21,$R$20,$C$15,$B59,$C$16,$C59,P$25)</f>
        <v>61</v>
      </c>
      <c r="Q59" s="21">
        <f ca="1">_xll.DBR("CXMD:FTM_DATA_MARGIN",$R$21,$R$20,$C$15,$B59,$C$16,$C59,Q$25)</f>
        <v>1694575.73</v>
      </c>
      <c r="R59" s="21">
        <f t="shared" ref="R59" ca="1" si="109">Q59/1000</f>
        <v>1694.57573</v>
      </c>
      <c r="S59" s="155">
        <f ca="1">_xll.DBR("CXMD:FTM_DATA_MARGIN",$R$21,$R$20,$C$15,$B59,$C$16,$C59,S$25)</f>
        <v>1694575.73</v>
      </c>
      <c r="T59" s="21">
        <f t="shared" ref="T59" ca="1" si="110">S59/1000</f>
        <v>1694.57573</v>
      </c>
      <c r="U59" s="22">
        <f t="shared" ref="U59" ca="1" si="111">IF(Q59&lt;&gt;0,S59/Q59,0)</f>
        <v>1</v>
      </c>
      <c r="V59" s="58">
        <f t="shared" ref="V59" ca="1" si="112">P59-D59</f>
        <v>0</v>
      </c>
      <c r="W59" s="46">
        <f t="shared" ref="W59" ca="1" si="113">IF(D59&lt;&gt;0,(P59/D59)-1,0)</f>
        <v>0</v>
      </c>
      <c r="X59" s="58">
        <f t="shared" ref="X59" ca="1" si="114">(Q59-E59)/1000</f>
        <v>0</v>
      </c>
      <c r="Y59" s="46">
        <f t="shared" ref="Y59" ca="1" si="115">IF(E59&lt;&gt;0,(Q59/E59)-1,0)</f>
        <v>0</v>
      </c>
      <c r="Z59" s="58">
        <f t="shared" ref="Z59" ca="1" si="116">(S59-G59)/1000</f>
        <v>0</v>
      </c>
      <c r="AA59" s="45">
        <f t="shared" ref="AA59" ca="1" si="117">IF(G59&lt;&gt;0,(S59/G59)-1,0)</f>
        <v>0</v>
      </c>
      <c r="AB59" s="78">
        <f t="shared" ref="AB59" ca="1" si="118">(U59-I59)*100</f>
        <v>0</v>
      </c>
      <c r="AC59" s="59">
        <f t="shared" ref="AC59" ca="1" si="119">AB59*Q59/100/1000</f>
        <v>0</v>
      </c>
      <c r="AD59" s="21">
        <f ca="1">_xll.DBR("CXMD:FTM_DATA_MARGIN",$AD$21,$AD$20,$C$15,$B59,$C$16,$C59,AD$25)</f>
        <v>0</v>
      </c>
      <c r="AE59" s="21">
        <f ca="1">_xll.DBR("CXMD:FTM_DATA_MARGIN",$AD$21,$AD$20,$C$15,$B59,$C$16,$C59,AE$25)</f>
        <v>0</v>
      </c>
      <c r="AF59" s="155">
        <f t="shared" ref="AF59" ca="1" si="120">AE59/1000</f>
        <v>0</v>
      </c>
      <c r="AG59" s="199">
        <f t="shared" ref="AG59" ca="1" si="121">AD59-P59</f>
        <v>-61</v>
      </c>
      <c r="AH59" s="190">
        <f t="shared" ref="AH59" ca="1" si="122">IF(P59&lt;&gt;0,(AD59/P59)-1,0)</f>
        <v>-1</v>
      </c>
      <c r="AI59" s="199">
        <f t="shared" ref="AI59" ca="1" si="123">(AE59-Q59)/1000</f>
        <v>-1694.57573</v>
      </c>
      <c r="AJ59" s="190">
        <f t="shared" ref="AJ59" ca="1" si="124">IF(Q59&lt;&gt;0,(AE59/Q59)-1,0)</f>
        <v>-1</v>
      </c>
      <c r="AK59" s="200"/>
      <c r="AL59" s="201"/>
      <c r="AM59" s="105"/>
    </row>
    <row r="60" spans="2:39" ht="15" customHeight="1" x14ac:dyDescent="0.25">
      <c r="B60" s="140" t="s">
        <v>52</v>
      </c>
      <c r="C60" s="187" t="s">
        <v>57</v>
      </c>
      <c r="D60" s="21">
        <f ca="1">_xll.DBR("CXMD:FTM_DATA_MARGIN",$F$21,$F$20,$C$15,$B60,$C$16,$C60,D$25)</f>
        <v>7</v>
      </c>
      <c r="E60" s="21">
        <f ca="1">_xll.DBR("CXMD:FTM_DATA_MARGIN",$F$21,$F$20,$C$15,$B60,$C$16,$C60,E$25)</f>
        <v>287319.27000000008</v>
      </c>
      <c r="F60" s="21">
        <f t="shared" ref="F60:F73" ca="1" si="125">E60/1000</f>
        <v>287.31927000000007</v>
      </c>
      <c r="G60" s="155">
        <f ca="1">_xll.DBR("CXMD:FTM_DATA_MARGIN",$F$21,$F$20,$C$15,$B60,$C$16,$C60,G$25)</f>
        <v>287319.27000000008</v>
      </c>
      <c r="H60" s="21">
        <f t="shared" ref="H60:H73" ca="1" si="126">G60/1000</f>
        <v>287.31927000000007</v>
      </c>
      <c r="I60" s="22">
        <f t="shared" ref="I60:I73" ca="1" si="127">IF(E60&lt;&gt;0,G60/E60,0)</f>
        <v>1</v>
      </c>
      <c r="J60" s="21">
        <f ca="1">_xll.DBR("CXMD:FTM_DATA_MARGIN",$L$21,$L$20,$C$15,$B58,$C$16,$C58,J$25)</f>
        <v>832</v>
      </c>
      <c r="K60" s="155">
        <f ca="1">_xll.DBR("CXMD:FTM_DATA_MARGIN",$L$21,$L$20,$C$15,$B60,$C$16,$C60,K$25)</f>
        <v>287319.27000000008</v>
      </c>
      <c r="L60" s="21">
        <f t="shared" ref="L60:L73" ca="1" si="128">K60/1000</f>
        <v>287.31927000000007</v>
      </c>
      <c r="M60" s="155">
        <f ca="1">_xll.DBR("CXMD:FTM_DATA_MARGIN",$L$21,$L$20,$C$15,$B60,$C$16,$C60,M$25)</f>
        <v>287319.27000000008</v>
      </c>
      <c r="N60" s="21">
        <f t="shared" ref="N60:N73" ca="1" si="129">M60/1000</f>
        <v>287.31927000000007</v>
      </c>
      <c r="O60" s="22">
        <f t="shared" ref="O60:O73" ca="1" si="130">IF(K60&lt;&gt;0,M60/K60,0)</f>
        <v>1</v>
      </c>
      <c r="P60" s="21">
        <f ca="1">_xll.DBR("CXMD:FTM_DATA_MARGIN",$R$21,$R$20,$C$15,$B60,$C$16,$C60,P$25)</f>
        <v>7</v>
      </c>
      <c r="Q60" s="21">
        <f ca="1">_xll.DBR("CXMD:FTM_DATA_MARGIN",$R$21,$R$20,$C$15,$B60,$C$16,$C60,Q$25)</f>
        <v>287319.27000000008</v>
      </c>
      <c r="R60" s="21">
        <f t="shared" ref="R60:R73" ca="1" si="131">Q60/1000</f>
        <v>287.31927000000007</v>
      </c>
      <c r="S60" s="155">
        <f ca="1">_xll.DBR("CXMD:FTM_DATA_MARGIN",$R$21,$R$20,$C$15,$B60,$C$16,$C60,S$25)</f>
        <v>287319.27000000008</v>
      </c>
      <c r="T60" s="21">
        <f t="shared" ref="T60:T73" ca="1" si="132">S60/1000</f>
        <v>287.31927000000007</v>
      </c>
      <c r="U60" s="22">
        <f t="shared" ref="U60:U73" ca="1" si="133">IF(Q60&lt;&gt;0,S60/Q60,0)</f>
        <v>1</v>
      </c>
      <c r="V60" s="58">
        <f t="shared" ref="V60:V73" ca="1" si="134">P60-D60</f>
        <v>0</v>
      </c>
      <c r="W60" s="46">
        <f t="shared" ref="W60:W73" ca="1" si="135">IF(D60&lt;&gt;0,(P60/D60)-1,0)</f>
        <v>0</v>
      </c>
      <c r="X60" s="58">
        <f t="shared" ref="X60:X73" ca="1" si="136">(Q60-E60)/1000</f>
        <v>0</v>
      </c>
      <c r="Y60" s="46">
        <f t="shared" ref="Y60:Y73" ca="1" si="137">IF(E60&lt;&gt;0,(Q60/E60)-1,0)</f>
        <v>0</v>
      </c>
      <c r="Z60" s="58">
        <f t="shared" ref="Z60:Z73" ca="1" si="138">(S60-G60)/1000</f>
        <v>0</v>
      </c>
      <c r="AA60" s="45">
        <f t="shared" ref="AA60:AA73" ca="1" si="139">IF(G60&lt;&gt;0,(S60/G60)-1,0)</f>
        <v>0</v>
      </c>
      <c r="AB60" s="78">
        <f t="shared" ref="AB60:AB73" ca="1" si="140">(U60-I60)*100</f>
        <v>0</v>
      </c>
      <c r="AC60" s="59">
        <f t="shared" ref="AC60:AC73" ca="1" si="141">AB60*Q60/100/1000</f>
        <v>0</v>
      </c>
      <c r="AD60" s="21">
        <f ca="1">_xll.DBR("CXMD:FTM_DATA_MARGIN",$AD$21,$AD$20,$C$15,$B60,$C$16,$C60,AD$25)</f>
        <v>0</v>
      </c>
      <c r="AE60" s="21">
        <f ca="1">_xll.DBR("CXMD:FTM_DATA_MARGIN",$AD$21,$AD$20,$C$15,$B60,$C$16,$C60,AE$25)</f>
        <v>0</v>
      </c>
      <c r="AF60" s="155">
        <f t="shared" ref="AF60:AF73" ca="1" si="142">AE60/1000</f>
        <v>0</v>
      </c>
      <c r="AG60" s="199">
        <f t="shared" ref="AG60:AG73" ca="1" si="143">AD60-P60</f>
        <v>-7</v>
      </c>
      <c r="AH60" s="190">
        <f t="shared" ref="AH60:AH73" ca="1" si="144">IF(P60&lt;&gt;0,(AD60/P60)-1,0)</f>
        <v>-1</v>
      </c>
      <c r="AI60" s="199">
        <f t="shared" ref="AI60:AI73" ca="1" si="145">(AE60-Q60)/1000</f>
        <v>-287.31927000000007</v>
      </c>
      <c r="AJ60" s="190">
        <f t="shared" ref="AJ60:AJ73" ca="1" si="146">IF(Q60&lt;&gt;0,(AE60/Q60)-1,0)</f>
        <v>-1</v>
      </c>
      <c r="AK60" s="200"/>
      <c r="AL60" s="201"/>
      <c r="AM60" s="105"/>
    </row>
    <row r="61" spans="2:39" ht="15" customHeight="1" x14ac:dyDescent="0.25">
      <c r="B61" s="140" t="s">
        <v>52</v>
      </c>
      <c r="C61" s="187" t="s">
        <v>58</v>
      </c>
      <c r="D61" s="21">
        <f ca="1">_xll.DBR("CXMD:FTM_DATA_MARGIN",$F$21,$F$20,$C$15,$B61,$C$16,$C61,D$25)</f>
        <v>40</v>
      </c>
      <c r="E61" s="21">
        <f ca="1">_xll.DBR("CXMD:FTM_DATA_MARGIN",$F$21,$F$20,$C$15,$B61,$C$16,$C61,E$25)</f>
        <v>530061.39</v>
      </c>
      <c r="F61" s="21">
        <f t="shared" ca="1" si="125"/>
        <v>530.06138999999996</v>
      </c>
      <c r="G61" s="155">
        <f ca="1">_xll.DBR("CXMD:FTM_DATA_MARGIN",$F$21,$F$20,$C$15,$B61,$C$16,$C61,G$25)</f>
        <v>530061.39</v>
      </c>
      <c r="H61" s="21">
        <f t="shared" ca="1" si="126"/>
        <v>530.06138999999996</v>
      </c>
      <c r="I61" s="22">
        <f t="shared" ca="1" si="127"/>
        <v>1</v>
      </c>
      <c r="J61" s="21">
        <f ca="1">_xll.DBR("CXMD:FTM_DATA_MARGIN",$L$21,$L$20,$C$15,$B59,$C$16,$C59,J$25)</f>
        <v>61</v>
      </c>
      <c r="K61" s="155">
        <f ca="1">_xll.DBR("CXMD:FTM_DATA_MARGIN",$L$21,$L$20,$C$15,$B61,$C$16,$C61,K$25)</f>
        <v>530061.39</v>
      </c>
      <c r="L61" s="21">
        <f t="shared" ca="1" si="128"/>
        <v>530.06138999999996</v>
      </c>
      <c r="M61" s="155">
        <f ca="1">_xll.DBR("CXMD:FTM_DATA_MARGIN",$L$21,$L$20,$C$15,$B61,$C$16,$C61,M$25)</f>
        <v>530061.39</v>
      </c>
      <c r="N61" s="21">
        <f t="shared" ca="1" si="129"/>
        <v>530.06138999999996</v>
      </c>
      <c r="O61" s="22">
        <f t="shared" ca="1" si="130"/>
        <v>1</v>
      </c>
      <c r="P61" s="21">
        <f ca="1">_xll.DBR("CXMD:FTM_DATA_MARGIN",$R$21,$R$20,$C$15,$B61,$C$16,$C61,P$25)</f>
        <v>40</v>
      </c>
      <c r="Q61" s="21">
        <f ca="1">_xll.DBR("CXMD:FTM_DATA_MARGIN",$R$21,$R$20,$C$15,$B61,$C$16,$C61,Q$25)</f>
        <v>530061.39</v>
      </c>
      <c r="R61" s="21">
        <f t="shared" ca="1" si="131"/>
        <v>530.06138999999996</v>
      </c>
      <c r="S61" s="155">
        <f ca="1">_xll.DBR("CXMD:FTM_DATA_MARGIN",$R$21,$R$20,$C$15,$B61,$C$16,$C61,S$25)</f>
        <v>530061.39</v>
      </c>
      <c r="T61" s="21">
        <f t="shared" ca="1" si="132"/>
        <v>530.06138999999996</v>
      </c>
      <c r="U61" s="22">
        <f t="shared" ca="1" si="133"/>
        <v>1</v>
      </c>
      <c r="V61" s="58">
        <f t="shared" ca="1" si="134"/>
        <v>0</v>
      </c>
      <c r="W61" s="46">
        <f t="shared" ca="1" si="135"/>
        <v>0</v>
      </c>
      <c r="X61" s="58">
        <f t="shared" ca="1" si="136"/>
        <v>0</v>
      </c>
      <c r="Y61" s="46">
        <f t="shared" ca="1" si="137"/>
        <v>0</v>
      </c>
      <c r="Z61" s="58">
        <f t="shared" ca="1" si="138"/>
        <v>0</v>
      </c>
      <c r="AA61" s="45">
        <f t="shared" ca="1" si="139"/>
        <v>0</v>
      </c>
      <c r="AB61" s="78">
        <f t="shared" ca="1" si="140"/>
        <v>0</v>
      </c>
      <c r="AC61" s="59">
        <f t="shared" ca="1" si="141"/>
        <v>0</v>
      </c>
      <c r="AD61" s="21">
        <f ca="1">_xll.DBR("CXMD:FTM_DATA_MARGIN",$AD$21,$AD$20,$C$15,$B61,$C$16,$C61,AD$25)</f>
        <v>0</v>
      </c>
      <c r="AE61" s="21">
        <f ca="1">_xll.DBR("CXMD:FTM_DATA_MARGIN",$AD$21,$AD$20,$C$15,$B61,$C$16,$C61,AE$25)</f>
        <v>0</v>
      </c>
      <c r="AF61" s="155">
        <f t="shared" ca="1" si="142"/>
        <v>0</v>
      </c>
      <c r="AG61" s="199">
        <f t="shared" ca="1" si="143"/>
        <v>-40</v>
      </c>
      <c r="AH61" s="190">
        <f t="shared" ca="1" si="144"/>
        <v>-1</v>
      </c>
      <c r="AI61" s="199">
        <f t="shared" ca="1" si="145"/>
        <v>-530.06138999999996</v>
      </c>
      <c r="AJ61" s="190">
        <f t="shared" ca="1" si="146"/>
        <v>-1</v>
      </c>
      <c r="AK61" s="200"/>
      <c r="AL61" s="201"/>
      <c r="AM61" s="105"/>
    </row>
    <row r="62" spans="2:39" ht="15" customHeight="1" x14ac:dyDescent="0.25">
      <c r="B62" s="140" t="s">
        <v>52</v>
      </c>
      <c r="C62" s="187" t="s">
        <v>59</v>
      </c>
      <c r="D62" s="21">
        <f ca="1">_xll.DBR("CXMD:FTM_DATA_MARGIN",$F$21,$F$20,$C$15,$B62,$C$16,$C62,D$25)</f>
        <v>24</v>
      </c>
      <c r="E62" s="21">
        <f ca="1">_xll.DBR("CXMD:FTM_DATA_MARGIN",$F$21,$F$20,$C$15,$B62,$C$16,$C62,E$25)</f>
        <v>122272.47000000002</v>
      </c>
      <c r="F62" s="21">
        <f t="shared" ca="1" si="125"/>
        <v>122.27247000000001</v>
      </c>
      <c r="G62" s="155">
        <f ca="1">_xll.DBR("CXMD:FTM_DATA_MARGIN",$F$21,$F$20,$C$15,$B62,$C$16,$C62,G$25)</f>
        <v>122272.47000000002</v>
      </c>
      <c r="H62" s="21">
        <f t="shared" ca="1" si="126"/>
        <v>122.27247000000001</v>
      </c>
      <c r="I62" s="22">
        <f t="shared" ca="1" si="127"/>
        <v>1</v>
      </c>
      <c r="J62" s="21">
        <f ca="1">_xll.DBR("CXMD:FTM_DATA_MARGIN",$L$21,$L$20,$C$15,$B60,$C$16,$C60,J$25)</f>
        <v>7</v>
      </c>
      <c r="K62" s="155">
        <f ca="1">_xll.DBR("CXMD:FTM_DATA_MARGIN",$L$21,$L$20,$C$15,$B62,$C$16,$C62,K$25)</f>
        <v>122272.47000000002</v>
      </c>
      <c r="L62" s="21">
        <f t="shared" ca="1" si="128"/>
        <v>122.27247000000001</v>
      </c>
      <c r="M62" s="155">
        <f ca="1">_xll.DBR("CXMD:FTM_DATA_MARGIN",$L$21,$L$20,$C$15,$B62,$C$16,$C62,M$25)</f>
        <v>122272.47000000002</v>
      </c>
      <c r="N62" s="21">
        <f t="shared" ca="1" si="129"/>
        <v>122.27247000000001</v>
      </c>
      <c r="O62" s="22">
        <f t="shared" ca="1" si="130"/>
        <v>1</v>
      </c>
      <c r="P62" s="21">
        <f ca="1">_xll.DBR("CXMD:FTM_DATA_MARGIN",$R$21,$R$20,$C$15,$B62,$C$16,$C62,P$25)</f>
        <v>24</v>
      </c>
      <c r="Q62" s="21">
        <f ca="1">_xll.DBR("CXMD:FTM_DATA_MARGIN",$R$21,$R$20,$C$15,$B62,$C$16,$C62,Q$25)</f>
        <v>122272.47000000002</v>
      </c>
      <c r="R62" s="21">
        <f t="shared" ca="1" si="131"/>
        <v>122.27247000000001</v>
      </c>
      <c r="S62" s="155">
        <f ca="1">_xll.DBR("CXMD:FTM_DATA_MARGIN",$R$21,$R$20,$C$15,$B62,$C$16,$C62,S$25)</f>
        <v>122272.47000000002</v>
      </c>
      <c r="T62" s="21">
        <f t="shared" ca="1" si="132"/>
        <v>122.27247000000001</v>
      </c>
      <c r="U62" s="22">
        <f t="shared" ca="1" si="133"/>
        <v>1</v>
      </c>
      <c r="V62" s="58">
        <f t="shared" ca="1" si="134"/>
        <v>0</v>
      </c>
      <c r="W62" s="46">
        <f t="shared" ca="1" si="135"/>
        <v>0</v>
      </c>
      <c r="X62" s="58">
        <f t="shared" ca="1" si="136"/>
        <v>0</v>
      </c>
      <c r="Y62" s="46">
        <f t="shared" ca="1" si="137"/>
        <v>0</v>
      </c>
      <c r="Z62" s="58">
        <f t="shared" ca="1" si="138"/>
        <v>0</v>
      </c>
      <c r="AA62" s="45">
        <f t="shared" ca="1" si="139"/>
        <v>0</v>
      </c>
      <c r="AB62" s="78">
        <f t="shared" ca="1" si="140"/>
        <v>0</v>
      </c>
      <c r="AC62" s="59">
        <f t="shared" ca="1" si="141"/>
        <v>0</v>
      </c>
      <c r="AD62" s="21">
        <f ca="1">_xll.DBR("CXMD:FTM_DATA_MARGIN",$AD$21,$AD$20,$C$15,$B62,$C$16,$C62,AD$25)</f>
        <v>0</v>
      </c>
      <c r="AE62" s="21">
        <f ca="1">_xll.DBR("CXMD:FTM_DATA_MARGIN",$AD$21,$AD$20,$C$15,$B62,$C$16,$C62,AE$25)</f>
        <v>0</v>
      </c>
      <c r="AF62" s="155">
        <f t="shared" ca="1" si="142"/>
        <v>0</v>
      </c>
      <c r="AG62" s="199">
        <f t="shared" ca="1" si="143"/>
        <v>-24</v>
      </c>
      <c r="AH62" s="190">
        <f t="shared" ca="1" si="144"/>
        <v>-1</v>
      </c>
      <c r="AI62" s="199">
        <f t="shared" ca="1" si="145"/>
        <v>-122.27247000000001</v>
      </c>
      <c r="AJ62" s="190">
        <f t="shared" ca="1" si="146"/>
        <v>-1</v>
      </c>
      <c r="AK62" s="200"/>
      <c r="AL62" s="201"/>
      <c r="AM62" s="105"/>
    </row>
    <row r="63" spans="2:39" ht="15" customHeight="1" x14ac:dyDescent="0.25">
      <c r="B63" s="140" t="s">
        <v>52</v>
      </c>
      <c r="C63" s="187" t="s">
        <v>60</v>
      </c>
      <c r="D63" s="21">
        <f ca="1">_xll.DBR("CXMD:FTM_DATA_MARGIN",$F$21,$F$20,$C$15,$B63,$C$16,$C63,D$25)</f>
        <v>23</v>
      </c>
      <c r="E63" s="21">
        <f ca="1">_xll.DBR("CXMD:FTM_DATA_MARGIN",$F$21,$F$20,$C$15,$B63,$C$16,$C63,E$25)</f>
        <v>254195.19000000003</v>
      </c>
      <c r="F63" s="21">
        <f t="shared" ca="1" si="125"/>
        <v>254.19519000000003</v>
      </c>
      <c r="G63" s="155">
        <f ca="1">_xll.DBR("CXMD:FTM_DATA_MARGIN",$F$21,$F$20,$C$15,$B63,$C$16,$C63,G$25)</f>
        <v>254195.19000000003</v>
      </c>
      <c r="H63" s="21">
        <f t="shared" ca="1" si="126"/>
        <v>254.19519000000003</v>
      </c>
      <c r="I63" s="22">
        <f t="shared" ca="1" si="127"/>
        <v>1</v>
      </c>
      <c r="J63" s="21">
        <f ca="1">_xll.DBR("CXMD:FTM_DATA_MARGIN",$L$21,$L$20,$C$15,$B61,$C$16,$C61,J$25)</f>
        <v>40</v>
      </c>
      <c r="K63" s="155">
        <f ca="1">_xll.DBR("CXMD:FTM_DATA_MARGIN",$L$21,$L$20,$C$15,$B63,$C$16,$C63,K$25)</f>
        <v>254195.19000000003</v>
      </c>
      <c r="L63" s="21">
        <f t="shared" ca="1" si="128"/>
        <v>254.19519000000003</v>
      </c>
      <c r="M63" s="155">
        <f ca="1">_xll.DBR("CXMD:FTM_DATA_MARGIN",$L$21,$L$20,$C$15,$B63,$C$16,$C63,M$25)</f>
        <v>254195.19000000003</v>
      </c>
      <c r="N63" s="21">
        <f t="shared" ca="1" si="129"/>
        <v>254.19519000000003</v>
      </c>
      <c r="O63" s="22">
        <f t="shared" ca="1" si="130"/>
        <v>1</v>
      </c>
      <c r="P63" s="21">
        <f ca="1">_xll.DBR("CXMD:FTM_DATA_MARGIN",$R$21,$R$20,$C$15,$B63,$C$16,$C63,P$25)</f>
        <v>23</v>
      </c>
      <c r="Q63" s="21">
        <f ca="1">_xll.DBR("CXMD:FTM_DATA_MARGIN",$R$21,$R$20,$C$15,$B63,$C$16,$C63,Q$25)</f>
        <v>254195.19000000003</v>
      </c>
      <c r="R63" s="21">
        <f t="shared" ca="1" si="131"/>
        <v>254.19519000000003</v>
      </c>
      <c r="S63" s="155">
        <f ca="1">_xll.DBR("CXMD:FTM_DATA_MARGIN",$R$21,$R$20,$C$15,$B63,$C$16,$C63,S$25)</f>
        <v>254195.19000000003</v>
      </c>
      <c r="T63" s="21">
        <f t="shared" ca="1" si="132"/>
        <v>254.19519000000003</v>
      </c>
      <c r="U63" s="22">
        <f t="shared" ca="1" si="133"/>
        <v>1</v>
      </c>
      <c r="V63" s="58">
        <f t="shared" ca="1" si="134"/>
        <v>0</v>
      </c>
      <c r="W63" s="46">
        <f t="shared" ca="1" si="135"/>
        <v>0</v>
      </c>
      <c r="X63" s="58">
        <f t="shared" ca="1" si="136"/>
        <v>0</v>
      </c>
      <c r="Y63" s="46">
        <f t="shared" ca="1" si="137"/>
        <v>0</v>
      </c>
      <c r="Z63" s="58">
        <f t="shared" ca="1" si="138"/>
        <v>0</v>
      </c>
      <c r="AA63" s="45">
        <f t="shared" ca="1" si="139"/>
        <v>0</v>
      </c>
      <c r="AB63" s="78">
        <f t="shared" ca="1" si="140"/>
        <v>0</v>
      </c>
      <c r="AC63" s="59">
        <f t="shared" ca="1" si="141"/>
        <v>0</v>
      </c>
      <c r="AD63" s="21">
        <f ca="1">_xll.DBR("CXMD:FTM_DATA_MARGIN",$AD$21,$AD$20,$C$15,$B63,$C$16,$C63,AD$25)</f>
        <v>0</v>
      </c>
      <c r="AE63" s="21">
        <f ca="1">_xll.DBR("CXMD:FTM_DATA_MARGIN",$AD$21,$AD$20,$C$15,$B63,$C$16,$C63,AE$25)</f>
        <v>0</v>
      </c>
      <c r="AF63" s="155">
        <f t="shared" ca="1" si="142"/>
        <v>0</v>
      </c>
      <c r="AG63" s="199">
        <f t="shared" ca="1" si="143"/>
        <v>-23</v>
      </c>
      <c r="AH63" s="190">
        <f t="shared" ca="1" si="144"/>
        <v>-1</v>
      </c>
      <c r="AI63" s="199">
        <f t="shared" ca="1" si="145"/>
        <v>-254.19519000000003</v>
      </c>
      <c r="AJ63" s="190">
        <f t="shared" ca="1" si="146"/>
        <v>-1</v>
      </c>
      <c r="AK63" s="200"/>
      <c r="AL63" s="201"/>
      <c r="AM63" s="105"/>
    </row>
    <row r="64" spans="2:39" ht="15" customHeight="1" x14ac:dyDescent="0.25">
      <c r="B64" s="140" t="s">
        <v>52</v>
      </c>
      <c r="C64" s="187" t="s">
        <v>61</v>
      </c>
      <c r="D64" s="21">
        <f ca="1">_xll.DBR("CXMD:FTM_DATA_MARGIN",$F$21,$F$20,$C$15,$B64,$C$16,$C64,D$25)</f>
        <v>677</v>
      </c>
      <c r="E64" s="21">
        <f ca="1">_xll.DBR("CXMD:FTM_DATA_MARGIN",$F$21,$F$20,$C$15,$B64,$C$16,$C64,E$25)</f>
        <v>8785965.6600000001</v>
      </c>
      <c r="F64" s="21">
        <f t="shared" ca="1" si="125"/>
        <v>8785.9656599999998</v>
      </c>
      <c r="G64" s="155">
        <f ca="1">_xll.DBR("CXMD:FTM_DATA_MARGIN",$F$21,$F$20,$C$15,$B64,$C$16,$C64,G$25)</f>
        <v>8785965.6600000001</v>
      </c>
      <c r="H64" s="21">
        <f t="shared" ca="1" si="126"/>
        <v>8785.9656599999998</v>
      </c>
      <c r="I64" s="22">
        <f t="shared" ca="1" si="127"/>
        <v>1</v>
      </c>
      <c r="J64" s="21">
        <f ca="1">_xll.DBR("CXMD:FTM_DATA_MARGIN",$L$21,$L$20,$C$15,$B62,$C$16,$C62,J$25)</f>
        <v>24</v>
      </c>
      <c r="K64" s="155">
        <f ca="1">_xll.DBR("CXMD:FTM_DATA_MARGIN",$L$21,$L$20,$C$15,$B64,$C$16,$C64,K$25)</f>
        <v>8785965.6600000001</v>
      </c>
      <c r="L64" s="21">
        <f t="shared" ca="1" si="128"/>
        <v>8785.9656599999998</v>
      </c>
      <c r="M64" s="155">
        <f ca="1">_xll.DBR("CXMD:FTM_DATA_MARGIN",$L$21,$L$20,$C$15,$B64,$C$16,$C64,M$25)</f>
        <v>8785965.6600000001</v>
      </c>
      <c r="N64" s="21">
        <f t="shared" ca="1" si="129"/>
        <v>8785.9656599999998</v>
      </c>
      <c r="O64" s="22">
        <f t="shared" ca="1" si="130"/>
        <v>1</v>
      </c>
      <c r="P64" s="21">
        <f ca="1">_xll.DBR("CXMD:FTM_DATA_MARGIN",$R$21,$R$20,$C$15,$B64,$C$16,$C64,P$25)</f>
        <v>677</v>
      </c>
      <c r="Q64" s="21">
        <f ca="1">_xll.DBR("CXMD:FTM_DATA_MARGIN",$R$21,$R$20,$C$15,$B64,$C$16,$C64,Q$25)</f>
        <v>8785965.6600000001</v>
      </c>
      <c r="R64" s="21">
        <f t="shared" ca="1" si="131"/>
        <v>8785.9656599999998</v>
      </c>
      <c r="S64" s="155">
        <f ca="1">_xll.DBR("CXMD:FTM_DATA_MARGIN",$R$21,$R$20,$C$15,$B64,$C$16,$C64,S$25)</f>
        <v>8785965.6600000001</v>
      </c>
      <c r="T64" s="21">
        <f t="shared" ca="1" si="132"/>
        <v>8785.9656599999998</v>
      </c>
      <c r="U64" s="22">
        <f t="shared" ca="1" si="133"/>
        <v>1</v>
      </c>
      <c r="V64" s="58">
        <f t="shared" ca="1" si="134"/>
        <v>0</v>
      </c>
      <c r="W64" s="46">
        <f t="shared" ca="1" si="135"/>
        <v>0</v>
      </c>
      <c r="X64" s="58">
        <f t="shared" ca="1" si="136"/>
        <v>0</v>
      </c>
      <c r="Y64" s="46">
        <f t="shared" ca="1" si="137"/>
        <v>0</v>
      </c>
      <c r="Z64" s="58">
        <f t="shared" ca="1" si="138"/>
        <v>0</v>
      </c>
      <c r="AA64" s="45">
        <f t="shared" ca="1" si="139"/>
        <v>0</v>
      </c>
      <c r="AB64" s="78">
        <f t="shared" ca="1" si="140"/>
        <v>0</v>
      </c>
      <c r="AC64" s="59">
        <f t="shared" ca="1" si="141"/>
        <v>0</v>
      </c>
      <c r="AD64" s="21">
        <f ca="1">_xll.DBR("CXMD:FTM_DATA_MARGIN",$AD$21,$AD$20,$C$15,$B64,$C$16,$C64,AD$25)</f>
        <v>0</v>
      </c>
      <c r="AE64" s="21">
        <f ca="1">_xll.DBR("CXMD:FTM_DATA_MARGIN",$AD$21,$AD$20,$C$15,$B64,$C$16,$C64,AE$25)</f>
        <v>0</v>
      </c>
      <c r="AF64" s="155">
        <f t="shared" ca="1" si="142"/>
        <v>0</v>
      </c>
      <c r="AG64" s="199">
        <f t="shared" ca="1" si="143"/>
        <v>-677</v>
      </c>
      <c r="AH64" s="190">
        <f t="shared" ca="1" si="144"/>
        <v>-1</v>
      </c>
      <c r="AI64" s="199">
        <f t="shared" ca="1" si="145"/>
        <v>-8785.9656599999998</v>
      </c>
      <c r="AJ64" s="190">
        <f t="shared" ca="1" si="146"/>
        <v>-1</v>
      </c>
      <c r="AK64" s="200"/>
      <c r="AL64" s="201"/>
      <c r="AM64" s="105"/>
    </row>
    <row r="65" spans="2:39" ht="15" customHeight="1" x14ac:dyDescent="0.25">
      <c r="B65" s="140" t="s">
        <v>52</v>
      </c>
      <c r="C65" s="232" t="s">
        <v>62</v>
      </c>
      <c r="D65" s="23">
        <f ca="1">_xll.DBR("CXMD:FTM_DATA_MARGIN",$F$21,$F$20,$C$15,$B65,$C$16,$C65,D$25)</f>
        <v>297</v>
      </c>
      <c r="E65" s="23">
        <f ca="1">_xll.DBR("CXMD:FTM_DATA_MARGIN",$F$21,$F$20,$C$15,$B65,$C$16,$C65,E$25)</f>
        <v>2908753.63</v>
      </c>
      <c r="F65" s="23">
        <f t="shared" ref="F65:F68" ca="1" si="147">E65/1000</f>
        <v>2908.7536299999997</v>
      </c>
      <c r="G65" s="23">
        <f ca="1">_xll.DBR("CXMD:FTM_DATA_MARGIN",$F$21,$F$20,$C$15,$B65,$C$16,$C65,G$25)</f>
        <v>2908753.63</v>
      </c>
      <c r="H65" s="23">
        <f t="shared" ref="H65:H68" ca="1" si="148">G65/1000</f>
        <v>2908.7536299999997</v>
      </c>
      <c r="I65" s="24">
        <f t="shared" ref="I65:I68" ca="1" si="149">IF(E65&lt;&gt;0,G65/E65,0)</f>
        <v>1</v>
      </c>
      <c r="J65" s="23">
        <f ca="1">_xll.DBR("CXMD:FTM_DATA_MARGIN",$L$21,$L$20,$C$15,$B63,$C$16,$C63,J$25)</f>
        <v>23</v>
      </c>
      <c r="K65" s="23">
        <f ca="1">_xll.DBR("CXMD:FTM_DATA_MARGIN",$L$21,$L$20,$C$15,$B65,$C$16,$C65,K$25)</f>
        <v>2908753.63</v>
      </c>
      <c r="L65" s="23">
        <f t="shared" ref="L65:L68" ca="1" si="150">K65/1000</f>
        <v>2908.7536299999997</v>
      </c>
      <c r="M65" s="23">
        <f ca="1">_xll.DBR("CXMD:FTM_DATA_MARGIN",$L$21,$L$20,$C$15,$B65,$C$16,$C65,M$25)</f>
        <v>2908753.63</v>
      </c>
      <c r="N65" s="23">
        <f t="shared" ref="N65:N68" ca="1" si="151">M65/1000</f>
        <v>2908.7536299999997</v>
      </c>
      <c r="O65" s="24">
        <f t="shared" ref="O65:O68" ca="1" si="152">IF(K65&lt;&gt;0,M65/K65,0)</f>
        <v>1</v>
      </c>
      <c r="P65" s="23">
        <f ca="1">_xll.DBR("CXMD:FTM_DATA_MARGIN",$R$21,$R$20,$C$15,$B65,$C$16,$C65,P$25)</f>
        <v>297</v>
      </c>
      <c r="Q65" s="23">
        <f ca="1">_xll.DBR("CXMD:FTM_DATA_MARGIN",$R$21,$R$20,$C$15,$B65,$C$16,$C65,Q$25)</f>
        <v>2908753.63</v>
      </c>
      <c r="R65" s="23">
        <f t="shared" ref="R65:R68" ca="1" si="153">Q65/1000</f>
        <v>2908.7536299999997</v>
      </c>
      <c r="S65" s="23">
        <f ca="1">_xll.DBR("CXMD:FTM_DATA_MARGIN",$R$21,$R$20,$C$15,$B65,$C$16,$C65,S$25)</f>
        <v>2908753.63</v>
      </c>
      <c r="T65" s="23">
        <f t="shared" ref="T65:T68" ca="1" si="154">S65/1000</f>
        <v>2908.7536299999997</v>
      </c>
      <c r="U65" s="24">
        <f t="shared" ref="U65:U68" ca="1" si="155">IF(Q65&lt;&gt;0,S65/Q65,0)</f>
        <v>1</v>
      </c>
      <c r="V65" s="60">
        <f t="shared" ref="V65:V68" ca="1" si="156">P65-D65</f>
        <v>0</v>
      </c>
      <c r="W65" s="48">
        <f t="shared" ref="W65:W68" ca="1" si="157">IF(D65&lt;&gt;0,(P65/D65)-1,0)</f>
        <v>0</v>
      </c>
      <c r="X65" s="60">
        <f t="shared" ref="X65:X68" ca="1" si="158">(Q65-E65)/1000</f>
        <v>0</v>
      </c>
      <c r="Y65" s="48">
        <f t="shared" ref="Y65:Y68" ca="1" si="159">IF(E65&lt;&gt;0,(Q65/E65)-1,0)</f>
        <v>0</v>
      </c>
      <c r="Z65" s="60">
        <f t="shared" ref="Z65:Z68" ca="1" si="160">(S65-G65)/1000</f>
        <v>0</v>
      </c>
      <c r="AA65" s="47">
        <f t="shared" ref="AA65:AA68" ca="1" si="161">IF(G65&lt;&gt;0,(S65/G65)-1,0)</f>
        <v>0</v>
      </c>
      <c r="AB65" s="79">
        <f t="shared" ref="AB65:AB68" ca="1" si="162">(U65-I65)*100</f>
        <v>0</v>
      </c>
      <c r="AC65" s="61">
        <f t="shared" ref="AC65:AC68" ca="1" si="163">AB65*Q65/100/1000</f>
        <v>0</v>
      </c>
      <c r="AD65" s="23">
        <f ca="1">_xll.DBR("CXMD:FTM_DATA_MARGIN",$AD$21,$AD$20,$C$15,$B65,$C$16,$C65,AD$25)</f>
        <v>0</v>
      </c>
      <c r="AE65" s="23">
        <f ca="1">_xll.DBR("CXMD:FTM_DATA_MARGIN",$AD$21,$AD$20,$C$15,$B65,$C$16,$C65,AE$25)</f>
        <v>0</v>
      </c>
      <c r="AF65" s="23">
        <f t="shared" ref="AF65:AF68" ca="1" si="164">AE65/1000</f>
        <v>0</v>
      </c>
      <c r="AG65" s="100">
        <f t="shared" ref="AG65:AG68" ca="1" si="165">AD65-P65</f>
        <v>-297</v>
      </c>
      <c r="AH65" s="47">
        <f t="shared" ref="AH65:AH68" ca="1" si="166">IF(P65&lt;&gt;0,(AD65/P65)-1,0)</f>
        <v>-1</v>
      </c>
      <c r="AI65" s="100">
        <f t="shared" ref="AI65:AI68" ca="1" si="167">(AE65-Q65)/1000</f>
        <v>-2908.7536299999997</v>
      </c>
      <c r="AJ65" s="47">
        <f t="shared" ref="AJ65:AJ68" ca="1" si="168">IF(Q65&lt;&gt;0,(AE65/Q65)-1,0)</f>
        <v>-1</v>
      </c>
      <c r="AK65" s="234"/>
      <c r="AL65" s="48"/>
      <c r="AM65" s="105"/>
    </row>
    <row r="66" spans="2:39" ht="15" customHeight="1" x14ac:dyDescent="0.25">
      <c r="B66" s="140" t="s">
        <v>52</v>
      </c>
      <c r="C66" s="232" t="s">
        <v>63</v>
      </c>
      <c r="D66" s="23">
        <f ca="1">_xll.DBR("CXMD:FTM_DATA_MARGIN",$F$21,$F$20,$C$15,$B66,$C$16,$C66,D$25)</f>
        <v>14</v>
      </c>
      <c r="E66" s="23">
        <f ca="1">_xll.DBR("CXMD:FTM_DATA_MARGIN",$F$21,$F$20,$C$15,$B66,$C$16,$C66,E$25)</f>
        <v>552368.84</v>
      </c>
      <c r="F66" s="23">
        <f t="shared" ca="1" si="147"/>
        <v>552.36883999999998</v>
      </c>
      <c r="G66" s="23">
        <f ca="1">_xll.DBR("CXMD:FTM_DATA_MARGIN",$F$21,$F$20,$C$15,$B66,$C$16,$C66,G$25)</f>
        <v>552368.84</v>
      </c>
      <c r="H66" s="23">
        <f t="shared" ca="1" si="148"/>
        <v>552.36883999999998</v>
      </c>
      <c r="I66" s="24">
        <f t="shared" ca="1" si="149"/>
        <v>1</v>
      </c>
      <c r="J66" s="23">
        <f ca="1">_xll.DBR("CXMD:FTM_DATA_MARGIN",$L$21,$L$20,$C$15,$B64,$C$16,$C64,J$25)</f>
        <v>677</v>
      </c>
      <c r="K66" s="23">
        <f ca="1">_xll.DBR("CXMD:FTM_DATA_MARGIN",$L$21,$L$20,$C$15,$B66,$C$16,$C66,K$25)</f>
        <v>552368.84</v>
      </c>
      <c r="L66" s="23">
        <f t="shared" ca="1" si="150"/>
        <v>552.36883999999998</v>
      </c>
      <c r="M66" s="23">
        <f ca="1">_xll.DBR("CXMD:FTM_DATA_MARGIN",$L$21,$L$20,$C$15,$B66,$C$16,$C66,M$25)</f>
        <v>552368.84</v>
      </c>
      <c r="N66" s="23">
        <f t="shared" ca="1" si="151"/>
        <v>552.36883999999998</v>
      </c>
      <c r="O66" s="24">
        <f t="shared" ca="1" si="152"/>
        <v>1</v>
      </c>
      <c r="P66" s="23">
        <f ca="1">_xll.DBR("CXMD:FTM_DATA_MARGIN",$R$21,$R$20,$C$15,$B66,$C$16,$C66,P$25)</f>
        <v>14</v>
      </c>
      <c r="Q66" s="23">
        <f ca="1">_xll.DBR("CXMD:FTM_DATA_MARGIN",$R$21,$R$20,$C$15,$B66,$C$16,$C66,Q$25)</f>
        <v>552368.84</v>
      </c>
      <c r="R66" s="23">
        <f t="shared" ca="1" si="153"/>
        <v>552.36883999999998</v>
      </c>
      <c r="S66" s="23">
        <f ca="1">_xll.DBR("CXMD:FTM_DATA_MARGIN",$R$21,$R$20,$C$15,$B66,$C$16,$C66,S$25)</f>
        <v>552368.84</v>
      </c>
      <c r="T66" s="23">
        <f t="shared" ca="1" si="154"/>
        <v>552.36883999999998</v>
      </c>
      <c r="U66" s="24">
        <f t="shared" ca="1" si="155"/>
        <v>1</v>
      </c>
      <c r="V66" s="60">
        <f t="shared" ca="1" si="156"/>
        <v>0</v>
      </c>
      <c r="W66" s="48">
        <f t="shared" ca="1" si="157"/>
        <v>0</v>
      </c>
      <c r="X66" s="60">
        <f t="shared" ca="1" si="158"/>
        <v>0</v>
      </c>
      <c r="Y66" s="48">
        <f t="shared" ca="1" si="159"/>
        <v>0</v>
      </c>
      <c r="Z66" s="60">
        <f t="shared" ca="1" si="160"/>
        <v>0</v>
      </c>
      <c r="AA66" s="47">
        <f t="shared" ca="1" si="161"/>
        <v>0</v>
      </c>
      <c r="AB66" s="79">
        <f t="shared" ca="1" si="162"/>
        <v>0</v>
      </c>
      <c r="AC66" s="61">
        <f t="shared" ca="1" si="163"/>
        <v>0</v>
      </c>
      <c r="AD66" s="23">
        <f ca="1">_xll.DBR("CXMD:FTM_DATA_MARGIN",$AD$21,$AD$20,$C$15,$B66,$C$16,$C66,AD$25)</f>
        <v>0</v>
      </c>
      <c r="AE66" s="23">
        <f ca="1">_xll.DBR("CXMD:FTM_DATA_MARGIN",$AD$21,$AD$20,$C$15,$B66,$C$16,$C66,AE$25)</f>
        <v>0</v>
      </c>
      <c r="AF66" s="23">
        <f t="shared" ca="1" si="164"/>
        <v>0</v>
      </c>
      <c r="AG66" s="100">
        <f t="shared" ca="1" si="165"/>
        <v>-14</v>
      </c>
      <c r="AH66" s="47">
        <f t="shared" ca="1" si="166"/>
        <v>-1</v>
      </c>
      <c r="AI66" s="100">
        <f t="shared" ca="1" si="167"/>
        <v>-552.36883999999998</v>
      </c>
      <c r="AJ66" s="47">
        <f t="shared" ca="1" si="168"/>
        <v>-1</v>
      </c>
      <c r="AK66" s="234"/>
      <c r="AL66" s="48"/>
      <c r="AM66" s="105"/>
    </row>
    <row r="67" spans="2:39" ht="15" customHeight="1" x14ac:dyDescent="0.25">
      <c r="B67" s="140" t="s">
        <v>52</v>
      </c>
      <c r="C67" s="232" t="s">
        <v>64</v>
      </c>
      <c r="D67" s="23">
        <f ca="1">_xll.DBR("CXMD:FTM_DATA_MARGIN",$F$21,$F$20,$C$15,$B67,$C$16,$C67,D$25)</f>
        <v>134</v>
      </c>
      <c r="E67" s="23">
        <f ca="1">_xll.DBR("CXMD:FTM_DATA_MARGIN",$F$21,$F$20,$C$15,$B67,$C$16,$C67,E$25)</f>
        <v>1603376.28</v>
      </c>
      <c r="F67" s="23">
        <f t="shared" ca="1" si="147"/>
        <v>1603.37628</v>
      </c>
      <c r="G67" s="23">
        <f ca="1">_xll.DBR("CXMD:FTM_DATA_MARGIN",$F$21,$F$20,$C$15,$B67,$C$16,$C67,G$25)</f>
        <v>1603376.28</v>
      </c>
      <c r="H67" s="23">
        <f t="shared" ca="1" si="148"/>
        <v>1603.37628</v>
      </c>
      <c r="I67" s="24">
        <f t="shared" ca="1" si="149"/>
        <v>1</v>
      </c>
      <c r="J67" s="23">
        <f ca="1">_xll.DBR("CXMD:FTM_DATA_MARGIN",$L$21,$L$20,$C$15,$B65,$C$16,$C65,J$25)</f>
        <v>297</v>
      </c>
      <c r="K67" s="23">
        <f ca="1">_xll.DBR("CXMD:FTM_DATA_MARGIN",$L$21,$L$20,$C$15,$B67,$C$16,$C67,K$25)</f>
        <v>1603376.28</v>
      </c>
      <c r="L67" s="23">
        <f t="shared" ca="1" si="150"/>
        <v>1603.37628</v>
      </c>
      <c r="M67" s="23">
        <f ca="1">_xll.DBR("CXMD:FTM_DATA_MARGIN",$L$21,$L$20,$C$15,$B67,$C$16,$C67,M$25)</f>
        <v>1603376.28</v>
      </c>
      <c r="N67" s="23">
        <f t="shared" ca="1" si="151"/>
        <v>1603.37628</v>
      </c>
      <c r="O67" s="24">
        <f t="shared" ca="1" si="152"/>
        <v>1</v>
      </c>
      <c r="P67" s="23">
        <f ca="1">_xll.DBR("CXMD:FTM_DATA_MARGIN",$R$21,$R$20,$C$15,$B67,$C$16,$C67,P$25)</f>
        <v>134</v>
      </c>
      <c r="Q67" s="23">
        <f ca="1">_xll.DBR("CXMD:FTM_DATA_MARGIN",$R$21,$R$20,$C$15,$B67,$C$16,$C67,Q$25)</f>
        <v>1603376.28</v>
      </c>
      <c r="R67" s="23">
        <f t="shared" ca="1" si="153"/>
        <v>1603.37628</v>
      </c>
      <c r="S67" s="23">
        <f ca="1">_xll.DBR("CXMD:FTM_DATA_MARGIN",$R$21,$R$20,$C$15,$B67,$C$16,$C67,S$25)</f>
        <v>1603376.28</v>
      </c>
      <c r="T67" s="23">
        <f t="shared" ca="1" si="154"/>
        <v>1603.37628</v>
      </c>
      <c r="U67" s="24">
        <f t="shared" ca="1" si="155"/>
        <v>1</v>
      </c>
      <c r="V67" s="60">
        <f t="shared" ca="1" si="156"/>
        <v>0</v>
      </c>
      <c r="W67" s="48">
        <f t="shared" ca="1" si="157"/>
        <v>0</v>
      </c>
      <c r="X67" s="60">
        <f t="shared" ca="1" si="158"/>
        <v>0</v>
      </c>
      <c r="Y67" s="48">
        <f t="shared" ca="1" si="159"/>
        <v>0</v>
      </c>
      <c r="Z67" s="60">
        <f t="shared" ca="1" si="160"/>
        <v>0</v>
      </c>
      <c r="AA67" s="47">
        <f t="shared" ca="1" si="161"/>
        <v>0</v>
      </c>
      <c r="AB67" s="79">
        <f t="shared" ca="1" si="162"/>
        <v>0</v>
      </c>
      <c r="AC67" s="61">
        <f t="shared" ca="1" si="163"/>
        <v>0</v>
      </c>
      <c r="AD67" s="23">
        <f ca="1">_xll.DBR("CXMD:FTM_DATA_MARGIN",$AD$21,$AD$20,$C$15,$B67,$C$16,$C67,AD$25)</f>
        <v>0</v>
      </c>
      <c r="AE67" s="23">
        <f ca="1">_xll.DBR("CXMD:FTM_DATA_MARGIN",$AD$21,$AD$20,$C$15,$B67,$C$16,$C67,AE$25)</f>
        <v>0</v>
      </c>
      <c r="AF67" s="23">
        <f t="shared" ca="1" si="164"/>
        <v>0</v>
      </c>
      <c r="AG67" s="100">
        <f t="shared" ca="1" si="165"/>
        <v>-134</v>
      </c>
      <c r="AH67" s="47">
        <f t="shared" ca="1" si="166"/>
        <v>-1</v>
      </c>
      <c r="AI67" s="100">
        <f t="shared" ca="1" si="167"/>
        <v>-1603.37628</v>
      </c>
      <c r="AJ67" s="47">
        <f t="shared" ca="1" si="168"/>
        <v>-1</v>
      </c>
      <c r="AK67" s="234"/>
      <c r="AL67" s="48"/>
      <c r="AM67" s="105"/>
    </row>
    <row r="68" spans="2:39" ht="15" customHeight="1" x14ac:dyDescent="0.25">
      <c r="B68" s="140" t="s">
        <v>52</v>
      </c>
      <c r="C68" s="232" t="s">
        <v>65</v>
      </c>
      <c r="D68" s="23">
        <f ca="1">_xll.DBR("CXMD:FTM_DATA_MARGIN",$F$21,$F$20,$C$15,$B68,$C$16,$C68,D$25)</f>
        <v>232</v>
      </c>
      <c r="E68" s="23">
        <f ca="1">_xll.DBR("CXMD:FTM_DATA_MARGIN",$F$21,$F$20,$C$15,$B68,$C$16,$C68,E$25)</f>
        <v>3539599.169999999</v>
      </c>
      <c r="F68" s="23">
        <f t="shared" ca="1" si="147"/>
        <v>3539.599169999999</v>
      </c>
      <c r="G68" s="23">
        <f ca="1">_xll.DBR("CXMD:FTM_DATA_MARGIN",$F$21,$F$20,$C$15,$B68,$C$16,$C68,G$25)</f>
        <v>3539599.169999999</v>
      </c>
      <c r="H68" s="23">
        <f t="shared" ca="1" si="148"/>
        <v>3539.599169999999</v>
      </c>
      <c r="I68" s="24">
        <f t="shared" ca="1" si="149"/>
        <v>1</v>
      </c>
      <c r="J68" s="23">
        <f ca="1">_xll.DBR("CXMD:FTM_DATA_MARGIN",$L$21,$L$20,$C$15,$B66,$C$16,$C66,J$25)</f>
        <v>14</v>
      </c>
      <c r="K68" s="23">
        <f ca="1">_xll.DBR("CXMD:FTM_DATA_MARGIN",$L$21,$L$20,$C$15,$B68,$C$16,$C68,K$25)</f>
        <v>3539599.169999999</v>
      </c>
      <c r="L68" s="23">
        <f t="shared" ca="1" si="150"/>
        <v>3539.599169999999</v>
      </c>
      <c r="M68" s="23">
        <f ca="1">_xll.DBR("CXMD:FTM_DATA_MARGIN",$L$21,$L$20,$C$15,$B68,$C$16,$C68,M$25)</f>
        <v>3539599.169999999</v>
      </c>
      <c r="N68" s="23">
        <f t="shared" ca="1" si="151"/>
        <v>3539.599169999999</v>
      </c>
      <c r="O68" s="24">
        <f t="shared" ca="1" si="152"/>
        <v>1</v>
      </c>
      <c r="P68" s="23">
        <f ca="1">_xll.DBR("CXMD:FTM_DATA_MARGIN",$R$21,$R$20,$C$15,$B68,$C$16,$C68,P$25)</f>
        <v>232</v>
      </c>
      <c r="Q68" s="23">
        <f ca="1">_xll.DBR("CXMD:FTM_DATA_MARGIN",$R$21,$R$20,$C$15,$B68,$C$16,$C68,Q$25)</f>
        <v>3539599.169999999</v>
      </c>
      <c r="R68" s="23">
        <f t="shared" ca="1" si="153"/>
        <v>3539.599169999999</v>
      </c>
      <c r="S68" s="23">
        <f ca="1">_xll.DBR("CXMD:FTM_DATA_MARGIN",$R$21,$R$20,$C$15,$B68,$C$16,$C68,S$25)</f>
        <v>3539599.169999999</v>
      </c>
      <c r="T68" s="23">
        <f t="shared" ca="1" si="154"/>
        <v>3539.599169999999</v>
      </c>
      <c r="U68" s="24">
        <f t="shared" ca="1" si="155"/>
        <v>1</v>
      </c>
      <c r="V68" s="60">
        <f t="shared" ca="1" si="156"/>
        <v>0</v>
      </c>
      <c r="W68" s="48">
        <f t="shared" ca="1" si="157"/>
        <v>0</v>
      </c>
      <c r="X68" s="60">
        <f t="shared" ca="1" si="158"/>
        <v>0</v>
      </c>
      <c r="Y68" s="48">
        <f t="shared" ca="1" si="159"/>
        <v>0</v>
      </c>
      <c r="Z68" s="60">
        <f t="shared" ca="1" si="160"/>
        <v>0</v>
      </c>
      <c r="AA68" s="47">
        <f t="shared" ca="1" si="161"/>
        <v>0</v>
      </c>
      <c r="AB68" s="79">
        <f t="shared" ca="1" si="162"/>
        <v>0</v>
      </c>
      <c r="AC68" s="61">
        <f t="shared" ca="1" si="163"/>
        <v>0</v>
      </c>
      <c r="AD68" s="23">
        <f ca="1">_xll.DBR("CXMD:FTM_DATA_MARGIN",$AD$21,$AD$20,$C$15,$B68,$C$16,$C68,AD$25)</f>
        <v>0</v>
      </c>
      <c r="AE68" s="23">
        <f ca="1">_xll.DBR("CXMD:FTM_DATA_MARGIN",$AD$21,$AD$20,$C$15,$B68,$C$16,$C68,AE$25)</f>
        <v>0</v>
      </c>
      <c r="AF68" s="23">
        <f t="shared" ca="1" si="164"/>
        <v>0</v>
      </c>
      <c r="AG68" s="100">
        <f t="shared" ca="1" si="165"/>
        <v>-232</v>
      </c>
      <c r="AH68" s="47">
        <f t="shared" ca="1" si="166"/>
        <v>-1</v>
      </c>
      <c r="AI68" s="100">
        <f t="shared" ca="1" si="167"/>
        <v>-3539.599169999999</v>
      </c>
      <c r="AJ68" s="47">
        <f t="shared" ca="1" si="168"/>
        <v>-1</v>
      </c>
      <c r="AK68" s="234"/>
      <c r="AL68" s="48"/>
      <c r="AM68" s="105"/>
    </row>
    <row r="69" spans="2:39" ht="15" customHeight="1" x14ac:dyDescent="0.25">
      <c r="B69" s="140" t="s">
        <v>52</v>
      </c>
      <c r="C69" s="187" t="s">
        <v>66</v>
      </c>
      <c r="D69" s="21">
        <f ca="1">_xll.DBR("CXMD:FTM_DATA_MARGIN",$F$21,$F$20,$C$15,$B69,$C$16,$C69,D$25)</f>
        <v>0</v>
      </c>
      <c r="E69" s="21">
        <f ca="1">_xll.DBR("CXMD:FTM_DATA_MARGIN",$F$21,$F$20,$C$15,$B69,$C$16,$C69,E$25)</f>
        <v>240.81</v>
      </c>
      <c r="F69" s="21">
        <f t="shared" ca="1" si="125"/>
        <v>0.24081</v>
      </c>
      <c r="G69" s="155">
        <f ca="1">_xll.DBR("CXMD:FTM_DATA_MARGIN",$F$21,$F$20,$C$15,$B69,$C$16,$C69,G$25)</f>
        <v>240.81</v>
      </c>
      <c r="H69" s="21">
        <f t="shared" ca="1" si="126"/>
        <v>0.24081</v>
      </c>
      <c r="I69" s="22">
        <f t="shared" ca="1" si="127"/>
        <v>1</v>
      </c>
      <c r="J69" s="21">
        <f ca="1">_xll.DBR("CXMD:FTM_DATA_MARGIN",$L$21,$L$20,$C$15,$B67,$C$16,$C67,J$25)</f>
        <v>134</v>
      </c>
      <c r="K69" s="155">
        <f ca="1">_xll.DBR("CXMD:FTM_DATA_MARGIN",$L$21,$L$20,$C$15,$B69,$C$16,$C69,K$25)</f>
        <v>240.81</v>
      </c>
      <c r="L69" s="21">
        <f t="shared" ca="1" si="128"/>
        <v>0.24081</v>
      </c>
      <c r="M69" s="155">
        <f ca="1">_xll.DBR("CXMD:FTM_DATA_MARGIN",$L$21,$L$20,$C$15,$B69,$C$16,$C69,M$25)</f>
        <v>240.81</v>
      </c>
      <c r="N69" s="21">
        <f t="shared" ca="1" si="129"/>
        <v>0.24081</v>
      </c>
      <c r="O69" s="22">
        <f t="shared" ca="1" si="130"/>
        <v>1</v>
      </c>
      <c r="P69" s="21">
        <f ca="1">_xll.DBR("CXMD:FTM_DATA_MARGIN",$R$21,$R$20,$C$15,$B69,$C$16,$C69,P$25)</f>
        <v>0</v>
      </c>
      <c r="Q69" s="21">
        <f ca="1">_xll.DBR("CXMD:FTM_DATA_MARGIN",$R$21,$R$20,$C$15,$B69,$C$16,$C69,Q$25)</f>
        <v>240.81</v>
      </c>
      <c r="R69" s="21">
        <f t="shared" ca="1" si="131"/>
        <v>0.24081</v>
      </c>
      <c r="S69" s="155">
        <f ca="1">_xll.DBR("CXMD:FTM_DATA_MARGIN",$R$21,$R$20,$C$15,$B69,$C$16,$C69,S$25)</f>
        <v>240.81</v>
      </c>
      <c r="T69" s="21">
        <f t="shared" ca="1" si="132"/>
        <v>0.24081</v>
      </c>
      <c r="U69" s="22">
        <f t="shared" ca="1" si="133"/>
        <v>1</v>
      </c>
      <c r="V69" s="58">
        <f t="shared" ca="1" si="134"/>
        <v>0</v>
      </c>
      <c r="W69" s="46">
        <f t="shared" ca="1" si="135"/>
        <v>0</v>
      </c>
      <c r="X69" s="58">
        <f t="shared" ca="1" si="136"/>
        <v>0</v>
      </c>
      <c r="Y69" s="46">
        <f t="shared" ca="1" si="137"/>
        <v>0</v>
      </c>
      <c r="Z69" s="58">
        <f t="shared" ca="1" si="138"/>
        <v>0</v>
      </c>
      <c r="AA69" s="45">
        <f t="shared" ca="1" si="139"/>
        <v>0</v>
      </c>
      <c r="AB69" s="78">
        <f t="shared" ca="1" si="140"/>
        <v>0</v>
      </c>
      <c r="AC69" s="59">
        <f t="shared" ca="1" si="141"/>
        <v>0</v>
      </c>
      <c r="AD69" s="21">
        <f ca="1">_xll.DBR("CXMD:FTM_DATA_MARGIN",$AD$21,$AD$20,$C$15,$B69,$C$16,$C69,AD$25)</f>
        <v>0</v>
      </c>
      <c r="AE69" s="21">
        <f ca="1">_xll.DBR("CXMD:FTM_DATA_MARGIN",$AD$21,$AD$20,$C$15,$B69,$C$16,$C69,AE$25)</f>
        <v>0</v>
      </c>
      <c r="AF69" s="155">
        <f t="shared" ca="1" si="142"/>
        <v>0</v>
      </c>
      <c r="AG69" s="199">
        <f t="shared" ca="1" si="143"/>
        <v>0</v>
      </c>
      <c r="AH69" s="190">
        <f t="shared" ca="1" si="144"/>
        <v>0</v>
      </c>
      <c r="AI69" s="199">
        <f t="shared" ca="1" si="145"/>
        <v>-0.24081</v>
      </c>
      <c r="AJ69" s="190">
        <f t="shared" ca="1" si="146"/>
        <v>-1</v>
      </c>
      <c r="AK69" s="200"/>
      <c r="AL69" s="201"/>
      <c r="AM69" s="105"/>
    </row>
    <row r="70" spans="2:39" ht="15" customHeight="1" x14ac:dyDescent="0.25">
      <c r="B70" s="140" t="s">
        <v>52</v>
      </c>
      <c r="C70" s="187" t="s">
        <v>67</v>
      </c>
      <c r="D70" s="21">
        <f ca="1">_xll.DBR("CXMD:FTM_DATA_MARGIN",$F$21,$F$20,$C$15,$B70,$C$16,$C70,D$25)</f>
        <v>0</v>
      </c>
      <c r="E70" s="21">
        <f ca="1">_xll.DBR("CXMD:FTM_DATA_MARGIN",$F$21,$F$20,$C$15,$B70,$C$16,$C70,E$25)</f>
        <v>402.40999999999997</v>
      </c>
      <c r="F70" s="21">
        <f t="shared" ca="1" si="125"/>
        <v>0.40240999999999999</v>
      </c>
      <c r="G70" s="155">
        <f ca="1">_xll.DBR("CXMD:FTM_DATA_MARGIN",$F$21,$F$20,$C$15,$B70,$C$16,$C70,G$25)</f>
        <v>402.40999999999997</v>
      </c>
      <c r="H70" s="21">
        <f t="shared" ca="1" si="126"/>
        <v>0.40240999999999999</v>
      </c>
      <c r="I70" s="22">
        <f t="shared" ca="1" si="127"/>
        <v>1</v>
      </c>
      <c r="J70" s="21">
        <f ca="1">_xll.DBR("CXMD:FTM_DATA_MARGIN",$L$21,$L$20,$C$15,$B68,$C$16,$C68,J$25)</f>
        <v>232</v>
      </c>
      <c r="K70" s="155">
        <f ca="1">_xll.DBR("CXMD:FTM_DATA_MARGIN",$L$21,$L$20,$C$15,$B70,$C$16,$C70,K$25)</f>
        <v>402.40999999999997</v>
      </c>
      <c r="L70" s="21">
        <f t="shared" ca="1" si="128"/>
        <v>0.40240999999999999</v>
      </c>
      <c r="M70" s="155">
        <f ca="1">_xll.DBR("CXMD:FTM_DATA_MARGIN",$L$21,$L$20,$C$15,$B70,$C$16,$C70,M$25)</f>
        <v>402.40999999999997</v>
      </c>
      <c r="N70" s="21">
        <f t="shared" ca="1" si="129"/>
        <v>0.40240999999999999</v>
      </c>
      <c r="O70" s="22">
        <f t="shared" ca="1" si="130"/>
        <v>1</v>
      </c>
      <c r="P70" s="21">
        <f ca="1">_xll.DBR("CXMD:FTM_DATA_MARGIN",$R$21,$R$20,$C$15,$B70,$C$16,$C70,P$25)</f>
        <v>0</v>
      </c>
      <c r="Q70" s="21">
        <f ca="1">_xll.DBR("CXMD:FTM_DATA_MARGIN",$R$21,$R$20,$C$15,$B70,$C$16,$C70,Q$25)</f>
        <v>402.40999999999997</v>
      </c>
      <c r="R70" s="21">
        <f t="shared" ca="1" si="131"/>
        <v>0.40240999999999999</v>
      </c>
      <c r="S70" s="155">
        <f ca="1">_xll.DBR("CXMD:FTM_DATA_MARGIN",$R$21,$R$20,$C$15,$B70,$C$16,$C70,S$25)</f>
        <v>402.40999999999997</v>
      </c>
      <c r="T70" s="21">
        <f t="shared" ca="1" si="132"/>
        <v>0.40240999999999999</v>
      </c>
      <c r="U70" s="22">
        <f t="shared" ca="1" si="133"/>
        <v>1</v>
      </c>
      <c r="V70" s="58">
        <f t="shared" ca="1" si="134"/>
        <v>0</v>
      </c>
      <c r="W70" s="46">
        <f t="shared" ca="1" si="135"/>
        <v>0</v>
      </c>
      <c r="X70" s="58">
        <f t="shared" ca="1" si="136"/>
        <v>0</v>
      </c>
      <c r="Y70" s="46">
        <f t="shared" ca="1" si="137"/>
        <v>0</v>
      </c>
      <c r="Z70" s="58">
        <f t="shared" ca="1" si="138"/>
        <v>0</v>
      </c>
      <c r="AA70" s="45">
        <f t="shared" ca="1" si="139"/>
        <v>0</v>
      </c>
      <c r="AB70" s="78">
        <f t="shared" ca="1" si="140"/>
        <v>0</v>
      </c>
      <c r="AC70" s="59">
        <f t="shared" ca="1" si="141"/>
        <v>0</v>
      </c>
      <c r="AD70" s="21">
        <f ca="1">_xll.DBR("CXMD:FTM_DATA_MARGIN",$AD$21,$AD$20,$C$15,$B70,$C$16,$C70,AD$25)</f>
        <v>0</v>
      </c>
      <c r="AE70" s="21">
        <f ca="1">_xll.DBR("CXMD:FTM_DATA_MARGIN",$AD$21,$AD$20,$C$15,$B70,$C$16,$C70,AE$25)</f>
        <v>0</v>
      </c>
      <c r="AF70" s="155">
        <f t="shared" ca="1" si="142"/>
        <v>0</v>
      </c>
      <c r="AG70" s="199">
        <f t="shared" ca="1" si="143"/>
        <v>0</v>
      </c>
      <c r="AH70" s="190">
        <f t="shared" ca="1" si="144"/>
        <v>0</v>
      </c>
      <c r="AI70" s="199">
        <f t="shared" ca="1" si="145"/>
        <v>-0.40240999999999999</v>
      </c>
      <c r="AJ70" s="190">
        <f t="shared" ca="1" si="146"/>
        <v>-1</v>
      </c>
      <c r="AK70" s="200"/>
      <c r="AL70" s="201"/>
      <c r="AM70" s="105"/>
    </row>
    <row r="71" spans="2:39" ht="15" customHeight="1" x14ac:dyDescent="0.25">
      <c r="B71" s="140" t="s">
        <v>52</v>
      </c>
      <c r="C71" s="187" t="s">
        <v>68</v>
      </c>
      <c r="D71" s="21">
        <f ca="1">_xll.DBR("CXMD:FTM_DATA_MARGIN",$F$21,$F$20,$C$15,$B71,$C$16,$C71,D$25)</f>
        <v>0</v>
      </c>
      <c r="E71" s="21">
        <f ca="1">_xll.DBR("CXMD:FTM_DATA_MARGIN",$F$21,$F$20,$C$15,$B71,$C$16,$C71,E$25)</f>
        <v>36576.970000000008</v>
      </c>
      <c r="F71" s="21">
        <f t="shared" ca="1" si="125"/>
        <v>36.57697000000001</v>
      </c>
      <c r="G71" s="155">
        <f ca="1">_xll.DBR("CXMD:FTM_DATA_MARGIN",$F$21,$F$20,$C$15,$B71,$C$16,$C71,G$25)</f>
        <v>36576.970000000008</v>
      </c>
      <c r="H71" s="21">
        <f t="shared" ca="1" si="126"/>
        <v>36.57697000000001</v>
      </c>
      <c r="I71" s="22">
        <f t="shared" ca="1" si="127"/>
        <v>1</v>
      </c>
      <c r="J71" s="21">
        <f ca="1">_xll.DBR("CXMD:FTM_DATA_MARGIN",$L$21,$L$20,$C$15,$B69,$C$16,$C69,J$25)</f>
        <v>0</v>
      </c>
      <c r="K71" s="155">
        <f ca="1">_xll.DBR("CXMD:FTM_DATA_MARGIN",$L$21,$L$20,$C$15,$B71,$C$16,$C71,K$25)</f>
        <v>36576.970000000008</v>
      </c>
      <c r="L71" s="21">
        <f t="shared" ca="1" si="128"/>
        <v>36.57697000000001</v>
      </c>
      <c r="M71" s="155">
        <f ca="1">_xll.DBR("CXMD:FTM_DATA_MARGIN",$L$21,$L$20,$C$15,$B71,$C$16,$C71,M$25)</f>
        <v>36576.970000000008</v>
      </c>
      <c r="N71" s="21">
        <f t="shared" ca="1" si="129"/>
        <v>36.57697000000001</v>
      </c>
      <c r="O71" s="22">
        <f t="shared" ca="1" si="130"/>
        <v>1</v>
      </c>
      <c r="P71" s="21">
        <f ca="1">_xll.DBR("CXMD:FTM_DATA_MARGIN",$R$21,$R$20,$C$15,$B71,$C$16,$C71,P$25)</f>
        <v>0</v>
      </c>
      <c r="Q71" s="21">
        <f ca="1">_xll.DBR("CXMD:FTM_DATA_MARGIN",$R$21,$R$20,$C$15,$B71,$C$16,$C71,Q$25)</f>
        <v>36576.970000000008</v>
      </c>
      <c r="R71" s="21">
        <f t="shared" ca="1" si="131"/>
        <v>36.57697000000001</v>
      </c>
      <c r="S71" s="155">
        <f ca="1">_xll.DBR("CXMD:FTM_DATA_MARGIN",$R$21,$R$20,$C$15,$B71,$C$16,$C71,S$25)</f>
        <v>36576.970000000008</v>
      </c>
      <c r="T71" s="21">
        <f t="shared" ca="1" si="132"/>
        <v>36.57697000000001</v>
      </c>
      <c r="U71" s="22">
        <f t="shared" ca="1" si="133"/>
        <v>1</v>
      </c>
      <c r="V71" s="58">
        <f t="shared" ca="1" si="134"/>
        <v>0</v>
      </c>
      <c r="W71" s="46">
        <f t="shared" ca="1" si="135"/>
        <v>0</v>
      </c>
      <c r="X71" s="58">
        <f t="shared" ca="1" si="136"/>
        <v>0</v>
      </c>
      <c r="Y71" s="46">
        <f t="shared" ca="1" si="137"/>
        <v>0</v>
      </c>
      <c r="Z71" s="58">
        <f t="shared" ca="1" si="138"/>
        <v>0</v>
      </c>
      <c r="AA71" s="45">
        <f t="shared" ca="1" si="139"/>
        <v>0</v>
      </c>
      <c r="AB71" s="78">
        <f t="shared" ca="1" si="140"/>
        <v>0</v>
      </c>
      <c r="AC71" s="59">
        <f t="shared" ca="1" si="141"/>
        <v>0</v>
      </c>
      <c r="AD71" s="21">
        <f ca="1">_xll.DBR("CXMD:FTM_DATA_MARGIN",$AD$21,$AD$20,$C$15,$B71,$C$16,$C71,AD$25)</f>
        <v>0</v>
      </c>
      <c r="AE71" s="21">
        <f ca="1">_xll.DBR("CXMD:FTM_DATA_MARGIN",$AD$21,$AD$20,$C$15,$B71,$C$16,$C71,AE$25)</f>
        <v>0</v>
      </c>
      <c r="AF71" s="155">
        <f t="shared" ca="1" si="142"/>
        <v>0</v>
      </c>
      <c r="AG71" s="199">
        <f t="shared" ca="1" si="143"/>
        <v>0</v>
      </c>
      <c r="AH71" s="190">
        <f t="shared" ca="1" si="144"/>
        <v>0</v>
      </c>
      <c r="AI71" s="199">
        <f t="shared" ca="1" si="145"/>
        <v>-36.57697000000001</v>
      </c>
      <c r="AJ71" s="190">
        <f t="shared" ca="1" si="146"/>
        <v>-1</v>
      </c>
      <c r="AK71" s="200"/>
      <c r="AL71" s="201"/>
      <c r="AM71" s="105"/>
    </row>
    <row r="72" spans="2:39" ht="15" customHeight="1" x14ac:dyDescent="0.25">
      <c r="B72" s="140" t="s">
        <v>52</v>
      </c>
      <c r="C72" s="187" t="s">
        <v>69</v>
      </c>
      <c r="D72" s="21">
        <f ca="1">_xll.DBR("CXMD:FTM_DATA_MARGIN",$F$21,$F$20,$C$15,$B72,$C$16,$C72,D$25)</f>
        <v>0</v>
      </c>
      <c r="E72" s="21">
        <f ca="1">_xll.DBR("CXMD:FTM_DATA_MARGIN",$F$21,$F$20,$C$15,$B72,$C$16,$C72,E$25)</f>
        <v>4534.83</v>
      </c>
      <c r="F72" s="21">
        <f t="shared" ca="1" si="125"/>
        <v>4.5348300000000004</v>
      </c>
      <c r="G72" s="155">
        <f ca="1">_xll.DBR("CXMD:FTM_DATA_MARGIN",$F$21,$F$20,$C$15,$B72,$C$16,$C72,G$25)</f>
        <v>4534.83</v>
      </c>
      <c r="H72" s="21">
        <f t="shared" ca="1" si="126"/>
        <v>4.5348300000000004</v>
      </c>
      <c r="I72" s="22">
        <f t="shared" ca="1" si="127"/>
        <v>1</v>
      </c>
      <c r="J72" s="21">
        <f ca="1">_xll.DBR("CXMD:FTM_DATA_MARGIN",$L$21,$L$20,$C$15,$B70,$C$16,$C70,J$25)</f>
        <v>0</v>
      </c>
      <c r="K72" s="155">
        <f ca="1">_xll.DBR("CXMD:FTM_DATA_MARGIN",$L$21,$L$20,$C$15,$B72,$C$16,$C72,K$25)</f>
        <v>4534.83</v>
      </c>
      <c r="L72" s="21">
        <f t="shared" ca="1" si="128"/>
        <v>4.5348300000000004</v>
      </c>
      <c r="M72" s="155">
        <f ca="1">_xll.DBR("CXMD:FTM_DATA_MARGIN",$L$21,$L$20,$C$15,$B72,$C$16,$C72,M$25)</f>
        <v>4534.83</v>
      </c>
      <c r="N72" s="21">
        <f t="shared" ca="1" si="129"/>
        <v>4.5348300000000004</v>
      </c>
      <c r="O72" s="22">
        <f t="shared" ca="1" si="130"/>
        <v>1</v>
      </c>
      <c r="P72" s="21">
        <f ca="1">_xll.DBR("CXMD:FTM_DATA_MARGIN",$R$21,$R$20,$C$15,$B72,$C$16,$C72,P$25)</f>
        <v>0</v>
      </c>
      <c r="Q72" s="21">
        <f ca="1">_xll.DBR("CXMD:FTM_DATA_MARGIN",$R$21,$R$20,$C$15,$B72,$C$16,$C72,Q$25)</f>
        <v>4534.83</v>
      </c>
      <c r="R72" s="21">
        <f t="shared" ca="1" si="131"/>
        <v>4.5348300000000004</v>
      </c>
      <c r="S72" s="155">
        <f ca="1">_xll.DBR("CXMD:FTM_DATA_MARGIN",$R$21,$R$20,$C$15,$B72,$C$16,$C72,S$25)</f>
        <v>4534.83</v>
      </c>
      <c r="T72" s="21">
        <f t="shared" ca="1" si="132"/>
        <v>4.5348300000000004</v>
      </c>
      <c r="U72" s="22">
        <f t="shared" ca="1" si="133"/>
        <v>1</v>
      </c>
      <c r="V72" s="58">
        <f t="shared" ca="1" si="134"/>
        <v>0</v>
      </c>
      <c r="W72" s="46">
        <f t="shared" ca="1" si="135"/>
        <v>0</v>
      </c>
      <c r="X72" s="58">
        <f t="shared" ca="1" si="136"/>
        <v>0</v>
      </c>
      <c r="Y72" s="46">
        <f t="shared" ca="1" si="137"/>
        <v>0</v>
      </c>
      <c r="Z72" s="58">
        <f t="shared" ca="1" si="138"/>
        <v>0</v>
      </c>
      <c r="AA72" s="45">
        <f t="shared" ca="1" si="139"/>
        <v>0</v>
      </c>
      <c r="AB72" s="78">
        <f t="shared" ca="1" si="140"/>
        <v>0</v>
      </c>
      <c r="AC72" s="59">
        <f t="shared" ca="1" si="141"/>
        <v>0</v>
      </c>
      <c r="AD72" s="21">
        <f ca="1">_xll.DBR("CXMD:FTM_DATA_MARGIN",$AD$21,$AD$20,$C$15,$B72,$C$16,$C72,AD$25)</f>
        <v>0</v>
      </c>
      <c r="AE72" s="21">
        <f ca="1">_xll.DBR("CXMD:FTM_DATA_MARGIN",$AD$21,$AD$20,$C$15,$B72,$C$16,$C72,AE$25)</f>
        <v>0</v>
      </c>
      <c r="AF72" s="155">
        <f t="shared" ca="1" si="142"/>
        <v>0</v>
      </c>
      <c r="AG72" s="199">
        <f t="shared" ca="1" si="143"/>
        <v>0</v>
      </c>
      <c r="AH72" s="190">
        <f t="shared" ca="1" si="144"/>
        <v>0</v>
      </c>
      <c r="AI72" s="199">
        <f t="shared" ca="1" si="145"/>
        <v>-4.5348300000000004</v>
      </c>
      <c r="AJ72" s="190">
        <f t="shared" ca="1" si="146"/>
        <v>-1</v>
      </c>
      <c r="AK72" s="200"/>
      <c r="AL72" s="201"/>
      <c r="AM72" s="105"/>
    </row>
    <row r="73" spans="2:39" ht="15" customHeight="1" x14ac:dyDescent="0.25">
      <c r="B73" s="140" t="s">
        <v>52</v>
      </c>
      <c r="C73" s="187" t="s">
        <v>70</v>
      </c>
      <c r="D73" s="21">
        <f ca="1">_xll.DBR("CXMD:FTM_DATA_MARGIN",$F$21,$F$20,$C$15,$B73,$C$16,$C73,D$25)</f>
        <v>0</v>
      </c>
      <c r="E73" s="21">
        <f ca="1">_xll.DBR("CXMD:FTM_DATA_MARGIN",$F$21,$F$20,$C$15,$B73,$C$16,$C73,E$25)</f>
        <v>403063.06999999995</v>
      </c>
      <c r="F73" s="21">
        <f t="shared" ca="1" si="125"/>
        <v>403.06306999999993</v>
      </c>
      <c r="G73" s="155">
        <f ca="1">_xll.DBR("CXMD:FTM_DATA_MARGIN",$F$21,$F$20,$C$15,$B73,$C$16,$C73,G$25)</f>
        <v>403063.06999999995</v>
      </c>
      <c r="H73" s="21">
        <f t="shared" ca="1" si="126"/>
        <v>403.06306999999993</v>
      </c>
      <c r="I73" s="22">
        <f t="shared" ca="1" si="127"/>
        <v>1</v>
      </c>
      <c r="J73" s="21">
        <f ca="1">_xll.DBR("CXMD:FTM_DATA_MARGIN",$L$21,$L$20,$C$15,$B71,$C$16,$C71,J$25)</f>
        <v>0</v>
      </c>
      <c r="K73" s="155">
        <f ca="1">_xll.DBR("CXMD:FTM_DATA_MARGIN",$L$21,$L$20,$C$15,$B73,$C$16,$C73,K$25)</f>
        <v>403063.06999999995</v>
      </c>
      <c r="L73" s="21">
        <f t="shared" ca="1" si="128"/>
        <v>403.06306999999993</v>
      </c>
      <c r="M73" s="155">
        <f ca="1">_xll.DBR("CXMD:FTM_DATA_MARGIN",$L$21,$L$20,$C$15,$B73,$C$16,$C73,M$25)</f>
        <v>403063.06999999995</v>
      </c>
      <c r="N73" s="21">
        <f t="shared" ca="1" si="129"/>
        <v>403.06306999999993</v>
      </c>
      <c r="O73" s="22">
        <f t="shared" ca="1" si="130"/>
        <v>1</v>
      </c>
      <c r="P73" s="21">
        <f ca="1">_xll.DBR("CXMD:FTM_DATA_MARGIN",$R$21,$R$20,$C$15,$B73,$C$16,$C73,P$25)</f>
        <v>0</v>
      </c>
      <c r="Q73" s="21">
        <f ca="1">_xll.DBR("CXMD:FTM_DATA_MARGIN",$R$21,$R$20,$C$15,$B73,$C$16,$C73,Q$25)</f>
        <v>403063.06999999995</v>
      </c>
      <c r="R73" s="21">
        <f t="shared" ca="1" si="131"/>
        <v>403.06306999999993</v>
      </c>
      <c r="S73" s="155">
        <f ca="1">_xll.DBR("CXMD:FTM_DATA_MARGIN",$R$21,$R$20,$C$15,$B73,$C$16,$C73,S$25)</f>
        <v>403063.06999999995</v>
      </c>
      <c r="T73" s="21">
        <f t="shared" ca="1" si="132"/>
        <v>403.06306999999993</v>
      </c>
      <c r="U73" s="22">
        <f t="shared" ca="1" si="133"/>
        <v>1</v>
      </c>
      <c r="V73" s="58">
        <f t="shared" ca="1" si="134"/>
        <v>0</v>
      </c>
      <c r="W73" s="46">
        <f t="shared" ca="1" si="135"/>
        <v>0</v>
      </c>
      <c r="X73" s="58">
        <f t="shared" ca="1" si="136"/>
        <v>0</v>
      </c>
      <c r="Y73" s="46">
        <f t="shared" ca="1" si="137"/>
        <v>0</v>
      </c>
      <c r="Z73" s="58">
        <f t="shared" ca="1" si="138"/>
        <v>0</v>
      </c>
      <c r="AA73" s="45">
        <f t="shared" ca="1" si="139"/>
        <v>0</v>
      </c>
      <c r="AB73" s="78">
        <f t="shared" ca="1" si="140"/>
        <v>0</v>
      </c>
      <c r="AC73" s="59">
        <f t="shared" ca="1" si="141"/>
        <v>0</v>
      </c>
      <c r="AD73" s="21">
        <f ca="1">_xll.DBR("CXMD:FTM_DATA_MARGIN",$AD$21,$AD$20,$C$15,$B73,$C$16,$C73,AD$25)</f>
        <v>0</v>
      </c>
      <c r="AE73" s="21">
        <f ca="1">_xll.DBR("CXMD:FTM_DATA_MARGIN",$AD$21,$AD$20,$C$15,$B73,$C$16,$C73,AE$25)</f>
        <v>0</v>
      </c>
      <c r="AF73" s="155">
        <f t="shared" ca="1" si="142"/>
        <v>0</v>
      </c>
      <c r="AG73" s="199">
        <f t="shared" ca="1" si="143"/>
        <v>0</v>
      </c>
      <c r="AH73" s="190">
        <f t="shared" ca="1" si="144"/>
        <v>0</v>
      </c>
      <c r="AI73" s="199">
        <f t="shared" ca="1" si="145"/>
        <v>-403.06306999999993</v>
      </c>
      <c r="AJ73" s="190">
        <f t="shared" ca="1" si="146"/>
        <v>-1</v>
      </c>
      <c r="AK73" s="200"/>
      <c r="AL73" s="201"/>
      <c r="AM73" s="105"/>
    </row>
    <row r="74" spans="2:39" ht="15" customHeight="1" x14ac:dyDescent="0.25">
      <c r="B74" s="183" t="s">
        <v>53</v>
      </c>
      <c r="C74" s="156" t="s">
        <v>7</v>
      </c>
      <c r="D74" s="157">
        <f ca="1">SUM(D75:D107)</f>
        <v>0</v>
      </c>
      <c r="E74" s="157">
        <f ca="1">SUM(E75:E107)</f>
        <v>0</v>
      </c>
      <c r="F74" s="157">
        <f ca="1">E74/1000</f>
        <v>0</v>
      </c>
      <c r="G74" s="157">
        <f ca="1">SUM(G75:G107)</f>
        <v>0</v>
      </c>
      <c r="H74" s="157">
        <f ca="1">G74/1000</f>
        <v>0</v>
      </c>
      <c r="I74" s="158">
        <f ca="1">IF(E74&lt;&gt;0,G74/E74,0)</f>
        <v>0</v>
      </c>
      <c r="J74" s="157">
        <f ca="1">SUM(J75:J107)</f>
        <v>0</v>
      </c>
      <c r="K74" s="157">
        <f ca="1">SUM(K75:K107)</f>
        <v>0</v>
      </c>
      <c r="L74" s="157">
        <f ca="1">K74/1000</f>
        <v>0</v>
      </c>
      <c r="M74" s="157">
        <f ca="1">SUM(M75:M107)</f>
        <v>0</v>
      </c>
      <c r="N74" s="157">
        <f ca="1">M74/1000</f>
        <v>0</v>
      </c>
      <c r="O74" s="158">
        <f ca="1">IF(K74&lt;&gt;0,M74/K74,0)</f>
        <v>0</v>
      </c>
      <c r="P74" s="157">
        <f ca="1">SUM(P75:P107)</f>
        <v>0</v>
      </c>
      <c r="Q74" s="157">
        <f ca="1">SUM(Q75:Q107)</f>
        <v>0</v>
      </c>
      <c r="R74" s="157">
        <f ca="1">Q74/1000</f>
        <v>0</v>
      </c>
      <c r="S74" s="157">
        <f ca="1">SUM(S75:S107)</f>
        <v>0</v>
      </c>
      <c r="T74" s="157">
        <f ca="1">S74/1000</f>
        <v>0</v>
      </c>
      <c r="U74" s="158">
        <f ca="1">IF(Q74&lt;&gt;0,S74/Q74,0)</f>
        <v>0</v>
      </c>
      <c r="V74" s="159">
        <f ca="1">P74-D74</f>
        <v>0</v>
      </c>
      <c r="W74" s="207">
        <f ca="1">IF(D74&lt;&gt;0,(P74/D74)-1,0)</f>
        <v>0</v>
      </c>
      <c r="X74" s="159">
        <f ca="1">(Q74-E74)/1000</f>
        <v>0</v>
      </c>
      <c r="Y74" s="207">
        <f ca="1">IF(E74&lt;&gt;0,(Q74/E74)-1,0)</f>
        <v>0</v>
      </c>
      <c r="Z74" s="159">
        <f ca="1">(S74-G74)/1000</f>
        <v>0</v>
      </c>
      <c r="AA74" s="160">
        <f ca="1">IF(G74&lt;&gt;0,(S74/G74)-1,0)</f>
        <v>0</v>
      </c>
      <c r="AB74" s="161">
        <f ca="1">(U74-I74)*100</f>
        <v>0</v>
      </c>
      <c r="AC74" s="162">
        <f ca="1">AB74*Q74/100/1000</f>
        <v>0</v>
      </c>
      <c r="AD74" s="157">
        <f ca="1">SUM(AD75:AD107)</f>
        <v>0</v>
      </c>
      <c r="AE74" s="157">
        <f ca="1">SUM(AE75:AE107)</f>
        <v>0</v>
      </c>
      <c r="AF74" s="157">
        <f ca="1">AE74/1000</f>
        <v>0</v>
      </c>
      <c r="AG74" s="197">
        <f ca="1">AD74-P74</f>
        <v>0</v>
      </c>
      <c r="AH74" s="160">
        <f ca="1">IF(P74&lt;&gt;0,(AD74/P74)-1,0)</f>
        <v>0</v>
      </c>
      <c r="AI74" s="197">
        <f ca="1">(AE74-Q74)/1000</f>
        <v>0</v>
      </c>
      <c r="AJ74" s="43"/>
      <c r="AK74" s="193"/>
      <c r="AL74" s="44"/>
      <c r="AM74" s="105"/>
    </row>
    <row r="75" spans="2:39" ht="15" customHeight="1" x14ac:dyDescent="0.25">
      <c r="B75" s="140" t="s">
        <v>53</v>
      </c>
      <c r="C75" s="187" t="s">
        <v>69</v>
      </c>
      <c r="D75" s="21">
        <f ca="1">_xll.DBR("CXMD:FTM_DATA_MARGIN",$F$21,$F$20,$C$15,$B75,$C$16,$C75,D$25)</f>
        <v>0</v>
      </c>
      <c r="E75" s="21">
        <f ca="1">_xll.DBR("CXMD:FTM_DATA_MARGIN",$F$21,$F$20,$C$15,$B75,$C$16,$C75,E$25)</f>
        <v>0</v>
      </c>
      <c r="F75" s="21">
        <f t="shared" ref="F75" ca="1" si="169">E75/1000</f>
        <v>0</v>
      </c>
      <c r="G75" s="21">
        <f ca="1">_xll.DBR("CXMD:FTM_DATA_MARGIN",$F$21,$F$20,$C$15,$B75,$C$16,$C75,G$25)</f>
        <v>0</v>
      </c>
      <c r="H75" s="21">
        <f t="shared" ref="H75" ca="1" si="170">G75/1000</f>
        <v>0</v>
      </c>
      <c r="I75" s="22">
        <f t="shared" ref="I75" ca="1" si="171">IF(E75&lt;&gt;0,G75/E75,0)</f>
        <v>0</v>
      </c>
      <c r="J75" s="21">
        <f ca="1">_xll.DBR("CXMD:FTM_DATA_MARGIN",$L$21,$L$20,$C$15,$B73,$C$16,$C73,J$25)</f>
        <v>0</v>
      </c>
      <c r="K75" s="155">
        <f ca="1">_xll.DBR("CXMD:FTM_DATA_MARGIN",$L$21,$L$20,$C$15,$B75,$C$16,$C75,K$25)</f>
        <v>0</v>
      </c>
      <c r="L75" s="21">
        <f t="shared" ref="L75" ca="1" si="172">K75/1000</f>
        <v>0</v>
      </c>
      <c r="M75" s="155">
        <f ca="1">_xll.DBR("CXMD:FTM_DATA_MARGIN",$L$21,$L$20,$C$15,$B75,$C$16,$C75,M$25)</f>
        <v>0</v>
      </c>
      <c r="N75" s="21">
        <f t="shared" ref="N75" ca="1" si="173">M75/1000</f>
        <v>0</v>
      </c>
      <c r="O75" s="22">
        <f t="shared" ref="O75" ca="1" si="174">IF(K75&lt;&gt;0,M75/K75,0)</f>
        <v>0</v>
      </c>
      <c r="P75" s="21">
        <f ca="1">_xll.DBR("CXMD:FTM_DATA_MARGIN",$R$21,$R$20,$C$15,$B75,$C$16,$C75,P$25)</f>
        <v>0</v>
      </c>
      <c r="Q75" s="21">
        <f ca="1">_xll.DBR("CXMD:FTM_DATA_MARGIN",$R$21,$R$20,$C$15,$B75,$C$16,$C75,Q$25)</f>
        <v>0</v>
      </c>
      <c r="R75" s="21">
        <f t="shared" ref="R75" ca="1" si="175">Q75/1000</f>
        <v>0</v>
      </c>
      <c r="S75" s="155">
        <f ca="1">_xll.DBR("CXMD:FTM_DATA_MARGIN",$R$21,$R$20,$C$15,$B75,$C$16,$C75,S$25)</f>
        <v>0</v>
      </c>
      <c r="T75" s="21">
        <f t="shared" ref="T75" ca="1" si="176">S75/1000</f>
        <v>0</v>
      </c>
      <c r="U75" s="22">
        <f t="shared" ref="U75" ca="1" si="177">IF(Q75&lt;&gt;0,S75/Q75,0)</f>
        <v>0</v>
      </c>
      <c r="V75" s="58">
        <f t="shared" ref="V75" ca="1" si="178">P75-D75</f>
        <v>0</v>
      </c>
      <c r="W75" s="46">
        <f t="shared" ref="W75" ca="1" si="179">IF(D75&lt;&gt;0,(P75/D75)-1,0)</f>
        <v>0</v>
      </c>
      <c r="X75" s="58">
        <f t="shared" ref="X75" ca="1" si="180">(Q75-E75)/1000</f>
        <v>0</v>
      </c>
      <c r="Y75" s="46">
        <f t="shared" ref="Y75" ca="1" si="181">IF(E75&lt;&gt;0,(Q75/E75)-1,0)</f>
        <v>0</v>
      </c>
      <c r="Z75" s="58">
        <f t="shared" ref="Z75" ca="1" si="182">(S75-G75)/1000</f>
        <v>0</v>
      </c>
      <c r="AA75" s="45">
        <f t="shared" ref="AA75" ca="1" si="183">IF(G75&lt;&gt;0,(S75/G75)-1,0)</f>
        <v>0</v>
      </c>
      <c r="AB75" s="78">
        <f t="shared" ref="AB75" ca="1" si="184">(U75-I75)*100</f>
        <v>0</v>
      </c>
      <c r="AC75" s="59">
        <f t="shared" ref="AC75" ca="1" si="185">AB75*Q75/100/1000</f>
        <v>0</v>
      </c>
      <c r="AD75" s="21">
        <f ca="1">_xll.DBR("CXMD:FTM_DATA_MARGIN",$AD$21,$AD$20,$C$15,$B75,$C$16,$C75,AD$25)</f>
        <v>0</v>
      </c>
      <c r="AE75" s="21">
        <f ca="1">_xll.DBR("CXMD:FTM_DATA_MARGIN",$AD$21,$AD$20,$C$15,$B75,$C$16,$C75,AE$25)</f>
        <v>0</v>
      </c>
      <c r="AF75" s="155">
        <f t="shared" ref="AF75" ca="1" si="186">AE75/1000</f>
        <v>0</v>
      </c>
      <c r="AG75" s="98">
        <f t="shared" ref="AG75" ca="1" si="187">AD75-P75</f>
        <v>0</v>
      </c>
      <c r="AH75" s="43">
        <f t="shared" ref="AH75" ca="1" si="188">IF(P75&lt;&gt;0,(AD75/P75)-1,0)</f>
        <v>0</v>
      </c>
      <c r="AI75" s="98">
        <f t="shared" ref="AI75" ca="1" si="189">(AE75-Q75)/1000</f>
        <v>0</v>
      </c>
      <c r="AJ75" s="43">
        <f t="shared" ref="AJ75" ca="1" si="190">IF(Q75&lt;&gt;0,(AE75/Q75)-1,0)</f>
        <v>0</v>
      </c>
      <c r="AK75" s="193"/>
      <c r="AL75" s="44"/>
      <c r="AM75" s="105"/>
    </row>
    <row r="76" spans="2:39" ht="8.25" customHeight="1" x14ac:dyDescent="0.25">
      <c r="B76" s="140"/>
      <c r="C76" s="139"/>
      <c r="D76" s="21"/>
      <c r="E76" s="21"/>
      <c r="F76" s="21"/>
      <c r="G76" s="21"/>
      <c r="H76" s="21"/>
      <c r="I76" s="22"/>
      <c r="J76" s="21"/>
      <c r="K76" s="21"/>
      <c r="L76" s="21"/>
      <c r="M76" s="21"/>
      <c r="N76" s="21"/>
      <c r="O76" s="22"/>
      <c r="P76" s="21"/>
      <c r="Q76" s="21"/>
      <c r="R76" s="21"/>
      <c r="S76" s="21"/>
      <c r="T76" s="21"/>
      <c r="U76" s="22"/>
      <c r="V76" s="58"/>
      <c r="W76" s="46"/>
      <c r="X76" s="58"/>
      <c r="Y76" s="46"/>
      <c r="Z76" s="58"/>
      <c r="AA76" s="45"/>
      <c r="AB76" s="78"/>
      <c r="AC76" s="59"/>
      <c r="AD76" s="21"/>
      <c r="AE76" s="21"/>
      <c r="AF76" s="155"/>
      <c r="AG76" s="199"/>
      <c r="AH76" s="190"/>
      <c r="AI76" s="199"/>
      <c r="AJ76" s="190"/>
      <c r="AK76" s="200"/>
      <c r="AL76" s="201"/>
    </row>
  </sheetData>
  <mergeCells count="2">
    <mergeCell ref="Z23:AA23"/>
    <mergeCell ref="AI20:AI21"/>
  </mergeCells>
  <conditionalFormatting sqref="V1:AC8 V27:AC30 V43:AC48 V60:AC64 V53:AC57 V69:AC73">
    <cfRule type="cellIs" dxfId="25" priority="129" operator="lessThan">
      <formula>0</formula>
    </cfRule>
    <cfRule type="cellIs" dxfId="24" priority="130" operator="greaterThan">
      <formula>0</formula>
    </cfRule>
  </conditionalFormatting>
  <conditionalFormatting sqref="V26:AC26">
    <cfRule type="cellIs" dxfId="23" priority="29" operator="lessThan">
      <formula>0</formula>
    </cfRule>
    <cfRule type="cellIs" dxfId="22" priority="30" operator="greaterThan">
      <formula>0</formula>
    </cfRule>
  </conditionalFormatting>
  <conditionalFormatting sqref="V31:AC32 V37:AC41">
    <cfRule type="cellIs" dxfId="21" priority="25" operator="lessThan">
      <formula>0</formula>
    </cfRule>
    <cfRule type="cellIs" dxfId="20" priority="26" operator="greaterThan">
      <formula>0</formula>
    </cfRule>
  </conditionalFormatting>
  <conditionalFormatting sqref="V42:AC42">
    <cfRule type="cellIs" dxfId="19" priority="23" operator="lessThan">
      <formula>0</formula>
    </cfRule>
    <cfRule type="cellIs" dxfId="18" priority="24" operator="greaterThan">
      <formula>0</formula>
    </cfRule>
  </conditionalFormatting>
  <conditionalFormatting sqref="V58:AC58">
    <cfRule type="cellIs" dxfId="17" priority="19" operator="lessThan">
      <formula>0</formula>
    </cfRule>
    <cfRule type="cellIs" dxfId="16" priority="20" operator="greaterThan">
      <formula>0</formula>
    </cfRule>
  </conditionalFormatting>
  <conditionalFormatting sqref="V74:AC74">
    <cfRule type="cellIs" dxfId="15" priority="17" operator="lessThan">
      <formula>0</formula>
    </cfRule>
    <cfRule type="cellIs" dxfId="14" priority="18" operator="greaterThan">
      <formula>0</formula>
    </cfRule>
  </conditionalFormatting>
  <conditionalFormatting sqref="V76:AC76">
    <cfRule type="cellIs" dxfId="13" priority="15" operator="lessThan">
      <formula>0</formula>
    </cfRule>
    <cfRule type="cellIs" dxfId="12" priority="16" operator="greaterThan">
      <formula>0</formula>
    </cfRule>
  </conditionalFormatting>
  <conditionalFormatting sqref="V59:AC59">
    <cfRule type="cellIs" dxfId="11" priority="13" operator="lessThan">
      <formula>0</formula>
    </cfRule>
    <cfRule type="cellIs" dxfId="10" priority="14" operator="greaterThan">
      <formula>0</formula>
    </cfRule>
  </conditionalFormatting>
  <conditionalFormatting sqref="V75:AC75">
    <cfRule type="cellIs" dxfId="9" priority="9" operator="lessThan">
      <formula>0</formula>
    </cfRule>
    <cfRule type="cellIs" dxfId="8" priority="10" operator="greaterThan">
      <formula>0</formula>
    </cfRule>
  </conditionalFormatting>
  <conditionalFormatting sqref="V33:AC36">
    <cfRule type="cellIs" dxfId="5" priority="5" operator="lessThan">
      <formula>0</formula>
    </cfRule>
    <cfRule type="cellIs" dxfId="4" priority="6" operator="greaterThan">
      <formula>0</formula>
    </cfRule>
  </conditionalFormatting>
  <conditionalFormatting sqref="V49:AC5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V65:AC6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7" r:id="rId4" name="TIButton1">
          <controlPr defaultSize="0" print="0" autoLine="0" autoPict="0" r:id="rId5">
            <anchor moveWithCells="1">
              <from>
                <xdr:col>10</xdr:col>
                <xdr:colOff>76200</xdr:colOff>
                <xdr:row>15</xdr:row>
                <xdr:rowOff>152400</xdr:rowOff>
              </from>
              <to>
                <xdr:col>13</xdr:col>
                <xdr:colOff>276225</xdr:colOff>
                <xdr:row>17</xdr:row>
                <xdr:rowOff>28575</xdr:rowOff>
              </to>
            </anchor>
          </controlPr>
        </control>
      </mc:Choice>
      <mc:Fallback>
        <control shapeId="4097" r:id="rId4" name="TI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2"/>
  <sheetViews>
    <sheetView workbookViewId="0"/>
  </sheetViews>
  <sheetFormatPr defaultColWidth="11.42578125" defaultRowHeight="15" x14ac:dyDescent="0.25"/>
  <sheetData>
    <row r="22" spans="2:2" x14ac:dyDescent="0.25">
      <c r="B22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2:C50"/>
  <sheetViews>
    <sheetView topLeftCell="A21" zoomScale="90" zoomScaleNormal="90" workbookViewId="0"/>
  </sheetViews>
  <sheetFormatPr defaultColWidth="11.42578125" defaultRowHeight="15" x14ac:dyDescent="0.25"/>
  <sheetData>
    <row r="22" spans="3:3" x14ac:dyDescent="0.25">
      <c r="C22" t="s">
        <v>7</v>
      </c>
    </row>
    <row r="23" spans="3:3" x14ac:dyDescent="0.25">
      <c r="C23" t="s">
        <v>22</v>
      </c>
    </row>
    <row r="24" spans="3:3" x14ac:dyDescent="0.25">
      <c r="C24" t="s">
        <v>23</v>
      </c>
    </row>
    <row r="25" spans="3:3" x14ac:dyDescent="0.25">
      <c r="C25" t="s">
        <v>24</v>
      </c>
    </row>
    <row r="26" spans="3:3" x14ac:dyDescent="0.25">
      <c r="C26" t="s">
        <v>25</v>
      </c>
    </row>
    <row r="27" spans="3:3" x14ac:dyDescent="0.25">
      <c r="C27" t="s">
        <v>26</v>
      </c>
    </row>
    <row r="28" spans="3:3" x14ac:dyDescent="0.25">
      <c r="C28" t="s">
        <v>27</v>
      </c>
    </row>
    <row r="29" spans="3:3" x14ac:dyDescent="0.25">
      <c r="C29" t="s">
        <v>28</v>
      </c>
    </row>
    <row r="30" spans="3:3" x14ac:dyDescent="0.25">
      <c r="C30" t="s">
        <v>29</v>
      </c>
    </row>
    <row r="31" spans="3:3" x14ac:dyDescent="0.25">
      <c r="C31" t="s">
        <v>30</v>
      </c>
    </row>
    <row r="32" spans="3:3" x14ac:dyDescent="0.25">
      <c r="C32" t="s">
        <v>31</v>
      </c>
    </row>
    <row r="33" spans="3:3" x14ac:dyDescent="0.25">
      <c r="C33" t="s">
        <v>32</v>
      </c>
    </row>
    <row r="34" spans="3:3" x14ac:dyDescent="0.25">
      <c r="C34" t="s">
        <v>33</v>
      </c>
    </row>
    <row r="35" spans="3:3" x14ac:dyDescent="0.25">
      <c r="C35" t="s">
        <v>34</v>
      </c>
    </row>
    <row r="36" spans="3:3" x14ac:dyDescent="0.25">
      <c r="C36" t="s">
        <v>35</v>
      </c>
    </row>
    <row r="37" spans="3:3" x14ac:dyDescent="0.25">
      <c r="C37" t="s">
        <v>36</v>
      </c>
    </row>
    <row r="38" spans="3:3" x14ac:dyDescent="0.25">
      <c r="C38" t="s">
        <v>37</v>
      </c>
    </row>
    <row r="39" spans="3:3" x14ac:dyDescent="0.25">
      <c r="C39" t="s">
        <v>38</v>
      </c>
    </row>
    <row r="40" spans="3:3" x14ac:dyDescent="0.25">
      <c r="C40" t="s">
        <v>39</v>
      </c>
    </row>
    <row r="41" spans="3:3" x14ac:dyDescent="0.25">
      <c r="C41" t="s">
        <v>40</v>
      </c>
    </row>
    <row r="42" spans="3:3" x14ac:dyDescent="0.25">
      <c r="C42" t="s">
        <v>41</v>
      </c>
    </row>
    <row r="43" spans="3:3" x14ac:dyDescent="0.25">
      <c r="C43" t="s">
        <v>42</v>
      </c>
    </row>
    <row r="44" spans="3:3" x14ac:dyDescent="0.25">
      <c r="C44" t="s">
        <v>43</v>
      </c>
    </row>
    <row r="45" spans="3:3" x14ac:dyDescent="0.25">
      <c r="C45" t="s">
        <v>44</v>
      </c>
    </row>
    <row r="46" spans="3:3" x14ac:dyDescent="0.25">
      <c r="C46" t="s">
        <v>45</v>
      </c>
    </row>
    <row r="47" spans="3:3" x14ac:dyDescent="0.25">
      <c r="C47" t="s">
        <v>46</v>
      </c>
    </row>
    <row r="48" spans="3:3" x14ac:dyDescent="0.25">
      <c r="C48" t="s">
        <v>47</v>
      </c>
    </row>
    <row r="49" spans="3:3" x14ac:dyDescent="0.25">
      <c r="C49" t="s">
        <v>48</v>
      </c>
    </row>
    <row r="50" spans="3:3" x14ac:dyDescent="0.25">
      <c r="C5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Recap</vt:lpstr>
      <vt:lpstr>{AR}01</vt:lpstr>
      <vt:lpstr>{AR}11</vt:lpstr>
      <vt:lpstr>Recap!TM1RPTDATARNGARPT1</vt:lpstr>
      <vt:lpstr>Recap!TM1RPTFMTIDCOL</vt:lpstr>
      <vt:lpstr>Recap!TM1RPTFMTRNG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2017-10-30T07:59:44Z</dcterms:created>
  <dcterms:modified xsi:type="dcterms:W3CDTF">2022-07-26T11:33:19Z</dcterms:modified>
</cp:coreProperties>
</file>