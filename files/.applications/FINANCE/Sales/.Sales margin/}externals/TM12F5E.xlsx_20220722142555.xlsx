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21600" windowHeight="9135"/>
  </bookViews>
  <sheets>
    <sheet name="Recap" sheetId="4" r:id="rId1"/>
    <sheet name="Detail" sheetId="1" r:id="rId2"/>
    <sheet name="{AR}01" sheetId="2" state="hidden" r:id="rId3"/>
    <sheet name="{AR}11" sheetId="3" state="hidden" r:id="rId4"/>
  </sheets>
  <definedNames>
    <definedName name="TM1REBUILDOPTION">1</definedName>
    <definedName name="TM1RPTDATARNGARPT1" localSheetId="1">Detail!$25:$25</definedName>
    <definedName name="TM1RPTDATARNGARPT1" localSheetId="0">Recap!$25:$25</definedName>
    <definedName name="TM1RPTFMTIDCOL" localSheetId="1">Detail!$A$1:$A$8</definedName>
    <definedName name="TM1RPTFMTIDCOL" localSheetId="0">Recap!$A$1:$A$8</definedName>
    <definedName name="TM1RPTFMTRNG" localSheetId="1">Detail!$B$1:$AU$8</definedName>
    <definedName name="TM1RPTFMTRNG" localSheetId="0">Recap!$B$1:$AE$8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4" l="1"/>
  <c r="B9" i="1"/>
  <c r="D20" i="1"/>
  <c r="AK20" i="1"/>
  <c r="AF19" i="4"/>
  <c r="AK19" i="1"/>
  <c r="C14" i="1"/>
  <c r="C15" i="1"/>
  <c r="Z20" i="1"/>
  <c r="L19" i="4"/>
  <c r="R19" i="4"/>
  <c r="Z19" i="1"/>
  <c r="O20" i="1"/>
  <c r="F19" i="4"/>
  <c r="D19" i="1"/>
  <c r="O19" i="1"/>
  <c r="I14" i="4"/>
  <c r="B25" i="1"/>
  <c r="C25" i="1"/>
  <c r="AR25" i="1"/>
  <c r="AO25" i="1"/>
  <c r="AN25" i="1"/>
  <c r="AL25" i="1"/>
  <c r="AK25" i="1"/>
  <c r="AG25" i="1"/>
  <c r="AD25" i="1"/>
  <c r="AC25" i="1"/>
  <c r="AA25" i="1"/>
  <c r="Z25" i="1"/>
  <c r="R25" i="1"/>
  <c r="G25" i="1"/>
  <c r="S25" i="1"/>
  <c r="V25" i="1"/>
  <c r="P25" i="1"/>
  <c r="O25" i="1"/>
  <c r="K25" i="1"/>
  <c r="H25" i="1"/>
  <c r="E25" i="1"/>
  <c r="D25" i="1"/>
  <c r="B9" i="4"/>
  <c r="F20" i="4"/>
  <c r="R20" i="4"/>
  <c r="C16" i="4"/>
  <c r="AF20" i="4"/>
  <c r="L20" i="4"/>
  <c r="B25" i="4"/>
  <c r="C25" i="4"/>
  <c r="AE25" i="4"/>
  <c r="AD25" i="4"/>
  <c r="S25" i="4"/>
  <c r="Q25" i="4"/>
  <c r="P25" i="4"/>
  <c r="M25" i="4"/>
  <c r="K25" i="4"/>
  <c r="J25" i="4"/>
  <c r="E25" i="4"/>
  <c r="G25" i="4"/>
  <c r="D25" i="4"/>
  <c r="O14" i="1"/>
  <c r="P19" i="4"/>
  <c r="P20" i="4"/>
  <c r="AT25" i="1"/>
  <c r="AS25" i="1"/>
  <c r="AQ25" i="1"/>
  <c r="AP25" i="1"/>
  <c r="AM25" i="1"/>
  <c r="AI25" i="1"/>
  <c r="AH25" i="1"/>
  <c r="AF25" i="1"/>
  <c r="AE25" i="1"/>
  <c r="AB25" i="1"/>
  <c r="X25" i="1"/>
  <c r="W25" i="1"/>
  <c r="U25" i="1"/>
  <c r="T25" i="1"/>
  <c r="Q25" i="1"/>
  <c r="M25" i="1"/>
  <c r="L25" i="1"/>
  <c r="J25" i="1"/>
  <c r="I25" i="1"/>
  <c r="F25" i="1"/>
  <c r="AI25" i="4"/>
  <c r="AF25" i="4"/>
  <c r="U25" i="4"/>
  <c r="I25" i="4"/>
  <c r="AB25" i="4"/>
  <c r="AC25" i="4"/>
  <c r="Z25" i="4"/>
  <c r="X25" i="4"/>
  <c r="T25" i="4"/>
  <c r="R25" i="4"/>
  <c r="N25" i="4"/>
  <c r="L25" i="4"/>
  <c r="H25" i="4"/>
  <c r="F25" i="4"/>
  <c r="AJ25" i="4"/>
  <c r="AH25" i="4"/>
  <c r="AG25" i="4"/>
  <c r="AA25" i="4"/>
  <c r="Y25" i="4"/>
  <c r="W25" i="4"/>
  <c r="V25" i="4"/>
  <c r="O25" i="4"/>
  <c r="A25" i="4"/>
  <c r="A5" i="4"/>
  <c r="A4" i="4"/>
  <c r="A3" i="4"/>
  <c r="A2" i="4"/>
  <c r="AU25" i="1"/>
  <c r="AJ25" i="1"/>
  <c r="Y25" i="1"/>
  <c r="N25" i="1"/>
  <c r="A25" i="1"/>
  <c r="A5" i="1"/>
  <c r="A4" i="1"/>
  <c r="A3" i="1"/>
  <c r="A2" i="1"/>
</calcChain>
</file>

<file path=xl/sharedStrings.xml><?xml version="1.0" encoding="utf-8"?>
<sst xmlns="http://schemas.openxmlformats.org/spreadsheetml/2006/main" count="202" uniqueCount="58">
  <si>
    <t>Origin_Company</t>
  </si>
  <si>
    <t>Customer_Supplier</t>
  </si>
  <si>
    <t>QTY</t>
  </si>
  <si>
    <t>SALES</t>
  </si>
  <si>
    <t>TOTAL_COST</t>
  </si>
  <si>
    <t>MARGIN_ON_TOTAL_COST</t>
  </si>
  <si>
    <t>MARGIN_ON_TOTAL_COST_%</t>
  </si>
  <si>
    <t>Total Allocation</t>
  </si>
  <si>
    <t>TOTAL PRODUCT</t>
  </si>
  <si>
    <t>D</t>
  </si>
  <si>
    <t>N</t>
  </si>
  <si>
    <t>[Begin Format Range]</t>
  </si>
  <si>
    <t>[End Format Range]</t>
  </si>
  <si>
    <t>Product configuration</t>
  </si>
  <si>
    <t>Area / Region</t>
  </si>
  <si>
    <t>U.Price</t>
  </si>
  <si>
    <t>Local currency</t>
  </si>
  <si>
    <t>Margin %</t>
  </si>
  <si>
    <t>COST</t>
  </si>
  <si>
    <t>MARGIN</t>
  </si>
  <si>
    <t>(in '000)</t>
  </si>
  <si>
    <t>Variances YTD</t>
  </si>
  <si>
    <t>in pt</t>
  </si>
  <si>
    <t>Year To Go vs annual goal</t>
  </si>
  <si>
    <t>x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</si>
  <si>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</si>
  <si>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</si>
  <si>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</si>
  <si>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</si>
  <si>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</si>
  <si>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</si>
  <si>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</si>
  <si>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</si>
  <si>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</si>
  <si>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</si>
  <si>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</si>
  <si>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</si>
  <si>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</si>
  <si>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</si>
  <si>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</si>
  <si>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</si>
  <si>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</si>
  <si>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</si>
  <si>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</si>
  <si>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</si>
  <si>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</si>
  <si>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</si>
  <si>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</si>
  <si>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</si>
  <si>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</si>
  <si>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</si>
  <si>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</si>
  <si>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</si>
  <si>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Unit</t>
  </si>
  <si>
    <t>Price</t>
  </si>
  <si>
    <t>Cost</t>
  </si>
  <si>
    <t>Margin</t>
  </si>
  <si>
    <t>Sales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</si>
</sst>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+ &quot;@"/>
    <numFmt numFmtId="165" formatCode="#,##0.0"/>
    <numFmt numFmtId="166" formatCode="0.0%"/>
    <numFmt numFmtId="167" formatCode="&quot;- &quot;@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9"/>
      <color indexed="9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0" tint="-0.249977111117893"/>
      <name val="Calibri"/>
      <family val="2"/>
      <scheme val="minor"/>
    </font>
    <font>
      <b/>
      <i/>
      <sz val="9"/>
      <color theme="0" tint="-0.249977111117893"/>
      <name val="Calibri"/>
      <family val="2"/>
      <scheme val="minor"/>
    </font>
    <font>
      <b/>
      <i/>
      <sz val="12"/>
      <color indexed="9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8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65" fontId="0" fillId="6" borderId="0" xfId="0" applyNumberFormat="1" applyFill="1" applyBorder="1"/>
    <xf numFmtId="0" fontId="1" fillId="7" borderId="0" xfId="0" applyFont="1" applyFill="1"/>
    <xf numFmtId="0" fontId="0" fillId="7" borderId="0" xfId="0" applyFill="1"/>
    <xf numFmtId="3" fontId="2" fillId="7" borderId="0" xfId="0" applyNumberFormat="1" applyFont="1" applyFill="1" applyAlignment="1">
      <alignment horizontal="center"/>
    </xf>
    <xf numFmtId="0" fontId="4" fillId="7" borderId="0" xfId="0" applyFont="1" applyFill="1"/>
    <xf numFmtId="0" fontId="4" fillId="7" borderId="2" xfId="0" applyFont="1" applyFill="1" applyBorder="1" applyAlignment="1">
      <alignment horizontal="center"/>
    </xf>
    <xf numFmtId="0" fontId="0" fillId="7" borderId="2" xfId="0" applyFill="1" applyBorder="1"/>
    <xf numFmtId="3" fontId="2" fillId="7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/>
    <xf numFmtId="0" fontId="0" fillId="0" borderId="0" xfId="0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7" borderId="8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3" fontId="3" fillId="2" borderId="0" xfId="0" applyNumberFormat="1" applyFont="1" applyFill="1" applyAlignment="1">
      <alignment horizontal="right"/>
    </xf>
    <xf numFmtId="166" fontId="3" fillId="2" borderId="2" xfId="1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166" fontId="3" fillId="3" borderId="2" xfId="1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166" fontId="3" fillId="4" borderId="2" xfId="1" applyNumberFormat="1" applyFont="1" applyFill="1" applyBorder="1" applyAlignment="1">
      <alignment horizontal="right"/>
    </xf>
    <xf numFmtId="3" fontId="3" fillId="5" borderId="0" xfId="0" applyNumberFormat="1" applyFont="1" applyFill="1" applyAlignment="1">
      <alignment horizontal="right"/>
    </xf>
    <xf numFmtId="166" fontId="3" fillId="5" borderId="2" xfId="1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166" fontId="3" fillId="0" borderId="2" xfId="1" applyNumberFormat="1" applyFont="1" applyBorder="1" applyAlignment="1">
      <alignment horizontal="right"/>
    </xf>
    <xf numFmtId="3" fontId="0" fillId="6" borderId="0" xfId="0" applyNumberFormat="1" applyFill="1" applyBorder="1" applyAlignment="1">
      <alignment horizontal="right"/>
    </xf>
    <xf numFmtId="166" fontId="0" fillId="6" borderId="0" xfId="1" applyNumberFormat="1" applyFont="1" applyFill="1" applyBorder="1" applyAlignment="1">
      <alignment horizontal="right"/>
    </xf>
    <xf numFmtId="3" fontId="0" fillId="7" borderId="0" xfId="0" applyNumberFormat="1" applyFill="1" applyAlignment="1">
      <alignment horizontal="right"/>
    </xf>
    <xf numFmtId="166" fontId="0" fillId="7" borderId="0" xfId="1" applyNumberFormat="1" applyFont="1" applyFill="1" applyAlignment="1">
      <alignment horizontal="right"/>
    </xf>
    <xf numFmtId="0" fontId="1" fillId="8" borderId="0" xfId="0" applyFont="1" applyFill="1" applyBorder="1" applyAlignment="1">
      <alignment horizontal="right"/>
    </xf>
    <xf numFmtId="3" fontId="5" fillId="7" borderId="0" xfId="0" applyNumberFormat="1" applyFont="1" applyFill="1" applyAlignment="1">
      <alignment horizontal="right"/>
    </xf>
    <xf numFmtId="0" fontId="0" fillId="7" borderId="0" xfId="0" applyFill="1" applyAlignment="1">
      <alignment horizontal="right"/>
    </xf>
    <xf numFmtId="3" fontId="2" fillId="7" borderId="0" xfId="0" applyNumberFormat="1" applyFont="1" applyFill="1" applyAlignment="1">
      <alignment horizontal="right" vertical="center" wrapText="1"/>
    </xf>
    <xf numFmtId="166" fontId="2" fillId="7" borderId="2" xfId="1" applyNumberFormat="1" applyFont="1" applyFill="1" applyBorder="1" applyAlignment="1">
      <alignment horizontal="right" vertical="center" wrapText="1"/>
    </xf>
    <xf numFmtId="3" fontId="2" fillId="7" borderId="8" xfId="0" applyNumberFormat="1" applyFont="1" applyFill="1" applyBorder="1" applyAlignment="1">
      <alignment horizontal="right" vertical="center" wrapText="1"/>
    </xf>
    <xf numFmtId="166" fontId="2" fillId="7" borderId="7" xfId="1" applyNumberFormat="1" applyFont="1" applyFill="1" applyBorder="1" applyAlignment="1">
      <alignment horizontal="right" vertical="center" wrapText="1"/>
    </xf>
    <xf numFmtId="3" fontId="2" fillId="7" borderId="0" xfId="0" applyNumberFormat="1" applyFont="1" applyFill="1" applyBorder="1" applyAlignment="1">
      <alignment horizontal="center"/>
    </xf>
    <xf numFmtId="3" fontId="2" fillId="7" borderId="0" xfId="0" applyNumberFormat="1" applyFont="1" applyFill="1" applyAlignment="1">
      <alignment horizontal="center"/>
    </xf>
    <xf numFmtId="3" fontId="2" fillId="7" borderId="2" xfId="0" applyNumberFormat="1" applyFont="1" applyFill="1" applyBorder="1" applyAlignment="1">
      <alignment horizontal="center"/>
    </xf>
    <xf numFmtId="3" fontId="10" fillId="7" borderId="0" xfId="0" applyNumberFormat="1" applyFont="1" applyFill="1" applyAlignment="1">
      <alignment horizontal="right" vertical="center" wrapText="1"/>
    </xf>
    <xf numFmtId="166" fontId="11" fillId="0" borderId="0" xfId="1" applyNumberFormat="1" applyFont="1" applyAlignment="1">
      <alignment horizontal="right"/>
    </xf>
    <xf numFmtId="166" fontId="12" fillId="2" borderId="0" xfId="1" applyNumberFormat="1" applyFont="1" applyFill="1" applyBorder="1" applyAlignment="1">
      <alignment horizontal="right"/>
    </xf>
    <xf numFmtId="166" fontId="12" fillId="2" borderId="2" xfId="1" applyNumberFormat="1" applyFont="1" applyFill="1" applyBorder="1" applyAlignment="1">
      <alignment horizontal="right"/>
    </xf>
    <xf numFmtId="166" fontId="12" fillId="3" borderId="0" xfId="1" applyNumberFormat="1" applyFont="1" applyFill="1" applyBorder="1" applyAlignment="1">
      <alignment horizontal="right"/>
    </xf>
    <xf numFmtId="166" fontId="12" fillId="3" borderId="2" xfId="1" applyNumberFormat="1" applyFont="1" applyFill="1" applyBorder="1" applyAlignment="1">
      <alignment horizontal="right"/>
    </xf>
    <xf numFmtId="166" fontId="12" fillId="4" borderId="0" xfId="1" applyNumberFormat="1" applyFont="1" applyFill="1" applyBorder="1" applyAlignment="1">
      <alignment horizontal="right"/>
    </xf>
    <xf numFmtId="166" fontId="12" fillId="4" borderId="2" xfId="1" applyNumberFormat="1" applyFont="1" applyFill="1" applyBorder="1" applyAlignment="1">
      <alignment horizontal="right"/>
    </xf>
    <xf numFmtId="166" fontId="12" fillId="5" borderId="0" xfId="1" applyNumberFormat="1" applyFont="1" applyFill="1" applyBorder="1" applyAlignment="1">
      <alignment horizontal="right"/>
    </xf>
    <xf numFmtId="166" fontId="12" fillId="5" borderId="2" xfId="1" applyNumberFormat="1" applyFont="1" applyFill="1" applyBorder="1" applyAlignment="1">
      <alignment horizontal="right"/>
    </xf>
    <xf numFmtId="166" fontId="12" fillId="0" borderId="0" xfId="1" applyNumberFormat="1" applyFont="1" applyBorder="1" applyAlignment="1">
      <alignment horizontal="right"/>
    </xf>
    <xf numFmtId="166" fontId="12" fillId="0" borderId="2" xfId="1" applyNumberFormat="1" applyFont="1" applyBorder="1" applyAlignment="1">
      <alignment horizontal="right"/>
    </xf>
    <xf numFmtId="166" fontId="11" fillId="6" borderId="0" xfId="1" applyNumberFormat="1" applyFont="1" applyFill="1" applyBorder="1" applyAlignment="1">
      <alignment horizontal="right"/>
    </xf>
    <xf numFmtId="166" fontId="11" fillId="7" borderId="0" xfId="1" applyNumberFormat="1" applyFont="1" applyFill="1" applyAlignment="1">
      <alignment horizontal="right"/>
    </xf>
    <xf numFmtId="3" fontId="11" fillId="0" borderId="0" xfId="1" applyNumberFormat="1" applyFont="1" applyAlignment="1">
      <alignment horizontal="right"/>
    </xf>
    <xf numFmtId="3" fontId="12" fillId="2" borderId="0" xfId="1" applyNumberFormat="1" applyFont="1" applyFill="1" applyBorder="1" applyAlignment="1">
      <alignment horizontal="right"/>
    </xf>
    <xf numFmtId="3" fontId="12" fillId="2" borderId="2" xfId="1" applyNumberFormat="1" applyFont="1" applyFill="1" applyBorder="1" applyAlignment="1">
      <alignment horizontal="right"/>
    </xf>
    <xf numFmtId="3" fontId="12" fillId="3" borderId="0" xfId="1" applyNumberFormat="1" applyFont="1" applyFill="1" applyBorder="1" applyAlignment="1">
      <alignment horizontal="right"/>
    </xf>
    <xf numFmtId="3" fontId="12" fillId="3" borderId="2" xfId="1" applyNumberFormat="1" applyFont="1" applyFill="1" applyBorder="1" applyAlignment="1">
      <alignment horizontal="right"/>
    </xf>
    <xf numFmtId="3" fontId="12" fillId="4" borderId="0" xfId="1" applyNumberFormat="1" applyFont="1" applyFill="1" applyBorder="1" applyAlignment="1">
      <alignment horizontal="right"/>
    </xf>
    <xf numFmtId="3" fontId="12" fillId="4" borderId="2" xfId="1" applyNumberFormat="1" applyFont="1" applyFill="1" applyBorder="1" applyAlignment="1">
      <alignment horizontal="right"/>
    </xf>
    <xf numFmtId="3" fontId="12" fillId="5" borderId="0" xfId="1" applyNumberFormat="1" applyFont="1" applyFill="1" applyBorder="1" applyAlignment="1">
      <alignment horizontal="right"/>
    </xf>
    <xf numFmtId="3" fontId="12" fillId="5" borderId="2" xfId="1" applyNumberFormat="1" applyFont="1" applyFill="1" applyBorder="1" applyAlignment="1">
      <alignment horizontal="right"/>
    </xf>
    <xf numFmtId="3" fontId="12" fillId="0" borderId="0" xfId="1" applyNumberFormat="1" applyFont="1" applyBorder="1" applyAlignment="1">
      <alignment horizontal="right"/>
    </xf>
    <xf numFmtId="3" fontId="12" fillId="0" borderId="2" xfId="1" applyNumberFormat="1" applyFont="1" applyBorder="1" applyAlignment="1">
      <alignment horizontal="right"/>
    </xf>
    <xf numFmtId="3" fontId="11" fillId="6" borderId="0" xfId="1" applyNumberFormat="1" applyFont="1" applyFill="1" applyBorder="1" applyAlignment="1">
      <alignment horizontal="right"/>
    </xf>
    <xf numFmtId="3" fontId="11" fillId="7" borderId="0" xfId="1" applyNumberFormat="1" applyFont="1" applyFill="1" applyAlignment="1">
      <alignment horizontal="right"/>
    </xf>
    <xf numFmtId="3" fontId="14" fillId="10" borderId="0" xfId="1" applyNumberFormat="1" applyFont="1" applyFill="1" applyBorder="1" applyAlignment="1">
      <alignment horizontal="center"/>
    </xf>
    <xf numFmtId="3" fontId="14" fillId="10" borderId="2" xfId="1" applyNumberFormat="1" applyFont="1" applyFill="1" applyBorder="1" applyAlignment="1">
      <alignment horizontal="center"/>
    </xf>
    <xf numFmtId="3" fontId="15" fillId="10" borderId="8" xfId="1" applyNumberFormat="1" applyFont="1" applyFill="1" applyBorder="1" applyAlignment="1">
      <alignment horizontal="right" vertical="center" wrapText="1"/>
    </xf>
    <xf numFmtId="3" fontId="15" fillId="10" borderId="7" xfId="1" applyNumberFormat="1" applyFont="1" applyFill="1" applyBorder="1" applyAlignment="1">
      <alignment horizontal="right" vertical="center" wrapText="1"/>
    </xf>
    <xf numFmtId="166" fontId="14" fillId="10" borderId="0" xfId="1" applyNumberFormat="1" applyFont="1" applyFill="1" applyBorder="1" applyAlignment="1">
      <alignment horizontal="center"/>
    </xf>
    <xf numFmtId="166" fontId="15" fillId="10" borderId="8" xfId="1" applyNumberFormat="1" applyFont="1" applyFill="1" applyBorder="1" applyAlignment="1">
      <alignment horizontal="right" vertical="center" wrapText="1"/>
    </xf>
    <xf numFmtId="165" fontId="11" fillId="0" borderId="0" xfId="1" applyNumberFormat="1" applyFont="1" applyAlignment="1">
      <alignment horizontal="right"/>
    </xf>
    <xf numFmtId="165" fontId="11" fillId="6" borderId="0" xfId="1" applyNumberFormat="1" applyFont="1" applyFill="1" applyBorder="1" applyAlignment="1">
      <alignment horizontal="right"/>
    </xf>
    <xf numFmtId="165" fontId="11" fillId="7" borderId="0" xfId="1" applyNumberFormat="1" applyFont="1" applyFill="1" applyAlignment="1">
      <alignment horizontal="right"/>
    </xf>
    <xf numFmtId="165" fontId="12" fillId="2" borderId="0" xfId="1" applyNumberFormat="1" applyFont="1" applyFill="1" applyBorder="1" applyAlignment="1">
      <alignment horizontal="right"/>
    </xf>
    <xf numFmtId="165" fontId="12" fillId="3" borderId="0" xfId="1" applyNumberFormat="1" applyFont="1" applyFill="1" applyBorder="1" applyAlignment="1">
      <alignment horizontal="right"/>
    </xf>
    <xf numFmtId="165" fontId="12" fillId="4" borderId="0" xfId="1" applyNumberFormat="1" applyFont="1" applyFill="1" applyBorder="1" applyAlignment="1">
      <alignment horizontal="right"/>
    </xf>
    <xf numFmtId="165" fontId="12" fillId="5" borderId="0" xfId="1" applyNumberFormat="1" applyFont="1" applyFill="1" applyBorder="1" applyAlignment="1">
      <alignment horizontal="right"/>
    </xf>
    <xf numFmtId="165" fontId="12" fillId="0" borderId="0" xfId="1" applyNumberFormat="1" applyFont="1" applyBorder="1" applyAlignment="1">
      <alignment horizontal="right"/>
    </xf>
    <xf numFmtId="165" fontId="14" fillId="10" borderId="0" xfId="1" applyNumberFormat="1" applyFont="1" applyFill="1" applyBorder="1" applyAlignment="1">
      <alignment horizontal="center"/>
    </xf>
    <xf numFmtId="165" fontId="15" fillId="10" borderId="8" xfId="1" applyNumberFormat="1" applyFont="1" applyFill="1" applyBorder="1" applyAlignment="1">
      <alignment horizontal="right" vertical="center" wrapText="1"/>
    </xf>
    <xf numFmtId="3" fontId="11" fillId="0" borderId="0" xfId="0" applyNumberFormat="1" applyFont="1" applyAlignment="1">
      <alignment horizontal="right"/>
    </xf>
    <xf numFmtId="3" fontId="12" fillId="2" borderId="0" xfId="0" applyNumberFormat="1" applyFont="1" applyFill="1" applyAlignment="1">
      <alignment horizontal="right"/>
    </xf>
    <xf numFmtId="3" fontId="12" fillId="3" borderId="0" xfId="0" applyNumberFormat="1" applyFont="1" applyFill="1" applyAlignment="1">
      <alignment horizontal="right"/>
    </xf>
    <xf numFmtId="3" fontId="12" fillId="4" borderId="0" xfId="0" applyNumberFormat="1" applyFont="1" applyFill="1" applyAlignment="1">
      <alignment horizontal="right"/>
    </xf>
    <xf numFmtId="3" fontId="12" fillId="5" borderId="0" xfId="0" applyNumberFormat="1" applyFont="1" applyFill="1" applyAlignment="1">
      <alignment horizontal="right"/>
    </xf>
    <xf numFmtId="3" fontId="12" fillId="0" borderId="0" xfId="0" applyNumberFormat="1" applyFont="1" applyAlignment="1">
      <alignment horizontal="right"/>
    </xf>
    <xf numFmtId="3" fontId="11" fillId="6" borderId="0" xfId="0" applyNumberFormat="1" applyFont="1" applyFill="1" applyBorder="1" applyAlignment="1">
      <alignment horizontal="right"/>
    </xf>
    <xf numFmtId="3" fontId="11" fillId="7" borderId="0" xfId="0" applyNumberFormat="1" applyFont="1" applyFill="1" applyAlignment="1">
      <alignment horizontal="right"/>
    </xf>
    <xf numFmtId="0" fontId="13" fillId="10" borderId="6" xfId="0" applyFont="1" applyFill="1" applyBorder="1" applyAlignment="1"/>
    <xf numFmtId="3" fontId="15" fillId="10" borderId="0" xfId="0" applyNumberFormat="1" applyFont="1" applyFill="1" applyBorder="1" applyAlignment="1">
      <alignment horizontal="center"/>
    </xf>
    <xf numFmtId="3" fontId="15" fillId="10" borderId="2" xfId="0" applyNumberFormat="1" applyFont="1" applyFill="1" applyBorder="1" applyAlignment="1">
      <alignment horizontal="center"/>
    </xf>
    <xf numFmtId="3" fontId="14" fillId="7" borderId="8" xfId="0" applyNumberFormat="1" applyFont="1" applyFill="1" applyBorder="1" applyAlignment="1">
      <alignment horizontal="right" vertical="center" wrapText="1"/>
    </xf>
    <xf numFmtId="166" fontId="14" fillId="7" borderId="7" xfId="1" applyNumberFormat="1" applyFont="1" applyFill="1" applyBorder="1" applyAlignment="1">
      <alignment horizontal="right" vertical="center" wrapText="1"/>
    </xf>
    <xf numFmtId="3" fontId="15" fillId="10" borderId="3" xfId="0" applyNumberFormat="1" applyFont="1" applyFill="1" applyBorder="1" applyAlignment="1">
      <alignment horizontal="center"/>
    </xf>
    <xf numFmtId="3" fontId="14" fillId="7" borderId="9" xfId="0" applyNumberFormat="1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3" fontId="10" fillId="7" borderId="8" xfId="0" applyNumberFormat="1" applyFont="1" applyFill="1" applyBorder="1" applyAlignment="1">
      <alignment horizontal="right" vertical="center" wrapText="1"/>
    </xf>
    <xf numFmtId="166" fontId="12" fillId="2" borderId="5" xfId="1" applyNumberFormat="1" applyFont="1" applyFill="1" applyBorder="1" applyAlignment="1">
      <alignment horizontal="right"/>
    </xf>
    <xf numFmtId="3" fontId="12" fillId="2" borderId="4" xfId="0" applyNumberFormat="1" applyFont="1" applyFill="1" applyBorder="1" applyAlignment="1">
      <alignment horizontal="right"/>
    </xf>
    <xf numFmtId="3" fontId="12" fillId="2" borderId="5" xfId="0" applyNumberFormat="1" applyFont="1" applyFill="1" applyBorder="1" applyAlignment="1">
      <alignment horizontal="right"/>
    </xf>
    <xf numFmtId="166" fontId="12" fillId="2" borderId="6" xfId="1" applyNumberFormat="1" applyFont="1" applyFill="1" applyBorder="1" applyAlignment="1">
      <alignment horizontal="right"/>
    </xf>
    <xf numFmtId="3" fontId="15" fillId="10" borderId="0" xfId="0" applyNumberFormat="1" applyFont="1" applyFill="1" applyBorder="1" applyAlignment="1">
      <alignment horizontal="right" vertical="center"/>
    </xf>
    <xf numFmtId="3" fontId="15" fillId="10" borderId="3" xfId="0" applyNumberFormat="1" applyFont="1" applyFill="1" applyBorder="1" applyAlignment="1">
      <alignment horizontal="right" vertical="center"/>
    </xf>
    <xf numFmtId="166" fontId="15" fillId="10" borderId="2" xfId="1" applyNumberFormat="1" applyFont="1" applyFill="1" applyBorder="1" applyAlignment="1">
      <alignment horizontal="right" vertical="center"/>
    </xf>
    <xf numFmtId="166" fontId="15" fillId="10" borderId="0" xfId="1" applyNumberFormat="1" applyFont="1" applyFill="1" applyBorder="1" applyAlignment="1">
      <alignment horizontal="center"/>
    </xf>
    <xf numFmtId="166" fontId="15" fillId="10" borderId="0" xfId="1" applyNumberFormat="1" applyFont="1" applyFill="1" applyBorder="1" applyAlignment="1">
      <alignment horizontal="right" vertical="center"/>
    </xf>
    <xf numFmtId="166" fontId="14" fillId="7" borderId="8" xfId="1" applyNumberFormat="1" applyFont="1" applyFill="1" applyBorder="1" applyAlignment="1">
      <alignment horizontal="right" vertical="center" wrapText="1"/>
    </xf>
    <xf numFmtId="3" fontId="15" fillId="9" borderId="0" xfId="1" applyNumberFormat="1" applyFont="1" applyFill="1" applyBorder="1" applyAlignment="1">
      <alignment horizontal="right" vertical="center"/>
    </xf>
    <xf numFmtId="3" fontId="15" fillId="10" borderId="0" xfId="1" applyNumberFormat="1" applyFont="1" applyFill="1" applyBorder="1" applyAlignment="1">
      <alignment horizontal="right" vertical="center"/>
    </xf>
    <xf numFmtId="165" fontId="15" fillId="9" borderId="0" xfId="1" applyNumberFormat="1" applyFont="1" applyFill="1" applyBorder="1" applyAlignment="1">
      <alignment horizontal="right" vertical="center"/>
    </xf>
    <xf numFmtId="3" fontId="15" fillId="9" borderId="2" xfId="1" applyNumberFormat="1" applyFont="1" applyFill="1" applyBorder="1" applyAlignment="1">
      <alignment horizontal="right" vertical="center"/>
    </xf>
    <xf numFmtId="3" fontId="16" fillId="9" borderId="8" xfId="1" applyNumberFormat="1" applyFont="1" applyFill="1" applyBorder="1" applyAlignment="1">
      <alignment horizontal="right" vertical="center"/>
    </xf>
    <xf numFmtId="166" fontId="16" fillId="9" borderId="8" xfId="1" applyNumberFormat="1" applyFont="1" applyFill="1" applyBorder="1" applyAlignment="1">
      <alignment horizontal="right" vertical="center"/>
    </xf>
    <xf numFmtId="3" fontId="16" fillId="10" borderId="8" xfId="1" applyNumberFormat="1" applyFont="1" applyFill="1" applyBorder="1" applyAlignment="1">
      <alignment horizontal="right" vertical="center"/>
    </xf>
    <xf numFmtId="166" fontId="16" fillId="10" borderId="8" xfId="1" applyNumberFormat="1" applyFont="1" applyFill="1" applyBorder="1" applyAlignment="1">
      <alignment horizontal="right" vertical="center"/>
    </xf>
    <xf numFmtId="165" fontId="16" fillId="9" borderId="8" xfId="1" applyNumberFormat="1" applyFont="1" applyFill="1" applyBorder="1" applyAlignment="1">
      <alignment horizontal="right" vertical="center"/>
    </xf>
    <xf numFmtId="3" fontId="16" fillId="9" borderId="7" xfId="1" applyNumberFormat="1" applyFont="1" applyFill="1" applyBorder="1" applyAlignment="1">
      <alignment horizontal="right" vertical="center"/>
    </xf>
    <xf numFmtId="3" fontId="16" fillId="10" borderId="8" xfId="0" applyNumberFormat="1" applyFont="1" applyFill="1" applyBorder="1" applyAlignment="1">
      <alignment horizontal="right" vertical="center"/>
    </xf>
    <xf numFmtId="166" fontId="15" fillId="10" borderId="7" xfId="1" applyNumberFormat="1" applyFont="1" applyFill="1" applyBorder="1" applyAlignment="1">
      <alignment horizontal="right" vertical="center"/>
    </xf>
    <xf numFmtId="3" fontId="15" fillId="10" borderId="9" xfId="0" applyNumberFormat="1" applyFont="1" applyFill="1" applyBorder="1" applyAlignment="1">
      <alignment horizontal="right" vertical="center"/>
    </xf>
    <xf numFmtId="3" fontId="10" fillId="7" borderId="8" xfId="0" applyNumberFormat="1" applyFont="1" applyFill="1" applyBorder="1" applyAlignment="1">
      <alignment horizontal="right" vertical="center"/>
    </xf>
    <xf numFmtId="3" fontId="2" fillId="7" borderId="0" xfId="0" applyNumberFormat="1" applyFont="1" applyFill="1" applyAlignment="1">
      <alignment horizontal="right" vertical="center"/>
    </xf>
    <xf numFmtId="3" fontId="2" fillId="7" borderId="8" xfId="0" applyNumberFormat="1" applyFont="1" applyFill="1" applyBorder="1" applyAlignment="1">
      <alignment horizontal="right" vertical="center"/>
    </xf>
    <xf numFmtId="167" fontId="0" fillId="2" borderId="1" xfId="0" applyNumberFormat="1" applyFill="1" applyBorder="1" applyAlignment="1"/>
    <xf numFmtId="3" fontId="2" fillId="7" borderId="0" xfId="0" applyNumberFormat="1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0" fontId="9" fillId="8" borderId="4" xfId="0" applyFont="1" applyFill="1" applyBorder="1" applyAlignment="1"/>
    <xf numFmtId="0" fontId="9" fillId="8" borderId="5" xfId="0" applyFont="1" applyFill="1" applyBorder="1" applyAlignment="1"/>
    <xf numFmtId="0" fontId="9" fillId="8" borderId="6" xfId="0" applyFont="1" applyFill="1" applyBorder="1" applyAlignment="1"/>
    <xf numFmtId="3" fontId="2" fillId="7" borderId="3" xfId="0" applyNumberFormat="1" applyFont="1" applyFill="1" applyBorder="1" applyAlignment="1"/>
    <xf numFmtId="3" fontId="2" fillId="7" borderId="0" xfId="0" applyNumberFormat="1" applyFont="1" applyFill="1" applyAlignment="1"/>
    <xf numFmtId="3" fontId="2" fillId="7" borderId="2" xfId="0" applyNumberFormat="1" applyFont="1" applyFill="1" applyBorder="1" applyAlignment="1"/>
    <xf numFmtId="3" fontId="13" fillId="10" borderId="4" xfId="1" applyNumberFormat="1" applyFont="1" applyFill="1" applyBorder="1" applyAlignment="1"/>
    <xf numFmtId="3" fontId="13" fillId="10" borderId="5" xfId="1" applyNumberFormat="1" applyFont="1" applyFill="1" applyBorder="1" applyAlignment="1"/>
    <xf numFmtId="3" fontId="13" fillId="10" borderId="6" xfId="1" applyNumberFormat="1" applyFont="1" applyFill="1" applyBorder="1" applyAlignment="1"/>
    <xf numFmtId="3" fontId="15" fillId="10" borderId="2" xfId="0" applyNumberFormat="1" applyFont="1" applyFill="1" applyBorder="1" applyAlignment="1"/>
    <xf numFmtId="0" fontId="19" fillId="8" borderId="5" xfId="0" applyFont="1" applyFill="1" applyBorder="1" applyAlignment="1"/>
    <xf numFmtId="3" fontId="14" fillId="7" borderId="0" xfId="0" applyNumberFormat="1" applyFont="1" applyFill="1" applyAlignment="1"/>
    <xf numFmtId="3" fontId="14" fillId="7" borderId="0" xfId="0" applyNumberFormat="1" applyFont="1" applyFill="1" applyAlignment="1">
      <alignment horizontal="right" vertical="center" wrapText="1"/>
    </xf>
    <xf numFmtId="0" fontId="11" fillId="7" borderId="0" xfId="0" applyFont="1" applyFill="1" applyAlignment="1">
      <alignment horizontal="right"/>
    </xf>
    <xf numFmtId="3" fontId="14" fillId="7" borderId="0" xfId="0" applyNumberFormat="1" applyFont="1" applyFill="1" applyAlignment="1">
      <alignment horizontal="right" wrapText="1"/>
    </xf>
    <xf numFmtId="166" fontId="15" fillId="9" borderId="2" xfId="1" applyNumberFormat="1" applyFont="1" applyFill="1" applyBorder="1" applyAlignment="1">
      <alignment horizontal="right" vertical="center"/>
    </xf>
    <xf numFmtId="166" fontId="16" fillId="9" borderId="7" xfId="1" applyNumberFormat="1" applyFont="1" applyFill="1" applyBorder="1" applyAlignment="1">
      <alignment horizontal="right" vertical="center"/>
    </xf>
    <xf numFmtId="166" fontId="15" fillId="10" borderId="7" xfId="1" applyNumberFormat="1" applyFont="1" applyFill="1" applyBorder="1" applyAlignment="1">
      <alignment horizontal="right" vertical="center" wrapText="1"/>
    </xf>
    <xf numFmtId="166" fontId="17" fillId="10" borderId="2" xfId="1" applyNumberFormat="1" applyFont="1" applyFill="1" applyBorder="1" applyAlignment="1">
      <alignment horizontal="right" vertical="center"/>
    </xf>
    <xf numFmtId="166" fontId="18" fillId="10" borderId="7" xfId="1" applyNumberFormat="1" applyFont="1" applyFill="1" applyBorder="1" applyAlignment="1">
      <alignment horizontal="right" vertical="center"/>
    </xf>
    <xf numFmtId="166" fontId="14" fillId="10" borderId="2" xfId="1" applyNumberFormat="1" applyFont="1" applyFill="1" applyBorder="1" applyAlignment="1">
      <alignment horizontal="center"/>
    </xf>
    <xf numFmtId="3" fontId="20" fillId="7" borderId="0" xfId="0" applyNumberFormat="1" applyFont="1" applyFill="1" applyAlignment="1">
      <alignment horizontal="right" vertical="center"/>
    </xf>
    <xf numFmtId="166" fontId="21" fillId="10" borderId="0" xfId="1" applyNumberFormat="1" applyFont="1" applyFill="1" applyBorder="1" applyAlignment="1">
      <alignment horizontal="right" vertical="center"/>
    </xf>
    <xf numFmtId="166" fontId="21" fillId="10" borderId="8" xfId="1" applyNumberFormat="1" applyFont="1" applyFill="1" applyBorder="1" applyAlignment="1">
      <alignment horizontal="right" vertical="center"/>
    </xf>
    <xf numFmtId="3" fontId="2" fillId="7" borderId="3" xfId="0" applyNumberFormat="1" applyFont="1" applyFill="1" applyBorder="1" applyAlignment="1">
      <alignment horizontal="center"/>
    </xf>
    <xf numFmtId="0" fontId="9" fillId="8" borderId="10" xfId="0" applyFont="1" applyFill="1" applyBorder="1" applyAlignment="1"/>
    <xf numFmtId="3" fontId="22" fillId="7" borderId="1" xfId="0" applyNumberFormat="1" applyFont="1" applyFill="1" applyBorder="1" applyAlignment="1">
      <alignment horizontal="left"/>
    </xf>
    <xf numFmtId="3" fontId="2" fillId="7" borderId="2" xfId="0" applyNumberFormat="1" applyFont="1" applyFill="1" applyBorder="1" applyAlignment="1">
      <alignment horizontal="right" vertical="center"/>
    </xf>
    <xf numFmtId="3" fontId="10" fillId="7" borderId="7" xfId="0" applyNumberFormat="1" applyFont="1" applyFill="1" applyBorder="1" applyAlignment="1">
      <alignment horizontal="right" vertical="center"/>
    </xf>
    <xf numFmtId="3" fontId="2" fillId="7" borderId="7" xfId="0" applyNumberFormat="1" applyFont="1" applyFill="1" applyBorder="1" applyAlignment="1">
      <alignment horizontal="right" vertical="center" wrapText="1"/>
    </xf>
    <xf numFmtId="3" fontId="3" fillId="2" borderId="2" xfId="0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3" borderId="1" xfId="1" applyNumberFormat="1" applyFont="1" applyFill="1" applyBorder="1" applyAlignment="1">
      <alignment horizontal="right"/>
    </xf>
    <xf numFmtId="3" fontId="12" fillId="4" borderId="1" xfId="1" applyNumberFormat="1" applyFont="1" applyFill="1" applyBorder="1" applyAlignment="1">
      <alignment horizontal="right"/>
    </xf>
    <xf numFmtId="3" fontId="12" fillId="5" borderId="1" xfId="1" applyNumberFormat="1" applyFont="1" applyFill="1" applyBorder="1" applyAlignment="1">
      <alignment horizontal="right"/>
    </xf>
    <xf numFmtId="3" fontId="12" fillId="0" borderId="1" xfId="1" applyNumberFormat="1" applyFont="1" applyBorder="1" applyAlignment="1">
      <alignment horizontal="right"/>
    </xf>
    <xf numFmtId="0" fontId="13" fillId="10" borderId="4" xfId="0" applyFont="1" applyFill="1" applyBorder="1" applyAlignment="1">
      <alignment vertical="center" wrapText="1"/>
    </xf>
    <xf numFmtId="0" fontId="13" fillId="10" borderId="5" xfId="0" applyFont="1" applyFill="1" applyBorder="1" applyAlignment="1">
      <alignment vertical="center" wrapText="1"/>
    </xf>
    <xf numFmtId="0" fontId="13" fillId="10" borderId="3" xfId="0" applyFont="1" applyFill="1" applyBorder="1" applyAlignment="1">
      <alignment vertical="center" wrapText="1"/>
    </xf>
    <xf numFmtId="0" fontId="13" fillId="10" borderId="0" xfId="0" applyFont="1" applyFill="1" applyBorder="1" applyAlignment="1">
      <alignment vertical="center" wrapText="1"/>
    </xf>
    <xf numFmtId="3" fontId="5" fillId="7" borderId="0" xfId="0" applyNumberFormat="1" applyFont="1" applyFill="1" applyAlignment="1">
      <alignment horizontal="center"/>
    </xf>
    <xf numFmtId="3" fontId="15" fillId="9" borderId="0" xfId="1" applyNumberFormat="1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6"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884"/>
  <ax:ocxPr ax:name="_ExtentY" ax:value="847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704"/>
  <ax:ocxPr ax:name="_ExtentY" ax:value="105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21166</xdr:rowOff>
    </xdr:from>
    <xdr:to>
      <xdr:col>8</xdr:col>
      <xdr:colOff>381000</xdr:colOff>
      <xdr:row>12</xdr:row>
      <xdr:rowOff>172450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66"/>
          <a:ext cx="7789333" cy="722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504825</xdr:colOff>
          <xdr:row>14</xdr:row>
          <xdr:rowOff>342900</xdr:rowOff>
        </xdr:from>
        <xdr:to>
          <xdr:col>14</xdr:col>
          <xdr:colOff>114300</xdr:colOff>
          <xdr:row>16</xdr:row>
          <xdr:rowOff>85725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21166</xdr:rowOff>
    </xdr:from>
    <xdr:to>
      <xdr:col>6</xdr:col>
      <xdr:colOff>455083</xdr:colOff>
      <xdr:row>12</xdr:row>
      <xdr:rowOff>172450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5666"/>
          <a:ext cx="7789333" cy="722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</xdr:row>
          <xdr:rowOff>85725</xdr:rowOff>
        </xdr:from>
        <xdr:to>
          <xdr:col>11</xdr:col>
          <xdr:colOff>219075</xdr:colOff>
          <xdr:row>15</xdr:row>
          <xdr:rowOff>180975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AQ549"/>
  <sheetViews>
    <sheetView showGridLines="0" showZeros="0" tabSelected="1" topLeftCell="B1" zoomScale="90" zoomScaleNormal="90" workbookViewId="0">
      <pane xSplit="2" ySplit="24" topLeftCell="F25" activePane="bottomRight" state="frozen"/>
      <selection activeCell="B10" sqref="B10"/>
      <selection pane="topRight" activeCell="D10" sqref="D10"/>
      <selection pane="bottomLeft" activeCell="B28" sqref="B28"/>
      <selection pane="bottomRight" activeCell="C15" sqref="C15"/>
    </sheetView>
  </sheetViews>
  <sheetFormatPr defaultColWidth="0" defaultRowHeight="15" zeroHeight="1" x14ac:dyDescent="0.25"/>
  <cols>
    <col min="1" max="1" width="0" hidden="1" customWidth="1"/>
    <col min="2" max="2" width="41.7109375" customWidth="1"/>
    <col min="3" max="3" width="47.7109375" customWidth="1"/>
    <col min="4" max="4" width="6" style="22" hidden="1" customWidth="1"/>
    <col min="5" max="5" width="10.7109375" style="22" hidden="1" customWidth="1"/>
    <col min="6" max="6" width="10.7109375" style="22" customWidth="1"/>
    <col min="7" max="7" width="10.7109375" style="22" hidden="1" customWidth="1"/>
    <col min="8" max="8" width="10.7109375" style="22" customWidth="1"/>
    <col min="9" max="9" width="9.7109375" style="23" customWidth="1"/>
    <col min="10" max="10" width="10.5703125" style="22" hidden="1" customWidth="1"/>
    <col min="11" max="11" width="10.7109375" style="22" hidden="1" customWidth="1"/>
    <col min="12" max="12" width="10.7109375" style="22" customWidth="1"/>
    <col min="13" max="13" width="10.7109375" style="22" hidden="1" customWidth="1"/>
    <col min="14" max="14" width="10.7109375" style="22" customWidth="1"/>
    <col min="15" max="15" width="9.7109375" style="23" customWidth="1"/>
    <col min="16" max="16" width="6" style="22" hidden="1" customWidth="1"/>
    <col min="17" max="17" width="10.7109375" style="22" hidden="1" customWidth="1"/>
    <col min="18" max="18" width="10.7109375" style="22" customWidth="1"/>
    <col min="19" max="19" width="10.7109375" style="22" hidden="1" customWidth="1"/>
    <col min="20" max="20" width="10.7109375" style="22" customWidth="1"/>
    <col min="21" max="21" width="9.7109375" style="23" customWidth="1"/>
    <col min="22" max="22" width="8.7109375" style="62" hidden="1" customWidth="1"/>
    <col min="23" max="23" width="8.7109375" style="49" hidden="1" customWidth="1"/>
    <col min="24" max="24" width="8.7109375" style="62" customWidth="1"/>
    <col min="25" max="25" width="8.7109375" style="49" customWidth="1"/>
    <col min="26" max="26" width="8.7109375" style="62" customWidth="1"/>
    <col min="27" max="27" width="8.7109375" style="49" customWidth="1"/>
    <col min="28" max="28" width="8.7109375" style="81" customWidth="1"/>
    <col min="29" max="29" width="8.7109375" style="62" customWidth="1"/>
    <col min="30" max="30" width="5.42578125" style="22" hidden="1" customWidth="1"/>
    <col min="31" max="31" width="13.42578125" style="22" hidden="1" customWidth="1"/>
    <col min="32" max="32" width="19.7109375" style="22" customWidth="1"/>
    <col min="33" max="33" width="6.85546875" style="91" hidden="1" customWidth="1"/>
    <col min="34" max="34" width="8.7109375" style="49" hidden="1" customWidth="1"/>
    <col min="35" max="35" width="16.7109375" style="91" customWidth="1"/>
    <col min="36" max="36" width="8.7109375" style="49" hidden="1" customWidth="1"/>
    <col min="37" max="37" width="0.7109375" style="91" customWidth="1"/>
    <col min="38" max="38" width="0.7109375" style="49" customWidth="1"/>
    <col min="39" max="40" width="1.140625" customWidth="1"/>
    <col min="41" max="41" width="1" customWidth="1"/>
    <col min="42" max="42" width="1.140625" hidden="1" customWidth="1"/>
    <col min="43" max="43" width="1" hidden="1" customWidth="1"/>
    <col min="44" max="16384" width="12.28515625" hidden="1"/>
  </cols>
  <sheetData>
    <row r="1" spans="1:39" ht="12.75" hidden="1" customHeight="1" x14ac:dyDescent="0.25">
      <c r="A1" t="s">
        <v>11</v>
      </c>
    </row>
    <row r="2" spans="1:39" ht="17.25" hidden="1" customHeight="1" x14ac:dyDescent="0.25">
      <c r="A2">
        <f>0</f>
        <v>0</v>
      </c>
      <c r="B2" s="1"/>
      <c r="C2" s="2"/>
      <c r="D2" s="24"/>
      <c r="E2" s="24"/>
      <c r="F2" s="24"/>
      <c r="G2" s="24"/>
      <c r="H2" s="24"/>
      <c r="I2" s="25"/>
      <c r="J2" s="24"/>
      <c r="K2" s="24"/>
      <c r="L2" s="24"/>
      <c r="M2" s="24"/>
      <c r="N2" s="24"/>
      <c r="O2" s="25"/>
      <c r="P2" s="24"/>
      <c r="Q2" s="24"/>
      <c r="R2" s="24"/>
      <c r="S2" s="24"/>
      <c r="T2" s="24"/>
      <c r="U2" s="25"/>
      <c r="V2" s="63"/>
      <c r="W2" s="51"/>
      <c r="X2" s="63"/>
      <c r="Y2" s="51"/>
      <c r="Z2" s="63"/>
      <c r="AA2" s="50"/>
      <c r="AB2" s="84"/>
      <c r="AC2" s="64"/>
      <c r="AD2" s="63"/>
      <c r="AE2" s="63"/>
      <c r="AF2" s="64"/>
      <c r="AG2" s="63"/>
      <c r="AH2" s="50"/>
      <c r="AI2" s="173"/>
      <c r="AJ2" s="50"/>
      <c r="AK2" s="50"/>
      <c r="AL2" s="64"/>
      <c r="AM2" s="106"/>
    </row>
    <row r="3" spans="1:39" ht="6.75" hidden="1" customHeight="1" x14ac:dyDescent="0.25">
      <c r="A3">
        <f>1</f>
        <v>1</v>
      </c>
      <c r="B3" s="2"/>
      <c r="C3" s="13"/>
      <c r="D3" s="26"/>
      <c r="E3" s="26"/>
      <c r="F3" s="26"/>
      <c r="G3" s="26"/>
      <c r="H3" s="26"/>
      <c r="I3" s="27"/>
      <c r="J3" s="26"/>
      <c r="K3" s="26"/>
      <c r="L3" s="26"/>
      <c r="M3" s="26"/>
      <c r="N3" s="26"/>
      <c r="O3" s="27"/>
      <c r="P3" s="26"/>
      <c r="Q3" s="26"/>
      <c r="R3" s="26"/>
      <c r="S3" s="26"/>
      <c r="T3" s="26"/>
      <c r="U3" s="27"/>
      <c r="V3" s="65"/>
      <c r="W3" s="53"/>
      <c r="X3" s="65"/>
      <c r="Y3" s="53"/>
      <c r="Z3" s="65"/>
      <c r="AA3" s="52"/>
      <c r="AB3" s="85"/>
      <c r="AC3" s="66"/>
      <c r="AD3" s="65"/>
      <c r="AE3" s="65"/>
      <c r="AF3" s="66"/>
      <c r="AG3" s="65"/>
      <c r="AH3" s="52"/>
      <c r="AI3" s="174"/>
      <c r="AJ3" s="52"/>
      <c r="AK3" s="52"/>
      <c r="AL3" s="66"/>
      <c r="AM3" s="106"/>
    </row>
    <row r="4" spans="1:39" ht="12" hidden="1" customHeight="1" x14ac:dyDescent="0.25">
      <c r="A4">
        <f>2</f>
        <v>2</v>
      </c>
      <c r="B4" s="2"/>
      <c r="C4" s="14"/>
      <c r="D4" s="28"/>
      <c r="E4" s="28"/>
      <c r="F4" s="28"/>
      <c r="G4" s="28"/>
      <c r="H4" s="28"/>
      <c r="I4" s="29"/>
      <c r="J4" s="28"/>
      <c r="K4" s="28"/>
      <c r="L4" s="28"/>
      <c r="M4" s="28"/>
      <c r="N4" s="28"/>
      <c r="O4" s="29"/>
      <c r="P4" s="28"/>
      <c r="Q4" s="28"/>
      <c r="R4" s="28"/>
      <c r="S4" s="28"/>
      <c r="T4" s="28"/>
      <c r="U4" s="29"/>
      <c r="V4" s="67"/>
      <c r="W4" s="55"/>
      <c r="X4" s="67"/>
      <c r="Y4" s="55"/>
      <c r="Z4" s="67"/>
      <c r="AA4" s="54"/>
      <c r="AB4" s="86"/>
      <c r="AC4" s="68"/>
      <c r="AD4" s="67"/>
      <c r="AE4" s="67"/>
      <c r="AF4" s="68"/>
      <c r="AG4" s="67"/>
      <c r="AH4" s="54"/>
      <c r="AI4" s="175"/>
      <c r="AJ4" s="54"/>
      <c r="AK4" s="54"/>
      <c r="AL4" s="68"/>
      <c r="AM4" s="106"/>
    </row>
    <row r="5" spans="1:39" ht="19.5" hidden="1" customHeight="1" x14ac:dyDescent="0.25">
      <c r="A5">
        <f>3</f>
        <v>3</v>
      </c>
      <c r="B5" s="2"/>
      <c r="C5" s="15"/>
      <c r="D5" s="30"/>
      <c r="E5" s="30"/>
      <c r="F5" s="30"/>
      <c r="G5" s="30"/>
      <c r="H5" s="30"/>
      <c r="I5" s="31"/>
      <c r="J5" s="30"/>
      <c r="K5" s="30"/>
      <c r="L5" s="30"/>
      <c r="M5" s="30"/>
      <c r="N5" s="30"/>
      <c r="O5" s="31"/>
      <c r="P5" s="30"/>
      <c r="Q5" s="30"/>
      <c r="R5" s="30"/>
      <c r="S5" s="30"/>
      <c r="T5" s="30"/>
      <c r="U5" s="31"/>
      <c r="V5" s="69"/>
      <c r="W5" s="57"/>
      <c r="X5" s="69"/>
      <c r="Y5" s="57"/>
      <c r="Z5" s="69"/>
      <c r="AA5" s="56"/>
      <c r="AB5" s="87"/>
      <c r="AC5" s="70"/>
      <c r="AD5" s="69"/>
      <c r="AE5" s="69"/>
      <c r="AF5" s="70"/>
      <c r="AG5" s="69"/>
      <c r="AH5" s="56"/>
      <c r="AI5" s="176"/>
      <c r="AJ5" s="56"/>
      <c r="AK5" s="56"/>
      <c r="AL5" s="70"/>
      <c r="AM5" s="106"/>
    </row>
    <row r="6" spans="1:39" ht="10.5" hidden="1" customHeight="1" x14ac:dyDescent="0.25">
      <c r="A6" t="s">
        <v>9</v>
      </c>
      <c r="B6" s="2"/>
      <c r="C6" s="13"/>
      <c r="D6" s="26"/>
      <c r="E6" s="26"/>
      <c r="F6" s="26"/>
      <c r="G6" s="26"/>
      <c r="H6" s="26"/>
      <c r="I6" s="27"/>
      <c r="J6" s="26"/>
      <c r="K6" s="26"/>
      <c r="L6" s="26"/>
      <c r="M6" s="26"/>
      <c r="N6" s="26"/>
      <c r="O6" s="27"/>
      <c r="P6" s="26"/>
      <c r="Q6" s="26"/>
      <c r="R6" s="26"/>
      <c r="S6" s="26"/>
      <c r="T6" s="26"/>
      <c r="U6" s="27"/>
      <c r="V6" s="65"/>
      <c r="W6" s="53"/>
      <c r="X6" s="65"/>
      <c r="Y6" s="53"/>
      <c r="Z6" s="65"/>
      <c r="AA6" s="52"/>
      <c r="AB6" s="85"/>
      <c r="AC6" s="66"/>
      <c r="AD6" s="65"/>
      <c r="AE6" s="65"/>
      <c r="AF6" s="66"/>
      <c r="AG6" s="65"/>
      <c r="AH6" s="52"/>
      <c r="AI6" s="174"/>
      <c r="AJ6" s="52"/>
      <c r="AK6" s="52"/>
      <c r="AL6" s="66"/>
      <c r="AM6" s="106"/>
    </row>
    <row r="7" spans="1:39" ht="10.5" hidden="1" customHeight="1" x14ac:dyDescent="0.25">
      <c r="A7" t="s">
        <v>10</v>
      </c>
      <c r="B7" s="2"/>
      <c r="C7" s="16"/>
      <c r="D7" s="32"/>
      <c r="E7" s="32"/>
      <c r="F7" s="32"/>
      <c r="G7" s="32"/>
      <c r="H7" s="32"/>
      <c r="I7" s="33"/>
      <c r="J7" s="32"/>
      <c r="K7" s="32"/>
      <c r="L7" s="32"/>
      <c r="M7" s="32"/>
      <c r="N7" s="32"/>
      <c r="O7" s="33"/>
      <c r="P7" s="32"/>
      <c r="Q7" s="32"/>
      <c r="R7" s="32"/>
      <c r="S7" s="32"/>
      <c r="T7" s="32"/>
      <c r="U7" s="33"/>
      <c r="V7" s="71"/>
      <c r="W7" s="59"/>
      <c r="X7" s="71"/>
      <c r="Y7" s="59"/>
      <c r="Z7" s="71"/>
      <c r="AA7" s="58"/>
      <c r="AB7" s="88"/>
      <c r="AC7" s="72"/>
      <c r="AD7" s="71"/>
      <c r="AE7" s="71"/>
      <c r="AF7" s="72"/>
      <c r="AG7" s="71"/>
      <c r="AH7" s="58"/>
      <c r="AI7" s="177"/>
      <c r="AJ7" s="58"/>
      <c r="AK7" s="58"/>
      <c r="AL7" s="72"/>
      <c r="AM7" s="106"/>
    </row>
    <row r="8" spans="1:39" ht="19.5" hidden="1" customHeight="1" x14ac:dyDescent="0.25">
      <c r="A8" t="s">
        <v>12</v>
      </c>
    </row>
    <row r="9" spans="1:39" ht="49.5" hidden="1" customHeight="1" x14ac:dyDescent="0.25">
      <c r="B9" t="str">
        <f ca="1">_xll.TM1RPTVIEW("CXMD:FTM_DATA_MARGIN:ARPT1", 1, _xll.TM1RPTTITLE("CXMD:DIM_Origin_Company",$C$15),_xll.TM1RPTTITLE("CXMD:FTM_Customer_Supplier",$C$16),TM1RPTFMTRNG,TM1RPTFMTIDCOL)</f>
        <v>CXMD:FTM_DATA_MARGIN:ARPT1</v>
      </c>
    </row>
    <row r="10" spans="1:39" x14ac:dyDescent="0.25">
      <c r="B10" s="3"/>
      <c r="C10" s="3"/>
      <c r="D10" s="34"/>
      <c r="E10" s="34"/>
      <c r="F10" s="34"/>
      <c r="G10" s="34"/>
      <c r="H10" s="34"/>
      <c r="I10" s="35"/>
      <c r="J10" s="34"/>
      <c r="K10" s="34"/>
      <c r="L10" s="34"/>
      <c r="M10" s="34"/>
      <c r="N10" s="34"/>
      <c r="O10" s="35"/>
      <c r="P10" s="34"/>
      <c r="Q10" s="34"/>
      <c r="R10" s="34"/>
      <c r="S10" s="34"/>
      <c r="T10" s="34"/>
      <c r="U10" s="35"/>
      <c r="V10" s="73"/>
      <c r="W10" s="60"/>
      <c r="X10" s="73"/>
      <c r="Y10" s="60"/>
      <c r="Z10" s="73"/>
      <c r="AA10" s="60"/>
      <c r="AB10" s="82"/>
      <c r="AC10" s="73"/>
      <c r="AD10" s="34"/>
      <c r="AE10" s="34"/>
      <c r="AF10" s="34"/>
      <c r="AG10" s="97"/>
      <c r="AH10" s="60"/>
      <c r="AI10" s="97"/>
      <c r="AJ10" s="60"/>
      <c r="AK10" s="97"/>
      <c r="AL10" s="60"/>
    </row>
    <row r="11" spans="1:39" x14ac:dyDescent="0.25">
      <c r="B11" s="3"/>
      <c r="C11" s="3"/>
      <c r="D11" s="34"/>
      <c r="E11" s="34"/>
      <c r="F11" s="34"/>
      <c r="G11" s="34"/>
      <c r="H11" s="34"/>
      <c r="I11" s="35"/>
      <c r="J11" s="34"/>
      <c r="K11" s="34"/>
      <c r="L11" s="34"/>
      <c r="M11" s="34"/>
      <c r="N11" s="34"/>
      <c r="O11" s="35"/>
      <c r="P11" s="34"/>
      <c r="Q11" s="34"/>
      <c r="R11" s="34"/>
      <c r="S11" s="34"/>
      <c r="T11" s="34"/>
      <c r="U11" s="35"/>
      <c r="V11" s="73"/>
      <c r="W11" s="60"/>
      <c r="X11" s="73"/>
      <c r="Y11" s="60"/>
      <c r="Z11" s="73"/>
      <c r="AA11" s="60"/>
      <c r="AB11" s="82"/>
      <c r="AC11" s="73"/>
      <c r="AD11" s="34"/>
      <c r="AE11" s="34"/>
      <c r="AF11" s="34"/>
      <c r="AG11" s="97"/>
      <c r="AH11" s="60"/>
      <c r="AI11" s="97"/>
      <c r="AJ11" s="60"/>
      <c r="AK11" s="97"/>
      <c r="AL11" s="60"/>
    </row>
    <row r="12" spans="1:39" x14ac:dyDescent="0.25">
      <c r="B12" s="3"/>
      <c r="C12" s="3"/>
      <c r="D12" s="34"/>
      <c r="E12" s="34"/>
      <c r="F12" s="34"/>
      <c r="G12" s="34"/>
      <c r="H12" s="34"/>
      <c r="I12" s="35"/>
      <c r="J12" s="34"/>
      <c r="K12" s="34"/>
      <c r="L12" s="34"/>
      <c r="M12" s="34"/>
      <c r="N12" s="34"/>
      <c r="O12" s="35"/>
      <c r="P12" s="34"/>
      <c r="Q12" s="34"/>
      <c r="R12" s="34"/>
      <c r="S12" s="34"/>
      <c r="T12" s="34"/>
      <c r="U12" s="35"/>
      <c r="V12" s="73"/>
      <c r="W12" s="60"/>
      <c r="X12" s="73"/>
      <c r="Y12" s="60"/>
      <c r="Z12" s="73"/>
      <c r="AA12" s="60"/>
      <c r="AB12" s="82"/>
      <c r="AC12" s="73"/>
      <c r="AD12" s="34"/>
      <c r="AE12" s="34"/>
      <c r="AF12" s="34"/>
      <c r="AG12" s="97"/>
      <c r="AH12" s="60"/>
      <c r="AI12" s="97"/>
      <c r="AJ12" s="60"/>
      <c r="AK12" s="97"/>
      <c r="AL12" s="60"/>
    </row>
    <row r="13" spans="1:39" x14ac:dyDescent="0.25">
      <c r="B13" s="3"/>
      <c r="C13" s="3"/>
      <c r="D13" s="34"/>
      <c r="E13" s="34"/>
      <c r="F13" s="34"/>
      <c r="G13" s="34"/>
      <c r="H13" s="34"/>
      <c r="I13" s="35"/>
      <c r="J13" s="34"/>
      <c r="K13" s="34"/>
      <c r="L13" s="34"/>
      <c r="M13" s="34"/>
      <c r="N13" s="34"/>
      <c r="O13" s="35"/>
      <c r="P13" s="34"/>
      <c r="Q13" s="34"/>
      <c r="R13" s="34"/>
      <c r="S13" s="34"/>
      <c r="T13" s="34"/>
      <c r="U13" s="35"/>
      <c r="V13" s="73"/>
      <c r="W13" s="60"/>
      <c r="X13" s="73"/>
      <c r="Y13" s="60"/>
      <c r="Z13" s="73"/>
      <c r="AA13" s="60"/>
      <c r="AB13" s="82"/>
      <c r="AC13" s="73"/>
      <c r="AD13" s="34"/>
      <c r="AE13" s="34"/>
      <c r="AF13" s="34"/>
      <c r="AG13" s="97"/>
      <c r="AH13" s="60"/>
      <c r="AI13" s="97"/>
      <c r="AJ13" s="60"/>
      <c r="AK13" s="97"/>
      <c r="AL13" s="60"/>
    </row>
    <row r="14" spans="1:39" hidden="1" x14ac:dyDescent="0.25">
      <c r="B14" s="4"/>
      <c r="C14" s="7"/>
      <c r="D14" s="36"/>
      <c r="E14" s="36"/>
      <c r="F14" s="36"/>
      <c r="G14" s="36"/>
      <c r="H14" s="36"/>
      <c r="I14" s="38" t="str">
        <f ca="1">CONCATENATE(_xll.DBRA("CXMD:DIM_Origin_Company",C15,"Origin Company"),"_SALES")</f>
        <v>Y_SALES</v>
      </c>
      <c r="J14" s="36"/>
      <c r="K14" s="36"/>
      <c r="L14" s="36"/>
      <c r="M14" s="36"/>
      <c r="N14" s="36"/>
      <c r="O14" s="37"/>
      <c r="P14" s="36"/>
      <c r="Q14" s="36"/>
      <c r="R14" s="36"/>
      <c r="S14" s="36"/>
      <c r="T14" s="36"/>
      <c r="U14" s="37"/>
      <c r="V14" s="74"/>
      <c r="W14" s="61"/>
      <c r="X14" s="74"/>
      <c r="Y14" s="61"/>
      <c r="Z14" s="74"/>
      <c r="AA14" s="61"/>
      <c r="AB14" s="83"/>
      <c r="AC14" s="74"/>
      <c r="AD14" s="36"/>
      <c r="AE14" s="36"/>
      <c r="AF14" s="36"/>
      <c r="AG14" s="98"/>
      <c r="AH14" s="61"/>
      <c r="AI14" s="98"/>
      <c r="AJ14" s="61"/>
      <c r="AK14" s="98"/>
      <c r="AL14" s="61"/>
    </row>
    <row r="15" spans="1:39" ht="29.25" customHeight="1" x14ac:dyDescent="0.35">
      <c r="B15" s="4" t="s">
        <v>0</v>
      </c>
      <c r="C15" s="7" t="str">
        <f ca="1">_xll.SUBNM("CXMD:DIM_Origin_Company","","Y","Name EN")</f>
        <v>SILVA</v>
      </c>
      <c r="D15" s="36"/>
      <c r="E15" s="36"/>
      <c r="F15" s="36"/>
      <c r="G15" s="36"/>
      <c r="H15" s="36"/>
      <c r="I15" s="182" t="s">
        <v>57</v>
      </c>
      <c r="J15" s="39"/>
      <c r="K15" s="36"/>
      <c r="L15" s="36"/>
      <c r="M15" s="36"/>
      <c r="N15" s="36"/>
      <c r="O15" s="37"/>
      <c r="P15" s="36"/>
      <c r="Q15" s="36"/>
      <c r="R15" s="36"/>
      <c r="S15" s="36"/>
      <c r="T15" s="36"/>
      <c r="U15" s="37"/>
      <c r="V15" s="74"/>
      <c r="W15" s="61"/>
      <c r="X15" s="74"/>
      <c r="Y15" s="61"/>
      <c r="Z15" s="74"/>
      <c r="AA15" s="61"/>
      <c r="AB15" s="83"/>
      <c r="AC15" s="74"/>
      <c r="AD15" s="36"/>
      <c r="AE15" s="36"/>
      <c r="AF15" s="36"/>
      <c r="AG15" s="98"/>
      <c r="AH15" s="61"/>
      <c r="AI15" s="98"/>
      <c r="AJ15" s="61"/>
      <c r="AK15" s="98"/>
      <c r="AL15" s="61"/>
    </row>
    <row r="16" spans="1:39" x14ac:dyDescent="0.25">
      <c r="B16" s="4" t="s">
        <v>1</v>
      </c>
      <c r="C16" s="7" t="str">
        <f ca="1">_xll.SUBNM("CXMD:DIM_Customer_Supplier","","Total_Customer_Supplier")</f>
        <v>Total_Customer_Supplier</v>
      </c>
      <c r="D16" s="36"/>
      <c r="E16" s="36"/>
      <c r="F16" s="36"/>
      <c r="G16" s="36"/>
      <c r="H16" s="36"/>
      <c r="I16" s="37"/>
      <c r="J16" s="36"/>
      <c r="K16" s="36"/>
      <c r="L16" s="36"/>
      <c r="M16" s="36"/>
      <c r="N16" s="36"/>
      <c r="O16" s="37"/>
      <c r="P16" s="36"/>
      <c r="Q16" s="36"/>
      <c r="R16" s="36"/>
      <c r="S16" s="36"/>
      <c r="T16" s="36"/>
      <c r="U16" s="37"/>
      <c r="V16" s="74"/>
      <c r="W16" s="61"/>
      <c r="X16" s="74"/>
      <c r="Y16" s="61"/>
      <c r="Z16" s="74"/>
      <c r="AA16" s="61"/>
      <c r="AB16" s="83"/>
      <c r="AC16" s="74"/>
      <c r="AD16" s="36"/>
      <c r="AE16" s="36"/>
      <c r="AF16" s="36"/>
      <c r="AG16" s="98"/>
      <c r="AH16" s="61"/>
      <c r="AI16" s="98"/>
      <c r="AJ16" s="61"/>
      <c r="AK16" s="98"/>
      <c r="AL16" s="61"/>
    </row>
    <row r="17" spans="1:39" ht="7.5" customHeight="1" x14ac:dyDescent="0.25">
      <c r="B17" s="5"/>
      <c r="C17" s="5"/>
      <c r="D17" s="36"/>
      <c r="E17" s="36"/>
      <c r="F17" s="36"/>
      <c r="G17" s="36"/>
      <c r="H17" s="36"/>
      <c r="I17" s="37"/>
      <c r="J17" s="36"/>
      <c r="K17" s="36"/>
      <c r="L17" s="36"/>
      <c r="M17" s="36"/>
      <c r="N17" s="36"/>
      <c r="O17" s="37"/>
      <c r="P17" s="36"/>
      <c r="Q17" s="36"/>
      <c r="R17" s="36"/>
      <c r="S17" s="36"/>
      <c r="T17" s="36"/>
      <c r="U17" s="37"/>
      <c r="V17" s="74"/>
      <c r="W17" s="61"/>
      <c r="X17" s="74"/>
      <c r="Y17" s="61"/>
      <c r="Z17" s="74"/>
      <c r="AA17" s="61"/>
      <c r="AB17" s="83"/>
      <c r="AC17" s="74"/>
      <c r="AD17" s="36"/>
      <c r="AE17" s="36"/>
      <c r="AF17" s="36"/>
      <c r="AG17" s="98"/>
      <c r="AH17" s="61"/>
      <c r="AI17" s="98"/>
      <c r="AJ17" s="61"/>
      <c r="AK17" s="98"/>
      <c r="AL17" s="61"/>
    </row>
    <row r="18" spans="1:39" ht="7.5" customHeight="1" x14ac:dyDescent="0.25">
      <c r="B18" s="5"/>
      <c r="C18" s="5"/>
      <c r="D18" s="36"/>
      <c r="E18" s="36"/>
      <c r="F18" s="36"/>
      <c r="G18" s="36"/>
      <c r="H18" s="36"/>
      <c r="I18" s="37"/>
      <c r="J18" s="36"/>
      <c r="K18" s="36"/>
      <c r="L18" s="36"/>
      <c r="M18" s="36"/>
      <c r="N18" s="36"/>
      <c r="O18" s="37"/>
      <c r="P18" s="36"/>
      <c r="Q18" s="36"/>
      <c r="R18" s="36"/>
      <c r="S18" s="36"/>
      <c r="T18" s="36"/>
      <c r="U18" s="37"/>
      <c r="V18" s="74"/>
      <c r="W18" s="61"/>
      <c r="X18" s="74"/>
      <c r="Y18" s="61"/>
      <c r="Z18" s="74"/>
      <c r="AA18" s="61"/>
      <c r="AB18" s="83"/>
      <c r="AC18" s="74"/>
      <c r="AD18" s="36"/>
      <c r="AE18" s="36"/>
      <c r="AF18" s="36"/>
      <c r="AG18" s="98"/>
      <c r="AH18" s="61"/>
      <c r="AI18" s="98"/>
      <c r="AJ18" s="61"/>
      <c r="AK18" s="98"/>
      <c r="AL18" s="61"/>
    </row>
    <row r="19" spans="1:39" ht="15.75" customHeight="1" x14ac:dyDescent="0.25">
      <c r="B19" s="5"/>
      <c r="C19" s="8" t="s">
        <v>16</v>
      </c>
      <c r="D19" s="142"/>
      <c r="E19" s="143"/>
      <c r="F19" s="142" t="str">
        <f ca="1">_xll.SUBNM("CXMD:Actuality","","AC2022","Description EN")</f>
        <v>AC2022</v>
      </c>
      <c r="G19" s="143"/>
      <c r="H19" s="143"/>
      <c r="I19" s="144"/>
      <c r="J19" s="142"/>
      <c r="K19" s="143"/>
      <c r="L19" s="142" t="str">
        <f ca="1">_xll.SUBNM("CXMD:Actuality","","AC2022","Description EN")</f>
        <v>AC2022</v>
      </c>
      <c r="M19" s="143"/>
      <c r="N19" s="143"/>
      <c r="O19" s="144"/>
      <c r="P19" s="142">
        <f>J19</f>
        <v>0</v>
      </c>
      <c r="Q19" s="143"/>
      <c r="R19" s="142" t="str">
        <f ca="1">L19</f>
        <v>AC2022</v>
      </c>
      <c r="S19" s="143"/>
      <c r="T19" s="143"/>
      <c r="U19" s="144"/>
      <c r="V19" s="148"/>
      <c r="W19" s="149"/>
      <c r="X19" s="148" t="s">
        <v>21</v>
      </c>
      <c r="Y19" s="149"/>
      <c r="Z19" s="149"/>
      <c r="AA19" s="149"/>
      <c r="AB19" s="149"/>
      <c r="AC19" s="150"/>
      <c r="AD19" s="142"/>
      <c r="AE19" s="142"/>
      <c r="AF19" s="167" t="str">
        <f ca="1">_xll.SUBNM("CXMD:Actuality","","AC2022","Description EN")</f>
        <v>AC2022</v>
      </c>
      <c r="AG19" s="178" t="s">
        <v>23</v>
      </c>
      <c r="AH19" s="179"/>
      <c r="AI19" s="184" t="s">
        <v>23</v>
      </c>
      <c r="AJ19" s="184"/>
      <c r="AK19" s="184"/>
      <c r="AL19" s="99"/>
      <c r="AM19" s="106"/>
    </row>
    <row r="20" spans="1:39" ht="15" customHeight="1" x14ac:dyDescent="0.25">
      <c r="B20" s="5"/>
      <c r="C20" s="9"/>
      <c r="D20" s="145"/>
      <c r="E20" s="146"/>
      <c r="F20" s="145" t="str">
        <f ca="1">_xll.SUBNM("CXMD:Month","","YTD_January","Description EN")</f>
        <v>YTD_January</v>
      </c>
      <c r="G20" s="146"/>
      <c r="H20" s="146"/>
      <c r="I20" s="147"/>
      <c r="J20" s="145"/>
      <c r="K20" s="146"/>
      <c r="L20" s="166" t="str">
        <f ca="1">_xll.SUBNM("CXMD:Month","","01","Description EN")</f>
        <v>January</v>
      </c>
      <c r="M20" s="146"/>
      <c r="N20" s="146"/>
      <c r="O20" s="147"/>
      <c r="P20" s="145">
        <f>D20</f>
        <v>0</v>
      </c>
      <c r="Q20" s="146"/>
      <c r="R20" s="145" t="str">
        <f ca="1">F20</f>
        <v>YTD_January</v>
      </c>
      <c r="S20" s="146"/>
      <c r="T20" s="146"/>
      <c r="U20" s="147"/>
      <c r="V20" s="75"/>
      <c r="W20" s="162"/>
      <c r="X20" s="75"/>
      <c r="Y20" s="79"/>
      <c r="Z20" s="75"/>
      <c r="AA20" s="79"/>
      <c r="AB20" s="89"/>
      <c r="AC20" s="76"/>
      <c r="AD20" s="145"/>
      <c r="AE20" s="145"/>
      <c r="AF20" s="168" t="str">
        <f ca="1">_xll.SUBNM("CXMD:Month","","YTD_December","Description EN")</f>
        <v>YTD_December</v>
      </c>
      <c r="AG20" s="180"/>
      <c r="AH20" s="181"/>
      <c r="AI20" s="185"/>
      <c r="AJ20" s="185"/>
      <c r="AK20" s="185"/>
      <c r="AL20" s="151"/>
      <c r="AM20" s="106"/>
    </row>
    <row r="21" spans="1:39" ht="8.25" customHeight="1" x14ac:dyDescent="0.25">
      <c r="B21" s="5"/>
      <c r="C21" s="9"/>
      <c r="D21" s="45"/>
      <c r="E21" s="46"/>
      <c r="F21" s="139"/>
      <c r="G21" s="46"/>
      <c r="H21" s="140"/>
      <c r="I21" s="47"/>
      <c r="J21" s="45"/>
      <c r="K21" s="46"/>
      <c r="L21" s="140"/>
      <c r="M21" s="46"/>
      <c r="N21" s="140"/>
      <c r="O21" s="47"/>
      <c r="P21" s="45"/>
      <c r="Q21" s="46"/>
      <c r="R21" s="140"/>
      <c r="S21" s="46"/>
      <c r="T21" s="140"/>
      <c r="U21" s="47"/>
      <c r="V21" s="75"/>
      <c r="W21" s="162"/>
      <c r="X21" s="75"/>
      <c r="Y21" s="79"/>
      <c r="Z21" s="75"/>
      <c r="AA21" s="79"/>
      <c r="AB21" s="89"/>
      <c r="AC21" s="76"/>
      <c r="AD21" s="45"/>
      <c r="AE21" s="46"/>
      <c r="AF21" s="47"/>
      <c r="AG21" s="104"/>
      <c r="AH21" s="119"/>
      <c r="AI21" s="100"/>
      <c r="AJ21" s="119"/>
      <c r="AK21" s="100"/>
      <c r="AL21" s="101"/>
      <c r="AM21" s="106"/>
    </row>
    <row r="22" spans="1:39" ht="17.100000000000001" customHeight="1" x14ac:dyDescent="0.25">
      <c r="B22" s="5"/>
      <c r="C22" s="9"/>
      <c r="D22" s="41" t="s">
        <v>2</v>
      </c>
      <c r="E22" s="41" t="s">
        <v>3</v>
      </c>
      <c r="F22" s="41" t="s">
        <v>3</v>
      </c>
      <c r="G22" s="41" t="s">
        <v>19</v>
      </c>
      <c r="H22" s="41" t="s">
        <v>19</v>
      </c>
      <c r="I22" s="42" t="s">
        <v>17</v>
      </c>
      <c r="J22" s="41" t="s">
        <v>2</v>
      </c>
      <c r="K22" s="41" t="s">
        <v>3</v>
      </c>
      <c r="L22" s="41" t="s">
        <v>3</v>
      </c>
      <c r="M22" s="41" t="s">
        <v>19</v>
      </c>
      <c r="N22" s="41" t="s">
        <v>19</v>
      </c>
      <c r="O22" s="42" t="s">
        <v>17</v>
      </c>
      <c r="P22" s="41" t="s">
        <v>2</v>
      </c>
      <c r="Q22" s="41" t="s">
        <v>3</v>
      </c>
      <c r="R22" s="41" t="s">
        <v>3</v>
      </c>
      <c r="S22" s="41" t="s">
        <v>19</v>
      </c>
      <c r="T22" s="41" t="s">
        <v>19</v>
      </c>
      <c r="U22" s="42" t="s">
        <v>17</v>
      </c>
      <c r="V22" s="122" t="s">
        <v>2</v>
      </c>
      <c r="W22" s="157"/>
      <c r="X22" s="123" t="s">
        <v>3</v>
      </c>
      <c r="Y22" s="160" t="s">
        <v>24</v>
      </c>
      <c r="Z22" s="183" t="s">
        <v>19</v>
      </c>
      <c r="AA22" s="183"/>
      <c r="AB22" s="124"/>
      <c r="AC22" s="125"/>
      <c r="AD22" s="163" t="s">
        <v>2</v>
      </c>
      <c r="AE22" s="136" t="s">
        <v>3</v>
      </c>
      <c r="AF22" s="169" t="s">
        <v>3</v>
      </c>
      <c r="AG22" s="117" t="s">
        <v>2</v>
      </c>
      <c r="AH22" s="164"/>
      <c r="AI22" s="116" t="s">
        <v>3</v>
      </c>
      <c r="AJ22" s="120"/>
      <c r="AK22" s="116"/>
      <c r="AL22" s="118"/>
      <c r="AM22" s="106"/>
    </row>
    <row r="23" spans="1:39" s="19" customFormat="1" ht="47.25" customHeight="1" x14ac:dyDescent="0.25">
      <c r="B23" s="109" t="s">
        <v>14</v>
      </c>
      <c r="C23" s="110" t="s">
        <v>13</v>
      </c>
      <c r="D23" s="43"/>
      <c r="E23" s="111"/>
      <c r="F23" s="111" t="s">
        <v>20</v>
      </c>
      <c r="G23" s="111"/>
      <c r="H23" s="111" t="s">
        <v>20</v>
      </c>
      <c r="I23" s="44"/>
      <c r="J23" s="43"/>
      <c r="K23" s="111"/>
      <c r="L23" s="111" t="s">
        <v>20</v>
      </c>
      <c r="M23" s="111"/>
      <c r="N23" s="111" t="s">
        <v>20</v>
      </c>
      <c r="O23" s="44"/>
      <c r="P23" s="43"/>
      <c r="Q23" s="111"/>
      <c r="R23" s="111" t="s">
        <v>20</v>
      </c>
      <c r="S23" s="111"/>
      <c r="T23" s="111" t="s">
        <v>20</v>
      </c>
      <c r="U23" s="44"/>
      <c r="V23" s="126"/>
      <c r="W23" s="158"/>
      <c r="X23" s="128" t="s">
        <v>20</v>
      </c>
      <c r="Y23" s="161" t="s">
        <v>24</v>
      </c>
      <c r="Z23" s="126" t="s">
        <v>20</v>
      </c>
      <c r="AA23" s="127"/>
      <c r="AB23" s="130" t="s">
        <v>22</v>
      </c>
      <c r="AC23" s="131" t="s">
        <v>20</v>
      </c>
      <c r="AD23" s="137"/>
      <c r="AE23" s="135"/>
      <c r="AF23" s="170" t="s">
        <v>20</v>
      </c>
      <c r="AG23" s="134"/>
      <c r="AH23" s="165"/>
      <c r="AI23" s="132" t="s">
        <v>20</v>
      </c>
      <c r="AJ23" s="129"/>
      <c r="AK23" s="132"/>
      <c r="AL23" s="133"/>
      <c r="AM23" s="107"/>
    </row>
    <row r="24" spans="1:39" s="12" customFormat="1" ht="47.25" hidden="1" customHeight="1" x14ac:dyDescent="0.25">
      <c r="B24" s="17"/>
      <c r="C24" s="18"/>
      <c r="D24" s="43" t="s">
        <v>2</v>
      </c>
      <c r="E24" s="43" t="s">
        <v>3</v>
      </c>
      <c r="F24" s="43"/>
      <c r="G24" s="43" t="s">
        <v>5</v>
      </c>
      <c r="H24" s="43"/>
      <c r="I24" s="44" t="s">
        <v>6</v>
      </c>
      <c r="J24" s="43" t="s">
        <v>2</v>
      </c>
      <c r="K24" s="43" t="s">
        <v>3</v>
      </c>
      <c r="L24" s="43"/>
      <c r="M24" s="43" t="s">
        <v>5</v>
      </c>
      <c r="N24" s="43"/>
      <c r="O24" s="44" t="s">
        <v>6</v>
      </c>
      <c r="P24" s="43" t="s">
        <v>2</v>
      </c>
      <c r="Q24" s="43" t="s">
        <v>3</v>
      </c>
      <c r="R24" s="43"/>
      <c r="S24" s="43" t="s">
        <v>5</v>
      </c>
      <c r="T24" s="43"/>
      <c r="U24" s="44" t="s">
        <v>6</v>
      </c>
      <c r="V24" s="77"/>
      <c r="W24" s="159"/>
      <c r="X24" s="77"/>
      <c r="Y24" s="159"/>
      <c r="Z24" s="77"/>
      <c r="AA24" s="80"/>
      <c r="AB24" s="90"/>
      <c r="AC24" s="78"/>
      <c r="AD24" s="43" t="s">
        <v>2</v>
      </c>
      <c r="AE24" s="43" t="s">
        <v>3</v>
      </c>
      <c r="AF24" s="171"/>
      <c r="AG24" s="105" t="s">
        <v>2</v>
      </c>
      <c r="AH24" s="121"/>
      <c r="AI24" s="102" t="s">
        <v>3</v>
      </c>
      <c r="AJ24" s="121"/>
      <c r="AK24" s="102" t="s">
        <v>5</v>
      </c>
      <c r="AL24" s="103" t="s">
        <v>6</v>
      </c>
      <c r="AM24" s="108"/>
    </row>
    <row r="25" spans="1:39" ht="15" customHeight="1" x14ac:dyDescent="0.25">
      <c r="A25" t="str">
        <f ca="1">IF(_xll.TM1RPTELISCONSOLIDATED($C$25,$C25),IF(_xll.TM1RPTELLEV($C$25,$C25)&lt;=3,_xll.TM1RPTELLEV($C$25,$C25),"D"),"N")</f>
        <v>N</v>
      </c>
      <c r="B25" s="11" t="str">
        <f ca="1">_xll.TM1RPTROW($B$9,"CXMD:DIM_Allocation",,$I$14,"Allocation EN")</f>
        <v/>
      </c>
      <c r="C25" s="138" t="str">
        <f ca="1">_xll.TM1RPTROW($B$9,"CXMD:DIM_Configuration","Sales Report",,"Description EN")</f>
        <v/>
      </c>
      <c r="D25" s="24" t="str">
        <f ca="1">_xll.DBRW($B$9,$F$20,$F$19,$C$15,$B25,$C$16,$C25,D$24)</f>
        <v/>
      </c>
      <c r="E25" s="24" t="str">
        <f ca="1">_xll.DBRW($B$9,$F$20,$F$19,$C$15,$B25,$C$16,$C25,E$24)</f>
        <v/>
      </c>
      <c r="F25" s="24" t="e">
        <f ca="1">E25/1000</f>
        <v>#VALUE!</v>
      </c>
      <c r="G25" s="24" t="str">
        <f ca="1">_xll.DBRW($B$9,$F$20,$F$19,$C$15,$B25,$C$16,$C25,E$24)</f>
        <v/>
      </c>
      <c r="H25" s="24" t="e">
        <f ca="1">G25/1000</f>
        <v>#VALUE!</v>
      </c>
      <c r="I25" s="25" t="e">
        <f ca="1">IF(E25&lt;&gt;0,G25/E25,0)</f>
        <v>#VALUE!</v>
      </c>
      <c r="J25" s="24" t="str">
        <f ca="1">_xll.DBRW($B$9,$L$20,$L$19,$C$15,$B25,$C$16,$C25,J$24)</f>
        <v/>
      </c>
      <c r="K25" s="24" t="str">
        <f ca="1">_xll.DBRW($B$9,$L$20,$L$19,$C$15,$B25,$C$16,$C25,K$24)</f>
        <v/>
      </c>
      <c r="L25" s="24" t="e">
        <f ca="1">K25/1000</f>
        <v>#VALUE!</v>
      </c>
      <c r="M25" s="24" t="str">
        <f ca="1">_xll.DBRW($B$9,$L$20,$L$19,$C$15,$B25,$C$16,$C25,M$24)</f>
        <v/>
      </c>
      <c r="N25" s="24" t="e">
        <f ca="1">M25/1000</f>
        <v>#VALUE!</v>
      </c>
      <c r="O25" s="25" t="e">
        <f ca="1">IF(K25&lt;&gt;0,M25/K25,0)</f>
        <v>#VALUE!</v>
      </c>
      <c r="P25" s="24" t="str">
        <f ca="1">_xll.DBRW($B$9,$R$20,$R$19,$C$15,$B25,$C$16,$C25,P$24)</f>
        <v/>
      </c>
      <c r="Q25" s="24" t="str">
        <f ca="1">_xll.DBRW($B$9,$R$20,$R$19,$C$15,$B25,$C$16,$C25,Q$24)</f>
        <v/>
      </c>
      <c r="R25" s="24" t="e">
        <f ca="1">Q25/1000</f>
        <v>#VALUE!</v>
      </c>
      <c r="S25" s="24" t="str">
        <f ca="1">_xll.DBRW($B$9,$R$20,$R$19,$C$15,$B25,$C$16,$C25,S$24)</f>
        <v/>
      </c>
      <c r="T25" s="24" t="e">
        <f ca="1">S25/1000</f>
        <v>#VALUE!</v>
      </c>
      <c r="U25" s="25" t="e">
        <f ca="1">IF(Q25&lt;&gt;0,S25/Q25,0)</f>
        <v>#VALUE!</v>
      </c>
      <c r="V25" s="63" t="e">
        <f ca="1">P25-D25</f>
        <v>#VALUE!</v>
      </c>
      <c r="W25" s="51" t="e">
        <f ca="1">IF(D25&lt;&gt;0,(P25/D25)-1,0)</f>
        <v>#VALUE!</v>
      </c>
      <c r="X25" s="63" t="e">
        <f ca="1">(Q25-E25)/1000</f>
        <v>#VALUE!</v>
      </c>
      <c r="Y25" s="51" t="e">
        <f ca="1">IF(E25&lt;&gt;0,(Q25/E25)-1,0)</f>
        <v>#VALUE!</v>
      </c>
      <c r="Z25" s="63" t="e">
        <f ca="1">(S25-G25)/1000</f>
        <v>#VALUE!</v>
      </c>
      <c r="AA25" s="50" t="e">
        <f ca="1">IF(G25&lt;&gt;0,(S25/G25)-1,0)</f>
        <v>#VALUE!</v>
      </c>
      <c r="AB25" s="84" t="e">
        <f ca="1">(U25-I25)*100</f>
        <v>#VALUE!</v>
      </c>
      <c r="AC25" s="64" t="e">
        <f ca="1">AB25*Q25/100/1000</f>
        <v>#VALUE!</v>
      </c>
      <c r="AD25" s="63" t="str">
        <f ca="1">_xll.DBRW($B$9,$AF$20,$AF$19,$C$15,$B25,$C$16,$C25,AD$24)</f>
        <v/>
      </c>
      <c r="AE25" s="63" t="str">
        <f ca="1">_xll.DBRW($B$9,$AF$20,$AF$19,$C$15,$B25,$C$16,$C25,AE$24)</f>
        <v/>
      </c>
      <c r="AF25" s="172" t="e">
        <f ca="1">AE25/1000</f>
        <v>#VALUE!</v>
      </c>
      <c r="AG25" s="113" t="e">
        <f ca="1">AD25-P25</f>
        <v>#VALUE!</v>
      </c>
      <c r="AH25" s="112" t="e">
        <f ca="1">IF(P25&lt;&gt;0,(AD25/P25)-1,0)</f>
        <v>#VALUE!</v>
      </c>
      <c r="AI25" s="114" t="e">
        <f ca="1">(AE25-Q25)/1000</f>
        <v>#VALUE!</v>
      </c>
      <c r="AJ25" s="112" t="e">
        <f ca="1">IF(Q25&lt;&gt;0,(AE25/Q25)-1,0)</f>
        <v>#VALUE!</v>
      </c>
      <c r="AK25" s="114"/>
      <c r="AL25" s="115"/>
      <c r="AM25" s="106"/>
    </row>
    <row r="26" spans="1:39" hidden="1" x14ac:dyDescent="0.25"/>
    <row r="27" spans="1:39" hidden="1" x14ac:dyDescent="0.25"/>
    <row r="28" spans="1:39" hidden="1" x14ac:dyDescent="0.25"/>
    <row r="29" spans="1:39" hidden="1" x14ac:dyDescent="0.25"/>
    <row r="30" spans="1:39" hidden="1" x14ac:dyDescent="0.25"/>
    <row r="31" spans="1:39" hidden="1" x14ac:dyDescent="0.25"/>
    <row r="32" spans="1:39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</sheetData>
  <mergeCells count="2">
    <mergeCell ref="Z22:AA22"/>
    <mergeCell ref="AI19:AK20"/>
  </mergeCells>
  <conditionalFormatting sqref="V1:AC8">
    <cfRule type="cellIs" dxfId="25" priority="477" operator="lessThan">
      <formula>0</formula>
    </cfRule>
    <cfRule type="cellIs" dxfId="24" priority="478" operator="greaterThan">
      <formula>0</formula>
    </cfRule>
  </conditionalFormatting>
  <conditionalFormatting sqref="AG2:AG7">
    <cfRule type="cellIs" dxfId="23" priority="371" operator="lessThan">
      <formula>0</formula>
    </cfRule>
    <cfRule type="cellIs" dxfId="22" priority="372" operator="greaterThan">
      <formula>0</formula>
    </cfRule>
  </conditionalFormatting>
  <conditionalFormatting sqref="AD2:AD7">
    <cfRule type="cellIs" dxfId="21" priority="377" operator="lessThan">
      <formula>0</formula>
    </cfRule>
    <cfRule type="cellIs" dxfId="20" priority="378" operator="greaterThan">
      <formula>0</formula>
    </cfRule>
  </conditionalFormatting>
  <conditionalFormatting sqref="AF2:AF7">
    <cfRule type="cellIs" dxfId="19" priority="373" operator="lessThan">
      <formula>0</formula>
    </cfRule>
    <cfRule type="cellIs" dxfId="18" priority="374" operator="greaterThan">
      <formula>0</formula>
    </cfRule>
  </conditionalFormatting>
  <conditionalFormatting sqref="AH2:AH7">
    <cfRule type="cellIs" dxfId="17" priority="369" operator="lessThan">
      <formula>0</formula>
    </cfRule>
    <cfRule type="cellIs" dxfId="16" priority="370" operator="greaterThan">
      <formula>0</formula>
    </cfRule>
  </conditionalFormatting>
  <conditionalFormatting sqref="AJ2:AJ7">
    <cfRule type="cellIs" dxfId="15" priority="365" operator="lessThan">
      <formula>0</formula>
    </cfRule>
    <cfRule type="cellIs" dxfId="14" priority="366" operator="greaterThan">
      <formula>0</formula>
    </cfRule>
  </conditionalFormatting>
  <conditionalFormatting sqref="AK2:AK7">
    <cfRule type="cellIs" dxfId="13" priority="363" operator="lessThan">
      <formula>0</formula>
    </cfRule>
    <cfRule type="cellIs" dxfId="12" priority="364" operator="greaterThan">
      <formula>0</formula>
    </cfRule>
  </conditionalFormatting>
  <conditionalFormatting sqref="AL2:AL7">
    <cfRule type="cellIs" dxfId="11" priority="361" operator="lessThan">
      <formula>0</formula>
    </cfRule>
    <cfRule type="cellIs" dxfId="10" priority="362" operator="greaterThan">
      <formula>0</formula>
    </cfRule>
  </conditionalFormatting>
  <conditionalFormatting sqref="AI2:AI7">
    <cfRule type="cellIs" dxfId="9" priority="359" operator="lessThan">
      <formula>0</formula>
    </cfRule>
    <cfRule type="cellIs" dxfId="8" priority="360" operator="greaterThan">
      <formula>0</formula>
    </cfRule>
  </conditionalFormatting>
  <conditionalFormatting sqref="AE2:AE7">
    <cfRule type="cellIs" dxfId="7" priority="343" operator="lessThan">
      <formula>0</formula>
    </cfRule>
    <cfRule type="cellIs" dxfId="6" priority="344" operator="greaterThan">
      <formula>0</formula>
    </cfRule>
  </conditionalFormatting>
  <conditionalFormatting sqref="V25:AC25">
    <cfRule type="cellIs" dxfId="5" priority="29" operator="lessThan">
      <formula>0</formula>
    </cfRule>
    <cfRule type="cellIs" dxfId="4" priority="30" operator="greaterThan">
      <formula>0</formula>
    </cfRule>
  </conditionalFormatting>
  <conditionalFormatting sqref="AD25">
    <cfRule type="cellIs" dxfId="3" priority="27" operator="lessThan">
      <formula>0</formula>
    </cfRule>
    <cfRule type="cellIs" dxfId="2" priority="28" operator="greaterThan">
      <formula>0</formula>
    </cfRule>
  </conditionalFormatting>
  <conditionalFormatting sqref="AE25">
    <cfRule type="cellIs" dxfId="1" priority="25" operator="lessThan">
      <formula>0</formula>
    </cfRule>
    <cfRule type="cellIs" dxfId="0" priority="26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11</xdr:col>
                <xdr:colOff>504825</xdr:colOff>
                <xdr:row>14</xdr:row>
                <xdr:rowOff>342900</xdr:rowOff>
              </from>
              <to>
                <xdr:col>14</xdr:col>
                <xdr:colOff>114300</xdr:colOff>
                <xdr:row>16</xdr:row>
                <xdr:rowOff>85725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L549"/>
  <sheetViews>
    <sheetView showGridLines="0" topLeftCell="B9" zoomScale="90" zoomScaleNormal="90" workbookViewId="0">
      <pane xSplit="2" ySplit="16" topLeftCell="D25" activePane="bottomRight" state="frozen"/>
      <selection activeCell="B10" sqref="B10"/>
      <selection pane="topRight" activeCell="D10" sqref="D10"/>
      <selection pane="bottomLeft" activeCell="B27" sqref="B27"/>
      <selection pane="bottomRight" activeCell="C14" sqref="C14"/>
    </sheetView>
  </sheetViews>
  <sheetFormatPr defaultColWidth="0" defaultRowHeight="15" zeroHeight="1" x14ac:dyDescent="0.25"/>
  <cols>
    <col min="1" max="1" width="0" hidden="1" customWidth="1"/>
    <col min="2" max="2" width="41.7109375" customWidth="1"/>
    <col min="3" max="3" width="47.7109375" customWidth="1"/>
    <col min="4" max="4" width="8.7109375" style="22" customWidth="1"/>
    <col min="5" max="5" width="11.7109375" style="22" hidden="1" customWidth="1"/>
    <col min="6" max="6" width="11.7109375" style="22" customWidth="1"/>
    <col min="7" max="7" width="11.7109375" style="91" customWidth="1"/>
    <col min="8" max="8" width="11.7109375" style="22" hidden="1" customWidth="1"/>
    <col min="9" max="9" width="11.7109375" style="22" customWidth="1"/>
    <col min="10" max="10" width="11.7109375" style="91" customWidth="1"/>
    <col min="11" max="11" width="11.7109375" style="22" hidden="1" customWidth="1"/>
    <col min="12" max="12" width="11.7109375" style="22" customWidth="1"/>
    <col min="13" max="13" width="11.7109375" style="91" customWidth="1"/>
    <col min="14" max="14" width="9.7109375" style="23" customWidth="1"/>
    <col min="15" max="15" width="8.7109375" style="22" customWidth="1"/>
    <col min="16" max="16" width="11.7109375" style="22" hidden="1" customWidth="1"/>
    <col min="17" max="17" width="11.7109375" style="22" customWidth="1"/>
    <col min="18" max="18" width="11.7109375" style="91" customWidth="1"/>
    <col min="19" max="19" width="11.7109375" style="22" hidden="1" customWidth="1"/>
    <col min="20" max="20" width="11.7109375" style="22" customWidth="1"/>
    <col min="21" max="21" width="11.7109375" style="91" customWidth="1"/>
    <col min="22" max="22" width="11.7109375" style="22" hidden="1" customWidth="1"/>
    <col min="23" max="23" width="11.7109375" style="22" customWidth="1"/>
    <col min="24" max="24" width="11.7109375" style="91" customWidth="1"/>
    <col min="25" max="25" width="9.7109375" style="23" customWidth="1"/>
    <col min="26" max="26" width="8.7109375" style="22" customWidth="1"/>
    <col min="27" max="27" width="11.7109375" style="22" hidden="1" customWidth="1"/>
    <col min="28" max="28" width="11.7109375" style="22" customWidth="1"/>
    <col min="29" max="29" width="11.7109375" style="91" customWidth="1"/>
    <col min="30" max="30" width="11.7109375" style="22" hidden="1" customWidth="1"/>
    <col min="31" max="31" width="11.7109375" style="22" customWidth="1"/>
    <col min="32" max="32" width="11.7109375" style="91" customWidth="1"/>
    <col min="33" max="33" width="11.7109375" style="22" hidden="1" customWidth="1"/>
    <col min="34" max="34" width="11.7109375" style="22" customWidth="1"/>
    <col min="35" max="35" width="11.7109375" style="91" customWidth="1"/>
    <col min="36" max="36" width="9.7109375" style="23" customWidth="1"/>
    <col min="37" max="37" width="8.7109375" style="22" customWidth="1"/>
    <col min="38" max="38" width="11.7109375" style="22" hidden="1" customWidth="1"/>
    <col min="39" max="39" width="11.7109375" style="22" customWidth="1"/>
    <col min="40" max="40" width="11.7109375" style="91" customWidth="1"/>
    <col min="41" max="41" width="11.7109375" style="22" hidden="1" customWidth="1"/>
    <col min="42" max="42" width="11.7109375" style="22" customWidth="1"/>
    <col min="43" max="43" width="11.7109375" style="91" customWidth="1"/>
    <col min="44" max="44" width="11.7109375" style="22" hidden="1" customWidth="1"/>
    <col min="45" max="45" width="11.7109375" style="22" customWidth="1"/>
    <col min="46" max="46" width="11.7109375" style="91" customWidth="1"/>
    <col min="47" max="47" width="9.7109375" style="23" customWidth="1"/>
    <col min="1001" max="16384" width="12.28515625" hidden="1"/>
  </cols>
  <sheetData>
    <row r="1" spans="1:47" hidden="1" x14ac:dyDescent="0.25">
      <c r="A1" t="s">
        <v>11</v>
      </c>
    </row>
    <row r="2" spans="1:47" hidden="1" x14ac:dyDescent="0.25">
      <c r="A2">
        <f>0</f>
        <v>0</v>
      </c>
      <c r="B2" s="1"/>
      <c r="C2" s="2"/>
      <c r="D2" s="24"/>
      <c r="E2" s="24"/>
      <c r="F2" s="24"/>
      <c r="G2" s="92"/>
      <c r="H2" s="24"/>
      <c r="I2" s="24"/>
      <c r="J2" s="92"/>
      <c r="K2" s="24"/>
      <c r="L2" s="24"/>
      <c r="M2" s="92"/>
      <c r="N2" s="25"/>
      <c r="O2" s="24"/>
      <c r="P2" s="24"/>
      <c r="Q2" s="24"/>
      <c r="R2" s="92"/>
      <c r="S2" s="24"/>
      <c r="T2" s="24"/>
      <c r="U2" s="92"/>
      <c r="V2" s="24"/>
      <c r="W2" s="24"/>
      <c r="X2" s="92"/>
      <c r="Y2" s="25"/>
      <c r="Z2" s="24"/>
      <c r="AA2" s="24"/>
      <c r="AB2" s="24"/>
      <c r="AC2" s="92"/>
      <c r="AD2" s="24"/>
      <c r="AE2" s="24"/>
      <c r="AF2" s="92"/>
      <c r="AG2" s="24"/>
      <c r="AH2" s="24"/>
      <c r="AI2" s="92"/>
      <c r="AJ2" s="25"/>
      <c r="AK2" s="24"/>
      <c r="AL2" s="24"/>
      <c r="AM2" s="24"/>
      <c r="AN2" s="92"/>
      <c r="AO2" s="24"/>
      <c r="AP2" s="24"/>
      <c r="AQ2" s="92"/>
      <c r="AR2" s="24"/>
      <c r="AS2" s="24"/>
      <c r="AT2" s="92"/>
      <c r="AU2" s="25"/>
    </row>
    <row r="3" spans="1:47" hidden="1" x14ac:dyDescent="0.25">
      <c r="A3">
        <f>1</f>
        <v>1</v>
      </c>
      <c r="B3" s="2"/>
      <c r="C3" s="13"/>
      <c r="D3" s="26"/>
      <c r="E3" s="26"/>
      <c r="F3" s="26"/>
      <c r="G3" s="93"/>
      <c r="H3" s="26"/>
      <c r="I3" s="26"/>
      <c r="J3" s="93"/>
      <c r="K3" s="26"/>
      <c r="L3" s="26"/>
      <c r="M3" s="93"/>
      <c r="N3" s="27"/>
      <c r="O3" s="26"/>
      <c r="P3" s="26"/>
      <c r="Q3" s="26"/>
      <c r="R3" s="93"/>
      <c r="S3" s="26"/>
      <c r="T3" s="26"/>
      <c r="U3" s="93"/>
      <c r="V3" s="26"/>
      <c r="W3" s="26"/>
      <c r="X3" s="93"/>
      <c r="Y3" s="27"/>
      <c r="Z3" s="26"/>
      <c r="AA3" s="26"/>
      <c r="AB3" s="26"/>
      <c r="AC3" s="93"/>
      <c r="AD3" s="26"/>
      <c r="AE3" s="26"/>
      <c r="AF3" s="93"/>
      <c r="AG3" s="26"/>
      <c r="AH3" s="26"/>
      <c r="AI3" s="93"/>
      <c r="AJ3" s="27"/>
      <c r="AK3" s="26"/>
      <c r="AL3" s="26"/>
      <c r="AM3" s="26"/>
      <c r="AN3" s="93"/>
      <c r="AO3" s="26"/>
      <c r="AP3" s="26"/>
      <c r="AQ3" s="93"/>
      <c r="AR3" s="26"/>
      <c r="AS3" s="26"/>
      <c r="AT3" s="93"/>
      <c r="AU3" s="27"/>
    </row>
    <row r="4" spans="1:47" hidden="1" x14ac:dyDescent="0.25">
      <c r="A4">
        <f>2</f>
        <v>2</v>
      </c>
      <c r="B4" s="2"/>
      <c r="C4" s="14"/>
      <c r="D4" s="28"/>
      <c r="E4" s="28"/>
      <c r="F4" s="28"/>
      <c r="G4" s="94"/>
      <c r="H4" s="28"/>
      <c r="I4" s="28"/>
      <c r="J4" s="94"/>
      <c r="K4" s="28"/>
      <c r="L4" s="28"/>
      <c r="M4" s="94"/>
      <c r="N4" s="29"/>
      <c r="O4" s="28"/>
      <c r="P4" s="28"/>
      <c r="Q4" s="28"/>
      <c r="R4" s="94"/>
      <c r="S4" s="28"/>
      <c r="T4" s="28"/>
      <c r="U4" s="94"/>
      <c r="V4" s="28"/>
      <c r="W4" s="28"/>
      <c r="X4" s="94"/>
      <c r="Y4" s="29"/>
      <c r="Z4" s="28"/>
      <c r="AA4" s="28"/>
      <c r="AB4" s="28"/>
      <c r="AC4" s="94"/>
      <c r="AD4" s="28"/>
      <c r="AE4" s="28"/>
      <c r="AF4" s="94"/>
      <c r="AG4" s="28"/>
      <c r="AH4" s="28"/>
      <c r="AI4" s="94"/>
      <c r="AJ4" s="29"/>
      <c r="AK4" s="28"/>
      <c r="AL4" s="28"/>
      <c r="AM4" s="28"/>
      <c r="AN4" s="94"/>
      <c r="AO4" s="28"/>
      <c r="AP4" s="28"/>
      <c r="AQ4" s="94"/>
      <c r="AR4" s="28"/>
      <c r="AS4" s="28"/>
      <c r="AT4" s="94"/>
      <c r="AU4" s="29"/>
    </row>
    <row r="5" spans="1:47" hidden="1" x14ac:dyDescent="0.25">
      <c r="A5">
        <f>3</f>
        <v>3</v>
      </c>
      <c r="B5" s="2"/>
      <c r="C5" s="15"/>
      <c r="D5" s="30"/>
      <c r="E5" s="30"/>
      <c r="F5" s="30"/>
      <c r="G5" s="95"/>
      <c r="H5" s="30"/>
      <c r="I5" s="30"/>
      <c r="J5" s="95"/>
      <c r="K5" s="30"/>
      <c r="L5" s="30"/>
      <c r="M5" s="95"/>
      <c r="N5" s="31"/>
      <c r="O5" s="30"/>
      <c r="P5" s="30"/>
      <c r="Q5" s="30"/>
      <c r="R5" s="95"/>
      <c r="S5" s="30"/>
      <c r="T5" s="30"/>
      <c r="U5" s="95"/>
      <c r="V5" s="30"/>
      <c r="W5" s="30"/>
      <c r="X5" s="95"/>
      <c r="Y5" s="31"/>
      <c r="Z5" s="30"/>
      <c r="AA5" s="30"/>
      <c r="AB5" s="30"/>
      <c r="AC5" s="95"/>
      <c r="AD5" s="30"/>
      <c r="AE5" s="30"/>
      <c r="AF5" s="95"/>
      <c r="AG5" s="30"/>
      <c r="AH5" s="30"/>
      <c r="AI5" s="95"/>
      <c r="AJ5" s="31"/>
      <c r="AK5" s="30"/>
      <c r="AL5" s="30"/>
      <c r="AM5" s="30"/>
      <c r="AN5" s="95"/>
      <c r="AO5" s="30"/>
      <c r="AP5" s="30"/>
      <c r="AQ5" s="95"/>
      <c r="AR5" s="30"/>
      <c r="AS5" s="30"/>
      <c r="AT5" s="95"/>
      <c r="AU5" s="31"/>
    </row>
    <row r="6" spans="1:47" hidden="1" x14ac:dyDescent="0.25">
      <c r="A6" t="s">
        <v>9</v>
      </c>
      <c r="B6" s="2"/>
      <c r="C6" s="13"/>
      <c r="D6" s="26"/>
      <c r="E6" s="26"/>
      <c r="F6" s="26"/>
      <c r="G6" s="93"/>
      <c r="H6" s="26"/>
      <c r="I6" s="26"/>
      <c r="J6" s="93"/>
      <c r="K6" s="26"/>
      <c r="L6" s="26"/>
      <c r="M6" s="93"/>
      <c r="N6" s="27"/>
      <c r="O6" s="26"/>
      <c r="P6" s="26"/>
      <c r="Q6" s="26"/>
      <c r="R6" s="93"/>
      <c r="S6" s="26"/>
      <c r="T6" s="26"/>
      <c r="U6" s="93"/>
      <c r="V6" s="26"/>
      <c r="W6" s="26"/>
      <c r="X6" s="93"/>
      <c r="Y6" s="27"/>
      <c r="Z6" s="26"/>
      <c r="AA6" s="26"/>
      <c r="AB6" s="26"/>
      <c r="AC6" s="93"/>
      <c r="AD6" s="26"/>
      <c r="AE6" s="26"/>
      <c r="AF6" s="93"/>
      <c r="AG6" s="26"/>
      <c r="AH6" s="26"/>
      <c r="AI6" s="93"/>
      <c r="AJ6" s="27"/>
      <c r="AK6" s="26"/>
      <c r="AL6" s="26"/>
      <c r="AM6" s="26"/>
      <c r="AN6" s="93"/>
      <c r="AO6" s="26"/>
      <c r="AP6" s="26"/>
      <c r="AQ6" s="93"/>
      <c r="AR6" s="26"/>
      <c r="AS6" s="26"/>
      <c r="AT6" s="93"/>
      <c r="AU6" s="27"/>
    </row>
    <row r="7" spans="1:47" hidden="1" x14ac:dyDescent="0.25">
      <c r="A7" t="s">
        <v>10</v>
      </c>
      <c r="B7" s="2"/>
      <c r="C7" s="16"/>
      <c r="D7" s="32"/>
      <c r="E7" s="32"/>
      <c r="F7" s="32"/>
      <c r="G7" s="96"/>
      <c r="H7" s="32"/>
      <c r="I7" s="32"/>
      <c r="J7" s="96"/>
      <c r="K7" s="32"/>
      <c r="L7" s="32"/>
      <c r="M7" s="96"/>
      <c r="N7" s="33"/>
      <c r="O7" s="32"/>
      <c r="P7" s="32"/>
      <c r="Q7" s="32"/>
      <c r="R7" s="96"/>
      <c r="S7" s="32"/>
      <c r="T7" s="32"/>
      <c r="U7" s="96"/>
      <c r="V7" s="32"/>
      <c r="W7" s="32"/>
      <c r="X7" s="96"/>
      <c r="Y7" s="33"/>
      <c r="Z7" s="32"/>
      <c r="AA7" s="32"/>
      <c r="AB7" s="32"/>
      <c r="AC7" s="96"/>
      <c r="AD7" s="32"/>
      <c r="AE7" s="32"/>
      <c r="AF7" s="96"/>
      <c r="AG7" s="32"/>
      <c r="AH7" s="32"/>
      <c r="AI7" s="96"/>
      <c r="AJ7" s="33"/>
      <c r="AK7" s="32"/>
      <c r="AL7" s="32"/>
      <c r="AM7" s="32"/>
      <c r="AN7" s="96"/>
      <c r="AO7" s="32"/>
      <c r="AP7" s="32"/>
      <c r="AQ7" s="96"/>
      <c r="AR7" s="32"/>
      <c r="AS7" s="32"/>
      <c r="AT7" s="96"/>
      <c r="AU7" s="33"/>
    </row>
    <row r="8" spans="1:47" hidden="1" x14ac:dyDescent="0.25">
      <c r="A8" t="s">
        <v>12</v>
      </c>
    </row>
    <row r="9" spans="1:47" ht="13.5" hidden="1" customHeight="1" x14ac:dyDescent="0.25">
      <c r="B9" t="str">
        <f ca="1">_xll.TM1RPTVIEW("CXMD:FTM_DATA_MARGIN:ARPT1", 1, _xll.TM1RPTTITLE("CXMD:DIM_Origin_Company",$C$14), _xll.TM1RPTTITLE("CXMD:DIM_Customer_Supplier",$C$15),TM1RPTFMTRNG,TM1RPTFMTIDCOL)</f>
        <v>CXMD:FTM_DATA_MARGIN:ARPT1</v>
      </c>
    </row>
    <row r="10" spans="1:47" x14ac:dyDescent="0.25">
      <c r="B10" s="3"/>
      <c r="C10" s="3"/>
      <c r="D10" s="34"/>
      <c r="E10" s="34"/>
      <c r="F10" s="34"/>
      <c r="G10" s="97"/>
      <c r="H10" s="34"/>
      <c r="I10" s="34"/>
      <c r="J10" s="97"/>
      <c r="K10" s="34"/>
      <c r="L10" s="34"/>
      <c r="M10" s="97"/>
      <c r="N10" s="35"/>
      <c r="O10" s="34"/>
      <c r="P10" s="34"/>
      <c r="Q10" s="34"/>
      <c r="R10" s="97"/>
      <c r="S10" s="34"/>
      <c r="T10" s="34"/>
      <c r="U10" s="97"/>
      <c r="V10" s="34"/>
      <c r="W10" s="34"/>
      <c r="X10" s="97"/>
      <c r="Y10" s="35"/>
      <c r="Z10" s="34"/>
      <c r="AA10" s="34"/>
      <c r="AB10" s="34"/>
      <c r="AC10" s="97"/>
      <c r="AD10" s="34"/>
      <c r="AE10" s="34"/>
      <c r="AF10" s="97"/>
      <c r="AG10" s="34"/>
      <c r="AH10" s="34"/>
      <c r="AI10" s="97"/>
      <c r="AJ10" s="35"/>
      <c r="AK10" s="34"/>
      <c r="AL10" s="34"/>
      <c r="AM10" s="34"/>
      <c r="AN10" s="97"/>
      <c r="AO10" s="34"/>
      <c r="AP10" s="34"/>
      <c r="AQ10" s="97"/>
      <c r="AR10" s="34"/>
      <c r="AS10" s="34"/>
      <c r="AT10" s="97"/>
      <c r="AU10" s="35"/>
    </row>
    <row r="11" spans="1:47" x14ac:dyDescent="0.25">
      <c r="B11" s="3"/>
      <c r="C11" s="3"/>
      <c r="D11" s="34"/>
      <c r="E11" s="34"/>
      <c r="F11" s="34"/>
      <c r="G11" s="97"/>
      <c r="H11" s="34"/>
      <c r="I11" s="34"/>
      <c r="J11" s="97"/>
      <c r="K11" s="34"/>
      <c r="L11" s="34"/>
      <c r="M11" s="97"/>
      <c r="N11" s="35"/>
      <c r="O11" s="34"/>
      <c r="P11" s="34"/>
      <c r="Q11" s="34"/>
      <c r="R11" s="97"/>
      <c r="S11" s="34"/>
      <c r="T11" s="34"/>
      <c r="U11" s="97"/>
      <c r="V11" s="34"/>
      <c r="W11" s="34"/>
      <c r="X11" s="97"/>
      <c r="Y11" s="35"/>
      <c r="Z11" s="34"/>
      <c r="AA11" s="34"/>
      <c r="AB11" s="34"/>
      <c r="AC11" s="97"/>
      <c r="AD11" s="34"/>
      <c r="AE11" s="34"/>
      <c r="AF11" s="97"/>
      <c r="AG11" s="34"/>
      <c r="AH11" s="34"/>
      <c r="AI11" s="97"/>
      <c r="AJ11" s="35"/>
      <c r="AK11" s="34"/>
      <c r="AL11" s="34"/>
      <c r="AM11" s="34"/>
      <c r="AN11" s="97"/>
      <c r="AO11" s="34"/>
      <c r="AP11" s="34"/>
      <c r="AQ11" s="97"/>
      <c r="AR11" s="34"/>
      <c r="AS11" s="34"/>
      <c r="AT11" s="97"/>
      <c r="AU11" s="35"/>
    </row>
    <row r="12" spans="1:47" x14ac:dyDescent="0.25">
      <c r="B12" s="3"/>
      <c r="C12" s="3"/>
      <c r="D12" s="34"/>
      <c r="E12" s="34"/>
      <c r="F12" s="34"/>
      <c r="G12" s="97"/>
      <c r="H12" s="34"/>
      <c r="I12" s="34"/>
      <c r="J12" s="97"/>
      <c r="K12" s="34"/>
      <c r="L12" s="34"/>
      <c r="M12" s="97"/>
      <c r="N12" s="35"/>
      <c r="O12" s="34"/>
      <c r="P12" s="34"/>
      <c r="Q12" s="34"/>
      <c r="R12" s="97"/>
      <c r="S12" s="34"/>
      <c r="T12" s="34"/>
      <c r="U12" s="97"/>
      <c r="V12" s="34"/>
      <c r="W12" s="34"/>
      <c r="X12" s="97"/>
      <c r="Y12" s="35"/>
      <c r="Z12" s="34"/>
      <c r="AA12" s="34"/>
      <c r="AB12" s="34"/>
      <c r="AC12" s="97"/>
      <c r="AD12" s="34"/>
      <c r="AE12" s="34"/>
      <c r="AF12" s="97"/>
      <c r="AG12" s="34"/>
      <c r="AH12" s="34"/>
      <c r="AI12" s="97"/>
      <c r="AJ12" s="35"/>
      <c r="AK12" s="34"/>
      <c r="AL12" s="34"/>
      <c r="AM12" s="34"/>
      <c r="AN12" s="97"/>
      <c r="AO12" s="34"/>
      <c r="AP12" s="34"/>
      <c r="AQ12" s="97"/>
      <c r="AR12" s="34"/>
      <c r="AS12" s="34"/>
      <c r="AT12" s="97"/>
      <c r="AU12" s="35"/>
    </row>
    <row r="13" spans="1:47" x14ac:dyDescent="0.25">
      <c r="B13" s="3"/>
      <c r="C13" s="3"/>
      <c r="D13" s="34"/>
      <c r="E13" s="34"/>
      <c r="F13" s="34"/>
      <c r="G13" s="97"/>
      <c r="H13" s="34"/>
      <c r="I13" s="34"/>
      <c r="J13" s="97"/>
      <c r="K13" s="34"/>
      <c r="L13" s="34"/>
      <c r="M13" s="97"/>
      <c r="N13" s="35"/>
      <c r="O13" s="34"/>
      <c r="P13" s="34"/>
      <c r="Q13" s="34"/>
      <c r="R13" s="97"/>
      <c r="S13" s="34"/>
      <c r="T13" s="34"/>
      <c r="U13" s="97"/>
      <c r="V13" s="34"/>
      <c r="W13" s="34"/>
      <c r="X13" s="97"/>
      <c r="Y13" s="35"/>
      <c r="Z13" s="34"/>
      <c r="AA13" s="34"/>
      <c r="AB13" s="34"/>
      <c r="AC13" s="97"/>
      <c r="AD13" s="34"/>
      <c r="AE13" s="34"/>
      <c r="AF13" s="97"/>
      <c r="AG13" s="34"/>
      <c r="AH13" s="34"/>
      <c r="AI13" s="97"/>
      <c r="AJ13" s="35"/>
      <c r="AK13" s="34"/>
      <c r="AL13" s="34"/>
      <c r="AM13" s="34"/>
      <c r="AN13" s="97"/>
      <c r="AO13" s="34"/>
      <c r="AP13" s="34"/>
      <c r="AQ13" s="97"/>
      <c r="AR13" s="34"/>
      <c r="AS13" s="34"/>
      <c r="AT13" s="97"/>
      <c r="AU13" s="35"/>
    </row>
    <row r="14" spans="1:47" ht="29.25" customHeight="1" x14ac:dyDescent="0.35">
      <c r="B14" s="4" t="s">
        <v>0</v>
      </c>
      <c r="C14" s="7" t="str">
        <f ca="1">Recap!C15</f>
        <v>SILVA</v>
      </c>
      <c r="D14" s="36"/>
      <c r="E14" s="36"/>
      <c r="F14" s="36"/>
      <c r="G14" s="98"/>
      <c r="H14" s="36"/>
      <c r="I14" s="36"/>
      <c r="J14" s="98"/>
      <c r="K14" s="36"/>
      <c r="L14" s="36"/>
      <c r="M14" s="98"/>
      <c r="N14" s="37"/>
      <c r="O14" s="39" t="str">
        <f>Recap!I15</f>
        <v>Sales margin</v>
      </c>
      <c r="P14" s="36"/>
      <c r="Q14" s="36"/>
      <c r="R14" s="98"/>
      <c r="S14" s="36"/>
      <c r="T14" s="36"/>
      <c r="U14" s="98"/>
      <c r="V14" s="36"/>
      <c r="W14" s="36"/>
      <c r="X14" s="98"/>
      <c r="Y14" s="37"/>
      <c r="Z14" s="36"/>
      <c r="AA14" s="36"/>
      <c r="AB14" s="36"/>
      <c r="AC14" s="98"/>
      <c r="AD14" s="36"/>
      <c r="AE14" s="36"/>
      <c r="AF14" s="98"/>
      <c r="AG14" s="36"/>
      <c r="AH14" s="36"/>
      <c r="AI14" s="98"/>
      <c r="AJ14" s="37"/>
      <c r="AK14" s="36"/>
      <c r="AL14" s="36"/>
      <c r="AM14" s="36"/>
      <c r="AN14" s="98"/>
      <c r="AO14" s="36"/>
      <c r="AP14" s="36"/>
      <c r="AQ14" s="98"/>
      <c r="AR14" s="36"/>
      <c r="AS14" s="36"/>
      <c r="AT14" s="98"/>
      <c r="AU14" s="37"/>
    </row>
    <row r="15" spans="1:47" x14ac:dyDescent="0.25">
      <c r="B15" s="4" t="s">
        <v>1</v>
      </c>
      <c r="C15" s="7" t="str">
        <f ca="1">_xll.SUBNM("CXMD:DIM_Customer_Supplier","","Total_Customer_Supplier")</f>
        <v>Total_Customer_Supplier</v>
      </c>
      <c r="D15" s="36"/>
      <c r="E15" s="36"/>
      <c r="F15" s="36"/>
      <c r="G15" s="98"/>
      <c r="H15" s="40"/>
      <c r="I15" s="40"/>
      <c r="J15" s="155"/>
      <c r="K15" s="36"/>
      <c r="L15" s="36"/>
      <c r="M15" s="98"/>
      <c r="N15" s="37"/>
      <c r="O15" s="36"/>
      <c r="P15" s="36"/>
      <c r="Q15" s="36"/>
      <c r="R15" s="98"/>
      <c r="S15" s="36"/>
      <c r="T15" s="36"/>
      <c r="U15" s="98"/>
      <c r="V15" s="36"/>
      <c r="W15" s="36"/>
      <c r="X15" s="98"/>
      <c r="Y15" s="37"/>
      <c r="Z15" s="36"/>
      <c r="AA15" s="36"/>
      <c r="AB15" s="36"/>
      <c r="AC15" s="98"/>
      <c r="AD15" s="36"/>
      <c r="AE15" s="36"/>
      <c r="AF15" s="98"/>
      <c r="AG15" s="36"/>
      <c r="AH15" s="36"/>
      <c r="AI15" s="98"/>
      <c r="AJ15" s="37"/>
      <c r="AK15" s="36"/>
      <c r="AL15" s="36"/>
      <c r="AM15" s="36"/>
      <c r="AN15" s="98"/>
      <c r="AO15" s="36"/>
      <c r="AP15" s="36"/>
      <c r="AQ15" s="98"/>
      <c r="AR15" s="36"/>
      <c r="AS15" s="36"/>
      <c r="AT15" s="98"/>
      <c r="AU15" s="37"/>
    </row>
    <row r="16" spans="1:47" x14ac:dyDescent="0.25">
      <c r="B16" s="4"/>
      <c r="C16" s="7"/>
      <c r="D16" s="36"/>
      <c r="E16" s="36"/>
      <c r="F16" s="36"/>
      <c r="G16" s="98"/>
      <c r="H16" s="36"/>
      <c r="I16" s="36"/>
      <c r="J16" s="98"/>
      <c r="K16" s="36"/>
      <c r="L16" s="36"/>
      <c r="M16" s="98"/>
      <c r="N16" s="37"/>
      <c r="O16" s="36"/>
      <c r="P16" s="36"/>
      <c r="Q16" s="36"/>
      <c r="R16" s="98"/>
      <c r="S16" s="36"/>
      <c r="T16" s="36"/>
      <c r="U16" s="98"/>
      <c r="V16" s="36"/>
      <c r="W16" s="36"/>
      <c r="X16" s="98"/>
      <c r="Y16" s="37"/>
      <c r="Z16" s="36"/>
      <c r="AA16" s="36"/>
      <c r="AB16" s="36"/>
      <c r="AC16" s="98"/>
      <c r="AD16" s="36"/>
      <c r="AE16" s="36"/>
      <c r="AF16" s="98"/>
      <c r="AG16" s="36"/>
      <c r="AH16" s="36"/>
      <c r="AI16" s="98"/>
      <c r="AJ16" s="37"/>
      <c r="AK16" s="36"/>
      <c r="AL16" s="36"/>
      <c r="AM16" s="36"/>
      <c r="AN16" s="98"/>
      <c r="AO16" s="36"/>
      <c r="AP16" s="36"/>
      <c r="AQ16" s="98"/>
      <c r="AR16" s="36"/>
      <c r="AS16" s="36"/>
      <c r="AT16" s="98"/>
      <c r="AU16" s="37"/>
    </row>
    <row r="17" spans="1:47" ht="7.5" customHeight="1" x14ac:dyDescent="0.25">
      <c r="B17" s="5"/>
      <c r="C17" s="5"/>
      <c r="D17" s="36"/>
      <c r="E17" s="36"/>
      <c r="F17" s="36"/>
      <c r="G17" s="98"/>
      <c r="H17" s="36"/>
      <c r="I17" s="36"/>
      <c r="J17" s="98"/>
      <c r="K17" s="36"/>
      <c r="L17" s="36"/>
      <c r="M17" s="98"/>
      <c r="N17" s="37"/>
      <c r="O17" s="36"/>
      <c r="P17" s="36"/>
      <c r="Q17" s="36"/>
      <c r="R17" s="98"/>
      <c r="S17" s="36"/>
      <c r="T17" s="36"/>
      <c r="U17" s="98"/>
      <c r="V17" s="36"/>
      <c r="W17" s="36"/>
      <c r="X17" s="98"/>
      <c r="Y17" s="37"/>
      <c r="Z17" s="36"/>
      <c r="AA17" s="36"/>
      <c r="AB17" s="36"/>
      <c r="AC17" s="98"/>
      <c r="AD17" s="36"/>
      <c r="AE17" s="36"/>
      <c r="AF17" s="98"/>
      <c r="AG17" s="36"/>
      <c r="AH17" s="36"/>
      <c r="AI17" s="98"/>
      <c r="AJ17" s="37"/>
      <c r="AK17" s="36"/>
      <c r="AL17" s="36"/>
      <c r="AM17" s="36"/>
      <c r="AN17" s="98"/>
      <c r="AO17" s="36"/>
      <c r="AP17" s="36"/>
      <c r="AQ17" s="98"/>
      <c r="AR17" s="36"/>
      <c r="AS17" s="36"/>
      <c r="AT17" s="98"/>
      <c r="AU17" s="37"/>
    </row>
    <row r="18" spans="1:47" ht="7.5" customHeight="1" x14ac:dyDescent="0.25">
      <c r="B18" s="5"/>
      <c r="C18" s="5"/>
      <c r="D18" s="36"/>
      <c r="E18" s="36"/>
      <c r="F18" s="36"/>
      <c r="G18" s="98"/>
      <c r="H18" s="36"/>
      <c r="I18" s="36"/>
      <c r="J18" s="98"/>
      <c r="K18" s="36"/>
      <c r="L18" s="36"/>
      <c r="M18" s="98"/>
      <c r="N18" s="37"/>
      <c r="O18" s="36"/>
      <c r="P18" s="36"/>
      <c r="Q18" s="36"/>
      <c r="R18" s="98"/>
      <c r="S18" s="36"/>
      <c r="T18" s="36"/>
      <c r="U18" s="98"/>
      <c r="V18" s="36"/>
      <c r="W18" s="36"/>
      <c r="X18" s="98"/>
      <c r="Y18" s="37"/>
      <c r="Z18" s="36"/>
      <c r="AA18" s="36"/>
      <c r="AB18" s="36"/>
      <c r="AC18" s="98"/>
      <c r="AD18" s="36"/>
      <c r="AE18" s="36"/>
      <c r="AF18" s="98"/>
      <c r="AG18" s="36"/>
      <c r="AH18" s="36"/>
      <c r="AI18" s="98"/>
      <c r="AJ18" s="37"/>
      <c r="AK18" s="36"/>
      <c r="AL18" s="36"/>
      <c r="AM18" s="36"/>
      <c r="AN18" s="98"/>
      <c r="AO18" s="36"/>
      <c r="AP18" s="36"/>
      <c r="AQ18" s="98"/>
      <c r="AR18" s="36"/>
      <c r="AS18" s="36"/>
      <c r="AT18" s="98"/>
      <c r="AU18" s="37"/>
    </row>
    <row r="19" spans="1:47" ht="15.75" x14ac:dyDescent="0.25">
      <c r="B19" s="5"/>
      <c r="C19" s="8" t="s">
        <v>16</v>
      </c>
      <c r="D19" s="142" t="str">
        <f ca="1">Recap!F19</f>
        <v>AC2022</v>
      </c>
      <c r="E19" s="143"/>
      <c r="F19" s="143"/>
      <c r="G19" s="152"/>
      <c r="H19" s="143"/>
      <c r="I19" s="143"/>
      <c r="J19" s="152"/>
      <c r="K19" s="143"/>
      <c r="L19" s="143"/>
      <c r="M19" s="152"/>
      <c r="N19" s="144"/>
      <c r="O19" s="142" t="str">
        <f ca="1">D19</f>
        <v>AC2022</v>
      </c>
      <c r="P19" s="143"/>
      <c r="Q19" s="143"/>
      <c r="R19" s="152"/>
      <c r="S19" s="143"/>
      <c r="T19" s="143"/>
      <c r="U19" s="152"/>
      <c r="V19" s="143"/>
      <c r="W19" s="143"/>
      <c r="X19" s="152"/>
      <c r="Y19" s="144"/>
      <c r="Z19" s="142" t="str">
        <f ca="1">Recap!R19</f>
        <v>AC2022</v>
      </c>
      <c r="AA19" s="143"/>
      <c r="AB19" s="143"/>
      <c r="AC19" s="152"/>
      <c r="AD19" s="143"/>
      <c r="AE19" s="143"/>
      <c r="AF19" s="152"/>
      <c r="AG19" s="143"/>
      <c r="AH19" s="143"/>
      <c r="AI19" s="152"/>
      <c r="AJ19" s="144"/>
      <c r="AK19" s="142" t="str">
        <f ca="1">Recap!AF19</f>
        <v>AC2022</v>
      </c>
      <c r="AL19" s="143"/>
      <c r="AM19" s="143"/>
      <c r="AN19" s="152"/>
      <c r="AO19" s="143"/>
      <c r="AP19" s="143"/>
      <c r="AQ19" s="152"/>
      <c r="AR19" s="143"/>
      <c r="AS19" s="143"/>
      <c r="AT19" s="152"/>
      <c r="AU19" s="144"/>
    </row>
    <row r="20" spans="1:47" x14ac:dyDescent="0.25">
      <c r="B20" s="5"/>
      <c r="C20" s="9"/>
      <c r="D20" s="145" t="str">
        <f ca="1">_xll.SUBNM("CXMD:Month","","YTD_January","Description EN")</f>
        <v>YTD_January</v>
      </c>
      <c r="E20" s="146"/>
      <c r="F20" s="146"/>
      <c r="G20" s="153"/>
      <c r="H20" s="146"/>
      <c r="I20" s="146"/>
      <c r="J20" s="153"/>
      <c r="K20" s="146"/>
      <c r="L20" s="146"/>
      <c r="M20" s="153"/>
      <c r="N20" s="147"/>
      <c r="O20" s="145" t="str">
        <f ca="1">_xll.SUBNM("CXMD:Month","","YTD_December","Description EN")</f>
        <v>YTD_December</v>
      </c>
      <c r="P20" s="146"/>
      <c r="Q20" s="146"/>
      <c r="R20" s="153"/>
      <c r="S20" s="146"/>
      <c r="T20" s="146"/>
      <c r="U20" s="153"/>
      <c r="V20" s="146"/>
      <c r="W20" s="146"/>
      <c r="X20" s="153"/>
      <c r="Y20" s="147"/>
      <c r="Z20" s="145" t="str">
        <f ca="1">D20</f>
        <v>YTD_January</v>
      </c>
      <c r="AA20" s="146"/>
      <c r="AB20" s="146"/>
      <c r="AC20" s="153"/>
      <c r="AD20" s="146"/>
      <c r="AE20" s="146"/>
      <c r="AF20" s="153"/>
      <c r="AG20" s="146"/>
      <c r="AH20" s="146"/>
      <c r="AI20" s="153"/>
      <c r="AJ20" s="147"/>
      <c r="AK20" s="145" t="str">
        <f ca="1">D20</f>
        <v>YTD_January</v>
      </c>
      <c r="AL20" s="146"/>
      <c r="AM20" s="146"/>
      <c r="AN20" s="153"/>
      <c r="AO20" s="146"/>
      <c r="AP20" s="146"/>
      <c r="AQ20" s="153"/>
      <c r="AR20" s="146"/>
      <c r="AS20" s="146"/>
      <c r="AT20" s="153"/>
      <c r="AU20" s="147"/>
    </row>
    <row r="21" spans="1:47" x14ac:dyDescent="0.25">
      <c r="B21" s="5"/>
      <c r="C21" s="9"/>
      <c r="D21" s="45"/>
      <c r="E21" s="6"/>
      <c r="F21" s="141"/>
      <c r="G21" s="156" t="s">
        <v>53</v>
      </c>
      <c r="H21" s="6"/>
      <c r="I21" s="141"/>
      <c r="J21" s="156" t="s">
        <v>53</v>
      </c>
      <c r="K21" s="6"/>
      <c r="L21" s="141"/>
      <c r="M21" s="156" t="s">
        <v>53</v>
      </c>
      <c r="N21" s="10"/>
      <c r="O21" s="45"/>
      <c r="P21" s="6"/>
      <c r="Q21" s="141"/>
      <c r="R21" s="156" t="s">
        <v>53</v>
      </c>
      <c r="S21" s="6"/>
      <c r="T21" s="141"/>
      <c r="U21" s="156" t="s">
        <v>53</v>
      </c>
      <c r="V21" s="6"/>
      <c r="W21" s="141"/>
      <c r="X21" s="156" t="s">
        <v>53</v>
      </c>
      <c r="Y21" s="10"/>
      <c r="Z21" s="45"/>
      <c r="AA21" s="6"/>
      <c r="AB21" s="141"/>
      <c r="AC21" s="156" t="s">
        <v>53</v>
      </c>
      <c r="AD21" s="6"/>
      <c r="AE21" s="141"/>
      <c r="AF21" s="156" t="s">
        <v>53</v>
      </c>
      <c r="AG21" s="6"/>
      <c r="AH21" s="141"/>
      <c r="AI21" s="156" t="s">
        <v>53</v>
      </c>
      <c r="AJ21" s="10"/>
      <c r="AK21" s="45"/>
      <c r="AL21" s="6"/>
      <c r="AM21" s="141"/>
      <c r="AN21" s="156" t="s">
        <v>53</v>
      </c>
      <c r="AO21" s="6"/>
      <c r="AP21" s="141"/>
      <c r="AQ21" s="156" t="s">
        <v>53</v>
      </c>
      <c r="AR21" s="6"/>
      <c r="AS21" s="141"/>
      <c r="AT21" s="156" t="s">
        <v>53</v>
      </c>
      <c r="AU21" s="10"/>
    </row>
    <row r="22" spans="1:47" x14ac:dyDescent="0.25">
      <c r="B22" s="5"/>
      <c r="C22" s="9"/>
      <c r="D22" s="41" t="s">
        <v>2</v>
      </c>
      <c r="E22" s="41" t="s">
        <v>3</v>
      </c>
      <c r="F22" s="41" t="s">
        <v>3</v>
      </c>
      <c r="G22" s="154" t="s">
        <v>54</v>
      </c>
      <c r="H22" s="41" t="s">
        <v>18</v>
      </c>
      <c r="I22" s="41" t="s">
        <v>18</v>
      </c>
      <c r="J22" s="154" t="s">
        <v>55</v>
      </c>
      <c r="K22" s="41" t="s">
        <v>19</v>
      </c>
      <c r="L22" s="41" t="s">
        <v>19</v>
      </c>
      <c r="M22" s="154" t="s">
        <v>56</v>
      </c>
      <c r="N22" s="42" t="s">
        <v>17</v>
      </c>
      <c r="O22" s="41" t="s">
        <v>2</v>
      </c>
      <c r="P22" s="41" t="s">
        <v>3</v>
      </c>
      <c r="Q22" s="41" t="s">
        <v>3</v>
      </c>
      <c r="R22" s="154" t="s">
        <v>54</v>
      </c>
      <c r="S22" s="41" t="s">
        <v>18</v>
      </c>
      <c r="T22" s="41" t="s">
        <v>18</v>
      </c>
      <c r="U22" s="154" t="s">
        <v>55</v>
      </c>
      <c r="V22" s="41" t="s">
        <v>19</v>
      </c>
      <c r="W22" s="41" t="s">
        <v>19</v>
      </c>
      <c r="X22" s="154" t="s">
        <v>56</v>
      </c>
      <c r="Y22" s="42" t="s">
        <v>17</v>
      </c>
      <c r="Z22" s="41" t="s">
        <v>2</v>
      </c>
      <c r="AA22" s="41" t="s">
        <v>3</v>
      </c>
      <c r="AB22" s="41" t="s">
        <v>3</v>
      </c>
      <c r="AC22" s="154" t="s">
        <v>54</v>
      </c>
      <c r="AD22" s="41" t="s">
        <v>18</v>
      </c>
      <c r="AE22" s="41" t="s">
        <v>18</v>
      </c>
      <c r="AF22" s="154" t="s">
        <v>55</v>
      </c>
      <c r="AG22" s="41" t="s">
        <v>19</v>
      </c>
      <c r="AH22" s="41" t="s">
        <v>19</v>
      </c>
      <c r="AI22" s="154" t="s">
        <v>56</v>
      </c>
      <c r="AJ22" s="42" t="s">
        <v>17</v>
      </c>
      <c r="AK22" s="41" t="s">
        <v>2</v>
      </c>
      <c r="AL22" s="41" t="s">
        <v>3</v>
      </c>
      <c r="AM22" s="41" t="s">
        <v>3</v>
      </c>
      <c r="AN22" s="154" t="s">
        <v>54</v>
      </c>
      <c r="AO22" s="41" t="s">
        <v>18</v>
      </c>
      <c r="AP22" s="41" t="s">
        <v>18</v>
      </c>
      <c r="AQ22" s="154" t="s">
        <v>55</v>
      </c>
      <c r="AR22" s="41" t="s">
        <v>19</v>
      </c>
      <c r="AS22" s="41" t="s">
        <v>19</v>
      </c>
      <c r="AT22" s="154" t="s">
        <v>56</v>
      </c>
      <c r="AU22" s="42" t="s">
        <v>17</v>
      </c>
    </row>
    <row r="23" spans="1:47" s="19" customFormat="1" x14ac:dyDescent="0.25">
      <c r="B23" s="20" t="s">
        <v>14</v>
      </c>
      <c r="C23" s="21" t="s">
        <v>13</v>
      </c>
      <c r="D23" s="41"/>
      <c r="E23" s="48"/>
      <c r="F23" s="48" t="s">
        <v>20</v>
      </c>
      <c r="G23" s="154"/>
      <c r="H23" s="48"/>
      <c r="I23" s="48" t="s">
        <v>20</v>
      </c>
      <c r="J23" s="154"/>
      <c r="K23" s="48"/>
      <c r="L23" s="48" t="s">
        <v>20</v>
      </c>
      <c r="M23" s="154"/>
      <c r="N23" s="42"/>
      <c r="O23" s="41"/>
      <c r="P23" s="48"/>
      <c r="Q23" s="48" t="s">
        <v>20</v>
      </c>
      <c r="R23" s="154"/>
      <c r="S23" s="48"/>
      <c r="T23" s="48" t="s">
        <v>20</v>
      </c>
      <c r="U23" s="154"/>
      <c r="V23" s="48"/>
      <c r="W23" s="48" t="s">
        <v>20</v>
      </c>
      <c r="X23" s="154"/>
      <c r="Y23" s="42"/>
      <c r="Z23" s="41"/>
      <c r="AA23" s="48"/>
      <c r="AB23" s="48" t="s">
        <v>20</v>
      </c>
      <c r="AC23" s="154"/>
      <c r="AD23" s="48"/>
      <c r="AE23" s="48" t="s">
        <v>20</v>
      </c>
      <c r="AF23" s="154"/>
      <c r="AG23" s="48"/>
      <c r="AH23" s="48" t="s">
        <v>20</v>
      </c>
      <c r="AI23" s="154"/>
      <c r="AJ23" s="42"/>
      <c r="AK23" s="41"/>
      <c r="AL23" s="48"/>
      <c r="AM23" s="48" t="s">
        <v>20</v>
      </c>
      <c r="AN23" s="154"/>
      <c r="AO23" s="48"/>
      <c r="AP23" s="48" t="s">
        <v>20</v>
      </c>
      <c r="AQ23" s="154"/>
      <c r="AR23" s="48"/>
      <c r="AS23" s="48" t="s">
        <v>20</v>
      </c>
      <c r="AT23" s="154"/>
      <c r="AU23" s="42"/>
    </row>
    <row r="24" spans="1:47" s="12" customFormat="1" ht="60" hidden="1" x14ac:dyDescent="0.25">
      <c r="B24" s="17"/>
      <c r="C24" s="18"/>
      <c r="D24" s="43" t="s">
        <v>2</v>
      </c>
      <c r="E24" s="43" t="s">
        <v>3</v>
      </c>
      <c r="F24" s="43"/>
      <c r="G24" s="102" t="s">
        <v>15</v>
      </c>
      <c r="H24" s="43" t="s">
        <v>4</v>
      </c>
      <c r="I24" s="43"/>
      <c r="J24" s="102"/>
      <c r="K24" s="43" t="s">
        <v>5</v>
      </c>
      <c r="L24" s="43"/>
      <c r="M24" s="102"/>
      <c r="N24" s="44" t="s">
        <v>6</v>
      </c>
      <c r="O24" s="43" t="s">
        <v>2</v>
      </c>
      <c r="P24" s="43" t="s">
        <v>3</v>
      </c>
      <c r="Q24" s="43"/>
      <c r="R24" s="102" t="s">
        <v>15</v>
      </c>
      <c r="S24" s="43" t="s">
        <v>4</v>
      </c>
      <c r="T24" s="43"/>
      <c r="U24" s="102"/>
      <c r="V24" s="43" t="s">
        <v>5</v>
      </c>
      <c r="W24" s="43"/>
      <c r="X24" s="102"/>
      <c r="Y24" s="44" t="s">
        <v>6</v>
      </c>
      <c r="Z24" s="43" t="s">
        <v>2</v>
      </c>
      <c r="AA24" s="43" t="s">
        <v>3</v>
      </c>
      <c r="AB24" s="43"/>
      <c r="AC24" s="102" t="s">
        <v>15</v>
      </c>
      <c r="AD24" s="43" t="s">
        <v>4</v>
      </c>
      <c r="AE24" s="43"/>
      <c r="AF24" s="102"/>
      <c r="AG24" s="43" t="s">
        <v>5</v>
      </c>
      <c r="AH24" s="43"/>
      <c r="AI24" s="102"/>
      <c r="AJ24" s="44" t="s">
        <v>6</v>
      </c>
      <c r="AK24" s="43" t="s">
        <v>2</v>
      </c>
      <c r="AL24" s="43" t="s">
        <v>3</v>
      </c>
      <c r="AM24" s="43"/>
      <c r="AN24" s="102" t="s">
        <v>15</v>
      </c>
      <c r="AO24" s="43" t="s">
        <v>4</v>
      </c>
      <c r="AP24" s="43"/>
      <c r="AQ24" s="102"/>
      <c r="AR24" s="43" t="s">
        <v>5</v>
      </c>
      <c r="AS24" s="43"/>
      <c r="AT24" s="102"/>
      <c r="AU24" s="44" t="s">
        <v>6</v>
      </c>
    </row>
    <row r="25" spans="1:47" x14ac:dyDescent="0.25">
      <c r="A25" t="str">
        <f ca="1">IF(_xll.TM1RPTELISCONSOLIDATED($C$25,$C25),IF(_xll.TM1RPTELLEV($C$25,$C25)&lt;=3,_xll.TM1RPTELLEV($C$25,$C25),"D"),"N")</f>
        <v>N</v>
      </c>
      <c r="B25" s="11" t="str">
        <f ca="1">_xll.TM1RPTROW($B$9,"CXMD:DIM_Allocation",,Recap!I14,"Allocation EN")</f>
        <v/>
      </c>
      <c r="C25" s="138" t="str">
        <f ca="1">_xll.TM1RPTROW($B$9,"CXMD:DIM_Configuration","","Par défaut","Description EN",0)</f>
        <v/>
      </c>
      <c r="D25" s="24" t="str">
        <f ca="1">_xll.DBRW($B$9,$D$20,$D$19,$C$14,$B25,$C$15,$C25,D$24)</f>
        <v/>
      </c>
      <c r="E25" s="24" t="str">
        <f ca="1">_xll.DBRW($B$9,$D$20,$D$19,$C$14,$B25,$C$15,$C25,E$24)</f>
        <v/>
      </c>
      <c r="F25" s="24" t="e">
        <f ca="1">E25/1000</f>
        <v>#VALUE!</v>
      </c>
      <c r="G25" s="92" t="str">
        <f ca="1">_xll.DBRW($B$9,$D$20,$D$19,$C$14,$B25,$C$15,$C25,G$24)</f>
        <v/>
      </c>
      <c r="H25" s="24" t="str">
        <f ca="1">_xll.DBRW($B$9,$D$20,$D$19,$C$14,$B25,$C$15,$C25,H$24)</f>
        <v/>
      </c>
      <c r="I25" s="24" t="e">
        <f ca="1">H25/1000</f>
        <v>#VALUE!</v>
      </c>
      <c r="J25" s="92" t="e">
        <f ca="1">IF(D25&lt;&gt;0,H25/D25,0)</f>
        <v>#VALUE!</v>
      </c>
      <c r="K25" s="24" t="str">
        <f ca="1">_xll.DBRW($B$9,$D$20,$D$19,$C$14,$B25,$C$15,$C25,K$24)</f>
        <v/>
      </c>
      <c r="L25" s="24" t="e">
        <f ca="1">K25/1000</f>
        <v>#VALUE!</v>
      </c>
      <c r="M25" s="92" t="e">
        <f ca="1">IF(D25&lt;&gt;0,K25/D25,0)</f>
        <v>#VALUE!</v>
      </c>
      <c r="N25" s="25" t="e">
        <f ca="1">IF(E25&lt;&gt;0,K25/E25,0)</f>
        <v>#VALUE!</v>
      </c>
      <c r="O25" s="24" t="str">
        <f ca="1">_xll.DBRW($B$9,$O$20,$O$19,$C$14,$B25,$C$15,$C25,O$24)</f>
        <v/>
      </c>
      <c r="P25" s="24" t="str">
        <f ca="1">_xll.DBRW($B$9,$O$20,$O$19,$C$14,$B25,$C$15,$C25,P$24)</f>
        <v/>
      </c>
      <c r="Q25" s="24" t="e">
        <f ca="1">P25/1000</f>
        <v>#VALUE!</v>
      </c>
      <c r="R25" s="92" t="str">
        <f ca="1">_xll.DBRW($B$9,$O$20,$O$19,$C$14,$B25,$C$15,$C25,R$24)</f>
        <v/>
      </c>
      <c r="S25" s="24" t="str">
        <f ca="1">_xll.DBRW($B$9,$O$20,$O$19,$C$14,$B25,$C$15,$C25,S$24)</f>
        <v/>
      </c>
      <c r="T25" s="24" t="e">
        <f ca="1">S25/1000</f>
        <v>#VALUE!</v>
      </c>
      <c r="U25" s="92" t="e">
        <f ca="1">IF(O25&lt;&gt;0,S25/O25,0)</f>
        <v>#VALUE!</v>
      </c>
      <c r="V25" s="24" t="str">
        <f ca="1">_xll.DBRW($B$9,$O$20,$O$19,$C$14,$B25,$C$15,$C25,V$24)</f>
        <v/>
      </c>
      <c r="W25" s="24" t="e">
        <f ca="1">V25/1000</f>
        <v>#VALUE!</v>
      </c>
      <c r="X25" s="92" t="e">
        <f ca="1">IF(O25&lt;&gt;0,V25/O25,0)</f>
        <v>#VALUE!</v>
      </c>
      <c r="Y25" s="25" t="e">
        <f ca="1">IF(P25&lt;&gt;0,V25/P25,0)</f>
        <v>#VALUE!</v>
      </c>
      <c r="Z25" s="24" t="str">
        <f ca="1">_xll.DBRW($B$9,$Z$20,$Z$19,$C$14,$B25,$C$15,$C25,Z$24)</f>
        <v/>
      </c>
      <c r="AA25" s="24" t="str">
        <f ca="1">_xll.DBRW($B$9,$Z$20,$Z$19,$C$14,$B25,$C$15,$C25,AA$24)</f>
        <v/>
      </c>
      <c r="AB25" s="24" t="e">
        <f ca="1">AA25/1000</f>
        <v>#VALUE!</v>
      </c>
      <c r="AC25" s="92" t="str">
        <f ca="1">_xll.DBRW($B$9,$Z$20,$Z$19,$C$14,$B25,$C$15,$C25,AC$24)</f>
        <v/>
      </c>
      <c r="AD25" s="24" t="str">
        <f ca="1">_xll.DBRW($B$9,$Z$20,$Z$19,$C$14,$B25,$C$15,$C25,AD$24)</f>
        <v/>
      </c>
      <c r="AE25" s="24" t="e">
        <f ca="1">AD25/1000</f>
        <v>#VALUE!</v>
      </c>
      <c r="AF25" s="92" t="e">
        <f ca="1">IF(Z25&lt;&gt;0,AD25/Z25,0)</f>
        <v>#VALUE!</v>
      </c>
      <c r="AG25" s="24" t="str">
        <f ca="1">_xll.DBRW($B$9,$Z$20,$Z$19,$C$14,$B25,$C$15,$C25,AG$24)</f>
        <v/>
      </c>
      <c r="AH25" s="24" t="e">
        <f ca="1">AG25/1000</f>
        <v>#VALUE!</v>
      </c>
      <c r="AI25" s="92" t="e">
        <f ca="1">IF(Z25&lt;&gt;0,AG25/Z25,0)</f>
        <v>#VALUE!</v>
      </c>
      <c r="AJ25" s="25" t="e">
        <f ca="1">IF(AA25&lt;&gt;0,AG25/AA25,0)</f>
        <v>#VALUE!</v>
      </c>
      <c r="AK25" s="24" t="str">
        <f ca="1">_xll.DBRW($B$9,$AK$20,$AK$19,$C$14,$B25,$C$15,$C25,AK$24)</f>
        <v/>
      </c>
      <c r="AL25" s="24" t="str">
        <f ca="1">_xll.DBRW($B$9,$AK$20,$AK$19,$C$14,$B25,$C$15,$C25,AL$24)</f>
        <v/>
      </c>
      <c r="AM25" s="24" t="e">
        <f ca="1">AL25/1000</f>
        <v>#VALUE!</v>
      </c>
      <c r="AN25" s="92" t="str">
        <f ca="1">_xll.DBRW($B$9,$AK$20,$AK$19,$C$14,$B25,$C$15,$C25,AN$24)</f>
        <v/>
      </c>
      <c r="AO25" s="24" t="str">
        <f ca="1">_xll.DBRW($B$9,$AK$20,$AK$19,$C$14,$B25,$C$15,$C25,AO$24)</f>
        <v/>
      </c>
      <c r="AP25" s="24" t="e">
        <f ca="1">AO25/1000</f>
        <v>#VALUE!</v>
      </c>
      <c r="AQ25" s="92" t="e">
        <f ca="1">IF(AK25&lt;&gt;0,AO25/AK25,0)</f>
        <v>#VALUE!</v>
      </c>
      <c r="AR25" s="24" t="str">
        <f ca="1">_xll.DBRW($B$9,$AK$20,$AK$19,$C$14,$B25,$C$15,$C25,AR$24)</f>
        <v/>
      </c>
      <c r="AS25" s="24" t="e">
        <f ca="1">AR25/1000</f>
        <v>#VALUE!</v>
      </c>
      <c r="AT25" s="92" t="e">
        <f ca="1">IF(AK25&lt;&gt;0,AR25/AK25,0)</f>
        <v>#VALUE!</v>
      </c>
      <c r="AU25" s="25" t="e">
        <f ca="1">IF(AL25&lt;&gt;0,AR25/AL25,0)</f>
        <v>#VALUE!</v>
      </c>
    </row>
    <row r="26" spans="1:47" hidden="1" x14ac:dyDescent="0.25"/>
    <row r="27" spans="1:47" hidden="1" x14ac:dyDescent="0.25"/>
    <row r="28" spans="1:47" hidden="1" x14ac:dyDescent="0.25"/>
    <row r="29" spans="1:47" hidden="1" x14ac:dyDescent="0.25"/>
    <row r="30" spans="1:47" hidden="1" x14ac:dyDescent="0.25"/>
    <row r="31" spans="1:47" hidden="1" x14ac:dyDescent="0.25"/>
    <row r="32" spans="1:47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9</xdr:col>
                <xdr:colOff>0</xdr:colOff>
                <xdr:row>14</xdr:row>
                <xdr:rowOff>85725</xdr:rowOff>
              </from>
              <to>
                <xdr:col>11</xdr:col>
                <xdr:colOff>219075</xdr:colOff>
                <xdr:row>15</xdr:row>
                <xdr:rowOff>180975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"/>
  <sheetViews>
    <sheetView workbookViewId="0"/>
  </sheetViews>
  <sheetFormatPr defaultColWidth="11.42578125" defaultRowHeight="15" x14ac:dyDescent="0.25"/>
  <sheetData>
    <row r="22" spans="2:2" x14ac:dyDescent="0.25">
      <c r="B2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2:C50"/>
  <sheetViews>
    <sheetView topLeftCell="A21" zoomScale="90" zoomScaleNormal="90" workbookViewId="0"/>
  </sheetViews>
  <sheetFormatPr defaultColWidth="11.42578125" defaultRowHeight="15" x14ac:dyDescent="0.25"/>
  <sheetData>
    <row r="22" spans="3:3" x14ac:dyDescent="0.25">
      <c r="C22" t="s">
        <v>8</v>
      </c>
    </row>
    <row r="23" spans="3:3" x14ac:dyDescent="0.25">
      <c r="C23" t="s">
        <v>25</v>
      </c>
    </row>
    <row r="24" spans="3:3" x14ac:dyDescent="0.25">
      <c r="C24" t="s">
        <v>26</v>
      </c>
    </row>
    <row r="25" spans="3:3" x14ac:dyDescent="0.25">
      <c r="C25" t="s">
        <v>27</v>
      </c>
    </row>
    <row r="26" spans="3:3" x14ac:dyDescent="0.25">
      <c r="C26" t="s">
        <v>28</v>
      </c>
    </row>
    <row r="27" spans="3:3" x14ac:dyDescent="0.25">
      <c r="C27" t="s">
        <v>29</v>
      </c>
    </row>
    <row r="28" spans="3:3" x14ac:dyDescent="0.25">
      <c r="C28" t="s">
        <v>30</v>
      </c>
    </row>
    <row r="29" spans="3:3" x14ac:dyDescent="0.25">
      <c r="C29" t="s">
        <v>31</v>
      </c>
    </row>
    <row r="30" spans="3:3" x14ac:dyDescent="0.25">
      <c r="C30" t="s">
        <v>32</v>
      </c>
    </row>
    <row r="31" spans="3:3" x14ac:dyDescent="0.25">
      <c r="C31" t="s">
        <v>33</v>
      </c>
    </row>
    <row r="32" spans="3:3" x14ac:dyDescent="0.25">
      <c r="C32" t="s">
        <v>34</v>
      </c>
    </row>
    <row r="33" spans="3:3" x14ac:dyDescent="0.25">
      <c r="C33" t="s">
        <v>35</v>
      </c>
    </row>
    <row r="34" spans="3:3" x14ac:dyDescent="0.25">
      <c r="C34" t="s">
        <v>36</v>
      </c>
    </row>
    <row r="35" spans="3:3" x14ac:dyDescent="0.25">
      <c r="C35" t="s">
        <v>37</v>
      </c>
    </row>
    <row r="36" spans="3:3" x14ac:dyDescent="0.25">
      <c r="C36" t="s">
        <v>38</v>
      </c>
    </row>
    <row r="37" spans="3:3" x14ac:dyDescent="0.25">
      <c r="C37" t="s">
        <v>39</v>
      </c>
    </row>
    <row r="38" spans="3:3" x14ac:dyDescent="0.25">
      <c r="C38" t="s">
        <v>40</v>
      </c>
    </row>
    <row r="39" spans="3:3" x14ac:dyDescent="0.25">
      <c r="C39" t="s">
        <v>41</v>
      </c>
    </row>
    <row r="40" spans="3:3" x14ac:dyDescent="0.25">
      <c r="C40" t="s">
        <v>42</v>
      </c>
    </row>
    <row r="41" spans="3:3" x14ac:dyDescent="0.25">
      <c r="C41" t="s">
        <v>43</v>
      </c>
    </row>
    <row r="42" spans="3:3" x14ac:dyDescent="0.25">
      <c r="C42" t="s">
        <v>44</v>
      </c>
    </row>
    <row r="43" spans="3:3" x14ac:dyDescent="0.25">
      <c r="C43" t="s">
        <v>45</v>
      </c>
    </row>
    <row r="44" spans="3:3" x14ac:dyDescent="0.25">
      <c r="C44" t="s">
        <v>46</v>
      </c>
    </row>
    <row r="45" spans="3:3" x14ac:dyDescent="0.25">
      <c r="C45" t="s">
        <v>47</v>
      </c>
    </row>
    <row r="46" spans="3:3" x14ac:dyDescent="0.25">
      <c r="C46" t="s">
        <v>48</v>
      </c>
    </row>
    <row r="47" spans="3:3" x14ac:dyDescent="0.25">
      <c r="C47" t="s">
        <v>49</v>
      </c>
    </row>
    <row r="48" spans="3:3" x14ac:dyDescent="0.25">
      <c r="C48" t="s">
        <v>50</v>
      </c>
    </row>
    <row r="49" spans="3:3" x14ac:dyDescent="0.25">
      <c r="C49" t="s">
        <v>51</v>
      </c>
    </row>
    <row r="50" spans="3:3" x14ac:dyDescent="0.25">
      <c r="C5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Recap</vt:lpstr>
      <vt:lpstr>Detail</vt:lpstr>
      <vt:lpstr>{AR}01</vt:lpstr>
      <vt:lpstr>{AR}11</vt:lpstr>
      <vt:lpstr>Detail!TM1RPTDATARNGARPT1</vt:lpstr>
      <vt:lpstr>Recap!TM1RPTDATARNGARPT1</vt:lpstr>
      <vt:lpstr>Detail!TM1RPTFMTIDCOL</vt:lpstr>
      <vt:lpstr>Recap!TM1RPTFMTIDCOL</vt:lpstr>
      <vt:lpstr>Detail!TM1RPTFMTRNG</vt:lpstr>
      <vt:lpstr>Recap!TM1RPTFMTRNG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2017-10-30T07:59:44Z</dcterms:created>
  <dcterms:modified xsi:type="dcterms:W3CDTF">2022-07-22T14:25:49Z</dcterms:modified>
</cp:coreProperties>
</file>