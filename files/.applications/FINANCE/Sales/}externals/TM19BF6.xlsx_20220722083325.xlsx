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120" yWindow="210" windowWidth="21840" windowHeight="9465"/>
  </bookViews>
  <sheets>
    <sheet name="Feuil1" sheetId="1" r:id="rId1"/>
  </sheets>
  <definedNames>
    <definedName name="TM1REBUILDOPTION">1</definedName>
    <definedName name="TM1RPTDATARNGARPT1" localSheetId="0">Feuil1!$27:$27</definedName>
    <definedName name="TM1RPTFMTIDCOL" localSheetId="0">Feuil1!$A$1:$A$8</definedName>
    <definedName name="TM1RPTFMTRNG" localSheetId="0">Feuil1!$B$1:$R$8</definedName>
  </definedNames>
  <calcPr calcId="162913" calcMode="manual" concurrentCalc="0"/>
</workbook>
</file>

<file path=xl/calcChain.xml><?xml version="1.0" encoding="utf-8"?>
<calcChain xmlns="http://schemas.openxmlformats.org/spreadsheetml/2006/main">
  <c r="C19" i="1" l="1"/>
  <c r="B9" i="1"/>
  <c r="C21" i="1"/>
  <c r="M25" i="1"/>
  <c r="H17" i="1"/>
  <c r="B27" i="1"/>
  <c r="C20" i="1"/>
  <c r="O20" i="1"/>
  <c r="J25" i="1"/>
  <c r="L20" i="1"/>
  <c r="G25" i="1"/>
  <c r="I20" i="1"/>
  <c r="D25" i="1"/>
  <c r="F20" i="1"/>
  <c r="C27" i="1"/>
  <c r="N27" i="1"/>
  <c r="M27" i="1"/>
  <c r="K27" i="1"/>
  <c r="J27" i="1"/>
  <c r="H27" i="1"/>
  <c r="G27" i="1"/>
  <c r="E27" i="1"/>
  <c r="D27" i="1"/>
  <c r="R27" i="1"/>
  <c r="O27" i="1"/>
  <c r="L27" i="1"/>
  <c r="I27" i="1"/>
  <c r="F27" i="1"/>
  <c r="A27" i="1"/>
  <c r="A5" i="1"/>
  <c r="A4" i="1"/>
  <c r="A3" i="1"/>
  <c r="A2" i="1"/>
</calcChain>
</file>

<file path=xl/sharedStrings.xml><?xml version="1.0" encoding="utf-8"?>
<sst xmlns="http://schemas.openxmlformats.org/spreadsheetml/2006/main" count="25" uniqueCount="15">
  <si>
    <t>Origin_Company</t>
  </si>
  <si>
    <t>Customer_Supplier</t>
  </si>
  <si>
    <t>Month</t>
  </si>
  <si>
    <t>SALES</t>
  </si>
  <si>
    <t>D</t>
  </si>
  <si>
    <t>N</t>
  </si>
  <si>
    <t>[Begin Format Range]</t>
  </si>
  <si>
    <t>[End Format Range]</t>
  </si>
  <si>
    <t>QTY</t>
  </si>
  <si>
    <t>CORRECTION</t>
  </si>
  <si>
    <t>Allocation</t>
  </si>
  <si>
    <t>Product</t>
  </si>
  <si>
    <t>SALES %</t>
  </si>
  <si>
    <t>QTY CORRECTION</t>
  </si>
  <si>
    <t>Sales-by-allocation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</si>
</sst>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- &quot;@"/>
    <numFmt numFmtId="165" formatCode="0.0%"/>
    <numFmt numFmtId="166" formatCode="&quot;+ &quot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4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3" fontId="3" fillId="0" borderId="0" xfId="0" applyNumberFormat="1" applyFont="1"/>
    <xf numFmtId="0" fontId="0" fillId="0" borderId="0" xfId="0" applyFill="1"/>
    <xf numFmtId="0" fontId="0" fillId="2" borderId="0" xfId="0" applyFill="1" applyBorder="1"/>
    <xf numFmtId="0" fontId="1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4" borderId="1" xfId="0" applyFont="1" applyFill="1" applyBorder="1"/>
    <xf numFmtId="0" fontId="0" fillId="4" borderId="1" xfId="0" applyFill="1" applyBorder="1"/>
    <xf numFmtId="0" fontId="1" fillId="3" borderId="4" xfId="0" applyFont="1" applyFill="1" applyBorder="1"/>
    <xf numFmtId="0" fontId="0" fillId="3" borderId="0" xfId="0" applyFill="1" applyBorder="1"/>
    <xf numFmtId="0" fontId="0" fillId="3" borderId="5" xfId="0" applyFill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3" fontId="3" fillId="4" borderId="0" xfId="0" applyNumberFormat="1" applyFont="1" applyFill="1" applyBorder="1"/>
    <xf numFmtId="3" fontId="3" fillId="5" borderId="0" xfId="0" applyNumberFormat="1" applyFont="1" applyFill="1" applyBorder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3" fontId="3" fillId="6" borderId="0" xfId="0" applyNumberFormat="1" applyFont="1" applyFill="1" applyBorder="1"/>
    <xf numFmtId="165" fontId="3" fillId="4" borderId="0" xfId="0" applyNumberFormat="1" applyFont="1" applyFill="1" applyBorder="1"/>
    <xf numFmtId="165" fontId="3" fillId="6" borderId="0" xfId="0" applyNumberFormat="1" applyFont="1" applyFill="1" applyBorder="1"/>
    <xf numFmtId="165" fontId="3" fillId="5" borderId="0" xfId="0" applyNumberFormat="1" applyFont="1" applyFill="1" applyBorder="1"/>
    <xf numFmtId="165" fontId="3" fillId="0" borderId="0" xfId="0" applyNumberFormat="1" applyFont="1"/>
    <xf numFmtId="4" fontId="0" fillId="4" borderId="1" xfId="0" applyNumberFormat="1" applyFill="1" applyBorder="1"/>
    <xf numFmtId="4" fontId="0" fillId="6" borderId="1" xfId="0" applyNumberFormat="1" applyFill="1" applyBorder="1"/>
    <xf numFmtId="4" fontId="0" fillId="5" borderId="1" xfId="0" applyNumberFormat="1" applyFill="1" applyBorder="1"/>
    <xf numFmtId="0" fontId="0" fillId="0" borderId="1" xfId="0" applyBorder="1"/>
    <xf numFmtId="165" fontId="3" fillId="4" borderId="5" xfId="0" applyNumberFormat="1" applyFont="1" applyFill="1" applyBorder="1"/>
    <xf numFmtId="165" fontId="3" fillId="6" borderId="5" xfId="0" applyNumberFormat="1" applyFont="1" applyFill="1" applyBorder="1"/>
    <xf numFmtId="165" fontId="3" fillId="5" borderId="5" xfId="0" applyNumberFormat="1" applyFont="1" applyFill="1" applyBorder="1"/>
    <xf numFmtId="165" fontId="3" fillId="0" borderId="5" xfId="0" applyNumberFormat="1" applyFont="1" applyBorder="1"/>
    <xf numFmtId="3" fontId="5" fillId="3" borderId="0" xfId="0" applyNumberFormat="1" applyFont="1" applyFill="1" applyBorder="1" applyAlignment="1">
      <alignment horizontal="center"/>
    </xf>
    <xf numFmtId="4" fontId="0" fillId="7" borderId="1" xfId="0" applyNumberFormat="1" applyFill="1" applyBorder="1"/>
    <xf numFmtId="3" fontId="3" fillId="7" borderId="0" xfId="0" applyNumberFormat="1" applyFont="1" applyFill="1" applyBorder="1"/>
    <xf numFmtId="165" fontId="3" fillId="7" borderId="5" xfId="0" applyNumberFormat="1" applyFont="1" applyFill="1" applyBorder="1"/>
    <xf numFmtId="165" fontId="3" fillId="7" borderId="0" xfId="0" applyNumberFormat="1" applyFont="1" applyFill="1" applyBorder="1"/>
    <xf numFmtId="0" fontId="6" fillId="3" borderId="0" xfId="0" applyFont="1" applyFill="1" applyBorder="1" applyAlignment="1">
      <alignment horizontal="center"/>
    </xf>
    <xf numFmtId="164" fontId="0" fillId="4" borderId="1" xfId="0" applyNumberFormat="1" applyFill="1" applyBorder="1" applyAlignment="1"/>
    <xf numFmtId="166" fontId="1" fillId="4" borderId="1" xfId="0" applyNumberFormat="1" applyFont="1" applyFill="1" applyBorder="1" applyAlignment="1"/>
    <xf numFmtId="0" fontId="2" fillId="3" borderId="1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6113"/>
  <ax:ocxPr ax:name="_ExtentY" ax:value="8017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Britannic Bold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16</xdr:row>
          <xdr:rowOff>0</xdr:rowOff>
        </xdr:from>
        <xdr:to>
          <xdr:col>5</xdr:col>
          <xdr:colOff>0</xdr:colOff>
          <xdr:row>19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63499</xdr:colOff>
      <xdr:row>9</xdr:row>
      <xdr:rowOff>116416</xdr:rowOff>
    </xdr:from>
    <xdr:to>
      <xdr:col>12</xdr:col>
      <xdr:colOff>580347</xdr:colOff>
      <xdr:row>15</xdr:row>
      <xdr:rowOff>153526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" y="359833"/>
          <a:ext cx="14656181" cy="1180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U41"/>
  <sheetViews>
    <sheetView showGridLines="0" tabSelected="1" topLeftCell="B1" zoomScale="90" zoomScaleNormal="90" workbookViewId="0">
      <pane xSplit="2" ySplit="26" topLeftCell="D27" activePane="bottomRight" state="frozen"/>
      <selection activeCell="B10" sqref="B10"/>
      <selection pane="topRight" activeCell="D10" sqref="D10"/>
      <selection pane="bottomLeft" activeCell="B30" sqref="B30"/>
      <selection pane="bottomRight" activeCell="C19" sqref="C19"/>
    </sheetView>
  </sheetViews>
  <sheetFormatPr defaultColWidth="0" defaultRowHeight="15" zeroHeight="1" x14ac:dyDescent="0.25"/>
  <cols>
    <col min="1" max="1" width="9.42578125" hidden="1" customWidth="1"/>
    <col min="2" max="2" width="37.140625" bestFit="1" customWidth="1"/>
    <col min="3" max="3" width="45.42578125" bestFit="1" customWidth="1"/>
    <col min="4" max="4" width="10.7109375" customWidth="1"/>
    <col min="5" max="5" width="15.7109375" customWidth="1"/>
    <col min="6" max="6" width="16.7109375" customWidth="1"/>
    <col min="7" max="7" width="10.7109375" customWidth="1"/>
    <col min="8" max="8" width="15.7109375" customWidth="1"/>
    <col min="9" max="9" width="16.7109375" customWidth="1"/>
    <col min="10" max="10" width="10.7109375" customWidth="1"/>
    <col min="11" max="11" width="15.7109375" customWidth="1"/>
    <col min="12" max="12" width="16.7109375" customWidth="1"/>
    <col min="13" max="13" width="10.7109375" customWidth="1"/>
    <col min="14" max="14" width="15.7109375" customWidth="1"/>
    <col min="15" max="15" width="16.7109375" customWidth="1"/>
    <col min="16" max="16" width="17.140625" bestFit="1" customWidth="1"/>
    <col min="17" max="17" width="22.85546875" bestFit="1" customWidth="1"/>
    <col min="18" max="18" width="16.5703125" customWidth="1"/>
    <col min="19" max="19" width="11.42578125" hidden="1" customWidth="1"/>
    <col min="20" max="1009" width="0" hidden="1" customWidth="1"/>
    <col min="1010" max="16384" width="11.42578125" hidden="1"/>
  </cols>
  <sheetData>
    <row r="1" spans="1:19" hidden="1" x14ac:dyDescent="0.25">
      <c r="A1" t="s">
        <v>6</v>
      </c>
    </row>
    <row r="2" spans="1:19" hidden="1" x14ac:dyDescent="0.25">
      <c r="A2">
        <f>0</f>
        <v>0</v>
      </c>
      <c r="B2" s="9"/>
      <c r="C2" s="30"/>
      <c r="D2" s="20"/>
      <c r="E2" s="20"/>
      <c r="F2" s="34"/>
      <c r="G2" s="20"/>
      <c r="H2" s="20"/>
      <c r="I2" s="34"/>
      <c r="J2" s="20"/>
      <c r="K2" s="20"/>
      <c r="L2" s="34"/>
      <c r="M2" s="20"/>
      <c r="N2" s="20"/>
      <c r="O2" s="26"/>
      <c r="P2" s="20"/>
      <c r="Q2" s="20"/>
      <c r="R2" s="26"/>
    </row>
    <row r="3" spans="1:19" s="2" customFormat="1" hidden="1" x14ac:dyDescent="0.25">
      <c r="A3">
        <f>1</f>
        <v>1</v>
      </c>
      <c r="B3" s="10"/>
      <c r="C3" s="31"/>
      <c r="D3" s="25"/>
      <c r="E3" s="25"/>
      <c r="F3" s="35"/>
      <c r="G3" s="25"/>
      <c r="H3" s="25"/>
      <c r="I3" s="35"/>
      <c r="J3" s="25"/>
      <c r="K3" s="25"/>
      <c r="L3" s="35"/>
      <c r="M3" s="25"/>
      <c r="N3" s="25"/>
      <c r="O3" s="27"/>
      <c r="P3" s="25"/>
      <c r="Q3" s="25"/>
      <c r="R3" s="27"/>
      <c r="S3"/>
    </row>
    <row r="4" spans="1:19" s="2" customFormat="1" hidden="1" x14ac:dyDescent="0.25">
      <c r="A4">
        <f>2</f>
        <v>2</v>
      </c>
      <c r="B4" s="10"/>
      <c r="C4" s="32"/>
      <c r="D4" s="21"/>
      <c r="E4" s="21"/>
      <c r="F4" s="36"/>
      <c r="G4" s="21"/>
      <c r="H4" s="21"/>
      <c r="I4" s="36"/>
      <c r="J4" s="21"/>
      <c r="K4" s="21"/>
      <c r="L4" s="36"/>
      <c r="M4" s="21"/>
      <c r="N4" s="21"/>
      <c r="O4" s="28"/>
      <c r="P4" s="21"/>
      <c r="Q4" s="21"/>
      <c r="R4" s="28"/>
      <c r="S4"/>
    </row>
    <row r="5" spans="1:19" s="2" customFormat="1" hidden="1" x14ac:dyDescent="0.25">
      <c r="A5">
        <f>3</f>
        <v>3</v>
      </c>
      <c r="B5" s="10"/>
      <c r="C5" s="39"/>
      <c r="D5" s="40"/>
      <c r="E5" s="40"/>
      <c r="F5" s="41"/>
      <c r="G5" s="40"/>
      <c r="H5" s="40"/>
      <c r="I5" s="41"/>
      <c r="J5" s="40"/>
      <c r="K5" s="40"/>
      <c r="L5" s="41"/>
      <c r="M5" s="40"/>
      <c r="N5" s="40"/>
      <c r="O5" s="42"/>
      <c r="P5" s="40"/>
      <c r="Q5" s="40"/>
      <c r="R5" s="42"/>
      <c r="S5"/>
    </row>
    <row r="6" spans="1:19" s="2" customFormat="1" hidden="1" x14ac:dyDescent="0.25">
      <c r="A6" t="s">
        <v>4</v>
      </c>
      <c r="B6" s="10"/>
      <c r="C6" s="32"/>
      <c r="D6" s="21"/>
      <c r="E6" s="21"/>
      <c r="F6" s="36"/>
      <c r="G6" s="21"/>
      <c r="H6" s="21"/>
      <c r="I6" s="36"/>
      <c r="J6" s="21"/>
      <c r="K6" s="21"/>
      <c r="L6" s="36"/>
      <c r="M6" s="21"/>
      <c r="N6" s="21"/>
      <c r="O6" s="28"/>
      <c r="P6" s="21"/>
      <c r="Q6" s="21"/>
      <c r="R6" s="28"/>
      <c r="S6"/>
    </row>
    <row r="7" spans="1:19" hidden="1" x14ac:dyDescent="0.25">
      <c r="A7" t="s">
        <v>5</v>
      </c>
      <c r="B7" s="10"/>
      <c r="C7" s="33"/>
      <c r="D7" s="1"/>
      <c r="E7" s="1"/>
      <c r="F7" s="37"/>
      <c r="G7" s="1"/>
      <c r="H7" s="1"/>
      <c r="I7" s="37"/>
      <c r="J7" s="1"/>
      <c r="K7" s="1"/>
      <c r="L7" s="37"/>
      <c r="M7" s="1"/>
      <c r="N7" s="1"/>
      <c r="O7" s="29"/>
      <c r="P7" s="1"/>
      <c r="Q7" s="1"/>
      <c r="R7" s="29"/>
    </row>
    <row r="8" spans="1:19" hidden="1" x14ac:dyDescent="0.25">
      <c r="A8" t="s">
        <v>7</v>
      </c>
    </row>
    <row r="9" spans="1:19" ht="19.5" hidden="1" customHeight="1" x14ac:dyDescent="0.25">
      <c r="B9" t="str">
        <f ca="1">_xll.TM1RPTVIEW("CXMD:FTM_DATA_MARGIN:ARPT1",1, _xll.TM1RPTTITLE("CXMD:Month",$C$21), _xll.TM1RPTTITLE("CXMD:DIM_Origin_Company",$C$19), _xll.TM1RPTTITLE("CXMD:DIM_Customer_Supplier",$C$20),TM1RPTFMTRNG,TM1RPTFMTIDCOL)</f>
        <v>CXMD:FTM_DATA_MARGIN:ARPT1</v>
      </c>
    </row>
    <row r="10" spans="1:19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9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9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9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9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9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9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15" hidden="1" customHeight="1" x14ac:dyDescent="0.25">
      <c r="B17" s="14"/>
      <c r="C17" s="5"/>
      <c r="D17" s="4"/>
      <c r="E17" s="4"/>
      <c r="F17" s="4"/>
      <c r="G17" s="4"/>
      <c r="H17" s="4" t="str">
        <f ca="1">CONCATENATE(_xll.DBRA("CXMD:DIM_Origin_Company",C19,"Origin Company"),"_SALES")</f>
        <v>Y_SALES</v>
      </c>
      <c r="I17" s="4"/>
      <c r="J17" s="4"/>
      <c r="K17" s="4"/>
      <c r="L17" s="4"/>
      <c r="M17" s="4"/>
      <c r="N17" s="4"/>
      <c r="O17" s="4"/>
      <c r="P17" s="4"/>
      <c r="Q17" s="4"/>
      <c r="R17" s="15"/>
    </row>
    <row r="18" spans="1:18" ht="6.75" customHeight="1" x14ac:dyDescent="0.25">
      <c r="B18" s="14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5"/>
    </row>
    <row r="19" spans="1:18" ht="18.75" x14ac:dyDescent="0.3">
      <c r="B19" s="14" t="s">
        <v>0</v>
      </c>
      <c r="C19" s="5" t="str">
        <f ca="1">_xll.SUBNM("CXMD:DIM_Origin_Company","","Y","Name EN")</f>
        <v>SILVA</v>
      </c>
      <c r="D19" s="4"/>
      <c r="E19" s="4"/>
      <c r="F19" s="4"/>
      <c r="G19" s="4"/>
      <c r="H19" s="4"/>
      <c r="I19" s="38" t="s">
        <v>14</v>
      </c>
      <c r="J19" s="4"/>
      <c r="K19" s="4"/>
      <c r="L19" s="4"/>
      <c r="M19" s="4"/>
      <c r="N19" s="4"/>
      <c r="O19" s="4"/>
      <c r="P19" s="4"/>
      <c r="Q19" s="4"/>
      <c r="R19" s="15"/>
    </row>
    <row r="20" spans="1:18" x14ac:dyDescent="0.25">
      <c r="B20" s="14" t="s">
        <v>1</v>
      </c>
      <c r="C20" s="5" t="str">
        <f ca="1">_xll.SUBNM("CXMD:DIM_Customer_Supplier","Par défaut","Total_Customer_Supplier","Code-Name")</f>
        <v>Total_Customer_Supplier</v>
      </c>
      <c r="D20" s="4"/>
      <c r="E20" s="4"/>
      <c r="F20" s="43" t="str">
        <f ca="1">_xll.DBRW($B$9,$C$21,$D$25,$C$19,$B27,$C$20,"TOTAL PRODUCT",E$26)</f>
        <v/>
      </c>
      <c r="G20" s="43"/>
      <c r="H20" s="43"/>
      <c r="I20" s="43" t="str">
        <f ca="1">_xll.DBRW($B$9,$C$21,$G$25,$C$19,$B27,$C$20,"TOTAL PRODUCT",H$26)</f>
        <v/>
      </c>
      <c r="J20" s="43"/>
      <c r="K20" s="43"/>
      <c r="L20" s="43" t="str">
        <f ca="1">_xll.DBRW($B$9,$C$21,$J$25,$C$19,$B27,$C$20,"TOTAL PRODUCT",K$26)</f>
        <v/>
      </c>
      <c r="M20" s="43"/>
      <c r="N20" s="43"/>
      <c r="O20" s="43" t="str">
        <f ca="1">_xll.DBRW($B$9,$C$21,$M$25,$C$19,$B27,$C$20,"TOTAL PRODUCT",N$26)</f>
        <v/>
      </c>
      <c r="P20" s="4"/>
      <c r="Q20" s="4"/>
      <c r="R20" s="15"/>
    </row>
    <row r="21" spans="1:18" x14ac:dyDescent="0.25">
      <c r="B21" s="14" t="s">
        <v>2</v>
      </c>
      <c r="C21" s="5" t="str">
        <f ca="1">_xll.SUBNM("CXMD:Month","","Total_Month")</f>
        <v>Total_Month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5"/>
    </row>
    <row r="22" spans="1:18" x14ac:dyDescent="0.25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3"/>
    </row>
    <row r="23" spans="1:18" x14ac:dyDescent="0.25"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8"/>
    </row>
    <row r="24" spans="1:18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x14ac:dyDescent="0.25">
      <c r="B25" s="12"/>
      <c r="C25" s="12"/>
      <c r="D25" s="46" t="str">
        <f ca="1">_xll.SUBNM("CXMD:Actuality","","AC2022","Description EN")</f>
        <v>AC2022</v>
      </c>
      <c r="E25" s="46"/>
      <c r="F25" s="46"/>
      <c r="G25" s="46" t="str">
        <f ca="1">_xll.SUBNM("CXMD:Actuality","Actuality","AC2016","Description EN")</f>
        <v>AC2016</v>
      </c>
      <c r="H25" s="46"/>
      <c r="I25" s="46"/>
      <c r="J25" s="46" t="str">
        <f ca="1">_xll.SUBNM("CXMD:Actuality","","Ambition_2020BUDprop","Description EN")</f>
        <v>Ambition_2020BUDprop</v>
      </c>
      <c r="K25" s="46"/>
      <c r="L25" s="47"/>
      <c r="M25" s="48" t="str">
        <f ca="1">_xll.SUBNM("CXMD:Actuality","","WK5","Description EN")</f>
        <v>WK5 - 2025</v>
      </c>
      <c r="N25" s="49"/>
      <c r="O25" s="49"/>
      <c r="P25" s="49"/>
      <c r="Q25" s="49"/>
      <c r="R25" s="50"/>
    </row>
    <row r="26" spans="1:18" x14ac:dyDescent="0.25">
      <c r="B26" s="16" t="s">
        <v>10</v>
      </c>
      <c r="C26" s="17" t="s">
        <v>11</v>
      </c>
      <c r="D26" s="17" t="s">
        <v>8</v>
      </c>
      <c r="E26" s="19" t="s">
        <v>3</v>
      </c>
      <c r="F26" s="19" t="s">
        <v>12</v>
      </c>
      <c r="G26" s="17" t="s">
        <v>8</v>
      </c>
      <c r="H26" s="19" t="s">
        <v>3</v>
      </c>
      <c r="I26" s="18" t="s">
        <v>12</v>
      </c>
      <c r="J26" s="17" t="s">
        <v>8</v>
      </c>
      <c r="K26" s="19" t="s">
        <v>3</v>
      </c>
      <c r="L26" s="19" t="s">
        <v>12</v>
      </c>
      <c r="M26" s="22" t="s">
        <v>8</v>
      </c>
      <c r="N26" s="23" t="s">
        <v>3</v>
      </c>
      <c r="O26" s="23" t="s">
        <v>12</v>
      </c>
      <c r="P26" s="23" t="s">
        <v>9</v>
      </c>
      <c r="Q26" s="23" t="s">
        <v>13</v>
      </c>
      <c r="R26" s="24" t="s">
        <v>12</v>
      </c>
    </row>
    <row r="27" spans="1:18" x14ac:dyDescent="0.25">
      <c r="A27" t="str">
        <f ca="1">IF(_xll.TM1RPTELISCONSOLIDATED($C$27,$C27),IF(_xll.TM1RPTELLEV($C$27,$C27)&lt;=3,_xll.TM1RPTELLEV($C$27,$C27),"D"),"N")</f>
        <v>N</v>
      </c>
      <c r="B27" s="45" t="str">
        <f ca="1">_xll.TM1RPTROW($B$9,"CXMD:DIM_Allocation",,$H$17,"Allocation EN")</f>
        <v/>
      </c>
      <c r="C27" s="44" t="str">
        <f ca="1">_xll.TM1RPTROW($B$9,"CXMD:DIM_Configuration","Par défaut",,"Description EN")</f>
        <v/>
      </c>
      <c r="D27" s="20" t="str">
        <f ca="1">_xll.DBRW($B$9,$C$21,$D$25,$C$19,$B27,$C$20,$C27,D$26)</f>
        <v/>
      </c>
      <c r="E27" s="20" t="str">
        <f ca="1">_xll.DBRW($B$9,$C$21,$D$25,$C$19,$B27,$C$20,$C27,E$26)</f>
        <v/>
      </c>
      <c r="F27" s="34" t="e">
        <f ca="1">IF($F$20=0,0,E27/$F$20)</f>
        <v>#VALUE!</v>
      </c>
      <c r="G27" s="20" t="str">
        <f ca="1">_xll.DBRW($B$9,$C$21,$G$25,$C$19,$B27,$C$20,$C27,G$26)</f>
        <v/>
      </c>
      <c r="H27" s="20" t="str">
        <f ca="1">_xll.DBRW($B$9,$C$21,$G$25,$C$19,$B27,$C$20,$C27,H$26)</f>
        <v/>
      </c>
      <c r="I27" s="34" t="e">
        <f ca="1">IF($I$20=0,0,H27/$I$20)</f>
        <v>#VALUE!</v>
      </c>
      <c r="J27" s="20" t="str">
        <f ca="1">_xll.DBRW($B$9,$C$21,$J$25,$C$19,$B27,$C$20,$C27,J$26)</f>
        <v/>
      </c>
      <c r="K27" s="20" t="str">
        <f ca="1">_xll.DBRW($B$9,$C$21,$J$25,$C$19,$B27,$C$20,$C27,K$26)</f>
        <v/>
      </c>
      <c r="L27" s="34" t="e">
        <f ca="1">IF($L$20=0,0,K27/$L$20)</f>
        <v>#VALUE!</v>
      </c>
      <c r="M27" s="20" t="str">
        <f ca="1">_xll.DBRW($B$9,$C$21,$M$25,$C$19,$B27,$C$20,$C27,M$26)</f>
        <v/>
      </c>
      <c r="N27" s="20" t="str">
        <f ca="1">_xll.DBRW($B$9,$C$21,$M$25,$C$19,$B27,$C$20,$C27,N$26)</f>
        <v/>
      </c>
      <c r="O27" s="26" t="e">
        <f ca="1">IF($O$20=0,0,N27/$O$20)</f>
        <v>#VALUE!</v>
      </c>
      <c r="P27" s="20">
        <v>0</v>
      </c>
      <c r="Q27" s="20">
        <v>0</v>
      </c>
      <c r="R27" s="26" t="e">
        <f ca="1">P27/$O$20</f>
        <v>#VALUE!</v>
      </c>
    </row>
    <row r="28" spans="1:18" hidden="1" x14ac:dyDescent="0.25"/>
    <row r="29" spans="1:18" hidden="1" x14ac:dyDescent="0.25"/>
    <row r="30" spans="1:18" hidden="1" x14ac:dyDescent="0.25"/>
    <row r="31" spans="1:18" hidden="1" x14ac:dyDescent="0.25"/>
    <row r="32" spans="1:18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</sheetData>
  <mergeCells count="4">
    <mergeCell ref="J25:L25"/>
    <mergeCell ref="G25:I25"/>
    <mergeCell ref="D25:F25"/>
    <mergeCell ref="M25:R2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 sizeWithCells="1">
              <from>
                <xdr:col>4</xdr:col>
                <xdr:colOff>0</xdr:colOff>
                <xdr:row>16</xdr:row>
                <xdr:rowOff>0</xdr:rowOff>
              </from>
              <to>
                <xdr:col>5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dcterms:created xsi:type="dcterms:W3CDTF">2014-10-20T11:52:49Z</dcterms:created>
  <dcterms:modified xsi:type="dcterms:W3CDTF">2022-07-22T08:33:15Z</dcterms:modified>
</cp:coreProperties>
</file>