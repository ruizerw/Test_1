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rv191\AppData\Local\Temp\31\"/>
    </mc:Choice>
  </mc:AlternateContent>
  <bookViews>
    <workbookView xWindow="0" yWindow="0" windowWidth="21600" windowHeight="9435"/>
  </bookViews>
  <sheets>
    <sheet name="Feuil1" sheetId="1" r:id="rId1"/>
    <sheet name="{AR}01" sheetId="2" state="hidden" r:id="rId2"/>
  </sheets>
  <definedNames>
    <definedName name="TM1REBUILDOPTION">1</definedName>
    <definedName name="TM1RPTDATARNGARPT1" localSheetId="0">Feuil1!$26:$26</definedName>
    <definedName name="TM1RPTFMTIDCOL" localSheetId="0">Feuil1!$A$1:$A$8</definedName>
    <definedName name="TM1RPTFMTRNG" localSheetId="0">Feuil1!$B$1:$AM$8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1" l="1"/>
  <c r="C17" i="1"/>
  <c r="B9" i="1"/>
  <c r="C21" i="1"/>
  <c r="C19" i="1"/>
  <c r="E18" i="1"/>
  <c r="B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26" i="1"/>
  <c r="A5" i="1"/>
  <c r="A4" i="1"/>
  <c r="A3" i="1"/>
  <c r="A2" i="1"/>
</calcChain>
</file>

<file path=xl/sharedStrings.xml><?xml version="1.0" encoding="utf-8"?>
<sst xmlns="http://schemas.openxmlformats.org/spreadsheetml/2006/main" count="69" uniqueCount="34">
  <si>
    <t>Origin_Company</t>
  </si>
  <si>
    <t>Customer_Supplier</t>
  </si>
  <si>
    <t>Actuality</t>
  </si>
  <si>
    <t>Month</t>
  </si>
  <si>
    <t>TOTAL PRODUCT</t>
  </si>
  <si>
    <t>QTY</t>
  </si>
  <si>
    <t>SALES</t>
  </si>
  <si>
    <t>Total Allocation</t>
  </si>
  <si>
    <t>D</t>
  </si>
  <si>
    <t>N</t>
  </si>
  <si>
    <t>[Begin Format Range]</t>
  </si>
  <si>
    <t>[End Format Range]</t>
  </si>
  <si>
    <t>Area</t>
  </si>
  <si>
    <t>Sales-by-area</t>
  </si>
  <si>
    <t>L - LAB - Ploughing</t>
  </si>
  <si>
    <t>L - SOL - Tillage</t>
  </si>
  <si>
    <t>L - SEM - Seeding</t>
  </si>
  <si>
    <t>L - FER - Fertilisation</t>
  </si>
  <si>
    <t>L - PLV - Spraying</t>
  </si>
  <si>
    <t>L - ENT - Landscape Maintenance</t>
  </si>
  <si>
    <t>L - BRO - Shredders</t>
  </si>
  <si>
    <t>L - RFO - Hay / Silage Making</t>
  </si>
  <si>
    <t>L - PRE - Balers</t>
  </si>
  <si>
    <t>L - ENR - Wrappers</t>
  </si>
  <si>
    <t>L - ENS - Choppers</t>
  </si>
  <si>
    <t>L - CDE - Bedding &amp; Feeding</t>
  </si>
  <si>
    <t>L - LP_GRAIN_CARTS - GRAIN CARTS</t>
  </si>
  <si>
    <t>L - EPA - Manure spreading</t>
  </si>
  <si>
    <t>L - NCH - Non-Conventional Harvesting</t>
  </si>
  <si>
    <t>L - EQU - Equipment</t>
  </si>
  <si>
    <t>L - DIV - OTHER</t>
  </si>
  <si>
    <t>L - SER - SERVICES</t>
  </si>
  <si>
    <t>L - REV - RESELL</t>
  </si>
  <si>
    <t>L - PDR - Parts : Common &amp; Kuhn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</si>
</sst>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- &quot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8C8C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0" fillId="3" borderId="0" xfId="0" applyFill="1"/>
    <xf numFmtId="3" fontId="3" fillId="2" borderId="0" xfId="0" applyNumberFormat="1" applyFont="1" applyFill="1"/>
    <xf numFmtId="3" fontId="3" fillId="3" borderId="0" xfId="0" applyNumberFormat="1" applyFont="1" applyFill="1"/>
    <xf numFmtId="3" fontId="3" fillId="0" borderId="0" xfId="0" applyNumberFormat="1" applyFont="1"/>
    <xf numFmtId="0" fontId="1" fillId="4" borderId="0" xfId="0" applyFont="1" applyFill="1"/>
    <xf numFmtId="0" fontId="4" fillId="4" borderId="0" xfId="0" applyFont="1" applyFill="1"/>
    <xf numFmtId="0" fontId="0" fillId="5" borderId="0" xfId="0" applyFill="1"/>
    <xf numFmtId="3" fontId="3" fillId="5" borderId="0" xfId="0" applyNumberFormat="1" applyFont="1" applyFill="1"/>
    <xf numFmtId="0" fontId="0" fillId="6" borderId="0" xfId="0" applyFill="1"/>
    <xf numFmtId="3" fontId="3" fillId="6" borderId="0" xfId="0" applyNumberFormat="1" applyFont="1" applyFill="1"/>
    <xf numFmtId="3" fontId="3" fillId="2" borderId="1" xfId="0" applyNumberFormat="1" applyFont="1" applyFill="1" applyBorder="1"/>
    <xf numFmtId="3" fontId="3" fillId="3" borderId="1" xfId="0" applyNumberFormat="1" applyFont="1" applyFill="1" applyBorder="1"/>
    <xf numFmtId="3" fontId="3" fillId="5" borderId="1" xfId="0" applyNumberFormat="1" applyFont="1" applyFill="1" applyBorder="1"/>
    <xf numFmtId="3" fontId="3" fillId="6" borderId="1" xfId="0" applyNumberFormat="1" applyFont="1" applyFill="1" applyBorder="1"/>
    <xf numFmtId="3" fontId="3" fillId="0" borderId="1" xfId="0" applyNumberFormat="1" applyFont="1" applyBorder="1"/>
    <xf numFmtId="3" fontId="3" fillId="2" borderId="2" xfId="0" applyNumberFormat="1" applyFont="1" applyFill="1" applyBorder="1"/>
    <xf numFmtId="3" fontId="3" fillId="3" borderId="2" xfId="0" applyNumberFormat="1" applyFont="1" applyFill="1" applyBorder="1"/>
    <xf numFmtId="3" fontId="3" fillId="5" borderId="2" xfId="0" applyNumberFormat="1" applyFont="1" applyFill="1" applyBorder="1"/>
    <xf numFmtId="3" fontId="3" fillId="6" borderId="2" xfId="0" applyNumberFormat="1" applyFont="1" applyFill="1" applyBorder="1"/>
    <xf numFmtId="3" fontId="3" fillId="0" borderId="2" xfId="0" applyNumberFormat="1" applyFont="1" applyBorder="1"/>
    <xf numFmtId="3" fontId="3" fillId="2" borderId="3" xfId="0" applyNumberFormat="1" applyFont="1" applyFill="1" applyBorder="1"/>
    <xf numFmtId="3" fontId="3" fillId="3" borderId="3" xfId="0" applyNumberFormat="1" applyFont="1" applyFill="1" applyBorder="1"/>
    <xf numFmtId="3" fontId="3" fillId="5" borderId="3" xfId="0" applyNumberFormat="1" applyFont="1" applyFill="1" applyBorder="1"/>
    <xf numFmtId="3" fontId="3" fillId="6" borderId="3" xfId="0" applyNumberFormat="1" applyFont="1" applyFill="1" applyBorder="1"/>
    <xf numFmtId="3" fontId="3" fillId="0" borderId="3" xfId="0" applyNumberFormat="1" applyFont="1" applyBorder="1"/>
    <xf numFmtId="0" fontId="0" fillId="7" borderId="0" xfId="0" applyFill="1"/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2" fillId="4" borderId="5" xfId="0" applyFont="1" applyFill="1" applyBorder="1" applyAlignment="1">
      <alignment horizontal="center" vertical="center" wrapText="1"/>
    </xf>
    <xf numFmtId="3" fontId="3" fillId="2" borderId="0" xfId="0" applyNumberFormat="1" applyFont="1" applyFill="1" applyBorder="1"/>
    <xf numFmtId="3" fontId="3" fillId="3" borderId="0" xfId="0" applyNumberFormat="1" applyFont="1" applyFill="1" applyBorder="1"/>
    <xf numFmtId="3" fontId="3" fillId="5" borderId="0" xfId="0" applyNumberFormat="1" applyFont="1" applyFill="1" applyBorder="1"/>
    <xf numFmtId="3" fontId="3" fillId="6" borderId="0" xfId="0" applyNumberFormat="1" applyFont="1" applyFill="1" applyBorder="1"/>
    <xf numFmtId="3" fontId="3" fillId="0" borderId="0" xfId="0" applyNumberFormat="1" applyFont="1" applyBorder="1"/>
    <xf numFmtId="0" fontId="4" fillId="4" borderId="8" xfId="0" applyFont="1" applyFill="1" applyBorder="1" applyAlignment="1">
      <alignment horizontal="center"/>
    </xf>
    <xf numFmtId="3" fontId="5" fillId="4" borderId="0" xfId="0" applyNumberFormat="1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/>
    </xf>
    <xf numFmtId="164" fontId="0" fillId="2" borderId="0" xfId="0" applyNumberForma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4419"/>
  <ax:ocxPr ax:name="_ExtentY" ax:value="1349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1"/>
  <ax:ocxPr ax:name="ShowFailureMessage" ax:value="1"/>
  <ax:ocxPr ax:name="TargetWorkbookName" ax:value=""/>
  <ax:ocxPr ax:name="TargetWorksheetName" ax:value="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200025</xdr:colOff>
          <xdr:row>18</xdr:row>
          <xdr:rowOff>133350</xdr:rowOff>
        </xdr:from>
        <xdr:to>
          <xdr:col>6</xdr:col>
          <xdr:colOff>476250</xdr:colOff>
          <xdr:row>21</xdr:row>
          <xdr:rowOff>66675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</xdr:col>
      <xdr:colOff>21168</xdr:colOff>
      <xdr:row>9</xdr:row>
      <xdr:rowOff>46513</xdr:rowOff>
    </xdr:from>
    <xdr:to>
      <xdr:col>16</xdr:col>
      <xdr:colOff>400433</xdr:colOff>
      <xdr:row>15</xdr:row>
      <xdr:rowOff>136458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68" y="46513"/>
          <a:ext cx="15312348" cy="12329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AP169"/>
  <sheetViews>
    <sheetView showGridLines="0" tabSelected="1" topLeftCell="B1" zoomScale="90" zoomScaleNormal="90" workbookViewId="0">
      <pane xSplit="1" ySplit="25" topLeftCell="C26" activePane="bottomRight" state="frozen"/>
      <selection activeCell="B10" sqref="B10"/>
      <selection pane="topRight" activeCell="C10" sqref="C10"/>
      <selection pane="bottomLeft" activeCell="B29" sqref="B29"/>
      <selection pane="bottomRight" activeCell="C17" sqref="C17"/>
    </sheetView>
  </sheetViews>
  <sheetFormatPr defaultColWidth="0" defaultRowHeight="15" zeroHeight="1" x14ac:dyDescent="0.25"/>
  <cols>
    <col min="1" max="1" width="20.140625" hidden="1" customWidth="1"/>
    <col min="2" max="2" width="44.140625" customWidth="1"/>
    <col min="3" max="3" width="11.7109375" customWidth="1"/>
    <col min="4" max="4" width="15.7109375" customWidth="1"/>
    <col min="5" max="5" width="11.7109375" customWidth="1"/>
    <col min="6" max="6" width="13.7109375" customWidth="1"/>
    <col min="7" max="7" width="11.7109375" customWidth="1"/>
    <col min="8" max="8" width="13.7109375" customWidth="1"/>
    <col min="9" max="9" width="11.7109375" customWidth="1"/>
    <col min="10" max="10" width="13.7109375" customWidth="1"/>
    <col min="11" max="11" width="11.7109375" customWidth="1"/>
    <col min="12" max="12" width="13.7109375" customWidth="1"/>
    <col min="13" max="13" width="11.7109375" customWidth="1"/>
    <col min="14" max="14" width="13.7109375" customWidth="1"/>
    <col min="15" max="15" width="11.7109375" customWidth="1"/>
    <col min="16" max="16" width="13.7109375" customWidth="1"/>
    <col min="17" max="17" width="11.7109375" customWidth="1"/>
    <col min="18" max="18" width="13.7109375" customWidth="1"/>
    <col min="19" max="19" width="11.7109375" customWidth="1"/>
    <col min="20" max="20" width="13.7109375" customWidth="1"/>
    <col min="21" max="21" width="11.7109375" customWidth="1"/>
    <col min="22" max="22" width="13.7109375" customWidth="1"/>
    <col min="23" max="23" width="11.7109375" customWidth="1"/>
    <col min="24" max="24" width="13.7109375" customWidth="1"/>
    <col min="25" max="25" width="11.7109375" customWidth="1"/>
    <col min="26" max="26" width="13.7109375" customWidth="1"/>
    <col min="27" max="27" width="11.7109375" customWidth="1"/>
    <col min="28" max="28" width="13.7109375" customWidth="1"/>
    <col min="29" max="29" width="11.7109375" customWidth="1"/>
    <col min="30" max="30" width="13.7109375" customWidth="1"/>
    <col min="31" max="31" width="11.7109375" customWidth="1"/>
    <col min="32" max="32" width="13.7109375" customWidth="1"/>
    <col min="33" max="33" width="11.7109375" customWidth="1"/>
    <col min="34" max="34" width="13.7109375" customWidth="1"/>
    <col min="35" max="35" width="11.7109375" customWidth="1"/>
    <col min="36" max="39" width="13.7109375" customWidth="1"/>
    <col min="40" max="40" width="11.42578125" hidden="1" customWidth="1"/>
    <col min="43" max="16384" width="11.42578125" hidden="1"/>
  </cols>
  <sheetData>
    <row r="1" spans="1:39" ht="19.5" hidden="1" customHeight="1" x14ac:dyDescent="0.25">
      <c r="A1" t="s">
        <v>10</v>
      </c>
    </row>
    <row r="2" spans="1:39" ht="19.5" hidden="1" customHeight="1" x14ac:dyDescent="0.25">
      <c r="A2">
        <f>0</f>
        <v>0</v>
      </c>
      <c r="B2" s="1"/>
      <c r="C2" s="12"/>
      <c r="D2" s="17"/>
      <c r="E2" s="3"/>
      <c r="F2" s="17"/>
      <c r="G2" s="3"/>
      <c r="H2" s="17"/>
      <c r="I2" s="3"/>
      <c r="J2" s="17"/>
      <c r="K2" s="3"/>
      <c r="L2" s="17"/>
      <c r="M2" s="3"/>
      <c r="N2" s="17"/>
      <c r="O2" s="3"/>
      <c r="P2" s="17"/>
      <c r="Q2" s="3"/>
      <c r="R2" s="17"/>
      <c r="S2" s="3"/>
      <c r="T2" s="17"/>
      <c r="U2" s="3"/>
      <c r="V2" s="17"/>
      <c r="W2" s="3"/>
      <c r="X2" s="17"/>
      <c r="Y2" s="3"/>
      <c r="Z2" s="17"/>
      <c r="AA2" s="3"/>
      <c r="AB2" s="17"/>
      <c r="AC2" s="3"/>
      <c r="AD2" s="17"/>
      <c r="AE2" s="34"/>
      <c r="AF2" s="17"/>
      <c r="AG2" s="34"/>
      <c r="AH2" s="17"/>
      <c r="AI2" s="3"/>
      <c r="AJ2" s="22"/>
      <c r="AK2" s="17"/>
      <c r="AL2" s="17"/>
      <c r="AM2" s="17"/>
    </row>
    <row r="3" spans="1:39" ht="21" hidden="1" customHeight="1" x14ac:dyDescent="0.25">
      <c r="A3">
        <f>1</f>
        <v>1</v>
      </c>
      <c r="B3" s="2"/>
      <c r="C3" s="13"/>
      <c r="D3" s="18"/>
      <c r="E3" s="4"/>
      <c r="F3" s="18"/>
      <c r="G3" s="4"/>
      <c r="H3" s="18"/>
      <c r="I3" s="4"/>
      <c r="J3" s="18"/>
      <c r="K3" s="4"/>
      <c r="L3" s="18"/>
      <c r="M3" s="4"/>
      <c r="N3" s="18"/>
      <c r="O3" s="4"/>
      <c r="P3" s="18"/>
      <c r="Q3" s="4"/>
      <c r="R3" s="18"/>
      <c r="S3" s="4"/>
      <c r="T3" s="18"/>
      <c r="U3" s="4"/>
      <c r="V3" s="18"/>
      <c r="W3" s="4"/>
      <c r="X3" s="18"/>
      <c r="Y3" s="4"/>
      <c r="Z3" s="18"/>
      <c r="AA3" s="4"/>
      <c r="AB3" s="18"/>
      <c r="AC3" s="4"/>
      <c r="AD3" s="18"/>
      <c r="AE3" s="35"/>
      <c r="AF3" s="18"/>
      <c r="AG3" s="35"/>
      <c r="AH3" s="18"/>
      <c r="AI3" s="4"/>
      <c r="AJ3" s="23"/>
      <c r="AK3" s="18"/>
      <c r="AL3" s="18"/>
      <c r="AM3" s="18"/>
    </row>
    <row r="4" spans="1:39" ht="16.5" hidden="1" customHeight="1" x14ac:dyDescent="0.25">
      <c r="A4">
        <f>2</f>
        <v>2</v>
      </c>
      <c r="B4" s="8"/>
      <c r="C4" s="14"/>
      <c r="D4" s="19"/>
      <c r="E4" s="9"/>
      <c r="F4" s="19"/>
      <c r="G4" s="9"/>
      <c r="H4" s="19"/>
      <c r="I4" s="9"/>
      <c r="J4" s="19"/>
      <c r="K4" s="9"/>
      <c r="L4" s="19"/>
      <c r="M4" s="9"/>
      <c r="N4" s="19"/>
      <c r="O4" s="9"/>
      <c r="P4" s="19"/>
      <c r="Q4" s="9"/>
      <c r="R4" s="19"/>
      <c r="S4" s="9"/>
      <c r="T4" s="19"/>
      <c r="U4" s="9"/>
      <c r="V4" s="19"/>
      <c r="W4" s="9"/>
      <c r="X4" s="19"/>
      <c r="Y4" s="9"/>
      <c r="Z4" s="19"/>
      <c r="AA4" s="9"/>
      <c r="AB4" s="19"/>
      <c r="AC4" s="9"/>
      <c r="AD4" s="19"/>
      <c r="AE4" s="36"/>
      <c r="AF4" s="19"/>
      <c r="AG4" s="36"/>
      <c r="AH4" s="19"/>
      <c r="AI4" s="9"/>
      <c r="AJ4" s="24"/>
      <c r="AK4" s="19"/>
      <c r="AL4" s="19"/>
      <c r="AM4" s="19"/>
    </row>
    <row r="5" spans="1:39" ht="15" hidden="1" customHeight="1" x14ac:dyDescent="0.25">
      <c r="A5">
        <f>3</f>
        <v>3</v>
      </c>
      <c r="B5" s="10"/>
      <c r="C5" s="15"/>
      <c r="D5" s="20"/>
      <c r="E5" s="11"/>
      <c r="F5" s="20"/>
      <c r="G5" s="11"/>
      <c r="H5" s="20"/>
      <c r="I5" s="11"/>
      <c r="J5" s="20"/>
      <c r="K5" s="11"/>
      <c r="L5" s="20"/>
      <c r="M5" s="11"/>
      <c r="N5" s="20"/>
      <c r="O5" s="11"/>
      <c r="P5" s="20"/>
      <c r="Q5" s="11"/>
      <c r="R5" s="20"/>
      <c r="S5" s="11"/>
      <c r="T5" s="20"/>
      <c r="U5" s="11"/>
      <c r="V5" s="20"/>
      <c r="W5" s="11"/>
      <c r="X5" s="20"/>
      <c r="Y5" s="11"/>
      <c r="Z5" s="20"/>
      <c r="AA5" s="11"/>
      <c r="AB5" s="20"/>
      <c r="AC5" s="11"/>
      <c r="AD5" s="20"/>
      <c r="AE5" s="37"/>
      <c r="AF5" s="20"/>
      <c r="AG5" s="37"/>
      <c r="AH5" s="20"/>
      <c r="AI5" s="11"/>
      <c r="AJ5" s="25"/>
      <c r="AK5" s="20"/>
      <c r="AL5" s="20"/>
      <c r="AM5" s="20"/>
    </row>
    <row r="6" spans="1:39" ht="21" hidden="1" customHeight="1" x14ac:dyDescent="0.25">
      <c r="A6" t="s">
        <v>8</v>
      </c>
      <c r="B6" s="2"/>
      <c r="C6" s="13"/>
      <c r="D6" s="18"/>
      <c r="E6" s="4"/>
      <c r="F6" s="18"/>
      <c r="G6" s="4"/>
      <c r="H6" s="18"/>
      <c r="I6" s="4"/>
      <c r="J6" s="18"/>
      <c r="K6" s="4"/>
      <c r="L6" s="18"/>
      <c r="M6" s="4"/>
      <c r="N6" s="18"/>
      <c r="O6" s="4"/>
      <c r="P6" s="18"/>
      <c r="Q6" s="4"/>
      <c r="R6" s="18"/>
      <c r="S6" s="4"/>
      <c r="T6" s="18"/>
      <c r="U6" s="4"/>
      <c r="V6" s="18"/>
      <c r="W6" s="4"/>
      <c r="X6" s="18"/>
      <c r="Y6" s="4"/>
      <c r="Z6" s="18"/>
      <c r="AA6" s="4"/>
      <c r="AB6" s="18"/>
      <c r="AC6" s="4"/>
      <c r="AD6" s="18"/>
      <c r="AE6" s="35"/>
      <c r="AF6" s="18"/>
      <c r="AG6" s="35"/>
      <c r="AH6" s="18"/>
      <c r="AI6" s="4"/>
      <c r="AJ6" s="23"/>
      <c r="AK6" s="18"/>
      <c r="AL6" s="18"/>
      <c r="AM6" s="18"/>
    </row>
    <row r="7" spans="1:39" ht="28.5" hidden="1" customHeight="1" x14ac:dyDescent="0.25">
      <c r="A7" t="s">
        <v>9</v>
      </c>
      <c r="C7" s="16"/>
      <c r="D7" s="21"/>
      <c r="E7" s="5"/>
      <c r="F7" s="21"/>
      <c r="G7" s="5"/>
      <c r="H7" s="21"/>
      <c r="I7" s="5"/>
      <c r="J7" s="21"/>
      <c r="K7" s="5"/>
      <c r="L7" s="21"/>
      <c r="M7" s="5"/>
      <c r="N7" s="21"/>
      <c r="O7" s="5"/>
      <c r="P7" s="21"/>
      <c r="Q7" s="5"/>
      <c r="R7" s="21"/>
      <c r="S7" s="5"/>
      <c r="T7" s="21"/>
      <c r="U7" s="5"/>
      <c r="V7" s="21"/>
      <c r="W7" s="5"/>
      <c r="X7" s="21"/>
      <c r="Y7" s="5"/>
      <c r="Z7" s="21"/>
      <c r="AA7" s="5"/>
      <c r="AB7" s="21"/>
      <c r="AC7" s="5"/>
      <c r="AD7" s="21"/>
      <c r="AE7" s="38"/>
      <c r="AF7" s="21"/>
      <c r="AG7" s="38"/>
      <c r="AH7" s="21"/>
      <c r="AI7" s="5"/>
      <c r="AJ7" s="26"/>
      <c r="AK7" s="21"/>
      <c r="AL7" s="21"/>
      <c r="AM7" s="21"/>
    </row>
    <row r="8" spans="1:39" ht="31.5" hidden="1" customHeight="1" x14ac:dyDescent="0.25">
      <c r="A8" t="s">
        <v>11</v>
      </c>
    </row>
    <row r="9" spans="1:39" ht="36" hidden="1" customHeight="1" x14ac:dyDescent="0.25">
      <c r="B9" t="str">
        <f ca="1">_xll.TM1RPTVIEW("CXMD:FTM_DATA_MARGIN:ARPT1", 1, _xll.TM1RPTTITLE("CXMD:Actuality",$C$20), _xll.TM1RPTTITLE("CXMD:Month",$C$21), _xll.TM1RPTTITLE("CXMD:DIM_Origin_Company",$C$17), _xll.TM1RPTTITLE("CXMD:DIM_Customer_Supplier",$C$19),TM1RPTFMTRNG,TM1RPTFMTIDCOL)</f>
        <v>CXMD:FTM_DATA_MARGIN:ARPT1</v>
      </c>
    </row>
    <row r="10" spans="1:39" x14ac:dyDescent="0.25"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</row>
    <row r="11" spans="1:39" x14ac:dyDescent="0.25"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</row>
    <row r="12" spans="1:39" x14ac:dyDescent="0.25"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</row>
    <row r="13" spans="1:39" x14ac:dyDescent="0.25"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</row>
    <row r="14" spans="1:39" x14ac:dyDescent="0.25"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</row>
    <row r="15" spans="1:39" x14ac:dyDescent="0.25"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</row>
    <row r="16" spans="1:39" x14ac:dyDescent="0.25"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pans="1:39" x14ac:dyDescent="0.25">
      <c r="B17" s="6" t="s">
        <v>0</v>
      </c>
      <c r="C17" s="7" t="str">
        <f ca="1">_xll.SUBNM("CXMD:DIM_Origin_Company","","Y","Name EN")</f>
        <v>SILVA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</row>
    <row r="18" spans="1:39" hidden="1" x14ac:dyDescent="0.25">
      <c r="B18" s="6"/>
      <c r="C18" s="7"/>
      <c r="D18" s="6"/>
      <c r="E18" s="6" t="str">
        <f ca="1">CONCATENATE(_xll.DBRA("CXMD:DIM_Origin_Company",C17,"Origin Company"),"_SALES")</f>
        <v>Y_SALES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</row>
    <row r="19" spans="1:39" x14ac:dyDescent="0.25">
      <c r="B19" s="6" t="s">
        <v>1</v>
      </c>
      <c r="C19" s="7" t="str">
        <f ca="1">_xll.SUBNM("CXMD:DIM_Customer_Supplier","","Total_Customer_Supplier","Code-Name")</f>
        <v>Total_Customer_Supplier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</row>
    <row r="20" spans="1:39" ht="18.75" x14ac:dyDescent="0.3">
      <c r="B20" s="6" t="s">
        <v>2</v>
      </c>
      <c r="C20" s="7" t="str">
        <f ca="1">_xll.SUBNM("CXMD:Actuality","","Ambition_2020","Description EN")</f>
        <v>Ambition_2020</v>
      </c>
      <c r="D20" s="6"/>
      <c r="E20" s="6"/>
      <c r="F20" s="6"/>
      <c r="G20" s="6"/>
      <c r="H20" s="6"/>
      <c r="I20" s="6"/>
      <c r="J20" s="40" t="s">
        <v>13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</row>
    <row r="21" spans="1:39" hidden="1" x14ac:dyDescent="0.25">
      <c r="B21" s="6" t="s">
        <v>3</v>
      </c>
      <c r="C21" s="7" t="str">
        <f ca="1">_xll.SUBNM("CXMD:Month","","YTD_December","Description EN")</f>
        <v>YTD_December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</row>
    <row r="22" spans="1:39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</row>
    <row r="23" spans="1:39" x14ac:dyDescent="0.25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</row>
    <row r="24" spans="1:39" s="31" customFormat="1" ht="45" x14ac:dyDescent="0.25">
      <c r="B24" s="32"/>
      <c r="C24" s="42" t="s">
        <v>4</v>
      </c>
      <c r="D24" s="43"/>
      <c r="E24" s="42" t="s">
        <v>14</v>
      </c>
      <c r="F24" s="43"/>
      <c r="G24" s="42" t="s">
        <v>15</v>
      </c>
      <c r="H24" s="43"/>
      <c r="I24" s="42" t="s">
        <v>16</v>
      </c>
      <c r="J24" s="43"/>
      <c r="K24" s="42" t="s">
        <v>17</v>
      </c>
      <c r="L24" s="43"/>
      <c r="M24" s="42" t="s">
        <v>18</v>
      </c>
      <c r="N24" s="43"/>
      <c r="O24" s="42" t="s">
        <v>19</v>
      </c>
      <c r="P24" s="43"/>
      <c r="Q24" s="42" t="s">
        <v>20</v>
      </c>
      <c r="R24" s="43"/>
      <c r="S24" s="42" t="s">
        <v>21</v>
      </c>
      <c r="T24" s="43"/>
      <c r="U24" s="42" t="s">
        <v>22</v>
      </c>
      <c r="V24" s="43"/>
      <c r="W24" s="42" t="s">
        <v>23</v>
      </c>
      <c r="X24" s="43"/>
      <c r="Y24" s="42" t="s">
        <v>24</v>
      </c>
      <c r="Z24" s="43"/>
      <c r="AA24" s="42" t="s">
        <v>26</v>
      </c>
      <c r="AB24" s="43"/>
      <c r="AC24" s="42" t="s">
        <v>25</v>
      </c>
      <c r="AD24" s="43"/>
      <c r="AE24" s="42" t="s">
        <v>27</v>
      </c>
      <c r="AF24" s="43"/>
      <c r="AG24" s="42" t="s">
        <v>28</v>
      </c>
      <c r="AH24" s="43"/>
      <c r="AI24" s="44" t="s">
        <v>29</v>
      </c>
      <c r="AJ24" s="33" t="s">
        <v>30</v>
      </c>
      <c r="AK24" s="33" t="s">
        <v>31</v>
      </c>
      <c r="AL24" s="41" t="s">
        <v>32</v>
      </c>
      <c r="AM24" s="41" t="s">
        <v>33</v>
      </c>
    </row>
    <row r="25" spans="1:39" x14ac:dyDescent="0.25">
      <c r="B25" s="39" t="s">
        <v>12</v>
      </c>
      <c r="C25" s="28" t="s">
        <v>5</v>
      </c>
      <c r="D25" s="30" t="s">
        <v>6</v>
      </c>
      <c r="E25" s="29" t="s">
        <v>5</v>
      </c>
      <c r="F25" s="30" t="s">
        <v>6</v>
      </c>
      <c r="G25" s="29" t="s">
        <v>5</v>
      </c>
      <c r="H25" s="30" t="s">
        <v>6</v>
      </c>
      <c r="I25" s="29" t="s">
        <v>5</v>
      </c>
      <c r="J25" s="30" t="s">
        <v>6</v>
      </c>
      <c r="K25" s="29" t="s">
        <v>5</v>
      </c>
      <c r="L25" s="30" t="s">
        <v>6</v>
      </c>
      <c r="M25" s="29" t="s">
        <v>5</v>
      </c>
      <c r="N25" s="30" t="s">
        <v>6</v>
      </c>
      <c r="O25" s="29" t="s">
        <v>5</v>
      </c>
      <c r="P25" s="30" t="s">
        <v>6</v>
      </c>
      <c r="Q25" s="29" t="s">
        <v>5</v>
      </c>
      <c r="R25" s="30" t="s">
        <v>6</v>
      </c>
      <c r="S25" s="29" t="s">
        <v>5</v>
      </c>
      <c r="T25" s="30" t="s">
        <v>6</v>
      </c>
      <c r="U25" s="29" t="s">
        <v>5</v>
      </c>
      <c r="V25" s="30" t="s">
        <v>6</v>
      </c>
      <c r="W25" s="29" t="s">
        <v>5</v>
      </c>
      <c r="X25" s="30" t="s">
        <v>6</v>
      </c>
      <c r="Y25" s="29" t="s">
        <v>5</v>
      </c>
      <c r="Z25" s="30" t="s">
        <v>6</v>
      </c>
      <c r="AA25" s="29" t="s">
        <v>5</v>
      </c>
      <c r="AB25" s="30" t="s">
        <v>6</v>
      </c>
      <c r="AC25" s="29" t="s">
        <v>5</v>
      </c>
      <c r="AD25" s="30" t="s">
        <v>6</v>
      </c>
      <c r="AE25" s="29" t="s">
        <v>5</v>
      </c>
      <c r="AF25" s="30" t="s">
        <v>6</v>
      </c>
      <c r="AG25" s="29" t="s">
        <v>5</v>
      </c>
      <c r="AH25" s="30" t="s">
        <v>6</v>
      </c>
      <c r="AI25" s="45" t="s">
        <v>6</v>
      </c>
      <c r="AJ25" s="30" t="s">
        <v>6</v>
      </c>
      <c r="AK25" s="30" t="s">
        <v>6</v>
      </c>
      <c r="AL25" s="30" t="s">
        <v>6</v>
      </c>
      <c r="AM25" s="30" t="s">
        <v>6</v>
      </c>
    </row>
    <row r="26" spans="1:39" x14ac:dyDescent="0.25">
      <c r="A26" t="str">
        <f ca="1">IF(_xll.TM1RPTELISCONSOLIDATED($B$26,$B26),IF(_xll.TM1RPTELLEV($B$26,$B26)&lt;=3,_xll.TM1RPTELLEV($B$26,$B26),"D"),"N")</f>
        <v>N</v>
      </c>
      <c r="B26" s="46" t="str">
        <f ca="1">_xll.TM1RPTROW($B$9,"CXMD:DIM_Allocation",$E$18,,"Allocation EN")</f>
        <v/>
      </c>
      <c r="C26" s="12" t="str">
        <f ca="1">_xll.DBRW($B$9,$C$21,$C$20,$C$17,$B26,$C$19,$C$24,C$25)</f>
        <v/>
      </c>
      <c r="D26" s="17" t="str">
        <f ca="1">_xll.DBRW($B$9,$C$21,$C$20,$C$17,$B26,$C$19,$C$24,D$25)</f>
        <v/>
      </c>
      <c r="E26" s="3" t="str">
        <f ca="1">_xll.DBRW($B$9,$C$21,$C$20,$C$17,$B26,$C$19,$E$24,E$25)</f>
        <v/>
      </c>
      <c r="F26" s="17" t="str">
        <f ca="1">_xll.DBRW($B$9,$C$21,$C$20,$C$17,$B26,$C$19,$E$24,F$25)</f>
        <v/>
      </c>
      <c r="G26" s="3" t="str">
        <f ca="1">_xll.DBRW($B$9,$C$21,$C$20,$C$17,$B26,$C$19,$G$24,G$25)</f>
        <v/>
      </c>
      <c r="H26" s="17" t="str">
        <f ca="1">_xll.DBRW($B$9,$C$21,$C$20,$C$17,$B26,$C$19,$G$24,H$25)</f>
        <v/>
      </c>
      <c r="I26" s="3" t="str">
        <f ca="1">_xll.DBRW($B$9,$C$21,$C$20,$C$17,$B26,$C$19,$I$24,I$25)</f>
        <v/>
      </c>
      <c r="J26" s="17" t="str">
        <f ca="1">_xll.DBRW($B$9,$C$21,$C$20,$C$17,$B26,$C$19,$I$24,J$25)</f>
        <v/>
      </c>
      <c r="K26" s="3" t="str">
        <f ca="1">_xll.DBRW($B$9,$C$21,$C$20,$C$17,$B26,$C$19,$K$24,K$25)</f>
        <v/>
      </c>
      <c r="L26" s="17" t="str">
        <f ca="1">_xll.DBRW($B$9,$C$21,$C$20,$C$17,$B26,$C$19,$K$24,L$25)</f>
        <v/>
      </c>
      <c r="M26" s="3" t="str">
        <f ca="1">_xll.DBRW($B$9,$C$21,$C$20,$C$17,$B26,$C$19,$M$24,M$25)</f>
        <v/>
      </c>
      <c r="N26" s="17" t="str">
        <f ca="1">_xll.DBRW($B$9,$C$21,$C$20,$C$17,$B26,$C$19,$M$24,N$25)</f>
        <v/>
      </c>
      <c r="O26" s="3" t="str">
        <f ca="1">_xll.DBRW($B$9,$C$21,$C$20,$C$17,$B26,$C$19,$O$24,O$25)</f>
        <v/>
      </c>
      <c r="P26" s="17" t="str">
        <f ca="1">_xll.DBRW($B$9,$C$21,$C$20,$C$17,$B26,$C$19,$O$24,P$25)</f>
        <v/>
      </c>
      <c r="Q26" s="3" t="str">
        <f ca="1">_xll.DBRW($B$9,$C$21,$C$20,$C$17,$B26,$C$19,$Q$24,Q$25)</f>
        <v/>
      </c>
      <c r="R26" s="17" t="str">
        <f ca="1">_xll.DBRW($B$9,$C$21,$C$20,$C$17,$B26,$C$19,$Q$24,R$25)</f>
        <v/>
      </c>
      <c r="S26" s="3" t="str">
        <f ca="1">_xll.DBRW($B$9,$C$21,$C$20,$C$17,$B26,$C$19,$S$24,S$25)</f>
        <v/>
      </c>
      <c r="T26" s="17" t="str">
        <f ca="1">_xll.DBRW($B$9,$C$21,$C$20,$C$17,$B26,$C$19,$S$24,T$25)</f>
        <v/>
      </c>
      <c r="U26" s="3" t="str">
        <f ca="1">_xll.DBRW($B$9,$C$21,$C$20,$C$17,$B26,$C$19,$U$24,U$25)</f>
        <v/>
      </c>
      <c r="V26" s="17" t="str">
        <f ca="1">_xll.DBRW($B$9,$C$21,$C$20,$C$17,$B26,$C$19,$U$24,V$25)</f>
        <v/>
      </c>
      <c r="W26" s="3" t="str">
        <f ca="1">_xll.DBRW($B$9,$C$21,$C$20,$C$17,$B26,$C$19,$W$24,W$25)</f>
        <v/>
      </c>
      <c r="X26" s="17" t="str">
        <f ca="1">_xll.DBRW($B$9,$C$21,$C$20,$C$17,$B26,$C$19,$W$24,X$25)</f>
        <v/>
      </c>
      <c r="Y26" s="3" t="str">
        <f ca="1">_xll.DBRW($B$9,$C$21,$C$20,$C$17,$B26,$C$19,$Y$24,Y$25)</f>
        <v/>
      </c>
      <c r="Z26" s="17" t="str">
        <f ca="1">_xll.DBRW($B$9,$C$21,$C$20,$C$17,$B26,$C$19,$Y$24,Z$25)</f>
        <v/>
      </c>
      <c r="AA26" s="3" t="str">
        <f ca="1">_xll.DBRW($B$9,$C$21,$C$20,$C$17,$B26,$C$19,$AA$24,AA$25)</f>
        <v/>
      </c>
      <c r="AB26" s="17" t="str">
        <f ca="1">_xll.DBRW($B$9,$C$21,$C$20,$C$17,$B26,$C$19,$AA$24,AB$25)</f>
        <v/>
      </c>
      <c r="AC26" s="3" t="str">
        <f ca="1">_xll.DBRW($B$9,$C$21,$C$20,$C$17,$B26,$C$19,$AC$24,AC$25)</f>
        <v/>
      </c>
      <c r="AD26" s="17" t="str">
        <f ca="1">_xll.DBRW($B$9,$C$21,$C$20,$C$17,$B26,$C$19,$AC$24,AD$25)</f>
        <v/>
      </c>
      <c r="AE26" s="34" t="str">
        <f ca="1">_xll.DBRW($B$9,$C$21,$C$20,$C$17,$B26,$C$19,$AE$24,AE$25)</f>
        <v/>
      </c>
      <c r="AF26" s="17" t="str">
        <f ca="1">_xll.DBRW($B$9,$C$21,$C$20,$C$17,$B26,$C$19,$AE$24,AF$25)</f>
        <v/>
      </c>
      <c r="AG26" s="34" t="str">
        <f ca="1">_xll.DBRW($B$9,$C$21,$C$20,$C$17,$B26,$C$19,$AG$24,AG$25)</f>
        <v/>
      </c>
      <c r="AH26" s="17" t="str">
        <f ca="1">_xll.DBRW($B$9,$C$21,$C$20,$C$17,$B26,$C$19,$AG$24,AH$25)</f>
        <v/>
      </c>
      <c r="AI26" s="3" t="str">
        <f ca="1">_xll.DBRW($B$9,$C$21,$C$20,$C$17,$B26,$C$19,$AI$24,AI$25)</f>
        <v/>
      </c>
      <c r="AJ26" s="22" t="str">
        <f ca="1">_xll.DBRW($B$9,$C$21,$C$20,$C$17,$B26,$C$19,$AJ$24,AJ$25)</f>
        <v/>
      </c>
      <c r="AK26" s="17" t="str">
        <f ca="1">_xll.DBRW($B$9,$C$21,$C$20,$C$17,$B26,$C$19,$AK$24,AK$25)</f>
        <v/>
      </c>
      <c r="AL26" s="17" t="str">
        <f ca="1">_xll.DBRW($B$9,$C$21,$C$20,$C$17,$B26,$C$19,$AL$24,AL$25)</f>
        <v/>
      </c>
      <c r="AM26" s="17" t="str">
        <f ca="1">_xll.DBRW($B$9,$C$21,$C$20,$C$17,$B26,$C$19,$AM$24,AM$25)</f>
        <v/>
      </c>
    </row>
    <row r="27" spans="1:39" hidden="1" x14ac:dyDescent="0.25"/>
    <row r="28" spans="1:39" hidden="1" x14ac:dyDescent="0.25"/>
    <row r="29" spans="1:39" hidden="1" x14ac:dyDescent="0.25"/>
    <row r="30" spans="1:39" hidden="1" x14ac:dyDescent="0.25"/>
    <row r="31" spans="1:39" hidden="1" x14ac:dyDescent="0.25"/>
    <row r="32" spans="1:39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</sheetData>
  <mergeCells count="16">
    <mergeCell ref="U24:V24"/>
    <mergeCell ref="AE24:AF24"/>
    <mergeCell ref="AG24:AH24"/>
    <mergeCell ref="AC24:AD24"/>
    <mergeCell ref="AA24:AB24"/>
    <mergeCell ref="Y24:Z24"/>
    <mergeCell ref="W24:X24"/>
    <mergeCell ref="G24:H24"/>
    <mergeCell ref="E24:F24"/>
    <mergeCell ref="C24:D24"/>
    <mergeCell ref="S24:T24"/>
    <mergeCell ref="Q24:R24"/>
    <mergeCell ref="O24:P24"/>
    <mergeCell ref="M24:N24"/>
    <mergeCell ref="K24:L24"/>
    <mergeCell ref="I24:J24"/>
  </mergeCells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>
              <from>
                <xdr:col>5</xdr:col>
                <xdr:colOff>200025</xdr:colOff>
                <xdr:row>18</xdr:row>
                <xdr:rowOff>133350</xdr:rowOff>
              </from>
              <to>
                <xdr:col>6</xdr:col>
                <xdr:colOff>476250</xdr:colOff>
                <xdr:row>21</xdr:row>
                <xdr:rowOff>66675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3"/>
  <sheetViews>
    <sheetView workbookViewId="0"/>
  </sheetViews>
  <sheetFormatPr defaultColWidth="11.42578125" defaultRowHeight="15" x14ac:dyDescent="0.25"/>
  <sheetData>
    <row r="23" spans="2:2" x14ac:dyDescent="0.25">
      <c r="B2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Feuil1</vt:lpstr>
      <vt:lpstr>{AR}01</vt:lpstr>
      <vt:lpstr>Feuil1!TM1RPTDATARNGARPT1</vt:lpstr>
      <vt:lpstr>Feuil1!TM1RPTFMTIDCOL</vt:lpstr>
      <vt:lpstr>Feuil1!TM1RPTFMTRNG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DEDENON</dc:creator>
  <cp:lastModifiedBy>Serveurs COGNOS</cp:lastModifiedBy>
  <dcterms:created xsi:type="dcterms:W3CDTF">2016-02-16T16:35:01Z</dcterms:created>
  <dcterms:modified xsi:type="dcterms:W3CDTF">2022-07-22T09:11:58Z</dcterms:modified>
</cp:coreProperties>
</file>