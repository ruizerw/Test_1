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120" yWindow="270" windowWidth="21840" windowHeight="12150"/>
  </bookViews>
  <sheets>
    <sheet name="Feuil1" sheetId="1" r:id="rId1"/>
    <sheet name="Feuil2" sheetId="2" state="hidden" r:id="rId2"/>
    <sheet name="Feuil3" sheetId="3" state="hidden" r:id="rId3"/>
    <sheet name="{AR}01" sheetId="4" state="hidden" r:id="rId4"/>
    <sheet name="{AR}11" sheetId="5" state="hidden" r:id="rId5"/>
    <sheet name="{AR}21" sheetId="6" state="hidden" r:id="rId6"/>
  </sheets>
  <definedNames>
    <definedName name="TM1REBUILDOPTION">1</definedName>
    <definedName name="TM1RPTDATARNGARPT1" localSheetId="0">Feuil1!$25:$47</definedName>
    <definedName name="TM1RPTFMTIDCOL" localSheetId="0">Feuil1!$A$1:$A$8</definedName>
    <definedName name="TM1RPTFMTRNG" localSheetId="0">Feuil1!$B$1:$N$8</definedName>
  </definedNames>
  <calcPr calcId="162913" calcMode="manual" concurrentCalc="0"/>
</workbook>
</file>

<file path=xl/calcChain.xml><?xml version="1.0" encoding="utf-8"?>
<calcChain xmlns="http://schemas.openxmlformats.org/spreadsheetml/2006/main">
  <c r="A47" i="1" l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B9" i="1"/>
  <c r="M23" i="1"/>
  <c r="C18" i="1"/>
  <c r="C20" i="1"/>
  <c r="C25" i="1"/>
  <c r="C21" i="1"/>
  <c r="C19" i="1"/>
  <c r="N19" i="1"/>
  <c r="N47" i="1"/>
  <c r="O47" i="1"/>
  <c r="M47" i="1"/>
  <c r="J23" i="1"/>
  <c r="K19" i="1"/>
  <c r="K47" i="1"/>
  <c r="L47" i="1"/>
  <c r="J47" i="1"/>
  <c r="G23" i="1"/>
  <c r="H19" i="1"/>
  <c r="I47" i="1"/>
  <c r="H47" i="1"/>
  <c r="G47" i="1"/>
  <c r="D23" i="1"/>
  <c r="E19" i="1"/>
  <c r="E47" i="1"/>
  <c r="F47" i="1"/>
  <c r="D47" i="1"/>
  <c r="N46" i="1"/>
  <c r="O46" i="1"/>
  <c r="M46" i="1"/>
  <c r="K46" i="1"/>
  <c r="L46" i="1"/>
  <c r="J46" i="1"/>
  <c r="I46" i="1"/>
  <c r="H46" i="1"/>
  <c r="G46" i="1"/>
  <c r="E46" i="1"/>
  <c r="F46" i="1"/>
  <c r="D46" i="1"/>
  <c r="N45" i="1"/>
  <c r="O45" i="1"/>
  <c r="M45" i="1"/>
  <c r="K45" i="1"/>
  <c r="L45" i="1"/>
  <c r="J45" i="1"/>
  <c r="I45" i="1"/>
  <c r="H45" i="1"/>
  <c r="G45" i="1"/>
  <c r="E45" i="1"/>
  <c r="F45" i="1"/>
  <c r="D45" i="1"/>
  <c r="N44" i="1"/>
  <c r="O44" i="1"/>
  <c r="M44" i="1"/>
  <c r="K44" i="1"/>
  <c r="L44" i="1"/>
  <c r="J44" i="1"/>
  <c r="I44" i="1"/>
  <c r="H44" i="1"/>
  <c r="G44" i="1"/>
  <c r="E44" i="1"/>
  <c r="F44" i="1"/>
  <c r="D44" i="1"/>
  <c r="N43" i="1"/>
  <c r="O43" i="1"/>
  <c r="M43" i="1"/>
  <c r="K43" i="1"/>
  <c r="L43" i="1"/>
  <c r="J43" i="1"/>
  <c r="I43" i="1"/>
  <c r="H43" i="1"/>
  <c r="G43" i="1"/>
  <c r="E43" i="1"/>
  <c r="F43" i="1"/>
  <c r="D43" i="1"/>
  <c r="N42" i="1"/>
  <c r="O42" i="1"/>
  <c r="M42" i="1"/>
  <c r="K42" i="1"/>
  <c r="L42" i="1"/>
  <c r="J42" i="1"/>
  <c r="I42" i="1"/>
  <c r="H42" i="1"/>
  <c r="G42" i="1"/>
  <c r="E42" i="1"/>
  <c r="F42" i="1"/>
  <c r="D42" i="1"/>
  <c r="N41" i="1"/>
  <c r="O41" i="1"/>
  <c r="M41" i="1"/>
  <c r="K41" i="1"/>
  <c r="L41" i="1"/>
  <c r="J41" i="1"/>
  <c r="I41" i="1"/>
  <c r="H41" i="1"/>
  <c r="G41" i="1"/>
  <c r="E41" i="1"/>
  <c r="F41" i="1"/>
  <c r="D41" i="1"/>
  <c r="N40" i="1"/>
  <c r="O40" i="1"/>
  <c r="M40" i="1"/>
  <c r="K40" i="1"/>
  <c r="L40" i="1"/>
  <c r="J40" i="1"/>
  <c r="I40" i="1"/>
  <c r="H40" i="1"/>
  <c r="G40" i="1"/>
  <c r="E40" i="1"/>
  <c r="F40" i="1"/>
  <c r="D40" i="1"/>
  <c r="N39" i="1"/>
  <c r="O39" i="1"/>
  <c r="M39" i="1"/>
  <c r="K39" i="1"/>
  <c r="L39" i="1"/>
  <c r="J39" i="1"/>
  <c r="I39" i="1"/>
  <c r="H39" i="1"/>
  <c r="G39" i="1"/>
  <c r="E39" i="1"/>
  <c r="F39" i="1"/>
  <c r="D39" i="1"/>
  <c r="N38" i="1"/>
  <c r="O38" i="1"/>
  <c r="M38" i="1"/>
  <c r="K38" i="1"/>
  <c r="L38" i="1"/>
  <c r="J38" i="1"/>
  <c r="I38" i="1"/>
  <c r="H38" i="1"/>
  <c r="G38" i="1"/>
  <c r="E38" i="1"/>
  <c r="F38" i="1"/>
  <c r="D38" i="1"/>
  <c r="N37" i="1"/>
  <c r="O37" i="1"/>
  <c r="M37" i="1"/>
  <c r="K37" i="1"/>
  <c r="L37" i="1"/>
  <c r="J37" i="1"/>
  <c r="I37" i="1"/>
  <c r="H37" i="1"/>
  <c r="G37" i="1"/>
  <c r="E37" i="1"/>
  <c r="F37" i="1"/>
  <c r="D37" i="1"/>
  <c r="N36" i="1"/>
  <c r="O36" i="1"/>
  <c r="M36" i="1"/>
  <c r="K36" i="1"/>
  <c r="L36" i="1"/>
  <c r="J36" i="1"/>
  <c r="I36" i="1"/>
  <c r="H36" i="1"/>
  <c r="G36" i="1"/>
  <c r="E36" i="1"/>
  <c r="F36" i="1"/>
  <c r="D36" i="1"/>
  <c r="N35" i="1"/>
  <c r="O35" i="1"/>
  <c r="M35" i="1"/>
  <c r="K35" i="1"/>
  <c r="L35" i="1"/>
  <c r="J35" i="1"/>
  <c r="I35" i="1"/>
  <c r="H35" i="1"/>
  <c r="G35" i="1"/>
  <c r="E35" i="1"/>
  <c r="F35" i="1"/>
  <c r="D35" i="1"/>
  <c r="N34" i="1"/>
  <c r="O34" i="1"/>
  <c r="M34" i="1"/>
  <c r="K34" i="1"/>
  <c r="L34" i="1"/>
  <c r="J34" i="1"/>
  <c r="I34" i="1"/>
  <c r="H34" i="1"/>
  <c r="G34" i="1"/>
  <c r="E34" i="1"/>
  <c r="F34" i="1"/>
  <c r="D34" i="1"/>
  <c r="N33" i="1"/>
  <c r="O33" i="1"/>
  <c r="M33" i="1"/>
  <c r="K33" i="1"/>
  <c r="L33" i="1"/>
  <c r="J33" i="1"/>
  <c r="I33" i="1"/>
  <c r="H33" i="1"/>
  <c r="G33" i="1"/>
  <c r="E33" i="1"/>
  <c r="F33" i="1"/>
  <c r="D33" i="1"/>
  <c r="N32" i="1"/>
  <c r="O32" i="1"/>
  <c r="M32" i="1"/>
  <c r="K32" i="1"/>
  <c r="L32" i="1"/>
  <c r="J32" i="1"/>
  <c r="I32" i="1"/>
  <c r="H32" i="1"/>
  <c r="G32" i="1"/>
  <c r="E32" i="1"/>
  <c r="F32" i="1"/>
  <c r="D32" i="1"/>
  <c r="N31" i="1"/>
  <c r="O31" i="1"/>
  <c r="M31" i="1"/>
  <c r="K31" i="1"/>
  <c r="L31" i="1"/>
  <c r="J31" i="1"/>
  <c r="I31" i="1"/>
  <c r="H31" i="1"/>
  <c r="G31" i="1"/>
  <c r="E31" i="1"/>
  <c r="F31" i="1"/>
  <c r="D31" i="1"/>
  <c r="N30" i="1"/>
  <c r="O30" i="1"/>
  <c r="M30" i="1"/>
  <c r="K30" i="1"/>
  <c r="L30" i="1"/>
  <c r="J30" i="1"/>
  <c r="I30" i="1"/>
  <c r="H30" i="1"/>
  <c r="G30" i="1"/>
  <c r="E30" i="1"/>
  <c r="F30" i="1"/>
  <c r="D30" i="1"/>
  <c r="N29" i="1"/>
  <c r="O29" i="1"/>
  <c r="M29" i="1"/>
  <c r="K29" i="1"/>
  <c r="L29" i="1"/>
  <c r="J29" i="1"/>
  <c r="I29" i="1"/>
  <c r="H29" i="1"/>
  <c r="G29" i="1"/>
  <c r="E29" i="1"/>
  <c r="F29" i="1"/>
  <c r="D29" i="1"/>
  <c r="N28" i="1"/>
  <c r="O28" i="1"/>
  <c r="M28" i="1"/>
  <c r="K28" i="1"/>
  <c r="L28" i="1"/>
  <c r="J28" i="1"/>
  <c r="I28" i="1"/>
  <c r="H28" i="1"/>
  <c r="G28" i="1"/>
  <c r="E28" i="1"/>
  <c r="F28" i="1"/>
  <c r="D28" i="1"/>
  <c r="N27" i="1"/>
  <c r="O27" i="1"/>
  <c r="M27" i="1"/>
  <c r="K27" i="1"/>
  <c r="L27" i="1"/>
  <c r="J27" i="1"/>
  <c r="I27" i="1"/>
  <c r="H27" i="1"/>
  <c r="G27" i="1"/>
  <c r="E27" i="1"/>
  <c r="F27" i="1"/>
  <c r="D27" i="1"/>
  <c r="N26" i="1"/>
  <c r="O26" i="1"/>
  <c r="M26" i="1"/>
  <c r="K26" i="1"/>
  <c r="L26" i="1"/>
  <c r="J26" i="1"/>
  <c r="I26" i="1"/>
  <c r="H26" i="1"/>
  <c r="G26" i="1"/>
  <c r="E26" i="1"/>
  <c r="F26" i="1"/>
  <c r="D26" i="1"/>
  <c r="B25" i="1"/>
  <c r="N25" i="1"/>
  <c r="M25" i="1"/>
  <c r="K25" i="1"/>
  <c r="J25" i="1"/>
  <c r="H25" i="1"/>
  <c r="G25" i="1"/>
  <c r="E25" i="1"/>
  <c r="D25" i="1"/>
  <c r="O25" i="1"/>
  <c r="L25" i="1"/>
  <c r="I25" i="1"/>
  <c r="F25" i="1"/>
  <c r="A25" i="1"/>
  <c r="A5" i="1"/>
  <c r="A4" i="1"/>
  <c r="A3" i="1"/>
  <c r="A2" i="1"/>
</calcChain>
</file>

<file path=xl/sharedStrings.xml><?xml version="1.0" encoding="utf-8"?>
<sst xmlns="http://schemas.openxmlformats.org/spreadsheetml/2006/main" count="95" uniqueCount="64">
  <si>
    <t>Month</t>
  </si>
  <si>
    <t>Customer_Supplier</t>
  </si>
  <si>
    <t>QTY</t>
  </si>
  <si>
    <t>SALES</t>
  </si>
  <si>
    <t>TOTAL PRODUCT</t>
  </si>
  <si>
    <t>L -  - Not Available</t>
  </si>
  <si>
    <t>L - 00 -</t>
  </si>
  <si>
    <t>L - 70000 - PLOWING</t>
  </si>
  <si>
    <t>L - 70100 - TILLAGE</t>
  </si>
  <si>
    <t>L - 70200 - SEEDING</t>
  </si>
  <si>
    <t>L - 70300 - FERTILIZING</t>
  </si>
  <si>
    <t>L - 70400 - SPRAYING</t>
  </si>
  <si>
    <t>L - 70500 - LANDSCAPE MAINTENANCE</t>
  </si>
  <si>
    <t>L - 70600 - SHREDDING</t>
  </si>
  <si>
    <t>L - 70700 - HAY AND FORAGE</t>
  </si>
  <si>
    <t>L - 70800 - BALERS</t>
  </si>
  <si>
    <t>L - 70900 - WRAPPERS</t>
  </si>
  <si>
    <t>L - 71200 - SILAGE CHOPPERS</t>
  </si>
  <si>
    <t>L - 71500 - LIVESTOCK FEEDING</t>
  </si>
  <si>
    <t>L - 71800 - MANURE HANDLING</t>
  </si>
  <si>
    <t>L - 71900 - NON CONV. HARVESTING</t>
  </si>
  <si>
    <t>L - 74000 - KIT</t>
  </si>
  <si>
    <t>L - 74500 - TRUCKS</t>
  </si>
  <si>
    <t>L - 74600 - JD MACHINES</t>
  </si>
  <si>
    <t>L - 75000 - PARTS</t>
  </si>
  <si>
    <t>L - 78000 - FREIGHT/PACKG REINVOICING</t>
  </si>
  <si>
    <t>L - 79000 - SERVICES/EQUIPMENT</t>
  </si>
  <si>
    <t>L - 79500 - NET VARIATION OF STOCK</t>
  </si>
  <si>
    <t>L - 89000 - FIELD INSTALLED OPTIONS</t>
  </si>
  <si>
    <t>L - 99900 - RECONCILIATION GEN</t>
  </si>
  <si>
    <t>Total Country</t>
  </si>
  <si>
    <t>Total Origin Company</t>
  </si>
  <si>
    <t>D</t>
  </si>
  <si>
    <t>N</t>
  </si>
  <si>
    <t>[Begin Format Range]</t>
  </si>
  <si>
    <t>[End Format Range]</t>
  </si>
  <si>
    <t>Country</t>
  </si>
  <si>
    <t>Product</t>
  </si>
  <si>
    <t>SALES %</t>
  </si>
  <si>
    <t>Origin Company</t>
  </si>
  <si>
    <t>Origin_Company</t>
  </si>
  <si>
    <t>Ambition 2020 RDZ in EUR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</si>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</sst>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+ &quot;@"/>
    <numFmt numFmtId="165" formatCode="0.0%"/>
    <numFmt numFmtId="166" formatCode="&quot;- &quot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 applyBorder="1"/>
    <xf numFmtId="0" fontId="1" fillId="7" borderId="0" xfId="0" applyFont="1" applyFill="1"/>
    <xf numFmtId="0" fontId="0" fillId="7" borderId="0" xfId="0" applyFill="1"/>
    <xf numFmtId="0" fontId="4" fillId="7" borderId="0" xfId="0" applyFont="1" applyFill="1"/>
    <xf numFmtId="0" fontId="0" fillId="7" borderId="2" xfId="0" applyFill="1" applyBorder="1"/>
    <xf numFmtId="0" fontId="0" fillId="0" borderId="1" xfId="0" applyFill="1" applyBorder="1"/>
    <xf numFmtId="0" fontId="0" fillId="8" borderId="1" xfId="0" applyFill="1" applyBorder="1"/>
    <xf numFmtId="0" fontId="1" fillId="7" borderId="2" xfId="0" applyFont="1" applyFill="1" applyBorder="1"/>
    <xf numFmtId="0" fontId="4" fillId="7" borderId="2" xfId="0" applyFont="1" applyFill="1" applyBorder="1"/>
    <xf numFmtId="0" fontId="2" fillId="7" borderId="6" xfId="0" applyFont="1" applyFill="1" applyBorder="1" applyAlignment="1">
      <alignment horizontal="center"/>
    </xf>
    <xf numFmtId="0" fontId="0" fillId="7" borderId="0" xfId="0" applyFill="1" applyBorder="1"/>
    <xf numFmtId="0" fontId="0" fillId="7" borderId="7" xfId="0" applyFill="1" applyBorder="1"/>
    <xf numFmtId="0" fontId="5" fillId="7" borderId="4" xfId="0" applyFont="1" applyFill="1" applyBorder="1" applyAlignment="1">
      <alignment horizontal="center"/>
    </xf>
    <xf numFmtId="0" fontId="6" fillId="7" borderId="0" xfId="0" applyFont="1" applyFill="1"/>
    <xf numFmtId="0" fontId="7" fillId="7" borderId="0" xfId="0" applyFont="1" applyFill="1"/>
    <xf numFmtId="165" fontId="3" fillId="2" borderId="8" xfId="0" applyNumberFormat="1" applyFont="1" applyFill="1" applyBorder="1"/>
    <xf numFmtId="165" fontId="3" fillId="4" borderId="8" xfId="0" applyNumberFormat="1" applyFont="1" applyFill="1" applyBorder="1"/>
    <xf numFmtId="165" fontId="3" fillId="3" borderId="8" xfId="0" applyNumberFormat="1" applyFont="1" applyFill="1" applyBorder="1"/>
    <xf numFmtId="165" fontId="3" fillId="8" borderId="8" xfId="0" applyNumberFormat="1" applyFont="1" applyFill="1" applyBorder="1"/>
    <xf numFmtId="165" fontId="3" fillId="0" borderId="8" xfId="0" applyNumberFormat="1" applyFont="1" applyBorder="1"/>
    <xf numFmtId="0" fontId="8" fillId="7" borderId="0" xfId="0" applyFont="1" applyFill="1" applyBorder="1" applyAlignment="1">
      <alignment horizontal="center"/>
    </xf>
    <xf numFmtId="0" fontId="4" fillId="7" borderId="0" xfId="0" applyFont="1" applyFill="1" applyBorder="1"/>
    <xf numFmtId="3" fontId="3" fillId="2" borderId="0" xfId="0" applyNumberFormat="1" applyFont="1" applyFill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3" fontId="3" fillId="8" borderId="0" xfId="0" applyNumberFormat="1" applyFont="1" applyFill="1" applyAlignment="1">
      <alignment horizontal="right"/>
    </xf>
    <xf numFmtId="3" fontId="3" fillId="0" borderId="0" xfId="0" applyNumberFormat="1" applyFont="1" applyAlignment="1">
      <alignment horizontal="right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7" borderId="9" xfId="0" applyFill="1" applyBorder="1"/>
    <xf numFmtId="0" fontId="5" fillId="7" borderId="5" xfId="0" applyFont="1" applyFill="1" applyBorder="1" applyAlignment="1">
      <alignment horizontal="center"/>
    </xf>
    <xf numFmtId="165" fontId="3" fillId="2" borderId="9" xfId="0" applyNumberFormat="1" applyFont="1" applyFill="1" applyBorder="1"/>
    <xf numFmtId="164" fontId="0" fillId="2" borderId="1" xfId="0" applyNumberFormat="1" applyFill="1" applyBorder="1" applyAlignment="1"/>
    <xf numFmtId="166" fontId="1" fillId="2" borderId="1" xfId="0" applyNumberFormat="1" applyFont="1" applyFill="1" applyBorder="1" applyAlignment="1"/>
    <xf numFmtId="164" fontId="0" fillId="4" borderId="1" xfId="0" applyNumberFormat="1" applyFill="1" applyBorder="1" applyAlignment="1">
      <alignment horizontal="left" indent="1"/>
    </xf>
    <xf numFmtId="164" fontId="0" fillId="4" borderId="1" xfId="0" applyNumberFormat="1" applyFill="1" applyBorder="1" applyAlignment="1"/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3018"/>
  <ax:ocxPr ax:name="_ExtentY" ax:value="5265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28575</xdr:rowOff>
    </xdr:from>
    <xdr:to>
      <xdr:col>12</xdr:col>
      <xdr:colOff>515673</xdr:colOff>
      <xdr:row>15</xdr:row>
      <xdr:rowOff>171450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1743075"/>
          <a:ext cx="13030200" cy="1285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16</xdr:row>
          <xdr:rowOff>47625</xdr:rowOff>
        </xdr:from>
        <xdr:to>
          <xdr:col>4</xdr:col>
          <xdr:colOff>76200</xdr:colOff>
          <xdr:row>17</xdr:row>
          <xdr:rowOff>57150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L69"/>
  <sheetViews>
    <sheetView showGridLines="0" tabSelected="1" zoomScale="90" zoomScaleNormal="90" workbookViewId="0">
      <pane xSplit="3" ySplit="24" topLeftCell="D25" activePane="bottomRight" state="frozen"/>
      <selection pane="topRight" activeCell="E1" sqref="E1"/>
      <selection pane="bottomLeft" activeCell="A27" sqref="A27"/>
      <selection pane="bottomRight" activeCell="C18" sqref="C18"/>
    </sheetView>
  </sheetViews>
  <sheetFormatPr defaultColWidth="0" defaultRowHeight="15" zeroHeight="1" x14ac:dyDescent="0.25"/>
  <cols>
    <col min="1" max="1" width="10.140625" hidden="1" customWidth="1"/>
    <col min="2" max="2" width="41.42578125" bestFit="1" customWidth="1"/>
    <col min="3" max="3" width="23.7109375" bestFit="1" customWidth="1"/>
    <col min="4" max="4" width="11.85546875" customWidth="1"/>
    <col min="5" max="5" width="17.7109375" customWidth="1"/>
    <col min="6" max="6" width="11.42578125" customWidth="1"/>
    <col min="7" max="7" width="11.85546875" customWidth="1"/>
    <col min="8" max="8" width="17.7109375" customWidth="1"/>
    <col min="9" max="9" width="11.42578125" customWidth="1"/>
    <col min="10" max="10" width="11.85546875" customWidth="1"/>
    <col min="11" max="11" width="17.7109375" customWidth="1"/>
    <col min="12" max="12" width="11.42578125" customWidth="1"/>
    <col min="13" max="13" width="11.85546875" customWidth="1"/>
    <col min="14" max="14" width="17.7109375" customWidth="1"/>
    <col min="15" max="15" width="11.42578125" customWidth="1"/>
    <col min="16" max="20" width="11.42578125" hidden="1" customWidth="1"/>
    <col min="21" max="1000" width="0" hidden="1" customWidth="1"/>
    <col min="1001" max="16384" width="11.42578125" hidden="1"/>
  </cols>
  <sheetData>
    <row r="1" spans="1:15" hidden="1" x14ac:dyDescent="0.25">
      <c r="A1" t="s">
        <v>34</v>
      </c>
    </row>
    <row r="2" spans="1:15" hidden="1" x14ac:dyDescent="0.25">
      <c r="A2">
        <f>0</f>
        <v>0</v>
      </c>
      <c r="B2" s="1"/>
      <c r="C2" s="33"/>
      <c r="D2" s="26"/>
      <c r="E2" s="26"/>
      <c r="F2" s="19"/>
      <c r="G2" s="26"/>
      <c r="H2" s="26"/>
      <c r="I2" s="19"/>
      <c r="J2" s="26"/>
      <c r="K2" s="26"/>
      <c r="L2" s="19"/>
      <c r="M2" s="26"/>
      <c r="N2" s="26"/>
      <c r="O2" s="19"/>
    </row>
    <row r="3" spans="1:15" hidden="1" x14ac:dyDescent="0.25">
      <c r="A3">
        <f>1</f>
        <v>1</v>
      </c>
      <c r="B3" s="2"/>
      <c r="C3" s="2"/>
      <c r="D3" s="27"/>
      <c r="E3" s="27"/>
      <c r="F3" s="20"/>
      <c r="G3" s="27"/>
      <c r="H3" s="27"/>
      <c r="I3" s="20"/>
      <c r="J3" s="27"/>
      <c r="K3" s="27"/>
      <c r="L3" s="20"/>
      <c r="M3" s="27"/>
      <c r="N3" s="27"/>
      <c r="O3" s="20"/>
    </row>
    <row r="4" spans="1:15" hidden="1" x14ac:dyDescent="0.25">
      <c r="A4">
        <f>2</f>
        <v>2</v>
      </c>
      <c r="B4" s="3"/>
      <c r="C4" s="34"/>
      <c r="D4" s="28"/>
      <c r="E4" s="28"/>
      <c r="F4" s="21"/>
      <c r="G4" s="28"/>
      <c r="H4" s="28"/>
      <c r="I4" s="21"/>
      <c r="J4" s="28"/>
      <c r="K4" s="28"/>
      <c r="L4" s="21"/>
      <c r="M4" s="28"/>
      <c r="N4" s="28"/>
      <c r="O4" s="21"/>
    </row>
    <row r="5" spans="1:15" hidden="1" x14ac:dyDescent="0.25">
      <c r="A5">
        <f>3</f>
        <v>3</v>
      </c>
      <c r="B5" s="10"/>
      <c r="C5" s="10"/>
      <c r="D5" s="29"/>
      <c r="E5" s="29"/>
      <c r="F5" s="22"/>
      <c r="G5" s="29"/>
      <c r="H5" s="29"/>
      <c r="I5" s="22"/>
      <c r="J5" s="29"/>
      <c r="K5" s="29"/>
      <c r="L5" s="22"/>
      <c r="M5" s="29"/>
      <c r="N5" s="29"/>
      <c r="O5" s="22"/>
    </row>
    <row r="6" spans="1:15" hidden="1" x14ac:dyDescent="0.25">
      <c r="A6" t="s">
        <v>32</v>
      </c>
      <c r="B6" s="3"/>
      <c r="C6" s="34"/>
      <c r="D6" s="28"/>
      <c r="E6" s="28"/>
      <c r="F6" s="21"/>
      <c r="G6" s="28"/>
      <c r="H6" s="28"/>
      <c r="I6" s="21"/>
      <c r="J6" s="28"/>
      <c r="K6" s="28"/>
      <c r="L6" s="21"/>
      <c r="M6" s="28"/>
      <c r="N6" s="28"/>
      <c r="O6" s="21"/>
    </row>
    <row r="7" spans="1:15" hidden="1" x14ac:dyDescent="0.25">
      <c r="A7" t="s">
        <v>33</v>
      </c>
      <c r="B7" s="9"/>
      <c r="C7" s="35"/>
      <c r="D7" s="30"/>
      <c r="E7" s="30"/>
      <c r="F7" s="23"/>
      <c r="G7" s="30"/>
      <c r="H7" s="30"/>
      <c r="I7" s="23"/>
      <c r="J7" s="30"/>
      <c r="K7" s="30"/>
      <c r="L7" s="23"/>
      <c r="M7" s="30"/>
      <c r="N7" s="30"/>
      <c r="O7" s="23"/>
    </row>
    <row r="8" spans="1:15" hidden="1" x14ac:dyDescent="0.25">
      <c r="A8" t="s">
        <v>35</v>
      </c>
    </row>
    <row r="9" spans="1:15" hidden="1" x14ac:dyDescent="0.25">
      <c r="B9" t="str">
        <f ca="1">_xll.TM1RPTVIEW("CXMD:FTM_DATA_MARGIN_CONSOLIDATED:ARPT1",1, _xll.TM1RPTTITLE("CXMD:Month",$C$18), _xll.TM1RPTTITLE("CXMD:DIM_Customer_Supplier",$C$19),_xll.TM1RPTTITLE("CXMD:DIM_Country",$C$21),TM1RPTFMTRNG,TM1RPTFMTIDCOL)</f>
        <v>CXMD:FTM_DATA_MARGIN_CONSOLIDATED:ARPT1</v>
      </c>
    </row>
    <row r="10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8.75" x14ac:dyDescent="0.3">
      <c r="B17" s="5"/>
      <c r="C17" s="7"/>
      <c r="D17" s="6"/>
      <c r="E17" s="6"/>
      <c r="F17" s="6"/>
      <c r="G17" s="17"/>
      <c r="H17" s="6"/>
      <c r="I17" s="18" t="s">
        <v>41</v>
      </c>
      <c r="J17" s="6"/>
      <c r="K17" s="6"/>
      <c r="L17" s="6"/>
      <c r="M17" s="6"/>
      <c r="N17" s="6"/>
      <c r="O17" s="6"/>
    </row>
    <row r="18" spans="1:15" x14ac:dyDescent="0.25">
      <c r="B18" s="5" t="s">
        <v>0</v>
      </c>
      <c r="C18" s="7" t="str">
        <f ca="1">_xll.SUBNM("CXMD:Month","Par défaut","Total_Month","Description EN")</f>
        <v>Total_Month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B19" s="5" t="s">
        <v>1</v>
      </c>
      <c r="C19" s="7" t="str">
        <f ca="1">_xll.SUBNM("CXMD:DIM_Customer_Supplier","","Others","Code-Name")</f>
        <v>Others</v>
      </c>
      <c r="D19" s="6"/>
      <c r="E19" s="24">
        <f ca="1">_xll.DBR($B$9,$D$23,$C$18,$C25,$C$21,$C$19,"TOTALPRODUCT",E$24)</f>
        <v>281135596.67971247</v>
      </c>
      <c r="F19" s="6"/>
      <c r="G19" s="6"/>
      <c r="H19" s="24">
        <f ca="1">_xll.DBR($B$9,$G$23,$C$18,$C25,$C$21,$C$19,"TOTAL PRODUCT",H$24)</f>
        <v>0</v>
      </c>
      <c r="I19" s="6"/>
      <c r="J19" s="6"/>
      <c r="K19" s="24">
        <f ca="1">_xll.DBRW($B$9,$J$23,$C$18,$C25,$C$21,$C$19,"TOTAL PRODUCT",K$24)</f>
        <v>0</v>
      </c>
      <c r="L19" s="6"/>
      <c r="M19" s="6"/>
      <c r="N19" s="24">
        <f ca="1">_xll.DBRW($B$9,$M$23,$C$18,$C25,$C$21,$C$19,"TOTAL PRODUCT",N$24)</f>
        <v>0</v>
      </c>
      <c r="O19" s="6"/>
    </row>
    <row r="20" spans="1:15" x14ac:dyDescent="0.25">
      <c r="B20" s="5" t="s">
        <v>40</v>
      </c>
      <c r="C20" s="25" t="str">
        <f ca="1">_xll.SUBNM("CXMD:DIM_Origin_Company","","Total Origin Company","Name EN")</f>
        <v>Total Origin Company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B21" s="11" t="s">
        <v>36</v>
      </c>
      <c r="C21" s="12" t="str">
        <f ca="1">_xll.SUBNM("CXMD:DIM_Country","","Total Country","Description")</f>
        <v>Total Country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4"/>
    </row>
    <row r="22" spans="1:15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15"/>
      <c r="N22" s="15"/>
      <c r="O22" s="36"/>
    </row>
    <row r="23" spans="1:15" x14ac:dyDescent="0.25">
      <c r="B23" s="6"/>
      <c r="C23" s="6"/>
      <c r="D23" s="43" t="str">
        <f ca="1">_xll.SUBNM("CXMD:Actuality","","AC2022","Description EN")</f>
        <v>AC2022</v>
      </c>
      <c r="E23" s="44"/>
      <c r="F23" s="45"/>
      <c r="G23" s="43" t="str">
        <f ca="1">_xll.SUBNM("CXMD:Actuality","Actuality","BU2015draft","Description EN")</f>
        <v>BU2015draft</v>
      </c>
      <c r="H23" s="44"/>
      <c r="I23" s="45"/>
      <c r="J23" s="43" t="str">
        <f ca="1">_xll.SUBNM("CXMD:Actuality","Actuality","Ambition_2020BUDprop","Description EN")</f>
        <v>Ambition_2020BUDprop</v>
      </c>
      <c r="K23" s="44"/>
      <c r="L23" s="45"/>
      <c r="M23" s="43" t="str">
        <f ca="1">_xll.SUBNM("CXMD:Actuality","Actuality","WK5","Description EN")</f>
        <v>WK5 - 2025</v>
      </c>
      <c r="N23" s="44"/>
      <c r="O23" s="45"/>
    </row>
    <row r="24" spans="1:15" x14ac:dyDescent="0.25">
      <c r="B24" s="13" t="s">
        <v>37</v>
      </c>
      <c r="C24" s="13" t="s">
        <v>39</v>
      </c>
      <c r="D24" s="31" t="s">
        <v>2</v>
      </c>
      <c r="E24" s="32" t="s">
        <v>3</v>
      </c>
      <c r="F24" s="16" t="s">
        <v>38</v>
      </c>
      <c r="G24" s="31" t="s">
        <v>2</v>
      </c>
      <c r="H24" s="32" t="s">
        <v>3</v>
      </c>
      <c r="I24" s="16" t="s">
        <v>38</v>
      </c>
      <c r="J24" s="31" t="s">
        <v>2</v>
      </c>
      <c r="K24" s="32" t="s">
        <v>3</v>
      </c>
      <c r="L24" s="16" t="s">
        <v>38</v>
      </c>
      <c r="M24" s="31" t="s">
        <v>2</v>
      </c>
      <c r="N24" s="32" t="s">
        <v>3</v>
      </c>
      <c r="O24" s="37" t="s">
        <v>38</v>
      </c>
    </row>
    <row r="25" spans="1:15" x14ac:dyDescent="0.25">
      <c r="A25">
        <f ca="1">IF(_xll.TM1RPTELISCONSOLIDATED($B$25,$B25),IF(_xll.TM1RPTELLEV($B$25,$B25)&lt;=3,_xll.TM1RPTELLEV($B$25,$B25),"D"),"N")</f>
        <v>0</v>
      </c>
      <c r="B25" s="40" t="str">
        <f ca="1">_xll.TM1RPTROW($B$9,"CXMD:DIM_Configuration","Par défaut",,"Description EN")</f>
        <v>TOTAL PRODUCT</v>
      </c>
      <c r="C25" s="39" t="str">
        <f ca="1">_xll.TM1RPTROW($B$9,"CXMD:DIM_Origin_Company","",C20,"Name EN",0)</f>
        <v>Total Origin Company</v>
      </c>
      <c r="D25" s="26">
        <f ca="1">_xll.DBRW($B$9,$D$23,$C$18,$C25,$C$21,$C$19,$B25,D$24)</f>
        <v>15961</v>
      </c>
      <c r="E25" s="26">
        <f ca="1">_xll.DBRW($B$9,$D$23,$C$18,$C25,$C$21,$C$19,$B25,E$24)</f>
        <v>281135596.67971247</v>
      </c>
      <c r="F25" s="19">
        <f ca="1">IF($E$19=0,0,E25/$E$19)</f>
        <v>1</v>
      </c>
      <c r="G25" s="26">
        <f ca="1">_xll.DBRW($B$9,$G$23,$C$18,$C25,$C$21,$C$19,$B25,G$24)</f>
        <v>0</v>
      </c>
      <c r="H25" s="26">
        <f ca="1">_xll.DBRW($B$9,$G$23,$C$18,$C25,$C$21,$C$19,$B25,H$24)</f>
        <v>0</v>
      </c>
      <c r="I25" s="19">
        <f ca="1">IF($H$19=0,0,H25/$H$19)</f>
        <v>0</v>
      </c>
      <c r="J25" s="26">
        <f ca="1">_xll.DBRW($B$9,$J$23,$C$18,$C25,$C$21,$C$19,$B25,J$24)</f>
        <v>0</v>
      </c>
      <c r="K25" s="26">
        <f ca="1">_xll.DBRW($B$9,$J$23,$C$18,$C25,$C$21,$C$19,$B25,K$24)</f>
        <v>0</v>
      </c>
      <c r="L25" s="19">
        <f ca="1">IF($K$19=0,0,K25/$K$19)</f>
        <v>0</v>
      </c>
      <c r="M25" s="26">
        <f ca="1">_xll.DBRW($B$9,$M$23,$C$18,$C25,$C$21,$C$19,$B25,M$24)</f>
        <v>0</v>
      </c>
      <c r="N25" s="26">
        <f ca="1">_xll.DBRW($B$9,$M$23,$C$18,$C25,$C$21,$C$19,$B25,N$24)</f>
        <v>0</v>
      </c>
      <c r="O25" s="38">
        <f ca="1">IF($N$19=0,0,N25/$N$19)</f>
        <v>0</v>
      </c>
    </row>
    <row r="26" spans="1:15" x14ac:dyDescent="0.25">
      <c r="A26">
        <f ca="1">IF(_xll.TM1RPTELISCONSOLIDATED($B$25,$B26),IF(_xll.TM1RPTELLEV($B$25,$B26)&lt;=3,_xll.TM1RPTELLEV($B$25,$B26),"D"),"N")</f>
        <v>1</v>
      </c>
      <c r="B26" s="41" t="s">
        <v>42</v>
      </c>
      <c r="C26" s="42" t="s">
        <v>31</v>
      </c>
      <c r="D26" s="27">
        <f ca="1">_xll.DBRW($B$9,$D$23,$C$18,$C26,$C$21,$C$19,$B26,D$24)</f>
        <v>546</v>
      </c>
      <c r="E26" s="27">
        <f ca="1">_xll.DBRW($B$9,$D$23,$C$18,$C26,$C$21,$C$19,$B26,E$24)</f>
        <v>17034891.11014393</v>
      </c>
      <c r="F26" s="20">
        <f t="shared" ref="F26:F47" ca="1" si="0">IF($E$19=0,0,E26/$E$19)</f>
        <v>6.0593149040287342E-2</v>
      </c>
      <c r="G26" s="27">
        <f ca="1">_xll.DBRW($B$9,$G$23,$C$18,$C26,$C$21,$C$19,$B26,G$24)</f>
        <v>0</v>
      </c>
      <c r="H26" s="27">
        <f ca="1">_xll.DBRW($B$9,$G$23,$C$18,$C26,$C$21,$C$19,$B26,H$24)</f>
        <v>0</v>
      </c>
      <c r="I26" s="20">
        <f t="shared" ref="I26:I47" ca="1" si="1">IF($H$19=0,0,H26/$H$19)</f>
        <v>0</v>
      </c>
      <c r="J26" s="27">
        <f ca="1">_xll.DBRW($B$9,$J$23,$C$18,$C26,$C$21,$C$19,$B26,J$24)</f>
        <v>0</v>
      </c>
      <c r="K26" s="27">
        <f ca="1">_xll.DBRW($B$9,$J$23,$C$18,$C26,$C$21,$C$19,$B26,K$24)</f>
        <v>0</v>
      </c>
      <c r="L26" s="20">
        <f t="shared" ref="L26:L47" ca="1" si="2">IF($K$19=0,0,K26/$K$19)</f>
        <v>0</v>
      </c>
      <c r="M26" s="27">
        <f ca="1">_xll.DBRW($B$9,$M$23,$C$18,$C26,$C$21,$C$19,$B26,M$24)</f>
        <v>0</v>
      </c>
      <c r="N26" s="27">
        <f ca="1">_xll.DBRW($B$9,$M$23,$C$18,$C26,$C$21,$C$19,$B26,N$24)</f>
        <v>0</v>
      </c>
      <c r="O26" s="38">
        <f t="shared" ref="O26:O47" ca="1" si="3">IF($N$19=0,0,N26/$N$19)</f>
        <v>0</v>
      </c>
    </row>
    <row r="27" spans="1:15" x14ac:dyDescent="0.25">
      <c r="A27">
        <f ca="1">IF(_xll.TM1RPTELISCONSOLIDATED($B$25,$B27),IF(_xll.TM1RPTELLEV($B$25,$B27)&lt;=3,_xll.TM1RPTELLEV($B$25,$B27),"D"),"N")</f>
        <v>1</v>
      </c>
      <c r="B27" s="41" t="s">
        <v>43</v>
      </c>
      <c r="C27" s="42" t="s">
        <v>31</v>
      </c>
      <c r="D27" s="27">
        <f ca="1">_xll.DBRW($B$9,$D$23,$C$18,$C27,$C$21,$C$19,$B27,D$24)</f>
        <v>1641</v>
      </c>
      <c r="E27" s="27">
        <f ca="1">_xll.DBRW($B$9,$D$23,$C$18,$C27,$C$21,$C$19,$B27,E$24)</f>
        <v>43315813.12965139</v>
      </c>
      <c r="F27" s="20">
        <f t="shared" ca="1" si="0"/>
        <v>0.15407445247497248</v>
      </c>
      <c r="G27" s="27">
        <f ca="1">_xll.DBRW($B$9,$G$23,$C$18,$C27,$C$21,$C$19,$B27,G$24)</f>
        <v>0</v>
      </c>
      <c r="H27" s="27">
        <f ca="1">_xll.DBRW($B$9,$G$23,$C$18,$C27,$C$21,$C$19,$B27,H$24)</f>
        <v>0</v>
      </c>
      <c r="I27" s="20">
        <f t="shared" ca="1" si="1"/>
        <v>0</v>
      </c>
      <c r="J27" s="27">
        <f ca="1">_xll.DBRW($B$9,$J$23,$C$18,$C27,$C$21,$C$19,$B27,J$24)</f>
        <v>0</v>
      </c>
      <c r="K27" s="27">
        <f ca="1">_xll.DBRW($B$9,$J$23,$C$18,$C27,$C$21,$C$19,$B27,K$24)</f>
        <v>0</v>
      </c>
      <c r="L27" s="20">
        <f t="shared" ca="1" si="2"/>
        <v>0</v>
      </c>
      <c r="M27" s="27">
        <f ca="1">_xll.DBRW($B$9,$M$23,$C$18,$C27,$C$21,$C$19,$B27,M$24)</f>
        <v>0</v>
      </c>
      <c r="N27" s="27">
        <f ca="1">_xll.DBRW($B$9,$M$23,$C$18,$C27,$C$21,$C$19,$B27,N$24)</f>
        <v>0</v>
      </c>
      <c r="O27" s="38">
        <f t="shared" ca="1" si="3"/>
        <v>0</v>
      </c>
    </row>
    <row r="28" spans="1:15" x14ac:dyDescent="0.25">
      <c r="A28">
        <f ca="1">IF(_xll.TM1RPTELISCONSOLIDATED($B$25,$B28),IF(_xll.TM1RPTELLEV($B$25,$B28)&lt;=3,_xll.TM1RPTELLEV($B$25,$B28),"D"),"N")</f>
        <v>1</v>
      </c>
      <c r="B28" s="41" t="s">
        <v>44</v>
      </c>
      <c r="C28" s="42" t="s">
        <v>31</v>
      </c>
      <c r="D28" s="27">
        <f ca="1">_xll.DBRW($B$9,$D$23,$C$18,$C28,$C$21,$C$19,$B28,D$24)</f>
        <v>1296</v>
      </c>
      <c r="E28" s="27">
        <f ca="1">_xll.DBRW($B$9,$D$23,$C$18,$C28,$C$21,$C$19,$B28,E$24)</f>
        <v>22599012.710507218</v>
      </c>
      <c r="F28" s="20">
        <f t="shared" ca="1" si="0"/>
        <v>8.0384743082724766E-2</v>
      </c>
      <c r="G28" s="27">
        <f ca="1">_xll.DBRW($B$9,$G$23,$C$18,$C28,$C$21,$C$19,$B28,G$24)</f>
        <v>0</v>
      </c>
      <c r="H28" s="27">
        <f ca="1">_xll.DBRW($B$9,$G$23,$C$18,$C28,$C$21,$C$19,$B28,H$24)</f>
        <v>0</v>
      </c>
      <c r="I28" s="20">
        <f t="shared" ca="1" si="1"/>
        <v>0</v>
      </c>
      <c r="J28" s="27">
        <f ca="1">_xll.DBRW($B$9,$J$23,$C$18,$C28,$C$21,$C$19,$B28,J$24)</f>
        <v>0</v>
      </c>
      <c r="K28" s="27">
        <f ca="1">_xll.DBRW($B$9,$J$23,$C$18,$C28,$C$21,$C$19,$B28,K$24)</f>
        <v>0</v>
      </c>
      <c r="L28" s="20">
        <f t="shared" ca="1" si="2"/>
        <v>0</v>
      </c>
      <c r="M28" s="27">
        <f ca="1">_xll.DBRW($B$9,$M$23,$C$18,$C28,$C$21,$C$19,$B28,M$24)</f>
        <v>0</v>
      </c>
      <c r="N28" s="27">
        <f ca="1">_xll.DBRW($B$9,$M$23,$C$18,$C28,$C$21,$C$19,$B28,N$24)</f>
        <v>0</v>
      </c>
      <c r="O28" s="38">
        <f t="shared" ca="1" si="3"/>
        <v>0</v>
      </c>
    </row>
    <row r="29" spans="1:15" x14ac:dyDescent="0.25">
      <c r="A29">
        <f ca="1">IF(_xll.TM1RPTELISCONSOLIDATED($B$25,$B29),IF(_xll.TM1RPTELLEV($B$25,$B29)&lt;=3,_xll.TM1RPTELLEV($B$25,$B29),"D"),"N")</f>
        <v>1</v>
      </c>
      <c r="B29" s="41" t="s">
        <v>45</v>
      </c>
      <c r="C29" s="42" t="s">
        <v>31</v>
      </c>
      <c r="D29" s="27">
        <f ca="1">_xll.DBRW($B$9,$D$23,$C$18,$C29,$C$21,$C$19,$B29,D$24)</f>
        <v>1588</v>
      </c>
      <c r="E29" s="27">
        <f ca="1">_xll.DBRW($B$9,$D$23,$C$18,$C29,$C$21,$C$19,$B29,E$24)</f>
        <v>12568375.828683147</v>
      </c>
      <c r="F29" s="20">
        <f t="shared" ca="1" si="0"/>
        <v>4.4705743339225161E-2</v>
      </c>
      <c r="G29" s="27">
        <f ca="1">_xll.DBRW($B$9,$G$23,$C$18,$C29,$C$21,$C$19,$B29,G$24)</f>
        <v>0</v>
      </c>
      <c r="H29" s="27">
        <f ca="1">_xll.DBRW($B$9,$G$23,$C$18,$C29,$C$21,$C$19,$B29,H$24)</f>
        <v>0</v>
      </c>
      <c r="I29" s="20">
        <f t="shared" ca="1" si="1"/>
        <v>0</v>
      </c>
      <c r="J29" s="27">
        <f ca="1">_xll.DBRW($B$9,$J$23,$C$18,$C29,$C$21,$C$19,$B29,J$24)</f>
        <v>0</v>
      </c>
      <c r="K29" s="27">
        <f ca="1">_xll.DBRW($B$9,$J$23,$C$18,$C29,$C$21,$C$19,$B29,K$24)</f>
        <v>0</v>
      </c>
      <c r="L29" s="20">
        <f t="shared" ca="1" si="2"/>
        <v>0</v>
      </c>
      <c r="M29" s="27">
        <f ca="1">_xll.DBRW($B$9,$M$23,$C$18,$C29,$C$21,$C$19,$B29,M$24)</f>
        <v>0</v>
      </c>
      <c r="N29" s="27">
        <f ca="1">_xll.DBRW($B$9,$M$23,$C$18,$C29,$C$21,$C$19,$B29,N$24)</f>
        <v>0</v>
      </c>
      <c r="O29" s="38">
        <f t="shared" ca="1" si="3"/>
        <v>0</v>
      </c>
    </row>
    <row r="30" spans="1:15" x14ac:dyDescent="0.25">
      <c r="A30">
        <f ca="1">IF(_xll.TM1RPTELISCONSOLIDATED($B$25,$B30),IF(_xll.TM1RPTELLEV($B$25,$B30)&lt;=3,_xll.TM1RPTELLEV($B$25,$B30),"D"),"N")</f>
        <v>1</v>
      </c>
      <c r="B30" s="41" t="s">
        <v>46</v>
      </c>
      <c r="C30" s="42" t="s">
        <v>31</v>
      </c>
      <c r="D30" s="27">
        <f ca="1">_xll.DBRW($B$9,$D$23,$C$18,$C30,$C$21,$C$19,$B30,D$24)</f>
        <v>517</v>
      </c>
      <c r="E30" s="27">
        <f ca="1">_xll.DBRW($B$9,$D$23,$C$18,$C30,$C$21,$C$19,$B30,E$24)</f>
        <v>6974852.3494638987</v>
      </c>
      <c r="F30" s="20">
        <f t="shared" ca="1" si="0"/>
        <v>2.480956674230796E-2</v>
      </c>
      <c r="G30" s="27">
        <f ca="1">_xll.DBRW($B$9,$G$23,$C$18,$C30,$C$21,$C$19,$B30,G$24)</f>
        <v>0</v>
      </c>
      <c r="H30" s="27">
        <f ca="1">_xll.DBRW($B$9,$G$23,$C$18,$C30,$C$21,$C$19,$B30,H$24)</f>
        <v>0</v>
      </c>
      <c r="I30" s="20">
        <f t="shared" ca="1" si="1"/>
        <v>0</v>
      </c>
      <c r="J30" s="27">
        <f ca="1">_xll.DBRW($B$9,$J$23,$C$18,$C30,$C$21,$C$19,$B30,J$24)</f>
        <v>0</v>
      </c>
      <c r="K30" s="27">
        <f ca="1">_xll.DBRW($B$9,$J$23,$C$18,$C30,$C$21,$C$19,$B30,K$24)</f>
        <v>0</v>
      </c>
      <c r="L30" s="20">
        <f t="shared" ca="1" si="2"/>
        <v>0</v>
      </c>
      <c r="M30" s="27">
        <f ca="1">_xll.DBRW($B$9,$M$23,$C$18,$C30,$C$21,$C$19,$B30,M$24)</f>
        <v>0</v>
      </c>
      <c r="N30" s="27">
        <f ca="1">_xll.DBRW($B$9,$M$23,$C$18,$C30,$C$21,$C$19,$B30,N$24)</f>
        <v>0</v>
      </c>
      <c r="O30" s="38">
        <f t="shared" ca="1" si="3"/>
        <v>0</v>
      </c>
    </row>
    <row r="31" spans="1:15" x14ac:dyDescent="0.25">
      <c r="A31">
        <f ca="1">IF(_xll.TM1RPTELISCONSOLIDATED($B$25,$B31),IF(_xll.TM1RPTELLEV($B$25,$B31)&lt;=3,_xll.TM1RPTELLEV($B$25,$B31),"D"),"N")</f>
        <v>1</v>
      </c>
      <c r="B31" s="41" t="s">
        <v>47</v>
      </c>
      <c r="C31" s="42" t="s">
        <v>31</v>
      </c>
      <c r="D31" s="27">
        <f ca="1">_xll.DBRW($B$9,$D$23,$C$18,$C31,$C$21,$C$19,$B31,D$24)</f>
        <v>547</v>
      </c>
      <c r="E31" s="27">
        <f ca="1">_xll.DBRW($B$9,$D$23,$C$18,$C31,$C$21,$C$19,$B31,E$24)</f>
        <v>7953922.1869500978</v>
      </c>
      <c r="F31" s="20">
        <f t="shared" ca="1" si="0"/>
        <v>2.8292120531473328E-2</v>
      </c>
      <c r="G31" s="27">
        <f ca="1">_xll.DBRW($B$9,$G$23,$C$18,$C31,$C$21,$C$19,$B31,G$24)</f>
        <v>0</v>
      </c>
      <c r="H31" s="27">
        <f ca="1">_xll.DBRW($B$9,$G$23,$C$18,$C31,$C$21,$C$19,$B31,H$24)</f>
        <v>0</v>
      </c>
      <c r="I31" s="20">
        <f t="shared" ca="1" si="1"/>
        <v>0</v>
      </c>
      <c r="J31" s="27">
        <f ca="1">_xll.DBRW($B$9,$J$23,$C$18,$C31,$C$21,$C$19,$B31,J$24)</f>
        <v>0</v>
      </c>
      <c r="K31" s="27">
        <f ca="1">_xll.DBRW($B$9,$J$23,$C$18,$C31,$C$21,$C$19,$B31,K$24)</f>
        <v>0</v>
      </c>
      <c r="L31" s="20">
        <f t="shared" ca="1" si="2"/>
        <v>0</v>
      </c>
      <c r="M31" s="27">
        <f ca="1">_xll.DBRW($B$9,$M$23,$C$18,$C31,$C$21,$C$19,$B31,M$24)</f>
        <v>0</v>
      </c>
      <c r="N31" s="27">
        <f ca="1">_xll.DBRW($B$9,$M$23,$C$18,$C31,$C$21,$C$19,$B31,N$24)</f>
        <v>0</v>
      </c>
      <c r="O31" s="38">
        <f t="shared" ca="1" si="3"/>
        <v>0</v>
      </c>
    </row>
    <row r="32" spans="1:15" x14ac:dyDescent="0.25">
      <c r="A32">
        <f ca="1">IF(_xll.TM1RPTELISCONSOLIDATED($B$25,$B32),IF(_xll.TM1RPTELLEV($B$25,$B32)&lt;=3,_xll.TM1RPTELLEV($B$25,$B32),"D"),"N")</f>
        <v>1</v>
      </c>
      <c r="B32" s="41" t="s">
        <v>48</v>
      </c>
      <c r="C32" s="42" t="s">
        <v>31</v>
      </c>
      <c r="D32" s="27">
        <f ca="1">_xll.DBRW($B$9,$D$23,$C$18,$C32,$C$21,$C$19,$B32,D$24)</f>
        <v>463</v>
      </c>
      <c r="E32" s="27">
        <f ca="1">_xll.DBRW($B$9,$D$23,$C$18,$C32,$C$21,$C$19,$B32,E$24)</f>
        <v>4659752.1832103003</v>
      </c>
      <c r="F32" s="20">
        <f t="shared" ca="1" si="0"/>
        <v>1.6574749829773375E-2</v>
      </c>
      <c r="G32" s="27">
        <f ca="1">_xll.DBRW($B$9,$G$23,$C$18,$C32,$C$21,$C$19,$B32,G$24)</f>
        <v>0</v>
      </c>
      <c r="H32" s="27">
        <f ca="1">_xll.DBRW($B$9,$G$23,$C$18,$C32,$C$21,$C$19,$B32,H$24)</f>
        <v>0</v>
      </c>
      <c r="I32" s="20">
        <f t="shared" ca="1" si="1"/>
        <v>0</v>
      </c>
      <c r="J32" s="27">
        <f ca="1">_xll.DBRW($B$9,$J$23,$C$18,$C32,$C$21,$C$19,$B32,J$24)</f>
        <v>0</v>
      </c>
      <c r="K32" s="27">
        <f ca="1">_xll.DBRW($B$9,$J$23,$C$18,$C32,$C$21,$C$19,$B32,K$24)</f>
        <v>0</v>
      </c>
      <c r="L32" s="20">
        <f t="shared" ca="1" si="2"/>
        <v>0</v>
      </c>
      <c r="M32" s="27">
        <f ca="1">_xll.DBRW($B$9,$M$23,$C$18,$C32,$C$21,$C$19,$B32,M$24)</f>
        <v>0</v>
      </c>
      <c r="N32" s="27">
        <f ca="1">_xll.DBRW($B$9,$M$23,$C$18,$C32,$C$21,$C$19,$B32,N$24)</f>
        <v>0</v>
      </c>
      <c r="O32" s="38">
        <f t="shared" ca="1" si="3"/>
        <v>0</v>
      </c>
    </row>
    <row r="33" spans="1:15" x14ac:dyDescent="0.25">
      <c r="A33">
        <f ca="1">IF(_xll.TM1RPTELISCONSOLIDATED($B$25,$B33),IF(_xll.TM1RPTELLEV($B$25,$B33)&lt;=3,_xll.TM1RPTELLEV($B$25,$B33),"D"),"N")</f>
        <v>1</v>
      </c>
      <c r="B33" s="41" t="s">
        <v>49</v>
      </c>
      <c r="C33" s="42" t="s">
        <v>31</v>
      </c>
      <c r="D33" s="27">
        <f ca="1">_xll.DBRW($B$9,$D$23,$C$18,$C33,$C$21,$C$19,$B33,D$24)</f>
        <v>8024</v>
      </c>
      <c r="E33" s="27">
        <f ca="1">_xll.DBRW($B$9,$D$23,$C$18,$C33,$C$21,$C$19,$B33,E$24)</f>
        <v>100612529.69510975</v>
      </c>
      <c r="F33" s="20">
        <f t="shared" ca="1" si="0"/>
        <v>0.35787901241739206</v>
      </c>
      <c r="G33" s="27">
        <f ca="1">_xll.DBRW($B$9,$G$23,$C$18,$C33,$C$21,$C$19,$B33,G$24)</f>
        <v>0</v>
      </c>
      <c r="H33" s="27">
        <f ca="1">_xll.DBRW($B$9,$G$23,$C$18,$C33,$C$21,$C$19,$B33,H$24)</f>
        <v>0</v>
      </c>
      <c r="I33" s="20">
        <f t="shared" ca="1" si="1"/>
        <v>0</v>
      </c>
      <c r="J33" s="27">
        <f ca="1">_xll.DBRW($B$9,$J$23,$C$18,$C33,$C$21,$C$19,$B33,J$24)</f>
        <v>0</v>
      </c>
      <c r="K33" s="27">
        <f ca="1">_xll.DBRW($B$9,$J$23,$C$18,$C33,$C$21,$C$19,$B33,K$24)</f>
        <v>0</v>
      </c>
      <c r="L33" s="20">
        <f t="shared" ca="1" si="2"/>
        <v>0</v>
      </c>
      <c r="M33" s="27">
        <f ca="1">_xll.DBRW($B$9,$M$23,$C$18,$C33,$C$21,$C$19,$B33,M$24)</f>
        <v>0</v>
      </c>
      <c r="N33" s="27">
        <f ca="1">_xll.DBRW($B$9,$M$23,$C$18,$C33,$C$21,$C$19,$B33,N$24)</f>
        <v>0</v>
      </c>
      <c r="O33" s="38">
        <f t="shared" ca="1" si="3"/>
        <v>0</v>
      </c>
    </row>
    <row r="34" spans="1:15" x14ac:dyDescent="0.25">
      <c r="A34">
        <f ca="1">IF(_xll.TM1RPTELISCONSOLIDATED($B$25,$B34),IF(_xll.TM1RPTELLEV($B$25,$B34)&lt;=3,_xll.TM1RPTELLEV($B$25,$B34),"D"),"N")</f>
        <v>1</v>
      </c>
      <c r="B34" s="41" t="s">
        <v>50</v>
      </c>
      <c r="C34" s="42" t="s">
        <v>31</v>
      </c>
      <c r="D34" s="27">
        <f ca="1">_xll.DBRW($B$9,$D$23,$C$18,$C34,$C$21,$C$19,$B34,D$24)</f>
        <v>588</v>
      </c>
      <c r="E34" s="27">
        <f ca="1">_xll.DBRW($B$9,$D$23,$C$18,$C34,$C$21,$C$19,$B34,E$24)</f>
        <v>27010736.833351679</v>
      </c>
      <c r="F34" s="20">
        <f t="shared" ca="1" si="0"/>
        <v>9.6077256499553218E-2</v>
      </c>
      <c r="G34" s="27">
        <f ca="1">_xll.DBRW($B$9,$G$23,$C$18,$C34,$C$21,$C$19,$B34,G$24)</f>
        <v>0</v>
      </c>
      <c r="H34" s="27">
        <f ca="1">_xll.DBRW($B$9,$G$23,$C$18,$C34,$C$21,$C$19,$B34,H$24)</f>
        <v>0</v>
      </c>
      <c r="I34" s="20">
        <f t="shared" ca="1" si="1"/>
        <v>0</v>
      </c>
      <c r="J34" s="27">
        <f ca="1">_xll.DBRW($B$9,$J$23,$C$18,$C34,$C$21,$C$19,$B34,J$24)</f>
        <v>0</v>
      </c>
      <c r="K34" s="27">
        <f ca="1">_xll.DBRW($B$9,$J$23,$C$18,$C34,$C$21,$C$19,$B34,K$24)</f>
        <v>0</v>
      </c>
      <c r="L34" s="20">
        <f t="shared" ca="1" si="2"/>
        <v>0</v>
      </c>
      <c r="M34" s="27">
        <f ca="1">_xll.DBRW($B$9,$M$23,$C$18,$C34,$C$21,$C$19,$B34,M$24)</f>
        <v>0</v>
      </c>
      <c r="N34" s="27">
        <f ca="1">_xll.DBRW($B$9,$M$23,$C$18,$C34,$C$21,$C$19,$B34,N$24)</f>
        <v>0</v>
      </c>
      <c r="O34" s="38">
        <f t="shared" ca="1" si="3"/>
        <v>0</v>
      </c>
    </row>
    <row r="35" spans="1:15" x14ac:dyDescent="0.25">
      <c r="A35">
        <f ca="1">IF(_xll.TM1RPTELISCONSOLIDATED($B$25,$B35),IF(_xll.TM1RPTELLEV($B$25,$B35)&lt;=3,_xll.TM1RPTELLEV($B$25,$B35),"D"),"N")</f>
        <v>1</v>
      </c>
      <c r="B35" s="41" t="s">
        <v>51</v>
      </c>
      <c r="C35" s="42" t="s">
        <v>31</v>
      </c>
      <c r="D35" s="27">
        <f ca="1">_xll.DBRW($B$9,$D$23,$C$18,$C35,$C$21,$C$19,$B35,D$24)</f>
        <v>169</v>
      </c>
      <c r="E35" s="27">
        <f ca="1">_xll.DBRW($B$9,$D$23,$C$18,$C35,$C$21,$C$19,$B35,E$24)</f>
        <v>3136163.6175413001</v>
      </c>
      <c r="F35" s="20">
        <f t="shared" ca="1" si="0"/>
        <v>1.1155341602345067E-2</v>
      </c>
      <c r="G35" s="27">
        <f ca="1">_xll.DBRW($B$9,$G$23,$C$18,$C35,$C$21,$C$19,$B35,G$24)</f>
        <v>0</v>
      </c>
      <c r="H35" s="27">
        <f ca="1">_xll.DBRW($B$9,$G$23,$C$18,$C35,$C$21,$C$19,$B35,H$24)</f>
        <v>0</v>
      </c>
      <c r="I35" s="20">
        <f t="shared" ca="1" si="1"/>
        <v>0</v>
      </c>
      <c r="J35" s="27">
        <f ca="1">_xll.DBRW($B$9,$J$23,$C$18,$C35,$C$21,$C$19,$B35,J$24)</f>
        <v>0</v>
      </c>
      <c r="K35" s="27">
        <f ca="1">_xll.DBRW($B$9,$J$23,$C$18,$C35,$C$21,$C$19,$B35,K$24)</f>
        <v>0</v>
      </c>
      <c r="L35" s="20">
        <f t="shared" ca="1" si="2"/>
        <v>0</v>
      </c>
      <c r="M35" s="27">
        <f ca="1">_xll.DBRW($B$9,$M$23,$C$18,$C35,$C$21,$C$19,$B35,M$24)</f>
        <v>0</v>
      </c>
      <c r="N35" s="27">
        <f ca="1">_xll.DBRW($B$9,$M$23,$C$18,$C35,$C$21,$C$19,$B35,N$24)</f>
        <v>0</v>
      </c>
      <c r="O35" s="38">
        <f t="shared" ca="1" si="3"/>
        <v>0</v>
      </c>
    </row>
    <row r="36" spans="1:15" x14ac:dyDescent="0.25">
      <c r="A36">
        <f ca="1">IF(_xll.TM1RPTELISCONSOLIDATED($B$25,$B36),IF(_xll.TM1RPTELLEV($B$25,$B36)&lt;=3,_xll.TM1RPTELLEV($B$25,$B36),"D"),"N")</f>
        <v>1</v>
      </c>
      <c r="B36" s="41" t="s">
        <v>52</v>
      </c>
      <c r="C36" s="42" t="s">
        <v>31</v>
      </c>
      <c r="D36" s="27">
        <f ca="1">_xll.DBRW($B$9,$D$23,$C$18,$C36,$C$21,$C$19,$B36,D$24)</f>
        <v>22</v>
      </c>
      <c r="E36" s="27">
        <f ca="1">_xll.DBRW($B$9,$D$23,$C$18,$C36,$C$21,$C$19,$B36,E$24)</f>
        <v>254855.74888069998</v>
      </c>
      <c r="F36" s="20">
        <f t="shared" ca="1" si="0"/>
        <v>9.0652251757022365E-4</v>
      </c>
      <c r="G36" s="27">
        <f ca="1">_xll.DBRW($B$9,$G$23,$C$18,$C36,$C$21,$C$19,$B36,G$24)</f>
        <v>0</v>
      </c>
      <c r="H36" s="27">
        <f ca="1">_xll.DBRW($B$9,$G$23,$C$18,$C36,$C$21,$C$19,$B36,H$24)</f>
        <v>0</v>
      </c>
      <c r="I36" s="20">
        <f t="shared" ca="1" si="1"/>
        <v>0</v>
      </c>
      <c r="J36" s="27">
        <f ca="1">_xll.DBRW($B$9,$J$23,$C$18,$C36,$C$21,$C$19,$B36,J$24)</f>
        <v>0</v>
      </c>
      <c r="K36" s="27">
        <f ca="1">_xll.DBRW($B$9,$J$23,$C$18,$C36,$C$21,$C$19,$B36,K$24)</f>
        <v>0</v>
      </c>
      <c r="L36" s="20">
        <f t="shared" ca="1" si="2"/>
        <v>0</v>
      </c>
      <c r="M36" s="27">
        <f ca="1">_xll.DBRW($B$9,$M$23,$C$18,$C36,$C$21,$C$19,$B36,M$24)</f>
        <v>0</v>
      </c>
      <c r="N36" s="27">
        <f ca="1">_xll.DBRW($B$9,$M$23,$C$18,$C36,$C$21,$C$19,$B36,N$24)</f>
        <v>0</v>
      </c>
      <c r="O36" s="38">
        <f t="shared" ca="1" si="3"/>
        <v>0</v>
      </c>
    </row>
    <row r="37" spans="1:15" x14ac:dyDescent="0.25">
      <c r="A37">
        <f ca="1">IF(_xll.TM1RPTELISCONSOLIDATED($B$25,$B37),IF(_xll.TM1RPTELLEV($B$25,$B37)&lt;=3,_xll.TM1RPTELLEV($B$25,$B37),"D"),"N")</f>
        <v>1</v>
      </c>
      <c r="B37" s="41" t="s">
        <v>53</v>
      </c>
      <c r="C37" s="42" t="s">
        <v>31</v>
      </c>
      <c r="D37" s="27">
        <f ca="1">_xll.DBRW($B$9,$D$23,$C$18,$C37,$C$21,$C$19,$B37,D$24)</f>
        <v>86</v>
      </c>
      <c r="E37" s="27">
        <f ca="1">_xll.DBRW($B$9,$D$23,$C$18,$C37,$C$21,$C$19,$B37,E$24)</f>
        <v>458755.64690568001</v>
      </c>
      <c r="F37" s="20">
        <f t="shared" ca="1" si="0"/>
        <v>1.6317949499234832E-3</v>
      </c>
      <c r="G37" s="27">
        <f ca="1">_xll.DBRW($B$9,$G$23,$C$18,$C37,$C$21,$C$19,$B37,G$24)</f>
        <v>0</v>
      </c>
      <c r="H37" s="27">
        <f ca="1">_xll.DBRW($B$9,$G$23,$C$18,$C37,$C$21,$C$19,$B37,H$24)</f>
        <v>0</v>
      </c>
      <c r="I37" s="20">
        <f t="shared" ca="1" si="1"/>
        <v>0</v>
      </c>
      <c r="J37" s="27">
        <f ca="1">_xll.DBRW($B$9,$J$23,$C$18,$C37,$C$21,$C$19,$B37,J$24)</f>
        <v>0</v>
      </c>
      <c r="K37" s="27">
        <f ca="1">_xll.DBRW($B$9,$J$23,$C$18,$C37,$C$21,$C$19,$B37,K$24)</f>
        <v>0</v>
      </c>
      <c r="L37" s="20">
        <f t="shared" ca="1" si="2"/>
        <v>0</v>
      </c>
      <c r="M37" s="27">
        <f ca="1">_xll.DBRW($B$9,$M$23,$C$18,$C37,$C$21,$C$19,$B37,M$24)</f>
        <v>0</v>
      </c>
      <c r="N37" s="27">
        <f ca="1">_xll.DBRW($B$9,$M$23,$C$18,$C37,$C$21,$C$19,$B37,N$24)</f>
        <v>0</v>
      </c>
      <c r="O37" s="38">
        <f t="shared" ca="1" si="3"/>
        <v>0</v>
      </c>
    </row>
    <row r="38" spans="1:15" x14ac:dyDescent="0.25">
      <c r="A38">
        <f ca="1">IF(_xll.TM1RPTELISCONSOLIDATED($B$25,$B38),IF(_xll.TM1RPTELLEV($B$25,$B38)&lt;=3,_xll.TM1RPTELLEV($B$25,$B38),"D"),"N")</f>
        <v>1</v>
      </c>
      <c r="B38" s="41" t="s">
        <v>54</v>
      </c>
      <c r="C38" s="42" t="s">
        <v>31</v>
      </c>
      <c r="D38" s="27">
        <f ca="1">_xll.DBRW($B$9,$D$23,$C$18,$C38,$C$21,$C$19,$B38,D$24)</f>
        <v>582</v>
      </c>
      <c r="E38" s="27">
        <f ca="1">_xll.DBRW($B$9,$D$23,$C$18,$C38,$C$21,$C$19,$B38,E$24)</f>
        <v>21114433.761532485</v>
      </c>
      <c r="F38" s="20">
        <f t="shared" ca="1" si="0"/>
        <v>7.5104092156595123E-2</v>
      </c>
      <c r="G38" s="27">
        <f ca="1">_xll.DBRW($B$9,$G$23,$C$18,$C38,$C$21,$C$19,$B38,G$24)</f>
        <v>0</v>
      </c>
      <c r="H38" s="27">
        <f ca="1">_xll.DBRW($B$9,$G$23,$C$18,$C38,$C$21,$C$19,$B38,H$24)</f>
        <v>0</v>
      </c>
      <c r="I38" s="20">
        <f t="shared" ca="1" si="1"/>
        <v>0</v>
      </c>
      <c r="J38" s="27">
        <f ca="1">_xll.DBRW($B$9,$J$23,$C$18,$C38,$C$21,$C$19,$B38,J$24)</f>
        <v>0</v>
      </c>
      <c r="K38" s="27">
        <f ca="1">_xll.DBRW($B$9,$J$23,$C$18,$C38,$C$21,$C$19,$B38,K$24)</f>
        <v>0</v>
      </c>
      <c r="L38" s="20">
        <f t="shared" ca="1" si="2"/>
        <v>0</v>
      </c>
      <c r="M38" s="27">
        <f ca="1">_xll.DBRW($B$9,$M$23,$C$18,$C38,$C$21,$C$19,$B38,M$24)</f>
        <v>0</v>
      </c>
      <c r="N38" s="27">
        <f ca="1">_xll.DBRW($B$9,$M$23,$C$18,$C38,$C$21,$C$19,$B38,N$24)</f>
        <v>0</v>
      </c>
      <c r="O38" s="38">
        <f t="shared" ca="1" si="3"/>
        <v>0</v>
      </c>
    </row>
    <row r="39" spans="1:15" x14ac:dyDescent="0.25">
      <c r="A39">
        <f ca="1">IF(_xll.TM1RPTELISCONSOLIDATED($B$25,$B39),IF(_xll.TM1RPTELLEV($B$25,$B39)&lt;=3,_xll.TM1RPTELLEV($B$25,$B39),"D"),"N")</f>
        <v>1</v>
      </c>
      <c r="B39" s="41" t="s">
        <v>55</v>
      </c>
      <c r="C39" s="42" t="s">
        <v>31</v>
      </c>
      <c r="D39" s="27">
        <f ca="1">_xll.DBRW($B$9,$D$23,$C$18,$C39,$C$21,$C$19,$B39,D$24)</f>
        <v>139</v>
      </c>
      <c r="E39" s="27">
        <f ca="1">_xll.DBRW($B$9,$D$23,$C$18,$C39,$C$21,$C$19,$B39,E$24)</f>
        <v>6852293.3480515936</v>
      </c>
      <c r="F39" s="20">
        <f t="shared" ca="1" si="0"/>
        <v>2.4373624076705454E-2</v>
      </c>
      <c r="G39" s="27">
        <f ca="1">_xll.DBRW($B$9,$G$23,$C$18,$C39,$C$21,$C$19,$B39,G$24)</f>
        <v>0</v>
      </c>
      <c r="H39" s="27">
        <f ca="1">_xll.DBRW($B$9,$G$23,$C$18,$C39,$C$21,$C$19,$B39,H$24)</f>
        <v>0</v>
      </c>
      <c r="I39" s="20">
        <f t="shared" ca="1" si="1"/>
        <v>0</v>
      </c>
      <c r="J39" s="27">
        <f ca="1">_xll.DBRW($B$9,$J$23,$C$18,$C39,$C$21,$C$19,$B39,J$24)</f>
        <v>0</v>
      </c>
      <c r="K39" s="27">
        <f ca="1">_xll.DBRW($B$9,$J$23,$C$18,$C39,$C$21,$C$19,$B39,K$24)</f>
        <v>0</v>
      </c>
      <c r="L39" s="20">
        <f t="shared" ca="1" si="2"/>
        <v>0</v>
      </c>
      <c r="M39" s="27">
        <f ca="1">_xll.DBRW($B$9,$M$23,$C$18,$C39,$C$21,$C$19,$B39,M$24)</f>
        <v>0</v>
      </c>
      <c r="N39" s="27">
        <f ca="1">_xll.DBRW($B$9,$M$23,$C$18,$C39,$C$21,$C$19,$B39,N$24)</f>
        <v>0</v>
      </c>
      <c r="O39" s="38">
        <f t="shared" ca="1" si="3"/>
        <v>0</v>
      </c>
    </row>
    <row r="40" spans="1:15" x14ac:dyDescent="0.25">
      <c r="A40">
        <f ca="1">IF(_xll.TM1RPTELISCONSOLIDATED($B$25,$B40),IF(_xll.TM1RPTELLEV($B$25,$B40)&lt;=3,_xll.TM1RPTELLEV($B$25,$B40),"D"),"N")</f>
        <v>1</v>
      </c>
      <c r="B40" s="41" t="s">
        <v>56</v>
      </c>
      <c r="C40" s="42" t="s">
        <v>31</v>
      </c>
      <c r="D40" s="27">
        <f ca="1">_xll.DBRW($B$9,$D$23,$C$18,$C40,$C$21,$C$19,$B40,D$24)</f>
        <v>0</v>
      </c>
      <c r="E40" s="27">
        <f ca="1">_xll.DBRW($B$9,$D$23,$C$18,$C40,$C$21,$C$19,$B40,E$24)</f>
        <v>2.5264935199999998</v>
      </c>
      <c r="F40" s="20">
        <f t="shared" ca="1" si="0"/>
        <v>8.9867435850833997E-9</v>
      </c>
      <c r="G40" s="27">
        <f ca="1">_xll.DBRW($B$9,$G$23,$C$18,$C40,$C$21,$C$19,$B40,G$24)</f>
        <v>0</v>
      </c>
      <c r="H40" s="27">
        <f ca="1">_xll.DBRW($B$9,$G$23,$C$18,$C40,$C$21,$C$19,$B40,H$24)</f>
        <v>0</v>
      </c>
      <c r="I40" s="20">
        <f t="shared" ca="1" si="1"/>
        <v>0</v>
      </c>
      <c r="J40" s="27">
        <f ca="1">_xll.DBRW($B$9,$J$23,$C$18,$C40,$C$21,$C$19,$B40,J$24)</f>
        <v>0</v>
      </c>
      <c r="K40" s="27">
        <f ca="1">_xll.DBRW($B$9,$J$23,$C$18,$C40,$C$21,$C$19,$B40,K$24)</f>
        <v>0</v>
      </c>
      <c r="L40" s="20">
        <f t="shared" ca="1" si="2"/>
        <v>0</v>
      </c>
      <c r="M40" s="27">
        <f ca="1">_xll.DBRW($B$9,$M$23,$C$18,$C40,$C$21,$C$19,$B40,M$24)</f>
        <v>0</v>
      </c>
      <c r="N40" s="27">
        <f ca="1">_xll.DBRW($B$9,$M$23,$C$18,$C40,$C$21,$C$19,$B40,N$24)</f>
        <v>0</v>
      </c>
      <c r="O40" s="38">
        <f t="shared" ca="1" si="3"/>
        <v>0</v>
      </c>
    </row>
    <row r="41" spans="1:15" x14ac:dyDescent="0.25">
      <c r="A41">
        <f ca="1">IF(_xll.TM1RPTELISCONSOLIDATED($B$25,$B41),IF(_xll.TM1RPTELLEV($B$25,$B41)&lt;=3,_xll.TM1RPTELLEV($B$25,$B41),"D"),"N")</f>
        <v>1</v>
      </c>
      <c r="B41" s="41" t="s">
        <v>57</v>
      </c>
      <c r="C41" s="42" t="s">
        <v>31</v>
      </c>
      <c r="D41" s="27">
        <f ca="1">_xll.DBRW($B$9,$D$23,$C$18,$C41,$C$21,$C$19,$B41,D$24)</f>
        <v>0</v>
      </c>
      <c r="E41" s="27">
        <f ca="1">_xll.DBRW($B$9,$D$23,$C$18,$C41,$C$21,$C$19,$B41,E$24)</f>
        <v>3244.9992313600001</v>
      </c>
      <c r="F41" s="20">
        <f t="shared" ca="1" si="0"/>
        <v>1.1542470144956099E-5</v>
      </c>
      <c r="G41" s="27">
        <f ca="1">_xll.DBRW($B$9,$G$23,$C$18,$C41,$C$21,$C$19,$B41,G$24)</f>
        <v>0</v>
      </c>
      <c r="H41" s="27">
        <f ca="1">_xll.DBRW($B$9,$G$23,$C$18,$C41,$C$21,$C$19,$B41,H$24)</f>
        <v>0</v>
      </c>
      <c r="I41" s="20">
        <f t="shared" ca="1" si="1"/>
        <v>0</v>
      </c>
      <c r="J41" s="27">
        <f ca="1">_xll.DBRW($B$9,$J$23,$C$18,$C41,$C$21,$C$19,$B41,J$24)</f>
        <v>0</v>
      </c>
      <c r="K41" s="27">
        <f ca="1">_xll.DBRW($B$9,$J$23,$C$18,$C41,$C$21,$C$19,$B41,K$24)</f>
        <v>0</v>
      </c>
      <c r="L41" s="20">
        <f t="shared" ca="1" si="2"/>
        <v>0</v>
      </c>
      <c r="M41" s="27">
        <f ca="1">_xll.DBRW($B$9,$M$23,$C$18,$C41,$C$21,$C$19,$B41,M$24)</f>
        <v>0</v>
      </c>
      <c r="N41" s="27">
        <f ca="1">_xll.DBRW($B$9,$M$23,$C$18,$C41,$C$21,$C$19,$B41,N$24)</f>
        <v>0</v>
      </c>
      <c r="O41" s="38">
        <f t="shared" ca="1" si="3"/>
        <v>0</v>
      </c>
    </row>
    <row r="42" spans="1:15" x14ac:dyDescent="0.25">
      <c r="A42">
        <f ca="1">IF(_xll.TM1RPTELISCONSOLIDATED($B$25,$B42),IF(_xll.TM1RPTELLEV($B$25,$B42)&lt;=3,_xll.TM1RPTELLEV($B$25,$B42),"D"),"N")</f>
        <v>1</v>
      </c>
      <c r="B42" s="41" t="s">
        <v>58</v>
      </c>
      <c r="C42" s="42" t="s">
        <v>31</v>
      </c>
      <c r="D42" s="27">
        <f ca="1">_xll.DBRW($B$9,$D$23,$C$18,$C42,$C$21,$C$19,$B42,D$24)</f>
        <v>10</v>
      </c>
      <c r="E42" s="27">
        <f ca="1">_xll.DBRW($B$9,$D$23,$C$18,$C42,$C$21,$C$19,$B42,E$24)</f>
        <v>2631300.0188299604</v>
      </c>
      <c r="F42" s="20">
        <f t="shared" ca="1" si="0"/>
        <v>9.3595405558966078E-3</v>
      </c>
      <c r="G42" s="27">
        <f ca="1">_xll.DBRW($B$9,$G$23,$C$18,$C42,$C$21,$C$19,$B42,G$24)</f>
        <v>0</v>
      </c>
      <c r="H42" s="27">
        <f ca="1">_xll.DBRW($B$9,$G$23,$C$18,$C42,$C$21,$C$19,$B42,H$24)</f>
        <v>0</v>
      </c>
      <c r="I42" s="20">
        <f t="shared" ca="1" si="1"/>
        <v>0</v>
      </c>
      <c r="J42" s="27">
        <f ca="1">_xll.DBRW($B$9,$J$23,$C$18,$C42,$C$21,$C$19,$B42,J$24)</f>
        <v>0</v>
      </c>
      <c r="K42" s="27">
        <f ca="1">_xll.DBRW($B$9,$J$23,$C$18,$C42,$C$21,$C$19,$B42,K$24)</f>
        <v>0</v>
      </c>
      <c r="L42" s="20">
        <f t="shared" ca="1" si="2"/>
        <v>0</v>
      </c>
      <c r="M42" s="27">
        <f ca="1">_xll.DBRW($B$9,$M$23,$C$18,$C42,$C$21,$C$19,$B42,M$24)</f>
        <v>0</v>
      </c>
      <c r="N42" s="27">
        <f ca="1">_xll.DBRW($B$9,$M$23,$C$18,$C42,$C$21,$C$19,$B42,N$24)</f>
        <v>0</v>
      </c>
      <c r="O42" s="38">
        <f t="shared" ca="1" si="3"/>
        <v>0</v>
      </c>
    </row>
    <row r="43" spans="1:15" x14ac:dyDescent="0.25">
      <c r="A43">
        <f ca="1">IF(_xll.TM1RPTELISCONSOLIDATED($B$25,$B43),IF(_xll.TM1RPTELLEV($B$25,$B43)&lt;=3,_xll.TM1RPTELLEV($B$25,$B43),"D"),"N")</f>
        <v>1</v>
      </c>
      <c r="B43" s="41" t="s">
        <v>59</v>
      </c>
      <c r="C43" s="42" t="s">
        <v>31</v>
      </c>
      <c r="D43" s="27">
        <f ca="1">_xll.DBRW($B$9,$D$23,$C$18,$C43,$C$21,$C$19,$B43,D$24)</f>
        <v>0</v>
      </c>
      <c r="E43" s="27">
        <f ca="1">_xll.DBRW($B$9,$D$23,$C$18,$C43,$C$21,$C$19,$B43,E$24)</f>
        <v>119149.92872887001</v>
      </c>
      <c r="F43" s="20">
        <f t="shared" ca="1" si="0"/>
        <v>4.2381658579014164E-4</v>
      </c>
      <c r="G43" s="27">
        <f ca="1">_xll.DBRW($B$9,$G$23,$C$18,$C43,$C$21,$C$19,$B43,G$24)</f>
        <v>0</v>
      </c>
      <c r="H43" s="27">
        <f ca="1">_xll.DBRW($B$9,$G$23,$C$18,$C43,$C$21,$C$19,$B43,H$24)</f>
        <v>0</v>
      </c>
      <c r="I43" s="20">
        <f t="shared" ca="1" si="1"/>
        <v>0</v>
      </c>
      <c r="J43" s="27">
        <f ca="1">_xll.DBRW($B$9,$J$23,$C$18,$C43,$C$21,$C$19,$B43,J$24)</f>
        <v>0</v>
      </c>
      <c r="K43" s="27">
        <f ca="1">_xll.DBRW($B$9,$J$23,$C$18,$C43,$C$21,$C$19,$B43,K$24)</f>
        <v>0</v>
      </c>
      <c r="L43" s="20">
        <f t="shared" ca="1" si="2"/>
        <v>0</v>
      </c>
      <c r="M43" s="27">
        <f ca="1">_xll.DBRW($B$9,$M$23,$C$18,$C43,$C$21,$C$19,$B43,M$24)</f>
        <v>0</v>
      </c>
      <c r="N43" s="27">
        <f ca="1">_xll.DBRW($B$9,$M$23,$C$18,$C43,$C$21,$C$19,$B43,N$24)</f>
        <v>0</v>
      </c>
      <c r="O43" s="38">
        <f t="shared" ca="1" si="3"/>
        <v>0</v>
      </c>
    </row>
    <row r="44" spans="1:15" x14ac:dyDescent="0.25">
      <c r="A44">
        <f ca="1">IF(_xll.TM1RPTELISCONSOLIDATED($B$25,$B44),IF(_xll.TM1RPTELLEV($B$25,$B44)&lt;=3,_xll.TM1RPTELLEV($B$25,$B44),"D"),"N")</f>
        <v>1</v>
      </c>
      <c r="B44" s="41" t="s">
        <v>60</v>
      </c>
      <c r="C44" s="42" t="s">
        <v>31</v>
      </c>
      <c r="D44" s="27">
        <f ca="1">_xll.DBRW($B$9,$D$23,$C$18,$C44,$C$21,$C$19,$B44,D$24)</f>
        <v>45</v>
      </c>
      <c r="E44" s="27">
        <f ca="1">_xll.DBRW($B$9,$D$23,$C$18,$C44,$C$21,$C$19,$B44,E$24)</f>
        <v>501228.15034745022</v>
      </c>
      <c r="F44" s="20">
        <f t="shared" ca="1" si="0"/>
        <v>1.7828697477910674E-3</v>
      </c>
      <c r="G44" s="27">
        <f ca="1">_xll.DBRW($B$9,$G$23,$C$18,$C44,$C$21,$C$19,$B44,G$24)</f>
        <v>0</v>
      </c>
      <c r="H44" s="27">
        <f ca="1">_xll.DBRW($B$9,$G$23,$C$18,$C44,$C$21,$C$19,$B44,H$24)</f>
        <v>0</v>
      </c>
      <c r="I44" s="20">
        <f t="shared" ca="1" si="1"/>
        <v>0</v>
      </c>
      <c r="J44" s="27">
        <f ca="1">_xll.DBRW($B$9,$J$23,$C$18,$C44,$C$21,$C$19,$B44,J$24)</f>
        <v>0</v>
      </c>
      <c r="K44" s="27">
        <f ca="1">_xll.DBRW($B$9,$J$23,$C$18,$C44,$C$21,$C$19,$B44,K$24)</f>
        <v>0</v>
      </c>
      <c r="L44" s="20">
        <f t="shared" ca="1" si="2"/>
        <v>0</v>
      </c>
      <c r="M44" s="27">
        <f ca="1">_xll.DBRW($B$9,$M$23,$C$18,$C44,$C$21,$C$19,$B44,M$24)</f>
        <v>0</v>
      </c>
      <c r="N44" s="27">
        <f ca="1">_xll.DBRW($B$9,$M$23,$C$18,$C44,$C$21,$C$19,$B44,N$24)</f>
        <v>0</v>
      </c>
      <c r="O44" s="38">
        <f t="shared" ca="1" si="3"/>
        <v>0</v>
      </c>
    </row>
    <row r="45" spans="1:15" x14ac:dyDescent="0.25">
      <c r="A45">
        <f ca="1">IF(_xll.TM1RPTELISCONSOLIDATED($B$25,$B45),IF(_xll.TM1RPTELLEV($B$25,$B45)&lt;=3,_xll.TM1RPTELLEV($B$25,$B45),"D"),"N")</f>
        <v>1</v>
      </c>
      <c r="B45" s="41" t="s">
        <v>61</v>
      </c>
      <c r="C45" s="42" t="s">
        <v>31</v>
      </c>
      <c r="D45" s="27">
        <f ca="1">_xll.DBRW($B$9,$D$23,$C$18,$C45,$C$21,$C$19,$B45,D$24)</f>
        <v>0</v>
      </c>
      <c r="E45" s="27">
        <f ca="1">_xll.DBRW($B$9,$D$23,$C$18,$C45,$C$21,$C$19,$B45,E$24)</f>
        <v>7852819.7394967703</v>
      </c>
      <c r="F45" s="20">
        <f t="shared" ca="1" si="0"/>
        <v>2.7932498880400412E-2</v>
      </c>
      <c r="G45" s="27">
        <f ca="1">_xll.DBRW($B$9,$G$23,$C$18,$C45,$C$21,$C$19,$B45,G$24)</f>
        <v>0</v>
      </c>
      <c r="H45" s="27">
        <f ca="1">_xll.DBRW($B$9,$G$23,$C$18,$C45,$C$21,$C$19,$B45,H$24)</f>
        <v>0</v>
      </c>
      <c r="I45" s="20">
        <f t="shared" ca="1" si="1"/>
        <v>0</v>
      </c>
      <c r="J45" s="27">
        <f ca="1">_xll.DBRW($B$9,$J$23,$C$18,$C45,$C$21,$C$19,$B45,J$24)</f>
        <v>0</v>
      </c>
      <c r="K45" s="27">
        <f ca="1">_xll.DBRW($B$9,$J$23,$C$18,$C45,$C$21,$C$19,$B45,K$24)</f>
        <v>0</v>
      </c>
      <c r="L45" s="20">
        <f t="shared" ca="1" si="2"/>
        <v>0</v>
      </c>
      <c r="M45" s="27">
        <f ca="1">_xll.DBRW($B$9,$M$23,$C$18,$C45,$C$21,$C$19,$B45,M$24)</f>
        <v>0</v>
      </c>
      <c r="N45" s="27">
        <f ca="1">_xll.DBRW($B$9,$M$23,$C$18,$C45,$C$21,$C$19,$B45,N$24)</f>
        <v>0</v>
      </c>
      <c r="O45" s="38">
        <f t="shared" ca="1" si="3"/>
        <v>0</v>
      </c>
    </row>
    <row r="46" spans="1:15" x14ac:dyDescent="0.25">
      <c r="A46">
        <f ca="1">IF(_xll.TM1RPTELISCONSOLIDATED($B$25,$B46),IF(_xll.TM1RPTELLEV($B$25,$B46)&lt;=3,_xll.TM1RPTELLEV($B$25,$B46),"D"),"N")</f>
        <v>1</v>
      </c>
      <c r="B46" s="41" t="s">
        <v>62</v>
      </c>
      <c r="C46" s="42" t="s">
        <v>31</v>
      </c>
      <c r="D46" s="27">
        <f ca="1">_xll.DBRW($B$9,$D$23,$C$18,$C46,$C$21,$C$19,$B46,D$24)</f>
        <v>-308</v>
      </c>
      <c r="E46" s="27">
        <f ca="1">_xll.DBRW($B$9,$D$23,$C$18,$C46,$C$21,$C$19,$B46,E$24)</f>
        <v>-5272116.4448636035</v>
      </c>
      <c r="F46" s="20">
        <f t="shared" ca="1" si="0"/>
        <v>-1.8752930995322992E-2</v>
      </c>
      <c r="G46" s="27">
        <f ca="1">_xll.DBRW($B$9,$G$23,$C$18,$C46,$C$21,$C$19,$B46,G$24)</f>
        <v>0</v>
      </c>
      <c r="H46" s="27">
        <f ca="1">_xll.DBRW($B$9,$G$23,$C$18,$C46,$C$21,$C$19,$B46,H$24)</f>
        <v>0</v>
      </c>
      <c r="I46" s="20">
        <f t="shared" ca="1" si="1"/>
        <v>0</v>
      </c>
      <c r="J46" s="27">
        <f ca="1">_xll.DBRW($B$9,$J$23,$C$18,$C46,$C$21,$C$19,$B46,J$24)</f>
        <v>0</v>
      </c>
      <c r="K46" s="27">
        <f ca="1">_xll.DBRW($B$9,$J$23,$C$18,$C46,$C$21,$C$19,$B46,K$24)</f>
        <v>0</v>
      </c>
      <c r="L46" s="20">
        <f t="shared" ca="1" si="2"/>
        <v>0</v>
      </c>
      <c r="M46" s="27">
        <f ca="1">_xll.DBRW($B$9,$M$23,$C$18,$C46,$C$21,$C$19,$B46,M$24)</f>
        <v>0</v>
      </c>
      <c r="N46" s="27">
        <f ca="1">_xll.DBRW($B$9,$M$23,$C$18,$C46,$C$21,$C$19,$B46,N$24)</f>
        <v>0</v>
      </c>
      <c r="O46" s="38">
        <f t="shared" ca="1" si="3"/>
        <v>0</v>
      </c>
    </row>
    <row r="47" spans="1:15" x14ac:dyDescent="0.25">
      <c r="A47">
        <f ca="1">IF(_xll.TM1RPTELISCONSOLIDATED($B$25,$B47),IF(_xll.TM1RPTELLEV($B$25,$B47)&lt;=3,_xll.TM1RPTELLEV($B$25,$B47),"D"),"N")</f>
        <v>1</v>
      </c>
      <c r="B47" s="41" t="s">
        <v>63</v>
      </c>
      <c r="C47" s="42" t="s">
        <v>31</v>
      </c>
      <c r="D47" s="27">
        <f ca="1">_xll.DBRW($B$9,$D$23,$C$18,$C47,$C$21,$C$19,$B47,D$24)</f>
        <v>6</v>
      </c>
      <c r="E47" s="27">
        <f ca="1">_xll.DBRW($B$9,$D$23,$C$18,$C47,$C$21,$C$19,$B47,E$24)</f>
        <v>753579.61146497994</v>
      </c>
      <c r="F47" s="20">
        <f t="shared" ca="1" si="0"/>
        <v>2.6804845077071679E-3</v>
      </c>
      <c r="G47" s="27">
        <f ca="1">_xll.DBRW($B$9,$G$23,$C$18,$C47,$C$21,$C$19,$B47,G$24)</f>
        <v>0</v>
      </c>
      <c r="H47" s="27">
        <f ca="1">_xll.DBRW($B$9,$G$23,$C$18,$C47,$C$21,$C$19,$B47,H$24)</f>
        <v>0</v>
      </c>
      <c r="I47" s="20">
        <f t="shared" ca="1" si="1"/>
        <v>0</v>
      </c>
      <c r="J47" s="27">
        <f ca="1">_xll.DBRW($B$9,$J$23,$C$18,$C47,$C$21,$C$19,$B47,J$24)</f>
        <v>0</v>
      </c>
      <c r="K47" s="27">
        <f ca="1">_xll.DBRW($B$9,$J$23,$C$18,$C47,$C$21,$C$19,$B47,K$24)</f>
        <v>0</v>
      </c>
      <c r="L47" s="20">
        <f t="shared" ca="1" si="2"/>
        <v>0</v>
      </c>
      <c r="M47" s="27">
        <f ca="1">_xll.DBRW($B$9,$M$23,$C$18,$C47,$C$21,$C$19,$B47,M$24)</f>
        <v>0</v>
      </c>
      <c r="N47" s="27">
        <f ca="1">_xll.DBRW($B$9,$M$23,$C$18,$C47,$C$21,$C$19,$B47,N$24)</f>
        <v>0</v>
      </c>
      <c r="O47" s="38">
        <f t="shared" ca="1" si="3"/>
        <v>0</v>
      </c>
    </row>
    <row r="48" spans="1:15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</sheetData>
  <mergeCells count="4">
    <mergeCell ref="D23:F23"/>
    <mergeCell ref="G23:I23"/>
    <mergeCell ref="J23:L23"/>
    <mergeCell ref="M23:O23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3</xdr:col>
                <xdr:colOff>238125</xdr:colOff>
                <xdr:row>16</xdr:row>
                <xdr:rowOff>47625</xdr:rowOff>
              </from>
              <to>
                <xdr:col>4</xdr:col>
                <xdr:colOff>76200</xdr:colOff>
                <xdr:row>17</xdr:row>
                <xdr:rowOff>57150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1:B46"/>
  <sheetViews>
    <sheetView workbookViewId="0"/>
  </sheetViews>
  <sheetFormatPr defaultColWidth="11.42578125" defaultRowHeight="15" x14ac:dyDescent="0.25"/>
  <sheetData>
    <row r="21" spans="2:2" x14ac:dyDescent="0.25">
      <c r="B21" t="s">
        <v>4</v>
      </c>
    </row>
    <row r="22" spans="2:2" x14ac:dyDescent="0.25">
      <c r="B22" t="s">
        <v>5</v>
      </c>
    </row>
    <row r="23" spans="2:2" x14ac:dyDescent="0.25">
      <c r="B23" t="s">
        <v>6</v>
      </c>
    </row>
    <row r="24" spans="2:2" x14ac:dyDescent="0.25">
      <c r="B24" t="s">
        <v>7</v>
      </c>
    </row>
    <row r="25" spans="2:2" x14ac:dyDescent="0.25">
      <c r="B25" t="s">
        <v>8</v>
      </c>
    </row>
    <row r="26" spans="2:2" x14ac:dyDescent="0.25">
      <c r="B26" t="s">
        <v>9</v>
      </c>
    </row>
    <row r="27" spans="2:2" x14ac:dyDescent="0.25">
      <c r="B27" t="s">
        <v>10</v>
      </c>
    </row>
    <row r="28" spans="2:2" x14ac:dyDescent="0.25">
      <c r="B28" t="s">
        <v>11</v>
      </c>
    </row>
    <row r="29" spans="2:2" x14ac:dyDescent="0.25">
      <c r="B29" t="s">
        <v>12</v>
      </c>
    </row>
    <row r="30" spans="2:2" x14ac:dyDescent="0.25">
      <c r="B30" t="s">
        <v>13</v>
      </c>
    </row>
    <row r="31" spans="2:2" x14ac:dyDescent="0.25">
      <c r="B31" t="s">
        <v>14</v>
      </c>
    </row>
    <row r="32" spans="2:2" x14ac:dyDescent="0.25">
      <c r="B32" t="s">
        <v>15</v>
      </c>
    </row>
    <row r="33" spans="2:2" x14ac:dyDescent="0.25">
      <c r="B33" t="s">
        <v>16</v>
      </c>
    </row>
    <row r="34" spans="2:2" x14ac:dyDescent="0.25">
      <c r="B34" t="s">
        <v>17</v>
      </c>
    </row>
    <row r="35" spans="2:2" x14ac:dyDescent="0.25">
      <c r="B35" t="s">
        <v>18</v>
      </c>
    </row>
    <row r="36" spans="2:2" x14ac:dyDescent="0.25">
      <c r="B36" t="s">
        <v>19</v>
      </c>
    </row>
    <row r="37" spans="2:2" x14ac:dyDescent="0.25">
      <c r="B37" t="s">
        <v>20</v>
      </c>
    </row>
    <row r="38" spans="2:2" x14ac:dyDescent="0.25">
      <c r="B38" t="s">
        <v>21</v>
      </c>
    </row>
    <row r="39" spans="2:2" x14ac:dyDescent="0.25">
      <c r="B39" t="s">
        <v>22</v>
      </c>
    </row>
    <row r="40" spans="2:2" x14ac:dyDescent="0.25">
      <c r="B40" t="s">
        <v>23</v>
      </c>
    </row>
    <row r="41" spans="2:2" x14ac:dyDescent="0.25">
      <c r="B41" t="s">
        <v>24</v>
      </c>
    </row>
    <row r="42" spans="2:2" x14ac:dyDescent="0.25">
      <c r="B42" t="s">
        <v>25</v>
      </c>
    </row>
    <row r="43" spans="2:2" x14ac:dyDescent="0.25">
      <c r="B43" t="s">
        <v>26</v>
      </c>
    </row>
    <row r="44" spans="2:2" x14ac:dyDescent="0.25">
      <c r="B44" t="s">
        <v>27</v>
      </c>
    </row>
    <row r="45" spans="2:2" x14ac:dyDescent="0.25">
      <c r="B45" t="s">
        <v>28</v>
      </c>
    </row>
    <row r="46" spans="2:2" x14ac:dyDescent="0.25">
      <c r="B46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1"/>
  <sheetViews>
    <sheetView workbookViewId="0"/>
  </sheetViews>
  <sheetFormatPr defaultColWidth="11.42578125" defaultRowHeight="15" x14ac:dyDescent="0.25"/>
  <sheetData>
    <row r="21" spans="3:3" x14ac:dyDescent="0.25">
      <c r="C21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1"/>
  <sheetViews>
    <sheetView workbookViewId="0"/>
  </sheetViews>
  <sheetFormatPr defaultColWidth="11.42578125" defaultRowHeight="15" x14ac:dyDescent="0.25"/>
  <sheetData>
    <row r="21" spans="4:4" x14ac:dyDescent="0.25">
      <c r="D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Feuil1</vt:lpstr>
      <vt:lpstr>Feuil2</vt:lpstr>
      <vt:lpstr>Feuil3</vt:lpstr>
      <vt:lpstr>{AR}01</vt:lpstr>
      <vt:lpstr>{AR}11</vt:lpstr>
      <vt:lpstr>{AR}21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2015-02-16T11:26:22Z</dcterms:created>
  <dcterms:modified xsi:type="dcterms:W3CDTF">2022-07-27T13:20:32Z</dcterms:modified>
</cp:coreProperties>
</file>