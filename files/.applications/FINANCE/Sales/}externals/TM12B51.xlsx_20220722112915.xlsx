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-1995" yWindow="-45" windowWidth="21840" windowHeight="10560" tabRatio="321"/>
  </bookViews>
  <sheets>
    <sheet name="Feuil1" sheetId="1" r:id="rId1"/>
  </sheets>
  <definedNames>
    <definedName name="TM1REBUILDOPTION">1</definedName>
    <definedName name="TM1RPTDATARNGARPT1" localSheetId="0">Feuil1!$27:$27</definedName>
    <definedName name="TM1RPTFMTIDCOL" localSheetId="0">Feuil1!$A$1:$A$8</definedName>
    <definedName name="TM1RPTFMTRNG" localSheetId="0">Feuil1!$B$1:$Q$8</definedName>
  </definedNames>
  <calcPr calcId="162913" calcMode="manual" concurrentCalc="0"/>
</workbook>
</file>

<file path=xl/calcChain.xml><?xml version="1.0" encoding="utf-8"?>
<calcChain xmlns="http://schemas.openxmlformats.org/spreadsheetml/2006/main">
  <c r="C19" i="1" l="1"/>
  <c r="B9" i="1"/>
  <c r="C21" i="1"/>
  <c r="I25" i="1"/>
  <c r="C22" i="1"/>
  <c r="C20" i="1"/>
  <c r="L25" i="1"/>
  <c r="O20" i="1"/>
  <c r="L20" i="1"/>
  <c r="F25" i="1"/>
  <c r="I20" i="1"/>
  <c r="C25" i="1"/>
  <c r="F20" i="1"/>
  <c r="B27" i="1"/>
  <c r="M27" i="1"/>
  <c r="L27" i="1"/>
  <c r="J27" i="1"/>
  <c r="G27" i="1"/>
  <c r="F27" i="1"/>
  <c r="I27" i="1"/>
  <c r="D27" i="1"/>
  <c r="C27" i="1"/>
  <c r="H17" i="1"/>
  <c r="S27" i="1"/>
  <c r="R27" i="1"/>
  <c r="A27" i="1"/>
  <c r="P27" i="1"/>
  <c r="H27" i="1"/>
  <c r="E27" i="1"/>
  <c r="Q27" i="1"/>
  <c r="N27" i="1"/>
  <c r="K27" i="1"/>
  <c r="A5" i="1"/>
  <c r="A4" i="1"/>
  <c r="A3" i="1"/>
  <c r="A2" i="1"/>
</calcChain>
</file>

<file path=xl/sharedStrings.xml><?xml version="1.0" encoding="utf-8"?>
<sst xmlns="http://schemas.openxmlformats.org/spreadsheetml/2006/main" count="29" uniqueCount="18">
  <si>
    <t>Origin_Company</t>
  </si>
  <si>
    <t>Customer_Supplier</t>
  </si>
  <si>
    <t>Month</t>
  </si>
  <si>
    <t>SALES</t>
  </si>
  <si>
    <t>D</t>
  </si>
  <si>
    <t>N</t>
  </si>
  <si>
    <t>[Begin Format Range]</t>
  </si>
  <si>
    <t>[End Format Range]</t>
  </si>
  <si>
    <t>QTY</t>
  </si>
  <si>
    <t>CORRECTION</t>
  </si>
  <si>
    <t>Allocation</t>
  </si>
  <si>
    <t>Product</t>
  </si>
  <si>
    <t>SALES %</t>
  </si>
  <si>
    <t>NEW QTY</t>
  </si>
  <si>
    <t>NS Correction</t>
  </si>
  <si>
    <t>QTY Correction</t>
  </si>
  <si>
    <t>Average price</t>
  </si>
  <si>
    <t>Sales-by-product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</si>
</sst>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9"/>
      <color indexed="9"/>
      <name val="Calibri"/>
      <family val="2"/>
      <scheme val="minor"/>
    </font>
    <font>
      <b/>
      <i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3" fontId="3" fillId="0" borderId="0" xfId="0" applyNumberFormat="1" applyFont="1"/>
    <xf numFmtId="0" fontId="0" fillId="0" borderId="0" xfId="0" applyFill="1"/>
    <xf numFmtId="0" fontId="0" fillId="2" borderId="0" xfId="0" applyFill="1" applyBorder="1"/>
    <xf numFmtId="0" fontId="1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4" borderId="1" xfId="0" applyFont="1" applyFill="1" applyBorder="1"/>
    <xf numFmtId="0" fontId="0" fillId="3" borderId="0" xfId="0" applyFill="1" applyBorder="1"/>
    <xf numFmtId="0" fontId="1" fillId="3" borderId="5" xfId="0" applyFont="1" applyFill="1" applyBorder="1" applyAlignment="1">
      <alignment horizontal="center"/>
    </xf>
    <xf numFmtId="3" fontId="3" fillId="4" borderId="0" xfId="0" applyNumberFormat="1" applyFont="1" applyFill="1" applyBorder="1"/>
    <xf numFmtId="3" fontId="3" fillId="5" borderId="0" xfId="0" applyNumberFormat="1" applyFont="1" applyFill="1" applyBorder="1"/>
    <xf numFmtId="3" fontId="0" fillId="0" borderId="0" xfId="0" applyNumberFormat="1"/>
    <xf numFmtId="3" fontId="0" fillId="2" borderId="0" xfId="0" applyNumberFormat="1" applyFill="1" applyBorder="1"/>
    <xf numFmtId="3" fontId="1" fillId="3" borderId="0" xfId="0" applyNumberFormat="1" applyFont="1" applyFill="1" applyBorder="1" applyAlignment="1">
      <alignment horizontal="center"/>
    </xf>
    <xf numFmtId="3" fontId="0" fillId="3" borderId="0" xfId="0" applyNumberFormat="1" applyFill="1" applyBorder="1"/>
    <xf numFmtId="3" fontId="1" fillId="3" borderId="7" xfId="0" applyNumberFormat="1" applyFont="1" applyFill="1" applyBorder="1" applyAlignment="1">
      <alignment horizontal="center"/>
    </xf>
    <xf numFmtId="3" fontId="3" fillId="6" borderId="0" xfId="0" applyNumberFormat="1" applyFont="1" applyFill="1" applyBorder="1"/>
    <xf numFmtId="0" fontId="5" fillId="3" borderId="0" xfId="0" applyFont="1" applyFill="1" applyBorder="1" applyAlignment="1">
      <alignment horizontal="center"/>
    </xf>
    <xf numFmtId="3" fontId="5" fillId="3" borderId="0" xfId="0" applyNumberFormat="1" applyFont="1" applyFill="1" applyBorder="1" applyAlignment="1">
      <alignment horizontal="center"/>
    </xf>
    <xf numFmtId="164" fontId="3" fillId="4" borderId="0" xfId="0" applyNumberFormat="1" applyFont="1" applyFill="1" applyBorder="1"/>
    <xf numFmtId="164" fontId="3" fillId="6" borderId="0" xfId="0" applyNumberFormat="1" applyFont="1" applyFill="1" applyBorder="1"/>
    <xf numFmtId="164" fontId="3" fillId="5" borderId="0" xfId="0" applyNumberFormat="1" applyFont="1" applyFill="1" applyBorder="1"/>
    <xf numFmtId="164" fontId="3" fillId="0" borderId="0" xfId="0" applyNumberFormat="1" applyFont="1"/>
    <xf numFmtId="0" fontId="0" fillId="7" borderId="1" xfId="0" applyFill="1" applyBorder="1"/>
    <xf numFmtId="0" fontId="0" fillId="8" borderId="1" xfId="0" applyFill="1" applyBorder="1"/>
    <xf numFmtId="164" fontId="3" fillId="4" borderId="12" xfId="0" applyNumberFormat="1" applyFont="1" applyFill="1" applyBorder="1"/>
    <xf numFmtId="164" fontId="3" fillId="6" borderId="12" xfId="0" applyNumberFormat="1" applyFont="1" applyFill="1" applyBorder="1"/>
    <xf numFmtId="164" fontId="3" fillId="5" borderId="12" xfId="0" applyNumberFormat="1" applyFont="1" applyFill="1" applyBorder="1"/>
    <xf numFmtId="164" fontId="3" fillId="0" borderId="12" xfId="0" applyNumberFormat="1" applyFont="1" applyBorder="1"/>
    <xf numFmtId="0" fontId="0" fillId="0" borderId="1" xfId="0" applyFill="1" applyBorder="1"/>
    <xf numFmtId="0" fontId="0" fillId="9" borderId="1" xfId="0" applyFill="1" applyBorder="1"/>
    <xf numFmtId="3" fontId="3" fillId="9" borderId="0" xfId="0" applyNumberFormat="1" applyFont="1" applyFill="1" applyBorder="1"/>
    <xf numFmtId="164" fontId="3" fillId="9" borderId="12" xfId="0" applyNumberFormat="1" applyFont="1" applyFill="1" applyBorder="1"/>
    <xf numFmtId="164" fontId="3" fillId="9" borderId="0" xfId="0" applyNumberFormat="1" applyFont="1" applyFill="1" applyBorder="1"/>
    <xf numFmtId="3" fontId="7" fillId="3" borderId="0" xfId="0" applyNumberFormat="1" applyFont="1" applyFill="1" applyBorder="1" applyAlignment="1">
      <alignment horizontal="center"/>
    </xf>
    <xf numFmtId="0" fontId="2" fillId="3" borderId="11" xfId="0" applyFont="1" applyFill="1" applyBorder="1" applyAlignment="1"/>
    <xf numFmtId="0" fontId="2" fillId="3" borderId="10" xfId="0" applyFont="1" applyFill="1" applyBorder="1" applyAlignment="1"/>
    <xf numFmtId="3" fontId="2" fillId="3" borderId="13" xfId="0" applyNumberFormat="1" applyFont="1" applyFill="1" applyBorder="1" applyAlignment="1">
      <alignment horizontal="center"/>
    </xf>
    <xf numFmtId="3" fontId="0" fillId="3" borderId="11" xfId="0" applyNumberFormat="1" applyFill="1" applyBorder="1"/>
    <xf numFmtId="0" fontId="0" fillId="0" borderId="0" xfId="0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3" fontId="2" fillId="3" borderId="11" xfId="0" applyNumberFormat="1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3" fontId="2" fillId="3" borderId="7" xfId="0" applyNumberFormat="1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3" fontId="2" fillId="3" borderId="6" xfId="0" applyNumberFormat="1" applyFont="1" applyFill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3" fontId="4" fillId="3" borderId="3" xfId="0" applyNumberFormat="1" applyFont="1" applyFill="1" applyBorder="1" applyAlignment="1">
      <alignment horizontal="center"/>
    </xf>
    <xf numFmtId="3" fontId="4" fillId="3" borderId="2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6801"/>
  <ax:ocxPr ax:name="_ExtentY" ax:value="10636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Britannic Bold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16</xdr:row>
          <xdr:rowOff>0</xdr:rowOff>
        </xdr:from>
        <xdr:to>
          <xdr:col>5</xdr:col>
          <xdr:colOff>0</xdr:colOff>
          <xdr:row>19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76200</xdr:colOff>
      <xdr:row>8</xdr:row>
      <xdr:rowOff>495300</xdr:rowOff>
    </xdr:from>
    <xdr:to>
      <xdr:col>19</xdr:col>
      <xdr:colOff>838200</xdr:colOff>
      <xdr:row>17</xdr:row>
      <xdr:rowOff>9525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390900"/>
          <a:ext cx="15659100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U27"/>
  <sheetViews>
    <sheetView showGridLines="0" tabSelected="1" zoomScaleNormal="100" workbookViewId="0">
      <pane xSplit="2" ySplit="26" topLeftCell="C27" activePane="bottomRight" state="frozen"/>
      <selection activeCell="B10" sqref="B10"/>
      <selection pane="topRight" activeCell="C10" sqref="C10"/>
      <selection pane="bottomLeft" activeCell="B30" sqref="B30"/>
      <selection pane="bottomRight" activeCell="D19" sqref="D19"/>
    </sheetView>
  </sheetViews>
  <sheetFormatPr defaultColWidth="0" defaultRowHeight="15" x14ac:dyDescent="0.25"/>
  <cols>
    <col min="1" max="1" width="6.85546875" hidden="1" customWidth="1"/>
    <col min="2" max="2" width="47.85546875" bestFit="1" customWidth="1"/>
    <col min="3" max="3" width="12.140625" customWidth="1"/>
    <col min="4" max="4" width="16.28515625" customWidth="1"/>
    <col min="5" max="5" width="9.140625" style="13" customWidth="1"/>
    <col min="6" max="6" width="12.140625" customWidth="1"/>
    <col min="7" max="7" width="16.28515625" customWidth="1"/>
    <col min="8" max="8" width="9.140625" style="13" customWidth="1"/>
    <col min="9" max="9" width="12.140625" customWidth="1"/>
    <col min="10" max="10" width="16.28515625" customWidth="1"/>
    <col min="11" max="11" width="9.140625" style="13" customWidth="1"/>
    <col min="12" max="12" width="12.140625" customWidth="1"/>
    <col min="13" max="13" width="16.28515625" customWidth="1"/>
    <col min="14" max="14" width="9.140625" style="13" customWidth="1"/>
    <col min="15" max="15" width="16.28515625" hidden="1" customWidth="1"/>
    <col min="16" max="16" width="12.140625" style="13" hidden="1" customWidth="1"/>
    <col min="17" max="17" width="9.7109375" hidden="1" customWidth="1"/>
    <col min="18" max="18" width="12.140625" style="13" customWidth="1"/>
    <col min="19" max="19" width="13.140625" style="13" customWidth="1"/>
    <col min="20" max="20" width="16" style="13" customWidth="1"/>
    <col min="21" max="21" width="0.28515625" customWidth="1"/>
    <col min="22" max="16384" width="11.42578125" hidden="1"/>
  </cols>
  <sheetData>
    <row r="1" spans="1:21" ht="14.25" hidden="1" customHeight="1" x14ac:dyDescent="0.25">
      <c r="A1" t="s">
        <v>6</v>
      </c>
    </row>
    <row r="2" spans="1:21" ht="15" hidden="1" customHeight="1" x14ac:dyDescent="0.25">
      <c r="A2">
        <f>0</f>
        <v>0</v>
      </c>
      <c r="B2" s="8"/>
      <c r="C2" s="11"/>
      <c r="D2" s="11"/>
      <c r="E2" s="27"/>
      <c r="F2" s="11"/>
      <c r="G2" s="11"/>
      <c r="H2" s="27"/>
      <c r="I2" s="11"/>
      <c r="J2" s="11"/>
      <c r="K2" s="27"/>
      <c r="L2" s="11"/>
      <c r="M2" s="11"/>
      <c r="N2" s="27"/>
      <c r="O2" s="11"/>
      <c r="P2" s="11"/>
      <c r="Q2" s="21"/>
      <c r="R2" s="11"/>
      <c r="S2" s="11"/>
      <c r="T2" s="11"/>
    </row>
    <row r="3" spans="1:21" s="2" customFormat="1" ht="16.5" hidden="1" customHeight="1" x14ac:dyDescent="0.25">
      <c r="A3">
        <f>1</f>
        <v>1</v>
      </c>
      <c r="B3" s="25"/>
      <c r="C3" s="18"/>
      <c r="D3" s="18"/>
      <c r="E3" s="28"/>
      <c r="F3" s="18"/>
      <c r="G3" s="18"/>
      <c r="H3" s="28"/>
      <c r="I3" s="18"/>
      <c r="J3" s="18"/>
      <c r="K3" s="28"/>
      <c r="L3" s="18"/>
      <c r="M3" s="18"/>
      <c r="N3" s="28"/>
      <c r="O3" s="18"/>
      <c r="P3" s="18"/>
      <c r="Q3" s="22"/>
      <c r="R3" s="18"/>
      <c r="S3" s="18"/>
      <c r="T3" s="18"/>
      <c r="U3"/>
    </row>
    <row r="4" spans="1:21" s="2" customFormat="1" ht="15" hidden="1" customHeight="1" x14ac:dyDescent="0.25">
      <c r="A4">
        <f>2</f>
        <v>2</v>
      </c>
      <c r="B4" s="26"/>
      <c r="C4" s="12"/>
      <c r="D4" s="12"/>
      <c r="E4" s="29"/>
      <c r="F4" s="12"/>
      <c r="G4" s="12"/>
      <c r="H4" s="29"/>
      <c r="I4" s="12"/>
      <c r="J4" s="12"/>
      <c r="K4" s="29"/>
      <c r="L4" s="12"/>
      <c r="M4" s="12"/>
      <c r="N4" s="29"/>
      <c r="O4" s="12"/>
      <c r="P4" s="12"/>
      <c r="Q4" s="23"/>
      <c r="R4" s="12"/>
      <c r="S4" s="12"/>
      <c r="T4" s="12"/>
      <c r="U4"/>
    </row>
    <row r="5" spans="1:21" s="2" customFormat="1" ht="15" hidden="1" customHeight="1" x14ac:dyDescent="0.25">
      <c r="A5">
        <f>3</f>
        <v>3</v>
      </c>
      <c r="B5" s="32"/>
      <c r="C5" s="33"/>
      <c r="D5" s="33"/>
      <c r="E5" s="34"/>
      <c r="F5" s="33"/>
      <c r="G5" s="33"/>
      <c r="H5" s="34"/>
      <c r="I5" s="33"/>
      <c r="J5" s="33"/>
      <c r="K5" s="34"/>
      <c r="L5" s="33"/>
      <c r="M5" s="33"/>
      <c r="N5" s="34"/>
      <c r="O5" s="33"/>
      <c r="P5" s="33"/>
      <c r="Q5" s="35"/>
      <c r="R5" s="33"/>
      <c r="S5" s="33"/>
      <c r="T5" s="33"/>
      <c r="U5"/>
    </row>
    <row r="6" spans="1:21" s="2" customFormat="1" ht="16.5" hidden="1" customHeight="1" x14ac:dyDescent="0.25">
      <c r="A6" t="s">
        <v>4</v>
      </c>
      <c r="B6" s="26"/>
      <c r="C6" s="12"/>
      <c r="D6" s="12"/>
      <c r="E6" s="29"/>
      <c r="F6" s="12"/>
      <c r="G6" s="12"/>
      <c r="H6" s="29"/>
      <c r="I6" s="12"/>
      <c r="J6" s="12"/>
      <c r="K6" s="29"/>
      <c r="L6" s="12"/>
      <c r="M6" s="12"/>
      <c r="N6" s="29"/>
      <c r="O6" s="12"/>
      <c r="P6" s="12"/>
      <c r="Q6" s="23"/>
      <c r="R6" s="12"/>
      <c r="S6" s="12"/>
      <c r="T6" s="12"/>
      <c r="U6"/>
    </row>
    <row r="7" spans="1:21" ht="18" hidden="1" customHeight="1" x14ac:dyDescent="0.25">
      <c r="A7" t="s">
        <v>5</v>
      </c>
      <c r="B7" s="31"/>
      <c r="C7" s="1"/>
      <c r="D7" s="1"/>
      <c r="E7" s="30"/>
      <c r="F7" s="1"/>
      <c r="G7" s="1"/>
      <c r="H7" s="30"/>
      <c r="I7" s="1"/>
      <c r="J7" s="1"/>
      <c r="K7" s="30"/>
      <c r="L7" s="1"/>
      <c r="M7" s="1"/>
      <c r="N7" s="30"/>
      <c r="O7" s="1"/>
      <c r="P7" s="1"/>
      <c r="Q7" s="24"/>
      <c r="R7" s="1"/>
      <c r="S7" s="1"/>
      <c r="T7" s="1"/>
    </row>
    <row r="8" spans="1:21" ht="20.25" hidden="1" customHeight="1" x14ac:dyDescent="0.25">
      <c r="A8" t="s">
        <v>7</v>
      </c>
    </row>
    <row r="9" spans="1:21" ht="25.5" hidden="1" customHeight="1" x14ac:dyDescent="0.25">
      <c r="B9" t="str">
        <f ca="1">_xll.TM1RPTVIEW("CXMD:FTM_DATA_MARGIN:ARPT1", 1, _xll.TM1RPTTITLE("CXMD:Month",$C$21), _xll.TM1RPTTITLE("CXMD:DIM_Origin_Company",$C$19), _xll.TM1RPTTITLE("CXMD:DIM_Allocation",$C$22), _xll.TM1RPTTITLE("CXMD:DIM_Customer_Supplier",$C$20),TM1RPTFMTRNG,TM1RPTFMTIDCOL)</f>
        <v>CXMD:FTM_DATA_MARGIN:ARPT1</v>
      </c>
    </row>
    <row r="10" spans="1:21" x14ac:dyDescent="0.25">
      <c r="A10" s="3"/>
      <c r="B10" s="3"/>
      <c r="C10" s="3"/>
      <c r="D10" s="3"/>
      <c r="E10" s="14"/>
      <c r="F10" s="3"/>
      <c r="G10" s="3"/>
      <c r="H10" s="14"/>
      <c r="I10" s="3"/>
      <c r="J10" s="3"/>
      <c r="K10" s="14"/>
      <c r="L10" s="3"/>
      <c r="M10" s="3"/>
      <c r="N10" s="14"/>
      <c r="O10" s="3"/>
      <c r="P10" s="14"/>
      <c r="Q10" s="3"/>
      <c r="R10" s="14"/>
      <c r="S10" s="14"/>
      <c r="T10" s="14"/>
    </row>
    <row r="11" spans="1:21" x14ac:dyDescent="0.25">
      <c r="A11" s="3"/>
      <c r="B11" s="3"/>
      <c r="C11" s="3"/>
      <c r="D11" s="3"/>
      <c r="E11" s="14"/>
      <c r="F11" s="3"/>
      <c r="G11" s="3"/>
      <c r="H11" s="14"/>
      <c r="I11" s="3"/>
      <c r="J11" s="3"/>
      <c r="K11" s="14"/>
      <c r="L11" s="3"/>
      <c r="M11" s="3"/>
      <c r="N11" s="14"/>
      <c r="O11" s="3"/>
      <c r="P11" s="14"/>
      <c r="Q11" s="3"/>
      <c r="R11" s="14"/>
      <c r="S11" s="14"/>
      <c r="T11" s="14"/>
    </row>
    <row r="12" spans="1:21" x14ac:dyDescent="0.25">
      <c r="A12" s="3"/>
      <c r="B12" s="3"/>
      <c r="C12" s="3"/>
      <c r="D12" s="3"/>
      <c r="E12" s="14"/>
      <c r="F12" s="3"/>
      <c r="G12" s="3"/>
      <c r="H12" s="14"/>
      <c r="I12" s="3"/>
      <c r="J12" s="3"/>
      <c r="K12" s="14"/>
      <c r="L12" s="3"/>
      <c r="M12" s="3"/>
      <c r="N12" s="14"/>
      <c r="O12" s="3"/>
      <c r="P12" s="14"/>
      <c r="Q12" s="3"/>
      <c r="R12" s="14"/>
      <c r="S12" s="14"/>
      <c r="T12" s="14"/>
    </row>
    <row r="13" spans="1:21" x14ac:dyDescent="0.25">
      <c r="A13" s="3"/>
      <c r="B13" s="3"/>
      <c r="C13" s="3"/>
      <c r="D13" s="3"/>
      <c r="E13" s="14"/>
      <c r="F13" s="3"/>
      <c r="G13" s="3"/>
      <c r="H13" s="14"/>
      <c r="I13" s="3"/>
      <c r="J13" s="3"/>
      <c r="K13" s="14"/>
      <c r="L13" s="3"/>
      <c r="M13" s="3"/>
      <c r="N13" s="14"/>
      <c r="O13" s="3"/>
      <c r="P13" s="14"/>
      <c r="Q13" s="3"/>
      <c r="R13" s="14"/>
      <c r="S13" s="14"/>
      <c r="T13" s="14"/>
    </row>
    <row r="14" spans="1:21" x14ac:dyDescent="0.25">
      <c r="A14" s="3"/>
      <c r="B14" s="3"/>
      <c r="C14" s="3"/>
      <c r="D14" s="3"/>
      <c r="E14" s="14"/>
      <c r="F14" s="3"/>
      <c r="G14" s="3"/>
      <c r="H14" s="14"/>
      <c r="I14" s="3"/>
      <c r="J14" s="3"/>
      <c r="K14" s="14"/>
      <c r="L14" s="3"/>
      <c r="M14" s="3"/>
      <c r="N14" s="14"/>
      <c r="O14" s="3"/>
      <c r="P14" s="14"/>
      <c r="Q14" s="3"/>
      <c r="R14" s="14"/>
      <c r="S14" s="14"/>
      <c r="T14" s="14"/>
    </row>
    <row r="15" spans="1:21" x14ac:dyDescent="0.25">
      <c r="A15" s="3"/>
      <c r="B15" s="3"/>
      <c r="C15" s="3"/>
      <c r="D15" s="3"/>
      <c r="E15" s="14"/>
      <c r="F15" s="3"/>
      <c r="G15" s="3"/>
      <c r="H15" s="14"/>
      <c r="I15" s="3"/>
      <c r="J15" s="3"/>
      <c r="K15" s="14"/>
      <c r="L15" s="3"/>
      <c r="M15" s="3"/>
      <c r="N15" s="14"/>
      <c r="O15" s="3"/>
      <c r="P15" s="14"/>
      <c r="Q15" s="3"/>
      <c r="R15" s="14"/>
      <c r="S15" s="14"/>
      <c r="T15" s="14"/>
    </row>
    <row r="16" spans="1:21" x14ac:dyDescent="0.25">
      <c r="A16" s="3"/>
      <c r="B16" s="3"/>
      <c r="C16" s="3"/>
      <c r="D16" s="3"/>
      <c r="E16" s="14"/>
      <c r="F16" s="3"/>
      <c r="G16" s="3"/>
      <c r="H16" s="14"/>
      <c r="I16" s="3"/>
      <c r="J16" s="3"/>
      <c r="K16" s="14"/>
      <c r="L16" s="3"/>
      <c r="M16" s="3"/>
      <c r="N16" s="14"/>
      <c r="O16" s="3"/>
      <c r="P16" s="14"/>
      <c r="Q16" s="3"/>
      <c r="R16" s="14"/>
      <c r="S16" s="14"/>
      <c r="T16" s="14"/>
    </row>
    <row r="17" spans="1:20" hidden="1" x14ac:dyDescent="0.25">
      <c r="B17" s="10"/>
      <c r="C17" s="5"/>
      <c r="D17" s="4"/>
      <c r="E17" s="15"/>
      <c r="F17" s="19"/>
      <c r="G17" s="19"/>
      <c r="H17" s="4" t="str">
        <f ca="1">CONCATENATE(_xll.DBRA("CXMD:DIM_Origin_Company",C19,"Origin Company"),"_SALES")</f>
        <v>Y_SALES</v>
      </c>
      <c r="I17" s="19"/>
      <c r="J17" s="19"/>
      <c r="K17" s="20"/>
      <c r="L17" s="19"/>
      <c r="M17" s="19"/>
      <c r="N17" s="20"/>
      <c r="O17" s="19"/>
      <c r="P17" s="15"/>
      <c r="Q17" s="4"/>
      <c r="R17" s="15"/>
      <c r="S17" s="15"/>
      <c r="T17" s="15"/>
    </row>
    <row r="18" spans="1:20" x14ac:dyDescent="0.25">
      <c r="B18" s="10"/>
      <c r="C18" s="5"/>
      <c r="D18" s="4"/>
      <c r="E18" s="15"/>
      <c r="F18" s="19"/>
      <c r="G18" s="19"/>
      <c r="H18" s="20"/>
      <c r="I18" s="19"/>
      <c r="J18" s="19"/>
      <c r="K18" s="20"/>
      <c r="L18" s="19"/>
      <c r="M18" s="19"/>
      <c r="N18" s="20"/>
      <c r="O18" s="19"/>
      <c r="P18" s="15"/>
      <c r="Q18" s="4"/>
      <c r="R18" s="15"/>
      <c r="S18" s="15"/>
      <c r="T18" s="15"/>
    </row>
    <row r="19" spans="1:20" ht="18.75" x14ac:dyDescent="0.3">
      <c r="B19" s="10" t="s">
        <v>0</v>
      </c>
      <c r="C19" s="5" t="str">
        <f ca="1">_xll.SUBNM("CXMD:DIM_Origin_Company","","Y","Name EN")</f>
        <v>SILVA</v>
      </c>
      <c r="D19" s="4"/>
      <c r="E19" s="15"/>
      <c r="F19" s="19"/>
      <c r="G19" s="19"/>
      <c r="H19" s="36"/>
      <c r="I19" s="36" t="s">
        <v>17</v>
      </c>
      <c r="J19" s="19"/>
      <c r="K19" s="20"/>
      <c r="L19" s="19"/>
      <c r="M19" s="19"/>
      <c r="N19" s="20"/>
      <c r="O19" s="19"/>
      <c r="P19" s="15"/>
      <c r="Q19" s="4"/>
      <c r="R19" s="15"/>
      <c r="S19" s="15"/>
      <c r="T19" s="15"/>
    </row>
    <row r="20" spans="1:20" hidden="1" x14ac:dyDescent="0.25">
      <c r="B20" s="10" t="s">
        <v>1</v>
      </c>
      <c r="C20" s="5" t="str">
        <f ca="1">_xll.SUBNM("CXMD:Customer_Supplier","Par défaut","Total_Customer_Supplier","Code-Name")</f>
        <v>Total_Customer_Supplier</v>
      </c>
      <c r="D20" s="4"/>
      <c r="E20" s="15"/>
      <c r="F20" s="19">
        <f ca="1">_xll.DBR($B$9,$C$21,C$25,$C$19,$C$22,$C$20,"TOTAL PRODUCT",D$26)</f>
        <v>0</v>
      </c>
      <c r="G20" s="19"/>
      <c r="H20" s="20"/>
      <c r="I20" s="19">
        <f ca="1">_xll.DBR($B$9,$C$21,F$25,$C$19,$C$22,$C$20,"TOTAL PRODUCT",G$26)</f>
        <v>0</v>
      </c>
      <c r="J20" s="19"/>
      <c r="K20" s="20"/>
      <c r="L20" s="19">
        <f ca="1">_xll.DBR($B$9,$C$21,I$25,$C$19,$C$22,$C$20,"TOTAL PRODUCT",J$26)</f>
        <v>0</v>
      </c>
      <c r="M20" s="19"/>
      <c r="N20" s="20"/>
      <c r="O20" s="19">
        <f ca="1">_xll.DBR($B$9,$C$21,L$25,$C$19,$C$22,$C$20,"TOTAL PRODUCT",M$26)</f>
        <v>0</v>
      </c>
      <c r="P20" s="15"/>
      <c r="Q20" s="4"/>
      <c r="R20" s="15"/>
      <c r="S20" s="15"/>
      <c r="T20" s="15"/>
    </row>
    <row r="21" spans="1:20" hidden="1" x14ac:dyDescent="0.25">
      <c r="B21" s="10" t="s">
        <v>2</v>
      </c>
      <c r="C21" s="5" t="str">
        <f ca="1">_xll.SUBNM("CXMD:Month","","Total_Month")</f>
        <v>Total_Month</v>
      </c>
      <c r="D21" s="4"/>
      <c r="E21" s="15"/>
      <c r="F21" s="4"/>
      <c r="G21" s="4"/>
      <c r="H21" s="15"/>
      <c r="I21" s="4"/>
      <c r="J21" s="4"/>
      <c r="K21" s="15"/>
      <c r="L21" s="4"/>
      <c r="M21" s="4"/>
      <c r="N21" s="15"/>
      <c r="O21" s="4"/>
      <c r="P21" s="15"/>
      <c r="Q21" s="4"/>
      <c r="R21" s="15"/>
      <c r="S21" s="15"/>
      <c r="T21" s="15"/>
    </row>
    <row r="22" spans="1:20" hidden="1" x14ac:dyDescent="0.25">
      <c r="B22" s="10" t="s">
        <v>10</v>
      </c>
      <c r="C22" s="5" t="str">
        <f ca="1">_xll.SUBNM("CXMD:Allocation","Par défaut","Total Allocation","Allocation EN")</f>
        <v>Total Allocation</v>
      </c>
      <c r="D22" s="9"/>
      <c r="E22" s="16"/>
      <c r="F22" s="9"/>
      <c r="G22" s="9"/>
      <c r="H22" s="16"/>
      <c r="I22" s="9"/>
      <c r="J22" s="9"/>
      <c r="K22" s="16"/>
      <c r="L22" s="9"/>
      <c r="M22" s="9"/>
      <c r="N22" s="16"/>
      <c r="O22" s="9"/>
      <c r="P22" s="16"/>
      <c r="Q22" s="9"/>
      <c r="R22" s="16"/>
      <c r="S22" s="16"/>
      <c r="T22" s="16"/>
    </row>
    <row r="23" spans="1:20" x14ac:dyDescent="0.25">
      <c r="B23" s="6"/>
      <c r="C23" s="7"/>
      <c r="D23" s="7"/>
      <c r="E23" s="17"/>
      <c r="F23" s="7"/>
      <c r="G23" s="7"/>
      <c r="H23" s="17"/>
      <c r="I23" s="7"/>
      <c r="J23" s="7"/>
      <c r="K23" s="17"/>
      <c r="L23" s="7"/>
      <c r="M23" s="7"/>
      <c r="N23" s="17"/>
      <c r="O23" s="7"/>
      <c r="P23" s="17"/>
      <c r="Q23" s="7"/>
      <c r="R23" s="15"/>
      <c r="S23" s="15"/>
      <c r="T23" s="15"/>
    </row>
    <row r="24" spans="1:20" x14ac:dyDescent="0.25">
      <c r="B24" s="9"/>
      <c r="C24" s="9"/>
      <c r="D24" s="9"/>
      <c r="E24" s="16"/>
      <c r="F24" s="9"/>
      <c r="G24" s="9"/>
      <c r="H24" s="16"/>
      <c r="I24" s="9"/>
      <c r="J24" s="9"/>
      <c r="K24" s="16"/>
      <c r="L24" s="9"/>
      <c r="M24" s="9"/>
      <c r="N24" s="16"/>
      <c r="O24" s="9"/>
      <c r="P24" s="16"/>
      <c r="Q24" s="9"/>
      <c r="R24" s="40"/>
      <c r="S24" s="40"/>
      <c r="T24" s="40"/>
    </row>
    <row r="25" spans="1:20" x14ac:dyDescent="0.25">
      <c r="B25" s="9"/>
      <c r="C25" s="54" t="str">
        <f ca="1">_xll.SUBNM("CXMD:Actuality","","AC2022","Description EN")</f>
        <v>AC2022</v>
      </c>
      <c r="D25" s="55"/>
      <c r="E25" s="56"/>
      <c r="F25" s="54" t="str">
        <f ca="1">_xll.SUBNM("CXMD:Actuality","Actuality","BU2015draft","Description EN")</f>
        <v>BU2015draft</v>
      </c>
      <c r="G25" s="55"/>
      <c r="H25" s="56"/>
      <c r="I25" s="54" t="str">
        <f ca="1">_xll.SUBNM("CXMD:Actuality","Actuality","Ambition_2020BUDprop","Description EN")</f>
        <v>Ambition_2020BUDprop</v>
      </c>
      <c r="J25" s="55"/>
      <c r="K25" s="56"/>
      <c r="L25" s="54" t="str">
        <f ca="1">_xll.SUBNM("CXMD:Actuality","Actuality","WK5","Description EN")</f>
        <v>WK5 - 2025</v>
      </c>
      <c r="M25" s="55"/>
      <c r="N25" s="55"/>
      <c r="O25" s="37"/>
      <c r="P25" s="37"/>
      <c r="Q25" s="38"/>
      <c r="R25" s="57" t="s">
        <v>9</v>
      </c>
      <c r="S25" s="58"/>
      <c r="T25" s="39" t="s">
        <v>16</v>
      </c>
    </row>
    <row r="26" spans="1:20" s="41" customFormat="1" ht="31.5" customHeight="1" x14ac:dyDescent="0.25">
      <c r="B26" s="42" t="s">
        <v>11</v>
      </c>
      <c r="C26" s="43" t="s">
        <v>8</v>
      </c>
      <c r="D26" s="44" t="s">
        <v>3</v>
      </c>
      <c r="E26" s="45" t="s">
        <v>12</v>
      </c>
      <c r="F26" s="43" t="s">
        <v>8</v>
      </c>
      <c r="G26" s="44" t="s">
        <v>3</v>
      </c>
      <c r="H26" s="46" t="s">
        <v>12</v>
      </c>
      <c r="I26" s="43" t="s">
        <v>8</v>
      </c>
      <c r="J26" s="44" t="s">
        <v>3</v>
      </c>
      <c r="K26" s="45" t="s">
        <v>12</v>
      </c>
      <c r="L26" s="47" t="s">
        <v>8</v>
      </c>
      <c r="M26" s="48" t="s">
        <v>3</v>
      </c>
      <c r="N26" s="49" t="s">
        <v>12</v>
      </c>
      <c r="O26" s="48" t="s">
        <v>9</v>
      </c>
      <c r="P26" s="50" t="s">
        <v>13</v>
      </c>
      <c r="Q26" s="51" t="s">
        <v>12</v>
      </c>
      <c r="R26" s="52" t="s">
        <v>15</v>
      </c>
      <c r="S26" s="48" t="s">
        <v>14</v>
      </c>
      <c r="T26" s="53"/>
    </row>
    <row r="27" spans="1:20" x14ac:dyDescent="0.25">
      <c r="A27" t="str">
        <f ca="1">IF(_xll.TM1RPTELISCONSOLIDATED($B$27,$B27),IF(_xll.TM1RPTELLEV($B$27,$B27)&lt;=3,_xll.TM1RPTELLEV($B$27,$B27),"D"),"N")</f>
        <v>N</v>
      </c>
      <c r="B27" s="59" t="str">
        <f ca="1">_xll.TM1RPTROW($B$9,"CXMD:DIM_Configuration","Par défaut",,"Description EN")</f>
        <v/>
      </c>
      <c r="C27" s="11" t="str">
        <f ca="1">_xll.DBRW($B$9,$C$21,C$25,$C$19,$C$22,$C$20,$B27,C$26)</f>
        <v/>
      </c>
      <c r="D27" s="11" t="str">
        <f ca="1">_xll.DBRW($B$9,$C$21,C$25,$C$19,$C$22,$C$20,$B27,D$26)</f>
        <v/>
      </c>
      <c r="E27" s="27">
        <f ca="1">IF($F$20=0,0,D27/$F$20)</f>
        <v>0</v>
      </c>
      <c r="F27" s="11" t="str">
        <f ca="1">_xll.DBRW($B$9,$C$21,$F$25,$C$19,$C$22,$C$20,$B27,F$26)</f>
        <v/>
      </c>
      <c r="G27" s="11" t="str">
        <f ca="1">_xll.DBRW($B$9,$C$21,$F$25,$C$19,$C$22,$C$20,$B27,G$26)</f>
        <v/>
      </c>
      <c r="H27" s="27">
        <f ca="1">IF($I$20=0,0,G27/$I$20)</f>
        <v>0</v>
      </c>
      <c r="I27" s="11" t="str">
        <f ca="1">_xll.DBRW($B$9,$C$21,$I$25,$C$19,$C$22,$C$20,$B27,I$26)</f>
        <v/>
      </c>
      <c r="J27" s="11" t="str">
        <f ca="1">_xll.DBRW($B$9,$C$21,$I$25,$C$19,$C$22,$C$20,$B27,J$26)</f>
        <v/>
      </c>
      <c r="K27" s="27">
        <f ca="1">IF($L$20=0,0,J27/$L$20)</f>
        <v>0</v>
      </c>
      <c r="L27" s="11" t="str">
        <f ca="1">_xll.DBRW($B$9,$C$21,$L$25,$C$19,$C$22,$C$20,$B27,L$26)</f>
        <v/>
      </c>
      <c r="M27" s="11" t="str">
        <f ca="1">_xll.DBRW($B$9,$C$21,$L$25,$C$19,$C$22,$C$20,$B27,M$26)</f>
        <v/>
      </c>
      <c r="N27" s="27">
        <f ca="1">IF($O$20=0,0,M27/$O$20)</f>
        <v>0</v>
      </c>
      <c r="O27" s="11">
        <v>0</v>
      </c>
      <c r="P27" s="11" t="e">
        <f ca="1">IF(L27=0,0,O27/(M27/L27))</f>
        <v>#VALUE!</v>
      </c>
      <c r="Q27" s="21" t="e">
        <f ca="1">O27/$O$20</f>
        <v>#DIV/0!</v>
      </c>
      <c r="R27" s="11" t="e">
        <f ca="1">IF(S27&lt;&gt;0,L27,0)</f>
        <v>#VALUE!</v>
      </c>
      <c r="S27" s="11" t="e">
        <f ca="1">IF(J27=0,0,(IF(ABS(M27/J27-1)&gt;10%,M27,0)))</f>
        <v>#VALUE!</v>
      </c>
      <c r="T27" s="11"/>
    </row>
  </sheetData>
  <mergeCells count="5">
    <mergeCell ref="C25:E25"/>
    <mergeCell ref="F25:H25"/>
    <mergeCell ref="I25:K25"/>
    <mergeCell ref="R25:S25"/>
    <mergeCell ref="L25:N25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 sizeWithCells="1">
              <from>
                <xdr:col>4</xdr:col>
                <xdr:colOff>0</xdr:colOff>
                <xdr:row>16</xdr:row>
                <xdr:rowOff>0</xdr:rowOff>
              </from>
              <to>
                <xdr:col>5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Feuil1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dcterms:created xsi:type="dcterms:W3CDTF">2014-10-20T11:52:49Z</dcterms:created>
  <dcterms:modified xsi:type="dcterms:W3CDTF">2022-07-22T11:29:07Z</dcterms:modified>
</cp:coreProperties>
</file>