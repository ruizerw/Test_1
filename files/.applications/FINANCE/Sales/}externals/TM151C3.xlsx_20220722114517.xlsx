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-1995" yWindow="-45" windowWidth="21840" windowHeight="8730" tabRatio="321"/>
  </bookViews>
  <sheets>
    <sheet name="Report" sheetId="1" r:id="rId1"/>
    <sheet name="Graph" sheetId="2" state="hidden" r:id="rId2"/>
  </sheets>
  <definedNames>
    <definedName name="TM1REBUILDOPTION">1</definedName>
    <definedName name="TM1RPTDATARNGARPT1" localSheetId="0">Report!$29:$29</definedName>
    <definedName name="TM1RPTFMTIDCOL" localSheetId="0">Report!$A$1:$A$8</definedName>
    <definedName name="TM1RPTFMTRNG" localSheetId="0">Report!$B$1:$W$8</definedName>
  </definedNames>
  <calcPr calcId="162913" calcMode="manual" concurrentCalc="0"/>
</workbook>
</file>

<file path=xl/calcChain.xml><?xml version="1.0" encoding="utf-8"?>
<calcChain xmlns="http://schemas.openxmlformats.org/spreadsheetml/2006/main">
  <c r="C27" i="1" l="1"/>
  <c r="C21" i="1"/>
  <c r="B9" i="1"/>
  <c r="C23" i="1"/>
  <c r="U27" i="1"/>
  <c r="C24" i="1"/>
  <c r="C22" i="1"/>
  <c r="R27" i="1"/>
  <c r="C17" i="1"/>
  <c r="C18" i="1"/>
  <c r="L27" i="1"/>
  <c r="O22" i="1"/>
  <c r="I27" i="1"/>
  <c r="F27" i="1"/>
  <c r="B29" i="1"/>
  <c r="V29" i="1"/>
  <c r="U29" i="1"/>
  <c r="S29" i="1"/>
  <c r="R29" i="1"/>
  <c r="M29" i="1"/>
  <c r="L29" i="1"/>
  <c r="J29" i="1"/>
  <c r="I29" i="1"/>
  <c r="G29" i="1"/>
  <c r="F29" i="1"/>
  <c r="D29" i="1"/>
  <c r="C29" i="1"/>
  <c r="A5" i="2"/>
  <c r="G5" i="2"/>
  <c r="F5" i="2"/>
  <c r="D5" i="2"/>
  <c r="E5" i="2"/>
  <c r="C5" i="2"/>
  <c r="B5" i="2"/>
  <c r="W29" i="1"/>
  <c r="G6" i="2"/>
  <c r="G7" i="2"/>
  <c r="G8" i="2"/>
  <c r="G9" i="2"/>
  <c r="G10" i="2"/>
  <c r="G11" i="2"/>
  <c r="G12" i="2"/>
  <c r="G13" i="2"/>
  <c r="E29" i="1"/>
  <c r="H29" i="1"/>
  <c r="K29" i="1"/>
  <c r="N29" i="1"/>
  <c r="P29" i="1"/>
  <c r="Q29" i="1"/>
  <c r="T29" i="1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F4" i="2"/>
  <c r="G4" i="2"/>
  <c r="C4" i="2"/>
  <c r="D4" i="2"/>
  <c r="E4" i="2"/>
  <c r="B4" i="2"/>
  <c r="L22" i="1"/>
  <c r="I22" i="1"/>
  <c r="H19" i="1"/>
  <c r="F22" i="1"/>
  <c r="A29" i="1"/>
  <c r="A5" i="1"/>
  <c r="A4" i="1"/>
  <c r="A3" i="1"/>
  <c r="A2" i="1"/>
</calcChain>
</file>

<file path=xl/sharedStrings.xml><?xml version="1.0" encoding="utf-8"?>
<sst xmlns="http://schemas.openxmlformats.org/spreadsheetml/2006/main" count="34" uniqueCount="19">
  <si>
    <t>Current_Year</t>
  </si>
  <si>
    <t>Current_Month</t>
  </si>
  <si>
    <t>Origin_Company</t>
  </si>
  <si>
    <t>Customer_Supplier</t>
  </si>
  <si>
    <t>Month</t>
  </si>
  <si>
    <t>SALES</t>
  </si>
  <si>
    <t>D</t>
  </si>
  <si>
    <t>N</t>
  </si>
  <si>
    <t>[Begin Format Range]</t>
  </si>
  <si>
    <t>[End Format Range]</t>
  </si>
  <si>
    <t>QTY</t>
  </si>
  <si>
    <t>CORRECTION</t>
  </si>
  <si>
    <t>Allocation</t>
  </si>
  <si>
    <t>Product</t>
  </si>
  <si>
    <t>SALES %</t>
  </si>
  <si>
    <t>NEW QTY</t>
  </si>
  <si>
    <t>Sales-by-product</t>
  </si>
  <si>
    <t>Unit price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</si>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</sst>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i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3" fontId="3" fillId="0" borderId="0" xfId="0" applyNumberFormat="1" applyFont="1"/>
    <xf numFmtId="0" fontId="0" fillId="0" borderId="0" xfId="0" applyFill="1"/>
    <xf numFmtId="0" fontId="0" fillId="2" borderId="0" xfId="0" applyFill="1" applyBorder="1"/>
    <xf numFmtId="0" fontId="4" fillId="3" borderId="2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1" xfId="0" applyFont="1" applyFill="1" applyBorder="1"/>
    <xf numFmtId="0" fontId="0" fillId="3" borderId="0" xfId="0" applyFill="1" applyBorder="1"/>
    <xf numFmtId="0" fontId="1" fillId="3" borderId="5" xfId="0" applyFont="1" applyFill="1" applyBorder="1" applyAlignment="1">
      <alignment horizontal="center"/>
    </xf>
    <xf numFmtId="3" fontId="3" fillId="4" borderId="0" xfId="0" applyNumberFormat="1" applyFont="1" applyFill="1" applyBorder="1"/>
    <xf numFmtId="3" fontId="3" fillId="5" borderId="0" xfId="0" applyNumberFormat="1" applyFont="1" applyFill="1" applyBorder="1"/>
    <xf numFmtId="3" fontId="0" fillId="0" borderId="0" xfId="0" applyNumberFormat="1"/>
    <xf numFmtId="3" fontId="0" fillId="2" borderId="0" xfId="0" applyNumberFormat="1" applyFill="1" applyBorder="1"/>
    <xf numFmtId="3" fontId="1" fillId="3" borderId="2" xfId="0" applyNumberFormat="1" applyFont="1" applyFill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3" fontId="0" fillId="3" borderId="0" xfId="0" applyNumberFormat="1" applyFill="1" applyBorder="1"/>
    <xf numFmtId="3" fontId="1" fillId="3" borderId="7" xfId="0" applyNumberFormat="1" applyFont="1" applyFill="1" applyBorder="1" applyAlignment="1">
      <alignment horizontal="center"/>
    </xf>
    <xf numFmtId="3" fontId="3" fillId="6" borderId="0" xfId="0" applyNumberFormat="1" applyFont="1" applyFill="1" applyBorder="1"/>
    <xf numFmtId="0" fontId="5" fillId="3" borderId="0" xfId="0" applyFont="1" applyFill="1" applyBorder="1" applyAlignment="1">
      <alignment horizontal="center"/>
    </xf>
    <xf numFmtId="3" fontId="5" fillId="3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/>
    <xf numFmtId="164" fontId="3" fillId="6" borderId="0" xfId="0" applyNumberFormat="1" applyFont="1" applyFill="1" applyBorder="1"/>
    <xf numFmtId="164" fontId="3" fillId="5" borderId="0" xfId="0" applyNumberFormat="1" applyFont="1" applyFill="1" applyBorder="1"/>
    <xf numFmtId="164" fontId="3" fillId="0" borderId="0" xfId="0" applyNumberFormat="1" applyFont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9" borderId="1" xfId="0" applyFill="1" applyBorder="1"/>
    <xf numFmtId="3" fontId="3" fillId="9" borderId="0" xfId="0" applyNumberFormat="1" applyFont="1" applyFill="1" applyBorder="1"/>
    <xf numFmtId="164" fontId="3" fillId="9" borderId="0" xfId="0" applyNumberFormat="1" applyFont="1" applyFill="1" applyBorder="1"/>
    <xf numFmtId="3" fontId="7" fillId="3" borderId="0" xfId="0" applyNumberFormat="1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3" borderId="10" xfId="0" applyFont="1" applyFill="1" applyBorder="1" applyAlignment="1"/>
    <xf numFmtId="3" fontId="0" fillId="3" borderId="11" xfId="0" applyNumberFormat="1" applyFill="1" applyBorder="1"/>
    <xf numFmtId="0" fontId="0" fillId="0" borderId="0" xfId="0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3" fontId="3" fillId="4" borderId="12" xfId="0" applyNumberFormat="1" applyFont="1" applyFill="1" applyBorder="1"/>
    <xf numFmtId="3" fontId="3" fillId="6" borderId="12" xfId="0" applyNumberFormat="1" applyFont="1" applyFill="1" applyBorder="1"/>
    <xf numFmtId="3" fontId="3" fillId="5" borderId="12" xfId="0" applyNumberFormat="1" applyFont="1" applyFill="1" applyBorder="1"/>
    <xf numFmtId="3" fontId="3" fillId="9" borderId="12" xfId="0" applyNumberFormat="1" applyFont="1" applyFill="1" applyBorder="1"/>
    <xf numFmtId="2" fontId="0" fillId="3" borderId="11" xfId="0" applyNumberFormat="1" applyFill="1" applyBorder="1"/>
    <xf numFmtId="3" fontId="3" fillId="0" borderId="12" xfId="0" applyNumberFormat="1" applyFont="1" applyBorder="1"/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5" fontId="1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033"/>
  <ax:ocxPr ax:name="_ExtentY" ax:value="156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Graph!$A$5</c:f>
              <c:strCache>
                <c:ptCount val="1"/>
                <c:pt idx="0">
                  <c:v>SILVA Net sales</c:v>
                </c:pt>
              </c:strCache>
            </c:strRef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pPr>
              <a:solidFill>
                <a:schemeClr val="accent3">
                  <a:lumMod val="50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25400">
                <a:solidFill>
                  <a:schemeClr val="accent2">
                    <a:lumMod val="75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c:strRef>
              <c:f>Graph!$B$4:$G$4</c:f>
              <c:strCache>
                <c:ptCount val="6"/>
                <c:pt idx="0">
                  <c:v>AC2014</c:v>
                </c:pt>
                <c:pt idx="1">
                  <c:v>AC2017</c:v>
                </c:pt>
                <c:pt idx="2">
                  <c:v>BU2017draft</c:v>
                </c:pt>
                <c:pt idx="3">
                  <c:v>FC3_2017</c:v>
                </c:pt>
                <c:pt idx="4">
                  <c:v>BU2018</c:v>
                </c:pt>
                <c:pt idx="5">
                  <c:v>PL2018 (update 2017)</c:v>
                </c:pt>
              </c:strCache>
            </c:strRef>
          </c:cat>
          <c:val>
            <c:numRef>
              <c:f>Graph!$B$5:$G$5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2-4D0A-A812-3DDCA1340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845824"/>
        <c:axId val="584846216"/>
      </c:lineChart>
      <c:catAx>
        <c:axId val="584845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84846216"/>
        <c:crosses val="autoZero"/>
        <c:auto val="1"/>
        <c:lblAlgn val="ctr"/>
        <c:lblOffset val="100"/>
        <c:noMultiLvlLbl val="0"/>
      </c:catAx>
      <c:valAx>
        <c:axId val="5848462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84845824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752475</xdr:colOff>
          <xdr:row>18</xdr:row>
          <xdr:rowOff>47625</xdr:rowOff>
        </xdr:from>
        <xdr:to>
          <xdr:col>8</xdr:col>
          <xdr:colOff>276225</xdr:colOff>
          <xdr:row>20</xdr:row>
          <xdr:rowOff>76200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53649</xdr:rowOff>
    </xdr:from>
    <xdr:to>
      <xdr:col>8</xdr:col>
      <xdr:colOff>114299</xdr:colOff>
      <xdr:row>13</xdr:row>
      <xdr:rowOff>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7499"/>
          <a:ext cx="8143874" cy="708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9525</xdr:rowOff>
    </xdr:from>
    <xdr:to>
      <xdr:col>9</xdr:col>
      <xdr:colOff>0</xdr:colOff>
      <xdr:row>23</xdr:row>
      <xdr:rowOff>104775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X86"/>
  <sheetViews>
    <sheetView showGridLines="0" tabSelected="1" zoomScaleNormal="100" workbookViewId="0">
      <pane xSplit="2" ySplit="28" topLeftCell="C29" activePane="bottomRight" state="frozen"/>
      <selection activeCell="B10" sqref="B10"/>
      <selection pane="topRight" activeCell="C10" sqref="C10"/>
      <selection pane="bottomLeft" activeCell="B30" sqref="B30"/>
      <selection pane="bottomRight" activeCell="C21" sqref="C21"/>
    </sheetView>
  </sheetViews>
  <sheetFormatPr defaultColWidth="0" defaultRowHeight="15" zeroHeight="1" x14ac:dyDescent="0.25"/>
  <cols>
    <col min="1" max="1" width="6.85546875" hidden="1" customWidth="1"/>
    <col min="2" max="2" width="48.140625" customWidth="1"/>
    <col min="3" max="3" width="10.7109375" customWidth="1"/>
    <col min="4" max="4" width="15.7109375" customWidth="1"/>
    <col min="5" max="5" width="9.7109375" style="16" customWidth="1"/>
    <col min="6" max="6" width="10.7109375" customWidth="1"/>
    <col min="7" max="7" width="15.7109375" customWidth="1"/>
    <col min="8" max="8" width="9.7109375" style="16" customWidth="1"/>
    <col min="9" max="9" width="10.7109375" customWidth="1"/>
    <col min="10" max="10" width="15.7109375" customWidth="1"/>
    <col min="11" max="11" width="9.7109375" style="16" customWidth="1"/>
    <col min="12" max="12" width="10.7109375" customWidth="1"/>
    <col min="13" max="13" width="15.7109375" customWidth="1"/>
    <col min="14" max="14" width="9.7109375" style="16" customWidth="1"/>
    <col min="15" max="15" width="16.28515625" hidden="1" customWidth="1"/>
    <col min="16" max="16" width="12.140625" style="16" hidden="1" customWidth="1"/>
    <col min="17" max="17" width="9.7109375" hidden="1" customWidth="1"/>
    <col min="18" max="18" width="10.7109375" customWidth="1"/>
    <col min="19" max="19" width="15.7109375" customWidth="1"/>
    <col min="20" max="20" width="9.7109375" customWidth="1"/>
    <col min="21" max="21" width="10.7109375" style="16" customWidth="1"/>
    <col min="22" max="22" width="15.7109375" style="16" customWidth="1"/>
    <col min="23" max="23" width="9.7109375" style="16" customWidth="1"/>
    <col min="24" max="24" width="0.28515625" hidden="1" customWidth="1"/>
    <col min="25" max="16384" width="11.42578125" hidden="1"/>
  </cols>
  <sheetData>
    <row r="1" spans="1:24" ht="14.25" hidden="1" customHeight="1" x14ac:dyDescent="0.25">
      <c r="A1" t="s">
        <v>8</v>
      </c>
    </row>
    <row r="2" spans="1:24" ht="15" hidden="1" customHeight="1" x14ac:dyDescent="0.25">
      <c r="A2">
        <f>0</f>
        <v>0</v>
      </c>
      <c r="B2" s="11"/>
      <c r="C2" s="14"/>
      <c r="D2" s="14"/>
      <c r="E2" s="49"/>
      <c r="F2" s="14"/>
      <c r="G2" s="14"/>
      <c r="H2" s="49"/>
      <c r="I2" s="14"/>
      <c r="J2" s="14"/>
      <c r="K2" s="49"/>
      <c r="L2" s="14"/>
      <c r="M2" s="14"/>
      <c r="N2" s="49"/>
      <c r="O2" s="14"/>
      <c r="P2" s="14"/>
      <c r="Q2" s="25"/>
      <c r="R2" s="14"/>
      <c r="S2" s="14"/>
      <c r="T2" s="49"/>
      <c r="U2" s="14"/>
      <c r="V2" s="14"/>
      <c r="W2" s="14"/>
    </row>
    <row r="3" spans="1:24" s="2" customFormat="1" ht="16.5" hidden="1" customHeight="1" x14ac:dyDescent="0.25">
      <c r="A3">
        <f>1</f>
        <v>1</v>
      </c>
      <c r="B3" s="29"/>
      <c r="C3" s="22"/>
      <c r="D3" s="22"/>
      <c r="E3" s="50"/>
      <c r="F3" s="22"/>
      <c r="G3" s="22"/>
      <c r="H3" s="50"/>
      <c r="I3" s="22"/>
      <c r="J3" s="22"/>
      <c r="K3" s="50"/>
      <c r="L3" s="22"/>
      <c r="M3" s="22"/>
      <c r="N3" s="50"/>
      <c r="O3" s="22"/>
      <c r="P3" s="22"/>
      <c r="Q3" s="26"/>
      <c r="R3" s="22"/>
      <c r="S3" s="22"/>
      <c r="T3" s="50"/>
      <c r="U3" s="22"/>
      <c r="V3" s="22"/>
      <c r="W3" s="22"/>
      <c r="X3"/>
    </row>
    <row r="4" spans="1:24" s="2" customFormat="1" ht="15" hidden="1" customHeight="1" x14ac:dyDescent="0.25">
      <c r="A4">
        <f>2</f>
        <v>2</v>
      </c>
      <c r="B4" s="30"/>
      <c r="C4" s="15"/>
      <c r="D4" s="15"/>
      <c r="E4" s="51"/>
      <c r="F4" s="15"/>
      <c r="G4" s="15"/>
      <c r="H4" s="51"/>
      <c r="I4" s="15"/>
      <c r="J4" s="15"/>
      <c r="K4" s="51"/>
      <c r="L4" s="15"/>
      <c r="M4" s="15"/>
      <c r="N4" s="51"/>
      <c r="O4" s="15"/>
      <c r="P4" s="15"/>
      <c r="Q4" s="27"/>
      <c r="R4" s="15"/>
      <c r="S4" s="15"/>
      <c r="T4" s="51"/>
      <c r="U4" s="15"/>
      <c r="V4" s="15"/>
      <c r="W4" s="15"/>
      <c r="X4"/>
    </row>
    <row r="5" spans="1:24" s="2" customFormat="1" ht="15" hidden="1" customHeight="1" x14ac:dyDescent="0.25">
      <c r="A5">
        <f>3</f>
        <v>3</v>
      </c>
      <c r="B5" s="32"/>
      <c r="C5" s="33"/>
      <c r="D5" s="33"/>
      <c r="E5" s="52"/>
      <c r="F5" s="33"/>
      <c r="G5" s="33"/>
      <c r="H5" s="52"/>
      <c r="I5" s="33"/>
      <c r="J5" s="33"/>
      <c r="K5" s="52"/>
      <c r="L5" s="33"/>
      <c r="M5" s="33"/>
      <c r="N5" s="52"/>
      <c r="O5" s="33"/>
      <c r="P5" s="33"/>
      <c r="Q5" s="34"/>
      <c r="R5" s="33"/>
      <c r="S5" s="33"/>
      <c r="T5" s="52"/>
      <c r="U5" s="33"/>
      <c r="V5" s="33"/>
      <c r="W5" s="33"/>
      <c r="X5"/>
    </row>
    <row r="6" spans="1:24" s="2" customFormat="1" ht="16.5" hidden="1" customHeight="1" x14ac:dyDescent="0.25">
      <c r="A6" t="s">
        <v>6</v>
      </c>
      <c r="B6" s="30"/>
      <c r="C6" s="15"/>
      <c r="D6" s="15"/>
      <c r="E6" s="51"/>
      <c r="F6" s="15"/>
      <c r="G6" s="15"/>
      <c r="H6" s="51"/>
      <c r="I6" s="15"/>
      <c r="J6" s="15"/>
      <c r="K6" s="51"/>
      <c r="L6" s="15"/>
      <c r="M6" s="15"/>
      <c r="N6" s="51"/>
      <c r="O6" s="15"/>
      <c r="P6" s="15"/>
      <c r="Q6" s="27"/>
      <c r="R6" s="15"/>
      <c r="S6" s="15"/>
      <c r="T6" s="51"/>
      <c r="U6" s="15"/>
      <c r="V6" s="15"/>
      <c r="W6" s="15"/>
      <c r="X6"/>
    </row>
    <row r="7" spans="1:24" ht="18" hidden="1" customHeight="1" x14ac:dyDescent="0.25">
      <c r="A7" t="s">
        <v>7</v>
      </c>
      <c r="B7" s="31"/>
      <c r="C7" s="1"/>
      <c r="D7" s="1"/>
      <c r="E7" s="54"/>
      <c r="F7" s="1"/>
      <c r="G7" s="1"/>
      <c r="H7" s="54"/>
      <c r="I7" s="1"/>
      <c r="J7" s="1"/>
      <c r="K7" s="54"/>
      <c r="L7" s="1"/>
      <c r="M7" s="1"/>
      <c r="N7" s="54"/>
      <c r="O7" s="1"/>
      <c r="P7" s="1"/>
      <c r="Q7" s="28"/>
      <c r="R7" s="1"/>
      <c r="S7" s="1"/>
      <c r="T7" s="54"/>
      <c r="U7" s="1"/>
      <c r="V7" s="1"/>
      <c r="W7" s="1"/>
    </row>
    <row r="8" spans="1:24" ht="20.25" hidden="1" customHeight="1" x14ac:dyDescent="0.25">
      <c r="A8" t="s">
        <v>9</v>
      </c>
    </row>
    <row r="9" spans="1:24" ht="25.5" hidden="1" customHeight="1" x14ac:dyDescent="0.25">
      <c r="B9" t="str">
        <f ca="1">_xll.TM1RPTVIEW("CXMD:FTM_DATA_MARGIN:ARPT1", 1, _xll.TM1RPTTITLE("CXMD:Month",$C$23), _xll.TM1RPTTITLE("CXMD:DIM_Origin_Company",$C$21), _xll.TM1RPTTITLE("CXMD:DIM_Allocation",$C$24), _xll.TM1RPTTITLE("CXMD:DIM_Customer_Supplier",$C$22),TM1RPTFMTRNG,I30)</f>
        <v>CXMD:FTM_DATA_MARGIN:ARPT1</v>
      </c>
    </row>
    <row r="10" spans="1:24" x14ac:dyDescent="0.25">
      <c r="A10" s="3"/>
      <c r="B10" s="3"/>
      <c r="C10" s="3"/>
      <c r="D10" s="3"/>
      <c r="E10" s="17"/>
      <c r="F10" s="3"/>
      <c r="G10" s="3"/>
      <c r="H10" s="17"/>
      <c r="I10" s="3"/>
      <c r="J10" s="3"/>
      <c r="K10" s="17"/>
      <c r="L10" s="3"/>
      <c r="M10" s="3"/>
      <c r="N10" s="17"/>
      <c r="O10" s="3"/>
      <c r="P10" s="17"/>
      <c r="Q10" s="3"/>
      <c r="R10" s="3"/>
      <c r="S10" s="3"/>
      <c r="T10" s="3"/>
      <c r="U10" s="17"/>
      <c r="V10" s="17"/>
      <c r="W10" s="17"/>
    </row>
    <row r="11" spans="1:24" x14ac:dyDescent="0.25">
      <c r="A11" s="3"/>
      <c r="B11" s="3"/>
      <c r="C11" s="3"/>
      <c r="D11" s="3"/>
      <c r="E11" s="17"/>
      <c r="F11" s="3"/>
      <c r="G11" s="3"/>
      <c r="H11" s="17"/>
      <c r="I11" s="3"/>
      <c r="J11" s="3"/>
      <c r="K11" s="17"/>
      <c r="L11" s="3"/>
      <c r="M11" s="3"/>
      <c r="N11" s="17"/>
      <c r="O11" s="3"/>
      <c r="P11" s="17"/>
      <c r="Q11" s="3"/>
      <c r="R11" s="3"/>
      <c r="S11" s="3"/>
      <c r="T11" s="3"/>
      <c r="U11" s="17"/>
      <c r="V11" s="17"/>
      <c r="W11" s="17"/>
    </row>
    <row r="12" spans="1:24" x14ac:dyDescent="0.25">
      <c r="A12" s="3"/>
      <c r="B12" s="3"/>
      <c r="C12" s="3"/>
      <c r="D12" s="3"/>
      <c r="E12" s="17"/>
      <c r="F12" s="3"/>
      <c r="G12" s="3"/>
      <c r="H12" s="17"/>
      <c r="I12" s="3"/>
      <c r="J12" s="3"/>
      <c r="K12" s="17"/>
      <c r="L12" s="3"/>
      <c r="M12" s="3"/>
      <c r="N12" s="17"/>
      <c r="O12" s="3"/>
      <c r="P12" s="17"/>
      <c r="Q12" s="3"/>
      <c r="R12" s="3"/>
      <c r="S12" s="3"/>
      <c r="T12" s="3"/>
      <c r="U12" s="17"/>
      <c r="V12" s="17"/>
      <c r="W12" s="17"/>
    </row>
    <row r="13" spans="1:24" x14ac:dyDescent="0.25">
      <c r="A13" s="3"/>
      <c r="B13" s="3"/>
      <c r="C13" s="3"/>
      <c r="D13" s="3"/>
      <c r="E13" s="17"/>
      <c r="F13" s="3"/>
      <c r="G13" s="3"/>
      <c r="H13" s="17"/>
      <c r="I13" s="3"/>
      <c r="J13" s="3"/>
      <c r="K13" s="17"/>
      <c r="L13" s="3"/>
      <c r="M13" s="3"/>
      <c r="N13" s="17"/>
      <c r="O13" s="3"/>
      <c r="P13" s="17"/>
      <c r="Q13" s="3"/>
      <c r="R13" s="3"/>
      <c r="S13" s="3"/>
      <c r="T13" s="3"/>
      <c r="U13" s="17"/>
      <c r="V13" s="17"/>
      <c r="W13" s="17"/>
    </row>
    <row r="14" spans="1:24" hidden="1" x14ac:dyDescent="0.25">
      <c r="A14" s="3"/>
      <c r="B14" s="3"/>
      <c r="C14" s="3"/>
      <c r="D14" s="3"/>
      <c r="E14" s="17"/>
      <c r="F14" s="3"/>
      <c r="G14" s="3"/>
      <c r="H14" s="17"/>
      <c r="I14" s="3"/>
      <c r="J14" s="3"/>
      <c r="K14" s="17"/>
      <c r="L14" s="3"/>
      <c r="M14" s="3"/>
      <c r="N14" s="17"/>
      <c r="O14" s="3"/>
      <c r="P14" s="17"/>
      <c r="Q14" s="3"/>
      <c r="R14" s="3"/>
      <c r="S14" s="3"/>
      <c r="T14" s="3"/>
      <c r="U14" s="17"/>
      <c r="V14" s="17"/>
      <c r="W14" s="17"/>
    </row>
    <row r="15" spans="1:24" hidden="1" x14ac:dyDescent="0.25">
      <c r="A15" s="3"/>
      <c r="B15" s="3"/>
      <c r="C15" s="3"/>
      <c r="D15" s="3"/>
      <c r="E15" s="17"/>
      <c r="F15" s="3"/>
      <c r="G15" s="3"/>
      <c r="H15" s="17"/>
      <c r="I15" s="3"/>
      <c r="J15" s="3"/>
      <c r="K15" s="17"/>
      <c r="L15" s="3"/>
      <c r="M15" s="3"/>
      <c r="N15" s="17"/>
      <c r="O15" s="3"/>
      <c r="P15" s="17"/>
      <c r="Q15" s="3"/>
      <c r="R15" s="3"/>
      <c r="S15" s="3"/>
      <c r="T15" s="3"/>
      <c r="U15" s="17"/>
      <c r="V15" s="17"/>
      <c r="W15" s="17"/>
    </row>
    <row r="16" spans="1:24" hidden="1" x14ac:dyDescent="0.25">
      <c r="A16" s="3"/>
      <c r="B16" s="3"/>
      <c r="C16" s="3"/>
      <c r="D16" s="3"/>
      <c r="E16" s="17"/>
      <c r="F16" s="3"/>
      <c r="G16" s="3"/>
      <c r="H16" s="17"/>
      <c r="I16" s="3"/>
      <c r="J16" s="3"/>
      <c r="K16" s="17"/>
      <c r="L16" s="3"/>
      <c r="M16" s="3"/>
      <c r="N16" s="17"/>
      <c r="O16" s="3"/>
      <c r="P16" s="17"/>
      <c r="Q16" s="3"/>
      <c r="R16" s="3"/>
      <c r="S16" s="3"/>
      <c r="T16" s="3"/>
      <c r="U16" s="17"/>
      <c r="V16" s="17"/>
      <c r="W16" s="17"/>
    </row>
    <row r="17" spans="1:23" hidden="1" x14ac:dyDescent="0.25">
      <c r="B17" s="5" t="s">
        <v>0</v>
      </c>
      <c r="C17" s="4" t="str">
        <f ca="1">_xll.SUBNM("CXMD:Current_Year","Par défaut","1","Current Year EN")</f>
        <v>2022</v>
      </c>
      <c r="D17" s="8"/>
      <c r="E17" s="18"/>
      <c r="F17" s="8"/>
      <c r="G17" s="8"/>
      <c r="H17" s="18"/>
      <c r="I17" s="8"/>
      <c r="J17" s="8"/>
      <c r="K17" s="18"/>
      <c r="L17" s="8"/>
      <c r="M17" s="8"/>
      <c r="N17" s="18"/>
      <c r="O17" s="8"/>
      <c r="P17" s="18"/>
      <c r="Q17" s="8"/>
      <c r="R17" s="6"/>
      <c r="S17" s="6"/>
      <c r="T17" s="6"/>
      <c r="U17" s="19"/>
      <c r="V17" s="19"/>
      <c r="W17" s="19"/>
    </row>
    <row r="18" spans="1:23" hidden="1" x14ac:dyDescent="0.25">
      <c r="B18" s="13" t="s">
        <v>1</v>
      </c>
      <c r="C18" s="7" t="str">
        <f ca="1">_xll.SUBNM("CXMD:Current_Month","Par défaut","1","Current Month EN")</f>
        <v>06</v>
      </c>
      <c r="D18" s="6"/>
      <c r="E18" s="19"/>
      <c r="F18" s="23"/>
      <c r="G18" s="23"/>
      <c r="H18" s="24"/>
      <c r="I18" s="23"/>
      <c r="J18" s="23"/>
      <c r="K18" s="24"/>
      <c r="L18" s="23"/>
      <c r="M18" s="23"/>
      <c r="N18" s="24"/>
      <c r="O18" s="23"/>
      <c r="P18" s="19"/>
      <c r="Q18" s="6"/>
      <c r="R18" s="6"/>
      <c r="S18" s="6"/>
      <c r="T18" s="6"/>
      <c r="U18" s="19"/>
      <c r="V18" s="19"/>
      <c r="W18" s="19"/>
    </row>
    <row r="19" spans="1:23" x14ac:dyDescent="0.25">
      <c r="B19" s="13"/>
      <c r="C19" s="7"/>
      <c r="D19" s="6"/>
      <c r="E19" s="19"/>
      <c r="F19" s="23"/>
      <c r="G19" s="23"/>
      <c r="H19" s="6" t="str">
        <f ca="1">CONCATENATE(_xll.DBRA("CXMD:Company",C21,"Company"),"_SALES")</f>
        <v>Y_SALES</v>
      </c>
      <c r="I19" s="23"/>
      <c r="J19" s="23"/>
      <c r="K19" s="24"/>
      <c r="L19" s="23"/>
      <c r="M19" s="23"/>
      <c r="N19" s="24"/>
      <c r="O19" s="23"/>
      <c r="P19" s="19"/>
      <c r="Q19" s="6"/>
      <c r="R19" s="6"/>
      <c r="S19" s="6"/>
      <c r="T19" s="6"/>
      <c r="U19" s="19"/>
      <c r="V19" s="19"/>
      <c r="W19" s="19"/>
    </row>
    <row r="20" spans="1:23" ht="7.5" customHeight="1" x14ac:dyDescent="0.25">
      <c r="B20" s="13"/>
      <c r="C20" s="7"/>
      <c r="D20" s="6"/>
      <c r="E20" s="19"/>
      <c r="F20" s="23"/>
      <c r="G20" s="23"/>
      <c r="H20" s="24"/>
      <c r="I20" s="23"/>
      <c r="J20" s="23"/>
      <c r="K20" s="24"/>
      <c r="L20" s="23"/>
      <c r="M20" s="23"/>
      <c r="N20" s="24"/>
      <c r="O20" s="23"/>
      <c r="P20" s="19"/>
      <c r="Q20" s="6"/>
      <c r="R20" s="6"/>
      <c r="S20" s="6"/>
      <c r="T20" s="6"/>
      <c r="U20" s="19"/>
      <c r="V20" s="19"/>
      <c r="W20" s="19"/>
    </row>
    <row r="21" spans="1:23" ht="15" customHeight="1" x14ac:dyDescent="0.3">
      <c r="B21" s="13" t="s">
        <v>2</v>
      </c>
      <c r="C21" s="7" t="str">
        <f ca="1">_xll.SUBNM("CXMD:DIM_Origin_Company","","Y","Name EN")</f>
        <v>SILVA</v>
      </c>
      <c r="D21" s="6"/>
      <c r="E21" s="19"/>
      <c r="F21" s="23"/>
      <c r="G21" s="23"/>
      <c r="H21" s="35"/>
      <c r="I21" s="35"/>
      <c r="J21" s="23"/>
      <c r="K21" s="24"/>
      <c r="L21" s="23"/>
      <c r="M21" s="23"/>
      <c r="N21" s="24"/>
      <c r="O21" s="23"/>
      <c r="P21" s="19"/>
      <c r="Q21" s="6"/>
      <c r="R21" s="6"/>
      <c r="S21" s="6"/>
      <c r="T21" s="6"/>
      <c r="U21" s="19"/>
      <c r="V21" s="19"/>
      <c r="W21" s="19"/>
    </row>
    <row r="22" spans="1:23" x14ac:dyDescent="0.25">
      <c r="B22" s="13" t="s">
        <v>3</v>
      </c>
      <c r="C22" s="7" t="str">
        <f ca="1">_xll.SUBNM("CXMD:DIM_Customer_Supplier","Par défaut","Total_Customer_Supplier","Code-Name")</f>
        <v>Total_Customer_Supplier</v>
      </c>
      <c r="D22" s="6"/>
      <c r="E22" s="19"/>
      <c r="F22" s="23" t="str">
        <f ca="1">_xll.DBR($B$9,$C$17,$C$18,$C$19,$C$27,$C$23,$C$21,#REF!,"Total Allocation",$C$22,"TOTAL PRODUCT",$D$28)</f>
        <v>*KEY_ERR</v>
      </c>
      <c r="G22" s="23"/>
      <c r="H22" s="24"/>
      <c r="I22" s="23" t="str">
        <f ca="1">_xll.DBR($B$9,$C$17,$C$18,$C$19,$F$27,$C$23,$C$21,#REF!,"Total Allocation",$C$22,"TOTAL PRODUCT",$G$28)</f>
        <v>*KEY_ERR</v>
      </c>
      <c r="J22" s="23"/>
      <c r="K22" s="24"/>
      <c r="L22" s="23" t="str">
        <f ca="1">_xll.DBR($B$9,$C$17,$C$18,$C$19,$I$27,$C$23,$C$21,#REF!,"Total Allocation",$C$22,"TOTAL PRODUCT",$J$28)</f>
        <v>*KEY_ERR</v>
      </c>
      <c r="M22" s="23"/>
      <c r="N22" s="24"/>
      <c r="O22" s="23" t="str">
        <f ca="1">_xll.DBR($B$9,$C$17,$C$18,$C$19,$L$27,$C$23,$C$21,"Total_Company_Owner","Total Allocation",$C$22,"TOTAL PRODUCT",$M$28)</f>
        <v>*KEY_ERR</v>
      </c>
      <c r="P22" s="19"/>
      <c r="Q22" s="6"/>
      <c r="R22" s="6"/>
      <c r="S22" s="6"/>
      <c r="T22" s="6"/>
      <c r="U22" s="19"/>
      <c r="V22" s="19"/>
      <c r="W22" s="19"/>
    </row>
    <row r="23" spans="1:23" ht="18.75" x14ac:dyDescent="0.3">
      <c r="B23" s="13" t="s">
        <v>4</v>
      </c>
      <c r="C23" s="7" t="str">
        <f ca="1">_xll.SUBNM("CXMD:Month","","Total_Month")</f>
        <v>Total_Month</v>
      </c>
      <c r="D23" s="6"/>
      <c r="E23" s="19"/>
      <c r="F23" s="6"/>
      <c r="G23" s="6"/>
      <c r="H23" s="19"/>
      <c r="I23" s="35" t="s">
        <v>16</v>
      </c>
      <c r="J23" s="6"/>
      <c r="K23" s="19"/>
      <c r="L23" s="6"/>
      <c r="M23" s="6"/>
      <c r="N23" s="19"/>
      <c r="O23" s="6"/>
      <c r="P23" s="19"/>
      <c r="Q23" s="6"/>
      <c r="R23" s="6"/>
      <c r="S23" s="6"/>
      <c r="T23" s="6"/>
      <c r="U23" s="19"/>
      <c r="V23" s="19"/>
      <c r="W23" s="19"/>
    </row>
    <row r="24" spans="1:23" x14ac:dyDescent="0.25">
      <c r="B24" s="13" t="s">
        <v>12</v>
      </c>
      <c r="C24" s="7" t="str">
        <f ca="1">_xll.SUBNM("CXMD:DIM_Allocation","Par défaut","Total Allocation","Allocation EN")</f>
        <v>Total Allocation</v>
      </c>
      <c r="D24" s="12"/>
      <c r="E24" s="20"/>
      <c r="F24" s="12"/>
      <c r="G24" s="12"/>
      <c r="H24" s="20"/>
      <c r="I24" s="12"/>
      <c r="J24" s="12"/>
      <c r="K24" s="20"/>
      <c r="L24" s="12"/>
      <c r="M24" s="12"/>
      <c r="N24" s="20"/>
      <c r="O24" s="12"/>
      <c r="P24" s="20"/>
      <c r="Q24" s="12"/>
      <c r="R24" s="12"/>
      <c r="S24" s="12"/>
      <c r="T24" s="12"/>
      <c r="U24" s="20"/>
      <c r="V24" s="20"/>
      <c r="W24" s="20"/>
    </row>
    <row r="25" spans="1:23" ht="9.75" customHeight="1" x14ac:dyDescent="0.25">
      <c r="B25" s="9"/>
      <c r="C25" s="10"/>
      <c r="D25" s="10"/>
      <c r="E25" s="21"/>
      <c r="F25" s="10"/>
      <c r="G25" s="10"/>
      <c r="H25" s="21"/>
      <c r="I25" s="10"/>
      <c r="J25" s="10"/>
      <c r="K25" s="21"/>
      <c r="L25" s="10"/>
      <c r="M25" s="10"/>
      <c r="N25" s="21"/>
      <c r="O25" s="10"/>
      <c r="P25" s="21"/>
      <c r="Q25" s="10"/>
      <c r="R25" s="6"/>
      <c r="S25" s="6"/>
      <c r="T25" s="6"/>
      <c r="U25" s="19"/>
      <c r="V25" s="19"/>
      <c r="W25" s="19"/>
    </row>
    <row r="26" spans="1:23" ht="4.5" hidden="1" customHeight="1" x14ac:dyDescent="0.25">
      <c r="B26" s="12"/>
      <c r="C26" s="12"/>
      <c r="D26" s="12"/>
      <c r="E26" s="20"/>
      <c r="F26" s="12"/>
      <c r="G26" s="12"/>
      <c r="H26" s="20"/>
      <c r="I26" s="12"/>
      <c r="J26" s="12"/>
      <c r="K26" s="20"/>
      <c r="L26" s="12"/>
      <c r="M26" s="12"/>
      <c r="N26" s="20"/>
      <c r="O26" s="12"/>
      <c r="P26" s="20"/>
      <c r="Q26" s="12"/>
      <c r="R26" s="53"/>
      <c r="S26" s="53"/>
      <c r="T26" s="53"/>
      <c r="U26" s="53"/>
      <c r="V26" s="38"/>
      <c r="W26" s="38"/>
    </row>
    <row r="27" spans="1:23" x14ac:dyDescent="0.25">
      <c r="B27" s="12"/>
      <c r="C27" s="55" t="str">
        <f ca="1">_xll.SUBNM("CXMD:Actuality","","AC2014","Description EN")</f>
        <v>AC2014</v>
      </c>
      <c r="D27" s="56"/>
      <c r="E27" s="57"/>
      <c r="F27" s="55" t="str">
        <f ca="1">_xll.SUBNM("CXMD:Actuality","Actuality","AC2017","Description EN")</f>
        <v>AC2017</v>
      </c>
      <c r="G27" s="56"/>
      <c r="H27" s="57"/>
      <c r="I27" s="55" t="str">
        <f ca="1">_xll.SUBNM("CXMD:Actuality","Actuality","BU2017draft","Description EN")</f>
        <v>BU2017draft</v>
      </c>
      <c r="J27" s="56"/>
      <c r="K27" s="57"/>
      <c r="L27" s="55" t="str">
        <f ca="1">_xll.SUBNM("CXMD:Actuality","Actuality","FC3_2017","Description EN")</f>
        <v>FC3_2017</v>
      </c>
      <c r="M27" s="56"/>
      <c r="N27" s="56"/>
      <c r="O27" s="36"/>
      <c r="P27" s="36"/>
      <c r="Q27" s="37"/>
      <c r="R27" s="55" t="str">
        <f ca="1">_xll.SUBNM("CXMD:Actuality","Actuality","BU2018","Description EN")</f>
        <v>BU2018</v>
      </c>
      <c r="S27" s="56"/>
      <c r="T27" s="56"/>
      <c r="U27" s="55" t="str">
        <f ca="1">_xll.SUBNM("CXMD:Actuality","Actuality","PL2018 (update 2017)","Description EN")</f>
        <v>PL2018 (update 2017)</v>
      </c>
      <c r="V27" s="56"/>
      <c r="W27" s="56"/>
    </row>
    <row r="28" spans="1:23" s="39" customFormat="1" ht="31.5" customHeight="1" x14ac:dyDescent="0.25">
      <c r="B28" s="40" t="s">
        <v>13</v>
      </c>
      <c r="C28" s="41" t="s">
        <v>10</v>
      </c>
      <c r="D28" s="42" t="s">
        <v>5</v>
      </c>
      <c r="E28" s="43" t="s">
        <v>17</v>
      </c>
      <c r="F28" s="41" t="s">
        <v>10</v>
      </c>
      <c r="G28" s="42" t="s">
        <v>5</v>
      </c>
      <c r="H28" s="43" t="s">
        <v>17</v>
      </c>
      <c r="I28" s="41" t="s">
        <v>10</v>
      </c>
      <c r="J28" s="42" t="s">
        <v>5</v>
      </c>
      <c r="K28" s="43" t="s">
        <v>17</v>
      </c>
      <c r="L28" s="45" t="s">
        <v>10</v>
      </c>
      <c r="M28" s="46" t="s">
        <v>5</v>
      </c>
      <c r="N28" s="44" t="s">
        <v>17</v>
      </c>
      <c r="O28" s="46" t="s">
        <v>11</v>
      </c>
      <c r="P28" s="47" t="s">
        <v>15</v>
      </c>
      <c r="Q28" s="48" t="s">
        <v>14</v>
      </c>
      <c r="R28" s="45" t="s">
        <v>10</v>
      </c>
      <c r="S28" s="46" t="s">
        <v>5</v>
      </c>
      <c r="T28" s="44" t="s">
        <v>17</v>
      </c>
      <c r="U28" s="45" t="s">
        <v>10</v>
      </c>
      <c r="V28" s="46" t="s">
        <v>5</v>
      </c>
      <c r="W28" s="43" t="s">
        <v>17</v>
      </c>
    </row>
    <row r="29" spans="1:23" x14ac:dyDescent="0.25">
      <c r="A29" t="str">
        <f ca="1">IF(_xll.TM1RPTELISCONSOLIDATED($B$29,$B29),IF(_xll.TM1RPTELLEV($B$29,$B29)&lt;=3,_xll.TM1RPTELLEV($B$29,$B29),"D"),"N")</f>
        <v>N</v>
      </c>
      <c r="B29" s="58" t="str">
        <f ca="1">_xll.TM1RPTROW($B$9,"CXMD:DIM_Configuration","Sales Report 1",,"Description EN")</f>
        <v/>
      </c>
      <c r="C29" s="14" t="str">
        <f ca="1">_xll.DBRW($B$9,$C$23,$C$27,$C$21,$C$24,$C$22,$B29,C$28)</f>
        <v/>
      </c>
      <c r="D29" s="14" t="str">
        <f ca="1">_xll.DBRW($B$9,$C$23,$C$27,$C$21,$C$24,$C$22,$B29,D$28)</f>
        <v/>
      </c>
      <c r="E29" s="49" t="e">
        <f ca="1">IF(C29=0,0,D29/C29)</f>
        <v>#VALUE!</v>
      </c>
      <c r="F29" s="14" t="str">
        <f ca="1">_xll.DBRW($B$9,$C$23,$F$27,$C$21,$C$24,$C$22,$B29,F$28)</f>
        <v/>
      </c>
      <c r="G29" s="14" t="str">
        <f ca="1">_xll.DBRW($B$9,$C$23,$F$27,$C$21,$C$24,$C$22,$B29,G$28)</f>
        <v/>
      </c>
      <c r="H29" s="49" t="e">
        <f ca="1">IF(F29=0,0,G29/F29)</f>
        <v>#VALUE!</v>
      </c>
      <c r="I29" s="14" t="str">
        <f ca="1">_xll.DBRW($B$9,$C$23,$I$27,$C$21,$C$24,$C$22,$B29,I$28)</f>
        <v/>
      </c>
      <c r="J29" s="14" t="str">
        <f ca="1">_xll.DBRW($B$9,$C$23,$I$27,$C$21,$C$24,$C$22,$B29,J$28)</f>
        <v/>
      </c>
      <c r="K29" s="49" t="e">
        <f ca="1">IF(I29=0,0,J29/I29)</f>
        <v>#VALUE!</v>
      </c>
      <c r="L29" s="14" t="str">
        <f ca="1">_xll.DBRW($B$9,$C$23,$L$27,$C$21,$C$24,$C$22,$B29,L$28)</f>
        <v/>
      </c>
      <c r="M29" s="14" t="str">
        <f ca="1">_xll.DBRW($B$9,$C$23,$L$27,$C$21,$C$24,$C$22,$B29,M$28)</f>
        <v/>
      </c>
      <c r="N29" s="49" t="e">
        <f ca="1">IF(L29=0,0,M29/L29)</f>
        <v>#VALUE!</v>
      </c>
      <c r="O29" s="14">
        <v>0</v>
      </c>
      <c r="P29" s="14" t="e">
        <f ca="1">IF(L29=0,0,O29/(M29/L29))</f>
        <v>#VALUE!</v>
      </c>
      <c r="Q29" s="25" t="e">
        <f ca="1">O29/$O$22</f>
        <v>#VALUE!</v>
      </c>
      <c r="R29" s="14" t="str">
        <f ca="1">_xll.DBRW($B$9,$C$23,$R$27,$C$21,$C$24,$C$22,$B29,R$28)</f>
        <v/>
      </c>
      <c r="S29" s="14" t="str">
        <f ca="1">_xll.DBRW($B$9,$C$23,$R$27,$C$21,$C$24,$C$22,$B29,S$28)</f>
        <v/>
      </c>
      <c r="T29" s="49" t="e">
        <f ca="1">IF(R29=0,0,S29/R29)</f>
        <v>#VALUE!</v>
      </c>
      <c r="U29" s="14" t="str">
        <f ca="1">_xll.DBRW($B$9,$C$23,$U$27,$C$21,$C$24,$C$22,$B29,U$28)</f>
        <v/>
      </c>
      <c r="V29" s="14" t="str">
        <f ca="1">_xll.DBRW($B$9,$C$23,$U$27,$C$21,$C$24,$C$22,$B29,V$28)</f>
        <v/>
      </c>
      <c r="W29" s="14" t="e">
        <f ca="1">IF(U29=0,0,V29/U29)</f>
        <v>#VALUE!</v>
      </c>
    </row>
    <row r="30" spans="1:23" hidden="1" x14ac:dyDescent="0.25"/>
    <row r="31" spans="1:23" hidden="1" x14ac:dyDescent="0.25"/>
    <row r="32" spans="1:23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</sheetData>
  <mergeCells count="6">
    <mergeCell ref="C27:E27"/>
    <mergeCell ref="F27:H27"/>
    <mergeCell ref="I27:K27"/>
    <mergeCell ref="L27:N27"/>
    <mergeCell ref="U27:W27"/>
    <mergeCell ref="R27:T27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6</xdr:col>
                <xdr:colOff>752475</xdr:colOff>
                <xdr:row>18</xdr:row>
                <xdr:rowOff>47625</xdr:rowOff>
              </from>
              <to>
                <xdr:col>8</xdr:col>
                <xdr:colOff>276225</xdr:colOff>
                <xdr:row>20</xdr:row>
                <xdr:rowOff>76200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3"/>
  <sheetViews>
    <sheetView workbookViewId="0"/>
  </sheetViews>
  <sheetFormatPr defaultColWidth="11.42578125" defaultRowHeight="15" x14ac:dyDescent="0.25"/>
  <sheetData>
    <row r="4" spans="1:7" x14ac:dyDescent="0.25">
      <c r="A4" t="s">
        <v>18</v>
      </c>
      <c r="B4" t="str">
        <f ca="1">Report!C27</f>
        <v>AC2014</v>
      </c>
      <c r="C4" t="str">
        <f ca="1">Report!F27</f>
        <v>AC2017</v>
      </c>
      <c r="D4" t="str">
        <f ca="1">Report!I27</f>
        <v>BU2017draft</v>
      </c>
      <c r="E4" t="str">
        <f ca="1">Report!L27</f>
        <v>FC3_2017</v>
      </c>
      <c r="F4" t="str">
        <f ca="1">Report!R27</f>
        <v>BU2018</v>
      </c>
      <c r="G4" t="str">
        <f ca="1">Report!U27</f>
        <v>PL2018 (update 2017)</v>
      </c>
    </row>
    <row r="5" spans="1:7" x14ac:dyDescent="0.25">
      <c r="A5" t="str">
        <f ca="1">CONCATENATE(Report!C21," ",A4)</f>
        <v>SILVA Net sales</v>
      </c>
      <c r="B5" s="16" t="e">
        <f ca="1">Report!D29/1000</f>
        <v>#VALUE!</v>
      </c>
      <c r="C5" s="16" t="e">
        <f ca="1">Report!G29/1000</f>
        <v>#VALUE!</v>
      </c>
      <c r="D5" s="16" t="e">
        <f ca="1">Report!J29/1000</f>
        <v>#VALUE!</v>
      </c>
      <c r="E5" s="16" t="e">
        <f ca="1">Report!M29/1000</f>
        <v>#VALUE!</v>
      </c>
      <c r="F5" s="16" t="e">
        <f ca="1">Report!S29/1000</f>
        <v>#VALUE!</v>
      </c>
      <c r="G5" s="16" t="e">
        <f ca="1">Report!V29/1000</f>
        <v>#VALUE!</v>
      </c>
    </row>
    <row r="6" spans="1:7" x14ac:dyDescent="0.25">
      <c r="B6" s="16" t="e">
        <f>Report!#REF!</f>
        <v>#REF!</v>
      </c>
      <c r="C6" s="16" t="e">
        <f>Report!#REF!</f>
        <v>#REF!</v>
      </c>
      <c r="D6" s="16" t="e">
        <f>Report!#REF!</f>
        <v>#REF!</v>
      </c>
      <c r="E6" s="16" t="e">
        <f>Report!#REF!</f>
        <v>#REF!</v>
      </c>
      <c r="F6" s="16" t="e">
        <f>Report!#REF!</f>
        <v>#REF!</v>
      </c>
      <c r="G6" s="16" t="e">
        <f>Report!#REF!</f>
        <v>#REF!</v>
      </c>
    </row>
    <row r="7" spans="1:7" x14ac:dyDescent="0.25">
      <c r="B7" s="16" t="e">
        <f>Report!#REF!</f>
        <v>#REF!</v>
      </c>
      <c r="C7" s="16" t="e">
        <f>Report!#REF!</f>
        <v>#REF!</v>
      </c>
      <c r="D7" s="16" t="e">
        <f>Report!#REF!</f>
        <v>#REF!</v>
      </c>
      <c r="E7" s="16" t="e">
        <f>Report!#REF!</f>
        <v>#REF!</v>
      </c>
      <c r="F7" s="16" t="e">
        <f>Report!#REF!</f>
        <v>#REF!</v>
      </c>
      <c r="G7" s="16" t="e">
        <f>Report!#REF!</f>
        <v>#REF!</v>
      </c>
    </row>
    <row r="8" spans="1:7" x14ac:dyDescent="0.25">
      <c r="B8" s="16" t="e">
        <f>Report!#REF!</f>
        <v>#REF!</v>
      </c>
      <c r="C8" s="16" t="e">
        <f>Report!#REF!</f>
        <v>#REF!</v>
      </c>
      <c r="D8" s="16" t="e">
        <f>Report!#REF!</f>
        <v>#REF!</v>
      </c>
      <c r="E8" s="16" t="e">
        <f>Report!#REF!</f>
        <v>#REF!</v>
      </c>
      <c r="F8" s="16" t="e">
        <f>Report!#REF!</f>
        <v>#REF!</v>
      </c>
      <c r="G8" s="16" t="e">
        <f>Report!#REF!</f>
        <v>#REF!</v>
      </c>
    </row>
    <row r="9" spans="1:7" x14ac:dyDescent="0.25">
      <c r="B9" s="16" t="e">
        <f>Report!#REF!</f>
        <v>#REF!</v>
      </c>
      <c r="C9" s="16" t="e">
        <f>Report!#REF!</f>
        <v>#REF!</v>
      </c>
      <c r="D9" s="16" t="e">
        <f>Report!#REF!</f>
        <v>#REF!</v>
      </c>
      <c r="E9" s="16" t="e">
        <f>Report!#REF!</f>
        <v>#REF!</v>
      </c>
      <c r="F9" s="16" t="e">
        <f>Report!#REF!</f>
        <v>#REF!</v>
      </c>
      <c r="G9" s="16" t="e">
        <f>Report!#REF!</f>
        <v>#REF!</v>
      </c>
    </row>
    <row r="10" spans="1:7" x14ac:dyDescent="0.25">
      <c r="B10" s="16" t="e">
        <f>Report!#REF!</f>
        <v>#REF!</v>
      </c>
      <c r="C10" s="16" t="e">
        <f>Report!#REF!</f>
        <v>#REF!</v>
      </c>
      <c r="D10" s="16" t="e">
        <f>Report!#REF!</f>
        <v>#REF!</v>
      </c>
      <c r="E10" s="16" t="e">
        <f>Report!#REF!</f>
        <v>#REF!</v>
      </c>
      <c r="F10" s="16" t="e">
        <f>Report!#REF!</f>
        <v>#REF!</v>
      </c>
      <c r="G10" s="16" t="e">
        <f>Report!#REF!</f>
        <v>#REF!</v>
      </c>
    </row>
    <row r="11" spans="1:7" x14ac:dyDescent="0.25">
      <c r="B11" s="16" t="e">
        <f>Report!#REF!</f>
        <v>#REF!</v>
      </c>
      <c r="C11" s="16" t="e">
        <f>Report!#REF!</f>
        <v>#REF!</v>
      </c>
      <c r="D11" s="16" t="e">
        <f>Report!#REF!</f>
        <v>#REF!</v>
      </c>
      <c r="E11" s="16" t="e">
        <f>Report!#REF!</f>
        <v>#REF!</v>
      </c>
      <c r="F11" s="16" t="e">
        <f>Report!#REF!</f>
        <v>#REF!</v>
      </c>
      <c r="G11" s="16" t="e">
        <f>Report!#REF!</f>
        <v>#REF!</v>
      </c>
    </row>
    <row r="12" spans="1:7" x14ac:dyDescent="0.25">
      <c r="B12" s="16" t="e">
        <f>Report!#REF!</f>
        <v>#REF!</v>
      </c>
      <c r="C12" s="16" t="e">
        <f>Report!#REF!</f>
        <v>#REF!</v>
      </c>
      <c r="D12" s="16" t="e">
        <f>Report!#REF!</f>
        <v>#REF!</v>
      </c>
      <c r="E12" s="16" t="e">
        <f>Report!#REF!</f>
        <v>#REF!</v>
      </c>
      <c r="F12" s="16" t="e">
        <f>Report!#REF!</f>
        <v>#REF!</v>
      </c>
      <c r="G12" s="16" t="e">
        <f>Report!#REF!</f>
        <v>#REF!</v>
      </c>
    </row>
    <row r="13" spans="1:7" x14ac:dyDescent="0.25">
      <c r="B13" s="16" t="e">
        <f>Report!#REF!</f>
        <v>#REF!</v>
      </c>
      <c r="C13" s="16" t="e">
        <f>Report!#REF!</f>
        <v>#REF!</v>
      </c>
      <c r="D13" s="16" t="e">
        <f>Report!#REF!</f>
        <v>#REF!</v>
      </c>
      <c r="E13" s="16" t="e">
        <f>Report!#REF!</f>
        <v>#REF!</v>
      </c>
      <c r="F13" s="16" t="e">
        <f>Report!#REF!</f>
        <v>#REF!</v>
      </c>
      <c r="G13" s="16" t="e">
        <f>Report!#REF!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Graph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2014-10-20T11:52:49Z</dcterms:created>
  <dcterms:modified xsi:type="dcterms:W3CDTF">2022-07-22T11:45:08Z</dcterms:modified>
</cp:coreProperties>
</file>