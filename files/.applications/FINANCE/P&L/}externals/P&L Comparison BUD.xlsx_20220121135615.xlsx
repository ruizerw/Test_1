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drawings/drawing2.xml" ContentType="application/vnd.openxmlformats-officedocument.drawing+xml"/>
  <Override PartName="/xl/activeX/activeX2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v191\AppData\Local\Temp\1205\"/>
    </mc:Choice>
  </mc:AlternateContent>
  <bookViews>
    <workbookView xWindow="120" yWindow="150" windowWidth="16080" windowHeight="9675"/>
  </bookViews>
  <sheets>
    <sheet name="P&amp;L Summary" sheetId="10" r:id="rId1"/>
    <sheet name="P&amp;L" sheetId="9" r:id="rId2"/>
  </sheets>
  <definedNames>
    <definedName name="Actuality_1" localSheetId="1">'P&amp;L'!$D$22</definedName>
    <definedName name="Actuality_1" localSheetId="0">'P&amp;L Summary'!$D$22</definedName>
    <definedName name="Actuality_2" localSheetId="1">'P&amp;L'!$E$22</definedName>
    <definedName name="Actuality_2" localSheetId="0">'P&amp;L Summary'!$E$22</definedName>
    <definedName name="Actuality_3" localSheetId="1">'P&amp;L'!$H$22</definedName>
    <definedName name="Actuality_3" localSheetId="0">'P&amp;L Summary'!$H$22</definedName>
    <definedName name="company" localSheetId="1">'P&amp;L'!$C$17</definedName>
    <definedName name="company" localSheetId="0">'P&amp;L Summary'!$C$17</definedName>
    <definedName name="Month" localSheetId="1">'P&amp;L'!$C$19</definedName>
    <definedName name="Month" localSheetId="0">'P&amp;L Summary'!$C$19</definedName>
    <definedName name="ori" localSheetId="1">'P&amp;L'!$C$18</definedName>
    <definedName name="ori" localSheetId="0">'P&amp;L Summary'!$C$18</definedName>
    <definedName name="origine">'P&amp;L Summary'!$C$18</definedName>
    <definedName name="TM1REBUILDOPTION">1</definedName>
    <definedName name="TM1RPTDATARNGARPT1" localSheetId="1">'P&amp;L'!$25:$75</definedName>
    <definedName name="TM1RPTDATARNGARPT1" localSheetId="0">'P&amp;L Summary'!$24:$41</definedName>
    <definedName name="TM1RPTFMTIDCOL" localSheetId="1">'P&amp;L'!$A$1:$A$8</definedName>
    <definedName name="TM1RPTFMTIDCOL" localSheetId="0">'P&amp;L Summary'!$A$1:$A$8</definedName>
    <definedName name="TM1RPTFMTRNG" localSheetId="1">'P&amp;L'!$B$1:$L$8</definedName>
    <definedName name="TM1RPTFMTRNG" localSheetId="0">'P&amp;L Summary'!$B$1:$L$8</definedName>
  </definedNames>
  <calcPr calcId="162913" calcMode="manual" concurrentCalc="0"/>
</workbook>
</file>

<file path=xl/calcChain.xml><?xml version="1.0" encoding="utf-8"?>
<calcChain xmlns="http://schemas.openxmlformats.org/spreadsheetml/2006/main">
  <c r="D22" i="10" l="1"/>
  <c r="C18" i="10"/>
  <c r="C18" i="9"/>
  <c r="H22" i="10"/>
  <c r="E22" i="10"/>
  <c r="C19" i="10"/>
  <c r="C19" i="9"/>
  <c r="H22" i="9"/>
  <c r="H51" i="9"/>
  <c r="E22" i="9"/>
  <c r="E51" i="9"/>
  <c r="H28" i="10"/>
  <c r="E28" i="10"/>
  <c r="D28" i="10"/>
  <c r="H54" i="9"/>
  <c r="H55" i="9"/>
  <c r="H56" i="9"/>
  <c r="H57" i="9"/>
  <c r="H58" i="9"/>
  <c r="H59" i="9"/>
  <c r="H60" i="9"/>
  <c r="H61" i="9"/>
  <c r="H62" i="9"/>
  <c r="H63" i="9"/>
  <c r="H64" i="9"/>
  <c r="H65" i="9"/>
  <c r="H53" i="9"/>
  <c r="E54" i="9"/>
  <c r="E55" i="9"/>
  <c r="E56" i="9"/>
  <c r="E57" i="9"/>
  <c r="E58" i="9"/>
  <c r="E59" i="9"/>
  <c r="E60" i="9"/>
  <c r="E61" i="9"/>
  <c r="E62" i="9"/>
  <c r="E63" i="9"/>
  <c r="E64" i="9"/>
  <c r="E65" i="9"/>
  <c r="E53" i="9"/>
  <c r="D22" i="9"/>
  <c r="D54" i="9"/>
  <c r="D55" i="9"/>
  <c r="D56" i="9"/>
  <c r="D57" i="9"/>
  <c r="D58" i="9"/>
  <c r="D59" i="9"/>
  <c r="D60" i="9"/>
  <c r="D61" i="9"/>
  <c r="D62" i="9"/>
  <c r="D63" i="9"/>
  <c r="D64" i="9"/>
  <c r="D65" i="9"/>
  <c r="D53" i="9"/>
  <c r="H68" i="9"/>
  <c r="H67" i="9"/>
  <c r="E68" i="9"/>
  <c r="E67" i="9"/>
  <c r="D68" i="9"/>
  <c r="D67" i="9"/>
  <c r="H32" i="9"/>
  <c r="H31" i="9"/>
  <c r="H30" i="9"/>
  <c r="H29" i="9"/>
  <c r="E32" i="9"/>
  <c r="E31" i="9"/>
  <c r="E30" i="9"/>
  <c r="E29" i="9"/>
  <c r="D31" i="9"/>
  <c r="D32" i="9"/>
  <c r="D29" i="9"/>
  <c r="D30" i="9"/>
  <c r="H27" i="9"/>
  <c r="E27" i="9"/>
  <c r="D27" i="9"/>
  <c r="H25" i="9"/>
  <c r="E25" i="9"/>
  <c r="D25" i="9"/>
  <c r="E26" i="9"/>
  <c r="D26" i="9"/>
  <c r="H75" i="9"/>
  <c r="H74" i="9"/>
  <c r="E75" i="9"/>
  <c r="E74" i="9"/>
  <c r="D75" i="9"/>
  <c r="D74" i="9"/>
  <c r="H73" i="9"/>
  <c r="E73" i="9"/>
  <c r="D73" i="9"/>
  <c r="H70" i="9"/>
  <c r="E70" i="9"/>
  <c r="D70" i="9"/>
  <c r="H69" i="9"/>
  <c r="E69" i="9"/>
  <c r="D69" i="9"/>
  <c r="H66" i="9"/>
  <c r="E66" i="9"/>
  <c r="D66" i="9"/>
  <c r="D51" i="9"/>
  <c r="L51" i="9"/>
  <c r="K51" i="9"/>
  <c r="J51" i="9"/>
  <c r="I51" i="9"/>
  <c r="G51" i="9"/>
  <c r="F51" i="9"/>
  <c r="H50" i="9"/>
  <c r="H49" i="9"/>
  <c r="H48" i="9"/>
  <c r="H47" i="9"/>
  <c r="H46" i="9"/>
  <c r="H45" i="9"/>
  <c r="E50" i="9"/>
  <c r="E49" i="9"/>
  <c r="E48" i="9"/>
  <c r="E47" i="9"/>
  <c r="E46" i="9"/>
  <c r="E45" i="9"/>
  <c r="D50" i="9"/>
  <c r="D49" i="9"/>
  <c r="D48" i="9"/>
  <c r="D47" i="9"/>
  <c r="D46" i="9"/>
  <c r="D45" i="9"/>
  <c r="D43" i="9"/>
  <c r="H43" i="9"/>
  <c r="L43" i="9"/>
  <c r="K43" i="9"/>
  <c r="E43" i="9"/>
  <c r="J43" i="9"/>
  <c r="I43" i="9"/>
  <c r="G43" i="9"/>
  <c r="F43" i="9"/>
  <c r="H40" i="9"/>
  <c r="H39" i="9"/>
  <c r="H38" i="9"/>
  <c r="H37" i="9"/>
  <c r="H36" i="9"/>
  <c r="H35" i="9"/>
  <c r="E40" i="9"/>
  <c r="E39" i="9"/>
  <c r="E38" i="9"/>
  <c r="E37" i="9"/>
  <c r="E36" i="9"/>
  <c r="E35" i="9"/>
  <c r="E28" i="9"/>
  <c r="E33" i="9"/>
  <c r="E41" i="9"/>
  <c r="D40" i="9"/>
  <c r="D39" i="9"/>
  <c r="D38" i="9"/>
  <c r="D37" i="9"/>
  <c r="D36" i="9"/>
  <c r="D35" i="9"/>
  <c r="D33" i="9"/>
  <c r="H33" i="9"/>
  <c r="L33" i="9"/>
  <c r="K33" i="9"/>
  <c r="J33" i="9"/>
  <c r="I33" i="9"/>
  <c r="G33" i="9"/>
  <c r="F33" i="9"/>
  <c r="E29" i="10"/>
  <c r="L32" i="9"/>
  <c r="L31" i="9"/>
  <c r="L30" i="9"/>
  <c r="K32" i="9"/>
  <c r="K31" i="9"/>
  <c r="K30" i="9"/>
  <c r="J32" i="9"/>
  <c r="J31" i="9"/>
  <c r="J30" i="9"/>
  <c r="I32" i="9"/>
  <c r="I31" i="9"/>
  <c r="I30" i="9"/>
  <c r="F32" i="9"/>
  <c r="F31" i="9"/>
  <c r="G32" i="9"/>
  <c r="G31" i="9"/>
  <c r="G30" i="9"/>
  <c r="F30" i="9"/>
  <c r="L29" i="9"/>
  <c r="K29" i="9"/>
  <c r="J29" i="9"/>
  <c r="I29" i="9"/>
  <c r="G29" i="9"/>
  <c r="F29" i="9"/>
  <c r="D28" i="9"/>
  <c r="H26" i="9"/>
  <c r="H28" i="9"/>
  <c r="L28" i="9"/>
  <c r="K28" i="9"/>
  <c r="J28" i="9"/>
  <c r="I28" i="9"/>
  <c r="G28" i="9"/>
  <c r="F28" i="9"/>
  <c r="L27" i="9"/>
  <c r="K27" i="9"/>
  <c r="J27" i="9"/>
  <c r="I27" i="9"/>
  <c r="G27" i="9"/>
  <c r="F27" i="9"/>
  <c r="L26" i="9"/>
  <c r="K26" i="9"/>
  <c r="J26" i="9"/>
  <c r="I26" i="9"/>
  <c r="G26" i="9"/>
  <c r="F26" i="9"/>
  <c r="L25" i="9"/>
  <c r="K25" i="9"/>
  <c r="J25" i="9"/>
  <c r="I25" i="9"/>
  <c r="H24" i="10"/>
  <c r="G25" i="9"/>
  <c r="F25" i="9"/>
  <c r="E24" i="10"/>
  <c r="D24" i="10"/>
  <c r="D29" i="10"/>
  <c r="H29" i="10"/>
  <c r="L29" i="10"/>
  <c r="K29" i="10"/>
  <c r="J29" i="10"/>
  <c r="I29" i="10"/>
  <c r="G29" i="10"/>
  <c r="F29" i="10"/>
  <c r="D25" i="10"/>
  <c r="D26" i="10"/>
  <c r="D27" i="10"/>
  <c r="D33" i="10"/>
  <c r="D35" i="10"/>
  <c r="D37" i="10"/>
  <c r="D38" i="10"/>
  <c r="D39" i="10"/>
  <c r="D41" i="10"/>
  <c r="D42" i="10"/>
  <c r="H41" i="10"/>
  <c r="L41" i="10"/>
  <c r="K41" i="10"/>
  <c r="E41" i="10"/>
  <c r="J41" i="10"/>
  <c r="I41" i="10"/>
  <c r="G41" i="10"/>
  <c r="F41" i="10"/>
  <c r="H38" i="10"/>
  <c r="L38" i="10"/>
  <c r="K38" i="10"/>
  <c r="E38" i="10"/>
  <c r="J38" i="10"/>
  <c r="I38" i="10"/>
  <c r="G38" i="10"/>
  <c r="F38" i="10"/>
  <c r="E37" i="10"/>
  <c r="H37" i="10"/>
  <c r="L37" i="10"/>
  <c r="K37" i="10"/>
  <c r="J37" i="10"/>
  <c r="I37" i="10"/>
  <c r="G37" i="10"/>
  <c r="F37" i="10"/>
  <c r="E35" i="10"/>
  <c r="H35" i="10"/>
  <c r="J35" i="10"/>
  <c r="L35" i="10"/>
  <c r="K35" i="10"/>
  <c r="I35" i="10"/>
  <c r="G35" i="10"/>
  <c r="F35" i="10"/>
  <c r="H33" i="10"/>
  <c r="K33" i="10"/>
  <c r="E33" i="10"/>
  <c r="I33" i="10"/>
  <c r="F33" i="10"/>
  <c r="H26" i="10"/>
  <c r="E26" i="10"/>
  <c r="H34" i="9"/>
  <c r="E34" i="9"/>
  <c r="D34" i="9"/>
  <c r="H25" i="10"/>
  <c r="H30" i="10"/>
  <c r="E25" i="10"/>
  <c r="E30" i="10"/>
  <c r="D30" i="10"/>
  <c r="H71" i="9"/>
  <c r="E71" i="9"/>
  <c r="D71" i="9"/>
  <c r="H41" i="9"/>
  <c r="D41" i="9"/>
  <c r="H27" i="10"/>
  <c r="H39" i="10"/>
  <c r="E27" i="10"/>
  <c r="E39" i="10"/>
  <c r="H31" i="10"/>
  <c r="E31" i="10"/>
  <c r="D31" i="10"/>
  <c r="H42" i="10"/>
  <c r="H43" i="10"/>
  <c r="D43" i="10"/>
  <c r="L43" i="10"/>
  <c r="E42" i="10"/>
  <c r="E43" i="10"/>
  <c r="J43" i="10"/>
  <c r="G43" i="10"/>
  <c r="L42" i="10"/>
  <c r="K42" i="10"/>
  <c r="J42" i="10"/>
  <c r="I42" i="10"/>
  <c r="G42" i="10"/>
  <c r="F42" i="10"/>
  <c r="H40" i="10"/>
  <c r="D40" i="10"/>
  <c r="L40" i="10"/>
  <c r="E40" i="10"/>
  <c r="J40" i="10"/>
  <c r="G40" i="10"/>
  <c r="L39" i="10"/>
  <c r="K39" i="10"/>
  <c r="J39" i="10"/>
  <c r="I39" i="10"/>
  <c r="G39" i="10"/>
  <c r="F39" i="10"/>
  <c r="H36" i="10"/>
  <c r="D36" i="10"/>
  <c r="L36" i="10"/>
  <c r="E36" i="10"/>
  <c r="J36" i="10"/>
  <c r="G36" i="10"/>
  <c r="H34" i="10"/>
  <c r="D34" i="10"/>
  <c r="L34" i="10"/>
  <c r="E34" i="10"/>
  <c r="J34" i="10"/>
  <c r="G34" i="10"/>
  <c r="L33" i="10"/>
  <c r="J33" i="10"/>
  <c r="G33" i="10"/>
  <c r="H32" i="10"/>
  <c r="D32" i="10"/>
  <c r="L32" i="10"/>
  <c r="E32" i="10"/>
  <c r="J32" i="10"/>
  <c r="G32" i="10"/>
  <c r="L31" i="10"/>
  <c r="K31" i="10"/>
  <c r="J31" i="10"/>
  <c r="I31" i="10"/>
  <c r="G31" i="10"/>
  <c r="F31" i="10"/>
  <c r="L30" i="10"/>
  <c r="J30" i="10"/>
  <c r="G30" i="10"/>
  <c r="L28" i="10"/>
  <c r="K28" i="10"/>
  <c r="J28" i="10"/>
  <c r="I28" i="10"/>
  <c r="G28" i="10"/>
  <c r="F28" i="10"/>
  <c r="L27" i="10"/>
  <c r="K27" i="10"/>
  <c r="J27" i="10"/>
  <c r="I27" i="10"/>
  <c r="G27" i="10"/>
  <c r="F27" i="10"/>
  <c r="L26" i="10"/>
  <c r="K26" i="10"/>
  <c r="J26" i="10"/>
  <c r="I26" i="10"/>
  <c r="G26" i="10"/>
  <c r="F26" i="10"/>
  <c r="L25" i="10"/>
  <c r="K25" i="10"/>
  <c r="J25" i="10"/>
  <c r="I25" i="10"/>
  <c r="G25" i="10"/>
  <c r="F25" i="10"/>
  <c r="L24" i="10"/>
  <c r="K24" i="10"/>
  <c r="J24" i="10"/>
  <c r="I24" i="10"/>
  <c r="G24" i="10"/>
  <c r="F24" i="10"/>
  <c r="H76" i="9"/>
  <c r="H77" i="9"/>
  <c r="H72" i="9"/>
  <c r="H52" i="9"/>
  <c r="H44" i="9"/>
  <c r="H42" i="9"/>
  <c r="E76" i="9"/>
  <c r="E77" i="9"/>
  <c r="E72" i="9"/>
  <c r="E52" i="9"/>
  <c r="E44" i="9"/>
  <c r="E42" i="9"/>
  <c r="L39" i="9"/>
  <c r="K39" i="9"/>
  <c r="J39" i="9"/>
  <c r="I39" i="9"/>
  <c r="G39" i="9"/>
  <c r="F39" i="9"/>
  <c r="L38" i="9"/>
  <c r="K38" i="9"/>
  <c r="J38" i="9"/>
  <c r="I38" i="9"/>
  <c r="G38" i="9"/>
  <c r="F38" i="9"/>
  <c r="D76" i="9"/>
  <c r="D52" i="9"/>
  <c r="D44" i="9"/>
  <c r="D77" i="9"/>
  <c r="L77" i="9"/>
  <c r="J77" i="9"/>
  <c r="G77" i="9"/>
  <c r="L76" i="9"/>
  <c r="K76" i="9"/>
  <c r="J76" i="9"/>
  <c r="I76" i="9"/>
  <c r="G76" i="9"/>
  <c r="F76" i="9"/>
  <c r="L75" i="9"/>
  <c r="K75" i="9"/>
  <c r="J75" i="9"/>
  <c r="I75" i="9"/>
  <c r="G75" i="9"/>
  <c r="F75" i="9"/>
  <c r="L74" i="9"/>
  <c r="K74" i="9"/>
  <c r="J74" i="9"/>
  <c r="I74" i="9"/>
  <c r="G74" i="9"/>
  <c r="F74" i="9"/>
  <c r="L73" i="9"/>
  <c r="K73" i="9"/>
  <c r="J73" i="9"/>
  <c r="I73" i="9"/>
  <c r="G73" i="9"/>
  <c r="F73" i="9"/>
  <c r="D72" i="9"/>
  <c r="L72" i="9"/>
  <c r="J72" i="9"/>
  <c r="G72" i="9"/>
  <c r="L71" i="9"/>
  <c r="K71" i="9"/>
  <c r="J71" i="9"/>
  <c r="I71" i="9"/>
  <c r="G71" i="9"/>
  <c r="F71" i="9"/>
  <c r="L70" i="9"/>
  <c r="K70" i="9"/>
  <c r="J70" i="9"/>
  <c r="I70" i="9"/>
  <c r="G70" i="9"/>
  <c r="F70" i="9"/>
  <c r="L69" i="9"/>
  <c r="K69" i="9"/>
  <c r="J69" i="9"/>
  <c r="I69" i="9"/>
  <c r="G69" i="9"/>
  <c r="F69" i="9"/>
  <c r="L68" i="9"/>
  <c r="K68" i="9"/>
  <c r="J68" i="9"/>
  <c r="I68" i="9"/>
  <c r="G68" i="9"/>
  <c r="F68" i="9"/>
  <c r="L67" i="9"/>
  <c r="K67" i="9"/>
  <c r="J67" i="9"/>
  <c r="I67" i="9"/>
  <c r="G67" i="9"/>
  <c r="F67" i="9"/>
  <c r="L66" i="9"/>
  <c r="K66" i="9"/>
  <c r="J66" i="9"/>
  <c r="I66" i="9"/>
  <c r="G66" i="9"/>
  <c r="F66" i="9"/>
  <c r="L65" i="9"/>
  <c r="K65" i="9"/>
  <c r="J65" i="9"/>
  <c r="I65" i="9"/>
  <c r="G65" i="9"/>
  <c r="F65" i="9"/>
  <c r="L64" i="9"/>
  <c r="K64" i="9"/>
  <c r="J64" i="9"/>
  <c r="I64" i="9"/>
  <c r="G64" i="9"/>
  <c r="F64" i="9"/>
  <c r="L63" i="9"/>
  <c r="K63" i="9"/>
  <c r="J63" i="9"/>
  <c r="I63" i="9"/>
  <c r="G63" i="9"/>
  <c r="F63" i="9"/>
  <c r="L62" i="9"/>
  <c r="K62" i="9"/>
  <c r="J62" i="9"/>
  <c r="I62" i="9"/>
  <c r="G62" i="9"/>
  <c r="F62" i="9"/>
  <c r="L61" i="9"/>
  <c r="K61" i="9"/>
  <c r="J61" i="9"/>
  <c r="I61" i="9"/>
  <c r="G61" i="9"/>
  <c r="F61" i="9"/>
  <c r="L60" i="9"/>
  <c r="K60" i="9"/>
  <c r="J60" i="9"/>
  <c r="I60" i="9"/>
  <c r="G60" i="9"/>
  <c r="F60" i="9"/>
  <c r="L59" i="9"/>
  <c r="K59" i="9"/>
  <c r="J59" i="9"/>
  <c r="I59" i="9"/>
  <c r="G59" i="9"/>
  <c r="F59" i="9"/>
  <c r="L58" i="9"/>
  <c r="K58" i="9"/>
  <c r="J58" i="9"/>
  <c r="I58" i="9"/>
  <c r="G58" i="9"/>
  <c r="F58" i="9"/>
  <c r="L57" i="9"/>
  <c r="K57" i="9"/>
  <c r="J57" i="9"/>
  <c r="I57" i="9"/>
  <c r="G57" i="9"/>
  <c r="F57" i="9"/>
  <c r="L56" i="9"/>
  <c r="K56" i="9"/>
  <c r="J56" i="9"/>
  <c r="I56" i="9"/>
  <c r="G56" i="9"/>
  <c r="F56" i="9"/>
  <c r="L55" i="9"/>
  <c r="K55" i="9"/>
  <c r="J55" i="9"/>
  <c r="I55" i="9"/>
  <c r="G55" i="9"/>
  <c r="F55" i="9"/>
  <c r="L54" i="9"/>
  <c r="K54" i="9"/>
  <c r="J54" i="9"/>
  <c r="I54" i="9"/>
  <c r="G54" i="9"/>
  <c r="F54" i="9"/>
  <c r="L53" i="9"/>
  <c r="K53" i="9"/>
  <c r="J53" i="9"/>
  <c r="I53" i="9"/>
  <c r="G53" i="9"/>
  <c r="F53" i="9"/>
  <c r="L52" i="9"/>
  <c r="J52" i="9"/>
  <c r="G52" i="9"/>
  <c r="L50" i="9"/>
  <c r="K50" i="9"/>
  <c r="J50" i="9"/>
  <c r="I50" i="9"/>
  <c r="G50" i="9"/>
  <c r="F50" i="9"/>
  <c r="L49" i="9"/>
  <c r="K49" i="9"/>
  <c r="J49" i="9"/>
  <c r="I49" i="9"/>
  <c r="G49" i="9"/>
  <c r="F49" i="9"/>
  <c r="L48" i="9"/>
  <c r="K48" i="9"/>
  <c r="J48" i="9"/>
  <c r="I48" i="9"/>
  <c r="G48" i="9"/>
  <c r="F48" i="9"/>
  <c r="L47" i="9"/>
  <c r="K47" i="9"/>
  <c r="J47" i="9"/>
  <c r="I47" i="9"/>
  <c r="G47" i="9"/>
  <c r="F47" i="9"/>
  <c r="L46" i="9"/>
  <c r="K46" i="9"/>
  <c r="J46" i="9"/>
  <c r="I46" i="9"/>
  <c r="G46" i="9"/>
  <c r="F46" i="9"/>
  <c r="L45" i="9"/>
  <c r="K45" i="9"/>
  <c r="J45" i="9"/>
  <c r="I45" i="9"/>
  <c r="G45" i="9"/>
  <c r="F45" i="9"/>
  <c r="L44" i="9"/>
  <c r="J44" i="9"/>
  <c r="G44" i="9"/>
  <c r="D42" i="9"/>
  <c r="L42" i="9"/>
  <c r="J42" i="9"/>
  <c r="G42" i="9"/>
  <c r="L41" i="9"/>
  <c r="K41" i="9"/>
  <c r="J41" i="9"/>
  <c r="I41" i="9"/>
  <c r="G41" i="9"/>
  <c r="F41" i="9"/>
  <c r="L40" i="9"/>
  <c r="K40" i="9"/>
  <c r="J40" i="9"/>
  <c r="I40" i="9"/>
  <c r="G40" i="9"/>
  <c r="F40" i="9"/>
  <c r="L37" i="9"/>
  <c r="K37" i="9"/>
  <c r="J37" i="9"/>
  <c r="I37" i="9"/>
  <c r="G37" i="9"/>
  <c r="F37" i="9"/>
  <c r="L36" i="9"/>
  <c r="K36" i="9"/>
  <c r="J36" i="9"/>
  <c r="I36" i="9"/>
  <c r="G36" i="9"/>
  <c r="F36" i="9"/>
  <c r="L35" i="9"/>
  <c r="K35" i="9"/>
  <c r="J35" i="9"/>
  <c r="I35" i="9"/>
  <c r="G35" i="9"/>
  <c r="F35" i="9"/>
  <c r="L34" i="9"/>
  <c r="J34" i="9"/>
  <c r="G34" i="9"/>
</calcChain>
</file>

<file path=xl/sharedStrings.xml><?xml version="1.0" encoding="utf-8"?>
<sst xmlns="http://schemas.openxmlformats.org/spreadsheetml/2006/main" count="154" uniqueCount="65">
  <si>
    <t>Origin_Company</t>
  </si>
  <si>
    <t>Month_YTD</t>
  </si>
  <si>
    <t>Amount_BS</t>
  </si>
  <si>
    <t>G - 309000 - NET SALES</t>
  </si>
  <si>
    <t>G - 339000 - OPERATING INCOME</t>
  </si>
  <si>
    <t>G - 452000 - VARIATION OF PROVISIONS</t>
  </si>
  <si>
    <t>G - 415000 - MATERIAL &amp; OUTSIDE COSTS</t>
  </si>
  <si>
    <t>G - 439000 - PERSONNEL COSTS</t>
  </si>
  <si>
    <t>G - 459000 - OTHER EXPENSES</t>
  </si>
  <si>
    <t>G - 453900 - FX GAIN/LOSS</t>
  </si>
  <si>
    <t>G - 479000 - DEPREC. PROV.</t>
  </si>
  <si>
    <t>G - 569199 - OTHER INCOME/EXPENSES</t>
  </si>
  <si>
    <t>Profit and Loss</t>
  </si>
  <si>
    <t>R-0-R-P-901000-MATERIAL EXPENSES</t>
  </si>
  <si>
    <t>B-0-B-P-401010-Purchase expense - 3rd p</t>
  </si>
  <si>
    <t>B-0-B-P-407010-Outside suppliers / serv</t>
  </si>
  <si>
    <t>B-0-B-P-401020-Purchase expense - IC</t>
  </si>
  <si>
    <t>R-0-R-P-940000-PERSONEL EXPENSES</t>
  </si>
  <si>
    <t>B-0-B-P-430040-Social security / pensio</t>
  </si>
  <si>
    <t>B-0-B-P-438010-Temporary staff - 3rd pa</t>
  </si>
  <si>
    <t>B-0-B-P-430010-Wages and salaries</t>
  </si>
  <si>
    <t>B-0-B-P-431040-Pension expenses - defin</t>
  </si>
  <si>
    <t>B-0-B-P-437010-Other personnel costs</t>
  </si>
  <si>
    <t>R-0-R-P-959000-OTHER EXPENSES</t>
  </si>
  <si>
    <t>B-0-B-P-451020-Repair / maintenance / r</t>
  </si>
  <si>
    <t>B-0-B-P-451010-Energy</t>
  </si>
  <si>
    <t>B-0-B-P-451110-Leasing costs related to</t>
  </si>
  <si>
    <t>B-0-B-P-451610-Other operating expense</t>
  </si>
  <si>
    <t>B-0-B-P-451030-Insurance expenses</t>
  </si>
  <si>
    <t>B-0-B-P-451450-SELLING EXPENSES</t>
  </si>
  <si>
    <t>B-0-B-P-451210-Auditor services</t>
  </si>
  <si>
    <t>B-0-B-P-451220-Advisory services</t>
  </si>
  <si>
    <t>B-0-B-P-451620-OTHER OP. EXP. IC</t>
  </si>
  <si>
    <t>B-0-B-P-451510-OTHER TAXES CAPITAL/OTH.</t>
  </si>
  <si>
    <t>B-0-B-P-451310-Licences/royalties expen</t>
  </si>
  <si>
    <t>B-0-B-P-452010-Allowances / value adj.</t>
  </si>
  <si>
    <t>B-0-B-P-452210-Changes -  provisions -</t>
  </si>
  <si>
    <t>B-0-B-P-453010-OPERAT. FX G/L REALISED</t>
  </si>
  <si>
    <t>B-0-B-P-999999-ALLOCAITON ACCOUNTING</t>
  </si>
  <si>
    <t>R-0-R-P-959100-MANAGEMENT FEES BI</t>
  </si>
  <si>
    <t>R-0-R-P-981000-DEPRECIATION</t>
  </si>
  <si>
    <t>R-0-R-P-990000-NON EBIT</t>
  </si>
  <si>
    <t>Act. 2 vs Act. 1</t>
  </si>
  <si>
    <t>Variances</t>
  </si>
  <si>
    <t>Act. 3 vs Act. 2</t>
  </si>
  <si>
    <t>Act. 3 vs Act. 1</t>
  </si>
  <si>
    <t>G-329000 Corporate output</t>
  </si>
  <si>
    <t>REVENUE</t>
  </si>
  <si>
    <t>G-429999-GROSS MARGIN</t>
  </si>
  <si>
    <t>Ebit without Management fees</t>
  </si>
  <si>
    <t>% of net sales</t>
  </si>
  <si>
    <t>Ebit including Management fees</t>
  </si>
  <si>
    <t>B-0-B-P-402110-VALUE ADJ PURCHASED ITEMS</t>
  </si>
  <si>
    <t>B-0-B-P-402111-VALUE ADJ-RESALE OTHER.</t>
  </si>
  <si>
    <t>Bucher Account</t>
  </si>
  <si>
    <t>Chart of Account</t>
  </si>
  <si>
    <t>in K Local Currency</t>
  </si>
  <si>
    <t>Act. 1</t>
  </si>
  <si>
    <t>Act. 2</t>
  </si>
  <si>
    <t>Act. 3</t>
  </si>
  <si>
    <t>% of corporate output</t>
  </si>
  <si>
    <t>Total Material expenses + net var. stock</t>
  </si>
  <si>
    <t>P&amp;L comparison _ Summary _ BUD</t>
  </si>
  <si>
    <t>P&amp;L comparison _ BUD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</si>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</sst>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+ &quot;@"/>
    <numFmt numFmtId="165" formatCode="&quot;- &quot;@"/>
    <numFmt numFmtId="166" formatCode="0.0%"/>
    <numFmt numFmtId="167" formatCode="#,##0.0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BDD6E7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b/>
      <i/>
      <sz val="9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3" tint="0.79998168889431442"/>
      <name val="Calibri"/>
      <family val="2"/>
      <scheme val="minor"/>
    </font>
    <font>
      <b/>
      <sz val="11"/>
      <color theme="7" tint="0.79998168889431442"/>
      <name val="Calibri"/>
      <family val="2"/>
      <scheme val="minor"/>
    </font>
    <font>
      <b/>
      <sz val="11"/>
      <color theme="9" tint="0.59999389629810485"/>
      <name val="Calibri"/>
      <family val="2"/>
      <scheme val="minor"/>
    </font>
    <font>
      <b/>
      <sz val="11"/>
      <color rgb="FFFFFF66"/>
      <name val="Calibri"/>
      <family val="2"/>
      <scheme val="minor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66FF99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135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164" fontId="1" fillId="2" borderId="1" xfId="0" applyNumberFormat="1" applyFont="1" applyFill="1" applyBorder="1" applyAlignment="1"/>
    <xf numFmtId="164" fontId="3" fillId="2" borderId="1" xfId="0" applyNumberFormat="1" applyFont="1" applyFill="1" applyBorder="1" applyAlignment="1"/>
    <xf numFmtId="3" fontId="0" fillId="6" borderId="0" xfId="0" applyNumberFormat="1" applyFill="1" applyBorder="1"/>
    <xf numFmtId="0" fontId="0" fillId="7" borderId="0" xfId="0" applyFill="1"/>
    <xf numFmtId="0" fontId="4" fillId="7" borderId="0" xfId="0" applyFont="1" applyFill="1"/>
    <xf numFmtId="0" fontId="1" fillId="7" borderId="0" xfId="0" applyFont="1" applyFill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1" xfId="0" applyBorder="1"/>
    <xf numFmtId="0" fontId="0" fillId="7" borderId="3" xfId="0" applyFill="1" applyBorder="1"/>
    <xf numFmtId="0" fontId="0" fillId="7" borderId="6" xfId="0" applyFill="1" applyBorder="1"/>
    <xf numFmtId="0" fontId="0" fillId="7" borderId="7" xfId="0" applyFill="1" applyBorder="1"/>
    <xf numFmtId="166" fontId="5" fillId="0" borderId="0" xfId="0" applyNumberFormat="1" applyFont="1"/>
    <xf numFmtId="166" fontId="5" fillId="2" borderId="2" xfId="0" applyNumberFormat="1" applyFont="1" applyFill="1" applyBorder="1"/>
    <xf numFmtId="166" fontId="5" fillId="3" borderId="2" xfId="0" applyNumberFormat="1" applyFont="1" applyFill="1" applyBorder="1"/>
    <xf numFmtId="166" fontId="5" fillId="4" borderId="2" xfId="0" applyNumberFormat="1" applyFont="1" applyFill="1" applyBorder="1"/>
    <xf numFmtId="166" fontId="5" fillId="5" borderId="2" xfId="0" applyNumberFormat="1" applyFont="1" applyFill="1" applyBorder="1"/>
    <xf numFmtId="166" fontId="5" fillId="0" borderId="2" xfId="0" applyNumberFormat="1" applyFont="1" applyBorder="1"/>
    <xf numFmtId="166" fontId="5" fillId="6" borderId="0" xfId="0" applyNumberFormat="1" applyFont="1" applyFill="1" applyBorder="1"/>
    <xf numFmtId="166" fontId="5" fillId="7" borderId="0" xfId="0" applyNumberFormat="1" applyFont="1" applyFill="1"/>
    <xf numFmtId="166" fontId="7" fillId="8" borderId="7" xfId="0" applyNumberFormat="1" applyFont="1" applyFill="1" applyBorder="1" applyAlignment="1">
      <alignment horizontal="center"/>
    </xf>
    <xf numFmtId="166" fontId="7" fillId="8" borderId="8" xfId="0" applyNumberFormat="1" applyFont="1" applyFill="1" applyBorder="1" applyAlignment="1">
      <alignment horizontal="center"/>
    </xf>
    <xf numFmtId="165" fontId="0" fillId="2" borderId="1" xfId="0" applyNumberFormat="1" applyFill="1" applyBorder="1" applyAlignment="1"/>
    <xf numFmtId="164" fontId="0" fillId="3" borderId="1" xfId="0" applyNumberFormat="1" applyFill="1" applyBorder="1" applyAlignment="1">
      <alignment horizontal="left" indent="1"/>
    </xf>
    <xf numFmtId="165" fontId="0" fillId="3" borderId="1" xfId="0" applyNumberFormat="1" applyFill="1" applyBorder="1" applyAlignment="1">
      <alignment horizontal="left" indent="1"/>
    </xf>
    <xf numFmtId="164" fontId="0" fillId="4" borderId="1" xfId="0" applyNumberFormat="1" applyFill="1" applyBorder="1" applyAlignment="1">
      <alignment horizontal="left" indent="2"/>
    </xf>
    <xf numFmtId="0" fontId="14" fillId="7" borderId="7" xfId="0" quotePrefix="1" applyFont="1" applyFill="1" applyBorder="1" applyAlignment="1">
      <alignment horizontal="center" vertical="top"/>
    </xf>
    <xf numFmtId="164" fontId="0" fillId="9" borderId="12" xfId="0" applyNumberFormat="1" applyFill="1" applyBorder="1" applyAlignment="1">
      <alignment horizontal="left" indent="1"/>
    </xf>
    <xf numFmtId="164" fontId="10" fillId="9" borderId="11" xfId="0" applyNumberFormat="1" applyFont="1" applyFill="1" applyBorder="1" applyAlignment="1">
      <alignment horizontal="center"/>
    </xf>
    <xf numFmtId="166" fontId="5" fillId="2" borderId="5" xfId="0" applyNumberFormat="1" applyFont="1" applyFill="1" applyBorder="1"/>
    <xf numFmtId="166" fontId="16" fillId="9" borderId="14" xfId="0" applyNumberFormat="1" applyFont="1" applyFill="1" applyBorder="1"/>
    <xf numFmtId="166" fontId="16" fillId="9" borderId="15" xfId="0" applyNumberFormat="1" applyFont="1" applyFill="1" applyBorder="1"/>
    <xf numFmtId="165" fontId="1" fillId="10" borderId="17" xfId="0" applyNumberFormat="1" applyFont="1" applyFill="1" applyBorder="1" applyAlignment="1"/>
    <xf numFmtId="166" fontId="16" fillId="10" borderId="19" xfId="0" applyNumberFormat="1" applyFont="1" applyFill="1" applyBorder="1"/>
    <xf numFmtId="166" fontId="16" fillId="10" borderId="20" xfId="0" applyNumberFormat="1" applyFont="1" applyFill="1" applyBorder="1"/>
    <xf numFmtId="164" fontId="1" fillId="10" borderId="21" xfId="0" applyNumberFormat="1" applyFont="1" applyFill="1" applyBorder="1" applyAlignment="1">
      <alignment horizontal="center"/>
    </xf>
    <xf numFmtId="165" fontId="1" fillId="10" borderId="22" xfId="0" applyNumberFormat="1" applyFont="1" applyFill="1" applyBorder="1" applyAlignment="1"/>
    <xf numFmtId="166" fontId="15" fillId="10" borderId="22" xfId="1" applyNumberFormat="1" applyFont="1" applyFill="1" applyBorder="1"/>
    <xf numFmtId="164" fontId="10" fillId="11" borderId="16" xfId="0" applyNumberFormat="1" applyFont="1" applyFill="1" applyBorder="1" applyAlignment="1">
      <alignment horizontal="center"/>
    </xf>
    <xf numFmtId="164" fontId="1" fillId="11" borderId="17" xfId="0" applyNumberFormat="1" applyFont="1" applyFill="1" applyBorder="1" applyAlignment="1">
      <alignment horizontal="left" indent="2"/>
    </xf>
    <xf numFmtId="166" fontId="16" fillId="11" borderId="19" xfId="0" applyNumberFormat="1" applyFont="1" applyFill="1" applyBorder="1"/>
    <xf numFmtId="166" fontId="16" fillId="11" borderId="20" xfId="0" applyNumberFormat="1" applyFont="1" applyFill="1" applyBorder="1"/>
    <xf numFmtId="164" fontId="3" fillId="11" borderId="21" xfId="0" applyNumberFormat="1" applyFont="1" applyFill="1" applyBorder="1" applyAlignment="1"/>
    <xf numFmtId="164" fontId="1" fillId="11" borderId="22" xfId="0" applyNumberFormat="1" applyFont="1" applyFill="1" applyBorder="1" applyAlignment="1"/>
    <xf numFmtId="166" fontId="15" fillId="11" borderId="22" xfId="1" applyNumberFormat="1" applyFont="1" applyFill="1" applyBorder="1"/>
    <xf numFmtId="164" fontId="18" fillId="12" borderId="16" xfId="0" applyNumberFormat="1" applyFont="1" applyFill="1" applyBorder="1" applyAlignment="1"/>
    <xf numFmtId="166" fontId="16" fillId="12" borderId="19" xfId="0" applyNumberFormat="1" applyFont="1" applyFill="1" applyBorder="1"/>
    <xf numFmtId="166" fontId="16" fillId="12" borderId="20" xfId="0" applyNumberFormat="1" applyFont="1" applyFill="1" applyBorder="1"/>
    <xf numFmtId="164" fontId="1" fillId="12" borderId="21" xfId="0" applyNumberFormat="1" applyFont="1" applyFill="1" applyBorder="1" applyAlignment="1"/>
    <xf numFmtId="165" fontId="1" fillId="12" borderId="22" xfId="0" applyNumberFormat="1" applyFont="1" applyFill="1" applyBorder="1" applyAlignment="1"/>
    <xf numFmtId="166" fontId="15" fillId="12" borderId="22" xfId="1" applyNumberFormat="1" applyFont="1" applyFill="1" applyBorder="1"/>
    <xf numFmtId="164" fontId="18" fillId="13" borderId="16" xfId="0" applyNumberFormat="1" applyFont="1" applyFill="1" applyBorder="1" applyAlignment="1"/>
    <xf numFmtId="166" fontId="16" fillId="13" borderId="19" xfId="0" applyNumberFormat="1" applyFont="1" applyFill="1" applyBorder="1"/>
    <xf numFmtId="166" fontId="16" fillId="13" borderId="20" xfId="0" applyNumberFormat="1" applyFont="1" applyFill="1" applyBorder="1"/>
    <xf numFmtId="164" fontId="1" fillId="13" borderId="21" xfId="0" applyNumberFormat="1" applyFont="1" applyFill="1" applyBorder="1" applyAlignment="1"/>
    <xf numFmtId="165" fontId="1" fillId="13" borderId="22" xfId="0" applyNumberFormat="1" applyFont="1" applyFill="1" applyBorder="1" applyAlignment="1"/>
    <xf numFmtId="166" fontId="15" fillId="13" borderId="22" xfId="1" applyNumberFormat="1" applyFont="1" applyFill="1" applyBorder="1"/>
    <xf numFmtId="164" fontId="10" fillId="14" borderId="16" xfId="0" applyNumberFormat="1" applyFont="1" applyFill="1" applyBorder="1" applyAlignment="1">
      <alignment horizontal="center"/>
    </xf>
    <xf numFmtId="164" fontId="1" fillId="14" borderId="17" xfId="0" applyNumberFormat="1" applyFont="1" applyFill="1" applyBorder="1" applyAlignment="1">
      <alignment horizontal="left" indent="1"/>
    </xf>
    <xf numFmtId="166" fontId="16" fillId="14" borderId="19" xfId="0" applyNumberFormat="1" applyFont="1" applyFill="1" applyBorder="1"/>
    <xf numFmtId="166" fontId="16" fillId="14" borderId="20" xfId="0" applyNumberFormat="1" applyFont="1" applyFill="1" applyBorder="1"/>
    <xf numFmtId="164" fontId="3" fillId="14" borderId="21" xfId="0" applyNumberFormat="1" applyFont="1" applyFill="1" applyBorder="1" applyAlignment="1"/>
    <xf numFmtId="164" fontId="1" fillId="14" borderId="22" xfId="0" applyNumberFormat="1" applyFont="1" applyFill="1" applyBorder="1" applyAlignment="1">
      <alignment horizontal="left" indent="1"/>
    </xf>
    <xf numFmtId="166" fontId="15" fillId="14" borderId="22" xfId="1" applyNumberFormat="1" applyFont="1" applyFill="1" applyBorder="1"/>
    <xf numFmtId="0" fontId="11" fillId="7" borderId="4" xfId="0" applyFont="1" applyFill="1" applyBorder="1" applyAlignment="1">
      <alignment horizontal="center" vertical="center"/>
    </xf>
    <xf numFmtId="0" fontId="14" fillId="7" borderId="6" xfId="0" applyFont="1" applyFill="1" applyBorder="1" applyAlignment="1">
      <alignment horizontal="center" vertical="top"/>
    </xf>
    <xf numFmtId="167" fontId="0" fillId="0" borderId="0" xfId="0" applyNumberFormat="1"/>
    <xf numFmtId="167" fontId="5" fillId="0" borderId="0" xfId="0" applyNumberFormat="1" applyFont="1"/>
    <xf numFmtId="167" fontId="2" fillId="2" borderId="1" xfId="0" applyNumberFormat="1" applyFont="1" applyFill="1" applyBorder="1"/>
    <xf numFmtId="167" fontId="5" fillId="2" borderId="0" xfId="0" applyNumberFormat="1" applyFont="1" applyFill="1"/>
    <xf numFmtId="167" fontId="2" fillId="3" borderId="1" xfId="0" applyNumberFormat="1" applyFont="1" applyFill="1" applyBorder="1"/>
    <xf numFmtId="167" fontId="5" fillId="3" borderId="0" xfId="0" applyNumberFormat="1" applyFont="1" applyFill="1"/>
    <xf numFmtId="167" fontId="2" fillId="4" borderId="1" xfId="0" applyNumberFormat="1" applyFont="1" applyFill="1" applyBorder="1"/>
    <xf numFmtId="167" fontId="5" fillId="4" borderId="0" xfId="0" applyNumberFormat="1" applyFont="1" applyFill="1"/>
    <xf numFmtId="167" fontId="2" fillId="5" borderId="1" xfId="0" applyNumberFormat="1" applyFont="1" applyFill="1" applyBorder="1"/>
    <xf numFmtId="167" fontId="5" fillId="5" borderId="0" xfId="0" applyNumberFormat="1" applyFont="1" applyFill="1"/>
    <xf numFmtId="167" fontId="2" fillId="0" borderId="1" xfId="0" applyNumberFormat="1" applyFont="1" applyBorder="1"/>
    <xf numFmtId="167" fontId="0" fillId="6" borderId="0" xfId="0" applyNumberFormat="1" applyFill="1" applyBorder="1"/>
    <xf numFmtId="167" fontId="5" fillId="6" borderId="0" xfId="0" applyNumberFormat="1" applyFont="1" applyFill="1" applyBorder="1"/>
    <xf numFmtId="167" fontId="0" fillId="7" borderId="0" xfId="0" applyNumberFormat="1" applyFill="1"/>
    <xf numFmtId="167" fontId="5" fillId="7" borderId="0" xfId="0" applyNumberFormat="1" applyFont="1" applyFill="1"/>
    <xf numFmtId="167" fontId="8" fillId="7" borderId="0" xfId="0" applyNumberFormat="1" applyFont="1" applyFill="1"/>
    <xf numFmtId="167" fontId="9" fillId="7" borderId="10" xfId="0" applyNumberFormat="1" applyFont="1" applyFill="1" applyBorder="1" applyAlignment="1">
      <alignment horizontal="center"/>
    </xf>
    <xf numFmtId="167" fontId="7" fillId="8" borderId="7" xfId="0" applyNumberFormat="1" applyFont="1" applyFill="1" applyBorder="1" applyAlignment="1">
      <alignment horizontal="center"/>
    </xf>
    <xf numFmtId="167" fontId="15" fillId="9" borderId="12" xfId="0" applyNumberFormat="1" applyFont="1" applyFill="1" applyBorder="1"/>
    <xf numFmtId="167" fontId="16" fillId="9" borderId="13" xfId="0" applyNumberFormat="1" applyFont="1" applyFill="1" applyBorder="1"/>
    <xf numFmtId="167" fontId="15" fillId="10" borderId="17" xfId="0" applyNumberFormat="1" applyFont="1" applyFill="1" applyBorder="1"/>
    <xf numFmtId="167" fontId="16" fillId="10" borderId="18" xfId="0" applyNumberFormat="1" applyFont="1" applyFill="1" applyBorder="1"/>
    <xf numFmtId="167" fontId="15" fillId="11" borderId="17" xfId="0" applyNumberFormat="1" applyFont="1" applyFill="1" applyBorder="1"/>
    <xf numFmtId="167" fontId="16" fillId="11" borderId="18" xfId="0" applyNumberFormat="1" applyFont="1" applyFill="1" applyBorder="1"/>
    <xf numFmtId="167" fontId="15" fillId="12" borderId="17" xfId="0" applyNumberFormat="1" applyFont="1" applyFill="1" applyBorder="1"/>
    <xf numFmtId="167" fontId="16" fillId="12" borderId="18" xfId="0" applyNumberFormat="1" applyFont="1" applyFill="1" applyBorder="1"/>
    <xf numFmtId="167" fontId="15" fillId="13" borderId="17" xfId="0" applyNumberFormat="1" applyFont="1" applyFill="1" applyBorder="1"/>
    <xf numFmtId="167" fontId="16" fillId="13" borderId="18" xfId="0" applyNumberFormat="1" applyFont="1" applyFill="1" applyBorder="1"/>
    <xf numFmtId="167" fontId="15" fillId="14" borderId="17" xfId="0" applyNumberFormat="1" applyFont="1" applyFill="1" applyBorder="1"/>
    <xf numFmtId="167" fontId="16" fillId="14" borderId="18" xfId="0" applyNumberFormat="1" applyFont="1" applyFill="1" applyBorder="1"/>
    <xf numFmtId="167" fontId="7" fillId="8" borderId="6" xfId="0" applyNumberFormat="1" applyFont="1" applyFill="1" applyBorder="1" applyAlignment="1">
      <alignment horizontal="center"/>
    </xf>
    <xf numFmtId="166" fontId="16" fillId="10" borderId="23" xfId="1" applyNumberFormat="1" applyFont="1" applyFill="1" applyBorder="1"/>
    <xf numFmtId="166" fontId="16" fillId="10" borderId="24" xfId="1" applyNumberFormat="1" applyFont="1" applyFill="1" applyBorder="1"/>
    <xf numFmtId="166" fontId="16" fillId="10" borderId="25" xfId="1" applyNumberFormat="1" applyFont="1" applyFill="1" applyBorder="1"/>
    <xf numFmtId="166" fontId="16" fillId="11" borderId="23" xfId="1" applyNumberFormat="1" applyFont="1" applyFill="1" applyBorder="1"/>
    <xf numFmtId="166" fontId="16" fillId="11" borderId="24" xfId="1" applyNumberFormat="1" applyFont="1" applyFill="1" applyBorder="1"/>
    <xf numFmtId="166" fontId="16" fillId="11" borderId="25" xfId="1" applyNumberFormat="1" applyFont="1" applyFill="1" applyBorder="1"/>
    <xf numFmtId="166" fontId="16" fillId="12" borderId="23" xfId="1" applyNumberFormat="1" applyFont="1" applyFill="1" applyBorder="1"/>
    <xf numFmtId="166" fontId="16" fillId="12" borderId="24" xfId="1" applyNumberFormat="1" applyFont="1" applyFill="1" applyBorder="1"/>
    <xf numFmtId="166" fontId="16" fillId="12" borderId="25" xfId="1" applyNumberFormat="1" applyFont="1" applyFill="1" applyBorder="1"/>
    <xf numFmtId="166" fontId="16" fillId="13" borderId="23" xfId="1" applyNumberFormat="1" applyFont="1" applyFill="1" applyBorder="1"/>
    <xf numFmtId="166" fontId="16" fillId="13" borderId="24" xfId="1" applyNumberFormat="1" applyFont="1" applyFill="1" applyBorder="1"/>
    <xf numFmtId="166" fontId="16" fillId="13" borderId="25" xfId="1" applyNumberFormat="1" applyFont="1" applyFill="1" applyBorder="1"/>
    <xf numFmtId="166" fontId="16" fillId="14" borderId="23" xfId="1" applyNumberFormat="1" applyFont="1" applyFill="1" applyBorder="1"/>
    <xf numFmtId="166" fontId="16" fillId="14" borderId="24" xfId="1" applyNumberFormat="1" applyFont="1" applyFill="1" applyBorder="1"/>
    <xf numFmtId="166" fontId="16" fillId="14" borderId="25" xfId="1" applyNumberFormat="1" applyFont="1" applyFill="1" applyBorder="1"/>
    <xf numFmtId="165" fontId="19" fillId="2" borderId="1" xfId="0" applyNumberFormat="1" applyFont="1" applyFill="1" applyBorder="1" applyAlignment="1"/>
    <xf numFmtId="165" fontId="20" fillId="12" borderId="17" xfId="0" applyNumberFormat="1" applyFont="1" applyFill="1" applyBorder="1" applyAlignment="1"/>
    <xf numFmtId="165" fontId="21" fillId="13" borderId="17" xfId="0" applyNumberFormat="1" applyFont="1" applyFill="1" applyBorder="1" applyAlignment="1"/>
    <xf numFmtId="167" fontId="12" fillId="7" borderId="9" xfId="0" applyNumberFormat="1" applyFont="1" applyFill="1" applyBorder="1" applyAlignment="1">
      <alignment horizontal="center" vertical="center" wrapText="1"/>
    </xf>
    <xf numFmtId="165" fontId="22" fillId="10" borderId="17" xfId="0" applyNumberFormat="1" applyFont="1" applyFill="1" applyBorder="1" applyAlignment="1"/>
    <xf numFmtId="165" fontId="15" fillId="10" borderId="22" xfId="0" applyNumberFormat="1" applyFont="1" applyFill="1" applyBorder="1" applyAlignment="1"/>
    <xf numFmtId="164" fontId="15" fillId="11" borderId="22" xfId="0" applyNumberFormat="1" applyFont="1" applyFill="1" applyBorder="1" applyAlignment="1"/>
    <xf numFmtId="165" fontId="15" fillId="12" borderId="22" xfId="0" applyNumberFormat="1" applyFont="1" applyFill="1" applyBorder="1" applyAlignment="1"/>
    <xf numFmtId="165" fontId="15" fillId="13" borderId="22" xfId="0" applyNumberFormat="1" applyFont="1" applyFill="1" applyBorder="1" applyAlignment="1"/>
    <xf numFmtId="164" fontId="15" fillId="14" borderId="22" xfId="0" applyNumberFormat="1" applyFont="1" applyFill="1" applyBorder="1" applyAlignment="1">
      <alignment horizontal="left" indent="1"/>
    </xf>
    <xf numFmtId="164" fontId="18" fillId="10" borderId="16" xfId="0" applyNumberFormat="1" applyFont="1" applyFill="1" applyBorder="1" applyAlignment="1">
      <alignment horizontal="left"/>
    </xf>
    <xf numFmtId="167" fontId="16" fillId="10" borderId="26" xfId="0" applyNumberFormat="1" applyFont="1" applyFill="1" applyBorder="1"/>
    <xf numFmtId="164" fontId="23" fillId="4" borderId="1" xfId="0" applyNumberFormat="1" applyFont="1" applyFill="1" applyBorder="1" applyAlignment="1">
      <alignment horizontal="left" indent="2"/>
    </xf>
    <xf numFmtId="3" fontId="13" fillId="8" borderId="4" xfId="0" applyNumberFormat="1" applyFont="1" applyFill="1" applyBorder="1" applyAlignment="1">
      <alignment horizontal="center"/>
    </xf>
    <xf numFmtId="3" fontId="13" fillId="8" borderId="3" xfId="0" applyNumberFormat="1" applyFont="1" applyFill="1" applyBorder="1" applyAlignment="1">
      <alignment horizontal="center"/>
    </xf>
    <xf numFmtId="3" fontId="13" fillId="8" borderId="5" xfId="0" applyNumberFormat="1" applyFont="1" applyFill="1" applyBorder="1" applyAlignment="1">
      <alignment horizontal="center"/>
    </xf>
    <xf numFmtId="3" fontId="6" fillId="8" borderId="6" xfId="0" applyNumberFormat="1" applyFont="1" applyFill="1" applyBorder="1" applyAlignment="1">
      <alignment horizontal="center"/>
    </xf>
    <xf numFmtId="3" fontId="6" fillId="8" borderId="8" xfId="0" applyNumberFormat="1" applyFont="1" applyFill="1" applyBorder="1" applyAlignment="1">
      <alignment horizontal="center"/>
    </xf>
    <xf numFmtId="3" fontId="6" fillId="8" borderId="7" xfId="0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FFFF66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6"/>
  <ax:ocxPr ax:name="_ExtentY" ax:value="26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6"/>
  <ax:ocxPr ax:name="_ExtentY" ax:value="26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533400</xdr:colOff>
          <xdr:row>16</xdr:row>
          <xdr:rowOff>152400</xdr:rowOff>
        </xdr:from>
        <xdr:to>
          <xdr:col>4</xdr:col>
          <xdr:colOff>504825</xdr:colOff>
          <xdr:row>18</xdr:row>
          <xdr:rowOff>28575</xdr:rowOff>
        </xdr:to>
        <xdr:sp macro="" textlink="">
          <xdr:nvSpPr>
            <xdr:cNvPr id="14337" name="TIButton1" hidden="1">
              <a:extLst>
                <a:ext uri="{63B3BB69-23CF-44E3-9099-C40C66FF867C}">
                  <a14:compatExt spid="_x0000_s143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1</xdr:col>
      <xdr:colOff>10583</xdr:colOff>
      <xdr:row>9</xdr:row>
      <xdr:rowOff>10585</xdr:rowOff>
    </xdr:from>
    <xdr:to>
      <xdr:col>5</xdr:col>
      <xdr:colOff>137583</xdr:colOff>
      <xdr:row>12</xdr:row>
      <xdr:rowOff>93126</xdr:rowOff>
    </xdr:to>
    <xdr:pic>
      <xdr:nvPicPr>
        <xdr:cNvPr id="3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3" y="10585"/>
          <a:ext cx="7045325" cy="6540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409575</xdr:colOff>
          <xdr:row>16</xdr:row>
          <xdr:rowOff>152400</xdr:rowOff>
        </xdr:from>
        <xdr:to>
          <xdr:col>4</xdr:col>
          <xdr:colOff>438150</xdr:colOff>
          <xdr:row>18</xdr:row>
          <xdr:rowOff>28575</xdr:rowOff>
        </xdr:to>
        <xdr:sp macro="" textlink="">
          <xdr:nvSpPr>
            <xdr:cNvPr id="13313" name="TIButton1" hidden="1">
              <a:extLst>
                <a:ext uri="{63B3BB69-23CF-44E3-9099-C40C66FF867C}">
                  <a14:compatExt spid="_x0000_s133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1</xdr:col>
      <xdr:colOff>10583</xdr:colOff>
      <xdr:row>9</xdr:row>
      <xdr:rowOff>10585</xdr:rowOff>
    </xdr:from>
    <xdr:to>
      <xdr:col>4</xdr:col>
      <xdr:colOff>169333</xdr:colOff>
      <xdr:row>12</xdr:row>
      <xdr:rowOff>93126</xdr:rowOff>
    </xdr:to>
    <xdr:pic>
      <xdr:nvPicPr>
        <xdr:cNvPr id="3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3" y="10585"/>
          <a:ext cx="7048500" cy="6540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3.emf"/><Relationship Id="rId4" Type="http://schemas.openxmlformats.org/officeDocument/2006/relationships/control" Target="../activeX/activeX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"/>
  <dimension ref="A1:L80"/>
  <sheetViews>
    <sheetView showGridLines="0" tabSelected="1" zoomScale="90" zoomScaleNormal="90" workbookViewId="0">
      <pane xSplit="3" ySplit="23" topLeftCell="D24" activePane="bottomRight" state="frozen"/>
      <selection activeCell="B10" sqref="B10"/>
      <selection pane="topRight" activeCell="D10" sqref="D10"/>
      <selection pane="bottomLeft" activeCell="B32" sqref="B32"/>
      <selection pane="bottomRight" activeCell="C18" sqref="C18"/>
    </sheetView>
  </sheetViews>
  <sheetFormatPr defaultColWidth="0" defaultRowHeight="15" zeroHeight="1" x14ac:dyDescent="0.25"/>
  <cols>
    <col min="1" max="1" width="20.140625" hidden="1" customWidth="1"/>
    <col min="2" max="2" width="43.140625" customWidth="1"/>
    <col min="3" max="3" width="29.140625" customWidth="1"/>
    <col min="4" max="5" width="15.7109375" style="70" customWidth="1"/>
    <col min="6" max="6" width="12.7109375" style="71" customWidth="1"/>
    <col min="7" max="7" width="10.7109375" style="16" customWidth="1"/>
    <col min="8" max="8" width="15.7109375" style="70" customWidth="1"/>
    <col min="9" max="9" width="12.7109375" style="71" customWidth="1"/>
    <col min="10" max="10" width="10.7109375" style="16" customWidth="1"/>
    <col min="11" max="11" width="12.7109375" style="71" customWidth="1"/>
    <col min="12" max="12" width="10.7109375" style="16" customWidth="1"/>
    <col min="13" max="13" width="11.42578125" hidden="1" customWidth="1"/>
    <col min="14" max="16384" width="11.42578125" hidden="1"/>
  </cols>
  <sheetData>
    <row r="1" spans="1:12" hidden="1" x14ac:dyDescent="0.25"/>
    <row r="2" spans="1:12" hidden="1" x14ac:dyDescent="0.25">
      <c r="B2" s="1"/>
      <c r="C2" s="2"/>
      <c r="D2" s="72"/>
      <c r="E2" s="72"/>
      <c r="F2" s="73"/>
      <c r="G2" s="17"/>
      <c r="H2" s="72"/>
      <c r="I2" s="73"/>
      <c r="J2" s="17"/>
      <c r="K2" s="73"/>
      <c r="L2" s="17"/>
    </row>
    <row r="3" spans="1:12" hidden="1" x14ac:dyDescent="0.25">
      <c r="B3" s="2"/>
      <c r="C3" s="9"/>
      <c r="D3" s="74"/>
      <c r="E3" s="74"/>
      <c r="F3" s="75"/>
      <c r="G3" s="18"/>
      <c r="H3" s="74"/>
      <c r="I3" s="75"/>
      <c r="J3" s="18"/>
      <c r="K3" s="75"/>
      <c r="L3" s="18"/>
    </row>
    <row r="4" spans="1:12" hidden="1" x14ac:dyDescent="0.25">
      <c r="B4" s="2"/>
      <c r="C4" s="10"/>
      <c r="D4" s="76"/>
      <c r="E4" s="76"/>
      <c r="F4" s="77"/>
      <c r="G4" s="19"/>
      <c r="H4" s="76"/>
      <c r="I4" s="77"/>
      <c r="J4" s="19"/>
      <c r="K4" s="77"/>
      <c r="L4" s="19"/>
    </row>
    <row r="5" spans="1:12" hidden="1" x14ac:dyDescent="0.25">
      <c r="B5" s="2"/>
      <c r="C5" s="11"/>
      <c r="D5" s="78"/>
      <c r="E5" s="78"/>
      <c r="F5" s="79"/>
      <c r="G5" s="20"/>
      <c r="H5" s="78"/>
      <c r="I5" s="79"/>
      <c r="J5" s="20"/>
      <c r="K5" s="79"/>
      <c r="L5" s="20"/>
    </row>
    <row r="6" spans="1:12" hidden="1" x14ac:dyDescent="0.25">
      <c r="B6" s="2"/>
      <c r="C6" s="9"/>
      <c r="D6" s="74"/>
      <c r="E6" s="74"/>
      <c r="F6" s="75"/>
      <c r="G6" s="18"/>
      <c r="H6" s="74"/>
      <c r="I6" s="75"/>
      <c r="J6" s="18"/>
      <c r="K6" s="75"/>
      <c r="L6" s="18"/>
    </row>
    <row r="7" spans="1:12" hidden="1" x14ac:dyDescent="0.25">
      <c r="B7" s="2"/>
      <c r="C7" s="12"/>
      <c r="D7" s="80"/>
      <c r="E7" s="80"/>
      <c r="G7" s="21"/>
      <c r="H7" s="80"/>
      <c r="J7" s="21"/>
      <c r="L7" s="21"/>
    </row>
    <row r="8" spans="1:12" hidden="1" x14ac:dyDescent="0.25"/>
    <row r="9" spans="1:12" hidden="1" x14ac:dyDescent="0.25"/>
    <row r="10" spans="1:12" x14ac:dyDescent="0.25">
      <c r="A10" s="5"/>
      <c r="B10" s="5"/>
      <c r="C10" s="5"/>
      <c r="D10" s="81"/>
      <c r="E10" s="81"/>
      <c r="F10" s="82"/>
      <c r="G10" s="22"/>
      <c r="H10" s="81"/>
      <c r="I10" s="82"/>
      <c r="J10" s="22"/>
      <c r="K10" s="82"/>
      <c r="L10" s="22"/>
    </row>
    <row r="11" spans="1:12" x14ac:dyDescent="0.25">
      <c r="A11" s="5"/>
      <c r="B11" s="5"/>
      <c r="C11" s="5"/>
      <c r="D11" s="81"/>
      <c r="E11" s="81"/>
      <c r="F11" s="82"/>
      <c r="G11" s="22"/>
      <c r="H11" s="81"/>
      <c r="I11" s="82"/>
      <c r="J11" s="22"/>
      <c r="K11" s="82"/>
      <c r="L11" s="22"/>
    </row>
    <row r="12" spans="1:12" x14ac:dyDescent="0.25">
      <c r="A12" s="5"/>
      <c r="B12" s="5"/>
      <c r="C12" s="5"/>
      <c r="D12" s="81"/>
      <c r="E12" s="81"/>
      <c r="F12" s="82"/>
      <c r="G12" s="22"/>
      <c r="H12" s="81"/>
      <c r="I12" s="82"/>
      <c r="J12" s="22"/>
      <c r="K12" s="82"/>
      <c r="L12" s="22"/>
    </row>
    <row r="13" spans="1:12" x14ac:dyDescent="0.25">
      <c r="A13" s="5"/>
      <c r="B13" s="5"/>
      <c r="C13" s="5"/>
      <c r="D13" s="81"/>
      <c r="E13" s="81"/>
      <c r="F13" s="82"/>
      <c r="G13" s="22"/>
      <c r="H13" s="81"/>
      <c r="I13" s="82"/>
      <c r="J13" s="22"/>
      <c r="K13" s="82"/>
      <c r="L13" s="22"/>
    </row>
    <row r="14" spans="1:12" ht="14.25" hidden="1" customHeight="1" x14ac:dyDescent="0.25">
      <c r="A14" s="5"/>
      <c r="B14" s="5"/>
      <c r="C14" s="5"/>
      <c r="D14" s="81"/>
      <c r="E14" s="81"/>
      <c r="F14" s="82"/>
      <c r="G14" s="22"/>
      <c r="H14" s="81"/>
      <c r="I14" s="82"/>
      <c r="J14" s="22"/>
      <c r="K14" s="82"/>
      <c r="L14" s="22"/>
    </row>
    <row r="15" spans="1:12" hidden="1" x14ac:dyDescent="0.25">
      <c r="A15" s="5"/>
      <c r="B15" s="5"/>
      <c r="C15" s="5"/>
      <c r="D15" s="81"/>
      <c r="E15" s="81"/>
      <c r="F15" s="82"/>
      <c r="G15" s="22"/>
      <c r="H15" s="81"/>
      <c r="I15" s="82"/>
      <c r="J15" s="22"/>
      <c r="K15" s="82"/>
      <c r="L15" s="22"/>
    </row>
    <row r="16" spans="1:12" hidden="1" x14ac:dyDescent="0.25">
      <c r="A16" s="5"/>
      <c r="B16" s="5"/>
      <c r="C16" s="5"/>
      <c r="D16" s="81"/>
      <c r="E16" s="81"/>
      <c r="F16" s="82"/>
      <c r="G16" s="22"/>
      <c r="H16" s="81"/>
      <c r="I16" s="82"/>
      <c r="J16" s="22"/>
      <c r="K16" s="82"/>
      <c r="L16" s="22"/>
    </row>
    <row r="17" spans="1:12" x14ac:dyDescent="0.25">
      <c r="A17" s="6"/>
      <c r="B17" s="8"/>
      <c r="C17" s="7"/>
      <c r="D17" s="83"/>
      <c r="E17" s="83"/>
      <c r="F17" s="84"/>
      <c r="G17" s="23"/>
      <c r="H17" s="83"/>
      <c r="I17" s="84"/>
      <c r="J17" s="23"/>
      <c r="K17" s="84"/>
      <c r="L17" s="23"/>
    </row>
    <row r="18" spans="1:12" x14ac:dyDescent="0.25">
      <c r="A18" s="6"/>
      <c r="B18" s="8" t="s">
        <v>0</v>
      </c>
      <c r="C18" s="7" t="str">
        <f ca="1">_xll.SUBNM("CXMD:DIM_Origin_Company","","Total Origin Company")</f>
        <v>Total Origin Company</v>
      </c>
      <c r="D18" s="83"/>
      <c r="E18" s="83"/>
      <c r="F18" s="84"/>
      <c r="G18" s="23"/>
      <c r="H18" s="83"/>
      <c r="I18" s="84"/>
      <c r="J18" s="23"/>
      <c r="K18" s="84"/>
      <c r="L18" s="23"/>
    </row>
    <row r="19" spans="1:12" ht="21" x14ac:dyDescent="0.35">
      <c r="A19" s="6"/>
      <c r="B19" s="8" t="s">
        <v>64</v>
      </c>
      <c r="C19" s="7" t="str">
        <f ca="1">_xll.SUBNM("CXMD:Month","","Total_Month")</f>
        <v>Total_Month</v>
      </c>
      <c r="D19" s="83"/>
      <c r="E19" s="83"/>
      <c r="F19" s="85" t="s">
        <v>62</v>
      </c>
      <c r="G19" s="23"/>
      <c r="H19" s="83"/>
      <c r="I19" s="84"/>
      <c r="J19" s="23"/>
      <c r="K19" s="84"/>
      <c r="L19" s="23"/>
    </row>
    <row r="20" spans="1:12" ht="8.25" customHeight="1" x14ac:dyDescent="0.25">
      <c r="A20" s="6"/>
      <c r="B20" s="6"/>
      <c r="C20" s="6"/>
      <c r="D20" s="83"/>
      <c r="E20" s="83"/>
      <c r="F20" s="84"/>
      <c r="G20" s="23"/>
      <c r="H20" s="83"/>
      <c r="I20" s="84"/>
      <c r="J20" s="23"/>
      <c r="K20" s="84"/>
      <c r="L20" s="23"/>
    </row>
    <row r="21" spans="1:12" ht="8.25" customHeight="1" x14ac:dyDescent="0.25">
      <c r="A21" s="6"/>
      <c r="B21" s="6"/>
      <c r="C21" s="6"/>
      <c r="D21" s="83"/>
      <c r="E21" s="83"/>
      <c r="F21" s="84"/>
      <c r="G21" s="23"/>
      <c r="H21" s="83"/>
      <c r="I21" s="84"/>
      <c r="J21" s="23"/>
      <c r="K21" s="84"/>
      <c r="L21" s="23"/>
    </row>
    <row r="22" spans="1:12" ht="31.5" customHeight="1" x14ac:dyDescent="0.25">
      <c r="A22" s="6"/>
      <c r="B22" s="13"/>
      <c r="C22" s="68" t="s">
        <v>56</v>
      </c>
      <c r="D22" s="119" t="str">
        <f ca="1">_xll.SUBNM("CXMD:Actuality","","AC2016","Description EN")</f>
        <v>AC2016</v>
      </c>
      <c r="E22" s="119" t="str">
        <f ca="1">_xll.SUBNM("CXMD:Actuality","","AC2017","Description EN")</f>
        <v>AC2017</v>
      </c>
      <c r="F22" s="129" t="s">
        <v>43</v>
      </c>
      <c r="G22" s="129"/>
      <c r="H22" s="119" t="str">
        <f ca="1">_xll.SUBNM("CXMD:Actuality","","BU2017draft","Description EN")</f>
        <v>BU2017draft</v>
      </c>
      <c r="I22" s="130" t="s">
        <v>43</v>
      </c>
      <c r="J22" s="131"/>
      <c r="K22" s="129" t="s">
        <v>43</v>
      </c>
      <c r="L22" s="131"/>
    </row>
    <row r="23" spans="1:12" x14ac:dyDescent="0.25">
      <c r="A23" s="6"/>
      <c r="B23" s="69" t="s">
        <v>54</v>
      </c>
      <c r="C23" s="30"/>
      <c r="D23" s="86" t="s">
        <v>57</v>
      </c>
      <c r="E23" s="86" t="s">
        <v>58</v>
      </c>
      <c r="F23" s="132" t="s">
        <v>42</v>
      </c>
      <c r="G23" s="133"/>
      <c r="H23" s="86" t="s">
        <v>59</v>
      </c>
      <c r="I23" s="132" t="s">
        <v>44</v>
      </c>
      <c r="J23" s="133"/>
      <c r="K23" s="134" t="s">
        <v>45</v>
      </c>
      <c r="L23" s="133"/>
    </row>
    <row r="24" spans="1:12" ht="15.75" thickBot="1" x14ac:dyDescent="0.3">
      <c r="B24" s="3" t="s">
        <v>3</v>
      </c>
      <c r="C24" s="116" t="s">
        <v>12</v>
      </c>
      <c r="D24" s="72">
        <f ca="1">_xll.DBR("CXMD:FTM_DATA_BALANCE_SHEET","Total_Customer_Supplier",Month,D$22,ori,"TOTAL PRODUCT","B-300010","Total Allocation","Amount_BS")*-1/1000</f>
        <v>1817036.4758200005</v>
      </c>
      <c r="E24" s="72">
        <f ca="1">_xll.DBR("CXMD:FTM_DATA_BALANCE_SHEET","Total_Customer_Supplier",Month,E$22,ori,"TOTAL PRODUCT","B-300010","Total Allocation","Amount_BS")*-1/1000</f>
        <v>2997400.0268600001</v>
      </c>
      <c r="F24" s="73">
        <f ca="1">E24-D24</f>
        <v>1180363.5510399996</v>
      </c>
      <c r="G24" s="17">
        <f ca="1">IF(D24&lt;&gt;0,E24/D24-1,0)</f>
        <v>0.6496091667655266</v>
      </c>
      <c r="H24" s="72">
        <f ca="1">_xll.DBR("CXMD:FTM_DATA_BALANCE_SHEET","Total_Customer_Supplier",Month,H$22,ori,"TOTAL PRODUCT","B-300010","Total Allocation","Amount_BS")*-1/1000</f>
        <v>3812841.5646378254</v>
      </c>
      <c r="I24" s="73">
        <f ca="1">H24-E24</f>
        <v>815441.53777782526</v>
      </c>
      <c r="J24" s="33">
        <f ca="1">IF(E24&lt;&gt;0,H24/E24-1,0)</f>
        <v>0.27204961982737452</v>
      </c>
      <c r="K24" s="73">
        <f ca="1">H24-D24</f>
        <v>1995805.0888178248</v>
      </c>
      <c r="L24" s="17">
        <f ca="1">IF(D24&lt;&gt;0,H24/D24-1,0)</f>
        <v>1.0983847134478402</v>
      </c>
    </row>
    <row r="25" spans="1:12" ht="16.5" thickBot="1" x14ac:dyDescent="0.3">
      <c r="B25" s="32" t="s">
        <v>46</v>
      </c>
      <c r="C25" s="31"/>
      <c r="D25" s="88">
        <f ca="1">D24</f>
        <v>1817036.4758200005</v>
      </c>
      <c r="E25" s="88">
        <f ca="1">E24</f>
        <v>2997400.0268600001</v>
      </c>
      <c r="F25" s="89">
        <f t="shared" ref="F25:F42" ca="1" si="0">E25-D25</f>
        <v>1180363.5510399996</v>
      </c>
      <c r="G25" s="34">
        <f t="shared" ref="G25:G42" ca="1" si="1">IF(D25&lt;&gt;0,E25/D25-1,0)</f>
        <v>0.6496091667655266</v>
      </c>
      <c r="H25" s="88">
        <f ca="1">H24</f>
        <v>3812841.5646378254</v>
      </c>
      <c r="I25" s="89">
        <f t="shared" ref="I25:I42" ca="1" si="2">H25-E25</f>
        <v>815441.53777782526</v>
      </c>
      <c r="J25" s="34">
        <f t="shared" ref="J25:J42" ca="1" si="3">IF(E25&lt;&gt;0,H25/E25-1,0)</f>
        <v>0.27204961982737452</v>
      </c>
      <c r="K25" s="89">
        <f t="shared" ref="K25:K42" ca="1" si="4">H25-D25</f>
        <v>1995805.0888178248</v>
      </c>
      <c r="L25" s="35">
        <f t="shared" ref="L25:L42" ca="1" si="5">IF(D25&lt;&gt;0,H25/D25-1,0)</f>
        <v>1.0983847134478402</v>
      </c>
    </row>
    <row r="26" spans="1:12" ht="15.75" thickBot="1" x14ac:dyDescent="0.3">
      <c r="B26" s="3" t="s">
        <v>4</v>
      </c>
      <c r="C26" s="116" t="s">
        <v>12</v>
      </c>
      <c r="D26" s="72">
        <f ca="1">_xll.DBR("CXMD:FTM_DATA_BALANCE_SHEET","Total_Customer_Supplier",Month,D$22,ori,"TOTAL PRODUCT","B-330010","Total Allocation","Amount_BS")*-1/1000</f>
        <v>41134.88895</v>
      </c>
      <c r="E26" s="72">
        <f ca="1">_xll.DBR("CXMD:FTM_DATA_BALANCE_SHEET","Total_Customer_Supplier",Month,E$22,ori,"TOTAL PRODUCT","B-330010","Total Allocation","Amount_BS")*-1/1000</f>
        <v>42178.299039999991</v>
      </c>
      <c r="F26" s="73">
        <f t="shared" ca="1" si="0"/>
        <v>1043.4100899999903</v>
      </c>
      <c r="G26" s="17">
        <f t="shared" ca="1" si="1"/>
        <v>2.5365574494883525E-2</v>
      </c>
      <c r="H26" s="72">
        <f ca="1">_xll.DBR("CXMD:FTM_DATA_BALANCE_SHEET","Total_Customer_Supplier",Month,H$22,ori,"TOTAL PRODUCT","B-330010","Total Allocation","Amount_BS")*-1/1000</f>
        <v>42076.790531177474</v>
      </c>
      <c r="I26" s="73">
        <f t="shared" ca="1" si="2"/>
        <v>-101.50850882251689</v>
      </c>
      <c r="J26" s="17">
        <f t="shared" ca="1" si="3"/>
        <v>-2.4066524998139771E-3</v>
      </c>
      <c r="K26" s="73">
        <f t="shared" ca="1" si="4"/>
        <v>941.90158117747342</v>
      </c>
      <c r="L26" s="17">
        <f t="shared" ca="1" si="5"/>
        <v>2.2897875871802365E-2</v>
      </c>
    </row>
    <row r="27" spans="1:12" ht="16.5" thickBot="1" x14ac:dyDescent="0.3">
      <c r="B27" s="32" t="s">
        <v>47</v>
      </c>
      <c r="C27" s="31"/>
      <c r="D27" s="88">
        <f ca="1">D25+D26</f>
        <v>1858171.3647700006</v>
      </c>
      <c r="E27" s="88">
        <f ca="1">E25+E26</f>
        <v>3039578.3259000001</v>
      </c>
      <c r="F27" s="89">
        <f t="shared" ca="1" si="0"/>
        <v>1181406.9611299995</v>
      </c>
      <c r="G27" s="34">
        <f t="shared" ca="1" si="1"/>
        <v>0.63579010177903084</v>
      </c>
      <c r="H27" s="88">
        <f ca="1">H25+H26</f>
        <v>3854918.3551690029</v>
      </c>
      <c r="I27" s="89">
        <f t="shared" ca="1" si="2"/>
        <v>815340.02926900284</v>
      </c>
      <c r="J27" s="34">
        <f t="shared" ca="1" si="3"/>
        <v>0.26824116434886935</v>
      </c>
      <c r="K27" s="89">
        <f t="shared" ca="1" si="4"/>
        <v>1996746.9903990023</v>
      </c>
      <c r="L27" s="35">
        <f t="shared" ca="1" si="5"/>
        <v>1.0745763433105937</v>
      </c>
    </row>
    <row r="28" spans="1:12" ht="15.75" thickBot="1" x14ac:dyDescent="0.3">
      <c r="B28" s="3" t="s">
        <v>5</v>
      </c>
      <c r="C28" s="116" t="s">
        <v>12</v>
      </c>
      <c r="D28" s="72">
        <f ca="1">(_xll.DBR("CXMD:FTM_DATA_BALANCE_SHEET","Total_Customer_Supplier",Month,D$22,ori,"TOTAL PRODUCT","B-452010","Total Allocation","Amount_BS")/1000)+(_xll.DBR("CXMD:FTM_DATA_BALANCE_SHEET","Total_Customer_Supplier",Month,D$22,ori,"TOTAL PRODUCT","B-452210","Total Allocation","Amount_BS")/1000)</f>
        <v>28093.554539999983</v>
      </c>
      <c r="E28" s="72">
        <f ca="1">(_xll.DBR("CXMD:FTM_DATA_BALANCE_SHEET","Total_Customer_Supplier",Month,E$22,ori,"TOTAL PRODUCT","B-452010","Total Allocation","Amount_BS")/1000)+(_xll.DBR("CXMD:FTM_DATA_BALANCE_SHEET","Total_Customer_Supplier",Month,E$22,ori,"TOTAL PRODUCT","B-452210","Total Allocation","Amount_BS")/1000)</f>
        <v>10968.91402</v>
      </c>
      <c r="F28" s="73">
        <f t="shared" ca="1" si="0"/>
        <v>-17124.640519999983</v>
      </c>
      <c r="G28" s="17">
        <f t="shared" ca="1" si="1"/>
        <v>-0.60955762986907502</v>
      </c>
      <c r="H28" s="72">
        <f ca="1">(_xll.DBR("CXMD:FTM_DATA_BALANCE_SHEET","Total_Customer_Supplier",Month,H$22,ori,"TOTAL PRODUCT","B-452010","Total Allocation","Amount_BS")/1000)+(_xll.DBR("CXMD:FTM_DATA_BALANCE_SHEET","Total_Customer_Supplier",Month,H$22,ori,"TOTAL PRODUCT","B-452210","Total Allocation","Amount_BS")/1000)</f>
        <v>1614.5983694002248</v>
      </c>
      <c r="I28" s="73">
        <f t="shared" ca="1" si="2"/>
        <v>-9354.3156505997758</v>
      </c>
      <c r="J28" s="17">
        <f t="shared" ca="1" si="3"/>
        <v>-0.85280234976258618</v>
      </c>
      <c r="K28" s="73">
        <f t="shared" ca="1" si="4"/>
        <v>-26478.956170599758</v>
      </c>
      <c r="L28" s="17">
        <f t="shared" ca="1" si="5"/>
        <v>-0.94252780056360119</v>
      </c>
    </row>
    <row r="29" spans="1:12" ht="15.75" x14ac:dyDescent="0.25">
      <c r="B29" s="126" t="s">
        <v>61</v>
      </c>
      <c r="C29" s="120"/>
      <c r="D29" s="90">
        <f ca="1">(_xll.DBR("CXMD:FTM_DATA_BALANCE_SHEET","Total_Customer_Supplier",Month,D$22,ori,"TOTAL PRODUCT","B-401010","Total Allocation","Amount_BS")/1000)+(_xll.DBR("CXMD:FTM_DATA_BALANCE_SHEET","Total_Customer_Supplier",Month,D$22,ori,"TOTAL PRODUCT","B-401020","Total Allocation","Amount_BS")/1000)+(_xll.DBR("CXMD:FTM_DATA_BALANCE_SHEET","Total_Customer_Supplier",Month,D$22,ori,"TOTAL PRODUCT","B-402110","Total Allocation","Amount_BS")/1000)+(_xll.DBR("CXMD:FTM_DATA_BALANCE_SHEET","Total_Customer_Supplier",Month,D$22,ori,"TOTAL PRODUCT","B-402111","Total Allocation","Amount_BS")/1000)+(_xll.DBR("CXMD:FTM_DATA_BALANCE_SHEET","Total_Customer_Supplier",Month,D$22,ori,"TOTAL PRODUCT","B-407010","Total Allocation","Amount_BS")/1000)+(_xll.DBR("CXMD:FTM_DATA_BALANCE_SHEET","Total_Customer_Supplier",Month,D$22,ori,"TOTAL PRODUCT","B-310010","Total Allocation","Amount_BS")/1000)</f>
        <v>2237381.3866399992</v>
      </c>
      <c r="E29" s="90">
        <f ca="1">(_xll.DBR("CXMD:FTM_DATA_BALANCE_SHEET","Total_Customer_Supplier",Month,E$22,ori,"TOTAL PRODUCT","B-401010","Total Allocation","Amount_BS")/1000)+(_xll.DBR("CXMD:FTM_DATA_BALANCE_SHEET","Total_Customer_Supplier",Month,E$22,ori,"TOTAL PRODUCT","B-401020","Total Allocation","Amount_BS")/1000)+(_xll.DBR("CXMD:FTM_DATA_BALANCE_SHEET","Total_Customer_Supplier",Month,E$22,ori,"TOTAL PRODUCT","B-402110","Total Allocation","Amount_BS")/1000)+(_xll.DBR("CXMD:FTM_DATA_BALANCE_SHEET","Total_Customer_Supplier",Month,E$22,ori,"TOTAL PRODUCT","B-402111","Total Allocation","Amount_BS")/1000)+(_xll.DBR("CXMD:FTM_DATA_BALANCE_SHEET","Total_Customer_Supplier",Month,E$22,ori,"TOTAL PRODUCT","B-407010","Total Allocation","Amount_BS")/1000)+(_xll.DBR("CXMD:FTM_DATA_BALANCE_SHEET","Total_Customer_Supplier",Month,E$22,ori,"TOTAL PRODUCT","B-310010","Total Allocation","Amount_BS")/1000)</f>
        <v>3143767.21942</v>
      </c>
      <c r="F29" s="127">
        <f ca="1">E29-D29</f>
        <v>906385.83278000075</v>
      </c>
      <c r="G29" s="37">
        <f ca="1">IF(D29&lt;&gt;0,E29/D29-1,0)</f>
        <v>0.405110115866822</v>
      </c>
      <c r="H29" s="90">
        <f ca="1">(_xll.DBR("CXMD:FTM_DATA_BALANCE_SHEET","Total_Customer_Supplier",Month,H$22,ori,"TOTAL PRODUCT","B-401010","Total Allocation","Amount_BS")/1000)+(_xll.DBR("CXMD:FTM_DATA_BALANCE_SHEET","Total_Customer_Supplier",Month,H$22,ori,"TOTAL PRODUCT","B-401020","Total Allocation","Amount_BS")/1000)+(_xll.DBR("CXMD:FTM_DATA_BALANCE_SHEET","Total_Customer_Supplier",Month,H$22,ori,"TOTAL PRODUCT","B-402110","Total Allocation","Amount_BS")/1000)+(_xll.DBR("CXMD:FTM_DATA_BALANCE_SHEET","Total_Customer_Supplier",Month,H$22,ori,"TOTAL PRODUCT","B-402111","Total Allocation","Amount_BS")/1000)+(_xll.DBR("CXMD:FTM_DATA_BALANCE_SHEET","Total_Customer_Supplier",Month,H$22,ori,"TOTAL PRODUCT","B-407010","Total Allocation","Amount_BS")/1000)+(_xll.DBR("CXMD:FTM_DATA_BALANCE_SHEET","Total_Customer_Supplier",Month,H$22,ori,"TOTAL PRODUCT","B-310010","Total Allocation","Amount_BS")/1000)</f>
        <v>2679372.1713607023</v>
      </c>
      <c r="I29" s="91">
        <f ca="1">H29-E29</f>
        <v>-464395.04805929773</v>
      </c>
      <c r="J29" s="37">
        <f ca="1">IF(E29&lt;&gt;0,H29/E29-1,0)</f>
        <v>-0.14771928569984105</v>
      </c>
      <c r="K29" s="91">
        <f ca="1">H29-D29</f>
        <v>441990.78472070303</v>
      </c>
      <c r="L29" s="38">
        <f ca="1">IF(D29&lt;&gt;0,H29/D29-1,0)</f>
        <v>0.19754825322135416</v>
      </c>
    </row>
    <row r="30" spans="1:12" ht="15.75" thickBot="1" x14ac:dyDescent="0.3">
      <c r="B30" s="39"/>
      <c r="C30" s="121" t="s">
        <v>60</v>
      </c>
      <c r="D30" s="41">
        <f ca="1">IF(D25&lt;&gt;0,D29/D25,0)</f>
        <v>1.2313354279970101</v>
      </c>
      <c r="E30" s="41">
        <f ca="1">IF(E25&lt;&gt;0,E29/E25,0)</f>
        <v>1.0488313842825079</v>
      </c>
      <c r="F30" s="101"/>
      <c r="G30" s="102">
        <f ca="1">(E30-D30)*100</f>
        <v>-18.250404371450223</v>
      </c>
      <c r="H30" s="41">
        <f ca="1">IF(H25&lt;&gt;0,H29/H25,0)</f>
        <v>0.70272318582826054</v>
      </c>
      <c r="I30" s="101"/>
      <c r="J30" s="102">
        <f ca="1">(H30-E30)*100</f>
        <v>-34.610819845424736</v>
      </c>
      <c r="K30" s="101"/>
      <c r="L30" s="103">
        <f ca="1">(H30-D30)*100</f>
        <v>-52.861224216874959</v>
      </c>
    </row>
    <row r="31" spans="1:12" ht="15.75" x14ac:dyDescent="0.25">
      <c r="B31" s="42" t="s">
        <v>48</v>
      </c>
      <c r="C31" s="43"/>
      <c r="D31" s="92">
        <f ca="1">D27-D29</f>
        <v>-379210.02186999866</v>
      </c>
      <c r="E31" s="92">
        <f ca="1">E27-E29</f>
        <v>-104188.89351999993</v>
      </c>
      <c r="F31" s="93">
        <f t="shared" ca="1" si="0"/>
        <v>275021.12834999873</v>
      </c>
      <c r="G31" s="44">
        <f t="shared" ca="1" si="1"/>
        <v>-0.72524752113297764</v>
      </c>
      <c r="H31" s="92">
        <f ca="1">H27-H29</f>
        <v>1175546.1838083006</v>
      </c>
      <c r="I31" s="93">
        <f t="shared" ca="1" si="2"/>
        <v>1279735.0773283006</v>
      </c>
      <c r="J31" s="44">
        <f t="shared" ca="1" si="3"/>
        <v>-12.282835857956824</v>
      </c>
      <c r="K31" s="93">
        <f t="shared" ca="1" si="4"/>
        <v>1554756.2056782993</v>
      </c>
      <c r="L31" s="45">
        <f t="shared" ca="1" si="5"/>
        <v>-4.099987120623366</v>
      </c>
    </row>
    <row r="32" spans="1:12" ht="15.75" thickBot="1" x14ac:dyDescent="0.3">
      <c r="B32" s="46"/>
      <c r="C32" s="122" t="s">
        <v>60</v>
      </c>
      <c r="D32" s="48">
        <f ca="1">IF(D25&lt;&gt;0,D31/D25,0)</f>
        <v>-0.20869697824798317</v>
      </c>
      <c r="E32" s="48">
        <f ca="1">IF(E25&lt;&gt;0,E31/E25,0)</f>
        <v>-3.4759755983970402E-2</v>
      </c>
      <c r="F32" s="104"/>
      <c r="G32" s="105">
        <f ca="1">(E32-D32)*100</f>
        <v>17.393722226401277</v>
      </c>
      <c r="H32" s="48">
        <f ca="1">IF(H25&lt;&gt;0,H31/H25,0)</f>
        <v>0.30831236071042034</v>
      </c>
      <c r="I32" s="104"/>
      <c r="J32" s="105">
        <f ca="1">(H32-E32)*100</f>
        <v>34.307211669439077</v>
      </c>
      <c r="K32" s="104"/>
      <c r="L32" s="106">
        <f ca="1">(H32-D32)*100</f>
        <v>51.70093389584035</v>
      </c>
    </row>
    <row r="33" spans="2:12" ht="15.75" x14ac:dyDescent="0.25">
      <c r="B33" s="49" t="s">
        <v>7</v>
      </c>
      <c r="C33" s="117" t="s">
        <v>12</v>
      </c>
      <c r="D33" s="94">
        <f ca="1">(_xll.DBR("CXMD:FTM_DATA_BALANCE_SHEET","Total_Customer_Supplier",Month,D$22,ori,"TOTAL PRODUCT","B-430010","Total Allocation","Amount_BS")/1000)+(_xll.DBR("CXMD:FTM_DATA_BALANCE_SHEET","Total_Customer_Supplier",Month,D$22,ori,"TOTAL PRODUCT","B-430040","Total Allocation","Amount_BS")/1000)+(_xll.DBR("CXMD:FTM_DATA_BALANCE_SHEET","Total_Customer_Supplier",Month,D$22,ori,"TOTAL PRODUCT","B-431040","Total Allocation","Amount_BS")/1000)+(_xll.DBR("CXMD:FTM_DATA_BALANCE_SHEET","Total_Customer_Supplier",Month,D$22,ori,"TOTAL PRODUCT","B-437010","Total Allocation","Amount_BS")/1000)+(_xll.DBR("CXMD:FTM_DATA_BALANCE_SHEET","Total_Customer_Supplier",Month,D$22,ori,"TOTAL PRODUCT","B-438010","Total Allocation","Amount_BS")/1000)</f>
        <v>334553.31451999996</v>
      </c>
      <c r="E33" s="94">
        <f ca="1">(_xll.DBR("CXMD:FTM_DATA_BALANCE_SHEET","Total_Customer_Supplier",Month,E$22,ori,"TOTAL PRODUCT","B-430010","Total Allocation","Amount_BS")/1000)+(_xll.DBR("CXMD:FTM_DATA_BALANCE_SHEET","Total_Customer_Supplier",Month,E$22,ori,"TOTAL PRODUCT","B-430040","Total Allocation","Amount_BS")/1000)+(_xll.DBR("CXMD:FTM_DATA_BALANCE_SHEET","Total_Customer_Supplier",Month,E$22,ori,"TOTAL PRODUCT","B-431040","Total Allocation","Amount_BS")/1000)+(_xll.DBR("CXMD:FTM_DATA_BALANCE_SHEET","Total_Customer_Supplier",Month,E$22,ori,"TOTAL PRODUCT","B-437010","Total Allocation","Amount_BS")/1000)+(_xll.DBR("CXMD:FTM_DATA_BALANCE_SHEET","Total_Customer_Supplier",Month,E$22,ori,"TOTAL PRODUCT","B-438010","Total Allocation","Amount_BS")/1000)</f>
        <v>376178.71387999994</v>
      </c>
      <c r="F33" s="95">
        <f ca="1">E33-D33</f>
        <v>41625.399359999981</v>
      </c>
      <c r="G33" s="50">
        <f t="shared" ca="1" si="1"/>
        <v>0.12442082488323858</v>
      </c>
      <c r="H33" s="94">
        <f ca="1">(_xll.DBR("CXMD:FTM_DATA_BALANCE_SHEET","Total_Customer_Supplier",Month,E$22,ori,"TOTAL PRODUCT","B-430010","Total Allocation","Amount_BS")/1000)+(_xll.DBR("CXMD:FTM_DATA_BALANCE_SHEET","Total_Customer_Supplier",Month,E$22,ori,"TOTAL PRODUCT","B-430040","Total Allocation","Amount_BS")/1000)+(_xll.DBR("CXMD:FTM_DATA_BALANCE_SHEET","Total_Customer_Supplier",Month,E$22,ori,"TOTAL PRODUCT","B-431040","Total Allocation","Amount_BS")/1000)+(_xll.DBR("CXMD:FTM_DATA_BALANCE_SHEET","Total_Customer_Supplier",Month,E$22,ori,"TOTAL PRODUCT","B-437010","Total Allocation","Amount_BS")/1000)+(_xll.DBR("CXMD:FTM_DATA_BALANCE_SHEET","Total_Customer_Supplier",Month,E$22,ori,"TOTAL PRODUCT","B-438010","Total Allocation","Amount_BS")/1000)</f>
        <v>376178.71387999994</v>
      </c>
      <c r="I33" s="95">
        <f ca="1">H33-E33</f>
        <v>0</v>
      </c>
      <c r="J33" s="50">
        <f t="shared" ca="1" si="3"/>
        <v>0</v>
      </c>
      <c r="K33" s="95">
        <f ca="1">H33-D33</f>
        <v>41625.399359999981</v>
      </c>
      <c r="L33" s="51">
        <f t="shared" ca="1" si="5"/>
        <v>0.12442082488323858</v>
      </c>
    </row>
    <row r="34" spans="2:12" ht="15.75" thickBot="1" x14ac:dyDescent="0.3">
      <c r="B34" s="52"/>
      <c r="C34" s="123" t="s">
        <v>60</v>
      </c>
      <c r="D34" s="54">
        <f ca="1">IF(D25&lt;&gt;0,D33/D25,0)</f>
        <v>0.18412030741926697</v>
      </c>
      <c r="E34" s="54">
        <f ca="1">IF(E25&lt;&gt;0,E33/E25,0)</f>
        <v>0.12550167161841097</v>
      </c>
      <c r="F34" s="107"/>
      <c r="G34" s="108">
        <f ca="1">(E34-D34)*100</f>
        <v>-5.8618635800855996</v>
      </c>
      <c r="H34" s="54">
        <f ca="1">IF(H25&lt;&gt;0,H33/H25,0)</f>
        <v>9.8660987482109677E-2</v>
      </c>
      <c r="I34" s="107"/>
      <c r="J34" s="108">
        <f ca="1">(H34-E34)*100</f>
        <v>-2.6840684136301292</v>
      </c>
      <c r="K34" s="107"/>
      <c r="L34" s="109">
        <f ca="1">(H34-D34)*100</f>
        <v>-8.5459319937157296</v>
      </c>
    </row>
    <row r="35" spans="2:12" ht="15.75" x14ac:dyDescent="0.25">
      <c r="B35" s="55" t="s">
        <v>8</v>
      </c>
      <c r="C35" s="118" t="s">
        <v>12</v>
      </c>
      <c r="D35" s="96">
        <f ca="1">(_xll.DBR("CXMD:FTM_DATA_BALANCE_SHEET","Total_Customer_Supplier",Month,D$22,ori,"TOTAL PRODUCT","B-451010","Total Allocation","Amount_BS")/1000)+(_xll.DBR("CXMD:FTM_DATA_BALANCE_SHEET","Total_Customer_Supplier",Month,D$22,ori,"TOTAL PRODUCT","B-451020","Total Allocation","Amount_BS")/1000)+(_xll.DBR("CXMD:FTM_DATA_BALANCE_SHEET","Total_Customer_Supplier",Month,D$22,ori,"TOTAL PRODUCT","B-451030","Total Allocation","Amount_BS")/1000)+(_xll.DBR("CXMD:FTM_DATA_BALANCE_SHEET","Total_Customer_Supplier",Month,D$22,ori,"TOTAL PRODUCT","B-451110","Total Allocation","Amount_BS")/1000)+(_xll.DBR("CXMD:FTM_DATA_BALANCE_SHEET","Total_Customer_Supplier",Month,D$22,ori,"TOTAL PRODUCT","B-451210","Total Allocation","Amount_BS")/1000)+(_xll.DBR("CXMD:FTM_DATA_BALANCE_SHEET","Total_Customer_Supplier",Month,D$22,ori,"TOTAL PRODUCT","B-451220","Total Allocation","Amount_BS")/1000)+(_xll.DBR("CXMD:FTM_DATA_BALANCE_SHEET","Total_Customer_Supplier",Month,D$22,ori,"TOTAL PRODUCT","B-451310","Total Allocation","Amount_BS")/1000)+(_xll.DBR("CXMD:FTM_DATA_BALANCE_SHEET","Total_Customer_Supplier",Month,D$22,ori,"TOTAL PRODUCT","B-451450","Total Allocation","Amount_BS")/1000)+(_xll.DBR("CXMD:FTM_DATA_BALANCE_SHEET","Total_Customer_Supplier",Month,D$22,ori,"TOTAL PRODUCT","B-451510","Total Allocation","Amount_BS")/1000)+(_xll.DBR("CXMD:FTM_DATA_BALANCE_SHEET","Total_Customer_Supplier",Month,D$22,ori,"TOTAL PRODUCT","B-451610","Total Allocation","Amount_BS")/1000)+(_xll.DBR("CXMD:FTM_DATA_BALANCE_SHEET","Total_Customer_Supplier",Month,D$22,ori,"TOTAL PRODUCT","B-451620","Total Allocation","Amount_BS")/1000)</f>
        <v>315919.99868999998</v>
      </c>
      <c r="E35" s="96">
        <f ca="1">(_xll.DBR("CXMD:FTM_DATA_BALANCE_SHEET","Total_Customer_Supplier",Month,E$22,ori,"TOTAL PRODUCT","B-451010","Total Allocation","Amount_BS")/1000)+(_xll.DBR("CXMD:FTM_DATA_BALANCE_SHEET","Total_Customer_Supplier",Month,E$22,ori,"TOTAL PRODUCT","B-451020","Total Allocation","Amount_BS")/1000)+(_xll.DBR("CXMD:FTM_DATA_BALANCE_SHEET","Total_Customer_Supplier",Month,E$22,ori,"TOTAL PRODUCT","B-451030","Total Allocation","Amount_BS")/1000)+(_xll.DBR("CXMD:FTM_DATA_BALANCE_SHEET","Total_Customer_Supplier",Month,E$22,ori,"TOTAL PRODUCT","B-451110","Total Allocation","Amount_BS")/1000)+(_xll.DBR("CXMD:FTM_DATA_BALANCE_SHEET","Total_Customer_Supplier",Month,E$22,ori,"TOTAL PRODUCT","B-451210","Total Allocation","Amount_BS")/1000)+(_xll.DBR("CXMD:FTM_DATA_BALANCE_SHEET","Total_Customer_Supplier",Month,E$22,ori,"TOTAL PRODUCT","B-451220","Total Allocation","Amount_BS")/1000)+(_xll.DBR("CXMD:FTM_DATA_BALANCE_SHEET","Total_Customer_Supplier",Month,E$22,ori,"TOTAL PRODUCT","B-451310","Total Allocation","Amount_BS")/1000)+(_xll.DBR("CXMD:FTM_DATA_BALANCE_SHEET","Total_Customer_Supplier",Month,E$22,ori,"TOTAL PRODUCT","B-451450","Total Allocation","Amount_BS")/1000)+(_xll.DBR("CXMD:FTM_DATA_BALANCE_SHEET","Total_Customer_Supplier",Month,E$22,ori,"TOTAL PRODUCT","B-451510","Total Allocation","Amount_BS")/1000)+(_xll.DBR("CXMD:FTM_DATA_BALANCE_SHEET","Total_Customer_Supplier",Month,E$22,ori,"TOTAL PRODUCT","B-451610","Total Allocation","Amount_BS")/1000)+(_xll.DBR("CXMD:FTM_DATA_BALANCE_SHEET","Total_Customer_Supplier",Month,E$22,ori,"TOTAL PRODUCT","B-451620","Total Allocation","Amount_BS")/1000)</f>
        <v>325764.40101999999</v>
      </c>
      <c r="F35" s="97">
        <f ca="1">E35-D35</f>
        <v>9844.4023300000117</v>
      </c>
      <c r="G35" s="56">
        <f ca="1">IF(D35&lt;&gt;0,E35/D35-1,0)</f>
        <v>3.1161060935746443E-2</v>
      </c>
      <c r="H35" s="96">
        <f ca="1">(_xll.DBR("CXMD:FTM_DATA_BALANCE_SHEET","Total_Customer_Supplier",Month,H$22,ori,"TOTAL PRODUCT","B-451010","Total Allocation","Amount_BS")/1000)+(_xll.DBR("CXMD:FTM_DATA_BALANCE_SHEET","Total_Customer_Supplier",Month,H$22,ori,"TOTAL PRODUCT","B-451020","Total Allocation","Amount_BS")/1000)+(_xll.DBR("CXMD:FTM_DATA_BALANCE_SHEET","Total_Customer_Supplier",Month,H$22,ori,"TOTAL PRODUCT","B-451030","Total Allocation","Amount_BS")/1000)+(_xll.DBR("CXMD:FTM_DATA_BALANCE_SHEET","Total_Customer_Supplier",Month,H$22,ori,"TOTAL PRODUCT","B-451110","Total Allocation","Amount_BS")/1000)+(_xll.DBR("CXMD:FTM_DATA_BALANCE_SHEET","Total_Customer_Supplier",Month,H$22,ori,"TOTAL PRODUCT","B-451210","Total Allocation","Amount_BS")/1000)+(_xll.DBR("CXMD:FTM_DATA_BALANCE_SHEET","Total_Customer_Supplier",Month,H$22,ori,"TOTAL PRODUCT","B-451220","Total Allocation","Amount_BS")/1000)+(_xll.DBR("CXMD:FTM_DATA_BALANCE_SHEET","Total_Customer_Supplier",Month,H$22,ori,"TOTAL PRODUCT","B-451310","Total Allocation","Amount_BS")/1000)+(_xll.DBR("CXMD:FTM_DATA_BALANCE_SHEET","Total_Customer_Supplier",Month,H$22,ori,"TOTAL PRODUCT","B-451450","Total Allocation","Amount_BS")/1000)+(_xll.DBR("CXMD:FTM_DATA_BALANCE_SHEET","Total_Customer_Supplier",Month,H$22,ori,"TOTAL PRODUCT","B-451510","Total Allocation","Amount_BS")/1000)+(_xll.DBR("CXMD:FTM_DATA_BALANCE_SHEET","Total_Customer_Supplier",Month,H$22,ori,"TOTAL PRODUCT","B-451610","Total Allocation","Amount_BS")/1000)+(_xll.DBR("CXMD:FTM_DATA_BALANCE_SHEET","Total_Customer_Supplier",Month,H$22,ori,"TOTAL PRODUCT","B-451620","Total Allocation","Amount_BS")/1000)</f>
        <v>322374.29731074197</v>
      </c>
      <c r="I35" s="97">
        <f ca="1">H35-E35</f>
        <v>-3390.1037092580227</v>
      </c>
      <c r="J35" s="56">
        <f ca="1">IF(E35&lt;&gt;0,H35/E35-1,0)</f>
        <v>-1.0406611952206157E-2</v>
      </c>
      <c r="K35" s="97">
        <f ca="1">H35-D35</f>
        <v>6454.298620741989</v>
      </c>
      <c r="L35" s="57">
        <f ca="1">IF(D35&lt;&gt;0,H35/D35-1,0)</f>
        <v>2.0430167914362807E-2</v>
      </c>
    </row>
    <row r="36" spans="2:12" ht="15.75" thickBot="1" x14ac:dyDescent="0.3">
      <c r="B36" s="58"/>
      <c r="C36" s="124" t="s">
        <v>60</v>
      </c>
      <c r="D36" s="60">
        <f ca="1">IF(D25&lt;&gt;0,D35/D25,0)</f>
        <v>0.17386552383183732</v>
      </c>
      <c r="E36" s="60">
        <f ca="1">IF(E25&lt;&gt;0,E35/E25,0)</f>
        <v>0.10868232404777232</v>
      </c>
      <c r="F36" s="110"/>
      <c r="G36" s="111">
        <f ca="1">(E36-D36)*100</f>
        <v>-6.5183199784064989</v>
      </c>
      <c r="H36" s="60">
        <f ca="1">IF(H25&lt;&gt;0,H35/H25,0)</f>
        <v>8.4549617875707278E-2</v>
      </c>
      <c r="I36" s="110"/>
      <c r="J36" s="111">
        <f ca="1">(H36-E36)*100</f>
        <v>-2.4132706172065048</v>
      </c>
      <c r="K36" s="110"/>
      <c r="L36" s="112">
        <f ca="1">(H36-D36)*100</f>
        <v>-8.9315905956130042</v>
      </c>
    </row>
    <row r="37" spans="2:12" x14ac:dyDescent="0.25">
      <c r="B37" s="3" t="s">
        <v>9</v>
      </c>
      <c r="C37" s="116" t="s">
        <v>12</v>
      </c>
      <c r="D37" s="72">
        <f ca="1">_xll.DBR("CXMD:FTM_DATA_BALANCE_SHEET","Total_Customer_Supplier",Month,D$22,ori,"TOTAL PRODUCT","B-453010","Total Allocation","Amount_BS")/1000</f>
        <v>27014.456449999998</v>
      </c>
      <c r="E37" s="72">
        <f ca="1">_xll.DBR("CXMD:FTM_DATA_BALANCE_SHEET","Total_Customer_Supplier",Month,E$22,ori,"TOTAL PRODUCT","B-453010","Total Allocation","Amount_BS")/1000</f>
        <v>-21865.672500000001</v>
      </c>
      <c r="F37" s="73">
        <f ca="1">E37-D37</f>
        <v>-48880.128949999998</v>
      </c>
      <c r="G37" s="17">
        <f ca="1">IF(D37&lt;&gt;0,E37/D37-1,0)</f>
        <v>-1.8094063465785557</v>
      </c>
      <c r="H37" s="72">
        <f ca="1">_xll.DBR("CXMD:FTM_DATA_BALANCE_SHEET","Total_Customer_Supplier",Month,H$22,ori,"TOTAL PRODUCT","B-453010","Total Allocation","Amount_BS")/1000</f>
        <v>-4704.2695852882862</v>
      </c>
      <c r="I37" s="73">
        <f ca="1">H37-E37</f>
        <v>17161.402914711714</v>
      </c>
      <c r="J37" s="17">
        <f ca="1">IF(E37&lt;&gt;0,H37/E37-1,0)</f>
        <v>-0.78485593867335723</v>
      </c>
      <c r="K37" s="73">
        <f ca="1">H37-D37</f>
        <v>-31718.726035288284</v>
      </c>
      <c r="L37" s="17">
        <f ca="1">IF(D37&lt;&gt;0,H37/D37-1,0)</f>
        <v>-1.1741389686664707</v>
      </c>
    </row>
    <row r="38" spans="2:12" ht="15.75" thickBot="1" x14ac:dyDescent="0.3">
      <c r="B38" s="3" t="s">
        <v>10</v>
      </c>
      <c r="C38" s="116" t="s">
        <v>12</v>
      </c>
      <c r="D38" s="72">
        <f ca="1">(_xll.DBR("CXMD:FTM_DATA_BALANCE_SHEET","Total_Customer_Supplier",Month,D$22,ori,"TOTAL PRODUCT","B-470010","Total Allocation","Amount_BS")/1000)+(_xll.DBR("CXMD:FTM_DATA_BALANCE_SHEET","Total_Customer_Supplier",Month,D$22,ori,"TOTAL PRODUCT","B-475010","Total Allocation","Amount_BS")/1000)</f>
        <v>41315.027569999998</v>
      </c>
      <c r="E38" s="72">
        <f ca="1">(_xll.DBR("CXMD:FTM_DATA_BALANCE_SHEET","Total_Customer_Supplier",Month,E$22,ori,"TOTAL PRODUCT","B-470010","Total Allocation","Amount_BS")/1000)+(_xll.DBR("CXMD:FTM_DATA_BALANCE_SHEET","Total_Customer_Supplier",Month,E$22,ori,"TOTAL PRODUCT","B-475010","Total Allocation","Amount_BS")/1000)</f>
        <v>41112.569899999995</v>
      </c>
      <c r="F38" s="73">
        <f ca="1">E38-D38</f>
        <v>-202.45767000000342</v>
      </c>
      <c r="G38" s="17">
        <f ca="1">IF(D38&lt;&gt;0,E38/D38-1,0)</f>
        <v>-4.9003397046505359E-3</v>
      </c>
      <c r="H38" s="72">
        <f ca="1">(_xll.DBR("CXMD:FTM_DATA_BALANCE_SHEET","Total_Customer_Supplier",Month,H$22,ori,"TOTAL PRODUCT","B-470010","Total Allocation","Amount_BS")/1000)+(_xll.DBR("CXMD:FTM_DATA_BALANCE_SHEET","Total_Customer_Supplier",Month,H$22,ori,"TOTAL PRODUCT","B-475010","Total Allocation","Amount_BS")/1000)</f>
        <v>46129.991186469771</v>
      </c>
      <c r="I38" s="73">
        <f ca="1">H38-E38</f>
        <v>5017.4212864697765</v>
      </c>
      <c r="J38" s="17">
        <f ca="1">IF(E38&lt;&gt;0,H38/E38-1,0)</f>
        <v>0.12204105213256877</v>
      </c>
      <c r="K38" s="73">
        <f ca="1">H38-D38</f>
        <v>4814.9636164697731</v>
      </c>
      <c r="L38" s="17">
        <f ca="1">IF(D38&lt;&gt;0,H38/D38-1,0)</f>
        <v>0.11654266981455574</v>
      </c>
    </row>
    <row r="39" spans="2:12" ht="15.75" x14ac:dyDescent="0.25">
      <c r="B39" s="61" t="s">
        <v>49</v>
      </c>
      <c r="C39" s="62"/>
      <c r="D39" s="98">
        <f ca="1">D27-D29-D33-D35-D37-D38-D28</f>
        <v>-1126106.3736399985</v>
      </c>
      <c r="E39" s="98">
        <f ca="1">E27-E29-E33-E35-E37-E38-E28</f>
        <v>-836347.81983999989</v>
      </c>
      <c r="F39" s="99">
        <f t="shared" ca="1" si="0"/>
        <v>289758.5537999986</v>
      </c>
      <c r="G39" s="63">
        <f t="shared" ca="1" si="1"/>
        <v>-0.2573101090471499</v>
      </c>
      <c r="H39" s="98">
        <f ca="1">H27-H29-H33-H35-H37-H38-H28</f>
        <v>433952.852646977</v>
      </c>
      <c r="I39" s="99">
        <f t="shared" ca="1" si="2"/>
        <v>1270300.672486977</v>
      </c>
      <c r="J39" s="63">
        <f t="shared" ca="1" si="3"/>
        <v>-1.518866483958786</v>
      </c>
      <c r="K39" s="99">
        <f t="shared" ca="1" si="4"/>
        <v>1560059.2262869754</v>
      </c>
      <c r="L39" s="64">
        <f t="shared" ca="1" si="5"/>
        <v>-1.3853568923904396</v>
      </c>
    </row>
    <row r="40" spans="2:12" ht="15.75" thickBot="1" x14ac:dyDescent="0.3">
      <c r="B40" s="65"/>
      <c r="C40" s="125" t="s">
        <v>50</v>
      </c>
      <c r="D40" s="67">
        <f ca="1">IF(D24&lt;&gt;0,D39/D24,0)</f>
        <v>-0.61974890907558922</v>
      </c>
      <c r="E40" s="67">
        <f ca="1">IF(E24&lt;&gt;0,E39/E24,0)</f>
        <v>-0.2790244252837138</v>
      </c>
      <c r="F40" s="113"/>
      <c r="G40" s="114">
        <f ca="1">(E40-D40)*100</f>
        <v>34.072448379187541</v>
      </c>
      <c r="H40" s="67">
        <f ca="1">IF(H24&lt;&gt;0,H39/H24,0)</f>
        <v>0.11381350242078506</v>
      </c>
      <c r="I40" s="113"/>
      <c r="J40" s="114">
        <f ca="1">(H40-E40)*100</f>
        <v>39.283792770449885</v>
      </c>
      <c r="K40" s="113"/>
      <c r="L40" s="115">
        <f ca="1">(H40-D40)*100</f>
        <v>73.356241149637427</v>
      </c>
    </row>
    <row r="41" spans="2:12" ht="15.75" thickBot="1" x14ac:dyDescent="0.3">
      <c r="B41" s="3" t="s">
        <v>11</v>
      </c>
      <c r="C41" s="116" t="s">
        <v>12</v>
      </c>
      <c r="D41" s="72">
        <f ca="1">(_xll.DBR("CXMD:FTM_DATA_BALANCE_SHEET","Total_Customer_Supplier",Month,D$22,ori,"TOTAL PRODUCT","B-560020","Total Allocation","Amount_BS")/1000)+(_xll.DBR("CXMD:FTM_DATA_BALANCE_SHEET","Total_Customer_Supplier",Month,D$22,ori,"TOTAL PRODUCT","B-561010","Total Allocation","Amount_BS")/1000)</f>
        <v>6534.6937100000005</v>
      </c>
      <c r="E41" s="72">
        <f ca="1">(_xll.DBR("CXMD:FTM_DATA_BALANCE_SHEET","Total_Customer_Supplier",Month,E$22,ori,"TOTAL PRODUCT","B-560020","Total Allocation","Amount_BS")/1000)+(_xll.DBR("CXMD:FTM_DATA_BALANCE_SHEET","Total_Customer_Supplier",Month,E$22,ori,"TOTAL PRODUCT","B-561010","Total Allocation","Amount_BS")/1000)</f>
        <v>6667.3089299999992</v>
      </c>
      <c r="F41" s="73">
        <f ca="1">E41-D41</f>
        <v>132.61521999999877</v>
      </c>
      <c r="G41" s="17">
        <f ca="1">IF(D41&lt;&gt;0,E41/D41-1,0)</f>
        <v>2.029402231921873E-2</v>
      </c>
      <c r="H41" s="72">
        <f ca="1">(_xll.DBR("CXMD:FTM_DATA_BALANCE_SHEET","Total_Customer_Supplier",Month,H$22,ori,"TOTAL PRODUCT","B-560020","Total Allocation","Amount_BS")/1000)+(_xll.DBR("CXMD:FTM_DATA_BALANCE_SHEET","Total_Customer_Supplier",Month,H$22,ori,"TOTAL PRODUCT","B-561010","Total Allocation","Amount_BS")/1000)</f>
        <v>3342.8603773085911</v>
      </c>
      <c r="I41" s="73">
        <f ca="1">H41-E41</f>
        <v>-3324.4485526914082</v>
      </c>
      <c r="J41" s="17">
        <f ca="1">IF(E41&lt;&gt;0,H41/E41-1,0)</f>
        <v>-0.49861924617484443</v>
      </c>
      <c r="K41" s="73">
        <f ca="1">H41-D41</f>
        <v>-3191.8333326914094</v>
      </c>
      <c r="L41" s="17">
        <f ca="1">IF(D41&lt;&gt;0,H41/D41-1,0)</f>
        <v>-0.48844421396629001</v>
      </c>
    </row>
    <row r="42" spans="2:12" ht="15.75" x14ac:dyDescent="0.25">
      <c r="B42" s="61" t="s">
        <v>51</v>
      </c>
      <c r="C42" s="62"/>
      <c r="D42" s="98">
        <f ca="1">D39-D41</f>
        <v>-1132641.0673499985</v>
      </c>
      <c r="E42" s="98">
        <f ca="1">E39-E41</f>
        <v>-843015.12876999984</v>
      </c>
      <c r="F42" s="99">
        <f t="shared" ca="1" si="0"/>
        <v>289625.93857999868</v>
      </c>
      <c r="G42" s="63">
        <f t="shared" ca="1" si="1"/>
        <v>-0.25570849135607143</v>
      </c>
      <c r="H42" s="98">
        <f ca="1">H39-H41</f>
        <v>430609.99226966844</v>
      </c>
      <c r="I42" s="99">
        <f t="shared" ca="1" si="2"/>
        <v>1273625.1210396683</v>
      </c>
      <c r="J42" s="63">
        <f t="shared" ca="1" si="3"/>
        <v>-1.5107974668235782</v>
      </c>
      <c r="K42" s="99">
        <f t="shared" ca="1" si="4"/>
        <v>1563251.059619667</v>
      </c>
      <c r="L42" s="64">
        <f t="shared" ca="1" si="5"/>
        <v>-1.380182217193618</v>
      </c>
    </row>
    <row r="43" spans="2:12" ht="15.75" thickBot="1" x14ac:dyDescent="0.3">
      <c r="B43" s="65"/>
      <c r="C43" s="125" t="s">
        <v>50</v>
      </c>
      <c r="D43" s="67">
        <f ca="1">IF(D24&lt;&gt;0,D42/D24,0)</f>
        <v>-0.62334525609281188</v>
      </c>
      <c r="E43" s="67">
        <f ca="1">IF(E24&lt;&gt;0,E42/E24,0)</f>
        <v>-0.28124878935599429</v>
      </c>
      <c r="F43" s="113"/>
      <c r="G43" s="114">
        <f ca="1">(E43-D43)*100</f>
        <v>34.20964667368176</v>
      </c>
      <c r="H43" s="67">
        <f ca="1">IF(H24&lt;&gt;0,H42/H24,0)</f>
        <v>0.11293676513164304</v>
      </c>
      <c r="I43" s="113"/>
      <c r="J43" s="114">
        <f ca="1">(H43-E43)*100</f>
        <v>39.418555448763733</v>
      </c>
      <c r="K43" s="113"/>
      <c r="L43" s="115">
        <f ca="1">(H43-D43)*100</f>
        <v>73.628202122445501</v>
      </c>
    </row>
    <row r="44" spans="2:12" hidden="1" x14ac:dyDescent="0.25"/>
    <row r="45" spans="2:12" hidden="1" x14ac:dyDescent="0.25"/>
    <row r="46" spans="2:12" hidden="1" x14ac:dyDescent="0.25"/>
    <row r="47" spans="2:12" hidden="1" x14ac:dyDescent="0.25"/>
    <row r="48" spans="2:12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</sheetData>
  <mergeCells count="6">
    <mergeCell ref="F22:G22"/>
    <mergeCell ref="I22:J22"/>
    <mergeCell ref="K22:L22"/>
    <mergeCell ref="F23:G23"/>
    <mergeCell ref="I23:J23"/>
    <mergeCell ref="K23:L23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4337" r:id="rId4" name="TIButton1">
          <controlPr defaultSize="0" print="0" autoLine="0" autoPict="0" r:id="rId5">
            <anchor moveWithCells="1">
              <from>
                <xdr:col>3</xdr:col>
                <xdr:colOff>533400</xdr:colOff>
                <xdr:row>16</xdr:row>
                <xdr:rowOff>152400</xdr:rowOff>
              </from>
              <to>
                <xdr:col>4</xdr:col>
                <xdr:colOff>504825</xdr:colOff>
                <xdr:row>18</xdr:row>
                <xdr:rowOff>28575</xdr:rowOff>
              </to>
            </anchor>
          </controlPr>
        </control>
      </mc:Choice>
      <mc:Fallback>
        <control shapeId="14337" r:id="rId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"/>
  <dimension ref="A1:L77"/>
  <sheetViews>
    <sheetView showGridLines="0" zoomScale="90" zoomScaleNormal="90" workbookViewId="0">
      <pane xSplit="3" ySplit="24" topLeftCell="D25" activePane="bottomRight" state="frozen"/>
      <selection activeCell="B10" sqref="B10"/>
      <selection pane="topRight" activeCell="D10" sqref="D10"/>
      <selection pane="bottomLeft" activeCell="B32" sqref="B32"/>
      <selection pane="bottomRight"/>
    </sheetView>
  </sheetViews>
  <sheetFormatPr defaultColWidth="0" defaultRowHeight="15" zeroHeight="1" x14ac:dyDescent="0.25"/>
  <cols>
    <col min="1" max="1" width="20.140625" hidden="1" customWidth="1"/>
    <col min="2" max="2" width="43.140625" customWidth="1"/>
    <col min="3" max="3" width="44.42578125" bestFit="1" customWidth="1"/>
    <col min="4" max="5" width="15.7109375" style="70" customWidth="1"/>
    <col min="6" max="6" width="12.7109375" style="71" customWidth="1"/>
    <col min="7" max="7" width="10.7109375" style="16" customWidth="1"/>
    <col min="8" max="8" width="15.7109375" style="70" customWidth="1"/>
    <col min="9" max="9" width="12.7109375" style="71" customWidth="1"/>
    <col min="10" max="10" width="10.7109375" style="16" customWidth="1"/>
    <col min="11" max="11" width="12.7109375" style="71" customWidth="1"/>
    <col min="12" max="12" width="10.7109375" style="16" customWidth="1"/>
    <col min="13" max="13" width="11.42578125" hidden="1" customWidth="1"/>
    <col min="14" max="16384" width="11.42578125" hidden="1"/>
  </cols>
  <sheetData>
    <row r="1" spans="1:12" hidden="1" x14ac:dyDescent="0.25"/>
    <row r="2" spans="1:12" hidden="1" x14ac:dyDescent="0.25">
      <c r="B2" s="1"/>
      <c r="C2" s="2"/>
      <c r="D2" s="72"/>
      <c r="E2" s="72"/>
      <c r="F2" s="73"/>
      <c r="G2" s="17"/>
      <c r="H2" s="72"/>
      <c r="I2" s="73"/>
      <c r="J2" s="17"/>
      <c r="K2" s="73"/>
      <c r="L2" s="17"/>
    </row>
    <row r="3" spans="1:12" hidden="1" x14ac:dyDescent="0.25">
      <c r="B3" s="2"/>
      <c r="C3" s="9"/>
      <c r="D3" s="74"/>
      <c r="E3" s="74"/>
      <c r="F3" s="75"/>
      <c r="G3" s="18"/>
      <c r="H3" s="74"/>
      <c r="I3" s="75"/>
      <c r="J3" s="18"/>
      <c r="K3" s="75"/>
      <c r="L3" s="18"/>
    </row>
    <row r="4" spans="1:12" hidden="1" x14ac:dyDescent="0.25">
      <c r="B4" s="2"/>
      <c r="C4" s="10"/>
      <c r="D4" s="76"/>
      <c r="E4" s="76"/>
      <c r="F4" s="77"/>
      <c r="G4" s="19"/>
      <c r="H4" s="76"/>
      <c r="I4" s="77"/>
      <c r="J4" s="19"/>
      <c r="K4" s="77"/>
      <c r="L4" s="19"/>
    </row>
    <row r="5" spans="1:12" hidden="1" x14ac:dyDescent="0.25">
      <c r="B5" s="2"/>
      <c r="C5" s="11"/>
      <c r="D5" s="78"/>
      <c r="E5" s="78"/>
      <c r="F5" s="79"/>
      <c r="G5" s="20"/>
      <c r="H5" s="78"/>
      <c r="I5" s="79"/>
      <c r="J5" s="20"/>
      <c r="K5" s="79"/>
      <c r="L5" s="20"/>
    </row>
    <row r="6" spans="1:12" hidden="1" x14ac:dyDescent="0.25">
      <c r="B6" s="2"/>
      <c r="C6" s="9"/>
      <c r="D6" s="74"/>
      <c r="E6" s="74"/>
      <c r="F6" s="75"/>
      <c r="G6" s="18"/>
      <c r="H6" s="74"/>
      <c r="I6" s="75"/>
      <c r="J6" s="18"/>
      <c r="K6" s="75"/>
      <c r="L6" s="18"/>
    </row>
    <row r="7" spans="1:12" hidden="1" x14ac:dyDescent="0.25">
      <c r="B7" s="2"/>
      <c r="C7" s="12"/>
      <c r="D7" s="80"/>
      <c r="E7" s="80"/>
      <c r="G7" s="21"/>
      <c r="H7" s="80"/>
      <c r="J7" s="21"/>
      <c r="L7" s="21"/>
    </row>
    <row r="8" spans="1:12" hidden="1" x14ac:dyDescent="0.25"/>
    <row r="9" spans="1:12" hidden="1" x14ac:dyDescent="0.25"/>
    <row r="10" spans="1:12" x14ac:dyDescent="0.25">
      <c r="A10" s="5"/>
      <c r="B10" s="5"/>
      <c r="C10" s="5"/>
      <c r="D10" s="81"/>
      <c r="E10" s="81"/>
      <c r="F10" s="82"/>
      <c r="G10" s="22"/>
      <c r="H10" s="81"/>
      <c r="I10" s="82"/>
      <c r="J10" s="22"/>
      <c r="K10" s="82"/>
      <c r="L10" s="22"/>
    </row>
    <row r="11" spans="1:12" x14ac:dyDescent="0.25">
      <c r="A11" s="5"/>
      <c r="B11" s="5"/>
      <c r="C11" s="5"/>
      <c r="D11" s="81"/>
      <c r="E11" s="81"/>
      <c r="F11" s="82"/>
      <c r="G11" s="22"/>
      <c r="H11" s="81"/>
      <c r="I11" s="82"/>
      <c r="J11" s="22"/>
      <c r="K11" s="82"/>
      <c r="L11" s="22"/>
    </row>
    <row r="12" spans="1:12" x14ac:dyDescent="0.25">
      <c r="A12" s="5"/>
      <c r="B12" s="5"/>
      <c r="C12" s="5"/>
      <c r="D12" s="81"/>
      <c r="E12" s="81"/>
      <c r="F12" s="82"/>
      <c r="G12" s="22"/>
      <c r="H12" s="81"/>
      <c r="I12" s="82"/>
      <c r="J12" s="22"/>
      <c r="K12" s="82"/>
      <c r="L12" s="22"/>
    </row>
    <row r="13" spans="1:12" x14ac:dyDescent="0.25">
      <c r="A13" s="5"/>
      <c r="B13" s="5"/>
      <c r="C13" s="5"/>
      <c r="D13" s="81"/>
      <c r="E13" s="81"/>
      <c r="F13" s="82"/>
      <c r="G13" s="22"/>
      <c r="H13" s="81"/>
      <c r="I13" s="82"/>
      <c r="J13" s="22"/>
      <c r="K13" s="82"/>
      <c r="L13" s="22"/>
    </row>
    <row r="14" spans="1:12" ht="14.25" hidden="1" customHeight="1" x14ac:dyDescent="0.25">
      <c r="A14" s="5"/>
      <c r="B14" s="5"/>
      <c r="C14" s="5"/>
      <c r="D14" s="81"/>
      <c r="E14" s="81"/>
      <c r="F14" s="82"/>
      <c r="G14" s="22"/>
      <c r="H14" s="81"/>
      <c r="I14" s="82"/>
      <c r="J14" s="22"/>
      <c r="K14" s="82"/>
      <c r="L14" s="22"/>
    </row>
    <row r="15" spans="1:12" hidden="1" x14ac:dyDescent="0.25">
      <c r="A15" s="5"/>
      <c r="B15" s="5"/>
      <c r="C15" s="5"/>
      <c r="D15" s="81"/>
      <c r="E15" s="81"/>
      <c r="F15" s="82"/>
      <c r="G15" s="22"/>
      <c r="H15" s="81"/>
      <c r="I15" s="82"/>
      <c r="J15" s="22"/>
      <c r="K15" s="82"/>
      <c r="L15" s="22"/>
    </row>
    <row r="16" spans="1:12" hidden="1" x14ac:dyDescent="0.25">
      <c r="A16" s="5"/>
      <c r="B16" s="5"/>
      <c r="C16" s="5"/>
      <c r="D16" s="81"/>
      <c r="E16" s="81"/>
      <c r="F16" s="82"/>
      <c r="G16" s="22"/>
      <c r="H16" s="81"/>
      <c r="I16" s="82"/>
      <c r="J16" s="22"/>
      <c r="K16" s="82"/>
      <c r="L16" s="22"/>
    </row>
    <row r="17" spans="1:12" x14ac:dyDescent="0.25">
      <c r="A17" s="6"/>
      <c r="B17" s="8"/>
      <c r="C17" s="7"/>
      <c r="D17" s="83"/>
      <c r="E17" s="83"/>
      <c r="F17" s="84"/>
      <c r="G17" s="23"/>
      <c r="H17" s="83"/>
      <c r="I17" s="84"/>
      <c r="J17" s="23"/>
      <c r="K17" s="84"/>
      <c r="L17" s="23"/>
    </row>
    <row r="18" spans="1:12" x14ac:dyDescent="0.25">
      <c r="A18" s="6"/>
      <c r="B18" s="8" t="s">
        <v>0</v>
      </c>
      <c r="C18" s="7" t="str">
        <f ca="1">origine</f>
        <v>Total Origin Company</v>
      </c>
      <c r="D18" s="83"/>
      <c r="E18" s="83"/>
      <c r="F18" s="84"/>
      <c r="G18" s="23"/>
      <c r="H18" s="83"/>
      <c r="I18" s="84"/>
      <c r="J18" s="23"/>
      <c r="K18" s="84"/>
      <c r="L18" s="23"/>
    </row>
    <row r="19" spans="1:12" ht="21" x14ac:dyDescent="0.35">
      <c r="A19" s="6"/>
      <c r="B19" s="8" t="s">
        <v>1</v>
      </c>
      <c r="C19" s="7" t="str">
        <f ca="1">'P&amp;L Summary'!Month</f>
        <v>Total_Month</v>
      </c>
      <c r="D19" s="83"/>
      <c r="E19" s="83"/>
      <c r="F19" s="85" t="s">
        <v>63</v>
      </c>
      <c r="G19" s="23"/>
      <c r="H19" s="83"/>
      <c r="I19" s="84"/>
      <c r="J19" s="23"/>
      <c r="K19" s="84"/>
      <c r="L19" s="23"/>
    </row>
    <row r="20" spans="1:12" ht="8.25" customHeight="1" x14ac:dyDescent="0.25">
      <c r="A20" s="6"/>
      <c r="B20" s="6"/>
      <c r="C20" s="6"/>
      <c r="D20" s="83"/>
      <c r="E20" s="83"/>
      <c r="F20" s="84"/>
      <c r="G20" s="23"/>
      <c r="H20" s="83"/>
      <c r="I20" s="84"/>
      <c r="J20" s="23"/>
      <c r="K20" s="84"/>
      <c r="L20" s="23"/>
    </row>
    <row r="21" spans="1:12" ht="8.25" customHeight="1" x14ac:dyDescent="0.25">
      <c r="A21" s="6"/>
      <c r="B21" s="6"/>
      <c r="C21" s="6"/>
      <c r="D21" s="83"/>
      <c r="E21" s="83"/>
      <c r="F21" s="84"/>
      <c r="G21" s="23"/>
      <c r="H21" s="83"/>
      <c r="I21" s="84"/>
      <c r="J21" s="23"/>
      <c r="K21" s="84"/>
      <c r="L21" s="23"/>
    </row>
    <row r="22" spans="1:12" ht="31.5" customHeight="1" x14ac:dyDescent="0.25">
      <c r="A22" s="6"/>
      <c r="B22" s="13"/>
      <c r="C22" s="68" t="s">
        <v>56</v>
      </c>
      <c r="D22" s="119" t="str">
        <f ca="1">'P&amp;L Summary'!Actuality_1</f>
        <v>AC2016</v>
      </c>
      <c r="E22" s="119" t="str">
        <f ca="1">'P&amp;L Summary'!Actuality_2</f>
        <v>AC2017</v>
      </c>
      <c r="F22" s="129" t="s">
        <v>43</v>
      </c>
      <c r="G22" s="129"/>
      <c r="H22" s="119" t="str">
        <f ca="1">'P&amp;L Summary'!Actuality_3</f>
        <v>BU2017draft</v>
      </c>
      <c r="I22" s="130" t="s">
        <v>43</v>
      </c>
      <c r="J22" s="131"/>
      <c r="K22" s="129" t="s">
        <v>43</v>
      </c>
      <c r="L22" s="131"/>
    </row>
    <row r="23" spans="1:12" x14ac:dyDescent="0.25">
      <c r="A23" s="6"/>
      <c r="B23" s="69" t="s">
        <v>54</v>
      </c>
      <c r="C23" s="30" t="s">
        <v>55</v>
      </c>
      <c r="D23" s="86" t="s">
        <v>57</v>
      </c>
      <c r="E23" s="86" t="s">
        <v>58</v>
      </c>
      <c r="F23" s="132" t="s">
        <v>42</v>
      </c>
      <c r="G23" s="133"/>
      <c r="H23" s="86" t="s">
        <v>59</v>
      </c>
      <c r="I23" s="132" t="s">
        <v>44</v>
      </c>
      <c r="J23" s="133"/>
      <c r="K23" s="134" t="s">
        <v>45</v>
      </c>
      <c r="L23" s="133"/>
    </row>
    <row r="24" spans="1:12" hidden="1" x14ac:dyDescent="0.25">
      <c r="A24" s="6"/>
      <c r="B24" s="14"/>
      <c r="C24" s="15"/>
      <c r="D24" s="86" t="s">
        <v>2</v>
      </c>
      <c r="E24" s="86" t="s">
        <v>2</v>
      </c>
      <c r="F24" s="87"/>
      <c r="G24" s="24"/>
      <c r="H24" s="86" t="s">
        <v>2</v>
      </c>
      <c r="I24" s="100"/>
      <c r="J24" s="24"/>
      <c r="K24" s="87"/>
      <c r="L24" s="25"/>
    </row>
    <row r="25" spans="1:12" ht="15.75" thickBot="1" x14ac:dyDescent="0.3">
      <c r="B25" s="3" t="s">
        <v>3</v>
      </c>
      <c r="C25" s="26" t="s">
        <v>12</v>
      </c>
      <c r="D25" s="72">
        <f ca="1">_xll.DBR("CXMD:FTM_DATA_BALANCE_SHEET","Total_Customer_Supplier",Month,D$22,ori,"TOTAL PRODUCT","B-300010","Total Allocation","Amount_BS")*-1/1000</f>
        <v>1817036.4758200005</v>
      </c>
      <c r="E25" s="72">
        <f ca="1">_xll.DBR("CXMD:FTM_DATA_BALANCE_SHEET","Total_Customer_Supplier",Month,E$22,ori,"TOTAL PRODUCT","B-300010","Total Allocation","Amount_BS")*-1/1000</f>
        <v>2997400.0268600001</v>
      </c>
      <c r="F25" s="73">
        <f t="shared" ref="F25:F33" ca="1" si="0">E25-D25</f>
        <v>1180363.5510399996</v>
      </c>
      <c r="G25" s="17">
        <f t="shared" ref="G25:G33" ca="1" si="1">IF(D25&lt;&gt;0,E25/D25-1,0)</f>
        <v>0.6496091667655266</v>
      </c>
      <c r="H25" s="72">
        <f ca="1">_xll.DBR("CXMD:FTM_DATA_BALANCE_SHEET","Total_Customer_Supplier",Month,H$22,ori,"TOTAL PRODUCT","B-300010","Total Allocation","Amount_BS")*-1/1000</f>
        <v>3812841.5646378254</v>
      </c>
      <c r="I25" s="73">
        <f t="shared" ref="I25:I33" ca="1" si="2">H25-E25</f>
        <v>815441.53777782526</v>
      </c>
      <c r="J25" s="33">
        <f t="shared" ref="J25:J33" ca="1" si="3">IF(E25&lt;&gt;0,H25/E25-1,0)</f>
        <v>0.27204961982737452</v>
      </c>
      <c r="K25" s="73">
        <f t="shared" ref="K25:K33" ca="1" si="4">H25-D25</f>
        <v>1995805.0888178248</v>
      </c>
      <c r="L25" s="17">
        <f t="shared" ref="L25:L33" ca="1" si="5">IF(D25&lt;&gt;0,H25/D25-1,0)</f>
        <v>1.0983847134478402</v>
      </c>
    </row>
    <row r="26" spans="1:12" ht="16.5" thickBot="1" x14ac:dyDescent="0.3">
      <c r="B26" s="32" t="s">
        <v>46</v>
      </c>
      <c r="C26" s="31"/>
      <c r="D26" s="88">
        <f ca="1">D25</f>
        <v>1817036.4758200005</v>
      </c>
      <c r="E26" s="88">
        <f ca="1">E25</f>
        <v>2997400.0268600001</v>
      </c>
      <c r="F26" s="89">
        <f t="shared" ca="1" si="0"/>
        <v>1180363.5510399996</v>
      </c>
      <c r="G26" s="34">
        <f t="shared" ca="1" si="1"/>
        <v>0.6496091667655266</v>
      </c>
      <c r="H26" s="88">
        <f ca="1">H25</f>
        <v>3812841.5646378254</v>
      </c>
      <c r="I26" s="89">
        <f t="shared" ca="1" si="2"/>
        <v>815441.53777782526</v>
      </c>
      <c r="J26" s="34">
        <f t="shared" ca="1" si="3"/>
        <v>0.27204961982737452</v>
      </c>
      <c r="K26" s="89">
        <f t="shared" ca="1" si="4"/>
        <v>1995805.0888178248</v>
      </c>
      <c r="L26" s="35">
        <f t="shared" ca="1" si="5"/>
        <v>1.0983847134478402</v>
      </c>
    </row>
    <row r="27" spans="1:12" ht="15.75" thickBot="1" x14ac:dyDescent="0.3">
      <c r="B27" s="3" t="s">
        <v>4</v>
      </c>
      <c r="C27" s="26" t="s">
        <v>12</v>
      </c>
      <c r="D27" s="72">
        <f ca="1">_xll.DBR("CXMD:FTM_DATA_BALANCE_SHEET","Total_Customer_Supplier",Month,D$22,ori,"TOTAL PRODUCT","B-330010","Total Allocation","Amount_BS")*-1/1000</f>
        <v>41134.88895</v>
      </c>
      <c r="E27" s="72">
        <f ca="1">_xll.DBR("CXMD:FTM_DATA_BALANCE_SHEET","Total_Customer_Supplier",Month,E$22,ori,"TOTAL PRODUCT","B-330010","Total Allocation","Amount_BS")*-1/1000</f>
        <v>42178.299039999991</v>
      </c>
      <c r="F27" s="73">
        <f t="shared" ca="1" si="0"/>
        <v>1043.4100899999903</v>
      </c>
      <c r="G27" s="17">
        <f t="shared" ca="1" si="1"/>
        <v>2.5365574494883525E-2</v>
      </c>
      <c r="H27" s="72">
        <f ca="1">_xll.DBR("CXMD:FTM_DATA_BALANCE_SHEET","Total_Customer_Supplier",Month,H$22,ori,"TOTAL PRODUCT","B-330010","Total Allocation","Amount_BS")*-1/1000</f>
        <v>42076.790531177474</v>
      </c>
      <c r="I27" s="73">
        <f t="shared" ca="1" si="2"/>
        <v>-101.50850882251689</v>
      </c>
      <c r="J27" s="17">
        <f t="shared" ca="1" si="3"/>
        <v>-2.4066524998139771E-3</v>
      </c>
      <c r="K27" s="73">
        <f t="shared" ca="1" si="4"/>
        <v>941.90158117747342</v>
      </c>
      <c r="L27" s="17">
        <f t="shared" ca="1" si="5"/>
        <v>2.2897875871802365E-2</v>
      </c>
    </row>
    <row r="28" spans="1:12" ht="16.5" thickBot="1" x14ac:dyDescent="0.3">
      <c r="B28" s="32" t="s">
        <v>47</v>
      </c>
      <c r="C28" s="31"/>
      <c r="D28" s="88">
        <f ca="1">D26+D27</f>
        <v>1858171.3647700006</v>
      </c>
      <c r="E28" s="88">
        <f ca="1">E26+E27</f>
        <v>3039578.3259000001</v>
      </c>
      <c r="F28" s="89">
        <f t="shared" ca="1" si="0"/>
        <v>1181406.9611299995</v>
      </c>
      <c r="G28" s="34">
        <f t="shared" ca="1" si="1"/>
        <v>0.63579010177903084</v>
      </c>
      <c r="H28" s="88">
        <f ca="1">H26+H27</f>
        <v>3854918.3551690029</v>
      </c>
      <c r="I28" s="89">
        <f t="shared" ca="1" si="2"/>
        <v>815340.02926900284</v>
      </c>
      <c r="J28" s="34">
        <f t="shared" ca="1" si="3"/>
        <v>0.26824116434886935</v>
      </c>
      <c r="K28" s="89">
        <f t="shared" ca="1" si="4"/>
        <v>1996746.9903990023</v>
      </c>
      <c r="L28" s="35">
        <f t="shared" ca="1" si="5"/>
        <v>1.0745763433105937</v>
      </c>
    </row>
    <row r="29" spans="1:12" x14ac:dyDescent="0.25">
      <c r="B29" s="3" t="s">
        <v>5</v>
      </c>
      <c r="C29" s="26" t="s">
        <v>12</v>
      </c>
      <c r="D29" s="72">
        <f ca="1">D31+D32</f>
        <v>28093.554539999983</v>
      </c>
      <c r="E29" s="72">
        <f ca="1">E31+E32</f>
        <v>10968.91402</v>
      </c>
      <c r="F29" s="73">
        <f t="shared" ca="1" si="0"/>
        <v>-17124.640519999983</v>
      </c>
      <c r="G29" s="17">
        <f t="shared" ca="1" si="1"/>
        <v>-0.60955762986907502</v>
      </c>
      <c r="H29" s="72">
        <f ca="1">H31+H32</f>
        <v>1614.5983694002248</v>
      </c>
      <c r="I29" s="73">
        <f t="shared" ca="1" si="2"/>
        <v>-9354.3156505997758</v>
      </c>
      <c r="J29" s="17">
        <f t="shared" ca="1" si="3"/>
        <v>-0.85280234976258618</v>
      </c>
      <c r="K29" s="73">
        <f t="shared" ca="1" si="4"/>
        <v>-26478.956170599758</v>
      </c>
      <c r="L29" s="17">
        <f t="shared" ca="1" si="5"/>
        <v>-0.94252780056360119</v>
      </c>
    </row>
    <row r="30" spans="1:12" x14ac:dyDescent="0.25">
      <c r="B30" s="4" t="s">
        <v>5</v>
      </c>
      <c r="C30" s="28" t="s">
        <v>23</v>
      </c>
      <c r="D30" s="74">
        <f ca="1">D31+D32</f>
        <v>28093.554539999983</v>
      </c>
      <c r="E30" s="74">
        <f ca="1">E31+E32</f>
        <v>10968.91402</v>
      </c>
      <c r="F30" s="75">
        <f t="shared" ca="1" si="0"/>
        <v>-17124.640519999983</v>
      </c>
      <c r="G30" s="18">
        <f t="shared" ca="1" si="1"/>
        <v>-0.60955762986907502</v>
      </c>
      <c r="H30" s="74">
        <f ca="1">H31+H32</f>
        <v>1614.5983694002248</v>
      </c>
      <c r="I30" s="75">
        <f t="shared" ca="1" si="2"/>
        <v>-9354.3156505997758</v>
      </c>
      <c r="J30" s="18">
        <f t="shared" ca="1" si="3"/>
        <v>-0.85280234976258618</v>
      </c>
      <c r="K30" s="75">
        <f t="shared" ca="1" si="4"/>
        <v>-26478.956170599758</v>
      </c>
      <c r="L30" s="18">
        <f t="shared" ca="1" si="5"/>
        <v>-0.94252780056360119</v>
      </c>
    </row>
    <row r="31" spans="1:12" x14ac:dyDescent="0.25">
      <c r="B31" s="4" t="s">
        <v>5</v>
      </c>
      <c r="C31" s="29" t="s">
        <v>35</v>
      </c>
      <c r="D31" s="76">
        <f ca="1">(_xll.DBR("CXMD:FTM_DATA_BALANCE_SHEET","Total_Customer_Supplier",Month,D$22,ori,"TOTAL PRODUCT","B-452010","Total Allocation","Amount_BS")/1000)</f>
        <v>2309.0285699999854</v>
      </c>
      <c r="E31" s="76">
        <f ca="1">(_xll.DBR("CXMD:FTM_DATA_BALANCE_SHEET","Total_Customer_Supplier",Month,E$22,ori,"TOTAL PRODUCT","B-452010","Total Allocation","Amount_BS")/1000)</f>
        <v>11413.56518</v>
      </c>
      <c r="F31" s="77">
        <f t="shared" ca="1" si="0"/>
        <v>9104.5366100000138</v>
      </c>
      <c r="G31" s="19">
        <f t="shared" ca="1" si="1"/>
        <v>3.9430160060774266</v>
      </c>
      <c r="H31" s="76">
        <f ca="1">(_xll.DBR("CXMD:FTM_DATA_BALANCE_SHEET","Total_Customer_Supplier",Month,H$22,ori,"TOTAL PRODUCT","B-452010","Total Allocation","Amount_BS")/1000)</f>
        <v>-11.208327131791943</v>
      </c>
      <c r="I31" s="77">
        <f t="shared" ca="1" si="2"/>
        <v>-11424.773507131791</v>
      </c>
      <c r="J31" s="19">
        <f t="shared" ca="1" si="3"/>
        <v>-1.0009820180596534</v>
      </c>
      <c r="K31" s="77">
        <f t="shared" ca="1" si="4"/>
        <v>-2320.2368971317774</v>
      </c>
      <c r="L31" s="19">
        <f t="shared" ca="1" si="5"/>
        <v>-1.0048541309871242</v>
      </c>
    </row>
    <row r="32" spans="1:12" ht="15.75" thickBot="1" x14ac:dyDescent="0.3">
      <c r="B32" s="4" t="s">
        <v>5</v>
      </c>
      <c r="C32" s="29" t="s">
        <v>36</v>
      </c>
      <c r="D32" s="76">
        <f ca="1">(_xll.DBR("CXMD:FTM_DATA_BALANCE_SHEET","Total_Customer_Supplier",Month,D$22,ori,"TOTAL PRODUCT","B-452210","Total Allocation","Amount_BS")/1000)</f>
        <v>25784.525969999999</v>
      </c>
      <c r="E32" s="76">
        <f ca="1">(_xll.DBR("CXMD:FTM_DATA_BALANCE_SHEET","Total_Customer_Supplier",Month,E$22,ori,"TOTAL PRODUCT","B-452210","Total Allocation","Amount_BS")/1000)</f>
        <v>-444.65115999999966</v>
      </c>
      <c r="F32" s="77">
        <f t="shared" ca="1" si="0"/>
        <v>-26229.17713</v>
      </c>
      <c r="G32" s="19">
        <f t="shared" ca="1" si="1"/>
        <v>-1.0172448840253006</v>
      </c>
      <c r="H32" s="76">
        <f ca="1">(_xll.DBR("CXMD:FTM_DATA_BALANCE_SHEET","Total_Customer_Supplier",Month,H$22,ori,"TOTAL PRODUCT","B-452210","Total Allocation","Amount_BS")/1000)</f>
        <v>1625.8066965320168</v>
      </c>
      <c r="I32" s="77">
        <f t="shared" ca="1" si="2"/>
        <v>2070.4578565320162</v>
      </c>
      <c r="J32" s="19">
        <f t="shared" ca="1" si="3"/>
        <v>-4.6563644555251313</v>
      </c>
      <c r="K32" s="77">
        <f t="shared" ca="1" si="4"/>
        <v>-24158.719273467981</v>
      </c>
      <c r="L32" s="19">
        <f t="shared" ca="1" si="5"/>
        <v>-0.93694641901023801</v>
      </c>
    </row>
    <row r="33" spans="2:12" ht="15.75" x14ac:dyDescent="0.25">
      <c r="B33" s="126" t="s">
        <v>61</v>
      </c>
      <c r="C33" s="36"/>
      <c r="D33" s="90">
        <f ca="1">(_xll.DBR("CXMD:FTM_DATA_BALANCE_SHEET","Total_Customer_Supplier",Month,D$22,ori,"TOTAL PRODUCT","B-401010","Total Allocation","Amount_BS")/1000)+(_xll.DBR("CXMD:FTM_DATA_BALANCE_SHEET","Total_Customer_Supplier",Month,D$22,ori,"TOTAL PRODUCT","B-401020","Total Allocation","Amount_BS")/1000)+(_xll.DBR("CXMD:FTM_DATA_BALANCE_SHEET","Total_Customer_Supplier",Month,D$22,ori,"TOTAL PRODUCT","B-402110","Total Allocation","Amount_BS")/1000)+(_xll.DBR("CXMD:FTM_DATA_BALANCE_SHEET","Total_Customer_Supplier",Month,D$22,ori,"TOTAL PRODUCT","B-402111","Total Allocation","Amount_BS")/1000)+(_xll.DBR("CXMD:FTM_DATA_BALANCE_SHEET","Total_Customer_Supplier",Month,D$22,ori,"TOTAL PRODUCT","B-407010","Total Allocation","Amount_BS")/1000)+(_xll.DBR("CXMD:FTM_DATA_BALANCE_SHEET","Total_Customer_Supplier",Month,D$22,ori,"TOTAL PRODUCT","B-310010","Total Allocation","Amount_BS")/1000)</f>
        <v>2237381.3866399992</v>
      </c>
      <c r="E33" s="90">
        <f ca="1">(_xll.DBR("CXMD:FTM_DATA_BALANCE_SHEET","Total_Customer_Supplier",Month,E$22,ori,"TOTAL PRODUCT","B-401010","Total Allocation","Amount_BS")/1000)+(_xll.DBR("CXMD:FTM_DATA_BALANCE_SHEET","Total_Customer_Supplier",Month,E$22,ori,"TOTAL PRODUCT","B-401020","Total Allocation","Amount_BS")/1000)+(_xll.DBR("CXMD:FTM_DATA_BALANCE_SHEET","Total_Customer_Supplier",Month,E$22,ori,"TOTAL PRODUCT","B-402110","Total Allocation","Amount_BS")/1000)+(_xll.DBR("CXMD:FTM_DATA_BALANCE_SHEET","Total_Customer_Supplier",Month,E$22,ori,"TOTAL PRODUCT","B-402111","Total Allocation","Amount_BS")/1000)+(_xll.DBR("CXMD:FTM_DATA_BALANCE_SHEET","Total_Customer_Supplier",Month,E$22,ori,"TOTAL PRODUCT","B-407010","Total Allocation","Amount_BS")/1000)+(_xll.DBR("CXMD:FTM_DATA_BALANCE_SHEET","Total_Customer_Supplier",Month,E$22,ori,"TOTAL PRODUCT","B-310010","Total Allocation","Amount_BS")/1000)</f>
        <v>3143767.21942</v>
      </c>
      <c r="F33" s="127">
        <f t="shared" ca="1" si="0"/>
        <v>906385.83278000075</v>
      </c>
      <c r="G33" s="37">
        <f t="shared" ca="1" si="1"/>
        <v>0.405110115866822</v>
      </c>
      <c r="H33" s="90">
        <f ca="1">(_xll.DBR("CXMD:FTM_DATA_BALANCE_SHEET","Total_Customer_Supplier",Month,H$22,ori,"TOTAL PRODUCT","B-401010","Total Allocation","Amount_BS")/1000)+(_xll.DBR("CXMD:FTM_DATA_BALANCE_SHEET","Total_Customer_Supplier",Month,H$22,ori,"TOTAL PRODUCT","B-401020","Total Allocation","Amount_BS")/1000)+(_xll.DBR("CXMD:FTM_DATA_BALANCE_SHEET","Total_Customer_Supplier",Month,H$22,ori,"TOTAL PRODUCT","B-402110","Total Allocation","Amount_BS")/1000)+(_xll.DBR("CXMD:FTM_DATA_BALANCE_SHEET","Total_Customer_Supplier",Month,H$22,ori,"TOTAL PRODUCT","B-402111","Total Allocation","Amount_BS")/1000)+(_xll.DBR("CXMD:FTM_DATA_BALANCE_SHEET","Total_Customer_Supplier",Month,H$22,ori,"TOTAL PRODUCT","B-407010","Total Allocation","Amount_BS")/1000)+(_xll.DBR("CXMD:FTM_DATA_BALANCE_SHEET","Total_Customer_Supplier",Month,H$22,ori,"TOTAL PRODUCT","B-310010","Total Allocation","Amount_BS")/1000)</f>
        <v>2679372.1713607023</v>
      </c>
      <c r="I33" s="91">
        <f t="shared" ca="1" si="2"/>
        <v>-464395.04805929773</v>
      </c>
      <c r="J33" s="37">
        <f t="shared" ca="1" si="3"/>
        <v>-0.14771928569984105</v>
      </c>
      <c r="K33" s="91">
        <f t="shared" ca="1" si="4"/>
        <v>441990.78472070303</v>
      </c>
      <c r="L33" s="38">
        <f t="shared" ca="1" si="5"/>
        <v>0.19754825322135416</v>
      </c>
    </row>
    <row r="34" spans="2:12" ht="15.75" thickBot="1" x14ac:dyDescent="0.3">
      <c r="B34" s="39"/>
      <c r="C34" s="40" t="s">
        <v>60</v>
      </c>
      <c r="D34" s="41">
        <f ca="1">IF(D26&lt;&gt;0,D33/D26,0)</f>
        <v>1.2313354279970101</v>
      </c>
      <c r="E34" s="41">
        <f ca="1">IF(E26&lt;&gt;0,E33/E26,0)</f>
        <v>1.0488313842825079</v>
      </c>
      <c r="F34" s="101"/>
      <c r="G34" s="102">
        <f ca="1">(E34-D34)*100</f>
        <v>-18.250404371450223</v>
      </c>
      <c r="H34" s="41">
        <f ca="1">IF(H26&lt;&gt;0,H33/H26,0)</f>
        <v>0.70272318582826054</v>
      </c>
      <c r="I34" s="101"/>
      <c r="J34" s="102">
        <f ca="1">(H34-E34)*100</f>
        <v>-34.610819845424736</v>
      </c>
      <c r="K34" s="101"/>
      <c r="L34" s="103">
        <f ca="1">(H34-D34)*100</f>
        <v>-52.861224216874959</v>
      </c>
    </row>
    <row r="35" spans="2:12" x14ac:dyDescent="0.25">
      <c r="B35" s="4" t="s">
        <v>6</v>
      </c>
      <c r="C35" s="28" t="s">
        <v>13</v>
      </c>
      <c r="D35" s="74">
        <f ca="1">(_xll.DBR("CXMD:FTM_DATA_BALANCE_SHEET","Total_Customer_Supplier",Month,D$22,ori,"TOTAL PRODUCT","R-901000","Total Allocation","Amount_BS")/1000)</f>
        <v>1215784.7639299999</v>
      </c>
      <c r="E35" s="74">
        <f ca="1">(_xll.DBR("CXMD:FTM_DATA_BALANCE_SHEET","Total_Customer_Supplier",Month,E$22,ori,"TOTAL PRODUCT","R-901000","Total Allocation","Amount_BS")/1000)</f>
        <v>1397670.7026800003</v>
      </c>
      <c r="F35" s="75">
        <f t="shared" ref="F35:F76" ca="1" si="6">E35-D35</f>
        <v>181885.93875000044</v>
      </c>
      <c r="G35" s="18">
        <f t="shared" ref="G35:G76" ca="1" si="7">IF(D35&lt;&gt;0,E35/D35-1,0)</f>
        <v>0.14960373262291737</v>
      </c>
      <c r="H35" s="74">
        <f ca="1">(_xll.DBR("CXMD:FTM_DATA_BALANCE_SHEET","Total_Customer_Supplier",Month,H$22,ori,"TOTAL PRODUCT","R-901000","Total Allocation","Amount_BS")/1000)</f>
        <v>2681978.1713607027</v>
      </c>
      <c r="I35" s="75">
        <f t="shared" ref="I35:I76" ca="1" si="8">H35-E35</f>
        <v>1284307.4686807024</v>
      </c>
      <c r="J35" s="18">
        <f t="shared" ref="J35:J76" ca="1" si="9">IF(E35&lt;&gt;0,H35/E35-1,0)</f>
        <v>0.91889131411145231</v>
      </c>
      <c r="K35" s="75">
        <f t="shared" ref="K35:K76" ca="1" si="10">H35-D35</f>
        <v>1466193.4074307028</v>
      </c>
      <c r="L35" s="18">
        <f t="shared" ref="L35:L76" ca="1" si="11">IF(D35&lt;&gt;0,H35/D35-1,0)</f>
        <v>1.2059646172002205</v>
      </c>
    </row>
    <row r="36" spans="2:12" x14ac:dyDescent="0.25">
      <c r="B36" s="4" t="s">
        <v>6</v>
      </c>
      <c r="C36" s="29" t="s">
        <v>14</v>
      </c>
      <c r="D36" s="76">
        <f ca="1">(_xll.DBR("CXMD:FTM_DATA_BALANCE_SHEET","Total_Customer_Supplier",Month,D$22,ori,"TOTAL PRODUCT","B-401010","Total Allocation","Amount_BS")/1000)</f>
        <v>488979.38191999996</v>
      </c>
      <c r="E36" s="76">
        <f ca="1">(_xll.DBR("CXMD:FTM_DATA_BALANCE_SHEET","Total_Customer_Supplier",Month,E$22,ori,"TOTAL PRODUCT","B-401010","Total Allocation","Amount_BS")/1000)</f>
        <v>549568.16725000006</v>
      </c>
      <c r="F36" s="77">
        <f t="shared" ca="1" si="6"/>
        <v>60588.785330000101</v>
      </c>
      <c r="G36" s="19">
        <f t="shared" ca="1" si="7"/>
        <v>0.12390867093842584</v>
      </c>
      <c r="H36" s="76">
        <f ca="1">(_xll.DBR("CXMD:FTM_DATA_BALANCE_SHEET","Total_Customer_Supplier",Month,H$22,ori,"TOTAL PRODUCT","B-401010","Total Allocation","Amount_BS")/1000)</f>
        <v>712350.75592298817</v>
      </c>
      <c r="I36" s="77">
        <f t="shared" ca="1" si="8"/>
        <v>162782.58867298812</v>
      </c>
      <c r="J36" s="19">
        <f t="shared" ca="1" si="9"/>
        <v>0.29620090531724319</v>
      </c>
      <c r="K36" s="77">
        <f t="shared" ca="1" si="10"/>
        <v>223371.37400298822</v>
      </c>
      <c r="L36" s="19">
        <f t="shared" ca="1" si="11"/>
        <v>0.45681143676428704</v>
      </c>
    </row>
    <row r="37" spans="2:12" x14ac:dyDescent="0.25">
      <c r="B37" s="4" t="s">
        <v>6</v>
      </c>
      <c r="C37" s="29" t="s">
        <v>15</v>
      </c>
      <c r="D37" s="76">
        <f ca="1">(_xll.DBR("CXMD:FTM_DATA_BALANCE_SHEET","Total_Customer_Supplier",Month,D$22,ori,"TOTAL PRODUCT","B-407010","Total Allocation","Amount_BS")/1000)</f>
        <v>81872.398939999999</v>
      </c>
      <c r="E37" s="76">
        <f ca="1">(_xll.DBR("CXMD:FTM_DATA_BALANCE_SHEET","Total_Customer_Supplier",Month,E$22,ori,"TOTAL PRODUCT","B-407010","Total Allocation","Amount_BS")/1000)</f>
        <v>111653.07894000001</v>
      </c>
      <c r="F37" s="77">
        <f t="shared" ca="1" si="6"/>
        <v>29780.680000000008</v>
      </c>
      <c r="G37" s="19">
        <f t="shared" ca="1" si="7"/>
        <v>0.36374505188036221</v>
      </c>
      <c r="H37" s="76">
        <f ca="1">(_xll.DBR("CXMD:FTM_DATA_BALANCE_SHEET","Total_Customer_Supplier",Month,H$22,ori,"TOTAL PRODUCT","B-407010","Total Allocation","Amount_BS")/1000)</f>
        <v>69669.642645681059</v>
      </c>
      <c r="I37" s="77">
        <f t="shared" ca="1" si="8"/>
        <v>-41983.436294318948</v>
      </c>
      <c r="J37" s="19">
        <f t="shared" ca="1" si="9"/>
        <v>-0.37601682544625536</v>
      </c>
      <c r="K37" s="77">
        <f t="shared" ca="1" si="10"/>
        <v>-12202.75629431894</v>
      </c>
      <c r="L37" s="19">
        <f t="shared" ca="1" si="11"/>
        <v>-0.1490460332457304</v>
      </c>
    </row>
    <row r="38" spans="2:12" x14ac:dyDescent="0.25">
      <c r="B38" s="4" t="s">
        <v>6</v>
      </c>
      <c r="C38" s="29" t="s">
        <v>52</v>
      </c>
      <c r="D38" s="76">
        <f ca="1">(_xll.DBR("CXMD:FTM_DATA_BALANCE_SHEET","Total_Customer_Supplier",Month,D$22,ori,"TOTAL PRODUCT","B-402110","Total Allocation","Amount_BS")/1000)</f>
        <v>235.53873999999999</v>
      </c>
      <c r="E38" s="76">
        <f ca="1">(_xll.DBR("CXMD:FTM_DATA_BALANCE_SHEET","Total_Customer_Supplier",Month,E$22,ori,"TOTAL PRODUCT","B-402110","Total Allocation","Amount_BS")/1000)</f>
        <v>-1310.87122</v>
      </c>
      <c r="F38" s="77">
        <f t="shared" ref="F38:F39" ca="1" si="12">E38-D38</f>
        <v>-1546.40996</v>
      </c>
      <c r="G38" s="19">
        <f t="shared" ref="G38:G39" ca="1" si="13">IF(D38&lt;&gt;0,E38/D38-1,0)</f>
        <v>-6.5654166274303751</v>
      </c>
      <c r="H38" s="76">
        <f ca="1">(_xll.DBR("CXMD:FTM_DATA_BALANCE_SHEET","Total_Customer_Supplier",Month,H$22,ori,"TOTAL PRODUCT","B-402110","Total Allocation","Amount_BS")/1000)</f>
        <v>-508.97241593434103</v>
      </c>
      <c r="I38" s="77">
        <f t="shared" ref="I38:I39" ca="1" si="14">H38-E38</f>
        <v>801.89880406565896</v>
      </c>
      <c r="J38" s="19">
        <f t="shared" ref="J38:J39" ca="1" si="15">IF(E38&lt;&gt;0,H38/E38-1,0)</f>
        <v>-0.61172965874226681</v>
      </c>
      <c r="K38" s="77">
        <f t="shared" ref="K38:K39" ca="1" si="16">H38-D38</f>
        <v>-744.51115593434099</v>
      </c>
      <c r="L38" s="19">
        <f t="shared" ref="L38:L39" ca="1" si="17">IF(D38&lt;&gt;0,H38/D38-1,0)</f>
        <v>-3.1608862131738542</v>
      </c>
    </row>
    <row r="39" spans="2:12" x14ac:dyDescent="0.25">
      <c r="B39" s="4" t="s">
        <v>6</v>
      </c>
      <c r="C39" s="29" t="s">
        <v>53</v>
      </c>
      <c r="D39" s="76">
        <f ca="1">(_xll.DBR("CXMD:FTM_DATA_BALANCE_SHEET","Total_Customer_Supplier",Month,D$22,ori,"TOTAL PRODUCT","B-402111","Total Allocation","Amount_BS")/1000)</f>
        <v>433.47371999999996</v>
      </c>
      <c r="E39" s="76">
        <f ca="1">(_xll.DBR("CXMD:FTM_DATA_BALANCE_SHEET","Total_Customer_Supplier",Month,E$22,ori,"TOTAL PRODUCT","B-402111","Total Allocation","Amount_BS")/1000)</f>
        <v>470.87192000000027</v>
      </c>
      <c r="F39" s="77">
        <f t="shared" ca="1" si="12"/>
        <v>37.398200000000315</v>
      </c>
      <c r="G39" s="19">
        <f t="shared" ca="1" si="13"/>
        <v>8.6275587825717093E-2</v>
      </c>
      <c r="H39" s="76">
        <f ca="1">(_xll.DBR("CXMD:FTM_DATA_BALANCE_SHEET","Total_Customer_Supplier",Month,H$22,ori,"TOTAL PRODUCT","B-402111","Total Allocation","Amount_BS")/1000)</f>
        <v>95.257848457127693</v>
      </c>
      <c r="I39" s="77">
        <f t="shared" ca="1" si="14"/>
        <v>-375.61407154287258</v>
      </c>
      <c r="J39" s="19">
        <f t="shared" ca="1" si="15"/>
        <v>-0.79769902512528745</v>
      </c>
      <c r="K39" s="77">
        <f t="shared" ca="1" si="16"/>
        <v>-338.21587154287226</v>
      </c>
      <c r="L39" s="19">
        <f t="shared" ca="1" si="17"/>
        <v>-0.78024538960025602</v>
      </c>
    </row>
    <row r="40" spans="2:12" ht="15.75" thickBot="1" x14ac:dyDescent="0.3">
      <c r="B40" s="4" t="s">
        <v>6</v>
      </c>
      <c r="C40" s="29" t="s">
        <v>16</v>
      </c>
      <c r="D40" s="76">
        <f ca="1">(_xll.DBR("CXMD:FTM_DATA_BALANCE_SHEET","Total_Customer_Supplier",Month,D$22,ori,"TOTAL PRODUCT","B-401020","Total Allocation","Amount_BS")/1000)</f>
        <v>644263.97060999996</v>
      </c>
      <c r="E40" s="76">
        <f ca="1">(_xll.DBR("CXMD:FTM_DATA_BALANCE_SHEET","Total_Customer_Supplier",Month,E$22,ori,"TOTAL PRODUCT","B-401020","Total Allocation","Amount_BS")/1000)</f>
        <v>737289.45579000004</v>
      </c>
      <c r="F40" s="77">
        <f t="shared" ca="1" si="6"/>
        <v>93025.485180000076</v>
      </c>
      <c r="G40" s="19">
        <f t="shared" ca="1" si="7"/>
        <v>0.14439032667296603</v>
      </c>
      <c r="H40" s="76">
        <f ca="1">(_xll.DBR("CXMD:FTM_DATA_BALANCE_SHEET","Total_Customer_Supplier",Month,H$22,ori,"TOTAL PRODUCT","B-401020","Total Allocation","Amount_BS")/1000)</f>
        <v>1900371.4873595103</v>
      </c>
      <c r="I40" s="77">
        <f t="shared" ca="1" si="8"/>
        <v>1163082.0315695102</v>
      </c>
      <c r="J40" s="19">
        <f t="shared" ca="1" si="9"/>
        <v>1.577510735350578</v>
      </c>
      <c r="K40" s="77">
        <f t="shared" ca="1" si="10"/>
        <v>1256107.5167495103</v>
      </c>
      <c r="L40" s="19">
        <f t="shared" ca="1" si="11"/>
        <v>1.9496783524309245</v>
      </c>
    </row>
    <row r="41" spans="2:12" ht="15.75" x14ac:dyDescent="0.25">
      <c r="B41" s="42" t="s">
        <v>48</v>
      </c>
      <c r="C41" s="43"/>
      <c r="D41" s="92">
        <f ca="1">D28-D33</f>
        <v>-379210.02186999866</v>
      </c>
      <c r="E41" s="92">
        <f ca="1">E28-E33</f>
        <v>-104188.89351999993</v>
      </c>
      <c r="F41" s="93">
        <f t="shared" ca="1" si="6"/>
        <v>275021.12834999873</v>
      </c>
      <c r="G41" s="44">
        <f t="shared" ca="1" si="7"/>
        <v>-0.72524752113297764</v>
      </c>
      <c r="H41" s="92">
        <f ca="1">H28-H33</f>
        <v>1175546.1838083006</v>
      </c>
      <c r="I41" s="93">
        <f t="shared" ca="1" si="8"/>
        <v>1279735.0773283006</v>
      </c>
      <c r="J41" s="44">
        <f t="shared" ca="1" si="9"/>
        <v>-12.282835857956824</v>
      </c>
      <c r="K41" s="93">
        <f t="shared" ca="1" si="10"/>
        <v>1554756.2056782993</v>
      </c>
      <c r="L41" s="45">
        <f t="shared" ca="1" si="11"/>
        <v>-4.099987120623366</v>
      </c>
    </row>
    <row r="42" spans="2:12" ht="15.75" thickBot="1" x14ac:dyDescent="0.3">
      <c r="B42" s="46"/>
      <c r="C42" s="47" t="s">
        <v>60</v>
      </c>
      <c r="D42" s="48">
        <f ca="1">IF(D26&lt;&gt;0,D41/D26,0)</f>
        <v>-0.20869697824798317</v>
      </c>
      <c r="E42" s="48">
        <f ca="1">IF(E26&lt;&gt;0,E41/E26,0)</f>
        <v>-3.4759755983970402E-2</v>
      </c>
      <c r="F42" s="104"/>
      <c r="G42" s="105">
        <f ca="1">(E42-D42)*100</f>
        <v>17.393722226401277</v>
      </c>
      <c r="H42" s="48">
        <f ca="1">IF(H26&lt;&gt;0,H41/H26,0)</f>
        <v>0.30831236071042034</v>
      </c>
      <c r="I42" s="104"/>
      <c r="J42" s="105">
        <f ca="1">(H42-E42)*100</f>
        <v>34.307211669439077</v>
      </c>
      <c r="K42" s="104"/>
      <c r="L42" s="106">
        <f ca="1">(H42-D42)*100</f>
        <v>51.70093389584035</v>
      </c>
    </row>
    <row r="43" spans="2:12" ht="15.75" x14ac:dyDescent="0.25">
      <c r="B43" s="49" t="s">
        <v>7</v>
      </c>
      <c r="C43" s="117" t="s">
        <v>12</v>
      </c>
      <c r="D43" s="94">
        <f ca="1">(_xll.DBR("CXMD:FTM_DATA_BALANCE_SHEET","Total_Customer_Supplier",Month,D$22,ori,"TOTAL PRODUCT","B-430010","Total Allocation","Amount_BS")/1000)+(_xll.DBR("CXMD:FTM_DATA_BALANCE_SHEET","Total_Customer_Supplier",Month,D$22,ori,"TOTAL PRODUCT","B-430040","Total Allocation","Amount_BS")/1000)+(_xll.DBR("CXMD:FTM_DATA_BALANCE_SHEET","Total_Customer_Supplier",Month,D$22,ori,"TOTAL PRODUCT","B-431040","Total Allocation","Amount_BS")/1000)+(_xll.DBR("CXMD:FTM_DATA_BALANCE_SHEET","Total_Customer_Supplier",Month,D$22,ori,"TOTAL PRODUCT","B-437010","Total Allocation","Amount_BS")/1000)+(_xll.DBR("CXMD:FTM_DATA_BALANCE_SHEET","Total_Customer_Supplier",Month,D$22,ori,"TOTAL PRODUCT","B-438010","Total Allocation","Amount_BS")/1000)</f>
        <v>334553.31451999996</v>
      </c>
      <c r="E43" s="94">
        <f ca="1">(_xll.DBR("CXMD:FTM_DATA_BALANCE_SHEET","Total_Customer_Supplier",Month,E$22,ori,"TOTAL PRODUCT","B-430010","Total Allocation","Amount_BS")/1000)+(_xll.DBR("CXMD:FTM_DATA_BALANCE_SHEET","Total_Customer_Supplier",Month,E$22,ori,"TOTAL PRODUCT","B-430040","Total Allocation","Amount_BS")/1000)+(_xll.DBR("CXMD:FTM_DATA_BALANCE_SHEET","Total_Customer_Supplier",Month,E$22,ori,"TOTAL PRODUCT","B-431040","Total Allocation","Amount_BS")/1000)+(_xll.DBR("CXMD:FTM_DATA_BALANCE_SHEET","Total_Customer_Supplier",Month,E$22,ori,"TOTAL PRODUCT","B-437010","Total Allocation","Amount_BS")/1000)+(_xll.DBR("CXMD:FTM_DATA_BALANCE_SHEET","Total_Customer_Supplier",Month,E$22,ori,"TOTAL PRODUCT","B-438010","Total Allocation","Amount_BS")/1000)</f>
        <v>376178.71387999994</v>
      </c>
      <c r="F43" s="95">
        <f ca="1">E43-D43</f>
        <v>41625.399359999981</v>
      </c>
      <c r="G43" s="50">
        <f ca="1">IF(D43&lt;&gt;0,E43/D43-1,0)</f>
        <v>0.12442082488323858</v>
      </c>
      <c r="H43" s="94">
        <f ca="1">(_xll.DBR("CXMD:FTM_DATA_BALANCE_SHEET","Total_Customer_Supplier",Month,E$22,ori,"TOTAL PRODUCT","B-430010","Total Allocation","Amount_BS")/1000)+(_xll.DBR("CXMD:FTM_DATA_BALANCE_SHEET","Total_Customer_Supplier",Month,E$22,ori,"TOTAL PRODUCT","B-430040","Total Allocation","Amount_BS")/1000)+(_xll.DBR("CXMD:FTM_DATA_BALANCE_SHEET","Total_Customer_Supplier",Month,E$22,ori,"TOTAL PRODUCT","B-431040","Total Allocation","Amount_BS")/1000)+(_xll.DBR("CXMD:FTM_DATA_BALANCE_SHEET","Total_Customer_Supplier",Month,E$22,ori,"TOTAL PRODUCT","B-437010","Total Allocation","Amount_BS")/1000)+(_xll.DBR("CXMD:FTM_DATA_BALANCE_SHEET","Total_Customer_Supplier",Month,E$22,ori,"TOTAL PRODUCT","B-438010","Total Allocation","Amount_BS")/1000)</f>
        <v>376178.71387999994</v>
      </c>
      <c r="I43" s="95">
        <f ca="1">H43-E43</f>
        <v>0</v>
      </c>
      <c r="J43" s="50">
        <f ca="1">IF(E43&lt;&gt;0,H43/E43-1,0)</f>
        <v>0</v>
      </c>
      <c r="K43" s="95">
        <f ca="1">H43-D43</f>
        <v>41625.399359999981</v>
      </c>
      <c r="L43" s="51">
        <f ca="1">IF(D43&lt;&gt;0,H43/D43-1,0)</f>
        <v>0.12442082488323858</v>
      </c>
    </row>
    <row r="44" spans="2:12" ht="15.75" thickBot="1" x14ac:dyDescent="0.3">
      <c r="B44" s="52"/>
      <c r="C44" s="53" t="s">
        <v>60</v>
      </c>
      <c r="D44" s="54">
        <f ca="1">IF(D26&lt;&gt;0,D43/D26,0)</f>
        <v>0.18412030741926697</v>
      </c>
      <c r="E44" s="54">
        <f ca="1">IF(E26&lt;&gt;0,E43/E26,0)</f>
        <v>0.12550167161841097</v>
      </c>
      <c r="F44" s="107"/>
      <c r="G44" s="108">
        <f ca="1">(E44-D44)*100</f>
        <v>-5.8618635800855996</v>
      </c>
      <c r="H44" s="54">
        <f ca="1">IF(H26&lt;&gt;0,H43/H26,0)</f>
        <v>9.8660987482109677E-2</v>
      </c>
      <c r="I44" s="107"/>
      <c r="J44" s="108">
        <f ca="1">(H44-E44)*100</f>
        <v>-2.6840684136301292</v>
      </c>
      <c r="K44" s="107"/>
      <c r="L44" s="109">
        <f ca="1">(H44-D44)*100</f>
        <v>-8.5459319937157296</v>
      </c>
    </row>
    <row r="45" spans="2:12" x14ac:dyDescent="0.25">
      <c r="B45" s="4" t="s">
        <v>7</v>
      </c>
      <c r="C45" s="28" t="s">
        <v>17</v>
      </c>
      <c r="D45" s="74">
        <f ca="1">(_xll.DBR("CXMD:FTM_DATA_BALANCE_SHEET","Total_Customer_Supplier",Month,D$22,ori,"TOTAL PRODUCT","R-940000","Total Allocation","Amount_BS")/1000)</f>
        <v>336678.01799999992</v>
      </c>
      <c r="E45" s="74">
        <f ca="1">(_xll.DBR("CXMD:FTM_DATA_BALANCE_SHEET","Total_Customer_Supplier",Month,E$22,ori,"TOTAL PRODUCT","R-940000","Total Allocation","Amount_BS")/1000)</f>
        <v>378318.14100999996</v>
      </c>
      <c r="F45" s="75">
        <f t="shared" ca="1" si="6"/>
        <v>41640.123010000039</v>
      </c>
      <c r="G45" s="18">
        <f t="shared" ca="1" si="7"/>
        <v>0.12367936361678367</v>
      </c>
      <c r="H45" s="74">
        <f ca="1">(_xll.DBR("CXMD:FTM_DATA_BALANCE_SHEET","Total_Customer_Supplier",Month,H$22,ori,"TOTAL PRODUCT","R-940000","Total Allocation","Amount_BS")/1000)</f>
        <v>328362.0515773904</v>
      </c>
      <c r="I45" s="75">
        <f t="shared" ca="1" si="8"/>
        <v>-49956.089432609559</v>
      </c>
      <c r="J45" s="18">
        <f t="shared" ca="1" si="9"/>
        <v>-0.13204782963682693</v>
      </c>
      <c r="K45" s="75">
        <f t="shared" ca="1" si="10"/>
        <v>-8315.9664226095192</v>
      </c>
      <c r="L45" s="18">
        <f t="shared" ca="1" si="11"/>
        <v>-2.4700057556503507E-2</v>
      </c>
    </row>
    <row r="46" spans="2:12" x14ac:dyDescent="0.25">
      <c r="B46" s="4" t="s">
        <v>7</v>
      </c>
      <c r="C46" s="29" t="s">
        <v>18</v>
      </c>
      <c r="D46" s="76">
        <f ca="1">(_xll.DBR("CXMD:FTM_DATA_BALANCE_SHEET","Total_Customer_Supplier",Month,D$22,ori,"TOTAL PRODUCT","B-430040","Total Allocation","Amount_BS")/1000)</f>
        <v>51812.258939999992</v>
      </c>
      <c r="E46" s="76">
        <f ca="1">(_xll.DBR("CXMD:FTM_DATA_BALANCE_SHEET","Total_Customer_Supplier",Month,E$22,ori,"TOTAL PRODUCT","B-430040","Total Allocation","Amount_BS")/1000)</f>
        <v>58508.953029999997</v>
      </c>
      <c r="F46" s="77">
        <f t="shared" ca="1" si="6"/>
        <v>6696.6940900000045</v>
      </c>
      <c r="G46" s="19">
        <f t="shared" ca="1" si="7"/>
        <v>0.12924922068645883</v>
      </c>
      <c r="H46" s="76">
        <f ca="1">(_xll.DBR("CXMD:FTM_DATA_BALANCE_SHEET","Total_Customer_Supplier",Month,H$22,ori,"TOTAL PRODUCT","B-430040","Total Allocation","Amount_BS")/1000)</f>
        <v>52574.955728244364</v>
      </c>
      <c r="I46" s="77">
        <f t="shared" ca="1" si="8"/>
        <v>-5933.9973017556331</v>
      </c>
      <c r="J46" s="19">
        <f t="shared" ca="1" si="9"/>
        <v>-0.10142032961541836</v>
      </c>
      <c r="K46" s="77">
        <f t="shared" ca="1" si="10"/>
        <v>762.69678824437142</v>
      </c>
      <c r="L46" s="19">
        <f t="shared" ca="1" si="11"/>
        <v>1.4720392506483826E-2</v>
      </c>
    </row>
    <row r="47" spans="2:12" x14ac:dyDescent="0.25">
      <c r="B47" s="4" t="s">
        <v>7</v>
      </c>
      <c r="C47" s="29" t="s">
        <v>19</v>
      </c>
      <c r="D47" s="76">
        <f ca="1">(_xll.DBR("CXMD:FTM_DATA_BALANCE_SHEET","Total_Customer_Supplier",Month,D$22,ori,"TOTAL PRODUCT","B-438010","Total Allocation","Amount_BS")/1000)</f>
        <v>21530.649610000004</v>
      </c>
      <c r="E47" s="76">
        <f ca="1">(_xll.DBR("CXMD:FTM_DATA_BALANCE_SHEET","Total_Customer_Supplier",Month,E$22,ori,"TOTAL PRODUCT","B-438010","Total Allocation","Amount_BS")/1000)</f>
        <v>33595.995729999995</v>
      </c>
      <c r="F47" s="77">
        <f t="shared" ca="1" si="6"/>
        <v>12065.346119999991</v>
      </c>
      <c r="G47" s="19">
        <f t="shared" ca="1" si="7"/>
        <v>0.56038003211924403</v>
      </c>
      <c r="H47" s="76">
        <f ca="1">(_xll.DBR("CXMD:FTM_DATA_BALANCE_SHEET","Total_Customer_Supplier",Month,H$22,ori,"TOTAL PRODUCT","B-438010","Total Allocation","Amount_BS")/1000)</f>
        <v>19505.367991848594</v>
      </c>
      <c r="I47" s="77">
        <f t="shared" ca="1" si="8"/>
        <v>-14090.627738151401</v>
      </c>
      <c r="J47" s="19">
        <f t="shared" ca="1" si="9"/>
        <v>-0.4194139043055356</v>
      </c>
      <c r="K47" s="77">
        <f t="shared" ca="1" si="10"/>
        <v>-2025.2816181514099</v>
      </c>
      <c r="L47" s="19">
        <f t="shared" ca="1" si="11"/>
        <v>-9.4065049352285213E-2</v>
      </c>
    </row>
    <row r="48" spans="2:12" x14ac:dyDescent="0.25">
      <c r="B48" s="4" t="s">
        <v>7</v>
      </c>
      <c r="C48" s="29" t="s">
        <v>20</v>
      </c>
      <c r="D48" s="76">
        <f ca="1">(_xll.DBR("CXMD:FTM_DATA_BALANCE_SHEET","Total_Customer_Supplier",Month,D$22,ori,"TOTAL PRODUCT","B-430010","Total Allocation","Amount_BS")/1000)</f>
        <v>244771.37626999995</v>
      </c>
      <c r="E48" s="76">
        <f ca="1">(_xll.DBR("CXMD:FTM_DATA_BALANCE_SHEET","Total_Customer_Supplier",Month,E$22,ori,"TOTAL PRODUCT","B-430010","Total Allocation","Amount_BS")/1000)</f>
        <v>265305.74508999998</v>
      </c>
      <c r="F48" s="77">
        <f t="shared" ca="1" si="6"/>
        <v>20534.368820000032</v>
      </c>
      <c r="G48" s="19">
        <f t="shared" ca="1" si="7"/>
        <v>8.3892034815987504E-2</v>
      </c>
      <c r="H48" s="76">
        <f ca="1">(_xll.DBR("CXMD:FTM_DATA_BALANCE_SHEET","Total_Customer_Supplier",Month,H$22,ori,"TOTAL PRODUCT","B-430010","Total Allocation","Amount_BS")/1000)</f>
        <v>242696.42915044076</v>
      </c>
      <c r="I48" s="77">
        <f t="shared" ca="1" si="8"/>
        <v>-22609.315939559223</v>
      </c>
      <c r="J48" s="19">
        <f t="shared" ca="1" si="9"/>
        <v>-8.5219850523362894E-2</v>
      </c>
      <c r="K48" s="77">
        <f t="shared" ca="1" si="10"/>
        <v>-2074.9471195591905</v>
      </c>
      <c r="L48" s="19">
        <f t="shared" ca="1" si="11"/>
        <v>-8.4770823744945156E-3</v>
      </c>
    </row>
    <row r="49" spans="2:12" x14ac:dyDescent="0.25">
      <c r="B49" s="4" t="s">
        <v>7</v>
      </c>
      <c r="C49" s="29" t="s">
        <v>21</v>
      </c>
      <c r="D49" s="76">
        <f ca="1">(_xll.DBR("CXMD:FTM_DATA_BALANCE_SHEET","Total_Customer_Supplier",Month,D$22,ori,"TOTAL PRODUCT","B-431040","Total Allocation","Amount_BS")/1000)</f>
        <v>545.24615000000006</v>
      </c>
      <c r="E49" s="76">
        <f ca="1">(_xll.DBR("CXMD:FTM_DATA_BALANCE_SHEET","Total_Customer_Supplier",Month,E$22,ori,"TOTAL PRODUCT","B-431040","Total Allocation","Amount_BS")/1000)</f>
        <v>122.36300999999978</v>
      </c>
      <c r="F49" s="77">
        <f t="shared" ca="1" si="6"/>
        <v>-422.88314000000025</v>
      </c>
      <c r="G49" s="19">
        <f t="shared" ca="1" si="7"/>
        <v>-0.77558207426132264</v>
      </c>
      <c r="H49" s="76">
        <f ca="1">(_xll.DBR("CXMD:FTM_DATA_BALANCE_SHEET","Total_Customer_Supplier",Month,H$22,ori,"TOTAL PRODUCT","B-431040","Total Allocation","Amount_BS")/1000)</f>
        <v>778.02241813905255</v>
      </c>
      <c r="I49" s="77">
        <f t="shared" ca="1" si="8"/>
        <v>655.65940813905274</v>
      </c>
      <c r="J49" s="19">
        <f t="shared" ca="1" si="9"/>
        <v>5.358313824897361</v>
      </c>
      <c r="K49" s="77">
        <f t="shared" ca="1" si="10"/>
        <v>232.77626813905249</v>
      </c>
      <c r="L49" s="19">
        <f t="shared" ca="1" si="11"/>
        <v>0.42691959977902183</v>
      </c>
    </row>
    <row r="50" spans="2:12" ht="15.75" thickBot="1" x14ac:dyDescent="0.3">
      <c r="B50" s="4" t="s">
        <v>7</v>
      </c>
      <c r="C50" s="29" t="s">
        <v>22</v>
      </c>
      <c r="D50" s="76">
        <f ca="1">(_xll.DBR("CXMD:FTM_DATA_BALANCE_SHEET","Total_Customer_Supplier",Month,D$22,ori,"TOTAL PRODUCT","B-437010","Total Allocation","Amount_BS")/1000)</f>
        <v>15893.783549999998</v>
      </c>
      <c r="E50" s="76">
        <f ca="1">(_xll.DBR("CXMD:FTM_DATA_BALANCE_SHEET","Total_Customer_Supplier",Month,E$22,ori,"TOTAL PRODUCT","B-437010","Total Allocation","Amount_BS")/1000)</f>
        <v>18645.657020000002</v>
      </c>
      <c r="F50" s="77">
        <f t="shared" ca="1" si="6"/>
        <v>2751.8734700000041</v>
      </c>
      <c r="G50" s="19">
        <f t="shared" ca="1" si="7"/>
        <v>0.17314149656958211</v>
      </c>
      <c r="H50" s="76">
        <f ca="1">(_xll.DBR("CXMD:FTM_DATA_BALANCE_SHEET","Total_Customer_Supplier",Month,H$22,ori,"TOTAL PRODUCT","B-437010","Total Allocation","Amount_BS")/1000)</f>
        <v>10602.458971149048</v>
      </c>
      <c r="I50" s="77">
        <f t="shared" ca="1" si="8"/>
        <v>-8043.1980488509544</v>
      </c>
      <c r="J50" s="19">
        <f t="shared" ca="1" si="9"/>
        <v>-0.43137112520216003</v>
      </c>
      <c r="K50" s="77">
        <f t="shared" ca="1" si="10"/>
        <v>-5291.3245788509503</v>
      </c>
      <c r="L50" s="19">
        <f t="shared" ca="1" si="11"/>
        <v>-0.33291787082698443</v>
      </c>
    </row>
    <row r="51" spans="2:12" ht="15.75" x14ac:dyDescent="0.25">
      <c r="B51" s="55" t="s">
        <v>8</v>
      </c>
      <c r="C51" s="118" t="s">
        <v>12</v>
      </c>
      <c r="D51" s="96">
        <f ca="1">(_xll.DBR("CXMD:FTM_DATA_BALANCE_SHEET","Total_Customer_Supplier",Month,D$22,ori,"TOTAL PRODUCT","B-451010","Total Allocation","Amount_BS")/1000)+(_xll.DBR("CXMD:FTM_DATA_BALANCE_SHEET","Total_Customer_Supplier",Month,D$22,ori,"TOTAL PRODUCT","B-451020","Total Allocation","Amount_BS")/1000)+(_xll.DBR("CXMD:FTM_DATA_BALANCE_SHEET","Total_Customer_Supplier",Month,D$22,ori,"TOTAL PRODUCT","B-451030","Total Allocation","Amount_BS")/1000)+(_xll.DBR("CXMD:FTM_DATA_BALANCE_SHEET","Total_Customer_Supplier",Month,D$22,ori,"TOTAL PRODUCT","B-451110","Total Allocation","Amount_BS")/1000)+(_xll.DBR("CXMD:FTM_DATA_BALANCE_SHEET","Total_Customer_Supplier",Month,D$22,ori,"TOTAL PRODUCT","B-451210","Total Allocation","Amount_BS")/1000)+(_xll.DBR("CXMD:FTM_DATA_BALANCE_SHEET","Total_Customer_Supplier",Month,D$22,ori,"TOTAL PRODUCT","B-451220","Total Allocation","Amount_BS")/1000)+(_xll.DBR("CXMD:FTM_DATA_BALANCE_SHEET","Total_Customer_Supplier",Month,D$22,ori,"TOTAL PRODUCT","B-451310","Total Allocation","Amount_BS")/1000)+(_xll.DBR("CXMD:FTM_DATA_BALANCE_SHEET","Total_Customer_Supplier",Month,D$22,ori,"TOTAL PRODUCT","B-451450","Total Allocation","Amount_BS")/1000)+(_xll.DBR("CXMD:FTM_DATA_BALANCE_SHEET","Total_Customer_Supplier",Month,D$22,ori,"TOTAL PRODUCT","B-451510","Total Allocation","Amount_BS")/1000)+(_xll.DBR("CXMD:FTM_DATA_BALANCE_SHEET","Total_Customer_Supplier",Month,D$22,ori,"TOTAL PRODUCT","B-451610","Total Allocation","Amount_BS")/1000)+(_xll.DBR("CXMD:FTM_DATA_BALANCE_SHEET","Total_Customer_Supplier",Month,D$22,ori,"TOTAL PRODUCT","B-451620","Total Allocation","Amount_BS")/1000)</f>
        <v>315919.99868999998</v>
      </c>
      <c r="E51" s="96">
        <f ca="1">(_xll.DBR("CXMD:FTM_DATA_BALANCE_SHEET","Total_Customer_Supplier",Month,E$22,ori,"TOTAL PRODUCT","B-451010","Total Allocation","Amount_BS")/1000)+(_xll.DBR("CXMD:FTM_DATA_BALANCE_SHEET","Total_Customer_Supplier",Month,E$22,ori,"TOTAL PRODUCT","B-451020","Total Allocation","Amount_BS")/1000)+(_xll.DBR("CXMD:FTM_DATA_BALANCE_SHEET","Total_Customer_Supplier",Month,E$22,ori,"TOTAL PRODUCT","B-451030","Total Allocation","Amount_BS")/1000)+(_xll.DBR("CXMD:FTM_DATA_BALANCE_SHEET","Total_Customer_Supplier",Month,E$22,ori,"TOTAL PRODUCT","B-451110","Total Allocation","Amount_BS")/1000)+(_xll.DBR("CXMD:FTM_DATA_BALANCE_SHEET","Total_Customer_Supplier",Month,E$22,ori,"TOTAL PRODUCT","B-451210","Total Allocation","Amount_BS")/1000)+(_xll.DBR("CXMD:FTM_DATA_BALANCE_SHEET","Total_Customer_Supplier",Month,E$22,ori,"TOTAL PRODUCT","B-451220","Total Allocation","Amount_BS")/1000)+(_xll.DBR("CXMD:FTM_DATA_BALANCE_SHEET","Total_Customer_Supplier",Month,E$22,ori,"TOTAL PRODUCT","B-451310","Total Allocation","Amount_BS")/1000)+(_xll.DBR("CXMD:FTM_DATA_BALANCE_SHEET","Total_Customer_Supplier",Month,E$22,ori,"TOTAL PRODUCT","B-451450","Total Allocation","Amount_BS")/1000)+(_xll.DBR("CXMD:FTM_DATA_BALANCE_SHEET","Total_Customer_Supplier",Month,E$22,ori,"TOTAL PRODUCT","B-451510","Total Allocation","Amount_BS")/1000)+(_xll.DBR("CXMD:FTM_DATA_BALANCE_SHEET","Total_Customer_Supplier",Month,E$22,ori,"TOTAL PRODUCT","B-451610","Total Allocation","Amount_BS")/1000)+(_xll.DBR("CXMD:FTM_DATA_BALANCE_SHEET","Total_Customer_Supplier",Month,E$22,ori,"TOTAL PRODUCT","B-451620","Total Allocation","Amount_BS")/1000)</f>
        <v>325764.40101999999</v>
      </c>
      <c r="F51" s="97">
        <f ca="1">E51-D51</f>
        <v>9844.4023300000117</v>
      </c>
      <c r="G51" s="56">
        <f ca="1">IF(D51&lt;&gt;0,E51/D51-1,0)</f>
        <v>3.1161060935746443E-2</v>
      </c>
      <c r="H51" s="96">
        <f ca="1">(_xll.DBR("CXMD:FTM_DATA_BALANCE_SHEET","Total_Customer_Supplier",Month,H$22,ori,"TOTAL PRODUCT","B-451010","Total Allocation","Amount_BS")/1000)+(_xll.DBR("CXMD:FTM_DATA_BALANCE_SHEET","Total_Customer_Supplier",Month,H$22,ori,"TOTAL PRODUCT","B-451020","Total Allocation","Amount_BS")/1000)+(_xll.DBR("CXMD:FTM_DATA_BALANCE_SHEET","Total_Customer_Supplier",Month,H$22,ori,"TOTAL PRODUCT","B-451030","Total Allocation","Amount_BS")/1000)+(_xll.DBR("CXMD:FTM_DATA_BALANCE_SHEET","Total_Customer_Supplier",Month,H$22,ori,"TOTAL PRODUCT","B-451110","Total Allocation","Amount_BS")/1000)+(_xll.DBR("CXMD:FTM_DATA_BALANCE_SHEET","Total_Customer_Supplier",Month,H$22,ori,"TOTAL PRODUCT","B-451210","Total Allocation","Amount_BS")/1000)+(_xll.DBR("CXMD:FTM_DATA_BALANCE_SHEET","Total_Customer_Supplier",Month,H$22,ori,"TOTAL PRODUCT","B-451220","Total Allocation","Amount_BS")/1000)+(_xll.DBR("CXMD:FTM_DATA_BALANCE_SHEET","Total_Customer_Supplier",Month,H$22,ori,"TOTAL PRODUCT","B-451310","Total Allocation","Amount_BS")/1000)+(_xll.DBR("CXMD:FTM_DATA_BALANCE_SHEET","Total_Customer_Supplier",Month,H$22,ori,"TOTAL PRODUCT","B-451450","Total Allocation","Amount_BS")/1000)+(_xll.DBR("CXMD:FTM_DATA_BALANCE_SHEET","Total_Customer_Supplier",Month,H$22,ori,"TOTAL PRODUCT","B-451510","Total Allocation","Amount_BS")/1000)+(_xll.DBR("CXMD:FTM_DATA_BALANCE_SHEET","Total_Customer_Supplier",Month,H$22,ori,"TOTAL PRODUCT","B-451610","Total Allocation","Amount_BS")/1000)+(_xll.DBR("CXMD:FTM_DATA_BALANCE_SHEET","Total_Customer_Supplier",Month,H$22,ori,"TOTAL PRODUCT","B-451620","Total Allocation","Amount_BS")/1000)</f>
        <v>322374.29731074197</v>
      </c>
      <c r="I51" s="97">
        <f ca="1">H51-E51</f>
        <v>-3390.1037092580227</v>
      </c>
      <c r="J51" s="56">
        <f ca="1">IF(E51&lt;&gt;0,H51/E51-1,0)</f>
        <v>-1.0406611952206157E-2</v>
      </c>
      <c r="K51" s="97">
        <f ca="1">H51-D51</f>
        <v>6454.298620741989</v>
      </c>
      <c r="L51" s="57">
        <f ca="1">IF(D51&lt;&gt;0,H51/D51-1,0)</f>
        <v>2.0430167914362807E-2</v>
      </c>
    </row>
    <row r="52" spans="2:12" ht="15.75" thickBot="1" x14ac:dyDescent="0.3">
      <c r="B52" s="58"/>
      <c r="C52" s="59" t="s">
        <v>60</v>
      </c>
      <c r="D52" s="60">
        <f ca="1">IF(D26&lt;&gt;0,D51/D26,0)</f>
        <v>0.17386552383183732</v>
      </c>
      <c r="E52" s="60">
        <f ca="1">IF(E26&lt;&gt;0,E51/E26,0)</f>
        <v>0.10868232404777232</v>
      </c>
      <c r="F52" s="110"/>
      <c r="G52" s="111">
        <f ca="1">(E52-D52)*100</f>
        <v>-6.5183199784064989</v>
      </c>
      <c r="H52" s="60">
        <f ca="1">IF(H26&lt;&gt;0,H51/H26,0)</f>
        <v>8.4549617875707278E-2</v>
      </c>
      <c r="I52" s="110"/>
      <c r="J52" s="111">
        <f ca="1">(H52-E52)*100</f>
        <v>-2.4132706172065048</v>
      </c>
      <c r="K52" s="110"/>
      <c r="L52" s="112">
        <f ca="1">(H52-D52)*100</f>
        <v>-8.9315905956130042</v>
      </c>
    </row>
    <row r="53" spans="2:12" x14ac:dyDescent="0.25">
      <c r="B53" s="4" t="s">
        <v>8</v>
      </c>
      <c r="C53" s="28" t="s">
        <v>23</v>
      </c>
      <c r="D53" s="74">
        <f ca="1">D54+D55+D56+D57+D58+D59+D60+D61+D62+D63+D64+D65</f>
        <v>315919.99868999998</v>
      </c>
      <c r="E53" s="74">
        <f ca="1">E54+E55+E56+E57+E58+E59+E60+E61+E62+E63+E64+E65</f>
        <v>325764.40101999993</v>
      </c>
      <c r="F53" s="75">
        <f t="shared" ca="1" si="6"/>
        <v>9844.4023299999535</v>
      </c>
      <c r="G53" s="18">
        <f t="shared" ca="1" si="7"/>
        <v>3.1161060935746221E-2</v>
      </c>
      <c r="H53" s="74">
        <f ca="1">H54+H55+H56+H57+H58+H59+H60+H61+H62+H63+H64+H65</f>
        <v>322679.40868165449</v>
      </c>
      <c r="I53" s="75">
        <f t="shared" ca="1" si="8"/>
        <v>-3084.9923383454443</v>
      </c>
      <c r="J53" s="18">
        <f t="shared" ca="1" si="9"/>
        <v>-9.4700106232787906E-3</v>
      </c>
      <c r="K53" s="75">
        <f t="shared" ca="1" si="10"/>
        <v>6759.4099916545092</v>
      </c>
      <c r="L53" s="18">
        <f t="shared" ca="1" si="11"/>
        <v>2.139595473437339E-2</v>
      </c>
    </row>
    <row r="54" spans="2:12" x14ac:dyDescent="0.25">
      <c r="B54" s="4" t="s">
        <v>8</v>
      </c>
      <c r="C54" s="128" t="s">
        <v>24</v>
      </c>
      <c r="D54" s="76">
        <f ca="1">(_xll.DBR("CXMD:FTM_DATA_BALANCE_SHEET","Total_Customer_Supplier",Month,D$22,ori,"TOTAL PRODUCT","B-451020","Total Allocation","Amount_BS")/1000)</f>
        <v>40921.496900000006</v>
      </c>
      <c r="E54" s="76">
        <f ca="1">(_xll.DBR("CXMD:FTM_DATA_BALANCE_SHEET","Total_Customer_Supplier",Month,E$22,ori,"TOTAL PRODUCT","B-451020","Total Allocation","Amount_BS")/1000)</f>
        <v>44480.084619999994</v>
      </c>
      <c r="F54" s="77">
        <f t="shared" ca="1" si="6"/>
        <v>3558.5877199999886</v>
      </c>
      <c r="G54" s="19">
        <f t="shared" ca="1" si="7"/>
        <v>8.6961328142421523E-2</v>
      </c>
      <c r="H54" s="76">
        <f ca="1">(_xll.DBR("CXMD:FTM_DATA_BALANCE_SHEET","Total_Customer_Supplier",Month,H$22,ori,"TOTAL PRODUCT","B-451020","Total Allocation","Amount_BS")/1000)</f>
        <v>27979.472536502741</v>
      </c>
      <c r="I54" s="77">
        <f t="shared" ca="1" si="8"/>
        <v>-16500.612083497253</v>
      </c>
      <c r="J54" s="19">
        <f t="shared" ca="1" si="9"/>
        <v>-0.37096629254338087</v>
      </c>
      <c r="K54" s="77">
        <f t="shared" ca="1" si="10"/>
        <v>-12942.024363497265</v>
      </c>
      <c r="L54" s="19">
        <f t="shared" ca="1" si="11"/>
        <v>-0.31626468589660173</v>
      </c>
    </row>
    <row r="55" spans="2:12" x14ac:dyDescent="0.25">
      <c r="B55" s="4" t="s">
        <v>8</v>
      </c>
      <c r="C55" s="128" t="s">
        <v>25</v>
      </c>
      <c r="D55" s="76">
        <f ca="1">(_xll.DBR("CXMD:FTM_DATA_BALANCE_SHEET","Total_Customer_Supplier",Month,D$22,ori,"TOTAL PRODUCT","B-451010","Total Allocation","Amount_BS")/1000)</f>
        <v>22069.541880000001</v>
      </c>
      <c r="E55" s="76">
        <f ca="1">(_xll.DBR("CXMD:FTM_DATA_BALANCE_SHEET","Total_Customer_Supplier",Month,E$22,ori,"TOTAL PRODUCT","B-451010","Total Allocation","Amount_BS")/1000)</f>
        <v>23032.943199999998</v>
      </c>
      <c r="F55" s="77">
        <f t="shared" ca="1" si="6"/>
        <v>963.40131999999721</v>
      </c>
      <c r="G55" s="19">
        <f t="shared" ca="1" si="7"/>
        <v>4.3652982252117223E-2</v>
      </c>
      <c r="H55" s="76">
        <f ca="1">(_xll.DBR("CXMD:FTM_DATA_BALANCE_SHEET","Total_Customer_Supplier",Month,H$22,ori,"TOTAL PRODUCT","B-451010","Total Allocation","Amount_BS")/1000)</f>
        <v>17650.318764273256</v>
      </c>
      <c r="I55" s="77">
        <f t="shared" ca="1" si="8"/>
        <v>-5382.6244357267424</v>
      </c>
      <c r="J55" s="19">
        <f t="shared" ca="1" si="9"/>
        <v>-0.23369242866568363</v>
      </c>
      <c r="K55" s="77">
        <f t="shared" ca="1" si="10"/>
        <v>-4419.2231157267452</v>
      </c>
      <c r="L55" s="19">
        <f t="shared" ca="1" si="11"/>
        <v>-0.20024081785456371</v>
      </c>
    </row>
    <row r="56" spans="2:12" x14ac:dyDescent="0.25">
      <c r="B56" s="4" t="s">
        <v>8</v>
      </c>
      <c r="C56" s="128" t="s">
        <v>26</v>
      </c>
      <c r="D56" s="76">
        <f ca="1">(_xll.DBR("CXMD:FTM_DATA_BALANCE_SHEET","Total_Customer_Supplier",Month,D$22,ori,"TOTAL PRODUCT","B-451110","Total Allocation","Amount_BS")/1000)</f>
        <v>13316.980810000001</v>
      </c>
      <c r="E56" s="76">
        <f ca="1">(_xll.DBR("CXMD:FTM_DATA_BALANCE_SHEET","Total_Customer_Supplier",Month,E$22,ori,"TOTAL PRODUCT","B-451110","Total Allocation","Amount_BS")/1000)</f>
        <v>14001.02635</v>
      </c>
      <c r="F56" s="77">
        <f t="shared" ca="1" si="6"/>
        <v>684.04553999999916</v>
      </c>
      <c r="G56" s="19">
        <f t="shared" ca="1" si="7"/>
        <v>5.1366413285384827E-2</v>
      </c>
      <c r="H56" s="76">
        <f ca="1">(_xll.DBR("CXMD:FTM_DATA_BALANCE_SHEET","Total_Customer_Supplier",Month,H$22,ori,"TOTAL PRODUCT","B-451110","Total Allocation","Amount_BS")/1000)</f>
        <v>16207.283122731576</v>
      </c>
      <c r="I56" s="77">
        <f t="shared" ca="1" si="8"/>
        <v>2206.2567727315763</v>
      </c>
      <c r="J56" s="19">
        <f t="shared" ca="1" si="9"/>
        <v>0.15757821730916</v>
      </c>
      <c r="K56" s="77">
        <f t="shared" ca="1" si="10"/>
        <v>2890.3023127315755</v>
      </c>
      <c r="L56" s="19">
        <f t="shared" ca="1" si="11"/>
        <v>0.21703885842962145</v>
      </c>
    </row>
    <row r="57" spans="2:12" x14ac:dyDescent="0.25">
      <c r="B57" s="4" t="s">
        <v>8</v>
      </c>
      <c r="C57" s="128" t="s">
        <v>27</v>
      </c>
      <c r="D57" s="76">
        <f ca="1">(_xll.DBR("CXMD:FTM_DATA_BALANCE_SHEET","Total_Customer_Supplier",Month,D$22,ori,"TOTAL PRODUCT","B-451610","Total Allocation","Amount_BS")/1000)</f>
        <v>65248.662929999991</v>
      </c>
      <c r="E57" s="76">
        <f ca="1">(_xll.DBR("CXMD:FTM_DATA_BALANCE_SHEET","Total_Customer_Supplier",Month,E$22,ori,"TOTAL PRODUCT","B-451610","Total Allocation","Amount_BS")/1000)</f>
        <v>49210.673870000006</v>
      </c>
      <c r="F57" s="77">
        <f t="shared" ca="1" si="6"/>
        <v>-16037.989059999985</v>
      </c>
      <c r="G57" s="19">
        <f t="shared" ca="1" si="7"/>
        <v>-0.24579797255318236</v>
      </c>
      <c r="H57" s="76">
        <f ca="1">(_xll.DBR("CXMD:FTM_DATA_BALANCE_SHEET","Total_Customer_Supplier",Month,H$22,ori,"TOTAL PRODUCT","B-451610","Total Allocation","Amount_BS")/1000)</f>
        <v>60653.254708123648</v>
      </c>
      <c r="I57" s="77">
        <f t="shared" ca="1" si="8"/>
        <v>11442.580838123642</v>
      </c>
      <c r="J57" s="19">
        <f t="shared" ca="1" si="9"/>
        <v>0.23252233587273241</v>
      </c>
      <c r="K57" s="77">
        <f t="shared" ca="1" si="10"/>
        <v>-4595.4082218763433</v>
      </c>
      <c r="L57" s="19">
        <f t="shared" ca="1" si="11"/>
        <v>-7.0429155411297573E-2</v>
      </c>
    </row>
    <row r="58" spans="2:12" x14ac:dyDescent="0.25">
      <c r="B58" s="4" t="s">
        <v>8</v>
      </c>
      <c r="C58" s="128" t="s">
        <v>28</v>
      </c>
      <c r="D58" s="76">
        <f ca="1">(_xll.DBR("CXMD:FTM_DATA_BALANCE_SHEET","Total_Customer_Supplier",Month,D$22,ori,"TOTAL PRODUCT","B-451030","Total Allocation","Amount_BS")/1000)</f>
        <v>4608.2910500000007</v>
      </c>
      <c r="E58" s="76">
        <f ca="1">(_xll.DBR("CXMD:FTM_DATA_BALANCE_SHEET","Total_Customer_Supplier",Month,E$22,ori,"TOTAL PRODUCT","B-451030","Total Allocation","Amount_BS")/1000)</f>
        <v>5127.9198199999983</v>
      </c>
      <c r="F58" s="77">
        <f t="shared" ca="1" si="6"/>
        <v>519.62876999999753</v>
      </c>
      <c r="G58" s="19">
        <f t="shared" ca="1" si="7"/>
        <v>0.11275953805044447</v>
      </c>
      <c r="H58" s="76">
        <f ca="1">(_xll.DBR("CXMD:FTM_DATA_BALANCE_SHEET","Total_Customer_Supplier",Month,H$22,ori,"TOTAL PRODUCT","B-451030","Total Allocation","Amount_BS")/1000)</f>
        <v>7195.0352461464463</v>
      </c>
      <c r="I58" s="77">
        <f t="shared" ca="1" si="8"/>
        <v>2067.115426146448</v>
      </c>
      <c r="J58" s="19">
        <f t="shared" ca="1" si="9"/>
        <v>0.40310993516011107</v>
      </c>
      <c r="K58" s="77">
        <f t="shared" ca="1" si="10"/>
        <v>2586.7441961464456</v>
      </c>
      <c r="L58" s="19">
        <f t="shared" ca="1" si="11"/>
        <v>0.56132396328275425</v>
      </c>
    </row>
    <row r="59" spans="2:12" x14ac:dyDescent="0.25">
      <c r="B59" s="4" t="s">
        <v>8</v>
      </c>
      <c r="C59" s="128" t="s">
        <v>29</v>
      </c>
      <c r="D59" s="76">
        <f ca="1">(_xll.DBR("CXMD:FTM_DATA_BALANCE_SHEET","Total_Customer_Supplier",Month,D$22,ori,"TOTAL PRODUCT","B-451450","Total Allocation","Amount_BS")/1000)</f>
        <v>115430.97550999999</v>
      </c>
      <c r="E59" s="76">
        <f ca="1">(_xll.DBR("CXMD:FTM_DATA_BALANCE_SHEET","Total_Customer_Supplier",Month,E$22,ori,"TOTAL PRODUCT","B-451450","Total Allocation","Amount_BS")/1000)</f>
        <v>122521.25226999998</v>
      </c>
      <c r="F59" s="77">
        <f t="shared" ca="1" si="6"/>
        <v>7090.2767599999934</v>
      </c>
      <c r="G59" s="19">
        <f t="shared" ca="1" si="7"/>
        <v>6.1424385687408156E-2</v>
      </c>
      <c r="H59" s="76">
        <f ca="1">(_xll.DBR("CXMD:FTM_DATA_BALANCE_SHEET","Total_Customer_Supplier",Month,H$22,ori,"TOTAL PRODUCT","B-451450","Total Allocation","Amount_BS")/1000)</f>
        <v>124737.59005838263</v>
      </c>
      <c r="I59" s="77">
        <f t="shared" ca="1" si="8"/>
        <v>2216.337788382647</v>
      </c>
      <c r="J59" s="19">
        <f t="shared" ca="1" si="9"/>
        <v>1.8089415079585613E-2</v>
      </c>
      <c r="K59" s="77">
        <f t="shared" ca="1" si="10"/>
        <v>9306.6145483826404</v>
      </c>
      <c r="L59" s="19">
        <f t="shared" ca="1" si="11"/>
        <v>8.0624931975701752E-2</v>
      </c>
    </row>
    <row r="60" spans="2:12" x14ac:dyDescent="0.25">
      <c r="B60" s="4" t="s">
        <v>8</v>
      </c>
      <c r="C60" s="128" t="s">
        <v>30</v>
      </c>
      <c r="D60" s="76">
        <f ca="1">(_xll.DBR("CXMD:FTM_DATA_BALANCE_SHEET","Total_Customer_Supplier",Month,D$22,ori,"TOTAL PRODUCT","B-451210","Total Allocation","Amount_BS")/1000)</f>
        <v>3836.7691499999996</v>
      </c>
      <c r="E60" s="76">
        <f ca="1">(_xll.DBR("CXMD:FTM_DATA_BALANCE_SHEET","Total_Customer_Supplier",Month,E$22,ori,"TOTAL PRODUCT","B-451210","Total Allocation","Amount_BS")/1000)</f>
        <v>3924.5763099999999</v>
      </c>
      <c r="F60" s="77">
        <f t="shared" ca="1" si="6"/>
        <v>87.807160000000295</v>
      </c>
      <c r="G60" s="19">
        <f t="shared" ca="1" si="7"/>
        <v>2.2885703196399154E-2</v>
      </c>
      <c r="H60" s="76">
        <f ca="1">(_xll.DBR("CXMD:FTM_DATA_BALANCE_SHEET","Total_Customer_Supplier",Month,H$22,ori,"TOTAL PRODUCT","B-451210","Total Allocation","Amount_BS")/1000)</f>
        <v>2257.4906128870939</v>
      </c>
      <c r="I60" s="77">
        <f t="shared" ca="1" si="8"/>
        <v>-1667.085697112906</v>
      </c>
      <c r="J60" s="19">
        <f t="shared" ca="1" si="9"/>
        <v>-0.42478106308319075</v>
      </c>
      <c r="K60" s="77">
        <f t="shared" ca="1" si="10"/>
        <v>-1579.2785371129057</v>
      </c>
      <c r="L60" s="19">
        <f t="shared" ca="1" si="11"/>
        <v>-0.41161677321996448</v>
      </c>
    </row>
    <row r="61" spans="2:12" x14ac:dyDescent="0.25">
      <c r="B61" s="4" t="s">
        <v>8</v>
      </c>
      <c r="C61" s="128" t="s">
        <v>31</v>
      </c>
      <c r="D61" s="76">
        <f ca="1">(_xll.DBR("CXMD:FTM_DATA_BALANCE_SHEET","Total_Customer_Supplier",Month,D$22,ori,"TOTAL PRODUCT","B-451220","Total Allocation","Amount_BS")/1000)</f>
        <v>5085.9743000000008</v>
      </c>
      <c r="E61" s="76">
        <f ca="1">(_xll.DBR("CXMD:FTM_DATA_BALANCE_SHEET","Total_Customer_Supplier",Month,E$22,ori,"TOTAL PRODUCT","B-451220","Total Allocation","Amount_BS")/1000)</f>
        <v>4803.1120099999989</v>
      </c>
      <c r="F61" s="77">
        <f t="shared" ca="1" si="6"/>
        <v>-282.86229000000185</v>
      </c>
      <c r="G61" s="19">
        <f t="shared" ca="1" si="7"/>
        <v>-5.5616146153157242E-2</v>
      </c>
      <c r="H61" s="76">
        <f ca="1">(_xll.DBR("CXMD:FTM_DATA_BALANCE_SHEET","Total_Customer_Supplier",Month,H$22,ori,"TOTAL PRODUCT","B-451220","Total Allocation","Amount_BS")/1000)</f>
        <v>5571.7460295583114</v>
      </c>
      <c r="I61" s="77">
        <f t="shared" ca="1" si="8"/>
        <v>768.6340195583125</v>
      </c>
      <c r="J61" s="19">
        <f t="shared" ca="1" si="9"/>
        <v>0.16002833537049099</v>
      </c>
      <c r="K61" s="77">
        <f t="shared" ca="1" si="10"/>
        <v>485.77172955831065</v>
      </c>
      <c r="L61" s="19">
        <f t="shared" ca="1" si="11"/>
        <v>9.5512029928721986E-2</v>
      </c>
    </row>
    <row r="62" spans="2:12" x14ac:dyDescent="0.25">
      <c r="B62" s="4" t="s">
        <v>8</v>
      </c>
      <c r="C62" s="128" t="s">
        <v>32</v>
      </c>
      <c r="D62" s="76">
        <f ca="1">(_xll.DBR("CXMD:FTM_DATA_BALANCE_SHEET","Total_Customer_Supplier",Month,D$22,ori,"TOTAL PRODUCT","B-451620","Total Allocation","Amount_BS")/1000)</f>
        <v>35360.920330000001</v>
      </c>
      <c r="E62" s="76">
        <f ca="1">(_xll.DBR("CXMD:FTM_DATA_BALANCE_SHEET","Total_Customer_Supplier",Month,E$22,ori,"TOTAL PRODUCT","B-451620","Total Allocation","Amount_BS")/1000)</f>
        <v>42377.928620000006</v>
      </c>
      <c r="F62" s="77">
        <f t="shared" ca="1" si="6"/>
        <v>7017.0082900000052</v>
      </c>
      <c r="G62" s="19">
        <f t="shared" ca="1" si="7"/>
        <v>0.19843963970719436</v>
      </c>
      <c r="H62" s="76">
        <f ca="1">(_xll.DBR("CXMD:FTM_DATA_BALANCE_SHEET","Total_Customer_Supplier",Month,H$22,ori,"TOTAL PRODUCT","B-451620","Total Allocation","Amount_BS")/1000)</f>
        <v>47462.699873572259</v>
      </c>
      <c r="I62" s="77">
        <f t="shared" ca="1" si="8"/>
        <v>5084.771253572253</v>
      </c>
      <c r="J62" s="19">
        <f t="shared" ca="1" si="9"/>
        <v>0.11998630936323118</v>
      </c>
      <c r="K62" s="77">
        <f t="shared" ca="1" si="10"/>
        <v>12101.779543572258</v>
      </c>
      <c r="L62" s="19">
        <f t="shared" ca="1" si="11"/>
        <v>0.34223598907026131</v>
      </c>
    </row>
    <row r="63" spans="2:12" x14ac:dyDescent="0.25">
      <c r="B63" s="4" t="s">
        <v>8</v>
      </c>
      <c r="C63" s="128" t="s">
        <v>33</v>
      </c>
      <c r="D63" s="76">
        <f ca="1">(_xll.DBR("CXMD:FTM_DATA_BALANCE_SHEET","Total_Customer_Supplier",Month,D$22,ori,"TOTAL PRODUCT","B-451510","Total Allocation","Amount_BS")/1000)</f>
        <v>8102.8447900000001</v>
      </c>
      <c r="E63" s="76">
        <f ca="1">(_xll.DBR("CXMD:FTM_DATA_BALANCE_SHEET","Total_Customer_Supplier",Month,E$22,ori,"TOTAL PRODUCT","B-451510","Total Allocation","Amount_BS")/1000)</f>
        <v>13362.140029999999</v>
      </c>
      <c r="F63" s="77">
        <f t="shared" ca="1" si="6"/>
        <v>5259.2952399999986</v>
      </c>
      <c r="G63" s="19">
        <f t="shared" ca="1" si="7"/>
        <v>0.64906775043879361</v>
      </c>
      <c r="H63" s="76">
        <f ca="1">(_xll.DBR("CXMD:FTM_DATA_BALANCE_SHEET","Total_Customer_Supplier",Month,H$22,ori,"TOTAL PRODUCT","B-451510","Total Allocation","Amount_BS")/1000)</f>
        <v>11373.700192484357</v>
      </c>
      <c r="I63" s="77">
        <f t="shared" ca="1" si="8"/>
        <v>-1988.4398375156416</v>
      </c>
      <c r="J63" s="19">
        <f t="shared" ca="1" si="9"/>
        <v>-0.14881148027571167</v>
      </c>
      <c r="K63" s="77">
        <f t="shared" ca="1" si="10"/>
        <v>3270.855402484357</v>
      </c>
      <c r="L63" s="19">
        <f t="shared" ca="1" si="11"/>
        <v>0.40366753742105899</v>
      </c>
    </row>
    <row r="64" spans="2:12" x14ac:dyDescent="0.25">
      <c r="B64" s="4" t="s">
        <v>8</v>
      </c>
      <c r="C64" s="128" t="s">
        <v>34</v>
      </c>
      <c r="D64" s="76">
        <f ca="1">(_xll.DBR("CXMD:FTM_DATA_BALANCE_SHEET","Total_Customer_Supplier",Month,D$22,ori,"TOTAL PRODUCT","B-451310","Total Allocation","Amount_BS")/1000)</f>
        <v>1937.5410400000001</v>
      </c>
      <c r="E64" s="76">
        <f ca="1">(_xll.DBR("CXMD:FTM_DATA_BALANCE_SHEET","Total_Customer_Supplier",Month,E$22,ori,"TOTAL PRODUCT","B-451310","Total Allocation","Amount_BS")/1000)</f>
        <v>2922.7439199999994</v>
      </c>
      <c r="F64" s="77">
        <f t="shared" ca="1" si="6"/>
        <v>985.20287999999937</v>
      </c>
      <c r="G64" s="19">
        <f t="shared" ca="1" si="7"/>
        <v>0.50848103841970715</v>
      </c>
      <c r="H64" s="76">
        <f ca="1">(_xll.DBR("CXMD:FTM_DATA_BALANCE_SHEET","Total_Customer_Supplier",Month,H$22,ori,"TOTAL PRODUCT","B-451310","Total Allocation","Amount_BS")/1000)</f>
        <v>1285.7061660796137</v>
      </c>
      <c r="I64" s="77">
        <f t="shared" ca="1" si="8"/>
        <v>-1637.0377539203857</v>
      </c>
      <c r="J64" s="19">
        <f t="shared" ca="1" si="9"/>
        <v>-0.56010303972179198</v>
      </c>
      <c r="K64" s="77">
        <f t="shared" ca="1" si="10"/>
        <v>-651.83487392038637</v>
      </c>
      <c r="L64" s="19">
        <f t="shared" ca="1" si="11"/>
        <v>-0.33642377656185618</v>
      </c>
    </row>
    <row r="65" spans="2:12" x14ac:dyDescent="0.25">
      <c r="B65" s="4" t="s">
        <v>8</v>
      </c>
      <c r="C65" s="29" t="s">
        <v>38</v>
      </c>
      <c r="D65" s="76">
        <f ca="1">(_xll.DBR("CXMD:FTM_DATA_BALANCE_SHEET","Total_Customer_Supplier",Month,D$22,ori,"TOTAL PRODUCT","B-999999","Total Allocation","Amount_BS")/1000)</f>
        <v>-9.7068664217658803E-13</v>
      </c>
      <c r="E65" s="76">
        <f ca="1">(_xll.DBR("CXMD:FTM_DATA_BALANCE_SHEET","Total_Customer_Supplier",Month,E$22,ori,"TOTAL PRODUCT","B-999999","Total Allocation","Amount_BS")/1000)</f>
        <v>-1.8168577753385762E-13</v>
      </c>
      <c r="F65" s="77">
        <f t="shared" ca="1" si="6"/>
        <v>7.8900086464273046E-13</v>
      </c>
      <c r="G65" s="19">
        <f t="shared" ca="1" si="7"/>
        <v>-0.81282757005241124</v>
      </c>
      <c r="H65" s="76">
        <f ca="1">(_xll.DBR("CXMD:FTM_DATA_BALANCE_SHEET","Total_Customer_Supplier",Month,H$22,ori,"TOTAL PRODUCT","B-999999","Total Allocation","Amount_BS")/1000)</f>
        <v>305.11137091249464</v>
      </c>
      <c r="I65" s="77">
        <f t="shared" ca="1" si="8"/>
        <v>305.11137091249481</v>
      </c>
      <c r="J65" s="19">
        <f t="shared" ca="1" si="9"/>
        <v>-1679335471680696.3</v>
      </c>
      <c r="K65" s="77">
        <f t="shared" ca="1" si="10"/>
        <v>305.1113709124956</v>
      </c>
      <c r="L65" s="19">
        <f t="shared" ca="1" si="11"/>
        <v>-314325300931656.94</v>
      </c>
    </row>
    <row r="66" spans="2:12" x14ac:dyDescent="0.25">
      <c r="B66" s="3" t="s">
        <v>9</v>
      </c>
      <c r="C66" s="26" t="s">
        <v>12</v>
      </c>
      <c r="D66" s="72">
        <f ca="1">_xll.DBR("CXMD:FTM_DATA_BALANCE_SHEET","Total_Customer_Supplier",Month,D$22,ori,"TOTAL PRODUCT","B-453010","Total Allocation","Amount_BS")/1000</f>
        <v>27014.456449999998</v>
      </c>
      <c r="E66" s="72">
        <f ca="1">_xll.DBR("CXMD:FTM_DATA_BALANCE_SHEET","Total_Customer_Supplier",Month,E$22,ori,"TOTAL PRODUCT","B-453010","Total Allocation","Amount_BS")/1000</f>
        <v>-21865.672500000001</v>
      </c>
      <c r="F66" s="73">
        <f t="shared" ca="1" si="6"/>
        <v>-48880.128949999998</v>
      </c>
      <c r="G66" s="17">
        <f t="shared" ca="1" si="7"/>
        <v>-1.8094063465785557</v>
      </c>
      <c r="H66" s="72">
        <f ca="1">_xll.DBR("CXMD:FTM_DATA_BALANCE_SHEET","Total_Customer_Supplier",Month,H$22,ori,"TOTAL PRODUCT","B-453010","Total Allocation","Amount_BS")/1000</f>
        <v>-4704.2695852882862</v>
      </c>
      <c r="I66" s="73">
        <f t="shared" ca="1" si="8"/>
        <v>17161.402914711714</v>
      </c>
      <c r="J66" s="17">
        <f t="shared" ca="1" si="9"/>
        <v>-0.78485593867335723</v>
      </c>
      <c r="K66" s="73">
        <f t="shared" ca="1" si="10"/>
        <v>-31718.726035288284</v>
      </c>
      <c r="L66" s="17">
        <f t="shared" ca="1" si="11"/>
        <v>-1.1741389686664707</v>
      </c>
    </row>
    <row r="67" spans="2:12" x14ac:dyDescent="0.25">
      <c r="B67" s="4" t="s">
        <v>9</v>
      </c>
      <c r="C67" s="28" t="s">
        <v>23</v>
      </c>
      <c r="D67" s="74">
        <f ca="1">D68</f>
        <v>27014.456449999998</v>
      </c>
      <c r="E67" s="74">
        <f ca="1">E68</f>
        <v>-21865.672500000001</v>
      </c>
      <c r="F67" s="75">
        <f t="shared" ca="1" si="6"/>
        <v>-48880.128949999998</v>
      </c>
      <c r="G67" s="18">
        <f t="shared" ca="1" si="7"/>
        <v>-1.8094063465785557</v>
      </c>
      <c r="H67" s="74">
        <f ca="1">H68</f>
        <v>-4704.2695852882862</v>
      </c>
      <c r="I67" s="75">
        <f t="shared" ca="1" si="8"/>
        <v>17161.402914711714</v>
      </c>
      <c r="J67" s="18">
        <f t="shared" ca="1" si="9"/>
        <v>-0.78485593867335723</v>
      </c>
      <c r="K67" s="75">
        <f t="shared" ca="1" si="10"/>
        <v>-31718.726035288284</v>
      </c>
      <c r="L67" s="18">
        <f t="shared" ca="1" si="11"/>
        <v>-1.1741389686664707</v>
      </c>
    </row>
    <row r="68" spans="2:12" x14ac:dyDescent="0.25">
      <c r="B68" s="4" t="s">
        <v>9</v>
      </c>
      <c r="C68" s="29" t="s">
        <v>37</v>
      </c>
      <c r="D68" s="76">
        <f ca="1">(_xll.DBR("CXMD:FTM_DATA_BALANCE_SHEET","Total_Customer_Supplier",Month,D$22,ori,"TOTAL PRODUCT","B-453010","Total Allocation","Amount_BS")/1000)</f>
        <v>27014.456449999998</v>
      </c>
      <c r="E68" s="76">
        <f ca="1">(_xll.DBR("CXMD:FTM_DATA_BALANCE_SHEET","Total_Customer_Supplier",Month,E$22,ori,"TOTAL PRODUCT","B-453010","Total Allocation","Amount_BS")/1000)</f>
        <v>-21865.672500000001</v>
      </c>
      <c r="F68" s="77">
        <f t="shared" ca="1" si="6"/>
        <v>-48880.128949999998</v>
      </c>
      <c r="G68" s="19">
        <f t="shared" ca="1" si="7"/>
        <v>-1.8094063465785557</v>
      </c>
      <c r="H68" s="76">
        <f ca="1">(_xll.DBR("CXMD:FTM_DATA_BALANCE_SHEET","Total_Customer_Supplier",Month,H$22,ori,"TOTAL PRODUCT","B-453010","Total Allocation","Amount_BS")/1000)</f>
        <v>-4704.2695852882862</v>
      </c>
      <c r="I68" s="77">
        <f t="shared" ca="1" si="8"/>
        <v>17161.402914711714</v>
      </c>
      <c r="J68" s="19">
        <f t="shared" ca="1" si="9"/>
        <v>-0.78485593867335723</v>
      </c>
      <c r="K68" s="77">
        <f t="shared" ca="1" si="10"/>
        <v>-31718.726035288284</v>
      </c>
      <c r="L68" s="19">
        <f t="shared" ca="1" si="11"/>
        <v>-1.1741389686664707</v>
      </c>
    </row>
    <row r="69" spans="2:12" x14ac:dyDescent="0.25">
      <c r="B69" s="3" t="s">
        <v>10</v>
      </c>
      <c r="C69" s="26" t="s">
        <v>12</v>
      </c>
      <c r="D69" s="72">
        <f ca="1">(_xll.DBR("CXMD:FTM_DATA_BALANCE_SHEET","Total_Customer_Supplier",Month,D$22,ori,"TOTAL PRODUCT","B-470010","Total Allocation","Amount_BS")/1000)+(_xll.DBR("CXMD:FTM_DATA_BALANCE_SHEET","Total_Customer_Supplier",Month,D$22,ori,"TOTAL PRODUCT","B-475010","Total Allocation","Amount_BS")/1000)</f>
        <v>41315.027569999998</v>
      </c>
      <c r="E69" s="72">
        <f ca="1">(_xll.DBR("CXMD:FTM_DATA_BALANCE_SHEET","Total_Customer_Supplier",Month,E$22,ori,"TOTAL PRODUCT","B-470010","Total Allocation","Amount_BS")/1000)+(_xll.DBR("CXMD:FTM_DATA_BALANCE_SHEET","Total_Customer_Supplier",Month,E$22,ori,"TOTAL PRODUCT","B-475010","Total Allocation","Amount_BS")/1000)</f>
        <v>41112.569899999995</v>
      </c>
      <c r="F69" s="73">
        <f t="shared" ca="1" si="6"/>
        <v>-202.45767000000342</v>
      </c>
      <c r="G69" s="17">
        <f t="shared" ca="1" si="7"/>
        <v>-4.9003397046505359E-3</v>
      </c>
      <c r="H69" s="72">
        <f ca="1">(_xll.DBR("CXMD:FTM_DATA_BALANCE_SHEET","Total_Customer_Supplier",Month,H$22,ori,"TOTAL PRODUCT","B-470010","Total Allocation","Amount_BS")/1000)+(_xll.DBR("CXMD:FTM_DATA_BALANCE_SHEET","Total_Customer_Supplier",Month,H$22,ori,"TOTAL PRODUCT","B-475010","Total Allocation","Amount_BS")/1000)</f>
        <v>46129.991186469771</v>
      </c>
      <c r="I69" s="73">
        <f t="shared" ca="1" si="8"/>
        <v>5017.4212864697765</v>
      </c>
      <c r="J69" s="17">
        <f t="shared" ca="1" si="9"/>
        <v>0.12204105213256877</v>
      </c>
      <c r="K69" s="73">
        <f t="shared" ca="1" si="10"/>
        <v>4814.9636164697731</v>
      </c>
      <c r="L69" s="17">
        <f t="shared" ca="1" si="11"/>
        <v>0.11654266981455574</v>
      </c>
    </row>
    <row r="70" spans="2:12" ht="15.75" thickBot="1" x14ac:dyDescent="0.3">
      <c r="B70" s="4" t="s">
        <v>10</v>
      </c>
      <c r="C70" s="27" t="s">
        <v>40</v>
      </c>
      <c r="D70" s="74">
        <f ca="1">(_xll.DBR("CXMD:FTM_DATA_BALANCE_SHEET","Total_Customer_Supplier",Month,D$22,ori,"TOTAL PRODUCT","R-981000","Total Allocation","Amount_BS")/1000)</f>
        <v>41315.027569999991</v>
      </c>
      <c r="E70" s="74">
        <f ca="1">(_xll.DBR("CXMD:FTM_DATA_BALANCE_SHEET","Total_Customer_Supplier",Month,E$22,ori,"TOTAL PRODUCT","R-981000","Total Allocation","Amount_BS")/1000)</f>
        <v>41112.56990000001</v>
      </c>
      <c r="F70" s="75">
        <f t="shared" ca="1" si="6"/>
        <v>-202.45766999998159</v>
      </c>
      <c r="G70" s="18">
        <f t="shared" ca="1" si="7"/>
        <v>-4.9003397046499808E-3</v>
      </c>
      <c r="H70" s="74">
        <f ca="1">(_xll.DBR("CXMD:FTM_DATA_BALANCE_SHEET","Total_Customer_Supplier",Month,H$22,ori,"TOTAL PRODUCT","R-981000","Total Allocation","Amount_BS")/1000)</f>
        <v>46129.991186469771</v>
      </c>
      <c r="I70" s="75">
        <f t="shared" ca="1" si="8"/>
        <v>5017.421286469762</v>
      </c>
      <c r="J70" s="18">
        <f t="shared" ca="1" si="9"/>
        <v>0.12204105213256833</v>
      </c>
      <c r="K70" s="75">
        <f t="shared" ca="1" si="10"/>
        <v>4814.9636164697804</v>
      </c>
      <c r="L70" s="18">
        <f t="shared" ca="1" si="11"/>
        <v>0.11654266981455574</v>
      </c>
    </row>
    <row r="71" spans="2:12" ht="15.75" x14ac:dyDescent="0.25">
      <c r="B71" s="61" t="s">
        <v>49</v>
      </c>
      <c r="C71" s="62"/>
      <c r="D71" s="98">
        <f ca="1">D28-D33-D43-D51-D66-D69-D29</f>
        <v>-1126106.3736399985</v>
      </c>
      <c r="E71" s="98">
        <f ca="1">E28-E33-E43-E51-E66-E69-E29</f>
        <v>-836347.81983999989</v>
      </c>
      <c r="F71" s="99">
        <f t="shared" ca="1" si="6"/>
        <v>289758.5537999986</v>
      </c>
      <c r="G71" s="63">
        <f t="shared" ca="1" si="7"/>
        <v>-0.2573101090471499</v>
      </c>
      <c r="H71" s="98">
        <f ca="1">H28-H33-H43-H51-H66-H69-H29</f>
        <v>433952.852646977</v>
      </c>
      <c r="I71" s="99">
        <f t="shared" ca="1" si="8"/>
        <v>1270300.672486977</v>
      </c>
      <c r="J71" s="63">
        <f t="shared" ca="1" si="9"/>
        <v>-1.518866483958786</v>
      </c>
      <c r="K71" s="99">
        <f t="shared" ca="1" si="10"/>
        <v>1560059.2262869754</v>
      </c>
      <c r="L71" s="64">
        <f t="shared" ca="1" si="11"/>
        <v>-1.3853568923904396</v>
      </c>
    </row>
    <row r="72" spans="2:12" ht="15.75" thickBot="1" x14ac:dyDescent="0.3">
      <c r="B72" s="65"/>
      <c r="C72" s="66" t="s">
        <v>50</v>
      </c>
      <c r="D72" s="67">
        <f ca="1">IF(D25&lt;&gt;0,D71/D25,0)</f>
        <v>-0.61974890907558922</v>
      </c>
      <c r="E72" s="67">
        <f ca="1">IF(E25&lt;&gt;0,E71/E25,0)</f>
        <v>-0.2790244252837138</v>
      </c>
      <c r="F72" s="113"/>
      <c r="G72" s="114">
        <f ca="1">(E72-D72)*100</f>
        <v>34.072448379187541</v>
      </c>
      <c r="H72" s="67">
        <f ca="1">IF(H25&lt;&gt;0,H71/H25,0)</f>
        <v>0.11381350242078506</v>
      </c>
      <c r="I72" s="113"/>
      <c r="J72" s="114">
        <f ca="1">(H72-E72)*100</f>
        <v>39.283792770449885</v>
      </c>
      <c r="K72" s="113"/>
      <c r="L72" s="115">
        <f ca="1">(H72-D72)*100</f>
        <v>73.356241149637427</v>
      </c>
    </row>
    <row r="73" spans="2:12" x14ac:dyDescent="0.25">
      <c r="B73" s="3" t="s">
        <v>11</v>
      </c>
      <c r="C73" s="26" t="s">
        <v>12</v>
      </c>
      <c r="D73" s="72">
        <f ca="1">(_xll.DBR("CXMD:FTM_DATA_BALANCE_SHEET","Total_Customer_Supplier",Month,D$22,ori,"TOTAL PRODUCT","B-560020","Total Allocation","Amount_BS")/1000)+(_xll.DBR("CXMD:FTM_DATA_BALANCE_SHEET","Total_Customer_Supplier",Month,D$22,ori,"TOTAL PRODUCT","B-561010","Total Allocation","Amount_BS")/1000)</f>
        <v>6534.6937100000005</v>
      </c>
      <c r="E73" s="72">
        <f ca="1">(_xll.DBR("CXMD:FTM_DATA_BALANCE_SHEET","Total_Customer_Supplier",Month,E$22,ori,"TOTAL PRODUCT","B-560020","Total Allocation","Amount_BS")/1000)+(_xll.DBR("CXMD:FTM_DATA_BALANCE_SHEET","Total_Customer_Supplier",Month,E$22,ori,"TOTAL PRODUCT","B-561010","Total Allocation","Amount_BS")/1000)</f>
        <v>6667.3089299999992</v>
      </c>
      <c r="F73" s="73">
        <f t="shared" ca="1" si="6"/>
        <v>132.61521999999877</v>
      </c>
      <c r="G73" s="17">
        <f t="shared" ca="1" si="7"/>
        <v>2.029402231921873E-2</v>
      </c>
      <c r="H73" s="72">
        <f ca="1">(_xll.DBR("CXMD:FTM_DATA_BALANCE_SHEET","Total_Customer_Supplier",Month,H$22,ori,"TOTAL PRODUCT","B-560020","Total Allocation","Amount_BS")/1000)+(_xll.DBR("CXMD:FTM_DATA_BALANCE_SHEET","Total_Customer_Supplier",Month,H$22,ori,"TOTAL PRODUCT","B-561010","Total Allocation","Amount_BS")/1000)</f>
        <v>3342.8603773085911</v>
      </c>
      <c r="I73" s="73">
        <f t="shared" ca="1" si="8"/>
        <v>-3324.4485526914082</v>
      </c>
      <c r="J73" s="17">
        <f t="shared" ca="1" si="9"/>
        <v>-0.49861924617484443</v>
      </c>
      <c r="K73" s="73">
        <f t="shared" ca="1" si="10"/>
        <v>-3191.8333326914094</v>
      </c>
      <c r="L73" s="17">
        <f t="shared" ca="1" si="11"/>
        <v>-0.48844421396629001</v>
      </c>
    </row>
    <row r="74" spans="2:12" x14ac:dyDescent="0.25">
      <c r="B74" s="4" t="s">
        <v>11</v>
      </c>
      <c r="C74" s="27" t="s">
        <v>39</v>
      </c>
      <c r="D74" s="74">
        <f ca="1">(_xll.DBR("CXMD:FTM_DATA_BALANCE_SHEET","Total_Customer_Supplier",Month,D$22,ori,"TOTAL PRODUCT","R-959100","Total Allocation","Amount_BS")/1000)</f>
        <v>4891.3045000000002</v>
      </c>
      <c r="E74" s="74">
        <f ca="1">(_xll.DBR("CXMD:FTM_DATA_BALANCE_SHEET","Total_Customer_Supplier",Month,E$22,ori,"TOTAL PRODUCT","R-959100","Total Allocation","Amount_BS")/1000)</f>
        <v>4975.8789999999999</v>
      </c>
      <c r="F74" s="75">
        <f t="shared" ca="1" si="6"/>
        <v>84.574499999999716</v>
      </c>
      <c r="G74" s="18">
        <f t="shared" ca="1" si="7"/>
        <v>1.7290786128731028E-2</v>
      </c>
      <c r="H74" s="74">
        <f ca="1">(_xll.DBR("CXMD:FTM_DATA_BALANCE_SHEET","Total_Customer_Supplier",Month,H$22,ori,"TOTAL PRODUCT","R-959100","Total Allocation","Amount_BS")/1000)</f>
        <v>3342.8603773085911</v>
      </c>
      <c r="I74" s="75">
        <f t="shared" ca="1" si="8"/>
        <v>-1633.0186226914088</v>
      </c>
      <c r="J74" s="18">
        <f t="shared" ca="1" si="9"/>
        <v>-0.3281869640904469</v>
      </c>
      <c r="K74" s="75">
        <f t="shared" ca="1" si="10"/>
        <v>-1548.4441226914091</v>
      </c>
      <c r="L74" s="18">
        <f t="shared" ca="1" si="11"/>
        <v>-0.31657078856804133</v>
      </c>
    </row>
    <row r="75" spans="2:12" ht="15.75" thickBot="1" x14ac:dyDescent="0.3">
      <c r="B75" s="4" t="s">
        <v>11</v>
      </c>
      <c r="C75" s="27" t="s">
        <v>41</v>
      </c>
      <c r="D75" s="74">
        <f ca="1">(_xll.DBR("CXMD:FTM_DATA_BALANCE_SHEET","Total_Customer_Supplier",Month,D$22,ori,"TOTAL PRODUCT","R-990000","Total Allocation","Amount_BS")/1000)</f>
        <v>82108.047139999995</v>
      </c>
      <c r="E75" s="74">
        <f ca="1">(_xll.DBR("CXMD:FTM_DATA_BALANCE_SHEET","Total_Customer_Supplier",Month,E$22,ori,"TOTAL PRODUCT","R-990000","Total Allocation","Amount_BS")/1000)</f>
        <v>113033.29091</v>
      </c>
      <c r="F75" s="75">
        <f t="shared" ca="1" si="6"/>
        <v>30925.243770000001</v>
      </c>
      <c r="G75" s="18">
        <f t="shared" ca="1" si="7"/>
        <v>0.37664083907963719</v>
      </c>
      <c r="H75" s="74">
        <f ca="1">(_xll.DBR("CXMD:FTM_DATA_BALANCE_SHEET","Total_Customer_Supplier",Month,H$22,ori,"TOTAL PRODUCT","R-990000","Total Allocation","Amount_BS")/1000)</f>
        <v>12004.809633631054</v>
      </c>
      <c r="I75" s="75">
        <f t="shared" ca="1" si="8"/>
        <v>-101028.48127636894</v>
      </c>
      <c r="J75" s="18">
        <f t="shared" ca="1" si="9"/>
        <v>-0.89379403592531348</v>
      </c>
      <c r="K75" s="75">
        <f t="shared" ca="1" si="10"/>
        <v>-70103.23750636894</v>
      </c>
      <c r="L75" s="18">
        <f t="shared" ca="1" si="11"/>
        <v>-0.85379253250096165</v>
      </c>
    </row>
    <row r="76" spans="2:12" ht="15.75" x14ac:dyDescent="0.25">
      <c r="B76" s="61" t="s">
        <v>51</v>
      </c>
      <c r="C76" s="62"/>
      <c r="D76" s="98">
        <f ca="1">D71-D73</f>
        <v>-1132641.0673499985</v>
      </c>
      <c r="E76" s="98">
        <f ca="1">E71-E73</f>
        <v>-843015.12876999984</v>
      </c>
      <c r="F76" s="99">
        <f t="shared" ca="1" si="6"/>
        <v>289625.93857999868</v>
      </c>
      <c r="G76" s="63">
        <f t="shared" ca="1" si="7"/>
        <v>-0.25570849135607143</v>
      </c>
      <c r="H76" s="98">
        <f ca="1">H71-H73</f>
        <v>430609.99226966844</v>
      </c>
      <c r="I76" s="99">
        <f t="shared" ca="1" si="8"/>
        <v>1273625.1210396683</v>
      </c>
      <c r="J76" s="63">
        <f t="shared" ca="1" si="9"/>
        <v>-1.5107974668235782</v>
      </c>
      <c r="K76" s="99">
        <f t="shared" ca="1" si="10"/>
        <v>1563251.059619667</v>
      </c>
      <c r="L76" s="64">
        <f t="shared" ca="1" si="11"/>
        <v>-1.380182217193618</v>
      </c>
    </row>
    <row r="77" spans="2:12" ht="15.75" thickBot="1" x14ac:dyDescent="0.3">
      <c r="B77" s="65"/>
      <c r="C77" s="66" t="s">
        <v>50</v>
      </c>
      <c r="D77" s="67">
        <f ca="1">IF(D25&lt;&gt;0,D76/D25,0)</f>
        <v>-0.62334525609281188</v>
      </c>
      <c r="E77" s="67">
        <f ca="1">IF(E25&lt;&gt;0,E76/E25,0)</f>
        <v>-0.28124878935599429</v>
      </c>
      <c r="F77" s="113"/>
      <c r="G77" s="114">
        <f ca="1">(E77-D77)*100</f>
        <v>34.20964667368176</v>
      </c>
      <c r="H77" s="67">
        <f ca="1">IF(H25&lt;&gt;0,H76/H25,0)</f>
        <v>0.11293676513164304</v>
      </c>
      <c r="I77" s="113"/>
      <c r="J77" s="114">
        <f ca="1">(H77-E77)*100</f>
        <v>39.418555448763733</v>
      </c>
      <c r="K77" s="113"/>
      <c r="L77" s="115">
        <f ca="1">(H77-D77)*100</f>
        <v>73.628202122445501</v>
      </c>
    </row>
  </sheetData>
  <mergeCells count="6">
    <mergeCell ref="F22:G22"/>
    <mergeCell ref="I22:J22"/>
    <mergeCell ref="K22:L22"/>
    <mergeCell ref="F23:G23"/>
    <mergeCell ref="I23:J23"/>
    <mergeCell ref="K23:L23"/>
  </mergeCells>
  <pageMargins left="0.7" right="0.7" top="0.75" bottom="0.75" header="0.3" footer="0.3"/>
  <pageSetup paperSize="9" orientation="portrait" verticalDpi="0" r:id="rId1"/>
  <drawing r:id="rId2"/>
  <legacyDrawing r:id="rId3"/>
  <controls>
    <mc:AlternateContent xmlns:mc="http://schemas.openxmlformats.org/markup-compatibility/2006">
      <mc:Choice Requires="x14">
        <control shapeId="13313" r:id="rId4" name="TIButton1">
          <controlPr defaultSize="0" print="0" autoLine="0" autoPict="0" r:id="rId5">
            <anchor moveWithCells="1">
              <from>
                <xdr:col>3</xdr:col>
                <xdr:colOff>409575</xdr:colOff>
                <xdr:row>16</xdr:row>
                <xdr:rowOff>152400</xdr:rowOff>
              </from>
              <to>
                <xdr:col>4</xdr:col>
                <xdr:colOff>438150</xdr:colOff>
                <xdr:row>18</xdr:row>
                <xdr:rowOff>28575</xdr:rowOff>
              </to>
            </anchor>
          </controlPr>
        </control>
      </mc:Choice>
      <mc:Fallback>
        <control shapeId="13313" r:id="rId4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19</vt:i4>
      </vt:variant>
    </vt:vector>
  </HeadingPairs>
  <TitlesOfParts>
    <vt:vector size="21" baseType="lpstr">
      <vt:lpstr>P&amp;L Summary</vt:lpstr>
      <vt:lpstr>P&amp;L</vt:lpstr>
      <vt:lpstr>'P&amp;L'!Actuality_1</vt:lpstr>
      <vt:lpstr>'P&amp;L Summary'!Actuality_1</vt:lpstr>
      <vt:lpstr>'P&amp;L'!Actuality_2</vt:lpstr>
      <vt:lpstr>'P&amp;L Summary'!Actuality_2</vt:lpstr>
      <vt:lpstr>'P&amp;L'!Actuality_3</vt:lpstr>
      <vt:lpstr>'P&amp;L Summary'!Actuality_3</vt:lpstr>
      <vt:lpstr>'P&amp;L'!company</vt:lpstr>
      <vt:lpstr>'P&amp;L Summary'!company</vt:lpstr>
      <vt:lpstr>'P&amp;L'!Month</vt:lpstr>
      <vt:lpstr>'P&amp;L Summary'!Month</vt:lpstr>
      <vt:lpstr>'P&amp;L'!ori</vt:lpstr>
      <vt:lpstr>'P&amp;L Summary'!ori</vt:lpstr>
      <vt:lpstr>origine</vt:lpstr>
      <vt:lpstr>'P&amp;L'!TM1RPTDATARNGARPT1</vt:lpstr>
      <vt:lpstr>'P&amp;L Summary'!TM1RPTDATARNGARPT1</vt:lpstr>
      <vt:lpstr>'P&amp;L'!TM1RPTFMTIDCOL</vt:lpstr>
      <vt:lpstr>'P&amp;L Summary'!TM1RPTFMTIDCOL</vt:lpstr>
      <vt:lpstr>'P&amp;L'!TM1RPTFMTRNG</vt:lpstr>
      <vt:lpstr>'P&amp;L Summary'!TM1RPTFMTRNG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DEDENON</dc:creator>
  <cp:lastModifiedBy>Serveurs COGNOS</cp:lastModifiedBy>
  <dcterms:created xsi:type="dcterms:W3CDTF">2015-05-04T09:00:30Z</dcterms:created>
  <dcterms:modified xsi:type="dcterms:W3CDTF">2024-04-25T12:37:10Z</dcterms:modified>
</cp:coreProperties>
</file>