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rv191\AppData\Local\Temp\4327\"/>
    </mc:Choice>
  </mc:AlternateContent>
  <bookViews>
    <workbookView xWindow="120" yWindow="150" windowWidth="16080" windowHeight="9675"/>
  </bookViews>
  <sheets>
    <sheet name="EBIT Rec. BUD" sheetId="10" r:id="rId1"/>
  </sheets>
  <definedNames>
    <definedName name="Actuality_1" localSheetId="0">'EBIT Rec. BUD'!$D$22</definedName>
    <definedName name="Actuality_2" localSheetId="0">'EBIT Rec. BUD'!$E$22</definedName>
    <definedName name="Actuality_3" localSheetId="0">'EBIT Rec. BUD'!#REF!</definedName>
    <definedName name="company" localSheetId="0">'EBIT Rec. BUD'!$C$17</definedName>
    <definedName name="Month" localSheetId="0">'EBIT Rec. BUD'!$C$19</definedName>
    <definedName name="ori" localSheetId="0">'EBIT Rec. BUD'!$C$18</definedName>
    <definedName name="TM1REBUILDOPTION">1</definedName>
    <definedName name="TM1RPTDATARNGARPT1" localSheetId="0">'EBIT Rec. BUD'!$24:$40</definedName>
    <definedName name="TM1RPTFMTIDCOL" localSheetId="0">'EBIT Rec. BUD'!$A$1:$A$8</definedName>
    <definedName name="TM1RPTFMTRNG" localSheetId="0">'EBIT Rec. BUD'!$B$1:$G$8</definedName>
  </definedNames>
  <calcPr calcId="162913" calcMode="manual" concurrentCalc="0"/>
</workbook>
</file>

<file path=xl/calcChain.xml><?xml version="1.0" encoding="utf-8"?>
<calcChain xmlns="http://schemas.openxmlformats.org/spreadsheetml/2006/main">
  <c r="K34" i="10" l="1"/>
  <c r="C19" i="10"/>
  <c r="D22" i="10"/>
  <c r="C18" i="10"/>
  <c r="D24" i="10"/>
  <c r="D25" i="10"/>
  <c r="D30" i="10"/>
  <c r="E22" i="10"/>
  <c r="E24" i="10"/>
  <c r="E25" i="10"/>
  <c r="E30" i="10"/>
  <c r="L30" i="10"/>
  <c r="E35" i="10"/>
  <c r="D35" i="10"/>
  <c r="F35" i="10"/>
  <c r="L80" i="10"/>
  <c r="D33" i="10"/>
  <c r="K33" i="10"/>
  <c r="E33" i="10"/>
  <c r="F33" i="10"/>
  <c r="L36" i="10"/>
  <c r="D29" i="10"/>
  <c r="K31" i="10"/>
  <c r="E29" i="10"/>
  <c r="J93" i="10"/>
  <c r="J62" i="10"/>
  <c r="E26" i="10"/>
  <c r="E27" i="10"/>
  <c r="E31" i="10"/>
  <c r="J42" i="10"/>
  <c r="G80" i="10"/>
  <c r="F80" i="10"/>
  <c r="G79" i="10"/>
  <c r="F79" i="10"/>
  <c r="E37" i="10"/>
  <c r="E38" i="10"/>
  <c r="E28" i="10"/>
  <c r="E39" i="10"/>
  <c r="E40" i="10"/>
  <c r="D26" i="10"/>
  <c r="D27" i="10"/>
  <c r="D37" i="10"/>
  <c r="D38" i="10"/>
  <c r="D28" i="10"/>
  <c r="D39" i="10"/>
  <c r="D40" i="10"/>
  <c r="H40" i="10"/>
  <c r="E36" i="10"/>
  <c r="D36" i="10"/>
  <c r="H36" i="10"/>
  <c r="E34" i="10"/>
  <c r="D34" i="10"/>
  <c r="H34" i="10"/>
  <c r="E32" i="10"/>
  <c r="D31" i="10"/>
  <c r="D32" i="10"/>
  <c r="H32" i="10"/>
  <c r="H30" i="10"/>
  <c r="G29" i="10"/>
  <c r="F29" i="10"/>
  <c r="G38" i="10"/>
  <c r="F38" i="10"/>
  <c r="G37" i="10"/>
  <c r="F37" i="10"/>
  <c r="G35" i="10"/>
  <c r="G40" i="10"/>
  <c r="G39" i="10"/>
  <c r="F39" i="10"/>
  <c r="G36" i="10"/>
  <c r="G34" i="10"/>
  <c r="G33" i="10"/>
  <c r="G32" i="10"/>
  <c r="G31" i="10"/>
  <c r="F31" i="10"/>
  <c r="G30" i="10"/>
  <c r="G28" i="10"/>
  <c r="F28" i="10"/>
  <c r="G27" i="10"/>
  <c r="F27" i="10"/>
  <c r="G26" i="10"/>
  <c r="F26" i="10"/>
  <c r="G25" i="10"/>
  <c r="F25" i="10"/>
  <c r="G24" i="10"/>
  <c r="F24" i="10"/>
</calcChain>
</file>

<file path=xl/sharedStrings.xml><?xml version="1.0" encoding="utf-8"?>
<sst xmlns="http://schemas.openxmlformats.org/spreadsheetml/2006/main" count="58" uniqueCount="43">
  <si>
    <t>Origin_Company</t>
  </si>
  <si>
    <t>G - 309000 - NET SALES</t>
  </si>
  <si>
    <t>G - 339000 - OPERATING INCOME</t>
  </si>
  <si>
    <t>G - 452000 - VARIATION OF PROVISIONS</t>
  </si>
  <si>
    <t>G - 439000 - PERSONNEL COSTS</t>
  </si>
  <si>
    <t>G - 459000 - OTHER EXPENSES</t>
  </si>
  <si>
    <t>G - 453900 - FX GAIN/LOSS</t>
  </si>
  <si>
    <t>G - 479000 - DEPREC. PROV.</t>
  </si>
  <si>
    <t>Profit and Loss</t>
  </si>
  <si>
    <t>G-329000 Corporate output</t>
  </si>
  <si>
    <t>REVENUE</t>
  </si>
  <si>
    <t>G-429999-GROSS MARGIN</t>
  </si>
  <si>
    <t>Ebit without Management fees</t>
  </si>
  <si>
    <t>% of net sales</t>
  </si>
  <si>
    <t>Bucher Account</t>
  </si>
  <si>
    <t>in K Local Currency</t>
  </si>
  <si>
    <t>Act. 1</t>
  </si>
  <si>
    <t>Act. 2</t>
  </si>
  <si>
    <t>% of corporate output</t>
  </si>
  <si>
    <t>Total Material expenses + net var. stock</t>
  </si>
  <si>
    <t>Month</t>
  </si>
  <si>
    <t>Variances _ Act. 2 vs Act. 1</t>
  </si>
  <si>
    <t>Personnel - closing date</t>
  </si>
  <si>
    <t>Personnel - Average</t>
  </si>
  <si>
    <t>EBIT Reconciliation _ BUD</t>
  </si>
  <si>
    <t>Variances explanations</t>
  </si>
  <si>
    <t>Additional discount</t>
  </si>
  <si>
    <t>Discount</t>
  </si>
  <si>
    <t>Warranty</t>
  </si>
  <si>
    <t>Stock reserve</t>
  </si>
  <si>
    <t>Other</t>
  </si>
  <si>
    <t>Inventory adjustment</t>
  </si>
  <si>
    <t xml:space="preserve">  gross margin check</t>
  </si>
  <si>
    <t>Volume</t>
  </si>
  <si>
    <t>Salary increase</t>
  </si>
  <si>
    <t>%</t>
  </si>
  <si>
    <t>Headcount changes</t>
  </si>
  <si>
    <t>Bonus</t>
  </si>
  <si>
    <t xml:space="preserve">  personnel expenses check</t>
  </si>
  <si>
    <t xml:space="preserve">  other operating expenses check</t>
  </si>
  <si>
    <t>in K LC</t>
  </si>
  <si>
    <t>in %</t>
  </si>
  <si>
    <t>in 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</si>
</sst>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&quot;+ &quot;@"/>
    <numFmt numFmtId="165" formatCode="&quot;- &quot;@"/>
    <numFmt numFmtId="166" formatCode="0.0%"/>
    <numFmt numFmtId="167" formatCode="#,##0.0"/>
    <numFmt numFmtId="168" formatCode="0.0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BDD6E7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i/>
      <sz val="10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3" tint="0.79998168889431442"/>
      <name val="Calibri"/>
      <family val="2"/>
      <scheme val="minor"/>
    </font>
    <font>
      <b/>
      <sz val="11"/>
      <color theme="7" tint="0.79998168889431442"/>
      <name val="Calibri"/>
      <family val="2"/>
      <scheme val="minor"/>
    </font>
    <font>
      <b/>
      <sz val="11"/>
      <color theme="9" tint="0.59999389629810485"/>
      <name val="Calibri"/>
      <family val="2"/>
      <scheme val="minor"/>
    </font>
    <font>
      <b/>
      <sz val="11"/>
      <color rgb="FFFFFF66"/>
      <name val="Calibri"/>
      <family val="2"/>
      <scheme val="minor"/>
    </font>
    <font>
      <b/>
      <i/>
      <sz val="12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FF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9" tint="-0.249977111117893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6" fillId="0" borderId="0" applyFont="0" applyFill="0" applyBorder="0" applyAlignment="0" applyProtection="0"/>
  </cellStyleXfs>
  <cellXfs count="152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164" fontId="1" fillId="2" borderId="1" xfId="0" applyNumberFormat="1" applyFont="1" applyFill="1" applyBorder="1" applyAlignment="1"/>
    <xf numFmtId="3" fontId="0" fillId="6" borderId="0" xfId="0" applyNumberFormat="1" applyFill="1" applyBorder="1"/>
    <xf numFmtId="0" fontId="0" fillId="7" borderId="0" xfId="0" applyFill="1"/>
    <xf numFmtId="0" fontId="4" fillId="7" borderId="0" xfId="0" applyFont="1" applyFill="1"/>
    <xf numFmtId="0" fontId="1" fillId="7" borderId="0" xfId="0" applyFont="1" applyFill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0" borderId="1" xfId="0" applyBorder="1"/>
    <xf numFmtId="0" fontId="0" fillId="7" borderId="3" xfId="0" applyFill="1" applyBorder="1"/>
    <xf numFmtId="166" fontId="5" fillId="0" borderId="0" xfId="0" applyNumberFormat="1" applyFont="1"/>
    <xf numFmtId="166" fontId="5" fillId="2" borderId="2" xfId="0" applyNumberFormat="1" applyFont="1" applyFill="1" applyBorder="1"/>
    <xf numFmtId="166" fontId="5" fillId="3" borderId="2" xfId="0" applyNumberFormat="1" applyFont="1" applyFill="1" applyBorder="1"/>
    <xf numFmtId="166" fontId="5" fillId="4" borderId="2" xfId="0" applyNumberFormat="1" applyFont="1" applyFill="1" applyBorder="1"/>
    <xf numFmtId="166" fontId="5" fillId="5" borderId="2" xfId="0" applyNumberFormat="1" applyFont="1" applyFill="1" applyBorder="1"/>
    <xf numFmtId="166" fontId="5" fillId="0" borderId="2" xfId="0" applyNumberFormat="1" applyFont="1" applyBorder="1"/>
    <xf numFmtId="166" fontId="5" fillId="6" borderId="0" xfId="0" applyNumberFormat="1" applyFont="1" applyFill="1" applyBorder="1"/>
    <xf numFmtId="166" fontId="5" fillId="7" borderId="0" xfId="0" applyNumberFormat="1" applyFont="1" applyFill="1"/>
    <xf numFmtId="0" fontId="13" fillId="7" borderId="6" xfId="0" quotePrefix="1" applyFont="1" applyFill="1" applyBorder="1" applyAlignment="1">
      <alignment horizontal="center" vertical="top"/>
    </xf>
    <xf numFmtId="164" fontId="0" fillId="9" borderId="10" xfId="0" applyNumberFormat="1" applyFill="1" applyBorder="1" applyAlignment="1">
      <alignment horizontal="left" indent="1"/>
    </xf>
    <xf numFmtId="164" fontId="9" fillId="9" borderId="9" xfId="0" applyNumberFormat="1" applyFont="1" applyFill="1" applyBorder="1" applyAlignment="1">
      <alignment horizontal="center"/>
    </xf>
    <xf numFmtId="166" fontId="15" fillId="9" borderId="12" xfId="0" applyNumberFormat="1" applyFont="1" applyFill="1" applyBorder="1"/>
    <xf numFmtId="166" fontId="15" fillId="10" borderId="17" xfId="0" applyNumberFormat="1" applyFont="1" applyFill="1" applyBorder="1"/>
    <xf numFmtId="164" fontId="1" fillId="10" borderId="19" xfId="0" applyNumberFormat="1" applyFont="1" applyFill="1" applyBorder="1" applyAlignment="1">
      <alignment horizontal="center"/>
    </xf>
    <xf numFmtId="166" fontId="14" fillId="10" borderId="20" xfId="1" applyNumberFormat="1" applyFont="1" applyFill="1" applyBorder="1"/>
    <xf numFmtId="164" fontId="9" fillId="11" borderId="14" xfId="0" applyNumberFormat="1" applyFont="1" applyFill="1" applyBorder="1" applyAlignment="1">
      <alignment horizontal="center"/>
    </xf>
    <xf numFmtId="164" fontId="1" fillId="11" borderId="15" xfId="0" applyNumberFormat="1" applyFont="1" applyFill="1" applyBorder="1" applyAlignment="1">
      <alignment horizontal="left" indent="2"/>
    </xf>
    <xf numFmtId="166" fontId="15" fillId="11" borderId="17" xfId="0" applyNumberFormat="1" applyFont="1" applyFill="1" applyBorder="1"/>
    <xf numFmtId="164" fontId="3" fillId="11" borderId="19" xfId="0" applyNumberFormat="1" applyFont="1" applyFill="1" applyBorder="1" applyAlignment="1"/>
    <xf numFmtId="166" fontId="14" fillId="11" borderId="20" xfId="1" applyNumberFormat="1" applyFont="1" applyFill="1" applyBorder="1"/>
    <xf numFmtId="164" fontId="17" fillId="12" borderId="14" xfId="0" applyNumberFormat="1" applyFont="1" applyFill="1" applyBorder="1" applyAlignment="1"/>
    <xf numFmtId="166" fontId="15" fillId="12" borderId="17" xfId="0" applyNumberFormat="1" applyFont="1" applyFill="1" applyBorder="1"/>
    <xf numFmtId="164" fontId="1" fillId="12" borderId="19" xfId="0" applyNumberFormat="1" applyFont="1" applyFill="1" applyBorder="1" applyAlignment="1"/>
    <xf numFmtId="166" fontId="14" fillId="12" borderId="20" xfId="1" applyNumberFormat="1" applyFont="1" applyFill="1" applyBorder="1"/>
    <xf numFmtId="164" fontId="17" fillId="13" borderId="14" xfId="0" applyNumberFormat="1" applyFont="1" applyFill="1" applyBorder="1" applyAlignment="1"/>
    <xf numFmtId="166" fontId="15" fillId="13" borderId="17" xfId="0" applyNumberFormat="1" applyFont="1" applyFill="1" applyBorder="1"/>
    <xf numFmtId="164" fontId="1" fillId="13" borderId="19" xfId="0" applyNumberFormat="1" applyFont="1" applyFill="1" applyBorder="1" applyAlignment="1"/>
    <xf numFmtId="166" fontId="14" fillId="13" borderId="20" xfId="1" applyNumberFormat="1" applyFont="1" applyFill="1" applyBorder="1"/>
    <xf numFmtId="164" fontId="9" fillId="14" borderId="14" xfId="0" applyNumberFormat="1" applyFont="1" applyFill="1" applyBorder="1" applyAlignment="1">
      <alignment horizontal="center"/>
    </xf>
    <xf numFmtId="164" fontId="1" fillId="14" borderId="15" xfId="0" applyNumberFormat="1" applyFont="1" applyFill="1" applyBorder="1" applyAlignment="1">
      <alignment horizontal="left" indent="1"/>
    </xf>
    <xf numFmtId="166" fontId="15" fillId="14" borderId="17" xfId="0" applyNumberFormat="1" applyFont="1" applyFill="1" applyBorder="1"/>
    <xf numFmtId="164" fontId="3" fillId="14" borderId="19" xfId="0" applyNumberFormat="1" applyFont="1" applyFill="1" applyBorder="1" applyAlignment="1"/>
    <xf numFmtId="166" fontId="14" fillId="14" borderId="20" xfId="1" applyNumberFormat="1" applyFont="1" applyFill="1" applyBorder="1"/>
    <xf numFmtId="0" fontId="10" fillId="7" borderId="4" xfId="0" applyFont="1" applyFill="1" applyBorder="1" applyAlignment="1">
      <alignment horizontal="center" vertical="center"/>
    </xf>
    <xf numFmtId="0" fontId="13" fillId="7" borderId="5" xfId="0" applyFont="1" applyFill="1" applyBorder="1" applyAlignment="1">
      <alignment horizontal="center" vertical="top"/>
    </xf>
    <xf numFmtId="167" fontId="0" fillId="0" borderId="0" xfId="0" applyNumberFormat="1"/>
    <xf numFmtId="167" fontId="5" fillId="0" borderId="0" xfId="0" applyNumberFormat="1" applyFont="1"/>
    <xf numFmtId="167" fontId="2" fillId="2" borderId="1" xfId="0" applyNumberFormat="1" applyFont="1" applyFill="1" applyBorder="1"/>
    <xf numFmtId="167" fontId="5" fillId="2" borderId="0" xfId="0" applyNumberFormat="1" applyFont="1" applyFill="1"/>
    <xf numFmtId="167" fontId="2" fillId="3" borderId="1" xfId="0" applyNumberFormat="1" applyFont="1" applyFill="1" applyBorder="1"/>
    <xf numFmtId="167" fontId="5" fillId="3" borderId="0" xfId="0" applyNumberFormat="1" applyFont="1" applyFill="1"/>
    <xf numFmtId="167" fontId="2" fillId="4" borderId="1" xfId="0" applyNumberFormat="1" applyFont="1" applyFill="1" applyBorder="1"/>
    <xf numFmtId="167" fontId="5" fillId="4" borderId="0" xfId="0" applyNumberFormat="1" applyFont="1" applyFill="1"/>
    <xf numFmtId="167" fontId="2" fillId="5" borderId="1" xfId="0" applyNumberFormat="1" applyFont="1" applyFill="1" applyBorder="1"/>
    <xf numFmtId="167" fontId="5" fillId="5" borderId="0" xfId="0" applyNumberFormat="1" applyFont="1" applyFill="1"/>
    <xf numFmtId="167" fontId="2" fillId="0" borderId="1" xfId="0" applyNumberFormat="1" applyFont="1" applyBorder="1"/>
    <xf numFmtId="167" fontId="0" fillId="6" borderId="0" xfId="0" applyNumberFormat="1" applyFill="1" applyBorder="1"/>
    <xf numFmtId="167" fontId="5" fillId="6" borderId="0" xfId="0" applyNumberFormat="1" applyFont="1" applyFill="1" applyBorder="1"/>
    <xf numFmtId="167" fontId="0" fillId="7" borderId="0" xfId="0" applyNumberFormat="1" applyFill="1"/>
    <xf numFmtId="167" fontId="5" fillId="7" borderId="0" xfId="0" applyNumberFormat="1" applyFont="1" applyFill="1"/>
    <xf numFmtId="167" fontId="7" fillId="7" borderId="0" xfId="0" applyNumberFormat="1" applyFont="1" applyFill="1"/>
    <xf numFmtId="167" fontId="8" fillId="7" borderId="8" xfId="0" applyNumberFormat="1" applyFont="1" applyFill="1" applyBorder="1" applyAlignment="1">
      <alignment horizontal="center"/>
    </xf>
    <xf numFmtId="167" fontId="14" fillId="9" borderId="10" xfId="0" applyNumberFormat="1" applyFont="1" applyFill="1" applyBorder="1"/>
    <xf numFmtId="167" fontId="15" fillId="9" borderId="11" xfId="0" applyNumberFormat="1" applyFont="1" applyFill="1" applyBorder="1"/>
    <xf numFmtId="167" fontId="14" fillId="10" borderId="15" xfId="0" applyNumberFormat="1" applyFont="1" applyFill="1" applyBorder="1"/>
    <xf numFmtId="167" fontId="14" fillId="11" borderId="15" xfId="0" applyNumberFormat="1" applyFont="1" applyFill="1" applyBorder="1"/>
    <xf numFmtId="167" fontId="15" fillId="11" borderId="16" xfId="0" applyNumberFormat="1" applyFont="1" applyFill="1" applyBorder="1"/>
    <xf numFmtId="167" fontId="14" fillId="12" borderId="15" xfId="0" applyNumberFormat="1" applyFont="1" applyFill="1" applyBorder="1"/>
    <xf numFmtId="167" fontId="15" fillId="12" borderId="16" xfId="0" applyNumberFormat="1" applyFont="1" applyFill="1" applyBorder="1"/>
    <xf numFmtId="167" fontId="14" fillId="13" borderId="15" xfId="0" applyNumberFormat="1" applyFont="1" applyFill="1" applyBorder="1"/>
    <xf numFmtId="167" fontId="15" fillId="13" borderId="16" xfId="0" applyNumberFormat="1" applyFont="1" applyFill="1" applyBorder="1"/>
    <xf numFmtId="167" fontId="14" fillId="14" borderId="15" xfId="0" applyNumberFormat="1" applyFont="1" applyFill="1" applyBorder="1"/>
    <xf numFmtId="167" fontId="15" fillId="14" borderId="16" xfId="0" applyNumberFormat="1" applyFont="1" applyFill="1" applyBorder="1"/>
    <xf numFmtId="166" fontId="15" fillId="10" borderId="21" xfId="1" applyNumberFormat="1" applyFont="1" applyFill="1" applyBorder="1"/>
    <xf numFmtId="166" fontId="15" fillId="10" borderId="22" xfId="1" applyNumberFormat="1" applyFont="1" applyFill="1" applyBorder="1"/>
    <xf numFmtId="166" fontId="15" fillId="11" borderId="21" xfId="1" applyNumberFormat="1" applyFont="1" applyFill="1" applyBorder="1"/>
    <xf numFmtId="166" fontId="15" fillId="11" borderId="22" xfId="1" applyNumberFormat="1" applyFont="1" applyFill="1" applyBorder="1"/>
    <xf numFmtId="166" fontId="15" fillId="12" borderId="21" xfId="1" applyNumberFormat="1" applyFont="1" applyFill="1" applyBorder="1"/>
    <xf numFmtId="166" fontId="15" fillId="12" borderId="22" xfId="1" applyNumberFormat="1" applyFont="1" applyFill="1" applyBorder="1"/>
    <xf numFmtId="166" fontId="15" fillId="13" borderId="21" xfId="1" applyNumberFormat="1" applyFont="1" applyFill="1" applyBorder="1"/>
    <xf numFmtId="166" fontId="15" fillId="13" borderId="22" xfId="1" applyNumberFormat="1" applyFont="1" applyFill="1" applyBorder="1"/>
    <xf numFmtId="166" fontId="15" fillId="14" borderId="21" xfId="1" applyNumberFormat="1" applyFont="1" applyFill="1" applyBorder="1"/>
    <xf numFmtId="166" fontId="15" fillId="14" borderId="22" xfId="1" applyNumberFormat="1" applyFont="1" applyFill="1" applyBorder="1"/>
    <xf numFmtId="165" fontId="18" fillId="2" borderId="1" xfId="0" applyNumberFormat="1" applyFont="1" applyFill="1" applyBorder="1" applyAlignment="1"/>
    <xf numFmtId="165" fontId="19" fillId="12" borderId="15" xfId="0" applyNumberFormat="1" applyFont="1" applyFill="1" applyBorder="1" applyAlignment="1"/>
    <xf numFmtId="165" fontId="20" fillId="13" borderId="15" xfId="0" applyNumberFormat="1" applyFont="1" applyFill="1" applyBorder="1" applyAlignment="1"/>
    <xf numFmtId="167" fontId="11" fillId="7" borderId="7" xfId="0" applyNumberFormat="1" applyFont="1" applyFill="1" applyBorder="1" applyAlignment="1">
      <alignment horizontal="center" vertical="center" wrapText="1"/>
    </xf>
    <xf numFmtId="165" fontId="21" fillId="10" borderId="15" xfId="0" applyNumberFormat="1" applyFont="1" applyFill="1" applyBorder="1" applyAlignment="1"/>
    <xf numFmtId="165" fontId="14" fillId="10" borderId="20" xfId="0" applyNumberFormat="1" applyFont="1" applyFill="1" applyBorder="1" applyAlignment="1"/>
    <xf numFmtId="164" fontId="14" fillId="11" borderId="20" xfId="0" applyNumberFormat="1" applyFont="1" applyFill="1" applyBorder="1" applyAlignment="1"/>
    <xf numFmtId="165" fontId="14" fillId="12" borderId="20" xfId="0" applyNumberFormat="1" applyFont="1" applyFill="1" applyBorder="1" applyAlignment="1"/>
    <xf numFmtId="165" fontId="14" fillId="13" borderId="20" xfId="0" applyNumberFormat="1" applyFont="1" applyFill="1" applyBorder="1" applyAlignment="1"/>
    <xf numFmtId="164" fontId="14" fillId="14" borderId="20" xfId="0" applyNumberFormat="1" applyFont="1" applyFill="1" applyBorder="1" applyAlignment="1">
      <alignment horizontal="left" indent="1"/>
    </xf>
    <xf numFmtId="164" fontId="17" fillId="10" borderId="14" xfId="0" applyNumberFormat="1" applyFont="1" applyFill="1" applyBorder="1" applyAlignment="1">
      <alignment horizontal="left"/>
    </xf>
    <xf numFmtId="167" fontId="15" fillId="10" borderId="24" xfId="0" applyNumberFormat="1" applyFont="1" applyFill="1" applyBorder="1"/>
    <xf numFmtId="3" fontId="6" fillId="8" borderId="6" xfId="0" applyNumberFormat="1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6" xfId="0" applyBorder="1"/>
    <xf numFmtId="3" fontId="1" fillId="0" borderId="17" xfId="0" applyNumberFormat="1" applyFont="1" applyFill="1" applyBorder="1"/>
    <xf numFmtId="3" fontId="1" fillId="0" borderId="18" xfId="0" applyNumberFormat="1" applyFont="1" applyFill="1" applyBorder="1"/>
    <xf numFmtId="3" fontId="5" fillId="0" borderId="25" xfId="0" applyNumberFormat="1" applyFont="1" applyBorder="1"/>
    <xf numFmtId="166" fontId="5" fillId="0" borderId="16" xfId="0" applyNumberFormat="1" applyFont="1" applyBorder="1"/>
    <xf numFmtId="168" fontId="5" fillId="0" borderId="18" xfId="0" applyNumberFormat="1" applyFont="1" applyBorder="1"/>
    <xf numFmtId="0" fontId="0" fillId="0" borderId="19" xfId="0" applyBorder="1" applyAlignment="1">
      <alignment horizontal="center"/>
    </xf>
    <xf numFmtId="0" fontId="0" fillId="0" borderId="21" xfId="0" applyBorder="1"/>
    <xf numFmtId="3" fontId="1" fillId="0" borderId="22" xfId="0" applyNumberFormat="1" applyFont="1" applyFill="1" applyBorder="1"/>
    <xf numFmtId="3" fontId="1" fillId="0" borderId="23" xfId="0" applyNumberFormat="1" applyFont="1" applyFill="1" applyBorder="1"/>
    <xf numFmtId="3" fontId="5" fillId="0" borderId="26" xfId="0" applyNumberFormat="1" applyFont="1" applyBorder="1"/>
    <xf numFmtId="166" fontId="5" fillId="0" borderId="21" xfId="0" applyNumberFormat="1" applyFont="1" applyBorder="1"/>
    <xf numFmtId="168" fontId="5" fillId="0" borderId="23" xfId="0" applyNumberFormat="1" applyFont="1" applyBorder="1"/>
    <xf numFmtId="167" fontId="23" fillId="15" borderId="0" xfId="0" applyNumberFormat="1" applyFont="1" applyFill="1" applyBorder="1"/>
    <xf numFmtId="3" fontId="5" fillId="16" borderId="7" xfId="0" applyNumberFormat="1" applyFont="1" applyFill="1" applyBorder="1"/>
    <xf numFmtId="167" fontId="23" fillId="0" borderId="0" xfId="0" applyNumberFormat="1" applyFont="1" applyFill="1" applyBorder="1"/>
    <xf numFmtId="3" fontId="2" fillId="0" borderId="0" xfId="0" applyNumberFormat="1" applyFont="1" applyFill="1" applyBorder="1"/>
    <xf numFmtId="3" fontId="14" fillId="16" borderId="1" xfId="0" applyNumberFormat="1" applyFont="1" applyFill="1" applyBorder="1"/>
    <xf numFmtId="3" fontId="14" fillId="0" borderId="0" xfId="0" applyNumberFormat="1" applyFont="1" applyFill="1" applyBorder="1"/>
    <xf numFmtId="167" fontId="24" fillId="0" borderId="0" xfId="0" applyNumberFormat="1" applyFont="1" applyFill="1" applyBorder="1"/>
    <xf numFmtId="3" fontId="24" fillId="0" borderId="0" xfId="0" applyNumberFormat="1" applyFont="1" applyFill="1" applyBorder="1"/>
    <xf numFmtId="3" fontId="14" fillId="16" borderId="8" xfId="0" applyNumberFormat="1" applyFont="1" applyFill="1" applyBorder="1"/>
    <xf numFmtId="167" fontId="24" fillId="15" borderId="11" xfId="0" applyNumberFormat="1" applyFont="1" applyFill="1" applyBorder="1"/>
    <xf numFmtId="3" fontId="24" fillId="15" borderId="13" xfId="0" applyNumberFormat="1" applyFont="1" applyFill="1" applyBorder="1"/>
    <xf numFmtId="167" fontId="23" fillId="0" borderId="0" xfId="1" applyNumberFormat="1" applyFont="1" applyFill="1" applyBorder="1"/>
    <xf numFmtId="3" fontId="14" fillId="0" borderId="0" xfId="1" applyNumberFormat="1" applyFont="1" applyFill="1" applyBorder="1"/>
    <xf numFmtId="167" fontId="23" fillId="17" borderId="0" xfId="0" applyNumberFormat="1" applyFont="1" applyFill="1" applyBorder="1"/>
    <xf numFmtId="3" fontId="23" fillId="17" borderId="0" xfId="0" applyNumberFormat="1" applyFont="1" applyFill="1" applyBorder="1"/>
    <xf numFmtId="167" fontId="23" fillId="12" borderId="0" xfId="0" applyNumberFormat="1" applyFont="1" applyFill="1" applyBorder="1"/>
    <xf numFmtId="3" fontId="14" fillId="12" borderId="7" xfId="0" applyNumberFormat="1" applyFont="1" applyFill="1" applyBorder="1"/>
    <xf numFmtId="166" fontId="23" fillId="12" borderId="0" xfId="1" applyNumberFormat="1" applyFont="1" applyFill="1" applyBorder="1"/>
    <xf numFmtId="3" fontId="14" fillId="12" borderId="1" xfId="1" applyNumberFormat="1" applyFont="1" applyFill="1" applyBorder="1"/>
    <xf numFmtId="3" fontId="23" fillId="12" borderId="1" xfId="0" applyNumberFormat="1" applyFont="1" applyFill="1" applyBorder="1"/>
    <xf numFmtId="3" fontId="14" fillId="12" borderId="8" xfId="1" applyNumberFormat="1" applyFont="1" applyFill="1" applyBorder="1"/>
    <xf numFmtId="167" fontId="24" fillId="12" borderId="11" xfId="0" applyNumberFormat="1" applyFont="1" applyFill="1" applyBorder="1"/>
    <xf numFmtId="3" fontId="24" fillId="12" borderId="13" xfId="1" applyNumberFormat="1" applyFont="1" applyFill="1" applyBorder="1"/>
    <xf numFmtId="167" fontId="23" fillId="13" borderId="0" xfId="0" applyNumberFormat="1" applyFont="1" applyFill="1" applyBorder="1"/>
    <xf numFmtId="3" fontId="14" fillId="13" borderId="1" xfId="0" applyNumberFormat="1" applyFont="1" applyFill="1" applyBorder="1"/>
    <xf numFmtId="166" fontId="23" fillId="13" borderId="0" xfId="1" applyNumberFormat="1" applyFont="1" applyFill="1" applyBorder="1"/>
    <xf numFmtId="3" fontId="14" fillId="13" borderId="1" xfId="1" applyNumberFormat="1" applyFont="1" applyFill="1" applyBorder="1"/>
    <xf numFmtId="3" fontId="5" fillId="0" borderId="0" xfId="0" applyNumberFormat="1" applyFont="1" applyFill="1" applyBorder="1"/>
    <xf numFmtId="3" fontId="15" fillId="0" borderId="0" xfId="0" applyNumberFormat="1" applyFont="1" applyFill="1" applyBorder="1"/>
    <xf numFmtId="3" fontId="15" fillId="0" borderId="0" xfId="1" applyNumberFormat="1" applyFont="1" applyFill="1" applyBorder="1"/>
    <xf numFmtId="3" fontId="14" fillId="13" borderId="8" xfId="1" applyNumberFormat="1" applyFont="1" applyFill="1" applyBorder="1"/>
    <xf numFmtId="167" fontId="24" fillId="13" borderId="11" xfId="0" applyNumberFormat="1" applyFont="1" applyFill="1" applyBorder="1"/>
    <xf numFmtId="3" fontId="24" fillId="13" borderId="13" xfId="1" applyNumberFormat="1" applyFont="1" applyFill="1" applyBorder="1"/>
    <xf numFmtId="3" fontId="6" fillId="8" borderId="27" xfId="0" applyNumberFormat="1" applyFont="1" applyFill="1" applyBorder="1" applyAlignment="1">
      <alignment horizontal="center"/>
    </xf>
    <xf numFmtId="168" fontId="6" fillId="8" borderId="28" xfId="0" applyNumberFormat="1" applyFont="1" applyFill="1" applyBorder="1" applyAlignment="1">
      <alignment horizontal="center"/>
    </xf>
    <xf numFmtId="3" fontId="22" fillId="0" borderId="0" xfId="0" applyNumberFormat="1" applyFont="1" applyFill="1" applyBorder="1" applyAlignment="1">
      <alignment horizontal="center"/>
    </xf>
    <xf numFmtId="3" fontId="12" fillId="8" borderId="24" xfId="0" applyNumberFormat="1" applyFont="1" applyFill="1" applyBorder="1" applyAlignment="1">
      <alignment horizontal="center"/>
    </xf>
    <xf numFmtId="3" fontId="12" fillId="8" borderId="16" xfId="0" applyNumberFormat="1" applyFont="1" applyFill="1" applyBorder="1" applyAlignment="1">
      <alignment horizontal="center"/>
    </xf>
    <xf numFmtId="3" fontId="12" fillId="8" borderId="18" xfId="0" applyNumberFormat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FFFF66"/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26"/>
  <ax:ocxPr ax:name="_ExtentY" ax:value="26"/>
  <ax:ocxPr ax:name="_StockProps" ax:value="0"/>
  <ax:ocxPr ax:name="ServerName" ax:value="CXMD"/>
  <ax:ocxPr ax:name="ProcessName" ax:value="--------BTN-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Arial"/>
      <ax:ocxPr ax:name="Size" ax:value="9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Updat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-1"/>
  <ax:ocxPr ax:name="ShowFailureMessage" ax:value="-1"/>
  <ax:ocxPr ax:name="TargetWorkbookName" ax:value=""/>
  <ax:ocxPr ax:name="TargetWorksheetName" ax:value=""/>
  <ax:ocxPr ax:name="AutoTitles" ax:value="-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-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533400</xdr:colOff>
          <xdr:row>16</xdr:row>
          <xdr:rowOff>152400</xdr:rowOff>
        </xdr:from>
        <xdr:to>
          <xdr:col>4</xdr:col>
          <xdr:colOff>504825</xdr:colOff>
          <xdr:row>18</xdr:row>
          <xdr:rowOff>28575</xdr:rowOff>
        </xdr:to>
        <xdr:sp macro="" textlink="">
          <xdr:nvSpPr>
            <xdr:cNvPr id="14337" name="TIButton1" hidden="1">
              <a:extLst>
                <a:ext uri="{63B3BB69-23CF-44E3-9099-C40C66FF867C}">
                  <a14:compatExt spid="_x0000_s143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1</xdr:col>
      <xdr:colOff>10583</xdr:colOff>
      <xdr:row>9</xdr:row>
      <xdr:rowOff>10585</xdr:rowOff>
    </xdr:from>
    <xdr:to>
      <xdr:col>5</xdr:col>
      <xdr:colOff>137583</xdr:colOff>
      <xdr:row>12</xdr:row>
      <xdr:rowOff>93126</xdr:rowOff>
    </xdr:to>
    <xdr:pic>
      <xdr:nvPicPr>
        <xdr:cNvPr id="3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83" y="10585"/>
          <a:ext cx="7045325" cy="6540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"/>
  <dimension ref="A1:XFA93"/>
  <sheetViews>
    <sheetView showGridLines="0" tabSelected="1" zoomScale="90" zoomScaleNormal="90" workbookViewId="0">
      <pane xSplit="3" ySplit="23" topLeftCell="D24" activePane="bottomRight" state="frozen"/>
      <selection activeCell="B10" sqref="B10"/>
      <selection pane="topRight" activeCell="D10" sqref="D10"/>
      <selection pane="bottomLeft" activeCell="B32" sqref="B32"/>
      <selection pane="bottomRight" activeCell="C18" sqref="C18"/>
    </sheetView>
  </sheetViews>
  <sheetFormatPr defaultColWidth="0" defaultRowHeight="15" zeroHeight="1" x14ac:dyDescent="0.25"/>
  <cols>
    <col min="1" max="1" width="20.140625" hidden="1" customWidth="1"/>
    <col min="2" max="2" width="43.140625" customWidth="1"/>
    <col min="3" max="3" width="29.140625" customWidth="1"/>
    <col min="4" max="5" width="15.7109375" style="48" customWidth="1"/>
    <col min="6" max="6" width="12.7109375" style="49" customWidth="1"/>
    <col min="7" max="8" width="10.7109375" style="13" customWidth="1"/>
    <col min="9" max="9" width="4.28515625" customWidth="1"/>
    <col min="10" max="12" width="11.42578125" customWidth="1"/>
    <col min="13" max="13" width="27.140625" bestFit="1" customWidth="1"/>
    <col min="14" max="16380" width="11.42578125" hidden="1"/>
    <col min="16381" max="16381" width="2.5703125" hidden="1"/>
    <col min="16382" max="16384" width="4.42578125" hidden="1"/>
  </cols>
  <sheetData>
    <row r="1" spans="1:8" hidden="1" x14ac:dyDescent="0.25"/>
    <row r="2" spans="1:8" hidden="1" x14ac:dyDescent="0.25">
      <c r="B2" s="1"/>
      <c r="C2" s="2"/>
      <c r="D2" s="50"/>
      <c r="E2" s="50"/>
      <c r="F2" s="51"/>
      <c r="G2" s="14"/>
      <c r="H2" s="14"/>
    </row>
    <row r="3" spans="1:8" hidden="1" x14ac:dyDescent="0.25">
      <c r="B3" s="2"/>
      <c r="C3" s="8"/>
      <c r="D3" s="52"/>
      <c r="E3" s="52"/>
      <c r="F3" s="53"/>
      <c r="G3" s="15"/>
      <c r="H3" s="15"/>
    </row>
    <row r="4" spans="1:8" hidden="1" x14ac:dyDescent="0.25">
      <c r="B4" s="2"/>
      <c r="C4" s="9"/>
      <c r="D4" s="54"/>
      <c r="E4" s="54"/>
      <c r="F4" s="55"/>
      <c r="G4" s="16"/>
      <c r="H4" s="16"/>
    </row>
    <row r="5" spans="1:8" hidden="1" x14ac:dyDescent="0.25">
      <c r="B5" s="2"/>
      <c r="C5" s="10"/>
      <c r="D5" s="56"/>
      <c r="E5" s="56"/>
      <c r="F5" s="57"/>
      <c r="G5" s="17"/>
      <c r="H5" s="17"/>
    </row>
    <row r="6" spans="1:8" hidden="1" x14ac:dyDescent="0.25">
      <c r="B6" s="2"/>
      <c r="C6" s="8"/>
      <c r="D6" s="52"/>
      <c r="E6" s="52"/>
      <c r="F6" s="53"/>
      <c r="G6" s="15"/>
      <c r="H6" s="15"/>
    </row>
    <row r="7" spans="1:8" hidden="1" x14ac:dyDescent="0.25">
      <c r="B7" s="2"/>
      <c r="C7" s="11"/>
      <c r="D7" s="58"/>
      <c r="E7" s="58"/>
      <c r="G7" s="18"/>
      <c r="H7" s="18"/>
    </row>
    <row r="8" spans="1:8" hidden="1" x14ac:dyDescent="0.25"/>
    <row r="9" spans="1:8" hidden="1" x14ac:dyDescent="0.25"/>
    <row r="10" spans="1:8" x14ac:dyDescent="0.25">
      <c r="A10" s="4"/>
      <c r="B10" s="4"/>
      <c r="C10" s="4"/>
      <c r="D10" s="59"/>
      <c r="E10" s="59"/>
      <c r="F10" s="60"/>
      <c r="G10" s="19"/>
      <c r="H10" s="19"/>
    </row>
    <row r="11" spans="1:8" x14ac:dyDescent="0.25">
      <c r="A11" s="4"/>
      <c r="B11" s="4"/>
      <c r="C11" s="4"/>
      <c r="D11" s="59"/>
      <c r="E11" s="59"/>
      <c r="F11" s="60"/>
      <c r="G11" s="19"/>
      <c r="H11" s="19"/>
    </row>
    <row r="12" spans="1:8" x14ac:dyDescent="0.25">
      <c r="A12" s="4"/>
      <c r="B12" s="4"/>
      <c r="C12" s="4"/>
      <c r="D12" s="59"/>
      <c r="E12" s="59"/>
      <c r="F12" s="60"/>
      <c r="G12" s="19"/>
      <c r="H12" s="19"/>
    </row>
    <row r="13" spans="1:8" x14ac:dyDescent="0.25">
      <c r="A13" s="4"/>
      <c r="B13" s="4"/>
      <c r="C13" s="4"/>
      <c r="D13" s="59"/>
      <c r="E13" s="59"/>
      <c r="F13" s="60"/>
      <c r="G13" s="19"/>
      <c r="H13" s="19"/>
    </row>
    <row r="14" spans="1:8" ht="14.25" hidden="1" customHeight="1" x14ac:dyDescent="0.25">
      <c r="A14" s="4"/>
      <c r="B14" s="4"/>
      <c r="C14" s="4"/>
      <c r="D14" s="59"/>
      <c r="E14" s="59"/>
      <c r="F14" s="60"/>
      <c r="G14" s="19"/>
      <c r="H14" s="19"/>
    </row>
    <row r="15" spans="1:8" hidden="1" x14ac:dyDescent="0.25">
      <c r="A15" s="4"/>
      <c r="B15" s="4"/>
      <c r="C15" s="4"/>
      <c r="D15" s="59"/>
      <c r="E15" s="59"/>
      <c r="F15" s="60"/>
      <c r="G15" s="19"/>
      <c r="H15" s="19"/>
    </row>
    <row r="16" spans="1:8" hidden="1" x14ac:dyDescent="0.25">
      <c r="A16" s="4"/>
      <c r="B16" s="4"/>
      <c r="C16" s="4"/>
      <c r="D16" s="59"/>
      <c r="E16" s="59"/>
      <c r="F16" s="60"/>
      <c r="G16" s="19"/>
      <c r="H16" s="19"/>
    </row>
    <row r="17" spans="1:13" x14ac:dyDescent="0.25">
      <c r="A17" s="5"/>
      <c r="B17" s="7"/>
      <c r="C17" s="6"/>
      <c r="D17" s="61"/>
      <c r="E17" s="61"/>
      <c r="F17" s="62"/>
      <c r="G17" s="20"/>
      <c r="H17" s="20"/>
    </row>
    <row r="18" spans="1:13" x14ac:dyDescent="0.25">
      <c r="A18" s="5"/>
      <c r="B18" s="7" t="s">
        <v>0</v>
      </c>
      <c r="C18" s="6" t="str">
        <f ca="1">_xll.SUBNM("CXMD:DIM_Origin_Company","","Y","Nom FR")</f>
        <v>SILVA</v>
      </c>
      <c r="D18" s="61"/>
      <c r="E18" s="61"/>
      <c r="F18" s="62"/>
      <c r="G18" s="20"/>
      <c r="H18" s="20"/>
    </row>
    <row r="19" spans="1:13" ht="21" x14ac:dyDescent="0.35">
      <c r="A19" s="5"/>
      <c r="B19" s="7" t="s">
        <v>20</v>
      </c>
      <c r="C19" s="6" t="str">
        <f ca="1">_xll.SUBNM("CXMD:Month","","Total_Month")</f>
        <v>Total_Month</v>
      </c>
      <c r="D19" s="61"/>
      <c r="E19" s="61"/>
      <c r="F19" s="63" t="s">
        <v>24</v>
      </c>
      <c r="G19" s="20"/>
      <c r="H19" s="20"/>
    </row>
    <row r="20" spans="1:13" ht="8.25" customHeight="1" x14ac:dyDescent="0.25">
      <c r="A20" s="5"/>
      <c r="B20" s="5"/>
      <c r="C20" s="5"/>
      <c r="D20" s="61"/>
      <c r="E20" s="61"/>
      <c r="F20" s="62"/>
      <c r="G20" s="20"/>
      <c r="H20" s="20"/>
    </row>
    <row r="21" spans="1:13" ht="8.25" customHeight="1" thickBot="1" x14ac:dyDescent="0.3">
      <c r="A21" s="5"/>
      <c r="B21" s="5"/>
      <c r="C21" s="5"/>
      <c r="D21" s="61"/>
      <c r="E21" s="61"/>
      <c r="F21" s="62"/>
      <c r="G21" s="20"/>
      <c r="H21" s="20"/>
    </row>
    <row r="22" spans="1:13" ht="31.5" customHeight="1" x14ac:dyDescent="0.25">
      <c r="A22" s="5"/>
      <c r="B22" s="12"/>
      <c r="C22" s="46" t="s">
        <v>15</v>
      </c>
      <c r="D22" s="89" t="str">
        <f ca="1">_xll.SUBNM("CXMD:Actuality","","AC2021","Description EN")</f>
        <v>AC2021</v>
      </c>
      <c r="E22" s="89" t="str">
        <f ca="1">_xll.SUBNM("CXMD:Actuality","","AC2022","Description EN")</f>
        <v>AC2022</v>
      </c>
      <c r="F22" s="149" t="s">
        <v>21</v>
      </c>
      <c r="G22" s="150"/>
      <c r="H22" s="151"/>
      <c r="J22" s="148" t="s">
        <v>25</v>
      </c>
      <c r="K22" s="148"/>
    </row>
    <row r="23" spans="1:13" x14ac:dyDescent="0.25">
      <c r="A23" s="5"/>
      <c r="B23" s="47" t="s">
        <v>14</v>
      </c>
      <c r="C23" s="21"/>
      <c r="D23" s="64" t="s">
        <v>16</v>
      </c>
      <c r="E23" s="64" t="s">
        <v>17</v>
      </c>
      <c r="F23" s="146" t="s">
        <v>40</v>
      </c>
      <c r="G23" s="98" t="s">
        <v>41</v>
      </c>
      <c r="H23" s="147" t="s">
        <v>42</v>
      </c>
    </row>
    <row r="24" spans="1:13" ht="15.75" thickBot="1" x14ac:dyDescent="0.3">
      <c r="B24" s="3" t="s">
        <v>1</v>
      </c>
      <c r="C24" s="86" t="s">
        <v>8</v>
      </c>
      <c r="D24" s="50">
        <f ca="1">_xll.DBR("CXMD:FTM_DATA_BALANCE_SHEET","Total_Customer_Supplier",Month,D$22,ori,"TOTAL PRODUCT","B-300010","Total Allocation","Amount_BS")*-1/1000</f>
        <v>0</v>
      </c>
      <c r="E24" s="50">
        <f ca="1">_xll.DBR("CXMD:FTM_DATA_BALANCE_SHEET","Total_Customer_Supplier",Month,E$22,ori,"TOTAL PRODUCT","B-300010","Total Allocation","Amount_BS")*-1/1000</f>
        <v>0</v>
      </c>
      <c r="F24" s="51">
        <f ca="1">E24-D24</f>
        <v>0</v>
      </c>
      <c r="G24" s="14">
        <f ca="1">IF(D24&lt;&gt;0,E24/D24-1,0)</f>
        <v>0</v>
      </c>
      <c r="H24" s="14"/>
      <c r="J24" s="113"/>
      <c r="K24" s="114"/>
    </row>
    <row r="25" spans="1:13" ht="16.5" thickBot="1" x14ac:dyDescent="0.3">
      <c r="B25" s="23" t="s">
        <v>9</v>
      </c>
      <c r="C25" s="22"/>
      <c r="D25" s="65">
        <f ca="1">D24</f>
        <v>0</v>
      </c>
      <c r="E25" s="65">
        <f ca="1">E24</f>
        <v>0</v>
      </c>
      <c r="F25" s="66">
        <f t="shared" ref="F25:F39" ca="1" si="0">E25-D25</f>
        <v>0</v>
      </c>
      <c r="G25" s="24">
        <f t="shared" ref="G25:G39" ca="1" si="1">IF(D25&lt;&gt;0,E25/D25-1,0)</f>
        <v>0</v>
      </c>
      <c r="H25" s="24"/>
      <c r="J25" s="113" t="s">
        <v>26</v>
      </c>
      <c r="K25" s="117"/>
    </row>
    <row r="26" spans="1:13" ht="15.75" thickBot="1" x14ac:dyDescent="0.3">
      <c r="B26" s="3" t="s">
        <v>2</v>
      </c>
      <c r="C26" s="86" t="s">
        <v>8</v>
      </c>
      <c r="D26" s="50">
        <f ca="1">_xll.DBR("CXMD:FTM_DATA_BALANCE_SHEET","Total_Customer_Supplier",Month,D$22,ori,"TOTAL PRODUCT","B-330010","Total Allocation","Amount_BS")*-1/1000</f>
        <v>30</v>
      </c>
      <c r="E26" s="50">
        <f ca="1">_xll.DBR("CXMD:FTM_DATA_BALANCE_SHEET","Total_Customer_Supplier",Month,E$22,ori,"TOTAL PRODUCT","B-330010","Total Allocation","Amount_BS")*-1/1000</f>
        <v>30</v>
      </c>
      <c r="F26" s="51">
        <f t="shared" ca="1" si="0"/>
        <v>0</v>
      </c>
      <c r="G26" s="14">
        <f t="shared" ca="1" si="1"/>
        <v>0</v>
      </c>
      <c r="H26" s="14"/>
      <c r="J26" s="113" t="s">
        <v>27</v>
      </c>
      <c r="K26" s="117"/>
    </row>
    <row r="27" spans="1:13" ht="16.5" thickBot="1" x14ac:dyDescent="0.3">
      <c r="B27" s="23" t="s">
        <v>10</v>
      </c>
      <c r="C27" s="22"/>
      <c r="D27" s="65">
        <f ca="1">D25+D26</f>
        <v>30</v>
      </c>
      <c r="E27" s="65">
        <f ca="1">E25+E26</f>
        <v>30</v>
      </c>
      <c r="F27" s="66">
        <f t="shared" ca="1" si="0"/>
        <v>0</v>
      </c>
      <c r="G27" s="24">
        <f t="shared" ca="1" si="1"/>
        <v>0</v>
      </c>
      <c r="H27" s="24"/>
      <c r="J27" s="113" t="s">
        <v>28</v>
      </c>
      <c r="K27" s="117"/>
    </row>
    <row r="28" spans="1:13" ht="15.75" thickBot="1" x14ac:dyDescent="0.3">
      <c r="B28" s="3" t="s">
        <v>3</v>
      </c>
      <c r="C28" s="86" t="s">
        <v>8</v>
      </c>
      <c r="D28" s="50">
        <f ca="1">(_xll.DBR("CXMD:FTM_DATA_BALANCE_SHEET","Total_Customer_Supplier",Month,D$22,ori,"TOTAL PRODUCT","B-452010","Total Allocation","Amount_BS")/1000)+(_xll.DBR("CXMD:FTM_DATA_BALANCE_SHEET","Total_Customer_Supplier",Month,D$22,ori,"TOTAL PRODUCT","B-452210","Total Allocation","Amount_BS")/1000)</f>
        <v>0</v>
      </c>
      <c r="E28" s="50">
        <f ca="1">(_xll.DBR("CXMD:FTM_DATA_BALANCE_SHEET","Total_Customer_Supplier",Month,E$22,ori,"TOTAL PRODUCT","B-452010","Total Allocation","Amount_BS")/1000)+(_xll.DBR("CXMD:FTM_DATA_BALANCE_SHEET","Total_Customer_Supplier",Month,E$22,ori,"TOTAL PRODUCT","B-452210","Total Allocation","Amount_BS")/1000)</f>
        <v>0</v>
      </c>
      <c r="F28" s="51">
        <f t="shared" ca="1" si="0"/>
        <v>0</v>
      </c>
      <c r="G28" s="14">
        <f t="shared" ca="1" si="1"/>
        <v>0</v>
      </c>
      <c r="H28" s="14"/>
      <c r="J28" s="113" t="s">
        <v>29</v>
      </c>
      <c r="K28" s="117"/>
    </row>
    <row r="29" spans="1:13" ht="16.5" thickBot="1" x14ac:dyDescent="0.3">
      <c r="B29" s="96" t="s">
        <v>19</v>
      </c>
      <c r="C29" s="90"/>
      <c r="D29" s="67">
        <f ca="1">(_xll.DBR("CXMD:FTM_DATA_BALANCE_SHEET","Total_Customer_Supplier",Month,D$22,ori,"TOTAL PRODUCT","B-401010","Total Allocation","Amount_BS")/1000)+(_xll.DBR("CXMD:FTM_DATA_BALANCE_SHEET","Total_Customer_Supplier",Month,D$22,ori,"TOTAL PRODUCT","B-401020","Total Allocation","Amount_BS")/1000)+(_xll.DBR("CXMD:FTM_DATA_BALANCE_SHEET","Total_Customer_Supplier",Month,D$22,ori,"TOTAL PRODUCT","B-402110","Total Allocation","Amount_BS")/1000)+(_xll.DBR("CXMD:FTM_DATA_BALANCE_SHEET","Total_Customer_Supplier",Month,D$22,ori,"TOTAL PRODUCT","B-402111","Total Allocation","Amount_BS")/1000)+(_xll.DBR("CXMD:FTM_DATA_BALANCE_SHEET","Total_Customer_Supplier",Month,D$22,ori,"TOTAL PRODUCT","B-407010","Total Allocation","Amount_BS")/1000)+(_xll.DBR("CXMD:FTM_DATA_BALANCE_SHEET","Total_Customer_Supplier",Month,D$22,ori,"TOTAL PRODUCT","B-310010","Total Allocation","Amount_BS")/1000)</f>
        <v>0</v>
      </c>
      <c r="E29" s="67">
        <f ca="1">(_xll.DBR("CXMD:FTM_DATA_BALANCE_SHEET","Total_Customer_Supplier",Month,E$22,ori,"TOTAL PRODUCT","B-401010","Total Allocation","Amount_BS")/1000)+(_xll.DBR("CXMD:FTM_DATA_BALANCE_SHEET","Total_Customer_Supplier",Month,E$22,ori,"TOTAL PRODUCT","B-401020","Total Allocation","Amount_BS")/1000)+(_xll.DBR("CXMD:FTM_DATA_BALANCE_SHEET","Total_Customer_Supplier",Month,E$22,ori,"TOTAL PRODUCT","B-402110","Total Allocation","Amount_BS")/1000)+(_xll.DBR("CXMD:FTM_DATA_BALANCE_SHEET","Total_Customer_Supplier",Month,E$22,ori,"TOTAL PRODUCT","B-402111","Total Allocation","Amount_BS")/1000)+(_xll.DBR("CXMD:FTM_DATA_BALANCE_SHEET","Total_Customer_Supplier",Month,E$22,ori,"TOTAL PRODUCT","B-407010","Total Allocation","Amount_BS")/1000)+(_xll.DBR("CXMD:FTM_DATA_BALANCE_SHEET","Total_Customer_Supplier",Month,E$22,ori,"TOTAL PRODUCT","B-310010","Total Allocation","Amount_BS")/1000)</f>
        <v>0</v>
      </c>
      <c r="F29" s="97">
        <f ca="1">E29-D29</f>
        <v>0</v>
      </c>
      <c r="G29" s="25">
        <f ca="1">IF(D29&lt;&gt;0,E29/D29-1,0)</f>
        <v>0</v>
      </c>
      <c r="H29" s="25"/>
      <c r="J29" s="113" t="s">
        <v>30</v>
      </c>
      <c r="K29" s="117"/>
    </row>
    <row r="30" spans="1:13" ht="15.75" thickBot="1" x14ac:dyDescent="0.3">
      <c r="B30" s="26"/>
      <c r="C30" s="91" t="s">
        <v>18</v>
      </c>
      <c r="D30" s="27">
        <f ca="1">IF(D25&lt;&gt;0,D29/D25,0)</f>
        <v>0</v>
      </c>
      <c r="E30" s="27">
        <f ca="1">IF(E25&lt;&gt;0,E29/E25,0)</f>
        <v>0</v>
      </c>
      <c r="F30" s="76"/>
      <c r="G30" s="77">
        <f ca="1">(E30-D30)*100</f>
        <v>0</v>
      </c>
      <c r="H30" s="77">
        <f ca="1">E30-D30</f>
        <v>0</v>
      </c>
      <c r="J30" s="113" t="s">
        <v>31</v>
      </c>
      <c r="K30" s="121"/>
      <c r="L30" s="122">
        <f ca="1">(K24+K25+K26+K27+K28+K29+K30)+(D30-E30)*-E25</f>
        <v>0</v>
      </c>
      <c r="M30" s="123" t="s">
        <v>32</v>
      </c>
    </row>
    <row r="31" spans="1:13" ht="15.75" x14ac:dyDescent="0.25">
      <c r="B31" s="28" t="s">
        <v>11</v>
      </c>
      <c r="C31" s="29"/>
      <c r="D31" s="68">
        <f ca="1">D27-D29</f>
        <v>30</v>
      </c>
      <c r="E31" s="68">
        <f ca="1">E27-E29</f>
        <v>30</v>
      </c>
      <c r="F31" s="69">
        <f t="shared" ca="1" si="0"/>
        <v>0</v>
      </c>
      <c r="G31" s="30">
        <f t="shared" ca="1" si="1"/>
        <v>0</v>
      </c>
      <c r="H31" s="30"/>
      <c r="J31" s="126" t="s">
        <v>33</v>
      </c>
      <c r="K31" s="127">
        <f ca="1">(E25-D25)*(1-D30)</f>
        <v>0</v>
      </c>
    </row>
    <row r="32" spans="1:13" ht="15.75" thickBot="1" x14ac:dyDescent="0.3">
      <c r="B32" s="31"/>
      <c r="C32" s="92" t="s">
        <v>18</v>
      </c>
      <c r="D32" s="32">
        <f ca="1">IF(D25&lt;&gt;0,D31/D25,0)</f>
        <v>0</v>
      </c>
      <c r="E32" s="32">
        <f ca="1">IF(E25&lt;&gt;0,E31/E25,0)</f>
        <v>0</v>
      </c>
      <c r="F32" s="78"/>
      <c r="G32" s="79">
        <f ca="1">(E32-D32)*100</f>
        <v>0</v>
      </c>
      <c r="H32" s="79">
        <f ca="1">E32-D32</f>
        <v>0</v>
      </c>
      <c r="J32" s="115"/>
      <c r="K32" s="116"/>
    </row>
    <row r="33" spans="2:13" ht="15.75" x14ac:dyDescent="0.25">
      <c r="B33" s="33" t="s">
        <v>4</v>
      </c>
      <c r="C33" s="87" t="s">
        <v>8</v>
      </c>
      <c r="D33" s="70">
        <f ca="1">(_xll.DBR("CXMD:FTM_DATA_BALANCE_SHEET","Total_Customer_Supplier",Month,D$22,ori,"TOTAL PRODUCT","B-430010","Total Allocation","Amount_BS")/1000)+(_xll.DBR("CXMD:FTM_DATA_BALANCE_SHEET","Total_Customer_Supplier",Month,D$22,ori,"TOTAL PRODUCT","B-430040","Total Allocation","Amount_BS")/1000)+(_xll.DBR("CXMD:FTM_DATA_BALANCE_SHEET","Total_Customer_Supplier",Month,D$22,ori,"TOTAL PRODUCT","B-431040","Total Allocation","Amount_BS")/1000)+(_xll.DBR("CXMD:FTM_DATA_BALANCE_SHEET","Total_Customer_Supplier",Month,D$22,ori,"TOTAL PRODUCT","B-437010","Total Allocation","Amount_BS")/1000)+(_xll.DBR("CXMD:FTM_DATA_BALANCE_SHEET","Total_Customer_Supplier",Month,D$22,ori,"TOTAL PRODUCT","B-438010","Total Allocation","Amount_BS")/1000)</f>
        <v>0</v>
      </c>
      <c r="E33" s="70">
        <f ca="1">(_xll.DBR("CXMD:FTM_DATA_BALANCE_SHEET","Total_Customer_Supplier",Month,E$22,ori,"TOTAL PRODUCT","B-430010","Total Allocation","Amount_BS")/1000)+(_xll.DBR("CXMD:FTM_DATA_BALANCE_SHEET","Total_Customer_Supplier",Month,E$22,ori,"TOTAL PRODUCT","B-430040","Total Allocation","Amount_BS")/1000)+(_xll.DBR("CXMD:FTM_DATA_BALANCE_SHEET","Total_Customer_Supplier",Month,E$22,ori,"TOTAL PRODUCT","B-431040","Total Allocation","Amount_BS")/1000)+(_xll.DBR("CXMD:FTM_DATA_BALANCE_SHEET","Total_Customer_Supplier",Month,E$22,ori,"TOTAL PRODUCT","B-437010","Total Allocation","Amount_BS")/1000)+(_xll.DBR("CXMD:FTM_DATA_BALANCE_SHEET","Total_Customer_Supplier",Month,E$22,ori,"TOTAL PRODUCT","B-438010","Total Allocation","Amount_BS")/1000)</f>
        <v>0</v>
      </c>
      <c r="F33" s="71">
        <f ca="1">E33-D33</f>
        <v>0</v>
      </c>
      <c r="G33" s="34">
        <f t="shared" ca="1" si="1"/>
        <v>0</v>
      </c>
      <c r="H33" s="34"/>
      <c r="J33" s="128" t="s">
        <v>34</v>
      </c>
      <c r="K33" s="129">
        <f ca="1">$D$33*-L33/100</f>
        <v>0</v>
      </c>
      <c r="M33" t="s">
        <v>35</v>
      </c>
    </row>
    <row r="34" spans="2:13" ht="15.75" thickBot="1" x14ac:dyDescent="0.3">
      <c r="B34" s="35"/>
      <c r="C34" s="93" t="s">
        <v>18</v>
      </c>
      <c r="D34" s="36">
        <f ca="1">IF(D25&lt;&gt;0,D33/D25,0)</f>
        <v>0</v>
      </c>
      <c r="E34" s="36">
        <f ca="1">IF(E25&lt;&gt;0,E33/E25,0)</f>
        <v>0</v>
      </c>
      <c r="F34" s="80"/>
      <c r="G34" s="81">
        <f ca="1">(E34-D34)*100</f>
        <v>0</v>
      </c>
      <c r="H34" s="81">
        <f ca="1">E34-D34</f>
        <v>0</v>
      </c>
      <c r="J34" s="130" t="s">
        <v>36</v>
      </c>
      <c r="K34" s="131">
        <f>IF($E$80&lt;&gt;0,-F$80*($E$33/$E$80),0)</f>
        <v>0</v>
      </c>
    </row>
    <row r="35" spans="2:13" ht="16.5" thickBot="1" x14ac:dyDescent="0.3">
      <c r="B35" s="37" t="s">
        <v>5</v>
      </c>
      <c r="C35" s="88" t="s">
        <v>8</v>
      </c>
      <c r="D35" s="72">
        <f ca="1">(_xll.DBR("CXMD:FTM_DATA_BALANCE_SHEET","Total_Customer_Supplier",Month,D$22,ori,"TOTAL PRODUCT","B-451010","Total Allocation","Amount_BS")/1000)+(_xll.DBR("CXMD:FTM_DATA_BALANCE_SHEET","Total_Customer_Supplier",Month,D$22,ori,"TOTAL PRODUCT","B-451020","Total Allocation","Amount_BS")/1000)+(_xll.DBR("CXMD:FTM_DATA_BALANCE_SHEET","Total_Customer_Supplier",Month,D$22,ori,"TOTAL PRODUCT","B-451030","Total Allocation","Amount_BS")/1000)+(_xll.DBR("CXMD:FTM_DATA_BALANCE_SHEET","Total_Customer_Supplier",Month,D$22,ori,"TOTAL PRODUCT","B-451110","Total Allocation","Amount_BS")/1000)+(_xll.DBR("CXMD:FTM_DATA_BALANCE_SHEET","Total_Customer_Supplier",Month,D$22,ori,"TOTAL PRODUCT","B-451210","Total Allocation","Amount_BS")/1000)+(_xll.DBR("CXMD:FTM_DATA_BALANCE_SHEET","Total_Customer_Supplier",Month,D$22,ori,"TOTAL PRODUCT","B-451220","Total Allocation","Amount_BS")/1000)+(_xll.DBR("CXMD:FTM_DATA_BALANCE_SHEET","Total_Customer_Supplier",Month,D$22,ori,"TOTAL PRODUCT","B-451310","Total Allocation","Amount_BS")/1000)+(_xll.DBR("CXMD:FTM_DATA_BALANCE_SHEET","Total_Customer_Supplier",Month,D$22,ori,"TOTAL PRODUCT","B-451450","Total Allocation","Amount_BS")/1000)+(_xll.DBR("CXMD:FTM_DATA_BALANCE_SHEET","Total_Customer_Supplier",Month,D$22,ori,"TOTAL PRODUCT","B-451510","Total Allocation","Amount_BS")/1000)+(_xll.DBR("CXMD:FTM_DATA_BALANCE_SHEET","Total_Customer_Supplier",Month,D$22,ori,"TOTAL PRODUCT","B-451610","Total Allocation","Amount_BS")/1000)+(_xll.DBR("CXMD:FTM_DATA_BALANCE_SHEET","Total_Customer_Supplier",Month,D$22,ori,"TOTAL PRODUCT","B-451620","Total Allocation","Amount_BS")/1000)</f>
        <v>20.178250000000002</v>
      </c>
      <c r="E35" s="72">
        <f ca="1">(_xll.DBR("CXMD:FTM_DATA_BALANCE_SHEET","Total_Customer_Supplier",Month,E$22,ori,"TOTAL PRODUCT","B-451010","Total Allocation","Amount_BS")/1000)+(_xll.DBR("CXMD:FTM_DATA_BALANCE_SHEET","Total_Customer_Supplier",Month,E$22,ori,"TOTAL PRODUCT","B-451020","Total Allocation","Amount_BS")/1000)+(_xll.DBR("CXMD:FTM_DATA_BALANCE_SHEET","Total_Customer_Supplier",Month,E$22,ori,"TOTAL PRODUCT","B-451030","Total Allocation","Amount_BS")/1000)+(_xll.DBR("CXMD:FTM_DATA_BALANCE_SHEET","Total_Customer_Supplier",Month,E$22,ori,"TOTAL PRODUCT","B-451110","Total Allocation","Amount_BS")/1000)+(_xll.DBR("CXMD:FTM_DATA_BALANCE_SHEET","Total_Customer_Supplier",Month,E$22,ori,"TOTAL PRODUCT","B-451210","Total Allocation","Amount_BS")/1000)+(_xll.DBR("CXMD:FTM_DATA_BALANCE_SHEET","Total_Customer_Supplier",Month,E$22,ori,"TOTAL PRODUCT","B-451220","Total Allocation","Amount_BS")/1000)+(_xll.DBR("CXMD:FTM_DATA_BALANCE_SHEET","Total_Customer_Supplier",Month,E$22,ori,"TOTAL PRODUCT","B-451310","Total Allocation","Amount_BS")/1000)+(_xll.DBR("CXMD:FTM_DATA_BALANCE_SHEET","Total_Customer_Supplier",Month,E$22,ori,"TOTAL PRODUCT","B-451450","Total Allocation","Amount_BS")/1000)+(_xll.DBR("CXMD:FTM_DATA_BALANCE_SHEET","Total_Customer_Supplier",Month,E$22,ori,"TOTAL PRODUCT","B-451510","Total Allocation","Amount_BS")/1000)+(_xll.DBR("CXMD:FTM_DATA_BALANCE_SHEET","Total_Customer_Supplier",Month,E$22,ori,"TOTAL PRODUCT","B-451610","Total Allocation","Amount_BS")/1000)+(_xll.DBR("CXMD:FTM_DATA_BALANCE_SHEET","Total_Customer_Supplier",Month,E$22,ori,"TOTAL PRODUCT","B-451620","Total Allocation","Amount_BS")/1000)</f>
        <v>15.842739999999999</v>
      </c>
      <c r="F35" s="73">
        <f ca="1">E35-D35</f>
        <v>-4.3355100000000029</v>
      </c>
      <c r="G35" s="38">
        <f ca="1">IF(D35&lt;&gt;0,E35/D35-1,0)</f>
        <v>-0.214860555300881</v>
      </c>
      <c r="H35" s="38"/>
      <c r="J35" s="130" t="s">
        <v>37</v>
      </c>
      <c r="K35" s="132">
        <v>0</v>
      </c>
    </row>
    <row r="36" spans="2:13" ht="15.75" thickBot="1" x14ac:dyDescent="0.3">
      <c r="B36" s="39"/>
      <c r="C36" s="94" t="s">
        <v>18</v>
      </c>
      <c r="D36" s="40">
        <f ca="1">IF(D25&lt;&gt;0,D35/D25,0)</f>
        <v>0</v>
      </c>
      <c r="E36" s="40">
        <f ca="1">IF(E25&lt;&gt;0,E35/E25,0)</f>
        <v>0</v>
      </c>
      <c r="F36" s="82"/>
      <c r="G36" s="83">
        <f ca="1">(E36-D36)*100</f>
        <v>0</v>
      </c>
      <c r="H36" s="83">
        <f ca="1">E36-D36</f>
        <v>0</v>
      </c>
      <c r="J36" s="130" t="s">
        <v>30</v>
      </c>
      <c r="K36" s="133">
        <v>0</v>
      </c>
      <c r="L36" s="134">
        <f ca="1">SUM(K33:K36)+F33</f>
        <v>0</v>
      </c>
      <c r="M36" s="135" t="s">
        <v>38</v>
      </c>
    </row>
    <row r="37" spans="2:13" x14ac:dyDescent="0.25">
      <c r="B37" s="3" t="s">
        <v>6</v>
      </c>
      <c r="C37" s="86" t="s">
        <v>8</v>
      </c>
      <c r="D37" s="50">
        <f ca="1">_xll.DBR("CXMD:FTM_DATA_BALANCE_SHEET","Total_Customer_Supplier",Month,D$22,ori,"TOTAL PRODUCT","B-453010","Total Allocation","Amount_BS")/1000</f>
        <v>0</v>
      </c>
      <c r="E37" s="50">
        <f ca="1">_xll.DBR("CXMD:FTM_DATA_BALANCE_SHEET","Total_Customer_Supplier",Month,E$22,ori,"TOTAL PRODUCT","B-453010","Total Allocation","Amount_BS")/1000</f>
        <v>0</v>
      </c>
      <c r="F37" s="51">
        <f ca="1">E37-D37</f>
        <v>0</v>
      </c>
      <c r="G37" s="14">
        <f ca="1">IF(D37&lt;&gt;0,E37/D37-1,0)</f>
        <v>0</v>
      </c>
      <c r="H37" s="14"/>
      <c r="J37" s="136"/>
      <c r="K37" s="137"/>
    </row>
    <row r="38" spans="2:13" ht="15.75" thickBot="1" x14ac:dyDescent="0.3">
      <c r="B38" s="3" t="s">
        <v>7</v>
      </c>
      <c r="C38" s="86" t="s">
        <v>8</v>
      </c>
      <c r="D38" s="50">
        <f ca="1">(_xll.DBR("CXMD:FTM_DATA_BALANCE_SHEET","Total_Customer_Supplier",Month,D$22,ori,"TOTAL PRODUCT","B-470010","Total Allocation","Amount_BS")/1000)+(_xll.DBR("CXMD:FTM_DATA_BALANCE_SHEET","Total_Customer_Supplier",Month,D$22,ori,"TOTAL PRODUCT","B-475010","Total Allocation","Amount_BS")/1000)</f>
        <v>0</v>
      </c>
      <c r="E38" s="50">
        <f ca="1">(_xll.DBR("CXMD:FTM_DATA_BALANCE_SHEET","Total_Customer_Supplier",Month,E$22,ori,"TOTAL PRODUCT","B-470010","Total Allocation","Amount_BS")/1000)+(_xll.DBR("CXMD:FTM_DATA_BALANCE_SHEET","Total_Customer_Supplier",Month,E$22,ori,"TOTAL PRODUCT","B-475010","Total Allocation","Amount_BS")/1000)</f>
        <v>0</v>
      </c>
      <c r="F38" s="51">
        <f ca="1">E38-D38</f>
        <v>0</v>
      </c>
      <c r="G38" s="14">
        <f ca="1">IF(D38&lt;&gt;0,E38/D38-1,0)</f>
        <v>0</v>
      </c>
      <c r="H38" s="14"/>
      <c r="J38" s="136"/>
      <c r="K38" s="137"/>
    </row>
    <row r="39" spans="2:13" ht="15.75" x14ac:dyDescent="0.25">
      <c r="B39" s="41" t="s">
        <v>12</v>
      </c>
      <c r="C39" s="42"/>
      <c r="D39" s="74">
        <f ca="1">D27-D29-D33-D35-D37-D38-D28</f>
        <v>9.821749999999998</v>
      </c>
      <c r="E39" s="74">
        <f ca="1">E27-E29-E33-E35-E37-E38-E28</f>
        <v>14.157260000000001</v>
      </c>
      <c r="F39" s="75">
        <f t="shared" ca="1" si="0"/>
        <v>4.3355100000000029</v>
      </c>
      <c r="G39" s="43">
        <f t="shared" ca="1" si="1"/>
        <v>0.44141929900476029</v>
      </c>
      <c r="H39" s="43"/>
      <c r="J39" s="136"/>
      <c r="K39" s="137"/>
    </row>
    <row r="40" spans="2:13" ht="15.75" thickBot="1" x14ac:dyDescent="0.3">
      <c r="B40" s="44"/>
      <c r="C40" s="95" t="s">
        <v>13</v>
      </c>
      <c r="D40" s="45">
        <f ca="1">IF(D24&lt;&gt;0,D39/D24,0)</f>
        <v>0</v>
      </c>
      <c r="E40" s="45">
        <f ca="1">IF(E24&lt;&gt;0,E39/E24,0)</f>
        <v>0</v>
      </c>
      <c r="F40" s="84"/>
      <c r="G40" s="85">
        <f ca="1">(E40-D40)*100</f>
        <v>0</v>
      </c>
      <c r="H40" s="85">
        <f ca="1">E40-D40</f>
        <v>0</v>
      </c>
      <c r="J40" s="136" t="s">
        <v>30</v>
      </c>
      <c r="K40" s="137"/>
    </row>
    <row r="41" spans="2:13" ht="15" hidden="1" customHeight="1" x14ac:dyDescent="0.25">
      <c r="J41" s="119"/>
      <c r="K41" s="120"/>
    </row>
    <row r="42" spans="2:13" ht="15.75" hidden="1" customHeight="1" thickBot="1" x14ac:dyDescent="0.3">
      <c r="J42" s="122" t="e">
        <f ca="1">(#REF!+#REF!+#REF!+#REF!+#REF!+#REF!+#REF!)+(D42-E42)*-E31</f>
        <v>#REF!</v>
      </c>
      <c r="K42" s="123" t="s">
        <v>32</v>
      </c>
    </row>
    <row r="43" spans="2:13" ht="15" hidden="1" customHeight="1" x14ac:dyDescent="0.25">
      <c r="J43" s="124"/>
      <c r="K43" s="125"/>
    </row>
    <row r="44" spans="2:13" ht="15" hidden="1" customHeight="1" x14ac:dyDescent="0.25">
      <c r="J44" s="115"/>
      <c r="K44" s="116"/>
    </row>
    <row r="45" spans="2:13" ht="15" hidden="1" customHeight="1" x14ac:dyDescent="0.25">
      <c r="J45" s="115"/>
      <c r="K45" s="116"/>
    </row>
    <row r="46" spans="2:13" ht="15" hidden="1" customHeight="1" x14ac:dyDescent="0.25">
      <c r="J46" s="115"/>
      <c r="K46" s="116"/>
    </row>
    <row r="47" spans="2:13" ht="15" hidden="1" customHeight="1" x14ac:dyDescent="0.25">
      <c r="J47" s="115"/>
      <c r="K47" s="116"/>
    </row>
    <row r="48" spans="2:13" ht="15" hidden="1" customHeight="1" x14ac:dyDescent="0.25">
      <c r="J48" s="115"/>
      <c r="K48" s="116"/>
    </row>
    <row r="49" spans="10:11" ht="15" hidden="1" customHeight="1" x14ac:dyDescent="0.25">
      <c r="J49" s="115"/>
      <c r="K49" s="116"/>
    </row>
    <row r="50" spans="10:11" ht="15" hidden="1" customHeight="1" x14ac:dyDescent="0.25">
      <c r="J50" s="115"/>
      <c r="K50" s="116"/>
    </row>
    <row r="51" spans="10:11" ht="15" hidden="1" customHeight="1" x14ac:dyDescent="0.25">
      <c r="J51" s="115"/>
      <c r="K51" s="116"/>
    </row>
    <row r="52" spans="10:11" ht="15" hidden="1" customHeight="1" x14ac:dyDescent="0.25">
      <c r="J52" s="115"/>
      <c r="K52" s="118"/>
    </row>
    <row r="53" spans="10:11" ht="15" hidden="1" customHeight="1" x14ac:dyDescent="0.25">
      <c r="J53" s="115"/>
      <c r="K53" s="118" t="s">
        <v>35</v>
      </c>
    </row>
    <row r="54" spans="10:11" ht="15" hidden="1" customHeight="1" x14ac:dyDescent="0.25">
      <c r="J54" s="115"/>
      <c r="K54" s="118"/>
    </row>
    <row r="55" spans="10:11" ht="15" hidden="1" customHeight="1" x14ac:dyDescent="0.25">
      <c r="J55" s="115"/>
      <c r="K55" s="118"/>
    </row>
    <row r="56" spans="10:11" ht="15" hidden="1" customHeight="1" x14ac:dyDescent="0.25">
      <c r="J56" s="115"/>
      <c r="K56" s="116"/>
    </row>
    <row r="57" spans="10:11" ht="15" hidden="1" customHeight="1" x14ac:dyDescent="0.25">
      <c r="J57" s="115"/>
      <c r="K57" s="116"/>
    </row>
    <row r="58" spans="10:11" ht="15" hidden="1" customHeight="1" x14ac:dyDescent="0.25">
      <c r="J58" s="115"/>
      <c r="K58" s="116"/>
    </row>
    <row r="59" spans="10:11" ht="15" hidden="1" customHeight="1" x14ac:dyDescent="0.25">
      <c r="J59" s="115"/>
      <c r="K59" s="116"/>
    </row>
    <row r="60" spans="10:11" ht="15" hidden="1" customHeight="1" x14ac:dyDescent="0.25">
      <c r="J60" s="115"/>
      <c r="K60" s="116"/>
    </row>
    <row r="61" spans="10:11" ht="15" hidden="1" customHeight="1" x14ac:dyDescent="0.25">
      <c r="J61" s="115"/>
      <c r="K61" s="116"/>
    </row>
    <row r="62" spans="10:11" ht="15.75" hidden="1" customHeight="1" thickBot="1" x14ac:dyDescent="0.3">
      <c r="J62" s="134" t="e">
        <f>SUM(#REF!)+F53</f>
        <v>#REF!</v>
      </c>
      <c r="K62" s="135" t="s">
        <v>38</v>
      </c>
    </row>
    <row r="63" spans="10:11" ht="15" hidden="1" customHeight="1" x14ac:dyDescent="0.25">
      <c r="J63" s="124"/>
      <c r="K63" s="125"/>
    </row>
    <row r="64" spans="10:11" ht="15" hidden="1" customHeight="1" x14ac:dyDescent="0.25">
      <c r="J64" s="115"/>
      <c r="K64" s="116"/>
    </row>
    <row r="65" spans="2:13" ht="15" hidden="1" customHeight="1" x14ac:dyDescent="0.25">
      <c r="J65" s="115"/>
      <c r="K65" s="116"/>
    </row>
    <row r="66" spans="2:13" ht="15" hidden="1" customHeight="1" x14ac:dyDescent="0.25">
      <c r="J66" s="115"/>
      <c r="K66" s="116"/>
    </row>
    <row r="67" spans="2:13" ht="15" hidden="1" customHeight="1" x14ac:dyDescent="0.25">
      <c r="J67" s="115"/>
      <c r="K67" s="116"/>
    </row>
    <row r="68" spans="2:13" ht="15" hidden="1" customHeight="1" x14ac:dyDescent="0.25">
      <c r="J68" s="115"/>
      <c r="K68" s="116"/>
    </row>
    <row r="69" spans="2:13" ht="15" hidden="1" customHeight="1" x14ac:dyDescent="0.25">
      <c r="J69" s="115"/>
      <c r="K69" s="116"/>
    </row>
    <row r="70" spans="2:13" ht="15" hidden="1" customHeight="1" x14ac:dyDescent="0.25">
      <c r="J70" s="115"/>
      <c r="K70" s="116"/>
    </row>
    <row r="71" spans="2:13" ht="15" hidden="1" customHeight="1" x14ac:dyDescent="0.25">
      <c r="J71" s="115"/>
      <c r="K71" s="116"/>
    </row>
    <row r="72" spans="2:13" ht="15" hidden="1" customHeight="1" x14ac:dyDescent="0.25">
      <c r="J72" s="115"/>
      <c r="K72" s="116"/>
    </row>
    <row r="73" spans="2:13" ht="15" hidden="1" customHeight="1" x14ac:dyDescent="0.25">
      <c r="J73" s="115"/>
      <c r="K73" s="116"/>
    </row>
    <row r="74" spans="2:13" ht="15" hidden="1" customHeight="1" x14ac:dyDescent="0.25">
      <c r="J74" s="115"/>
      <c r="K74" s="116"/>
    </row>
    <row r="75" spans="2:13" ht="15" hidden="1" customHeight="1" x14ac:dyDescent="0.25">
      <c r="J75" s="115"/>
      <c r="K75" s="116"/>
    </row>
    <row r="76" spans="2:13" ht="15" hidden="1" customHeight="1" x14ac:dyDescent="0.25">
      <c r="J76" s="115"/>
      <c r="K76" s="116"/>
    </row>
    <row r="77" spans="2:13" ht="15" hidden="1" customHeight="1" x14ac:dyDescent="0.25">
      <c r="J77" s="115"/>
      <c r="K77" s="116"/>
    </row>
    <row r="78" spans="2:13" ht="15.75" thickBot="1" x14ac:dyDescent="0.3">
      <c r="J78" s="136"/>
      <c r="K78" s="137"/>
    </row>
    <row r="79" spans="2:13" ht="15.75" thickBot="1" x14ac:dyDescent="0.3">
      <c r="B79" s="99" t="s">
        <v>22</v>
      </c>
      <c r="C79" s="100"/>
      <c r="D79" s="101"/>
      <c r="E79" s="102"/>
      <c r="F79" s="103">
        <f>E79-D79</f>
        <v>0</v>
      </c>
      <c r="G79" s="104">
        <f>IF(D79&lt;&gt;0,(E79-D79)/D79,0)</f>
        <v>0</v>
      </c>
      <c r="H79" s="105"/>
      <c r="J79" s="138"/>
      <c r="K79" s="139"/>
      <c r="L79" s="115"/>
      <c r="M79" s="118"/>
    </row>
    <row r="80" spans="2:13" ht="15.75" thickBot="1" x14ac:dyDescent="0.3">
      <c r="B80" s="106" t="s">
        <v>23</v>
      </c>
      <c r="C80" s="107"/>
      <c r="D80" s="108"/>
      <c r="E80" s="109"/>
      <c r="F80" s="110">
        <f>E80-D80</f>
        <v>0</v>
      </c>
      <c r="G80" s="111">
        <f>IF(D80&lt;&gt;0,(E80-D80)/D80,0)</f>
        <v>0</v>
      </c>
      <c r="H80" s="112"/>
      <c r="J80" s="138"/>
      <c r="K80" s="143"/>
      <c r="L80" s="144">
        <f ca="1">SUM(K37:K80)+F35</f>
        <v>-4.3355100000000029</v>
      </c>
      <c r="M80" s="145" t="s">
        <v>39</v>
      </c>
    </row>
    <row r="81" spans="10:11" x14ac:dyDescent="0.25">
      <c r="J81" s="115"/>
      <c r="K81" s="116"/>
    </row>
    <row r="82" spans="10:11" hidden="1" x14ac:dyDescent="0.25">
      <c r="J82" s="115"/>
      <c r="K82" s="116"/>
    </row>
    <row r="83" spans="10:11" hidden="1" x14ac:dyDescent="0.25">
      <c r="J83" s="115"/>
      <c r="K83" s="116"/>
    </row>
    <row r="84" spans="10:11" hidden="1" x14ac:dyDescent="0.25">
      <c r="J84" s="115"/>
      <c r="K84" s="118"/>
    </row>
    <row r="85" spans="10:11" hidden="1" x14ac:dyDescent="0.25">
      <c r="J85" s="115"/>
      <c r="K85" s="118"/>
    </row>
    <row r="86" spans="10:11" hidden="1" x14ac:dyDescent="0.25">
      <c r="J86" s="115"/>
      <c r="K86" s="140"/>
    </row>
    <row r="87" spans="10:11" hidden="1" x14ac:dyDescent="0.25">
      <c r="J87" s="115"/>
      <c r="K87" s="140"/>
    </row>
    <row r="88" spans="10:11" hidden="1" x14ac:dyDescent="0.25">
      <c r="J88" s="115"/>
      <c r="K88" s="140"/>
    </row>
    <row r="89" spans="10:11" hidden="1" x14ac:dyDescent="0.25">
      <c r="J89" s="115"/>
      <c r="K89" s="141"/>
    </row>
    <row r="90" spans="10:11" hidden="1" x14ac:dyDescent="0.25">
      <c r="J90" s="124"/>
      <c r="K90" s="142"/>
    </row>
    <row r="91" spans="10:11" hidden="1" x14ac:dyDescent="0.25">
      <c r="J91" s="115"/>
      <c r="K91" s="140"/>
    </row>
    <row r="92" spans="10:11" hidden="1" x14ac:dyDescent="0.25">
      <c r="J92" s="115"/>
      <c r="K92" s="118"/>
    </row>
    <row r="93" spans="10:11" ht="15.75" hidden="1" thickBot="1" x14ac:dyDescent="0.3">
      <c r="J93" s="144" t="e">
        <f>SUM(#REF!)+F61</f>
        <v>#REF!</v>
      </c>
      <c r="K93" s="145" t="s">
        <v>39</v>
      </c>
    </row>
  </sheetData>
  <mergeCells count="2">
    <mergeCell ref="J22:K22"/>
    <mergeCell ref="F22:H22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4337" r:id="rId4" name="TIButton1">
          <controlPr defaultSize="0" print="0" autoLine="0" autoPict="0" r:id="rId5">
            <anchor moveWithCells="1">
              <from>
                <xdr:col>3</xdr:col>
                <xdr:colOff>533400</xdr:colOff>
                <xdr:row>16</xdr:row>
                <xdr:rowOff>152400</xdr:rowOff>
              </from>
              <to>
                <xdr:col>4</xdr:col>
                <xdr:colOff>504825</xdr:colOff>
                <xdr:row>18</xdr:row>
                <xdr:rowOff>28575</xdr:rowOff>
              </to>
            </anchor>
          </controlPr>
        </control>
      </mc:Choice>
      <mc:Fallback>
        <control shapeId="14337" r:id="rId4" name="TI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HeadingPairs>
  <TitlesOfParts>
    <vt:vector size="9" baseType="lpstr">
      <vt:lpstr>EBIT Rec. BUD</vt:lpstr>
      <vt:lpstr>'EBIT Rec. BUD'!Actuality_1</vt:lpstr>
      <vt:lpstr>'EBIT Rec. BUD'!Actuality_2</vt:lpstr>
      <vt:lpstr>'EBIT Rec. BUD'!company</vt:lpstr>
      <vt:lpstr>'EBIT Rec. BUD'!Month</vt:lpstr>
      <vt:lpstr>'EBIT Rec. BUD'!ori</vt:lpstr>
      <vt:lpstr>'EBIT Rec. BUD'!TM1RPTDATARNGARPT1</vt:lpstr>
      <vt:lpstr>'EBIT Rec. BUD'!TM1RPTFMTIDCOL</vt:lpstr>
      <vt:lpstr>'EBIT Rec. BUD'!TM1RPTFMTRNG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DEDENON</dc:creator>
  <cp:lastModifiedBy>Serveurs COGNOS</cp:lastModifiedBy>
  <dcterms:created xsi:type="dcterms:W3CDTF">2015-05-04T09:00:30Z</dcterms:created>
  <dcterms:modified xsi:type="dcterms:W3CDTF">2024-07-16T09:43:19Z</dcterms:modified>
</cp:coreProperties>
</file>