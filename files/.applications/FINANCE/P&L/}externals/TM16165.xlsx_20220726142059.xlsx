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drawings/drawing3.xml" ContentType="application/vnd.openxmlformats-officedocument.drawing+xml"/>
  <Override PartName="/xl/activeX/activeX3.xml" ContentType="application/vnd.ms-office.activeX+xml"/>
  <Override PartName="/xl/drawings/drawing4.xml" ContentType="application/vnd.openxmlformats-officedocument.drawing+xml"/>
  <Override PartName="/xl/activeX/activeX4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1205\"/>
    </mc:Choice>
  </mc:AlternateContent>
  <bookViews>
    <workbookView xWindow="120" yWindow="150" windowWidth="16080" windowHeight="9675"/>
  </bookViews>
  <sheets>
    <sheet name="P&amp;L Month by CC summary" sheetId="10" r:id="rId1"/>
    <sheet name="P&amp;L Month YTD by CC summary" sheetId="11" r:id="rId2"/>
    <sheet name="P&amp;L Month by CC detailed" sheetId="9" r:id="rId3"/>
    <sheet name="P&amp;L Month YTD by CC detailed" sheetId="12" r:id="rId4"/>
  </sheets>
  <definedNames>
    <definedName name="Actuality" localSheetId="0">'P&amp;L Month by CC summary'!#REF!</definedName>
    <definedName name="Actuality" localSheetId="1">'P&amp;L Month YTD by CC summary'!#REF!</definedName>
    <definedName name="Actuality_1" localSheetId="2">'P&amp;L Month by CC detailed'!$D$22</definedName>
    <definedName name="Actuality_1" localSheetId="0">'P&amp;L Month by CC summary'!$D$21</definedName>
    <definedName name="Actuality_1" localSheetId="3">'P&amp;L Month YTD by CC detailed'!$D$22</definedName>
    <definedName name="Actuality_1" localSheetId="1">'P&amp;L Month YTD by CC summary'!$D$21</definedName>
    <definedName name="Actuality_2" localSheetId="2">'P&amp;L Month by CC detailed'!$E$22</definedName>
    <definedName name="Actuality_2" localSheetId="0">'P&amp;L Month by CC summary'!#REF!</definedName>
    <definedName name="Actuality_2" localSheetId="3">'P&amp;L Month YTD by CC detailed'!$E$22</definedName>
    <definedName name="Actuality_2" localSheetId="1">'P&amp;L Month YTD by CC summary'!#REF!</definedName>
    <definedName name="Actuality_3" localSheetId="2">'P&amp;L Month by CC detailed'!$H$22</definedName>
    <definedName name="Actuality_3" localSheetId="0">'P&amp;L Month by CC summary'!#REF!</definedName>
    <definedName name="Actuality_3" localSheetId="3">'P&amp;L Month YTD by CC detailed'!$H$22</definedName>
    <definedName name="Actuality_3" localSheetId="1">'P&amp;L Month YTD by CC summary'!#REF!</definedName>
    <definedName name="company" localSheetId="2">'P&amp;L Month by CC detailed'!$C$17</definedName>
    <definedName name="company" localSheetId="0">'P&amp;L Month by CC summary'!$C$17</definedName>
    <definedName name="company" localSheetId="3">'P&amp;L Month YTD by CC detailed'!$C$17</definedName>
    <definedName name="company" localSheetId="1">'P&amp;L Month YTD by CC summary'!$C$17</definedName>
    <definedName name="Month" localSheetId="2">'P&amp;L Month by CC detailed'!$C$19</definedName>
    <definedName name="Month" localSheetId="0">'P&amp;L Month by CC summary'!#REF!</definedName>
    <definedName name="Month" localSheetId="3">'P&amp;L Month YTD by CC detailed'!$C$19</definedName>
    <definedName name="Month" localSheetId="1">'P&amp;L Month YTD by CC summary'!#REF!</definedName>
    <definedName name="Month_1" localSheetId="0">'P&amp;L Month by CC summary'!$D$21</definedName>
    <definedName name="Month_1" localSheetId="1">'P&amp;L Month YTD by CC summary'!$D$21</definedName>
    <definedName name="ori" localSheetId="2">'P&amp;L Month by CC detailed'!$C$18</definedName>
    <definedName name="ori" localSheetId="0">'P&amp;L Month by CC summary'!$C$18</definedName>
    <definedName name="ori" localSheetId="3">'P&amp;L Month YTD by CC detailed'!$C$18</definedName>
    <definedName name="ori" localSheetId="1">'P&amp;L Month YTD by CC summary'!$C$18</definedName>
    <definedName name="origine">'P&amp;L Month by CC summary'!$C$18</definedName>
    <definedName name="TM1REBUILDOPTION">1</definedName>
    <definedName name="TM1RPTDATARNGARPT1" localSheetId="2">'P&amp;L Month by CC detailed'!$25:$78</definedName>
    <definedName name="TM1RPTDATARNGARPT1" localSheetId="0">'P&amp;L Month by CC summary'!$23:$41</definedName>
    <definedName name="TM1RPTDATARNGARPT1" localSheetId="3">'P&amp;L Month YTD by CC detailed'!$25:$78</definedName>
    <definedName name="TM1RPTDATARNGARPT1" localSheetId="1">'P&amp;L Month YTD by CC summary'!$23:$41</definedName>
    <definedName name="TM1RPTFMTIDCOL" localSheetId="2">'P&amp;L Month by CC detailed'!$A$1:$A$8</definedName>
    <definedName name="TM1RPTFMTIDCOL" localSheetId="0">'P&amp;L Month by CC summary'!$A$1:$A$8</definedName>
    <definedName name="TM1RPTFMTIDCOL" localSheetId="3">'P&amp;L Month YTD by CC detailed'!$A$1:$A$8</definedName>
    <definedName name="TM1RPTFMTIDCOL" localSheetId="1">'P&amp;L Month YTD by CC summary'!$A$1:$A$8</definedName>
    <definedName name="TM1RPTFMTRNG" localSheetId="2">'P&amp;L Month by CC detailed'!$B$1:$L$8</definedName>
    <definedName name="TM1RPTFMTRNG" localSheetId="0">'P&amp;L Month by CC summary'!$B$1:$D$8</definedName>
    <definedName name="TM1RPTFMTRNG" localSheetId="3">'P&amp;L Month YTD by CC detailed'!$B$1:$L$8</definedName>
    <definedName name="TM1RPTFMTRNG" localSheetId="1">'P&amp;L Month YTD by CC summary'!$B$1:$D$8</definedName>
  </definedNames>
  <calcPr calcId="162913" calcMode="manual" concurrentCalc="0"/>
</workbook>
</file>

<file path=xl/calcChain.xml><?xml version="1.0" encoding="utf-8"?>
<calcChain xmlns="http://schemas.openxmlformats.org/spreadsheetml/2006/main">
  <c r="C18" i="10" l="1"/>
  <c r="C18" i="12"/>
  <c r="C18" i="9"/>
  <c r="C18" i="11"/>
  <c r="C19" i="10"/>
  <c r="C19" i="12"/>
  <c r="C20" i="10"/>
  <c r="C20" i="12"/>
  <c r="O25" i="12"/>
  <c r="O26" i="12"/>
  <c r="O27" i="12"/>
  <c r="O28" i="12"/>
  <c r="O29" i="12"/>
  <c r="O34" i="12"/>
  <c r="O46" i="12"/>
  <c r="O54" i="12"/>
  <c r="O69" i="12"/>
  <c r="O72" i="12"/>
  <c r="O32" i="12"/>
  <c r="O33" i="12"/>
  <c r="O30" i="12"/>
  <c r="O74" i="12"/>
  <c r="O76" i="12"/>
  <c r="O79" i="12"/>
  <c r="O80" i="12"/>
  <c r="N25" i="12"/>
  <c r="N26" i="12"/>
  <c r="N27" i="12"/>
  <c r="N28" i="12"/>
  <c r="N29" i="12"/>
  <c r="N34" i="12"/>
  <c r="N46" i="12"/>
  <c r="N54" i="12"/>
  <c r="N69" i="12"/>
  <c r="N72" i="12"/>
  <c r="N32" i="12"/>
  <c r="N33" i="12"/>
  <c r="N30" i="12"/>
  <c r="N74" i="12"/>
  <c r="N76" i="12"/>
  <c r="N79" i="12"/>
  <c r="N80" i="12"/>
  <c r="M25" i="12"/>
  <c r="M26" i="12"/>
  <c r="M27" i="12"/>
  <c r="M28" i="12"/>
  <c r="M29" i="12"/>
  <c r="M34" i="12"/>
  <c r="M46" i="12"/>
  <c r="M54" i="12"/>
  <c r="M69" i="12"/>
  <c r="M72" i="12"/>
  <c r="M32" i="12"/>
  <c r="M33" i="12"/>
  <c r="M30" i="12"/>
  <c r="M74" i="12"/>
  <c r="M76" i="12"/>
  <c r="M79" i="12"/>
  <c r="M80" i="12"/>
  <c r="L25" i="12"/>
  <c r="L26" i="12"/>
  <c r="L27" i="12"/>
  <c r="L28" i="12"/>
  <c r="L29" i="12"/>
  <c r="L34" i="12"/>
  <c r="L46" i="12"/>
  <c r="L54" i="12"/>
  <c r="L69" i="12"/>
  <c r="L72" i="12"/>
  <c r="L32" i="12"/>
  <c r="L33" i="12"/>
  <c r="L30" i="12"/>
  <c r="L74" i="12"/>
  <c r="L76" i="12"/>
  <c r="L79" i="12"/>
  <c r="L80" i="12"/>
  <c r="K25" i="12"/>
  <c r="K26" i="12"/>
  <c r="K27" i="12"/>
  <c r="K28" i="12"/>
  <c r="K29" i="12"/>
  <c r="K34" i="12"/>
  <c r="K46" i="12"/>
  <c r="K54" i="12"/>
  <c r="K69" i="12"/>
  <c r="K72" i="12"/>
  <c r="K32" i="12"/>
  <c r="K33" i="12"/>
  <c r="K30" i="12"/>
  <c r="K74" i="12"/>
  <c r="K76" i="12"/>
  <c r="K79" i="12"/>
  <c r="K80" i="12"/>
  <c r="J25" i="12"/>
  <c r="J26" i="12"/>
  <c r="J27" i="12"/>
  <c r="J28" i="12"/>
  <c r="J29" i="12"/>
  <c r="J34" i="12"/>
  <c r="J46" i="12"/>
  <c r="J54" i="12"/>
  <c r="J69" i="12"/>
  <c r="J72" i="12"/>
  <c r="J32" i="12"/>
  <c r="J33" i="12"/>
  <c r="J30" i="12"/>
  <c r="J74" i="12"/>
  <c r="J76" i="12"/>
  <c r="J79" i="12"/>
  <c r="J80" i="12"/>
  <c r="I25" i="12"/>
  <c r="I26" i="12"/>
  <c r="I27" i="12"/>
  <c r="I28" i="12"/>
  <c r="I29" i="12"/>
  <c r="I34" i="12"/>
  <c r="I46" i="12"/>
  <c r="I54" i="12"/>
  <c r="I69" i="12"/>
  <c r="I72" i="12"/>
  <c r="I32" i="12"/>
  <c r="I33" i="12"/>
  <c r="I30" i="12"/>
  <c r="I74" i="12"/>
  <c r="I76" i="12"/>
  <c r="I79" i="12"/>
  <c r="I80" i="12"/>
  <c r="H25" i="12"/>
  <c r="H26" i="12"/>
  <c r="H27" i="12"/>
  <c r="H28" i="12"/>
  <c r="H29" i="12"/>
  <c r="H34" i="12"/>
  <c r="H46" i="12"/>
  <c r="H54" i="12"/>
  <c r="H69" i="12"/>
  <c r="H72" i="12"/>
  <c r="H32" i="12"/>
  <c r="H33" i="12"/>
  <c r="H30" i="12"/>
  <c r="H74" i="12"/>
  <c r="H76" i="12"/>
  <c r="H79" i="12"/>
  <c r="H80" i="12"/>
  <c r="G25" i="12"/>
  <c r="G26" i="12"/>
  <c r="G27" i="12"/>
  <c r="G28" i="12"/>
  <c r="G29" i="12"/>
  <c r="G34" i="12"/>
  <c r="G46" i="12"/>
  <c r="G54" i="12"/>
  <c r="G69" i="12"/>
  <c r="G72" i="12"/>
  <c r="G32" i="12"/>
  <c r="G33" i="12"/>
  <c r="G30" i="12"/>
  <c r="G74" i="12"/>
  <c r="G76" i="12"/>
  <c r="G79" i="12"/>
  <c r="G80" i="12"/>
  <c r="F25" i="12"/>
  <c r="F26" i="12"/>
  <c r="F27" i="12"/>
  <c r="F28" i="12"/>
  <c r="F29" i="12"/>
  <c r="F34" i="12"/>
  <c r="F46" i="12"/>
  <c r="F54" i="12"/>
  <c r="F69" i="12"/>
  <c r="F72" i="12"/>
  <c r="F32" i="12"/>
  <c r="F33" i="12"/>
  <c r="F30" i="12"/>
  <c r="F74" i="12"/>
  <c r="F76" i="12"/>
  <c r="F79" i="12"/>
  <c r="F80" i="12"/>
  <c r="E25" i="12"/>
  <c r="E26" i="12"/>
  <c r="E27" i="12"/>
  <c r="E28" i="12"/>
  <c r="E29" i="12"/>
  <c r="E34" i="12"/>
  <c r="E46" i="12"/>
  <c r="E54" i="12"/>
  <c r="E69" i="12"/>
  <c r="E72" i="12"/>
  <c r="E32" i="12"/>
  <c r="E33" i="12"/>
  <c r="E30" i="12"/>
  <c r="E74" i="12"/>
  <c r="E76" i="12"/>
  <c r="E79" i="12"/>
  <c r="E80" i="12"/>
  <c r="D25" i="12"/>
  <c r="D26" i="12"/>
  <c r="D27" i="12"/>
  <c r="D28" i="12"/>
  <c r="D29" i="12"/>
  <c r="D34" i="12"/>
  <c r="D46" i="12"/>
  <c r="D54" i="12"/>
  <c r="D69" i="12"/>
  <c r="D72" i="12"/>
  <c r="D32" i="12"/>
  <c r="D33" i="12"/>
  <c r="D30" i="12"/>
  <c r="D74" i="12"/>
  <c r="D76" i="12"/>
  <c r="D79" i="12"/>
  <c r="D80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O44" i="12"/>
  <c r="O45" i="12"/>
  <c r="N44" i="12"/>
  <c r="N45" i="12"/>
  <c r="M44" i="12"/>
  <c r="M45" i="12"/>
  <c r="L44" i="12"/>
  <c r="L45" i="12"/>
  <c r="K44" i="12"/>
  <c r="K45" i="12"/>
  <c r="J44" i="12"/>
  <c r="J45" i="12"/>
  <c r="I44" i="12"/>
  <c r="I45" i="12"/>
  <c r="H44" i="12"/>
  <c r="H45" i="12"/>
  <c r="G44" i="12"/>
  <c r="G45" i="12"/>
  <c r="F44" i="12"/>
  <c r="F45" i="12"/>
  <c r="E44" i="12"/>
  <c r="E45" i="12"/>
  <c r="D44" i="12"/>
  <c r="D45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19" i="9"/>
  <c r="C20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D26" i="9"/>
  <c r="D27" i="9"/>
  <c r="D28" i="9"/>
  <c r="D29" i="9"/>
  <c r="D34" i="9"/>
  <c r="D46" i="9"/>
  <c r="D54" i="9"/>
  <c r="D69" i="9"/>
  <c r="D72" i="9"/>
  <c r="D32" i="9"/>
  <c r="D33" i="9"/>
  <c r="D30" i="9"/>
  <c r="D74" i="9"/>
  <c r="D76" i="9"/>
  <c r="D79" i="9"/>
  <c r="E26" i="9"/>
  <c r="E27" i="9"/>
  <c r="E28" i="9"/>
  <c r="E29" i="9"/>
  <c r="E34" i="9"/>
  <c r="E46" i="9"/>
  <c r="E54" i="9"/>
  <c r="E69" i="9"/>
  <c r="E72" i="9"/>
  <c r="E32" i="9"/>
  <c r="E33" i="9"/>
  <c r="E30" i="9"/>
  <c r="E74" i="9"/>
  <c r="E76" i="9"/>
  <c r="E79" i="9"/>
  <c r="F26" i="9"/>
  <c r="F27" i="9"/>
  <c r="F28" i="9"/>
  <c r="F29" i="9"/>
  <c r="F34" i="9"/>
  <c r="F46" i="9"/>
  <c r="F54" i="9"/>
  <c r="F69" i="9"/>
  <c r="F72" i="9"/>
  <c r="F32" i="9"/>
  <c r="F33" i="9"/>
  <c r="F30" i="9"/>
  <c r="F74" i="9"/>
  <c r="F76" i="9"/>
  <c r="F79" i="9"/>
  <c r="G26" i="9"/>
  <c r="G27" i="9"/>
  <c r="G28" i="9"/>
  <c r="G29" i="9"/>
  <c r="G34" i="9"/>
  <c r="G46" i="9"/>
  <c r="G54" i="9"/>
  <c r="G69" i="9"/>
  <c r="G72" i="9"/>
  <c r="G32" i="9"/>
  <c r="G33" i="9"/>
  <c r="G30" i="9"/>
  <c r="G74" i="9"/>
  <c r="G76" i="9"/>
  <c r="G79" i="9"/>
  <c r="H26" i="9"/>
  <c r="H27" i="9"/>
  <c r="H28" i="9"/>
  <c r="H29" i="9"/>
  <c r="H34" i="9"/>
  <c r="H46" i="9"/>
  <c r="H54" i="9"/>
  <c r="H69" i="9"/>
  <c r="H72" i="9"/>
  <c r="H32" i="9"/>
  <c r="H33" i="9"/>
  <c r="H30" i="9"/>
  <c r="H74" i="9"/>
  <c r="H76" i="9"/>
  <c r="H79" i="9"/>
  <c r="I26" i="9"/>
  <c r="I27" i="9"/>
  <c r="I28" i="9"/>
  <c r="I29" i="9"/>
  <c r="I34" i="9"/>
  <c r="I46" i="9"/>
  <c r="I54" i="9"/>
  <c r="I69" i="9"/>
  <c r="I72" i="9"/>
  <c r="I32" i="9"/>
  <c r="I33" i="9"/>
  <c r="I30" i="9"/>
  <c r="I74" i="9"/>
  <c r="I76" i="9"/>
  <c r="I79" i="9"/>
  <c r="J26" i="9"/>
  <c r="J27" i="9"/>
  <c r="J28" i="9"/>
  <c r="J29" i="9"/>
  <c r="J34" i="9"/>
  <c r="J46" i="9"/>
  <c r="J54" i="9"/>
  <c r="J69" i="9"/>
  <c r="J72" i="9"/>
  <c r="J32" i="9"/>
  <c r="J33" i="9"/>
  <c r="J30" i="9"/>
  <c r="J74" i="9"/>
  <c r="J76" i="9"/>
  <c r="J79" i="9"/>
  <c r="K26" i="9"/>
  <c r="K27" i="9"/>
  <c r="K28" i="9"/>
  <c r="K29" i="9"/>
  <c r="K34" i="9"/>
  <c r="K46" i="9"/>
  <c r="K54" i="9"/>
  <c r="K69" i="9"/>
  <c r="K72" i="9"/>
  <c r="K32" i="9"/>
  <c r="K33" i="9"/>
  <c r="K30" i="9"/>
  <c r="K74" i="9"/>
  <c r="K76" i="9"/>
  <c r="K79" i="9"/>
  <c r="L26" i="9"/>
  <c r="L27" i="9"/>
  <c r="L28" i="9"/>
  <c r="L29" i="9"/>
  <c r="L34" i="9"/>
  <c r="L46" i="9"/>
  <c r="L54" i="9"/>
  <c r="L69" i="9"/>
  <c r="L72" i="9"/>
  <c r="L32" i="9"/>
  <c r="L33" i="9"/>
  <c r="L30" i="9"/>
  <c r="L74" i="9"/>
  <c r="L76" i="9"/>
  <c r="L79" i="9"/>
  <c r="M26" i="9"/>
  <c r="M27" i="9"/>
  <c r="M28" i="9"/>
  <c r="M29" i="9"/>
  <c r="M34" i="9"/>
  <c r="M46" i="9"/>
  <c r="M54" i="9"/>
  <c r="M69" i="9"/>
  <c r="M72" i="9"/>
  <c r="M32" i="9"/>
  <c r="M33" i="9"/>
  <c r="M30" i="9"/>
  <c r="M74" i="9"/>
  <c r="M76" i="9"/>
  <c r="M79" i="9"/>
  <c r="N26" i="9"/>
  <c r="N27" i="9"/>
  <c r="N28" i="9"/>
  <c r="N29" i="9"/>
  <c r="N34" i="9"/>
  <c r="N46" i="9"/>
  <c r="N54" i="9"/>
  <c r="N69" i="9"/>
  <c r="N72" i="9"/>
  <c r="N32" i="9"/>
  <c r="N33" i="9"/>
  <c r="N30" i="9"/>
  <c r="N74" i="9"/>
  <c r="N76" i="9"/>
  <c r="N79" i="9"/>
  <c r="O26" i="9"/>
  <c r="O27" i="9"/>
  <c r="O28" i="9"/>
  <c r="O29" i="9"/>
  <c r="O34" i="9"/>
  <c r="O46" i="9"/>
  <c r="O54" i="9"/>
  <c r="O69" i="9"/>
  <c r="O72" i="9"/>
  <c r="O32" i="9"/>
  <c r="O33" i="9"/>
  <c r="O30" i="9"/>
  <c r="O74" i="9"/>
  <c r="O76" i="9"/>
  <c r="O79" i="9"/>
  <c r="P79" i="9"/>
  <c r="P80" i="9"/>
  <c r="P74" i="9"/>
  <c r="P75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P76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P72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P69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P26" i="9"/>
  <c r="P54" i="9"/>
  <c r="P55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P46" i="9"/>
  <c r="P47" i="9"/>
  <c r="P27" i="9"/>
  <c r="P29" i="9"/>
  <c r="P34" i="9"/>
  <c r="P44" i="9"/>
  <c r="P45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P35" i="9"/>
  <c r="P33" i="9"/>
  <c r="P32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P30" i="9"/>
  <c r="P28" i="9"/>
  <c r="E35" i="9"/>
  <c r="F35" i="9"/>
  <c r="G35" i="9"/>
  <c r="H35" i="9"/>
  <c r="I35" i="9"/>
  <c r="J35" i="9"/>
  <c r="K35" i="9"/>
  <c r="L35" i="9"/>
  <c r="M35" i="9"/>
  <c r="N35" i="9"/>
  <c r="O35" i="9"/>
  <c r="E44" i="9"/>
  <c r="F44" i="9"/>
  <c r="G44" i="9"/>
  <c r="H44" i="9"/>
  <c r="I44" i="9"/>
  <c r="J44" i="9"/>
  <c r="K44" i="9"/>
  <c r="L44" i="9"/>
  <c r="M44" i="9"/>
  <c r="N44" i="9"/>
  <c r="O44" i="9"/>
  <c r="E45" i="9"/>
  <c r="F45" i="9"/>
  <c r="G45" i="9"/>
  <c r="H45" i="9"/>
  <c r="I45" i="9"/>
  <c r="J45" i="9"/>
  <c r="K45" i="9"/>
  <c r="L45" i="9"/>
  <c r="M45" i="9"/>
  <c r="N45" i="9"/>
  <c r="O45" i="9"/>
  <c r="E47" i="9"/>
  <c r="F47" i="9"/>
  <c r="G47" i="9"/>
  <c r="H47" i="9"/>
  <c r="I47" i="9"/>
  <c r="J47" i="9"/>
  <c r="K47" i="9"/>
  <c r="L47" i="9"/>
  <c r="M47" i="9"/>
  <c r="N47" i="9"/>
  <c r="O47" i="9"/>
  <c r="E55" i="9"/>
  <c r="F55" i="9"/>
  <c r="G55" i="9"/>
  <c r="H55" i="9"/>
  <c r="I55" i="9"/>
  <c r="J55" i="9"/>
  <c r="K55" i="9"/>
  <c r="L55" i="9"/>
  <c r="M55" i="9"/>
  <c r="N55" i="9"/>
  <c r="O55" i="9"/>
  <c r="E75" i="9"/>
  <c r="F75" i="9"/>
  <c r="G75" i="9"/>
  <c r="H75" i="9"/>
  <c r="I75" i="9"/>
  <c r="J75" i="9"/>
  <c r="K75" i="9"/>
  <c r="L75" i="9"/>
  <c r="M75" i="9"/>
  <c r="N75" i="9"/>
  <c r="O75" i="9"/>
  <c r="E80" i="9"/>
  <c r="F80" i="9"/>
  <c r="G80" i="9"/>
  <c r="H80" i="9"/>
  <c r="I80" i="9"/>
  <c r="J80" i="9"/>
  <c r="K80" i="9"/>
  <c r="L80" i="9"/>
  <c r="M80" i="9"/>
  <c r="N80" i="9"/>
  <c r="O80" i="9"/>
  <c r="C20" i="11"/>
  <c r="C19" i="11"/>
  <c r="O23" i="11"/>
  <c r="O24" i="11"/>
  <c r="O25" i="11"/>
  <c r="O26" i="11"/>
  <c r="O27" i="11"/>
  <c r="O29" i="11"/>
  <c r="O33" i="11"/>
  <c r="O35" i="11"/>
  <c r="O37" i="11"/>
  <c r="O38" i="11"/>
  <c r="O28" i="11"/>
  <c r="O39" i="11"/>
  <c r="O41" i="11"/>
  <c r="O42" i="11"/>
  <c r="O43" i="11"/>
  <c r="N23" i="11"/>
  <c r="N24" i="11"/>
  <c r="N25" i="11"/>
  <c r="N26" i="11"/>
  <c r="N27" i="11"/>
  <c r="N29" i="11"/>
  <c r="N33" i="11"/>
  <c r="N35" i="11"/>
  <c r="N37" i="11"/>
  <c r="N38" i="11"/>
  <c r="N28" i="11"/>
  <c r="N39" i="11"/>
  <c r="N41" i="11"/>
  <c r="N42" i="11"/>
  <c r="N43" i="11"/>
  <c r="M23" i="11"/>
  <c r="M24" i="11"/>
  <c r="M25" i="11"/>
  <c r="M26" i="11"/>
  <c r="M27" i="11"/>
  <c r="M29" i="11"/>
  <c r="M33" i="11"/>
  <c r="M35" i="11"/>
  <c r="M37" i="11"/>
  <c r="M38" i="11"/>
  <c r="M28" i="11"/>
  <c r="M39" i="11"/>
  <c r="M41" i="11"/>
  <c r="M42" i="11"/>
  <c r="M43" i="11"/>
  <c r="L23" i="11"/>
  <c r="L24" i="11"/>
  <c r="L25" i="11"/>
  <c r="L26" i="11"/>
  <c r="L27" i="11"/>
  <c r="L29" i="11"/>
  <c r="L33" i="11"/>
  <c r="L35" i="11"/>
  <c r="L37" i="11"/>
  <c r="L38" i="11"/>
  <c r="L28" i="11"/>
  <c r="L39" i="11"/>
  <c r="L41" i="11"/>
  <c r="L42" i="11"/>
  <c r="L43" i="11"/>
  <c r="K23" i="11"/>
  <c r="K24" i="11"/>
  <c r="K25" i="11"/>
  <c r="K26" i="11"/>
  <c r="K27" i="11"/>
  <c r="K29" i="11"/>
  <c r="K33" i="11"/>
  <c r="K35" i="11"/>
  <c r="K37" i="11"/>
  <c r="K38" i="11"/>
  <c r="K28" i="11"/>
  <c r="K39" i="11"/>
  <c r="K41" i="11"/>
  <c r="K42" i="11"/>
  <c r="K43" i="11"/>
  <c r="J23" i="11"/>
  <c r="J24" i="11"/>
  <c r="J25" i="11"/>
  <c r="J26" i="11"/>
  <c r="J27" i="11"/>
  <c r="J29" i="11"/>
  <c r="J33" i="11"/>
  <c r="J35" i="11"/>
  <c r="J37" i="11"/>
  <c r="J38" i="11"/>
  <c r="J28" i="11"/>
  <c r="J39" i="11"/>
  <c r="J41" i="11"/>
  <c r="J42" i="11"/>
  <c r="J43" i="11"/>
  <c r="I23" i="11"/>
  <c r="I24" i="11"/>
  <c r="I25" i="11"/>
  <c r="I26" i="11"/>
  <c r="I27" i="11"/>
  <c r="I29" i="11"/>
  <c r="I33" i="11"/>
  <c r="I35" i="11"/>
  <c r="I37" i="11"/>
  <c r="I38" i="11"/>
  <c r="I28" i="11"/>
  <c r="I39" i="11"/>
  <c r="I41" i="11"/>
  <c r="I42" i="11"/>
  <c r="I43" i="11"/>
  <c r="H23" i="11"/>
  <c r="H24" i="11"/>
  <c r="H25" i="11"/>
  <c r="H26" i="11"/>
  <c r="H27" i="11"/>
  <c r="H29" i="11"/>
  <c r="H33" i="11"/>
  <c r="H35" i="11"/>
  <c r="H37" i="11"/>
  <c r="H38" i="11"/>
  <c r="H28" i="11"/>
  <c r="H39" i="11"/>
  <c r="H41" i="11"/>
  <c r="H42" i="11"/>
  <c r="H43" i="11"/>
  <c r="G23" i="11"/>
  <c r="G24" i="11"/>
  <c r="G25" i="11"/>
  <c r="G26" i="11"/>
  <c r="G27" i="11"/>
  <c r="G29" i="11"/>
  <c r="G33" i="11"/>
  <c r="G35" i="11"/>
  <c r="G37" i="11"/>
  <c r="G38" i="11"/>
  <c r="G28" i="11"/>
  <c r="G39" i="11"/>
  <c r="G41" i="11"/>
  <c r="G42" i="11"/>
  <c r="G43" i="11"/>
  <c r="F23" i="11"/>
  <c r="F24" i="11"/>
  <c r="F25" i="11"/>
  <c r="F26" i="11"/>
  <c r="F27" i="11"/>
  <c r="F29" i="11"/>
  <c r="F33" i="11"/>
  <c r="F35" i="11"/>
  <c r="F37" i="11"/>
  <c r="F38" i="11"/>
  <c r="F28" i="11"/>
  <c r="F39" i="11"/>
  <c r="F41" i="11"/>
  <c r="F42" i="11"/>
  <c r="F43" i="11"/>
  <c r="E23" i="11"/>
  <c r="E24" i="11"/>
  <c r="E25" i="11"/>
  <c r="E26" i="11"/>
  <c r="E27" i="11"/>
  <c r="E29" i="11"/>
  <c r="E33" i="11"/>
  <c r="E35" i="11"/>
  <c r="E37" i="11"/>
  <c r="E38" i="11"/>
  <c r="E28" i="11"/>
  <c r="E39" i="11"/>
  <c r="E41" i="11"/>
  <c r="E42" i="11"/>
  <c r="E43" i="11"/>
  <c r="D23" i="11"/>
  <c r="D24" i="11"/>
  <c r="D25" i="11"/>
  <c r="D26" i="11"/>
  <c r="D27" i="11"/>
  <c r="D29" i="11"/>
  <c r="D33" i="11"/>
  <c r="D35" i="11"/>
  <c r="D37" i="11"/>
  <c r="D38" i="11"/>
  <c r="D28" i="11"/>
  <c r="D39" i="11"/>
  <c r="D41" i="11"/>
  <c r="D42" i="11"/>
  <c r="D43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O31" i="11"/>
  <c r="O32" i="11"/>
  <c r="N31" i="11"/>
  <c r="N32" i="11"/>
  <c r="M31" i="11"/>
  <c r="M32" i="11"/>
  <c r="L31" i="11"/>
  <c r="L32" i="11"/>
  <c r="K31" i="11"/>
  <c r="K32" i="11"/>
  <c r="J31" i="11"/>
  <c r="J32" i="11"/>
  <c r="I31" i="11"/>
  <c r="I32" i="11"/>
  <c r="H31" i="11"/>
  <c r="H32" i="11"/>
  <c r="G31" i="11"/>
  <c r="G32" i="11"/>
  <c r="F31" i="11"/>
  <c r="F32" i="11"/>
  <c r="E31" i="11"/>
  <c r="E32" i="11"/>
  <c r="D31" i="11"/>
  <c r="D32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D24" i="10"/>
  <c r="D25" i="10"/>
  <c r="D26" i="10"/>
  <c r="D27" i="10"/>
  <c r="D29" i="10"/>
  <c r="D33" i="10"/>
  <c r="D35" i="10"/>
  <c r="D37" i="10"/>
  <c r="D38" i="10"/>
  <c r="D28" i="10"/>
  <c r="D39" i="10"/>
  <c r="D41" i="10"/>
  <c r="D42" i="10"/>
  <c r="E24" i="10"/>
  <c r="E25" i="10"/>
  <c r="E26" i="10"/>
  <c r="E27" i="10"/>
  <c r="E29" i="10"/>
  <c r="E33" i="10"/>
  <c r="E35" i="10"/>
  <c r="E37" i="10"/>
  <c r="E38" i="10"/>
  <c r="E28" i="10"/>
  <c r="E39" i="10"/>
  <c r="E41" i="10"/>
  <c r="E42" i="10"/>
  <c r="F24" i="10"/>
  <c r="F25" i="10"/>
  <c r="F26" i="10"/>
  <c r="F27" i="10"/>
  <c r="F29" i="10"/>
  <c r="F33" i="10"/>
  <c r="F35" i="10"/>
  <c r="F37" i="10"/>
  <c r="F38" i="10"/>
  <c r="F28" i="10"/>
  <c r="F39" i="10"/>
  <c r="F41" i="10"/>
  <c r="F42" i="10"/>
  <c r="G24" i="10"/>
  <c r="G25" i="10"/>
  <c r="G26" i="10"/>
  <c r="G27" i="10"/>
  <c r="G29" i="10"/>
  <c r="G33" i="10"/>
  <c r="G35" i="10"/>
  <c r="G37" i="10"/>
  <c r="G38" i="10"/>
  <c r="G28" i="10"/>
  <c r="G39" i="10"/>
  <c r="G41" i="10"/>
  <c r="G42" i="10"/>
  <c r="H24" i="10"/>
  <c r="H25" i="10"/>
  <c r="H26" i="10"/>
  <c r="H27" i="10"/>
  <c r="H29" i="10"/>
  <c r="H33" i="10"/>
  <c r="H35" i="10"/>
  <c r="H37" i="10"/>
  <c r="H38" i="10"/>
  <c r="H28" i="10"/>
  <c r="H39" i="10"/>
  <c r="H41" i="10"/>
  <c r="H42" i="10"/>
  <c r="I24" i="10"/>
  <c r="I25" i="10"/>
  <c r="I26" i="10"/>
  <c r="I27" i="10"/>
  <c r="I29" i="10"/>
  <c r="I33" i="10"/>
  <c r="I35" i="10"/>
  <c r="I37" i="10"/>
  <c r="I38" i="10"/>
  <c r="I28" i="10"/>
  <c r="I39" i="10"/>
  <c r="I41" i="10"/>
  <c r="I42" i="10"/>
  <c r="J24" i="10"/>
  <c r="J25" i="10"/>
  <c r="J26" i="10"/>
  <c r="J27" i="10"/>
  <c r="J29" i="10"/>
  <c r="J33" i="10"/>
  <c r="J35" i="10"/>
  <c r="J37" i="10"/>
  <c r="J38" i="10"/>
  <c r="J28" i="10"/>
  <c r="J39" i="10"/>
  <c r="J41" i="10"/>
  <c r="J42" i="10"/>
  <c r="K24" i="10"/>
  <c r="K25" i="10"/>
  <c r="K26" i="10"/>
  <c r="K27" i="10"/>
  <c r="K29" i="10"/>
  <c r="K33" i="10"/>
  <c r="K35" i="10"/>
  <c r="K37" i="10"/>
  <c r="K38" i="10"/>
  <c r="K28" i="10"/>
  <c r="K39" i="10"/>
  <c r="K41" i="10"/>
  <c r="K42" i="10"/>
  <c r="L24" i="10"/>
  <c r="L25" i="10"/>
  <c r="L26" i="10"/>
  <c r="L27" i="10"/>
  <c r="L29" i="10"/>
  <c r="L33" i="10"/>
  <c r="L35" i="10"/>
  <c r="L37" i="10"/>
  <c r="L38" i="10"/>
  <c r="L28" i="10"/>
  <c r="L39" i="10"/>
  <c r="L41" i="10"/>
  <c r="L42" i="10"/>
  <c r="M24" i="10"/>
  <c r="M25" i="10"/>
  <c r="M26" i="10"/>
  <c r="M27" i="10"/>
  <c r="M29" i="10"/>
  <c r="M33" i="10"/>
  <c r="M35" i="10"/>
  <c r="M37" i="10"/>
  <c r="M38" i="10"/>
  <c r="M28" i="10"/>
  <c r="M39" i="10"/>
  <c r="M41" i="10"/>
  <c r="M42" i="10"/>
  <c r="N24" i="10"/>
  <c r="N25" i="10"/>
  <c r="N26" i="10"/>
  <c r="N27" i="10"/>
  <c r="N29" i="10"/>
  <c r="N33" i="10"/>
  <c r="N35" i="10"/>
  <c r="N37" i="10"/>
  <c r="N38" i="10"/>
  <c r="N28" i="10"/>
  <c r="N39" i="10"/>
  <c r="N41" i="10"/>
  <c r="N42" i="10"/>
  <c r="O24" i="10"/>
  <c r="O25" i="10"/>
  <c r="O26" i="10"/>
  <c r="O27" i="10"/>
  <c r="O29" i="10"/>
  <c r="O33" i="10"/>
  <c r="O35" i="10"/>
  <c r="O37" i="10"/>
  <c r="O38" i="10"/>
  <c r="O28" i="10"/>
  <c r="O39" i="10"/>
  <c r="O41" i="10"/>
  <c r="O42" i="10"/>
  <c r="P42" i="10"/>
  <c r="P43" i="10"/>
  <c r="P39" i="10"/>
  <c r="P40" i="10"/>
  <c r="P24" i="10"/>
  <c r="P25" i="10"/>
  <c r="P35" i="10"/>
  <c r="P36" i="10"/>
  <c r="P33" i="10"/>
  <c r="P34" i="10"/>
  <c r="P26" i="10"/>
  <c r="P27" i="10"/>
  <c r="P29" i="10"/>
  <c r="P31" i="10"/>
  <c r="P32" i="10"/>
  <c r="P30" i="10"/>
  <c r="P41" i="10"/>
  <c r="P38" i="10"/>
  <c r="P37" i="10"/>
  <c r="P28" i="10"/>
  <c r="E30" i="10"/>
  <c r="F30" i="10"/>
  <c r="G30" i="10"/>
  <c r="H30" i="10"/>
  <c r="I30" i="10"/>
  <c r="J30" i="10"/>
  <c r="K30" i="10"/>
  <c r="L30" i="10"/>
  <c r="M30" i="10"/>
  <c r="N30" i="10"/>
  <c r="O30" i="10"/>
  <c r="E31" i="10"/>
  <c r="F31" i="10"/>
  <c r="G31" i="10"/>
  <c r="H31" i="10"/>
  <c r="I31" i="10"/>
  <c r="J31" i="10"/>
  <c r="K31" i="10"/>
  <c r="L31" i="10"/>
  <c r="M31" i="10"/>
  <c r="N31" i="10"/>
  <c r="O31" i="10"/>
  <c r="E32" i="10"/>
  <c r="F32" i="10"/>
  <c r="G32" i="10"/>
  <c r="H32" i="10"/>
  <c r="I32" i="10"/>
  <c r="J32" i="10"/>
  <c r="K32" i="10"/>
  <c r="L32" i="10"/>
  <c r="M32" i="10"/>
  <c r="N32" i="10"/>
  <c r="O32" i="10"/>
  <c r="E34" i="10"/>
  <c r="F34" i="10"/>
  <c r="G34" i="10"/>
  <c r="H34" i="10"/>
  <c r="I34" i="10"/>
  <c r="J34" i="10"/>
  <c r="K34" i="10"/>
  <c r="L34" i="10"/>
  <c r="M34" i="10"/>
  <c r="N34" i="10"/>
  <c r="O34" i="10"/>
  <c r="E36" i="10"/>
  <c r="F36" i="10"/>
  <c r="G36" i="10"/>
  <c r="H36" i="10"/>
  <c r="I36" i="10"/>
  <c r="J36" i="10"/>
  <c r="K36" i="10"/>
  <c r="L36" i="10"/>
  <c r="M36" i="10"/>
  <c r="N36" i="10"/>
  <c r="O36" i="10"/>
  <c r="E40" i="10"/>
  <c r="F40" i="10"/>
  <c r="G40" i="10"/>
  <c r="H40" i="10"/>
  <c r="I40" i="10"/>
  <c r="J40" i="10"/>
  <c r="K40" i="10"/>
  <c r="L40" i="10"/>
  <c r="M40" i="10"/>
  <c r="N40" i="10"/>
  <c r="O40" i="10"/>
  <c r="E43" i="10"/>
  <c r="F43" i="10"/>
  <c r="G43" i="10"/>
  <c r="H43" i="10"/>
  <c r="I43" i="10"/>
  <c r="J43" i="10"/>
  <c r="K43" i="10"/>
  <c r="L43" i="10"/>
  <c r="M43" i="10"/>
  <c r="N43" i="10"/>
  <c r="O43" i="10"/>
  <c r="D43" i="10"/>
  <c r="D40" i="10"/>
  <c r="D36" i="10"/>
  <c r="D34" i="10"/>
  <c r="D31" i="10"/>
  <c r="D32" i="10"/>
  <c r="D30" i="10"/>
  <c r="D35" i="9"/>
  <c r="D44" i="9"/>
  <c r="D55" i="9"/>
  <c r="D47" i="9"/>
  <c r="D80" i="9"/>
  <c r="D75" i="9"/>
  <c r="D45" i="9"/>
</calcChain>
</file>

<file path=xl/sharedStrings.xml><?xml version="1.0" encoding="utf-8"?>
<sst xmlns="http://schemas.openxmlformats.org/spreadsheetml/2006/main" count="340" uniqueCount="86">
  <si>
    <t>Origin_Company</t>
  </si>
  <si>
    <t>Amount_BS</t>
  </si>
  <si>
    <t>G - 309000 - NET SALES</t>
  </si>
  <si>
    <t>G - 339000 - OPERATING INCOME</t>
  </si>
  <si>
    <t>G - 452000 - VARIATION OF PROVISIONS</t>
  </si>
  <si>
    <t>G - 415000 - MATERIAL &amp; OUTSIDE COSTS</t>
  </si>
  <si>
    <t>G - 439000 - PERSONNEL COSTS</t>
  </si>
  <si>
    <t>G - 459000 - OTHER EXPENSES</t>
  </si>
  <si>
    <t>G - 453900 - FX GAIN/LOSS</t>
  </si>
  <si>
    <t>G - 479000 - DEPREC. PROV.</t>
  </si>
  <si>
    <t>G - 569199 - OTHER INCOME/EXPENSES</t>
  </si>
  <si>
    <t>Profit and Loss</t>
  </si>
  <si>
    <t>R-0-R-P-901000-MATERIAL EXPENSES</t>
  </si>
  <si>
    <t>B-0-B-P-401010-Purchase expense - 3rd p</t>
  </si>
  <si>
    <t>B-0-B-P-407010-Outside suppliers / serv</t>
  </si>
  <si>
    <t>B-0-B-P-401020-Purchase expense - IC</t>
  </si>
  <si>
    <t>R-0-R-P-940000-PERSONEL EXPENSES</t>
  </si>
  <si>
    <t>B-0-B-P-430040-Social security / pensio</t>
  </si>
  <si>
    <t>B-0-B-P-438010-Temporary staff - 3rd pa</t>
  </si>
  <si>
    <t>B-0-B-P-430010-Wages and salaries</t>
  </si>
  <si>
    <t>B-0-B-P-431040-Pension expenses - defin</t>
  </si>
  <si>
    <t>B-0-B-P-437010-Other personnel costs</t>
  </si>
  <si>
    <t>R-0-R-P-959000-OTHER EXPENSES</t>
  </si>
  <si>
    <t>B-0-B-P-451020-Repair / maintenance / r</t>
  </si>
  <si>
    <t>B-0-B-P-451010-Energy</t>
  </si>
  <si>
    <t>B-0-B-P-451110-Leasing costs related to</t>
  </si>
  <si>
    <t>B-0-B-P-451610-Other operating expense</t>
  </si>
  <si>
    <t>B-0-B-P-451030-Insurance expenses</t>
  </si>
  <si>
    <t>B-0-B-P-451450-SELLING EXPENSES</t>
  </si>
  <si>
    <t>B-0-B-P-451210-Auditor services</t>
  </si>
  <si>
    <t>B-0-B-P-451220-Advisory services</t>
  </si>
  <si>
    <t>B-0-B-P-451620-OTHER OP. EXP. IC</t>
  </si>
  <si>
    <t>B-0-B-P-451510-OTHER TAXES CAPITAL/OTH.</t>
  </si>
  <si>
    <t>B-0-B-P-451310-Licences/royalties expen</t>
  </si>
  <si>
    <t>B-0-B-P-452010-Allowances / value adj.</t>
  </si>
  <si>
    <t>B-0-B-P-452210-Changes -  provisions -</t>
  </si>
  <si>
    <t>B-0-B-P-453010-OPERAT. FX G/L REALISED</t>
  </si>
  <si>
    <t>B-0-B-P-999999-ALLOCAITON ACCOUNTING</t>
  </si>
  <si>
    <t>R-0-R-P-959100-MANAGEMENT FEES BI</t>
  </si>
  <si>
    <t>R-0-R-P-981000-DEPRECIATION</t>
  </si>
  <si>
    <t>R-0-R-P-990000-NON EBIT</t>
  </si>
  <si>
    <t>G-329000 Corporate output</t>
  </si>
  <si>
    <t>REVENUE</t>
  </si>
  <si>
    <t>G-429999-GROSS MARGIN</t>
  </si>
  <si>
    <t>Ebit without Management fees</t>
  </si>
  <si>
    <t>% of net sales</t>
  </si>
  <si>
    <t>Ebit including Management fees</t>
  </si>
  <si>
    <t>B-0-B-P-402110-VALUE ADJ PURCHASED ITEMS</t>
  </si>
  <si>
    <t>B-0-B-P-402111-VALUE ADJ-RESALE OTHER.</t>
  </si>
  <si>
    <t>Bucher Account</t>
  </si>
  <si>
    <t>Chart of Account</t>
  </si>
  <si>
    <t>in K Local Currency</t>
  </si>
  <si>
    <t>% of corporate output</t>
  </si>
  <si>
    <t>Total Material expenses + net var. stock</t>
  </si>
  <si>
    <t>G - 319000 - NET VARIATION OF STOCK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</si>
  <si>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</si>
  <si>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</si>
  <si>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</si>
  <si>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</si>
  <si>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</si>
  <si>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</si>
  <si>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</si>
  <si>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</si>
  <si>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</si>
  <si>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</si>
  <si>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</si>
  <si>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</si>
  <si>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</si>
  <si>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Allocation</t>
  </si>
  <si>
    <t>Actuality</t>
  </si>
  <si>
    <t>P&amp;L Month _ summary</t>
  </si>
  <si>
    <t>YTD_January</t>
  </si>
  <si>
    <t>YTD_February</t>
  </si>
  <si>
    <t>YTD_March</t>
  </si>
  <si>
    <t>YTD_April</t>
  </si>
  <si>
    <t>YTD_May</t>
  </si>
  <si>
    <t>YTD_June</t>
  </si>
  <si>
    <t>YTD_July</t>
  </si>
  <si>
    <t>YTD_August</t>
  </si>
  <si>
    <t>YTD_September</t>
  </si>
  <si>
    <t>YTD_October</t>
  </si>
  <si>
    <t>YTD_November</t>
  </si>
  <si>
    <t>YTD_December</t>
  </si>
  <si>
    <t>P&amp;L Month YTD _ summary</t>
  </si>
  <si>
    <t>P&amp;L Month YTD _ detailed</t>
  </si>
  <si>
    <t>P&amp;L Month _ detailed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</si>
</sst>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+ &quot;@"/>
    <numFmt numFmtId="165" formatCode="&quot;- &quot;@"/>
    <numFmt numFmtId="166" formatCode="0.0%"/>
    <numFmt numFmtId="167" formatCode="#,##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1"/>
      <color rgb="FFFFFF6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3499862666707357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11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64" fontId="1" fillId="2" borderId="1" xfId="0" applyNumberFormat="1" applyFont="1" applyFill="1" applyBorder="1" applyAlignment="1"/>
    <xf numFmtId="164" fontId="3" fillId="2" borderId="1" xfId="0" applyNumberFormat="1" applyFont="1" applyFill="1" applyBorder="1" applyAlignment="1"/>
    <xf numFmtId="3" fontId="0" fillId="6" borderId="0" xfId="0" applyNumberFormat="1" applyFill="1" applyBorder="1"/>
    <xf numFmtId="0" fontId="0" fillId="7" borderId="0" xfId="0" applyFill="1"/>
    <xf numFmtId="0" fontId="4" fillId="7" borderId="0" xfId="0" applyFont="1" applyFill="1"/>
    <xf numFmtId="0" fontId="1" fillId="7" borderId="0" xfId="0" applyFon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7" borderId="3" xfId="0" applyFill="1" applyBorder="1"/>
    <xf numFmtId="0" fontId="0" fillId="7" borderId="5" xfId="0" applyFill="1" applyBorder="1"/>
    <xf numFmtId="0" fontId="0" fillId="7" borderId="6" xfId="0" applyFill="1" applyBorder="1"/>
    <xf numFmtId="166" fontId="5" fillId="0" borderId="0" xfId="0" applyNumberFormat="1" applyFont="1"/>
    <xf numFmtId="166" fontId="5" fillId="2" borderId="2" xfId="0" applyNumberFormat="1" applyFont="1" applyFill="1" applyBorder="1"/>
    <xf numFmtId="166" fontId="5" fillId="3" borderId="2" xfId="0" applyNumberFormat="1" applyFont="1" applyFill="1" applyBorder="1"/>
    <xf numFmtId="166" fontId="5" fillId="4" borderId="2" xfId="0" applyNumberFormat="1" applyFont="1" applyFill="1" applyBorder="1"/>
    <xf numFmtId="166" fontId="5" fillId="5" borderId="2" xfId="0" applyNumberFormat="1" applyFont="1" applyFill="1" applyBorder="1"/>
    <xf numFmtId="166" fontId="5" fillId="0" borderId="2" xfId="0" applyNumberFormat="1" applyFont="1" applyBorder="1"/>
    <xf numFmtId="166" fontId="5" fillId="6" borderId="0" xfId="0" applyNumberFormat="1" applyFont="1" applyFill="1" applyBorder="1"/>
    <xf numFmtId="166" fontId="5" fillId="7" borderId="0" xfId="0" applyNumberFormat="1" applyFont="1" applyFill="1"/>
    <xf numFmtId="166" fontId="6" fillId="8" borderId="6" xfId="0" applyNumberFormat="1" applyFont="1" applyFill="1" applyBorder="1" applyAlignment="1">
      <alignment horizontal="center"/>
    </xf>
    <xf numFmtId="166" fontId="6" fillId="8" borderId="7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/>
    <xf numFmtId="164" fontId="0" fillId="3" borderId="1" xfId="0" applyNumberFormat="1" applyFill="1" applyBorder="1" applyAlignment="1">
      <alignment horizontal="left" indent="1"/>
    </xf>
    <xf numFmtId="165" fontId="0" fillId="3" borderId="1" xfId="0" applyNumberFormat="1" applyFill="1" applyBorder="1" applyAlignment="1">
      <alignment horizontal="left" indent="1"/>
    </xf>
    <xf numFmtId="164" fontId="0" fillId="4" borderId="1" xfId="0" applyNumberFormat="1" applyFill="1" applyBorder="1" applyAlignment="1">
      <alignment horizontal="left" indent="2"/>
    </xf>
    <xf numFmtId="0" fontId="12" fillId="7" borderId="6" xfId="0" quotePrefix="1" applyFont="1" applyFill="1" applyBorder="1" applyAlignment="1">
      <alignment horizontal="center" vertical="top"/>
    </xf>
    <xf numFmtId="164" fontId="0" fillId="9" borderId="11" xfId="0" applyNumberFormat="1" applyFill="1" applyBorder="1" applyAlignment="1">
      <alignment horizontal="left" indent="1"/>
    </xf>
    <xf numFmtId="164" fontId="9" fillId="9" borderId="10" xfId="0" applyNumberFormat="1" applyFont="1" applyFill="1" applyBorder="1" applyAlignment="1">
      <alignment horizontal="center"/>
    </xf>
    <xf numFmtId="165" fontId="1" fillId="10" borderId="13" xfId="0" applyNumberFormat="1" applyFont="1" applyFill="1" applyBorder="1" applyAlignment="1"/>
    <xf numFmtId="164" fontId="1" fillId="10" borderId="14" xfId="0" applyNumberFormat="1" applyFont="1" applyFill="1" applyBorder="1" applyAlignment="1">
      <alignment horizontal="center"/>
    </xf>
    <xf numFmtId="165" fontId="1" fillId="10" borderId="15" xfId="0" applyNumberFormat="1" applyFont="1" applyFill="1" applyBorder="1" applyAlignment="1"/>
    <xf numFmtId="166" fontId="13" fillId="10" borderId="15" xfId="1" applyNumberFormat="1" applyFont="1" applyFill="1" applyBorder="1"/>
    <xf numFmtId="164" fontId="9" fillId="11" borderId="12" xfId="0" applyNumberFormat="1" applyFont="1" applyFill="1" applyBorder="1" applyAlignment="1">
      <alignment horizontal="center"/>
    </xf>
    <xf numFmtId="164" fontId="1" fillId="11" borderId="13" xfId="0" applyNumberFormat="1" applyFont="1" applyFill="1" applyBorder="1" applyAlignment="1">
      <alignment horizontal="left" indent="2"/>
    </xf>
    <xf numFmtId="164" fontId="3" fillId="11" borderId="14" xfId="0" applyNumberFormat="1" applyFont="1" applyFill="1" applyBorder="1" applyAlignment="1"/>
    <xf numFmtId="164" fontId="1" fillId="11" borderId="15" xfId="0" applyNumberFormat="1" applyFont="1" applyFill="1" applyBorder="1" applyAlignment="1"/>
    <xf numFmtId="166" fontId="13" fillId="11" borderId="15" xfId="1" applyNumberFormat="1" applyFont="1" applyFill="1" applyBorder="1"/>
    <xf numFmtId="164" fontId="15" fillId="12" borderId="12" xfId="0" applyNumberFormat="1" applyFont="1" applyFill="1" applyBorder="1" applyAlignment="1"/>
    <xf numFmtId="164" fontId="1" fillId="12" borderId="14" xfId="0" applyNumberFormat="1" applyFont="1" applyFill="1" applyBorder="1" applyAlignment="1"/>
    <xf numFmtId="165" fontId="1" fillId="12" borderId="15" xfId="0" applyNumberFormat="1" applyFont="1" applyFill="1" applyBorder="1" applyAlignment="1"/>
    <xf numFmtId="166" fontId="13" fillId="12" borderId="15" xfId="1" applyNumberFormat="1" applyFont="1" applyFill="1" applyBorder="1"/>
    <xf numFmtId="164" fontId="15" fillId="13" borderId="12" xfId="0" applyNumberFormat="1" applyFont="1" applyFill="1" applyBorder="1" applyAlignment="1"/>
    <xf numFmtId="164" fontId="1" fillId="13" borderId="14" xfId="0" applyNumberFormat="1" applyFont="1" applyFill="1" applyBorder="1" applyAlignment="1"/>
    <xf numFmtId="165" fontId="1" fillId="13" borderId="15" xfId="0" applyNumberFormat="1" applyFont="1" applyFill="1" applyBorder="1" applyAlignment="1"/>
    <xf numFmtId="166" fontId="13" fillId="13" borderId="15" xfId="1" applyNumberFormat="1" applyFont="1" applyFill="1" applyBorder="1"/>
    <xf numFmtId="164" fontId="9" fillId="14" borderId="12" xfId="0" applyNumberFormat="1" applyFont="1" applyFill="1" applyBorder="1" applyAlignment="1">
      <alignment horizontal="center"/>
    </xf>
    <xf numFmtId="164" fontId="1" fillId="14" borderId="13" xfId="0" applyNumberFormat="1" applyFont="1" applyFill="1" applyBorder="1" applyAlignment="1">
      <alignment horizontal="left" indent="1"/>
    </xf>
    <xf numFmtId="164" fontId="3" fillId="14" borderId="14" xfId="0" applyNumberFormat="1" applyFont="1" applyFill="1" applyBorder="1" applyAlignment="1"/>
    <xf numFmtId="164" fontId="1" fillId="14" borderId="15" xfId="0" applyNumberFormat="1" applyFont="1" applyFill="1" applyBorder="1" applyAlignment="1">
      <alignment horizontal="left" indent="1"/>
    </xf>
    <xf numFmtId="166" fontId="13" fillId="14" borderId="15" xfId="1" applyNumberFormat="1" applyFont="1" applyFill="1" applyBorder="1"/>
    <xf numFmtId="0" fontId="10" fillId="7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top"/>
    </xf>
    <xf numFmtId="167" fontId="0" fillId="0" borderId="0" xfId="0" applyNumberFormat="1"/>
    <xf numFmtId="167" fontId="5" fillId="0" borderId="0" xfId="0" applyNumberFormat="1" applyFont="1"/>
    <xf numFmtId="167" fontId="2" fillId="2" borderId="1" xfId="0" applyNumberFormat="1" applyFont="1" applyFill="1" applyBorder="1"/>
    <xf numFmtId="167" fontId="5" fillId="2" borderId="0" xfId="0" applyNumberFormat="1" applyFont="1" applyFill="1"/>
    <xf numFmtId="167" fontId="2" fillId="3" borderId="1" xfId="0" applyNumberFormat="1" applyFont="1" applyFill="1" applyBorder="1"/>
    <xf numFmtId="167" fontId="5" fillId="3" borderId="0" xfId="0" applyNumberFormat="1" applyFont="1" applyFill="1"/>
    <xf numFmtId="167" fontId="2" fillId="4" borderId="1" xfId="0" applyNumberFormat="1" applyFont="1" applyFill="1" applyBorder="1"/>
    <xf numFmtId="167" fontId="5" fillId="4" borderId="0" xfId="0" applyNumberFormat="1" applyFont="1" applyFill="1"/>
    <xf numFmtId="167" fontId="2" fillId="5" borderId="1" xfId="0" applyNumberFormat="1" applyFont="1" applyFill="1" applyBorder="1"/>
    <xf numFmtId="167" fontId="5" fillId="5" borderId="0" xfId="0" applyNumberFormat="1" applyFont="1" applyFill="1"/>
    <xf numFmtId="167" fontId="2" fillId="0" borderId="1" xfId="0" applyNumberFormat="1" applyFont="1" applyBorder="1"/>
    <xf numFmtId="167" fontId="0" fillId="6" borderId="0" xfId="0" applyNumberFormat="1" applyFill="1" applyBorder="1"/>
    <xf numFmtId="167" fontId="5" fillId="6" borderId="0" xfId="0" applyNumberFormat="1" applyFont="1" applyFill="1" applyBorder="1"/>
    <xf numFmtId="167" fontId="0" fillId="7" borderId="0" xfId="0" applyNumberFormat="1" applyFill="1"/>
    <xf numFmtId="167" fontId="5" fillId="7" borderId="0" xfId="0" applyNumberFormat="1" applyFont="1" applyFill="1"/>
    <xf numFmtId="167" fontId="7" fillId="7" borderId="0" xfId="0" applyNumberFormat="1" applyFont="1" applyFill="1"/>
    <xf numFmtId="167" fontId="8" fillId="7" borderId="9" xfId="0" applyNumberFormat="1" applyFont="1" applyFill="1" applyBorder="1" applyAlignment="1">
      <alignment horizontal="center"/>
    </xf>
    <xf numFmtId="167" fontId="6" fillId="8" borderId="6" xfId="0" applyNumberFormat="1" applyFont="1" applyFill="1" applyBorder="1" applyAlignment="1">
      <alignment horizontal="center"/>
    </xf>
    <xf numFmtId="167" fontId="13" fillId="9" borderId="11" xfId="0" applyNumberFormat="1" applyFont="1" applyFill="1" applyBorder="1"/>
    <xf numFmtId="167" fontId="13" fillId="10" borderId="13" xfId="0" applyNumberFormat="1" applyFont="1" applyFill="1" applyBorder="1"/>
    <xf numFmtId="167" fontId="13" fillId="11" borderId="13" xfId="0" applyNumberFormat="1" applyFont="1" applyFill="1" applyBorder="1"/>
    <xf numFmtId="167" fontId="13" fillId="12" borderId="13" xfId="0" applyNumberFormat="1" applyFont="1" applyFill="1" applyBorder="1"/>
    <xf numFmtId="167" fontId="13" fillId="13" borderId="13" xfId="0" applyNumberFormat="1" applyFont="1" applyFill="1" applyBorder="1"/>
    <xf numFmtId="167" fontId="13" fillId="14" borderId="13" xfId="0" applyNumberFormat="1" applyFont="1" applyFill="1" applyBorder="1"/>
    <xf numFmtId="167" fontId="6" fillId="8" borderId="5" xfId="0" applyNumberFormat="1" applyFont="1" applyFill="1" applyBorder="1" applyAlignment="1">
      <alignment horizontal="center"/>
    </xf>
    <xf numFmtId="165" fontId="16" fillId="2" borderId="1" xfId="0" applyNumberFormat="1" applyFont="1" applyFill="1" applyBorder="1" applyAlignment="1"/>
    <xf numFmtId="165" fontId="17" fillId="12" borderId="13" xfId="0" applyNumberFormat="1" applyFont="1" applyFill="1" applyBorder="1" applyAlignment="1"/>
    <xf numFmtId="165" fontId="18" fillId="13" borderId="13" xfId="0" applyNumberFormat="1" applyFont="1" applyFill="1" applyBorder="1" applyAlignment="1"/>
    <xf numFmtId="165" fontId="19" fillId="10" borderId="13" xfId="0" applyNumberFormat="1" applyFont="1" applyFill="1" applyBorder="1" applyAlignment="1"/>
    <xf numFmtId="165" fontId="13" fillId="10" borderId="15" xfId="0" applyNumberFormat="1" applyFont="1" applyFill="1" applyBorder="1" applyAlignment="1"/>
    <xf numFmtId="164" fontId="13" fillId="11" borderId="15" xfId="0" applyNumberFormat="1" applyFont="1" applyFill="1" applyBorder="1" applyAlignment="1"/>
    <xf numFmtId="165" fontId="13" fillId="12" borderId="15" xfId="0" applyNumberFormat="1" applyFont="1" applyFill="1" applyBorder="1" applyAlignment="1"/>
    <xf numFmtId="165" fontId="13" fillId="13" borderId="15" xfId="0" applyNumberFormat="1" applyFont="1" applyFill="1" applyBorder="1" applyAlignment="1"/>
    <xf numFmtId="164" fontId="13" fillId="14" borderId="15" xfId="0" applyNumberFormat="1" applyFont="1" applyFill="1" applyBorder="1" applyAlignment="1">
      <alignment horizontal="left" indent="1"/>
    </xf>
    <xf numFmtId="164" fontId="15" fillId="10" borderId="12" xfId="0" applyNumberFormat="1" applyFont="1" applyFill="1" applyBorder="1" applyAlignment="1">
      <alignment horizontal="left"/>
    </xf>
    <xf numFmtId="164" fontId="20" fillId="4" borderId="1" xfId="0" applyNumberFormat="1" applyFont="1" applyFill="1" applyBorder="1" applyAlignment="1">
      <alignment horizontal="left" indent="2"/>
    </xf>
    <xf numFmtId="165" fontId="21" fillId="13" borderId="13" xfId="0" applyNumberFormat="1" applyFont="1" applyFill="1" applyBorder="1" applyAlignment="1"/>
    <xf numFmtId="165" fontId="21" fillId="12" borderId="13" xfId="0" applyNumberFormat="1" applyFont="1" applyFill="1" applyBorder="1" applyAlignment="1"/>
    <xf numFmtId="167" fontId="2" fillId="15" borderId="1" xfId="0" applyNumberFormat="1" applyFont="1" applyFill="1" applyBorder="1"/>
    <xf numFmtId="167" fontId="11" fillId="7" borderId="8" xfId="0" applyNumberFormat="1" applyFont="1" applyFill="1" applyBorder="1" applyAlignment="1">
      <alignment horizontal="center"/>
    </xf>
    <xf numFmtId="167" fontId="11" fillId="7" borderId="3" xfId="0" applyNumberFormat="1" applyFont="1" applyFill="1" applyBorder="1" applyAlignment="1">
      <alignment horizontal="center"/>
    </xf>
    <xf numFmtId="167" fontId="11" fillId="16" borderId="16" xfId="0" applyNumberFormat="1" applyFont="1" applyFill="1" applyBorder="1" applyAlignment="1">
      <alignment horizontal="center"/>
    </xf>
    <xf numFmtId="167" fontId="8" fillId="7" borderId="5" xfId="0" applyNumberFormat="1" applyFont="1" applyFill="1" applyBorder="1" applyAlignment="1">
      <alignment horizontal="center"/>
    </xf>
    <xf numFmtId="167" fontId="11" fillId="16" borderId="18" xfId="0" applyNumberFormat="1" applyFont="1" applyFill="1" applyBorder="1" applyAlignment="1">
      <alignment horizontal="center"/>
    </xf>
    <xf numFmtId="167" fontId="2" fillId="2" borderId="19" xfId="0" applyNumberFormat="1" applyFont="1" applyFill="1" applyBorder="1"/>
    <xf numFmtId="167" fontId="2" fillId="3" borderId="19" xfId="0" applyNumberFormat="1" applyFont="1" applyFill="1" applyBorder="1"/>
    <xf numFmtId="167" fontId="13" fillId="9" borderId="17" xfId="0" applyNumberFormat="1" applyFont="1" applyFill="1" applyBorder="1"/>
    <xf numFmtId="167" fontId="2" fillId="4" borderId="19" xfId="0" applyNumberFormat="1" applyFont="1" applyFill="1" applyBorder="1"/>
    <xf numFmtId="167" fontId="13" fillId="10" borderId="16" xfId="0" applyNumberFormat="1" applyFont="1" applyFill="1" applyBorder="1"/>
    <xf numFmtId="166" fontId="13" fillId="10" borderId="18" xfId="1" applyNumberFormat="1" applyFont="1" applyFill="1" applyBorder="1"/>
    <xf numFmtId="167" fontId="13" fillId="11" borderId="16" xfId="0" applyNumberFormat="1" applyFont="1" applyFill="1" applyBorder="1"/>
    <xf numFmtId="166" fontId="13" fillId="11" borderId="18" xfId="1" applyNumberFormat="1" applyFont="1" applyFill="1" applyBorder="1"/>
    <xf numFmtId="167" fontId="13" fillId="12" borderId="16" xfId="0" applyNumberFormat="1" applyFont="1" applyFill="1" applyBorder="1"/>
    <xf numFmtId="166" fontId="13" fillId="12" borderId="18" xfId="1" applyNumberFormat="1" applyFont="1" applyFill="1" applyBorder="1"/>
    <xf numFmtId="167" fontId="13" fillId="13" borderId="16" xfId="0" applyNumberFormat="1" applyFont="1" applyFill="1" applyBorder="1"/>
    <xf numFmtId="166" fontId="13" fillId="13" borderId="18" xfId="1" applyNumberFormat="1" applyFont="1" applyFill="1" applyBorder="1"/>
    <xf numFmtId="167" fontId="13" fillId="14" borderId="16" xfId="0" applyNumberFormat="1" applyFont="1" applyFill="1" applyBorder="1"/>
    <xf numFmtId="166" fontId="13" fillId="14" borderId="18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99"/>
      <color rgb="FFFFFF66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392"/>
  <ax:ocxPr ax:name="_ExtentY" ax:value="79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392"/>
  <ax:ocxPr ax:name="_ExtentY" ax:value="79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"/>
  <ax:ocxPr ax:name="_ExtentY" ax:value="2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805"/>
  <ax:ocxPr ax:name="_ExtentY" ax:value="66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600075</xdr:colOff>
          <xdr:row>16</xdr:row>
          <xdr:rowOff>104775</xdr:rowOff>
        </xdr:from>
        <xdr:to>
          <xdr:col>5</xdr:col>
          <xdr:colOff>476250</xdr:colOff>
          <xdr:row>17</xdr:row>
          <xdr:rowOff>219075</xdr:rowOff>
        </xdr:to>
        <xdr:sp macro="" textlink="">
          <xdr:nvSpPr>
            <xdr:cNvPr id="14337" name="TIButton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10583</xdr:colOff>
      <xdr:row>9</xdr:row>
      <xdr:rowOff>10585</xdr:rowOff>
    </xdr:from>
    <xdr:to>
      <xdr:col>4</xdr:col>
      <xdr:colOff>613833</xdr:colOff>
      <xdr:row>12</xdr:row>
      <xdr:rowOff>93126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10585"/>
          <a:ext cx="7045325" cy="654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600075</xdr:colOff>
          <xdr:row>16</xdr:row>
          <xdr:rowOff>104775</xdr:rowOff>
        </xdr:from>
        <xdr:to>
          <xdr:col>5</xdr:col>
          <xdr:colOff>57150</xdr:colOff>
          <xdr:row>17</xdr:row>
          <xdr:rowOff>219075</xdr:rowOff>
        </xdr:to>
        <xdr:sp macro="" textlink="">
          <xdr:nvSpPr>
            <xdr:cNvPr id="16385" name="TIButton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10583</xdr:colOff>
      <xdr:row>9</xdr:row>
      <xdr:rowOff>10585</xdr:rowOff>
    </xdr:from>
    <xdr:to>
      <xdr:col>4</xdr:col>
      <xdr:colOff>550333</xdr:colOff>
      <xdr:row>12</xdr:row>
      <xdr:rowOff>93126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10585"/>
          <a:ext cx="6470650" cy="654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16</xdr:row>
          <xdr:rowOff>152400</xdr:rowOff>
        </xdr:from>
        <xdr:to>
          <xdr:col>4</xdr:col>
          <xdr:colOff>438150</xdr:colOff>
          <xdr:row>18</xdr:row>
          <xdr:rowOff>28575</xdr:rowOff>
        </xdr:to>
        <xdr:sp macro="" textlink="">
          <xdr:nvSpPr>
            <xdr:cNvPr id="13313" name="TIButton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10583</xdr:colOff>
      <xdr:row>9</xdr:row>
      <xdr:rowOff>10585</xdr:rowOff>
    </xdr:from>
    <xdr:to>
      <xdr:col>4</xdr:col>
      <xdr:colOff>169333</xdr:colOff>
      <xdr:row>12</xdr:row>
      <xdr:rowOff>93126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10585"/>
          <a:ext cx="7048500" cy="654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16</xdr:row>
          <xdr:rowOff>152400</xdr:rowOff>
        </xdr:from>
        <xdr:to>
          <xdr:col>4</xdr:col>
          <xdr:colOff>438150</xdr:colOff>
          <xdr:row>18</xdr:row>
          <xdr:rowOff>28575</xdr:rowOff>
        </xdr:to>
        <xdr:sp macro="" textlink="">
          <xdr:nvSpPr>
            <xdr:cNvPr id="17409" name="TIButton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10583</xdr:colOff>
      <xdr:row>9</xdr:row>
      <xdr:rowOff>10585</xdr:rowOff>
    </xdr:from>
    <xdr:to>
      <xdr:col>4</xdr:col>
      <xdr:colOff>169333</xdr:colOff>
      <xdr:row>12</xdr:row>
      <xdr:rowOff>93126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10585"/>
          <a:ext cx="7048500" cy="654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/>
  <dimension ref="A1:P81"/>
  <sheetViews>
    <sheetView showGridLines="0" tabSelected="1" zoomScale="90" zoomScaleNormal="90" workbookViewId="0">
      <pane xSplit="3" ySplit="22" topLeftCell="D23" activePane="bottomRight" state="frozen"/>
      <selection activeCell="B10" sqref="B10"/>
      <selection pane="topRight" activeCell="D10" sqref="D10"/>
      <selection pane="bottomLeft" activeCell="B32" sqref="B32"/>
      <selection pane="bottomRight" activeCell="C18" sqref="C18"/>
    </sheetView>
  </sheetViews>
  <sheetFormatPr defaultColWidth="0" defaultRowHeight="15" zeroHeight="1" x14ac:dyDescent="0.25"/>
  <cols>
    <col min="1" max="1" width="20.140625" hidden="1" customWidth="1"/>
    <col min="2" max="2" width="43.140625" customWidth="1"/>
    <col min="3" max="3" width="29.140625" customWidth="1"/>
    <col min="4" max="4" width="15.7109375" style="57" customWidth="1"/>
    <col min="5" max="16" width="11.42578125" customWidth="1"/>
    <col min="17" max="16384" width="11.42578125" hidden="1"/>
  </cols>
  <sheetData>
    <row r="1" spans="1:16" hidden="1" x14ac:dyDescent="0.25"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idden="1" x14ac:dyDescent="0.25">
      <c r="B2" s="1"/>
      <c r="C2" s="2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idden="1" x14ac:dyDescent="0.25">
      <c r="B3" s="2"/>
      <c r="C3" s="9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hidden="1" x14ac:dyDescent="0.25">
      <c r="B4" s="2"/>
      <c r="C4" s="10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</row>
    <row r="5" spans="1:16" hidden="1" x14ac:dyDescent="0.25">
      <c r="B5" s="2"/>
      <c r="C5" s="11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</row>
    <row r="6" spans="1:16" hidden="1" x14ac:dyDescent="0.25">
      <c r="B6" s="2"/>
      <c r="C6" s="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6" hidden="1" x14ac:dyDescent="0.25">
      <c r="B7" s="2"/>
      <c r="C7" s="12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idden="1" x14ac:dyDescent="0.25"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1:16" hidden="1" x14ac:dyDescent="0.25"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1:16" x14ac:dyDescent="0.25">
      <c r="A10" s="5"/>
      <c r="B10" s="5"/>
      <c r="C10" s="5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 x14ac:dyDescent="0.25">
      <c r="A11" s="5"/>
      <c r="B11" s="5"/>
      <c r="C11" s="5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 x14ac:dyDescent="0.25">
      <c r="A12" s="5"/>
      <c r="B12" s="5"/>
      <c r="C12" s="5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</row>
    <row r="13" spans="1:16" x14ac:dyDescent="0.25">
      <c r="A13" s="5"/>
      <c r="B13" s="5"/>
      <c r="C13" s="5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 ht="14.25" hidden="1" customHeight="1" x14ac:dyDescent="0.25">
      <c r="A14" s="5"/>
      <c r="B14" s="5"/>
      <c r="C14" s="5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  <row r="15" spans="1:16" hidden="1" x14ac:dyDescent="0.25">
      <c r="A15" s="5"/>
      <c r="B15" s="5"/>
      <c r="C15" s="5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</row>
    <row r="16" spans="1:16" hidden="1" x14ac:dyDescent="0.25">
      <c r="A16" s="5"/>
      <c r="B16" s="5"/>
      <c r="C16" s="5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</row>
    <row r="17" spans="1:16" x14ac:dyDescent="0.25">
      <c r="A17" s="6"/>
      <c r="B17" s="8"/>
      <c r="C17" s="7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</row>
    <row r="18" spans="1:16" ht="21" x14ac:dyDescent="0.35">
      <c r="A18" s="6"/>
      <c r="B18" s="8" t="s">
        <v>0</v>
      </c>
      <c r="C18" s="7" t="str">
        <f ca="1">_xll.SUBNM("CXMD:DIM_Origin_Company","","Total Origin Company")</f>
        <v>Total Origin Company</v>
      </c>
      <c r="D18" s="70"/>
      <c r="E18" s="70"/>
      <c r="F18" s="70"/>
      <c r="G18" s="70"/>
      <c r="H18" s="72" t="s">
        <v>70</v>
      </c>
      <c r="I18" s="70"/>
      <c r="J18" s="70"/>
      <c r="K18" s="70"/>
      <c r="L18" s="70"/>
      <c r="M18" s="70"/>
      <c r="N18" s="70"/>
      <c r="O18" s="70"/>
      <c r="P18" s="70"/>
    </row>
    <row r="19" spans="1:16" x14ac:dyDescent="0.25">
      <c r="A19" s="6"/>
      <c r="B19" s="8" t="s">
        <v>69</v>
      </c>
      <c r="C19" s="7" t="str">
        <f ca="1">_xll.SUBNM("CXMD:Actuality","","AC2022","Description EN")</f>
        <v>AC2022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</row>
    <row r="20" spans="1:16" ht="15.75" thickBot="1" x14ac:dyDescent="0.3">
      <c r="A20" s="6"/>
      <c r="B20" s="8" t="s">
        <v>68</v>
      </c>
      <c r="C20" s="7" t="str">
        <f ca="1">_xll.SUBNM("CXMD:DIM_Allocation","","Total Allocation")</f>
        <v>Total Allocation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</row>
    <row r="21" spans="1:16" ht="31.5" customHeight="1" x14ac:dyDescent="0.25">
      <c r="A21" s="6"/>
      <c r="B21" s="13"/>
      <c r="C21" s="55" t="s">
        <v>51</v>
      </c>
      <c r="D21" s="96" t="s">
        <v>55</v>
      </c>
      <c r="E21" s="96" t="s">
        <v>56</v>
      </c>
      <c r="F21" s="96" t="s">
        <v>57</v>
      </c>
      <c r="G21" s="96" t="s">
        <v>58</v>
      </c>
      <c r="H21" s="96" t="s">
        <v>59</v>
      </c>
      <c r="I21" s="96" t="s">
        <v>60</v>
      </c>
      <c r="J21" s="96" t="s">
        <v>61</v>
      </c>
      <c r="K21" s="96" t="s">
        <v>62</v>
      </c>
      <c r="L21" s="96" t="s">
        <v>63</v>
      </c>
      <c r="M21" s="96" t="s">
        <v>64</v>
      </c>
      <c r="N21" s="96" t="s">
        <v>65</v>
      </c>
      <c r="O21" s="97" t="s">
        <v>66</v>
      </c>
      <c r="P21" s="98" t="s">
        <v>67</v>
      </c>
    </row>
    <row r="22" spans="1:16" ht="16.5" thickBot="1" x14ac:dyDescent="0.3">
      <c r="A22" s="6"/>
      <c r="B22" s="56" t="s">
        <v>49</v>
      </c>
      <c r="C22" s="30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99"/>
      <c r="P22" s="100"/>
    </row>
    <row r="23" spans="1:16" x14ac:dyDescent="0.25">
      <c r="B23" s="3" t="s">
        <v>2</v>
      </c>
      <c r="C23" s="82" t="s">
        <v>11</v>
      </c>
      <c r="D23" s="59">
        <f ca="1">_xll.DBR("CXMD:FTM_DATA_BALANCE_SHEET","Total_Customer_Supplier",D$21,$C$19,ori,"TOTAL PRODUCT","B-300010",$C$20,"Amount_BS")*-1/1000</f>
        <v>359843.49432999996</v>
      </c>
      <c r="E23" s="59">
        <f ca="1">_xll.DBR("CXMD:FTM_DATA_BALANCE_SHEET","Total_Customer_Supplier",E$21,$C$19,ori,"TOTAL PRODUCT","B-300010",$C$20,"Amount_BS")*-1/1000</f>
        <v>340351.87147999997</v>
      </c>
      <c r="F23" s="59">
        <f ca="1">_xll.DBR("CXMD:FTM_DATA_BALANCE_SHEET","Total_Customer_Supplier",F$21,$C$19,ori,"TOTAL PRODUCT","B-300010",$C$20,"Amount_BS")*-1/1000</f>
        <v>353866.17820999998</v>
      </c>
      <c r="G23" s="59">
        <f ca="1">_xll.DBR("CXMD:FTM_DATA_BALANCE_SHEET","Total_Customer_Supplier",G$21,$C$19,ori,"TOTAL PRODUCT","B-300010",$C$20,"Amount_BS")*-1/1000</f>
        <v>323237.92606999999</v>
      </c>
      <c r="H23" s="59">
        <f ca="1">_xll.DBR("CXMD:FTM_DATA_BALANCE_SHEET","Total_Customer_Supplier",H$21,$C$19,ori,"TOTAL PRODUCT","B-300010",$C$20,"Amount_BS")*-1/1000</f>
        <v>359434.2959899999</v>
      </c>
      <c r="I23" s="59">
        <f ca="1">_xll.DBR("CXMD:FTM_DATA_BALANCE_SHEET","Total_Customer_Supplier",I$21,$C$19,ori,"TOTAL PRODUCT","B-300010",$C$20,"Amount_BS")*-1/1000</f>
        <v>379893.72466999997</v>
      </c>
      <c r="J23" s="59">
        <f ca="1">_xll.DBR("CXMD:FTM_DATA_BALANCE_SHEET","Total_Customer_Supplier",J$21,$C$19,ori,"TOTAL PRODUCT","B-300010",$C$20,"Amount_BS")*-1/1000</f>
        <v>380094.43832999998</v>
      </c>
      <c r="K23" s="59">
        <f ca="1">_xll.DBR("CXMD:FTM_DATA_BALANCE_SHEET","Total_Customer_Supplier",K$21,$C$19,ori,"TOTAL PRODUCT","B-300010",$C$20,"Amount_BS")*-1/1000</f>
        <v>362873.70663999987</v>
      </c>
      <c r="L23" s="59">
        <f ca="1">_xll.DBR("CXMD:FTM_DATA_BALANCE_SHEET","Total_Customer_Supplier",L$21,$C$19,ori,"TOTAL PRODUCT","B-300010",$C$20,"Amount_BS")*-1/1000</f>
        <v>326232.42543999996</v>
      </c>
      <c r="M23" s="59">
        <f ca="1">_xll.DBR("CXMD:FTM_DATA_BALANCE_SHEET","Total_Customer_Supplier",M$21,$C$19,ori,"TOTAL PRODUCT","B-300010",$C$20,"Amount_BS")*-1/1000</f>
        <v>316787.00447000004</v>
      </c>
      <c r="N23" s="59">
        <f ca="1">_xll.DBR("CXMD:FTM_DATA_BALANCE_SHEET","Total_Customer_Supplier",N$21,$C$19,ori,"TOTAL PRODUCT","B-300010",$C$20,"Amount_BS")*-1/1000</f>
        <v>318008.54877000011</v>
      </c>
      <c r="O23" s="59">
        <f ca="1">_xll.DBR("CXMD:FTM_DATA_BALANCE_SHEET","Total_Customer_Supplier",O$21,$C$19,ori,"TOTAL PRODUCT","B-300010",$C$20,"Amount_BS")*-1/1000</f>
        <v>252037.43863000002</v>
      </c>
      <c r="P23" s="101">
        <f ca="1">SUM(D23:O23)</f>
        <v>4072661.0530300001</v>
      </c>
    </row>
    <row r="24" spans="1:16" ht="15.75" thickBot="1" x14ac:dyDescent="0.3">
      <c r="B24" s="3" t="s">
        <v>54</v>
      </c>
      <c r="C24" s="82" t="s">
        <v>11</v>
      </c>
      <c r="D24" s="59">
        <f ca="1">_xll.DBR("CXMD:FTM_DATA_BALANCE_SHEET","Total_Customer_Supplier",D$21,$C$19,ori,"TOTAL PRODUCT","B-310010",$C$20,"Amount_BS")*-1/1000</f>
        <v>-30807.777600000005</v>
      </c>
      <c r="E24" s="59">
        <f ca="1">_xll.DBR("CXMD:FTM_DATA_BALANCE_SHEET","Total_Customer_Supplier",E$21,$C$19,ori,"TOTAL PRODUCT","B-310010",$C$20,"Amount_BS")*-1/1000</f>
        <v>-7700.9169500000016</v>
      </c>
      <c r="F24" s="59">
        <f ca="1">_xll.DBR("CXMD:FTM_DATA_BALANCE_SHEET","Total_Customer_Supplier",F$21,$C$19,ori,"TOTAL PRODUCT","B-310010",$C$20,"Amount_BS")*-1/1000</f>
        <v>17816.845870000001</v>
      </c>
      <c r="G24" s="59">
        <f ca="1">_xll.DBR("CXMD:FTM_DATA_BALANCE_SHEET","Total_Customer_Supplier",G$21,$C$19,ori,"TOTAL PRODUCT","B-310010",$C$20,"Amount_BS")*-1/1000</f>
        <v>-5525.5791000000027</v>
      </c>
      <c r="H24" s="59">
        <f ca="1">_xll.DBR("CXMD:FTM_DATA_BALANCE_SHEET","Total_Customer_Supplier",H$21,$C$19,ori,"TOTAL PRODUCT","B-310010",$C$20,"Amount_BS")*-1/1000</f>
        <v>23479.516649999998</v>
      </c>
      <c r="I24" s="59">
        <f ca="1">_xll.DBR("CXMD:FTM_DATA_BALANCE_SHEET","Total_Customer_Supplier",I$21,$C$19,ori,"TOTAL PRODUCT","B-310010",$C$20,"Amount_BS")*-1/1000</f>
        <v>-8578.8464200000053</v>
      </c>
      <c r="J24" s="59">
        <f ca="1">_xll.DBR("CXMD:FTM_DATA_BALANCE_SHEET","Total_Customer_Supplier",J$21,$C$19,ori,"TOTAL PRODUCT","B-310010",$C$20,"Amount_BS")*-1/1000</f>
        <v>-18897.08826</v>
      </c>
      <c r="K24" s="59">
        <f ca="1">_xll.DBR("CXMD:FTM_DATA_BALANCE_SHEET","Total_Customer_Supplier",K$21,$C$19,ori,"TOTAL PRODUCT","B-310010",$C$20,"Amount_BS")*-1/1000</f>
        <v>-224.62733999999861</v>
      </c>
      <c r="L24" s="59">
        <f ca="1">_xll.DBR("CXMD:FTM_DATA_BALANCE_SHEET","Total_Customer_Supplier",L$21,$C$19,ori,"TOTAL PRODUCT","B-310010",$C$20,"Amount_BS")*-1/1000</f>
        <v>16048.925980000002</v>
      </c>
      <c r="M24" s="59">
        <f ca="1">_xll.DBR("CXMD:FTM_DATA_BALANCE_SHEET","Total_Customer_Supplier",M$21,$C$19,ori,"TOTAL PRODUCT","B-310010",$C$20,"Amount_BS")*-1/1000</f>
        <v>10297.053860000005</v>
      </c>
      <c r="N24" s="59">
        <f ca="1">_xll.DBR("CXMD:FTM_DATA_BALANCE_SHEET","Total_Customer_Supplier",N$21,$C$19,ori,"TOTAL PRODUCT","B-310010",$C$20,"Amount_BS")*-1/1000</f>
        <v>10680.77002</v>
      </c>
      <c r="O24" s="59">
        <f ca="1">_xll.DBR("CXMD:FTM_DATA_BALANCE_SHEET","Total_Customer_Supplier",O$21,$C$19,ori,"TOTAL PRODUCT","B-310010",$C$20,"Amount_BS")*-1/1000</f>
        <v>3887.5685299999977</v>
      </c>
      <c r="P24" s="101">
        <f ca="1">SUM(D24:O24)</f>
        <v>10475.845239999988</v>
      </c>
    </row>
    <row r="25" spans="1:16" ht="16.5" thickBot="1" x14ac:dyDescent="0.3">
      <c r="B25" s="32" t="s">
        <v>41</v>
      </c>
      <c r="C25" s="31"/>
      <c r="D25" s="75">
        <f ca="1">D23+D24</f>
        <v>329035.71672999993</v>
      </c>
      <c r="E25" s="75">
        <f t="shared" ref="E25:O25" ca="1" si="0">E23+E24</f>
        <v>332650.95452999999</v>
      </c>
      <c r="F25" s="75">
        <f t="shared" ca="1" si="0"/>
        <v>371683.02408</v>
      </c>
      <c r="G25" s="75">
        <f t="shared" ca="1" si="0"/>
        <v>317712.34696999996</v>
      </c>
      <c r="H25" s="75">
        <f t="shared" ca="1" si="0"/>
        <v>382913.8126399999</v>
      </c>
      <c r="I25" s="75">
        <f t="shared" ca="1" si="0"/>
        <v>371314.87824999995</v>
      </c>
      <c r="J25" s="75">
        <f t="shared" ca="1" si="0"/>
        <v>361197.35006999999</v>
      </c>
      <c r="K25" s="75">
        <f t="shared" ca="1" si="0"/>
        <v>362649.07929999987</v>
      </c>
      <c r="L25" s="75">
        <f t="shared" ca="1" si="0"/>
        <v>342281.35141999996</v>
      </c>
      <c r="M25" s="75">
        <f t="shared" ca="1" si="0"/>
        <v>327084.05833000003</v>
      </c>
      <c r="N25" s="75">
        <f t="shared" ca="1" si="0"/>
        <v>328689.31879000011</v>
      </c>
      <c r="O25" s="75">
        <f t="shared" ca="1" si="0"/>
        <v>255925.00716000001</v>
      </c>
      <c r="P25" s="103">
        <f ca="1">P23+P24</f>
        <v>4083136.8982700002</v>
      </c>
    </row>
    <row r="26" spans="1:16" ht="15.75" thickBot="1" x14ac:dyDescent="0.3">
      <c r="B26" s="3" t="s">
        <v>3</v>
      </c>
      <c r="C26" s="82" t="s">
        <v>11</v>
      </c>
      <c r="D26" s="59">
        <f ca="1">_xll.DBR("CXMD:FTM_DATA_BALANCE_SHEET","Total_Customer_Supplier",D$21,$C$19,ori,"TOTAL PRODUCT","B-330010",$C$20,"Amount_BS")*-1/1000</f>
        <v>4042.3654799999999</v>
      </c>
      <c r="E26" s="59">
        <f ca="1">_xll.DBR("CXMD:FTM_DATA_BALANCE_SHEET","Total_Customer_Supplier",E$21,$C$19,ori,"TOTAL PRODUCT","B-330010",$C$20,"Amount_BS")*-1/1000</f>
        <v>4540.9253099999996</v>
      </c>
      <c r="F26" s="59">
        <f ca="1">_xll.DBR("CXMD:FTM_DATA_BALANCE_SHEET","Total_Customer_Supplier",F$21,$C$19,ori,"TOTAL PRODUCT","B-330010",$C$20,"Amount_BS")*-1/1000</f>
        <v>4848.1721100000004</v>
      </c>
      <c r="G26" s="59">
        <f ca="1">_xll.DBR("CXMD:FTM_DATA_BALANCE_SHEET","Total_Customer_Supplier",G$21,$C$19,ori,"TOTAL PRODUCT","B-330010",$C$20,"Amount_BS")*-1/1000</f>
        <v>4398.9568300000001</v>
      </c>
      <c r="H26" s="59">
        <f ca="1">_xll.DBR("CXMD:FTM_DATA_BALANCE_SHEET","Total_Customer_Supplier",H$21,$C$19,ori,"TOTAL PRODUCT","B-330010",$C$20,"Amount_BS")*-1/1000</f>
        <v>4382.8768399999999</v>
      </c>
      <c r="I26" s="59">
        <f ca="1">_xll.DBR("CXMD:FTM_DATA_BALANCE_SHEET","Total_Customer_Supplier",I$21,$C$19,ori,"TOTAL PRODUCT","B-330010",$C$20,"Amount_BS")*-1/1000</f>
        <v>4726.6560999999992</v>
      </c>
      <c r="J26" s="59">
        <f ca="1">_xll.DBR("CXMD:FTM_DATA_BALANCE_SHEET","Total_Customer_Supplier",J$21,$C$19,ori,"TOTAL PRODUCT","B-330010",$C$20,"Amount_BS")*-1/1000</f>
        <v>4529.6568000000007</v>
      </c>
      <c r="K26" s="59">
        <f ca="1">_xll.DBR("CXMD:FTM_DATA_BALANCE_SHEET","Total_Customer_Supplier",K$21,$C$19,ori,"TOTAL PRODUCT","B-330010",$C$20,"Amount_BS")*-1/1000</f>
        <v>4356.6035099999999</v>
      </c>
      <c r="L26" s="59">
        <f ca="1">_xll.DBR("CXMD:FTM_DATA_BALANCE_SHEET","Total_Customer_Supplier",L$21,$C$19,ori,"TOTAL PRODUCT","B-330010",$C$20,"Amount_BS")*-1/1000</f>
        <v>3924.0365000000002</v>
      </c>
      <c r="M26" s="59">
        <f ca="1">_xll.DBR("CXMD:FTM_DATA_BALANCE_SHEET","Total_Customer_Supplier",M$21,$C$19,ori,"TOTAL PRODUCT","B-330010",$C$20,"Amount_BS")*-1/1000</f>
        <v>4463.9264399999993</v>
      </c>
      <c r="N26" s="59">
        <f ca="1">_xll.DBR("CXMD:FTM_DATA_BALANCE_SHEET","Total_Customer_Supplier",N$21,$C$19,ori,"TOTAL PRODUCT","B-330010",$C$20,"Amount_BS")*-1/1000</f>
        <v>5071.4190399999989</v>
      </c>
      <c r="O26" s="59">
        <f ca="1">_xll.DBR("CXMD:FTM_DATA_BALANCE_SHEET","Total_Customer_Supplier",O$21,$C$19,ori,"TOTAL PRODUCT","B-330010",$C$20,"Amount_BS")*-1/1000</f>
        <v>2890.275110000005</v>
      </c>
      <c r="P26" s="101">
        <f ca="1">SUM(D26:O26)</f>
        <v>52175.870069999997</v>
      </c>
    </row>
    <row r="27" spans="1:16" ht="16.5" thickBot="1" x14ac:dyDescent="0.3">
      <c r="B27" s="32" t="s">
        <v>42</v>
      </c>
      <c r="C27" s="31"/>
      <c r="D27" s="75">
        <f ca="1">D25+D26</f>
        <v>333078.08220999991</v>
      </c>
      <c r="E27" s="75">
        <f t="shared" ref="E27:O27" ca="1" si="1">E25+E26</f>
        <v>337191.87984000001</v>
      </c>
      <c r="F27" s="75">
        <f t="shared" ca="1" si="1"/>
        <v>376531.19618999999</v>
      </c>
      <c r="G27" s="75">
        <f t="shared" ca="1" si="1"/>
        <v>322111.30379999994</v>
      </c>
      <c r="H27" s="75">
        <f t="shared" ca="1" si="1"/>
        <v>387296.68947999988</v>
      </c>
      <c r="I27" s="75">
        <f t="shared" ca="1" si="1"/>
        <v>376041.53434999997</v>
      </c>
      <c r="J27" s="75">
        <f t="shared" ca="1" si="1"/>
        <v>365727.00686999998</v>
      </c>
      <c r="K27" s="75">
        <f t="shared" ca="1" si="1"/>
        <v>367005.68280999985</v>
      </c>
      <c r="L27" s="75">
        <f t="shared" ca="1" si="1"/>
        <v>346205.38791999995</v>
      </c>
      <c r="M27" s="75">
        <f t="shared" ca="1" si="1"/>
        <v>331547.98477000004</v>
      </c>
      <c r="N27" s="75">
        <f t="shared" ca="1" si="1"/>
        <v>333760.73783000011</v>
      </c>
      <c r="O27" s="75">
        <f t="shared" ca="1" si="1"/>
        <v>258815.28227000003</v>
      </c>
      <c r="P27" s="103">
        <f ca="1">P25+P26</f>
        <v>4135312.7683400004</v>
      </c>
    </row>
    <row r="28" spans="1:16" ht="15.75" thickBot="1" x14ac:dyDescent="0.3">
      <c r="B28" s="3" t="s">
        <v>4</v>
      </c>
      <c r="C28" s="82" t="s">
        <v>11</v>
      </c>
      <c r="D28" s="59">
        <f ca="1">(_xll.DBR("CXMD:FTM_DATA_BALANCE_SHEET","Total_Customer_Supplier",D$21,$C$19,ori,"TOTAL PRODUCT","B-452010",$C$20,"Amount_BS")/1000)+(_xll.DBR("CXMD:FTM_DATA_BALANCE_SHEET","Total_Customer_Supplier",D$21,$C$19,ori,"TOTAL PRODUCT","B-452210",$C$20,"Amount_BS")/1000)</f>
        <v>442.07326</v>
      </c>
      <c r="E28" s="59">
        <f ca="1">(_xll.DBR("CXMD:FTM_DATA_BALANCE_SHEET","Total_Customer_Supplier",E$21,$C$19,ori,"TOTAL PRODUCT","B-452010",$C$20,"Amount_BS")/1000)+(_xll.DBR("CXMD:FTM_DATA_BALANCE_SHEET","Total_Customer_Supplier",E$21,$C$19,ori,"TOTAL PRODUCT","B-452210",$C$20,"Amount_BS")/1000)</f>
        <v>-194.91658000000001</v>
      </c>
      <c r="F28" s="59">
        <f ca="1">(_xll.DBR("CXMD:FTM_DATA_BALANCE_SHEET","Total_Customer_Supplier",F$21,$C$19,ori,"TOTAL PRODUCT","B-452010",$C$20,"Amount_BS")/1000)+(_xll.DBR("CXMD:FTM_DATA_BALANCE_SHEET","Total_Customer_Supplier",F$21,$C$19,ori,"TOTAL PRODUCT","B-452210",$C$20,"Amount_BS")/1000)</f>
        <v>1613.40275</v>
      </c>
      <c r="G28" s="59">
        <f ca="1">(_xll.DBR("CXMD:FTM_DATA_BALANCE_SHEET","Total_Customer_Supplier",G$21,$C$19,ori,"TOTAL PRODUCT","B-452010",$C$20,"Amount_BS")/1000)+(_xll.DBR("CXMD:FTM_DATA_BALANCE_SHEET","Total_Customer_Supplier",G$21,$C$19,ori,"TOTAL PRODUCT","B-452210",$C$20,"Amount_BS")/1000)</f>
        <v>1257.83169</v>
      </c>
      <c r="H28" s="59">
        <f ca="1">(_xll.DBR("CXMD:FTM_DATA_BALANCE_SHEET","Total_Customer_Supplier",H$21,$C$19,ori,"TOTAL PRODUCT","B-452010",$C$20,"Amount_BS")/1000)+(_xll.DBR("CXMD:FTM_DATA_BALANCE_SHEET","Total_Customer_Supplier",H$21,$C$19,ori,"TOTAL PRODUCT","B-452210",$C$20,"Amount_BS")/1000)</f>
        <v>-66.290609999999987</v>
      </c>
      <c r="I28" s="59">
        <f ca="1">(_xll.DBR("CXMD:FTM_DATA_BALANCE_SHEET","Total_Customer_Supplier",I$21,$C$19,ori,"TOTAL PRODUCT","B-452010",$C$20,"Amount_BS")/1000)+(_xll.DBR("CXMD:FTM_DATA_BALANCE_SHEET","Total_Customer_Supplier",I$21,$C$19,ori,"TOTAL PRODUCT","B-452210",$C$20,"Amount_BS")/1000)</f>
        <v>544.75836999999979</v>
      </c>
      <c r="J28" s="59">
        <f ca="1">(_xll.DBR("CXMD:FTM_DATA_BALANCE_SHEET","Total_Customer_Supplier",J$21,$C$19,ori,"TOTAL PRODUCT","B-452010",$C$20,"Amount_BS")/1000)+(_xll.DBR("CXMD:FTM_DATA_BALANCE_SHEET","Total_Customer_Supplier",J$21,$C$19,ori,"TOTAL PRODUCT","B-452210",$C$20,"Amount_BS")/1000)</f>
        <v>1477.1386799999998</v>
      </c>
      <c r="K28" s="59">
        <f ca="1">(_xll.DBR("CXMD:FTM_DATA_BALANCE_SHEET","Total_Customer_Supplier",K$21,$C$19,ori,"TOTAL PRODUCT","B-452010",$C$20,"Amount_BS")/1000)+(_xll.DBR("CXMD:FTM_DATA_BALANCE_SHEET","Total_Customer_Supplier",K$21,$C$19,ori,"TOTAL PRODUCT","B-452210",$C$20,"Amount_BS")/1000)</f>
        <v>908.98217000000022</v>
      </c>
      <c r="L28" s="59">
        <f ca="1">(_xll.DBR("CXMD:FTM_DATA_BALANCE_SHEET","Total_Customer_Supplier",L$21,$C$19,ori,"TOTAL PRODUCT","B-452010",$C$20,"Amount_BS")/1000)+(_xll.DBR("CXMD:FTM_DATA_BALANCE_SHEET","Total_Customer_Supplier",L$21,$C$19,ori,"TOTAL PRODUCT","B-452210",$C$20,"Amount_BS")/1000)</f>
        <v>1253.3919999999996</v>
      </c>
      <c r="M28" s="59">
        <f ca="1">(_xll.DBR("CXMD:FTM_DATA_BALANCE_SHEET","Total_Customer_Supplier",M$21,$C$19,ori,"TOTAL PRODUCT","B-452010",$C$20,"Amount_BS")/1000)+(_xll.DBR("CXMD:FTM_DATA_BALANCE_SHEET","Total_Customer_Supplier",M$21,$C$19,ori,"TOTAL PRODUCT","B-452210",$C$20,"Amount_BS")/1000)</f>
        <v>74.310140000000359</v>
      </c>
      <c r="N28" s="59">
        <f ca="1">(_xll.DBR("CXMD:FTM_DATA_BALANCE_SHEET","Total_Customer_Supplier",N$21,$C$19,ori,"TOTAL PRODUCT","B-452010",$C$20,"Amount_BS")/1000)+(_xll.DBR("CXMD:FTM_DATA_BALANCE_SHEET","Total_Customer_Supplier",N$21,$C$19,ori,"TOTAL PRODUCT","B-452210",$C$20,"Amount_BS")/1000)</f>
        <v>12613.729529999999</v>
      </c>
      <c r="O28" s="59">
        <f ca="1">(_xll.DBR("CXMD:FTM_DATA_BALANCE_SHEET","Total_Customer_Supplier",O$21,$C$19,ori,"TOTAL PRODUCT","B-452010",$C$20,"Amount_BS")/1000)+(_xll.DBR("CXMD:FTM_DATA_BALANCE_SHEET","Total_Customer_Supplier",O$21,$C$19,ori,"TOTAL PRODUCT","B-452210",$C$20,"Amount_BS")/1000)</f>
        <v>9764.616530000003</v>
      </c>
      <c r="P28" s="101">
        <f ca="1">SUM(D28:O28)</f>
        <v>29689.02793</v>
      </c>
    </row>
    <row r="29" spans="1:16" ht="15.75" x14ac:dyDescent="0.25">
      <c r="B29" s="91" t="s">
        <v>53</v>
      </c>
      <c r="C29" s="85"/>
      <c r="D29" s="76">
        <f ca="1">(_xll.DBR("CXMD:FTM_DATA_BALANCE_SHEET","Total_Customer_Supplier",D$21,$C$19,ori,"TOTAL PRODUCT","B-401010",$C$20,"Amount_BS")/1000)+(_xll.DBR("CXMD:FTM_DATA_BALANCE_SHEET","Total_Customer_Supplier",D$21,$C$19,ori,"TOTAL PRODUCT","B-401020",$C$20,"Amount_BS")/1000)+(_xll.DBR("CXMD:FTM_DATA_BALANCE_SHEET","Total_Customer_Supplier",D$21,$C$19,ori,"TOTAL PRODUCT","B-402110",$C$20,"Amount_BS")/1000)+(_xll.DBR("CXMD:FTM_DATA_BALANCE_SHEET","Total_Customer_Supplier",D$21,$C$19,ori,"TOTAL PRODUCT","B-402111",$C$20,"Amount_BS")/1000)+(_xll.DBR("CXMD:FTM_DATA_BALANCE_SHEET","Total_Customer_Supplier",D$21,$C$19,ori,"TOTAL PRODUCT","B-407010",$C$20,"Amount_BS")/1000)</f>
        <v>190042.62173999997</v>
      </c>
      <c r="E29" s="76">
        <f ca="1">(_xll.DBR("CXMD:FTM_DATA_BALANCE_SHEET","Total_Customer_Supplier",E$21,$C$19,ori,"TOTAL PRODUCT","B-401010",$C$20,"Amount_BS")/1000)+(_xll.DBR("CXMD:FTM_DATA_BALANCE_SHEET","Total_Customer_Supplier",E$21,$C$19,ori,"TOTAL PRODUCT","B-401020",$C$20,"Amount_BS")/1000)+(_xll.DBR("CXMD:FTM_DATA_BALANCE_SHEET","Total_Customer_Supplier",E$21,$C$19,ori,"TOTAL PRODUCT","B-402110",$C$20,"Amount_BS")/1000)+(_xll.DBR("CXMD:FTM_DATA_BALANCE_SHEET","Total_Customer_Supplier",E$21,$C$19,ori,"TOTAL PRODUCT","B-402111",$C$20,"Amount_BS")/1000)+(_xll.DBR("CXMD:FTM_DATA_BALANCE_SHEET","Total_Customer_Supplier",E$21,$C$19,ori,"TOTAL PRODUCT","B-407010",$C$20,"Amount_BS")/1000)</f>
        <v>192852.15685000003</v>
      </c>
      <c r="F29" s="76">
        <f ca="1">(_xll.DBR("CXMD:FTM_DATA_BALANCE_SHEET","Total_Customer_Supplier",F$21,$C$19,ori,"TOTAL PRODUCT","B-401010",$C$20,"Amount_BS")/1000)+(_xll.DBR("CXMD:FTM_DATA_BALANCE_SHEET","Total_Customer_Supplier",F$21,$C$19,ori,"TOTAL PRODUCT","B-401020",$C$20,"Amount_BS")/1000)+(_xll.DBR("CXMD:FTM_DATA_BALANCE_SHEET","Total_Customer_Supplier",F$21,$C$19,ori,"TOTAL PRODUCT","B-402110",$C$20,"Amount_BS")/1000)+(_xll.DBR("CXMD:FTM_DATA_BALANCE_SHEET","Total_Customer_Supplier",F$21,$C$19,ori,"TOTAL PRODUCT","B-402111",$C$20,"Amount_BS")/1000)+(_xll.DBR("CXMD:FTM_DATA_BALANCE_SHEET","Total_Customer_Supplier",F$21,$C$19,ori,"TOTAL PRODUCT","B-407010",$C$20,"Amount_BS")/1000)</f>
        <v>252392.84320999999</v>
      </c>
      <c r="G29" s="76">
        <f ca="1">(_xll.DBR("CXMD:FTM_DATA_BALANCE_SHEET","Total_Customer_Supplier",G$21,$C$19,ori,"TOTAL PRODUCT","B-401010",$C$20,"Amount_BS")/1000)+(_xll.DBR("CXMD:FTM_DATA_BALANCE_SHEET","Total_Customer_Supplier",G$21,$C$19,ori,"TOTAL PRODUCT","B-401020",$C$20,"Amount_BS")/1000)+(_xll.DBR("CXMD:FTM_DATA_BALANCE_SHEET","Total_Customer_Supplier",G$21,$C$19,ori,"TOTAL PRODUCT","B-402110",$C$20,"Amount_BS")/1000)+(_xll.DBR("CXMD:FTM_DATA_BALANCE_SHEET","Total_Customer_Supplier",G$21,$C$19,ori,"TOTAL PRODUCT","B-402111",$C$20,"Amount_BS")/1000)+(_xll.DBR("CXMD:FTM_DATA_BALANCE_SHEET","Total_Customer_Supplier",G$21,$C$19,ori,"TOTAL PRODUCT","B-407010",$C$20,"Amount_BS")/1000)</f>
        <v>210140.83742</v>
      </c>
      <c r="H29" s="76">
        <f ca="1">(_xll.DBR("CXMD:FTM_DATA_BALANCE_SHEET","Total_Customer_Supplier",H$21,$C$19,ori,"TOTAL PRODUCT","B-401010",$C$20,"Amount_BS")/1000)+(_xll.DBR("CXMD:FTM_DATA_BALANCE_SHEET","Total_Customer_Supplier",H$21,$C$19,ori,"TOTAL PRODUCT","B-401020",$C$20,"Amount_BS")/1000)+(_xll.DBR("CXMD:FTM_DATA_BALANCE_SHEET","Total_Customer_Supplier",H$21,$C$19,ori,"TOTAL PRODUCT","B-402110",$C$20,"Amount_BS")/1000)+(_xll.DBR("CXMD:FTM_DATA_BALANCE_SHEET","Total_Customer_Supplier",H$21,$C$19,ori,"TOTAL PRODUCT","B-402111",$C$20,"Amount_BS")/1000)+(_xll.DBR("CXMD:FTM_DATA_BALANCE_SHEET","Total_Customer_Supplier",H$21,$C$19,ori,"TOTAL PRODUCT","B-407010",$C$20,"Amount_BS")/1000)</f>
        <v>243390.75281999994</v>
      </c>
      <c r="I29" s="76">
        <f ca="1">(_xll.DBR("CXMD:FTM_DATA_BALANCE_SHEET","Total_Customer_Supplier",I$21,$C$19,ori,"TOTAL PRODUCT","B-401010",$C$20,"Amount_BS")/1000)+(_xll.DBR("CXMD:FTM_DATA_BALANCE_SHEET","Total_Customer_Supplier",I$21,$C$19,ori,"TOTAL PRODUCT","B-401020",$C$20,"Amount_BS")/1000)+(_xll.DBR("CXMD:FTM_DATA_BALANCE_SHEET","Total_Customer_Supplier",I$21,$C$19,ori,"TOTAL PRODUCT","B-402110",$C$20,"Amount_BS")/1000)+(_xll.DBR("CXMD:FTM_DATA_BALANCE_SHEET","Total_Customer_Supplier",I$21,$C$19,ori,"TOTAL PRODUCT","B-402111",$C$20,"Amount_BS")/1000)+(_xll.DBR("CXMD:FTM_DATA_BALANCE_SHEET","Total_Customer_Supplier",I$21,$C$19,ori,"TOTAL PRODUCT","B-407010",$C$20,"Amount_BS")/1000)</f>
        <v>235212.99926000001</v>
      </c>
      <c r="J29" s="76">
        <f ca="1">(_xll.DBR("CXMD:FTM_DATA_BALANCE_SHEET","Total_Customer_Supplier",J$21,$C$19,ori,"TOTAL PRODUCT","B-401010",$C$20,"Amount_BS")/1000)+(_xll.DBR("CXMD:FTM_DATA_BALANCE_SHEET","Total_Customer_Supplier",J$21,$C$19,ori,"TOTAL PRODUCT","B-401020",$C$20,"Amount_BS")/1000)+(_xll.DBR("CXMD:FTM_DATA_BALANCE_SHEET","Total_Customer_Supplier",J$21,$C$19,ori,"TOTAL PRODUCT","B-402110",$C$20,"Amount_BS")/1000)+(_xll.DBR("CXMD:FTM_DATA_BALANCE_SHEET","Total_Customer_Supplier",J$21,$C$19,ori,"TOTAL PRODUCT","B-402111",$C$20,"Amount_BS")/1000)+(_xll.DBR("CXMD:FTM_DATA_BALANCE_SHEET","Total_Customer_Supplier",J$21,$C$19,ori,"TOTAL PRODUCT","B-407010",$C$20,"Amount_BS")/1000)</f>
        <v>221949.36452000003</v>
      </c>
      <c r="K29" s="76">
        <f ca="1">(_xll.DBR("CXMD:FTM_DATA_BALANCE_SHEET","Total_Customer_Supplier",K$21,$C$19,ori,"TOTAL PRODUCT","B-401010",$C$20,"Amount_BS")/1000)+(_xll.DBR("CXMD:FTM_DATA_BALANCE_SHEET","Total_Customer_Supplier",K$21,$C$19,ori,"TOTAL PRODUCT","B-401020",$C$20,"Amount_BS")/1000)+(_xll.DBR("CXMD:FTM_DATA_BALANCE_SHEET","Total_Customer_Supplier",K$21,$C$19,ori,"TOTAL PRODUCT","B-402110",$C$20,"Amount_BS")/1000)+(_xll.DBR("CXMD:FTM_DATA_BALANCE_SHEET","Total_Customer_Supplier",K$21,$C$19,ori,"TOTAL PRODUCT","B-402111",$C$20,"Amount_BS")/1000)+(_xll.DBR("CXMD:FTM_DATA_BALANCE_SHEET","Total_Customer_Supplier",K$21,$C$19,ori,"TOTAL PRODUCT","B-407010",$C$20,"Amount_BS")/1000)</f>
        <v>199063.85189999995</v>
      </c>
      <c r="L29" s="76">
        <f ca="1">(_xll.DBR("CXMD:FTM_DATA_BALANCE_SHEET","Total_Customer_Supplier",L$21,$C$19,ori,"TOTAL PRODUCT","B-401010",$C$20,"Amount_BS")/1000)+(_xll.DBR("CXMD:FTM_DATA_BALANCE_SHEET","Total_Customer_Supplier",L$21,$C$19,ori,"TOTAL PRODUCT","B-401020",$C$20,"Amount_BS")/1000)+(_xll.DBR("CXMD:FTM_DATA_BALANCE_SHEET","Total_Customer_Supplier",L$21,$C$19,ori,"TOTAL PRODUCT","B-402110",$C$20,"Amount_BS")/1000)+(_xll.DBR("CXMD:FTM_DATA_BALANCE_SHEET","Total_Customer_Supplier",L$21,$C$19,ori,"TOTAL PRODUCT","B-402111",$C$20,"Amount_BS")/1000)+(_xll.DBR("CXMD:FTM_DATA_BALANCE_SHEET","Total_Customer_Supplier",L$21,$C$19,ori,"TOTAL PRODUCT","B-407010",$C$20,"Amount_BS")/1000)</f>
        <v>194395.23118999999</v>
      </c>
      <c r="M29" s="76">
        <f ca="1">(_xll.DBR("CXMD:FTM_DATA_BALANCE_SHEET","Total_Customer_Supplier",M$21,$C$19,ori,"TOTAL PRODUCT","B-401010",$C$20,"Amount_BS")/1000)+(_xll.DBR("CXMD:FTM_DATA_BALANCE_SHEET","Total_Customer_Supplier",M$21,$C$19,ori,"TOTAL PRODUCT","B-401020",$C$20,"Amount_BS")/1000)+(_xll.DBR("CXMD:FTM_DATA_BALANCE_SHEET","Total_Customer_Supplier",M$21,$C$19,ori,"TOTAL PRODUCT","B-402110",$C$20,"Amount_BS")/1000)+(_xll.DBR("CXMD:FTM_DATA_BALANCE_SHEET","Total_Customer_Supplier",M$21,$C$19,ori,"TOTAL PRODUCT","B-402111",$C$20,"Amount_BS")/1000)+(_xll.DBR("CXMD:FTM_DATA_BALANCE_SHEET","Total_Customer_Supplier",M$21,$C$19,ori,"TOTAL PRODUCT","B-407010",$C$20,"Amount_BS")/1000)</f>
        <v>218655.12832000002</v>
      </c>
      <c r="N29" s="76">
        <f ca="1">(_xll.DBR("CXMD:FTM_DATA_BALANCE_SHEET","Total_Customer_Supplier",N$21,$C$19,ori,"TOTAL PRODUCT","B-401010",$C$20,"Amount_BS")/1000)+(_xll.DBR("CXMD:FTM_DATA_BALANCE_SHEET","Total_Customer_Supplier",N$21,$C$19,ori,"TOTAL PRODUCT","B-401020",$C$20,"Amount_BS")/1000)+(_xll.DBR("CXMD:FTM_DATA_BALANCE_SHEET","Total_Customer_Supplier",N$21,$C$19,ori,"TOTAL PRODUCT","B-402110",$C$20,"Amount_BS")/1000)+(_xll.DBR("CXMD:FTM_DATA_BALANCE_SHEET","Total_Customer_Supplier",N$21,$C$19,ori,"TOTAL PRODUCT","B-402111",$C$20,"Amount_BS")/1000)+(_xll.DBR("CXMD:FTM_DATA_BALANCE_SHEET","Total_Customer_Supplier",N$21,$C$19,ori,"TOTAL PRODUCT","B-407010",$C$20,"Amount_BS")/1000)</f>
        <v>223925.15846999997</v>
      </c>
      <c r="O29" s="76">
        <f ca="1">(_xll.DBR("CXMD:FTM_DATA_BALANCE_SHEET","Total_Customer_Supplier",O$21,$C$19,ori,"TOTAL PRODUCT","B-401010",$C$20,"Amount_BS")/1000)+(_xll.DBR("CXMD:FTM_DATA_BALANCE_SHEET","Total_Customer_Supplier",O$21,$C$19,ori,"TOTAL PRODUCT","B-401020",$C$20,"Amount_BS")/1000)+(_xll.DBR("CXMD:FTM_DATA_BALANCE_SHEET","Total_Customer_Supplier",O$21,$C$19,ori,"TOTAL PRODUCT","B-402110",$C$20,"Amount_BS")/1000)+(_xll.DBR("CXMD:FTM_DATA_BALANCE_SHEET","Total_Customer_Supplier",O$21,$C$19,ori,"TOTAL PRODUCT","B-402111",$C$20,"Amount_BS")/1000)+(_xll.DBR("CXMD:FTM_DATA_BALANCE_SHEET","Total_Customer_Supplier",O$21,$C$19,ori,"TOTAL PRODUCT","B-407010",$C$20,"Amount_BS")/1000)</f>
        <v>161641.23890000005</v>
      </c>
      <c r="P29" s="105">
        <f t="shared" ref="P29" ca="1" si="2">SUM(D29:O29)</f>
        <v>2543662.1846000003</v>
      </c>
    </row>
    <row r="30" spans="1:16" ht="15.75" thickBot="1" x14ac:dyDescent="0.3">
      <c r="B30" s="34"/>
      <c r="C30" s="86" t="s">
        <v>52</v>
      </c>
      <c r="D30" s="36">
        <f ca="1">IF(D25&lt;&gt;0,D29/D25,0)</f>
        <v>0.57757444580384298</v>
      </c>
      <c r="E30" s="36">
        <f t="shared" ref="E30:O30" ca="1" si="3">IF(E25&lt;&gt;0,E29/E25,0)</f>
        <v>0.57974328413540666</v>
      </c>
      <c r="F30" s="36">
        <f t="shared" ca="1" si="3"/>
        <v>0.67905399724598581</v>
      </c>
      <c r="G30" s="36">
        <f t="shared" ca="1" si="3"/>
        <v>0.66141854235159003</v>
      </c>
      <c r="H30" s="36">
        <f t="shared" ca="1" si="3"/>
        <v>0.63562803112779342</v>
      </c>
      <c r="I30" s="36">
        <f t="shared" ca="1" si="3"/>
        <v>0.63345966735444181</v>
      </c>
      <c r="J30" s="36">
        <f t="shared" ca="1" si="3"/>
        <v>0.6144822615032649</v>
      </c>
      <c r="K30" s="36">
        <f t="shared" ca="1" si="3"/>
        <v>0.54891591696369713</v>
      </c>
      <c r="L30" s="36">
        <f t="shared" ca="1" si="3"/>
        <v>0.56793988449421906</v>
      </c>
      <c r="M30" s="36">
        <f t="shared" ca="1" si="3"/>
        <v>0.66849827361318714</v>
      </c>
      <c r="N30" s="36">
        <f t="shared" ca="1" si="3"/>
        <v>0.68126691580466581</v>
      </c>
      <c r="O30" s="36">
        <f t="shared" ca="1" si="3"/>
        <v>0.63159610971093838</v>
      </c>
      <c r="P30" s="106">
        <f ca="1">IF(P25&lt;&gt;0,P29/P25,0)</f>
        <v>0.62296764668305249</v>
      </c>
    </row>
    <row r="31" spans="1:16" ht="15.75" x14ac:dyDescent="0.25">
      <c r="B31" s="37" t="s">
        <v>43</v>
      </c>
      <c r="C31" s="38"/>
      <c r="D31" s="77">
        <f ca="1">D27-D29</f>
        <v>143035.46046999993</v>
      </c>
      <c r="E31" s="77">
        <f t="shared" ref="E31:O31" ca="1" si="4">E27-E29</f>
        <v>144339.72298999998</v>
      </c>
      <c r="F31" s="77">
        <f t="shared" ca="1" si="4"/>
        <v>124138.35298</v>
      </c>
      <c r="G31" s="77">
        <f t="shared" ca="1" si="4"/>
        <v>111970.46637999994</v>
      </c>
      <c r="H31" s="77">
        <f t="shared" ca="1" si="4"/>
        <v>143905.93665999995</v>
      </c>
      <c r="I31" s="77">
        <f t="shared" ca="1" si="4"/>
        <v>140828.53508999996</v>
      </c>
      <c r="J31" s="77">
        <f t="shared" ca="1" si="4"/>
        <v>143777.64234999995</v>
      </c>
      <c r="K31" s="77">
        <f t="shared" ca="1" si="4"/>
        <v>167941.8309099999</v>
      </c>
      <c r="L31" s="77">
        <f t="shared" ca="1" si="4"/>
        <v>151810.15672999996</v>
      </c>
      <c r="M31" s="77">
        <f t="shared" ca="1" si="4"/>
        <v>112892.85645000002</v>
      </c>
      <c r="N31" s="77">
        <f t="shared" ca="1" si="4"/>
        <v>109835.57936000015</v>
      </c>
      <c r="O31" s="77">
        <f t="shared" ca="1" si="4"/>
        <v>97174.04336999997</v>
      </c>
      <c r="P31" s="107">
        <f ca="1">P27-P29</f>
        <v>1591650.5837400001</v>
      </c>
    </row>
    <row r="32" spans="1:16" ht="15.75" thickBot="1" x14ac:dyDescent="0.3">
      <c r="B32" s="39"/>
      <c r="C32" s="87" t="s">
        <v>52</v>
      </c>
      <c r="D32" s="41">
        <f ca="1">IF(D25&lt;&gt;0,D31/D25,0)</f>
        <v>0.4347110456320824</v>
      </c>
      <c r="E32" s="41">
        <f t="shared" ref="E32:O32" ca="1" si="5">IF(E25&lt;&gt;0,E31/E25,0)</f>
        <v>0.43390743668220189</v>
      </c>
      <c r="F32" s="41">
        <f t="shared" ca="1" si="5"/>
        <v>0.33398983794664994</v>
      </c>
      <c r="G32" s="41">
        <f t="shared" ca="1" si="5"/>
        <v>0.35242717964175552</v>
      </c>
      <c r="H32" s="41">
        <f t="shared" ca="1" si="5"/>
        <v>0.3758180872814178</v>
      </c>
      <c r="I32" s="41">
        <f t="shared" ca="1" si="5"/>
        <v>0.3792698416872553</v>
      </c>
      <c r="J32" s="41">
        <f t="shared" ca="1" si="5"/>
        <v>0.39805840857397173</v>
      </c>
      <c r="K32" s="41">
        <f t="shared" ca="1" si="5"/>
        <v>0.46309735911688543</v>
      </c>
      <c r="L32" s="41">
        <f t="shared" ca="1" si="5"/>
        <v>0.44352447511439119</v>
      </c>
      <c r="M32" s="41">
        <f t="shared" ca="1" si="5"/>
        <v>0.34514936932848228</v>
      </c>
      <c r="N32" s="41">
        <f t="shared" ca="1" si="5"/>
        <v>0.33416230184885987</v>
      </c>
      <c r="O32" s="41">
        <f t="shared" ca="1" si="5"/>
        <v>0.379697335748235</v>
      </c>
      <c r="P32" s="108">
        <f ca="1">IF(P25&lt;&gt;0,P31/P25,0)</f>
        <v>0.38981073213939327</v>
      </c>
    </row>
    <row r="33" spans="2:16" ht="15.75" x14ac:dyDescent="0.25">
      <c r="B33" s="42" t="s">
        <v>6</v>
      </c>
      <c r="C33" s="83" t="s">
        <v>11</v>
      </c>
      <c r="D33" s="78">
        <f ca="1">(_xll.DBR("CXMD:FTM_DATA_BALANCE_SHEET","Total_Customer_Supplier",D$21,$C$19,ori,"TOTAL PRODUCT","B-430010",$C$20,"Amount_BS")/1000)+(_xll.DBR("CXMD:FTM_DATA_BALANCE_SHEET","Total_Customer_Supplier",D$21,$C$19,ori,"TOTAL PRODUCT","B-430040",$C$20,"Amount_BS")/1000)+(_xll.DBR("CXMD:FTM_DATA_BALANCE_SHEET","Total_Customer_Supplier",D$21,$C$19,ori,"TOTAL PRODUCT","B-431040",$C$20,"Amount_BS")/1000)+(_xll.DBR("CXMD:FTM_DATA_BALANCE_SHEET","Total_Customer_Supplier",D$21,$C$19,ori,"TOTAL PRODUCT","B-437010",$C$20,"Amount_BS")/1000)+(_xll.DBR("CXMD:FTM_DATA_BALANCE_SHEET","Total_Customer_Supplier",D$21,$C$19,ori,"TOTAL PRODUCT","B-438010",$C$20,"Amount_BS")/1000)</f>
        <v>37400.483939999998</v>
      </c>
      <c r="E33" s="78">
        <f ca="1">(_xll.DBR("CXMD:FTM_DATA_BALANCE_SHEET","Total_Customer_Supplier",E$21,$C$19,ori,"TOTAL PRODUCT","B-430010",$C$20,"Amount_BS")/1000)+(_xll.DBR("CXMD:FTM_DATA_BALANCE_SHEET","Total_Customer_Supplier",E$21,$C$19,ori,"TOTAL PRODUCT","B-430040",$C$20,"Amount_BS")/1000)+(_xll.DBR("CXMD:FTM_DATA_BALANCE_SHEET","Total_Customer_Supplier",E$21,$C$19,ori,"TOTAL PRODUCT","B-431040",$C$20,"Amount_BS")/1000)+(_xll.DBR("CXMD:FTM_DATA_BALANCE_SHEET","Total_Customer_Supplier",E$21,$C$19,ori,"TOTAL PRODUCT","B-437010",$C$20,"Amount_BS")/1000)+(_xll.DBR("CXMD:FTM_DATA_BALANCE_SHEET","Total_Customer_Supplier",E$21,$C$19,ori,"TOTAL PRODUCT","B-438010",$C$20,"Amount_BS")/1000)</f>
        <v>40241.933459999993</v>
      </c>
      <c r="F33" s="78">
        <f ca="1">(_xll.DBR("CXMD:FTM_DATA_BALANCE_SHEET","Total_Customer_Supplier",F$21,$C$19,ori,"TOTAL PRODUCT","B-430010",$C$20,"Amount_BS")/1000)+(_xll.DBR("CXMD:FTM_DATA_BALANCE_SHEET","Total_Customer_Supplier",F$21,$C$19,ori,"TOTAL PRODUCT","B-430040",$C$20,"Amount_BS")/1000)+(_xll.DBR("CXMD:FTM_DATA_BALANCE_SHEET","Total_Customer_Supplier",F$21,$C$19,ori,"TOTAL PRODUCT","B-431040",$C$20,"Amount_BS")/1000)+(_xll.DBR("CXMD:FTM_DATA_BALANCE_SHEET","Total_Customer_Supplier",F$21,$C$19,ori,"TOTAL PRODUCT","B-437010",$C$20,"Amount_BS")/1000)+(_xll.DBR("CXMD:FTM_DATA_BALANCE_SHEET","Total_Customer_Supplier",F$21,$C$19,ori,"TOTAL PRODUCT","B-438010",$C$20,"Amount_BS")/1000)</f>
        <v>41481.868879999995</v>
      </c>
      <c r="G33" s="78">
        <f ca="1">(_xll.DBR("CXMD:FTM_DATA_BALANCE_SHEET","Total_Customer_Supplier",G$21,$C$19,ori,"TOTAL PRODUCT","B-430010",$C$20,"Amount_BS")/1000)+(_xll.DBR("CXMD:FTM_DATA_BALANCE_SHEET","Total_Customer_Supplier",G$21,$C$19,ori,"TOTAL PRODUCT","B-430040",$C$20,"Amount_BS")/1000)+(_xll.DBR("CXMD:FTM_DATA_BALANCE_SHEET","Total_Customer_Supplier",G$21,$C$19,ori,"TOTAL PRODUCT","B-431040",$C$20,"Amount_BS")/1000)+(_xll.DBR("CXMD:FTM_DATA_BALANCE_SHEET","Total_Customer_Supplier",G$21,$C$19,ori,"TOTAL PRODUCT","B-437010",$C$20,"Amount_BS")/1000)+(_xll.DBR("CXMD:FTM_DATA_BALANCE_SHEET","Total_Customer_Supplier",G$21,$C$19,ori,"TOTAL PRODUCT","B-438010",$C$20,"Amount_BS")/1000)</f>
        <v>38295.866650000004</v>
      </c>
      <c r="H33" s="78">
        <f ca="1">(_xll.DBR("CXMD:FTM_DATA_BALANCE_SHEET","Total_Customer_Supplier",H$21,$C$19,ori,"TOTAL PRODUCT","B-430010",$C$20,"Amount_BS")/1000)+(_xll.DBR("CXMD:FTM_DATA_BALANCE_SHEET","Total_Customer_Supplier",H$21,$C$19,ori,"TOTAL PRODUCT","B-430040",$C$20,"Amount_BS")/1000)+(_xll.DBR("CXMD:FTM_DATA_BALANCE_SHEET","Total_Customer_Supplier",H$21,$C$19,ori,"TOTAL PRODUCT","B-431040",$C$20,"Amount_BS")/1000)+(_xll.DBR("CXMD:FTM_DATA_BALANCE_SHEET","Total_Customer_Supplier",H$21,$C$19,ori,"TOTAL PRODUCT","B-437010",$C$20,"Amount_BS")/1000)+(_xll.DBR("CXMD:FTM_DATA_BALANCE_SHEET","Total_Customer_Supplier",H$21,$C$19,ori,"TOTAL PRODUCT","B-438010",$C$20,"Amount_BS")/1000)</f>
        <v>40150.204650000007</v>
      </c>
      <c r="I33" s="78">
        <f ca="1">(_xll.DBR("CXMD:FTM_DATA_BALANCE_SHEET","Total_Customer_Supplier",I$21,$C$19,ori,"TOTAL PRODUCT","B-430010",$C$20,"Amount_BS")/1000)+(_xll.DBR("CXMD:FTM_DATA_BALANCE_SHEET","Total_Customer_Supplier",I$21,$C$19,ori,"TOTAL PRODUCT","B-430040",$C$20,"Amount_BS")/1000)+(_xll.DBR("CXMD:FTM_DATA_BALANCE_SHEET","Total_Customer_Supplier",I$21,$C$19,ori,"TOTAL PRODUCT","B-431040",$C$20,"Amount_BS")/1000)+(_xll.DBR("CXMD:FTM_DATA_BALANCE_SHEET","Total_Customer_Supplier",I$21,$C$19,ori,"TOTAL PRODUCT","B-437010",$C$20,"Amount_BS")/1000)+(_xll.DBR("CXMD:FTM_DATA_BALANCE_SHEET","Total_Customer_Supplier",I$21,$C$19,ori,"TOTAL PRODUCT","B-438010",$C$20,"Amount_BS")/1000)</f>
        <v>43584.552510000001</v>
      </c>
      <c r="J33" s="78">
        <f ca="1">(_xll.DBR("CXMD:FTM_DATA_BALANCE_SHEET","Total_Customer_Supplier",J$21,$C$19,ori,"TOTAL PRODUCT","B-430010",$C$20,"Amount_BS")/1000)+(_xll.DBR("CXMD:FTM_DATA_BALANCE_SHEET","Total_Customer_Supplier",J$21,$C$19,ori,"TOTAL PRODUCT","B-430040",$C$20,"Amount_BS")/1000)+(_xll.DBR("CXMD:FTM_DATA_BALANCE_SHEET","Total_Customer_Supplier",J$21,$C$19,ori,"TOTAL PRODUCT","B-431040",$C$20,"Amount_BS")/1000)+(_xll.DBR("CXMD:FTM_DATA_BALANCE_SHEET","Total_Customer_Supplier",J$21,$C$19,ori,"TOTAL PRODUCT","B-437010",$C$20,"Amount_BS")/1000)+(_xll.DBR("CXMD:FTM_DATA_BALANCE_SHEET","Total_Customer_Supplier",J$21,$C$19,ori,"TOTAL PRODUCT","B-438010",$C$20,"Amount_BS")/1000)</f>
        <v>37568.565229999993</v>
      </c>
      <c r="K33" s="78">
        <f ca="1">(_xll.DBR("CXMD:FTM_DATA_BALANCE_SHEET","Total_Customer_Supplier",K$21,$C$19,ori,"TOTAL PRODUCT","B-430010",$C$20,"Amount_BS")/1000)+(_xll.DBR("CXMD:FTM_DATA_BALANCE_SHEET","Total_Customer_Supplier",K$21,$C$19,ori,"TOTAL PRODUCT","B-430040",$C$20,"Amount_BS")/1000)+(_xll.DBR("CXMD:FTM_DATA_BALANCE_SHEET","Total_Customer_Supplier",K$21,$C$19,ori,"TOTAL PRODUCT","B-431040",$C$20,"Amount_BS")/1000)+(_xll.DBR("CXMD:FTM_DATA_BALANCE_SHEET","Total_Customer_Supplier",K$21,$C$19,ori,"TOTAL PRODUCT","B-437010",$C$20,"Amount_BS")/1000)+(_xll.DBR("CXMD:FTM_DATA_BALANCE_SHEET","Total_Customer_Supplier",K$21,$C$19,ori,"TOTAL PRODUCT","B-438010",$C$20,"Amount_BS")/1000)</f>
        <v>31559.168800000007</v>
      </c>
      <c r="L33" s="78">
        <f ca="1">(_xll.DBR("CXMD:FTM_DATA_BALANCE_SHEET","Total_Customer_Supplier",L$21,$C$19,ori,"TOTAL PRODUCT","B-430010",$C$20,"Amount_BS")/1000)+(_xll.DBR("CXMD:FTM_DATA_BALANCE_SHEET","Total_Customer_Supplier",L$21,$C$19,ori,"TOTAL PRODUCT","B-430040",$C$20,"Amount_BS")/1000)+(_xll.DBR("CXMD:FTM_DATA_BALANCE_SHEET","Total_Customer_Supplier",L$21,$C$19,ori,"TOTAL PRODUCT","B-431040",$C$20,"Amount_BS")/1000)+(_xll.DBR("CXMD:FTM_DATA_BALANCE_SHEET","Total_Customer_Supplier",L$21,$C$19,ori,"TOTAL PRODUCT","B-437010",$C$20,"Amount_BS")/1000)+(_xll.DBR("CXMD:FTM_DATA_BALANCE_SHEET","Total_Customer_Supplier",L$21,$C$19,ori,"TOTAL PRODUCT","B-438010",$C$20,"Amount_BS")/1000)</f>
        <v>37070.197469999999</v>
      </c>
      <c r="M33" s="78">
        <f ca="1">(_xll.DBR("CXMD:FTM_DATA_BALANCE_SHEET","Total_Customer_Supplier",M$21,$C$19,ori,"TOTAL PRODUCT","B-430010",$C$20,"Amount_BS")/1000)+(_xll.DBR("CXMD:FTM_DATA_BALANCE_SHEET","Total_Customer_Supplier",M$21,$C$19,ori,"TOTAL PRODUCT","B-430040",$C$20,"Amount_BS")/1000)+(_xll.DBR("CXMD:FTM_DATA_BALANCE_SHEET","Total_Customer_Supplier",M$21,$C$19,ori,"TOTAL PRODUCT","B-431040",$C$20,"Amount_BS")/1000)+(_xll.DBR("CXMD:FTM_DATA_BALANCE_SHEET","Total_Customer_Supplier",M$21,$C$19,ori,"TOTAL PRODUCT","B-437010",$C$20,"Amount_BS")/1000)+(_xll.DBR("CXMD:FTM_DATA_BALANCE_SHEET","Total_Customer_Supplier",M$21,$C$19,ori,"TOTAL PRODUCT","B-438010",$C$20,"Amount_BS")/1000)</f>
        <v>39592.371960000011</v>
      </c>
      <c r="N33" s="78">
        <f ca="1">(_xll.DBR("CXMD:FTM_DATA_BALANCE_SHEET","Total_Customer_Supplier",N$21,$C$19,ori,"TOTAL PRODUCT","B-430010",$C$20,"Amount_BS")/1000)+(_xll.DBR("CXMD:FTM_DATA_BALANCE_SHEET","Total_Customer_Supplier",N$21,$C$19,ori,"TOTAL PRODUCT","B-430040",$C$20,"Amount_BS")/1000)+(_xll.DBR("CXMD:FTM_DATA_BALANCE_SHEET","Total_Customer_Supplier",N$21,$C$19,ori,"TOTAL PRODUCT","B-431040",$C$20,"Amount_BS")/1000)+(_xll.DBR("CXMD:FTM_DATA_BALANCE_SHEET","Total_Customer_Supplier",N$21,$C$19,ori,"TOTAL PRODUCT","B-437010",$C$20,"Amount_BS")/1000)+(_xll.DBR("CXMD:FTM_DATA_BALANCE_SHEET","Total_Customer_Supplier",N$21,$C$19,ori,"TOTAL PRODUCT","B-438010",$C$20,"Amount_BS")/1000)</f>
        <v>39658.476009999991</v>
      </c>
      <c r="O33" s="78">
        <f ca="1">(_xll.DBR("CXMD:FTM_DATA_BALANCE_SHEET","Total_Customer_Supplier",O$21,$C$19,ori,"TOTAL PRODUCT","B-430010",$C$20,"Amount_BS")/1000)+(_xll.DBR("CXMD:FTM_DATA_BALANCE_SHEET","Total_Customer_Supplier",O$21,$C$19,ori,"TOTAL PRODUCT","B-430040",$C$20,"Amount_BS")/1000)+(_xll.DBR("CXMD:FTM_DATA_BALANCE_SHEET","Total_Customer_Supplier",O$21,$C$19,ori,"TOTAL PRODUCT","B-431040",$C$20,"Amount_BS")/1000)+(_xll.DBR("CXMD:FTM_DATA_BALANCE_SHEET","Total_Customer_Supplier",O$21,$C$19,ori,"TOTAL PRODUCT","B-437010",$C$20,"Amount_BS")/1000)+(_xll.DBR("CXMD:FTM_DATA_BALANCE_SHEET","Total_Customer_Supplier",O$21,$C$19,ori,"TOTAL PRODUCT","B-438010",$C$20,"Amount_BS")/1000)</f>
        <v>33483.778440000009</v>
      </c>
      <c r="P33" s="109">
        <f ca="1">SUM(D33:O33)</f>
        <v>460087.46799999999</v>
      </c>
    </row>
    <row r="34" spans="2:16" ht="15.75" thickBot="1" x14ac:dyDescent="0.3">
      <c r="B34" s="43"/>
      <c r="C34" s="88" t="s">
        <v>52</v>
      </c>
      <c r="D34" s="45">
        <f ca="1">IF(D25&lt;&gt;0,D33/D25,0)</f>
        <v>0.11366694263981707</v>
      </c>
      <c r="E34" s="45">
        <f t="shared" ref="E34:O34" ca="1" si="6">IF(E25&lt;&gt;0,E33/E25,0)</f>
        <v>0.12097344953318266</v>
      </c>
      <c r="F34" s="45">
        <f t="shared" ca="1" si="6"/>
        <v>0.11160549767554505</v>
      </c>
      <c r="G34" s="45">
        <f t="shared" ca="1" si="6"/>
        <v>0.12053628703833817</v>
      </c>
      <c r="H34" s="45">
        <f t="shared" ca="1" si="6"/>
        <v>0.10485441716814642</v>
      </c>
      <c r="I34" s="45">
        <f t="shared" ca="1" si="6"/>
        <v>0.11737895533681057</v>
      </c>
      <c r="J34" s="45">
        <f t="shared" ca="1" si="6"/>
        <v>0.10401118729890796</v>
      </c>
      <c r="K34" s="45">
        <f t="shared" ca="1" si="6"/>
        <v>8.7023987103226091E-2</v>
      </c>
      <c r="L34" s="45">
        <f t="shared" ca="1" si="6"/>
        <v>0.10830329293783995</v>
      </c>
      <c r="M34" s="45">
        <f t="shared" ca="1" si="6"/>
        <v>0.12104647399248872</v>
      </c>
      <c r="N34" s="45">
        <f t="shared" ca="1" si="6"/>
        <v>0.12065641851701858</v>
      </c>
      <c r="O34" s="45">
        <f t="shared" ca="1" si="6"/>
        <v>0.13083433624392365</v>
      </c>
      <c r="P34" s="110">
        <f ca="1">IF(P25&lt;&gt;0,P33/P25,0)</f>
        <v>0.11267990260011516</v>
      </c>
    </row>
    <row r="35" spans="2:16" ht="15.75" x14ac:dyDescent="0.25">
      <c r="B35" s="46" t="s">
        <v>7</v>
      </c>
      <c r="C35" s="84" t="s">
        <v>11</v>
      </c>
      <c r="D35" s="79">
        <f ca="1">(_xll.DBR("CXMD:FTM_DATA_BALANCE_SHEET","Total_Customer_Supplier",D$21,$C$19,ori,"TOTAL PRODUCT","B-451010",$C$20,"Amount_BS")/1000)+(_xll.DBR("CXMD:FTM_DATA_BALANCE_SHEET","Total_Customer_Supplier",D$21,$C$19,ori,"TOTAL PRODUCT","B-451020",$C$20,"Amount_BS")/1000)+(_xll.DBR("CXMD:FTM_DATA_BALANCE_SHEET","Total_Customer_Supplier",D$21,$C$19,ori,"TOTAL PRODUCT","B-451030",$C$20,"Amount_BS")/1000)+(_xll.DBR("CXMD:FTM_DATA_BALANCE_SHEET","Total_Customer_Supplier",D$21,$C$19,ori,"TOTAL PRODUCT","B-451110",$C$20,"Amount_BS")/1000)+(_xll.DBR("CXMD:FTM_DATA_BALANCE_SHEET","Total_Customer_Supplier",D$21,$C$19,ori,"TOTAL PRODUCT","B-451210",$C$20,"Amount_BS")/1000)+(_xll.DBR("CXMD:FTM_DATA_BALANCE_SHEET","Total_Customer_Supplier",D$21,$C$19,ori,"TOTAL PRODUCT","B-451220",$C$20,"Amount_BS")/1000)+(_xll.DBR("CXMD:FTM_DATA_BALANCE_SHEET","Total_Customer_Supplier",D$21,$C$19,ori,"TOTAL PRODUCT","B-451310",$C$20,"Amount_BS")/1000)+(_xll.DBR("CXMD:FTM_DATA_BALANCE_SHEET","Total_Customer_Supplier",D$21,$C$19,ori,"TOTAL PRODUCT","B-451450",$C$20,"Amount_BS")/1000)+(_xll.DBR("CXMD:FTM_DATA_BALANCE_SHEET","Total_Customer_Supplier",D$21,$C$19,ori,"TOTAL PRODUCT","B-451510",$C$20,"Amount_BS")/1000)+(_xll.DBR("CXMD:FTM_DATA_BALANCE_SHEET","Total_Customer_Supplier",D$21,$C$19,ori,"TOTAL PRODUCT","B-451610",$C$20,"Amount_BS")/1000)+(_xll.DBR("CXMD:FTM_DATA_BALANCE_SHEET","Total_Customer_Supplier",D$21,$C$19,ori,"TOTAL PRODUCT","B-451620",$C$20,"Amount_BS")/1000)</f>
        <v>29278.131550000002</v>
      </c>
      <c r="E35" s="79">
        <f ca="1">(_xll.DBR("CXMD:FTM_DATA_BALANCE_SHEET","Total_Customer_Supplier",E$21,$C$19,ori,"TOTAL PRODUCT","B-451010",$C$20,"Amount_BS")/1000)+(_xll.DBR("CXMD:FTM_DATA_BALANCE_SHEET","Total_Customer_Supplier",E$21,$C$19,ori,"TOTAL PRODUCT","B-451020",$C$20,"Amount_BS")/1000)+(_xll.DBR("CXMD:FTM_DATA_BALANCE_SHEET","Total_Customer_Supplier",E$21,$C$19,ori,"TOTAL PRODUCT","B-451030",$C$20,"Amount_BS")/1000)+(_xll.DBR("CXMD:FTM_DATA_BALANCE_SHEET","Total_Customer_Supplier",E$21,$C$19,ori,"TOTAL PRODUCT","B-451110",$C$20,"Amount_BS")/1000)+(_xll.DBR("CXMD:FTM_DATA_BALANCE_SHEET","Total_Customer_Supplier",E$21,$C$19,ori,"TOTAL PRODUCT","B-451210",$C$20,"Amount_BS")/1000)+(_xll.DBR("CXMD:FTM_DATA_BALANCE_SHEET","Total_Customer_Supplier",E$21,$C$19,ori,"TOTAL PRODUCT","B-451220",$C$20,"Amount_BS")/1000)+(_xll.DBR("CXMD:FTM_DATA_BALANCE_SHEET","Total_Customer_Supplier",E$21,$C$19,ori,"TOTAL PRODUCT","B-451310",$C$20,"Amount_BS")/1000)+(_xll.DBR("CXMD:FTM_DATA_BALANCE_SHEET","Total_Customer_Supplier",E$21,$C$19,ori,"TOTAL PRODUCT","B-451450",$C$20,"Amount_BS")/1000)+(_xll.DBR("CXMD:FTM_DATA_BALANCE_SHEET","Total_Customer_Supplier",E$21,$C$19,ori,"TOTAL PRODUCT","B-451510",$C$20,"Amount_BS")/1000)+(_xll.DBR("CXMD:FTM_DATA_BALANCE_SHEET","Total_Customer_Supplier",E$21,$C$19,ori,"TOTAL PRODUCT","B-451610",$C$20,"Amount_BS")/1000)+(_xll.DBR("CXMD:FTM_DATA_BALANCE_SHEET","Total_Customer_Supplier",E$21,$C$19,ori,"TOTAL PRODUCT","B-451620",$C$20,"Amount_BS")/1000)</f>
        <v>26426.21746</v>
      </c>
      <c r="F35" s="79">
        <f ca="1">(_xll.DBR("CXMD:FTM_DATA_BALANCE_SHEET","Total_Customer_Supplier",F$21,$C$19,ori,"TOTAL PRODUCT","B-451010",$C$20,"Amount_BS")/1000)+(_xll.DBR("CXMD:FTM_DATA_BALANCE_SHEET","Total_Customer_Supplier",F$21,$C$19,ori,"TOTAL PRODUCT","B-451020",$C$20,"Amount_BS")/1000)+(_xll.DBR("CXMD:FTM_DATA_BALANCE_SHEET","Total_Customer_Supplier",F$21,$C$19,ori,"TOTAL PRODUCT","B-451030",$C$20,"Amount_BS")/1000)+(_xll.DBR("CXMD:FTM_DATA_BALANCE_SHEET","Total_Customer_Supplier",F$21,$C$19,ori,"TOTAL PRODUCT","B-451110",$C$20,"Amount_BS")/1000)+(_xll.DBR("CXMD:FTM_DATA_BALANCE_SHEET","Total_Customer_Supplier",F$21,$C$19,ori,"TOTAL PRODUCT","B-451210",$C$20,"Amount_BS")/1000)+(_xll.DBR("CXMD:FTM_DATA_BALANCE_SHEET","Total_Customer_Supplier",F$21,$C$19,ori,"TOTAL PRODUCT","B-451220",$C$20,"Amount_BS")/1000)+(_xll.DBR("CXMD:FTM_DATA_BALANCE_SHEET","Total_Customer_Supplier",F$21,$C$19,ori,"TOTAL PRODUCT","B-451310",$C$20,"Amount_BS")/1000)+(_xll.DBR("CXMD:FTM_DATA_BALANCE_SHEET","Total_Customer_Supplier",F$21,$C$19,ori,"TOTAL PRODUCT","B-451450",$C$20,"Amount_BS")/1000)+(_xll.DBR("CXMD:FTM_DATA_BALANCE_SHEET","Total_Customer_Supplier",F$21,$C$19,ori,"TOTAL PRODUCT","B-451510",$C$20,"Amount_BS")/1000)+(_xll.DBR("CXMD:FTM_DATA_BALANCE_SHEET","Total_Customer_Supplier",F$21,$C$19,ori,"TOTAL PRODUCT","B-451610",$C$20,"Amount_BS")/1000)+(_xll.DBR("CXMD:FTM_DATA_BALANCE_SHEET","Total_Customer_Supplier",F$21,$C$19,ori,"TOTAL PRODUCT","B-451620",$C$20,"Amount_BS")/1000)</f>
        <v>33087.795469999997</v>
      </c>
      <c r="G35" s="79">
        <f ca="1">(_xll.DBR("CXMD:FTM_DATA_BALANCE_SHEET","Total_Customer_Supplier",G$21,$C$19,ori,"TOTAL PRODUCT","B-451010",$C$20,"Amount_BS")/1000)+(_xll.DBR("CXMD:FTM_DATA_BALANCE_SHEET","Total_Customer_Supplier",G$21,$C$19,ori,"TOTAL PRODUCT","B-451020",$C$20,"Amount_BS")/1000)+(_xll.DBR("CXMD:FTM_DATA_BALANCE_SHEET","Total_Customer_Supplier",G$21,$C$19,ori,"TOTAL PRODUCT","B-451030",$C$20,"Amount_BS")/1000)+(_xll.DBR("CXMD:FTM_DATA_BALANCE_SHEET","Total_Customer_Supplier",G$21,$C$19,ori,"TOTAL PRODUCT","B-451110",$C$20,"Amount_BS")/1000)+(_xll.DBR("CXMD:FTM_DATA_BALANCE_SHEET","Total_Customer_Supplier",G$21,$C$19,ori,"TOTAL PRODUCT","B-451210",$C$20,"Amount_BS")/1000)+(_xll.DBR("CXMD:FTM_DATA_BALANCE_SHEET","Total_Customer_Supplier",G$21,$C$19,ori,"TOTAL PRODUCT","B-451220",$C$20,"Amount_BS")/1000)+(_xll.DBR("CXMD:FTM_DATA_BALANCE_SHEET","Total_Customer_Supplier",G$21,$C$19,ori,"TOTAL PRODUCT","B-451310",$C$20,"Amount_BS")/1000)+(_xll.DBR("CXMD:FTM_DATA_BALANCE_SHEET","Total_Customer_Supplier",G$21,$C$19,ori,"TOTAL PRODUCT","B-451450",$C$20,"Amount_BS")/1000)+(_xll.DBR("CXMD:FTM_DATA_BALANCE_SHEET","Total_Customer_Supplier",G$21,$C$19,ori,"TOTAL PRODUCT","B-451510",$C$20,"Amount_BS")/1000)+(_xll.DBR("CXMD:FTM_DATA_BALANCE_SHEET","Total_Customer_Supplier",G$21,$C$19,ori,"TOTAL PRODUCT","B-451610",$C$20,"Amount_BS")/1000)+(_xll.DBR("CXMD:FTM_DATA_BALANCE_SHEET","Total_Customer_Supplier",G$21,$C$19,ori,"TOTAL PRODUCT","B-451620",$C$20,"Amount_BS")/1000)</f>
        <v>31767.686309999997</v>
      </c>
      <c r="H35" s="79">
        <f ca="1">(_xll.DBR("CXMD:FTM_DATA_BALANCE_SHEET","Total_Customer_Supplier",H$21,$C$19,ori,"TOTAL PRODUCT","B-451010",$C$20,"Amount_BS")/1000)+(_xll.DBR("CXMD:FTM_DATA_BALANCE_SHEET","Total_Customer_Supplier",H$21,$C$19,ori,"TOTAL PRODUCT","B-451020",$C$20,"Amount_BS")/1000)+(_xll.DBR("CXMD:FTM_DATA_BALANCE_SHEET","Total_Customer_Supplier",H$21,$C$19,ori,"TOTAL PRODUCT","B-451030",$C$20,"Amount_BS")/1000)+(_xll.DBR("CXMD:FTM_DATA_BALANCE_SHEET","Total_Customer_Supplier",H$21,$C$19,ori,"TOTAL PRODUCT","B-451110",$C$20,"Amount_BS")/1000)+(_xll.DBR("CXMD:FTM_DATA_BALANCE_SHEET","Total_Customer_Supplier",H$21,$C$19,ori,"TOTAL PRODUCT","B-451210",$C$20,"Amount_BS")/1000)+(_xll.DBR("CXMD:FTM_DATA_BALANCE_SHEET","Total_Customer_Supplier",H$21,$C$19,ori,"TOTAL PRODUCT","B-451220",$C$20,"Amount_BS")/1000)+(_xll.DBR("CXMD:FTM_DATA_BALANCE_SHEET","Total_Customer_Supplier",H$21,$C$19,ori,"TOTAL PRODUCT","B-451310",$C$20,"Amount_BS")/1000)+(_xll.DBR("CXMD:FTM_DATA_BALANCE_SHEET","Total_Customer_Supplier",H$21,$C$19,ori,"TOTAL PRODUCT","B-451450",$C$20,"Amount_BS")/1000)+(_xll.DBR("CXMD:FTM_DATA_BALANCE_SHEET","Total_Customer_Supplier",H$21,$C$19,ori,"TOTAL PRODUCT","B-451510",$C$20,"Amount_BS")/1000)+(_xll.DBR("CXMD:FTM_DATA_BALANCE_SHEET","Total_Customer_Supplier",H$21,$C$19,ori,"TOTAL PRODUCT","B-451610",$C$20,"Amount_BS")/1000)+(_xll.DBR("CXMD:FTM_DATA_BALANCE_SHEET","Total_Customer_Supplier",H$21,$C$19,ori,"TOTAL PRODUCT","B-451620",$C$20,"Amount_BS")/1000)</f>
        <v>32533.924380000004</v>
      </c>
      <c r="I35" s="79">
        <f ca="1">(_xll.DBR("CXMD:FTM_DATA_BALANCE_SHEET","Total_Customer_Supplier",I$21,$C$19,ori,"TOTAL PRODUCT","B-451010",$C$20,"Amount_BS")/1000)+(_xll.DBR("CXMD:FTM_DATA_BALANCE_SHEET","Total_Customer_Supplier",I$21,$C$19,ori,"TOTAL PRODUCT","B-451020",$C$20,"Amount_BS")/1000)+(_xll.DBR("CXMD:FTM_DATA_BALANCE_SHEET","Total_Customer_Supplier",I$21,$C$19,ori,"TOTAL PRODUCT","B-451030",$C$20,"Amount_BS")/1000)+(_xll.DBR("CXMD:FTM_DATA_BALANCE_SHEET","Total_Customer_Supplier",I$21,$C$19,ori,"TOTAL PRODUCT","B-451110",$C$20,"Amount_BS")/1000)+(_xll.DBR("CXMD:FTM_DATA_BALANCE_SHEET","Total_Customer_Supplier",I$21,$C$19,ori,"TOTAL PRODUCT","B-451210",$C$20,"Amount_BS")/1000)+(_xll.DBR("CXMD:FTM_DATA_BALANCE_SHEET","Total_Customer_Supplier",I$21,$C$19,ori,"TOTAL PRODUCT","B-451220",$C$20,"Amount_BS")/1000)+(_xll.DBR("CXMD:FTM_DATA_BALANCE_SHEET","Total_Customer_Supplier",I$21,$C$19,ori,"TOTAL PRODUCT","B-451310",$C$20,"Amount_BS")/1000)+(_xll.DBR("CXMD:FTM_DATA_BALANCE_SHEET","Total_Customer_Supplier",I$21,$C$19,ori,"TOTAL PRODUCT","B-451450",$C$20,"Amount_BS")/1000)+(_xll.DBR("CXMD:FTM_DATA_BALANCE_SHEET","Total_Customer_Supplier",I$21,$C$19,ori,"TOTAL PRODUCT","B-451510",$C$20,"Amount_BS")/1000)+(_xll.DBR("CXMD:FTM_DATA_BALANCE_SHEET","Total_Customer_Supplier",I$21,$C$19,ori,"TOTAL PRODUCT","B-451610",$C$20,"Amount_BS")/1000)+(_xll.DBR("CXMD:FTM_DATA_BALANCE_SHEET","Total_Customer_Supplier",I$21,$C$19,ori,"TOTAL PRODUCT","B-451620",$C$20,"Amount_BS")/1000)</f>
        <v>30905.344379999999</v>
      </c>
      <c r="J35" s="79">
        <f ca="1">(_xll.DBR("CXMD:FTM_DATA_BALANCE_SHEET","Total_Customer_Supplier",J$21,$C$19,ori,"TOTAL PRODUCT","B-451010",$C$20,"Amount_BS")/1000)+(_xll.DBR("CXMD:FTM_DATA_BALANCE_SHEET","Total_Customer_Supplier",J$21,$C$19,ori,"TOTAL PRODUCT","B-451020",$C$20,"Amount_BS")/1000)+(_xll.DBR("CXMD:FTM_DATA_BALANCE_SHEET","Total_Customer_Supplier",J$21,$C$19,ori,"TOTAL PRODUCT","B-451030",$C$20,"Amount_BS")/1000)+(_xll.DBR("CXMD:FTM_DATA_BALANCE_SHEET","Total_Customer_Supplier",J$21,$C$19,ori,"TOTAL PRODUCT","B-451110",$C$20,"Amount_BS")/1000)+(_xll.DBR("CXMD:FTM_DATA_BALANCE_SHEET","Total_Customer_Supplier",J$21,$C$19,ori,"TOTAL PRODUCT","B-451210",$C$20,"Amount_BS")/1000)+(_xll.DBR("CXMD:FTM_DATA_BALANCE_SHEET","Total_Customer_Supplier",J$21,$C$19,ori,"TOTAL PRODUCT","B-451220",$C$20,"Amount_BS")/1000)+(_xll.DBR("CXMD:FTM_DATA_BALANCE_SHEET","Total_Customer_Supplier",J$21,$C$19,ori,"TOTAL PRODUCT","B-451310",$C$20,"Amount_BS")/1000)+(_xll.DBR("CXMD:FTM_DATA_BALANCE_SHEET","Total_Customer_Supplier",J$21,$C$19,ori,"TOTAL PRODUCT","B-451450",$C$20,"Amount_BS")/1000)+(_xll.DBR("CXMD:FTM_DATA_BALANCE_SHEET","Total_Customer_Supplier",J$21,$C$19,ori,"TOTAL PRODUCT","B-451510",$C$20,"Amount_BS")/1000)+(_xll.DBR("CXMD:FTM_DATA_BALANCE_SHEET","Total_Customer_Supplier",J$21,$C$19,ori,"TOTAL PRODUCT","B-451610",$C$20,"Amount_BS")/1000)+(_xll.DBR("CXMD:FTM_DATA_BALANCE_SHEET","Total_Customer_Supplier",J$21,$C$19,ori,"TOTAL PRODUCT","B-451620",$C$20,"Amount_BS")/1000)</f>
        <v>28625.411989999997</v>
      </c>
      <c r="K35" s="79">
        <f ca="1">(_xll.DBR("CXMD:FTM_DATA_BALANCE_SHEET","Total_Customer_Supplier",K$21,$C$19,ori,"TOTAL PRODUCT","B-451010",$C$20,"Amount_BS")/1000)+(_xll.DBR("CXMD:FTM_DATA_BALANCE_SHEET","Total_Customer_Supplier",K$21,$C$19,ori,"TOTAL PRODUCT","B-451020",$C$20,"Amount_BS")/1000)+(_xll.DBR("CXMD:FTM_DATA_BALANCE_SHEET","Total_Customer_Supplier",K$21,$C$19,ori,"TOTAL PRODUCT","B-451030",$C$20,"Amount_BS")/1000)+(_xll.DBR("CXMD:FTM_DATA_BALANCE_SHEET","Total_Customer_Supplier",K$21,$C$19,ori,"TOTAL PRODUCT","B-451110",$C$20,"Amount_BS")/1000)+(_xll.DBR("CXMD:FTM_DATA_BALANCE_SHEET","Total_Customer_Supplier",K$21,$C$19,ori,"TOTAL PRODUCT","B-451210",$C$20,"Amount_BS")/1000)+(_xll.DBR("CXMD:FTM_DATA_BALANCE_SHEET","Total_Customer_Supplier",K$21,$C$19,ori,"TOTAL PRODUCT","B-451220",$C$20,"Amount_BS")/1000)+(_xll.DBR("CXMD:FTM_DATA_BALANCE_SHEET","Total_Customer_Supplier",K$21,$C$19,ori,"TOTAL PRODUCT","B-451310",$C$20,"Amount_BS")/1000)+(_xll.DBR("CXMD:FTM_DATA_BALANCE_SHEET","Total_Customer_Supplier",K$21,$C$19,ori,"TOTAL PRODUCT","B-451450",$C$20,"Amount_BS")/1000)+(_xll.DBR("CXMD:FTM_DATA_BALANCE_SHEET","Total_Customer_Supplier",K$21,$C$19,ori,"TOTAL PRODUCT","B-451510",$C$20,"Amount_BS")/1000)+(_xll.DBR("CXMD:FTM_DATA_BALANCE_SHEET","Total_Customer_Supplier",K$21,$C$19,ori,"TOTAL PRODUCT","B-451610",$C$20,"Amount_BS")/1000)+(_xll.DBR("CXMD:FTM_DATA_BALANCE_SHEET","Total_Customer_Supplier",K$21,$C$19,ori,"TOTAL PRODUCT","B-451620",$C$20,"Amount_BS")/1000)</f>
        <v>26762.875030000003</v>
      </c>
      <c r="L35" s="79">
        <f ca="1">(_xll.DBR("CXMD:FTM_DATA_BALANCE_SHEET","Total_Customer_Supplier",L$21,$C$19,ori,"TOTAL PRODUCT","B-451010",$C$20,"Amount_BS")/1000)+(_xll.DBR("CXMD:FTM_DATA_BALANCE_SHEET","Total_Customer_Supplier",L$21,$C$19,ori,"TOTAL PRODUCT","B-451020",$C$20,"Amount_BS")/1000)+(_xll.DBR("CXMD:FTM_DATA_BALANCE_SHEET","Total_Customer_Supplier",L$21,$C$19,ori,"TOTAL PRODUCT","B-451030",$C$20,"Amount_BS")/1000)+(_xll.DBR("CXMD:FTM_DATA_BALANCE_SHEET","Total_Customer_Supplier",L$21,$C$19,ori,"TOTAL PRODUCT","B-451110",$C$20,"Amount_BS")/1000)+(_xll.DBR("CXMD:FTM_DATA_BALANCE_SHEET","Total_Customer_Supplier",L$21,$C$19,ori,"TOTAL PRODUCT","B-451210",$C$20,"Amount_BS")/1000)+(_xll.DBR("CXMD:FTM_DATA_BALANCE_SHEET","Total_Customer_Supplier",L$21,$C$19,ori,"TOTAL PRODUCT","B-451220",$C$20,"Amount_BS")/1000)+(_xll.DBR("CXMD:FTM_DATA_BALANCE_SHEET","Total_Customer_Supplier",L$21,$C$19,ori,"TOTAL PRODUCT","B-451310",$C$20,"Amount_BS")/1000)+(_xll.DBR("CXMD:FTM_DATA_BALANCE_SHEET","Total_Customer_Supplier",L$21,$C$19,ori,"TOTAL PRODUCT","B-451450",$C$20,"Amount_BS")/1000)+(_xll.DBR("CXMD:FTM_DATA_BALANCE_SHEET","Total_Customer_Supplier",L$21,$C$19,ori,"TOTAL PRODUCT","B-451510",$C$20,"Amount_BS")/1000)+(_xll.DBR("CXMD:FTM_DATA_BALANCE_SHEET","Total_Customer_Supplier",L$21,$C$19,ori,"TOTAL PRODUCT","B-451610",$C$20,"Amount_BS")/1000)+(_xll.DBR("CXMD:FTM_DATA_BALANCE_SHEET","Total_Customer_Supplier",L$21,$C$19,ori,"TOTAL PRODUCT","B-451620",$C$20,"Amount_BS")/1000)</f>
        <v>29728.300420000003</v>
      </c>
      <c r="M35" s="79">
        <f ca="1">(_xll.DBR("CXMD:FTM_DATA_BALANCE_SHEET","Total_Customer_Supplier",M$21,$C$19,ori,"TOTAL PRODUCT","B-451010",$C$20,"Amount_BS")/1000)+(_xll.DBR("CXMD:FTM_DATA_BALANCE_SHEET","Total_Customer_Supplier",M$21,$C$19,ori,"TOTAL PRODUCT","B-451020",$C$20,"Amount_BS")/1000)+(_xll.DBR("CXMD:FTM_DATA_BALANCE_SHEET","Total_Customer_Supplier",M$21,$C$19,ori,"TOTAL PRODUCT","B-451030",$C$20,"Amount_BS")/1000)+(_xll.DBR("CXMD:FTM_DATA_BALANCE_SHEET","Total_Customer_Supplier",M$21,$C$19,ori,"TOTAL PRODUCT","B-451110",$C$20,"Amount_BS")/1000)+(_xll.DBR("CXMD:FTM_DATA_BALANCE_SHEET","Total_Customer_Supplier",M$21,$C$19,ori,"TOTAL PRODUCT","B-451210",$C$20,"Amount_BS")/1000)+(_xll.DBR("CXMD:FTM_DATA_BALANCE_SHEET","Total_Customer_Supplier",M$21,$C$19,ori,"TOTAL PRODUCT","B-451220",$C$20,"Amount_BS")/1000)+(_xll.DBR("CXMD:FTM_DATA_BALANCE_SHEET","Total_Customer_Supplier",M$21,$C$19,ori,"TOTAL PRODUCT","B-451310",$C$20,"Amount_BS")/1000)+(_xll.DBR("CXMD:FTM_DATA_BALANCE_SHEET","Total_Customer_Supplier",M$21,$C$19,ori,"TOTAL PRODUCT","B-451450",$C$20,"Amount_BS")/1000)+(_xll.DBR("CXMD:FTM_DATA_BALANCE_SHEET","Total_Customer_Supplier",M$21,$C$19,ori,"TOTAL PRODUCT","B-451510",$C$20,"Amount_BS")/1000)+(_xll.DBR("CXMD:FTM_DATA_BALANCE_SHEET","Total_Customer_Supplier",M$21,$C$19,ori,"TOTAL PRODUCT","B-451610",$C$20,"Amount_BS")/1000)+(_xll.DBR("CXMD:FTM_DATA_BALANCE_SHEET","Total_Customer_Supplier",M$21,$C$19,ori,"TOTAL PRODUCT","B-451620",$C$20,"Amount_BS")/1000)</f>
        <v>36302.643459999999</v>
      </c>
      <c r="N35" s="79">
        <f ca="1">(_xll.DBR("CXMD:FTM_DATA_BALANCE_SHEET","Total_Customer_Supplier",N$21,$C$19,ori,"TOTAL PRODUCT","B-451010",$C$20,"Amount_BS")/1000)+(_xll.DBR("CXMD:FTM_DATA_BALANCE_SHEET","Total_Customer_Supplier",N$21,$C$19,ori,"TOTAL PRODUCT","B-451020",$C$20,"Amount_BS")/1000)+(_xll.DBR("CXMD:FTM_DATA_BALANCE_SHEET","Total_Customer_Supplier",N$21,$C$19,ori,"TOTAL PRODUCT","B-451030",$C$20,"Amount_BS")/1000)+(_xll.DBR("CXMD:FTM_DATA_BALANCE_SHEET","Total_Customer_Supplier",N$21,$C$19,ori,"TOTAL PRODUCT","B-451110",$C$20,"Amount_BS")/1000)+(_xll.DBR("CXMD:FTM_DATA_BALANCE_SHEET","Total_Customer_Supplier",N$21,$C$19,ori,"TOTAL PRODUCT","B-451210",$C$20,"Amount_BS")/1000)+(_xll.DBR("CXMD:FTM_DATA_BALANCE_SHEET","Total_Customer_Supplier",N$21,$C$19,ori,"TOTAL PRODUCT","B-451220",$C$20,"Amount_BS")/1000)+(_xll.DBR("CXMD:FTM_DATA_BALANCE_SHEET","Total_Customer_Supplier",N$21,$C$19,ori,"TOTAL PRODUCT","B-451310",$C$20,"Amount_BS")/1000)+(_xll.DBR("CXMD:FTM_DATA_BALANCE_SHEET","Total_Customer_Supplier",N$21,$C$19,ori,"TOTAL PRODUCT","B-451450",$C$20,"Amount_BS")/1000)+(_xll.DBR("CXMD:FTM_DATA_BALANCE_SHEET","Total_Customer_Supplier",N$21,$C$19,ori,"TOTAL PRODUCT","B-451510",$C$20,"Amount_BS")/1000)+(_xll.DBR("CXMD:FTM_DATA_BALANCE_SHEET","Total_Customer_Supplier",N$21,$C$19,ori,"TOTAL PRODUCT","B-451610",$C$20,"Amount_BS")/1000)+(_xll.DBR("CXMD:FTM_DATA_BALANCE_SHEET","Total_Customer_Supplier",N$21,$C$19,ori,"TOTAL PRODUCT","B-451620",$C$20,"Amount_BS")/1000)</f>
        <v>34921.223029999994</v>
      </c>
      <c r="O35" s="79">
        <f ca="1">(_xll.DBR("CXMD:FTM_DATA_BALANCE_SHEET","Total_Customer_Supplier",O$21,$C$19,ori,"TOTAL PRODUCT","B-451010",$C$20,"Amount_BS")/1000)+(_xll.DBR("CXMD:FTM_DATA_BALANCE_SHEET","Total_Customer_Supplier",O$21,$C$19,ori,"TOTAL PRODUCT","B-451020",$C$20,"Amount_BS")/1000)+(_xll.DBR("CXMD:FTM_DATA_BALANCE_SHEET","Total_Customer_Supplier",O$21,$C$19,ori,"TOTAL PRODUCT","B-451030",$C$20,"Amount_BS")/1000)+(_xll.DBR("CXMD:FTM_DATA_BALANCE_SHEET","Total_Customer_Supplier",O$21,$C$19,ori,"TOTAL PRODUCT","B-451110",$C$20,"Amount_BS")/1000)+(_xll.DBR("CXMD:FTM_DATA_BALANCE_SHEET","Total_Customer_Supplier",O$21,$C$19,ori,"TOTAL PRODUCT","B-451210",$C$20,"Amount_BS")/1000)+(_xll.DBR("CXMD:FTM_DATA_BALANCE_SHEET","Total_Customer_Supplier",O$21,$C$19,ori,"TOTAL PRODUCT","B-451220",$C$20,"Amount_BS")/1000)+(_xll.DBR("CXMD:FTM_DATA_BALANCE_SHEET","Total_Customer_Supplier",O$21,$C$19,ori,"TOTAL PRODUCT","B-451310",$C$20,"Amount_BS")/1000)+(_xll.DBR("CXMD:FTM_DATA_BALANCE_SHEET","Total_Customer_Supplier",O$21,$C$19,ori,"TOTAL PRODUCT","B-451450",$C$20,"Amount_BS")/1000)+(_xll.DBR("CXMD:FTM_DATA_BALANCE_SHEET","Total_Customer_Supplier",O$21,$C$19,ori,"TOTAL PRODUCT","B-451510",$C$20,"Amount_BS")/1000)+(_xll.DBR("CXMD:FTM_DATA_BALANCE_SHEET","Total_Customer_Supplier",O$21,$C$19,ori,"TOTAL PRODUCT","B-451610",$C$20,"Amount_BS")/1000)+(_xll.DBR("CXMD:FTM_DATA_BALANCE_SHEET","Total_Customer_Supplier",O$21,$C$19,ori,"TOTAL PRODUCT","B-451620",$C$20,"Amount_BS")/1000)</f>
        <v>31415.091999999997</v>
      </c>
      <c r="P35" s="111">
        <f t="shared" ref="P35" ca="1" si="7">SUM(D35:O35)</f>
        <v>371754.64548000001</v>
      </c>
    </row>
    <row r="36" spans="2:16" ht="15.75" thickBot="1" x14ac:dyDescent="0.3">
      <c r="B36" s="47"/>
      <c r="C36" s="89" t="s">
        <v>52</v>
      </c>
      <c r="D36" s="49">
        <f ca="1">IF(D25&lt;&gt;0,D35/D25,0)</f>
        <v>8.8981621329653537E-2</v>
      </c>
      <c r="E36" s="49">
        <f t="shared" ref="E36:O36" ca="1" si="8">IF(E25&lt;&gt;0,E35/E25,0)</f>
        <v>7.9441279515753693E-2</v>
      </c>
      <c r="F36" s="49">
        <f t="shared" ca="1" si="8"/>
        <v>8.902154073864367E-2</v>
      </c>
      <c r="G36" s="49">
        <f t="shared" ca="1" si="8"/>
        <v>9.9988831447585094E-2</v>
      </c>
      <c r="H36" s="49">
        <f t="shared" ca="1" si="8"/>
        <v>8.496409193414782E-2</v>
      </c>
      <c r="I36" s="49">
        <f t="shared" ca="1" si="8"/>
        <v>8.3232173527913303E-2</v>
      </c>
      <c r="J36" s="49">
        <f t="shared" ca="1" si="8"/>
        <v>7.9251445184889635E-2</v>
      </c>
      <c r="K36" s="49">
        <f t="shared" ca="1" si="8"/>
        <v>7.3798270994259244E-2</v>
      </c>
      <c r="L36" s="49">
        <f t="shared" ca="1" si="8"/>
        <v>8.6853403776361679E-2</v>
      </c>
      <c r="M36" s="49">
        <f t="shared" ca="1" si="8"/>
        <v>0.11098872762356922</v>
      </c>
      <c r="N36" s="49">
        <f t="shared" ca="1" si="8"/>
        <v>0.10624386322791096</v>
      </c>
      <c r="O36" s="49">
        <f t="shared" ca="1" si="8"/>
        <v>0.12275116194627987</v>
      </c>
      <c r="P36" s="112">
        <f ca="1">IF(P25&lt;&gt;0,P35/P25,0)</f>
        <v>9.1046333919764022E-2</v>
      </c>
    </row>
    <row r="37" spans="2:16" x14ac:dyDescent="0.25">
      <c r="B37" s="3" t="s">
        <v>8</v>
      </c>
      <c r="C37" s="82" t="s">
        <v>11</v>
      </c>
      <c r="D37" s="59">
        <f ca="1">_xll.DBR("CXMD:FTM_DATA_BALANCE_SHEET","Total_Customer_Supplier",D$21,$C$19,ori,"TOTAL PRODUCT","B-453010",$C$20,"Amount_BS")/1000</f>
        <v>-14389.18346</v>
      </c>
      <c r="E37" s="59">
        <f ca="1">_xll.DBR("CXMD:FTM_DATA_BALANCE_SHEET","Total_Customer_Supplier",E$21,$C$19,ori,"TOTAL PRODUCT","B-453010",$C$20,"Amount_BS")/1000</f>
        <v>4247.0621600000004</v>
      </c>
      <c r="F37" s="59">
        <f ca="1">_xll.DBR("CXMD:FTM_DATA_BALANCE_SHEET","Total_Customer_Supplier",F$21,$C$19,ori,"TOTAL PRODUCT","B-453010",$C$20,"Amount_BS")/1000</f>
        <v>2508.6431200000002</v>
      </c>
      <c r="G37" s="59">
        <f ca="1">_xll.DBR("CXMD:FTM_DATA_BALANCE_SHEET","Total_Customer_Supplier",G$21,$C$19,ori,"TOTAL PRODUCT","B-453010",$C$20,"Amount_BS")/1000</f>
        <v>599.29278000000068</v>
      </c>
      <c r="H37" s="59">
        <f ca="1">_xll.DBR("CXMD:FTM_DATA_BALANCE_SHEET","Total_Customer_Supplier",H$21,$C$19,ori,"TOTAL PRODUCT","B-453010",$C$20,"Amount_BS")/1000</f>
        <v>-466.32202000000132</v>
      </c>
      <c r="I37" s="59">
        <f ca="1">_xll.DBR("CXMD:FTM_DATA_BALANCE_SHEET","Total_Customer_Supplier",I$21,$C$19,ori,"TOTAL PRODUCT","B-453010",$C$20,"Amount_BS")/1000</f>
        <v>96.675750000001287</v>
      </c>
      <c r="J37" s="59">
        <f ca="1">_xll.DBR("CXMD:FTM_DATA_BALANCE_SHEET","Total_Customer_Supplier",J$21,$C$19,ori,"TOTAL PRODUCT","B-453010",$C$20,"Amount_BS")/1000</f>
        <v>2041.2398600000004</v>
      </c>
      <c r="K37" s="59">
        <f ca="1">_xll.DBR("CXMD:FTM_DATA_BALANCE_SHEET","Total_Customer_Supplier",K$21,$C$19,ori,"TOTAL PRODUCT","B-453010",$C$20,"Amount_BS")/1000</f>
        <v>-1527.4296600000002</v>
      </c>
      <c r="L37" s="59">
        <f ca="1">_xll.DBR("CXMD:FTM_DATA_BALANCE_SHEET","Total_Customer_Supplier",L$21,$C$19,ori,"TOTAL PRODUCT","B-453010",$C$20,"Amount_BS")/1000</f>
        <v>1115.7118699999971</v>
      </c>
      <c r="M37" s="59">
        <f ca="1">_xll.DBR("CXMD:FTM_DATA_BALANCE_SHEET","Total_Customer_Supplier",M$21,$C$19,ori,"TOTAL PRODUCT","B-453010",$C$20,"Amount_BS")/1000</f>
        <v>-330.48168000000038</v>
      </c>
      <c r="N37" s="59">
        <f ca="1">_xll.DBR("CXMD:FTM_DATA_BALANCE_SHEET","Total_Customer_Supplier",N$21,$C$19,ori,"TOTAL PRODUCT","B-453010",$C$20,"Amount_BS")/1000</f>
        <v>-206.34480000000141</v>
      </c>
      <c r="O37" s="59">
        <f ca="1">_xll.DBR("CXMD:FTM_DATA_BALANCE_SHEET","Total_Customer_Supplier",O$21,$C$19,ori,"TOTAL PRODUCT","B-453010",$C$20,"Amount_BS")/1000</f>
        <v>2811.9653800000006</v>
      </c>
      <c r="P37" s="101">
        <f ca="1">SUM(D37:O37)</f>
        <v>-3499.1707000000024</v>
      </c>
    </row>
    <row r="38" spans="2:16" ht="15.75" thickBot="1" x14ac:dyDescent="0.3">
      <c r="B38" s="3" t="s">
        <v>9</v>
      </c>
      <c r="C38" s="82" t="s">
        <v>11</v>
      </c>
      <c r="D38" s="59">
        <f ca="1">(_xll.DBR("CXMD:FTM_DATA_BALANCE_SHEET","Total_Customer_Supplier",D$21,$C$19,ori,"TOTAL PRODUCT","B-470010",$C$20,"Amount_BS")/1000)+(_xll.DBR("CXMD:FTM_DATA_BALANCE_SHEET","Total_Customer_Supplier",D$21,$C$19,ori,"TOTAL PRODUCT","B-475010",$C$20,"Amount_BS")/1000)</f>
        <v>3386.4850200000005</v>
      </c>
      <c r="E38" s="59">
        <f ca="1">(_xll.DBR("CXMD:FTM_DATA_BALANCE_SHEET","Total_Customer_Supplier",E$21,$C$19,ori,"TOTAL PRODUCT","B-470010",$C$20,"Amount_BS")/1000)+(_xll.DBR("CXMD:FTM_DATA_BALANCE_SHEET","Total_Customer_Supplier",E$21,$C$19,ori,"TOTAL PRODUCT","B-475010",$C$20,"Amount_BS")/1000)</f>
        <v>3446.3820499999997</v>
      </c>
      <c r="F38" s="59">
        <f ca="1">(_xll.DBR("CXMD:FTM_DATA_BALANCE_SHEET","Total_Customer_Supplier",F$21,$C$19,ori,"TOTAL PRODUCT","B-470010",$C$20,"Amount_BS")/1000)+(_xll.DBR("CXMD:FTM_DATA_BALANCE_SHEET","Total_Customer_Supplier",F$21,$C$19,ori,"TOTAL PRODUCT","B-475010",$C$20,"Amount_BS")/1000)</f>
        <v>3248.5829400000002</v>
      </c>
      <c r="G38" s="59">
        <f ca="1">(_xll.DBR("CXMD:FTM_DATA_BALANCE_SHEET","Total_Customer_Supplier",G$21,$C$19,ori,"TOTAL PRODUCT","B-470010",$C$20,"Amount_BS")/1000)+(_xll.DBR("CXMD:FTM_DATA_BALANCE_SHEET","Total_Customer_Supplier",G$21,$C$19,ori,"TOTAL PRODUCT","B-475010",$C$20,"Amount_BS")/1000)</f>
        <v>3315.1649000000007</v>
      </c>
      <c r="H38" s="59">
        <f ca="1">(_xll.DBR("CXMD:FTM_DATA_BALANCE_SHEET","Total_Customer_Supplier",H$21,$C$19,ori,"TOTAL PRODUCT","B-470010",$C$20,"Amount_BS")/1000)+(_xll.DBR("CXMD:FTM_DATA_BALANCE_SHEET","Total_Customer_Supplier",H$21,$C$19,ori,"TOTAL PRODUCT","B-475010",$C$20,"Amount_BS")/1000)</f>
        <v>3356.0761899999989</v>
      </c>
      <c r="I38" s="59">
        <f ca="1">(_xll.DBR("CXMD:FTM_DATA_BALANCE_SHEET","Total_Customer_Supplier",I$21,$C$19,ori,"TOTAL PRODUCT","B-470010",$C$20,"Amount_BS")/1000)+(_xll.DBR("CXMD:FTM_DATA_BALANCE_SHEET","Total_Customer_Supplier",I$21,$C$19,ori,"TOTAL PRODUCT","B-475010",$C$20,"Amount_BS")/1000)</f>
        <v>3390.1403000000009</v>
      </c>
      <c r="J38" s="59">
        <f ca="1">(_xll.DBR("CXMD:FTM_DATA_BALANCE_SHEET","Total_Customer_Supplier",J$21,$C$19,ori,"TOTAL PRODUCT","B-470010",$C$20,"Amount_BS")/1000)+(_xll.DBR("CXMD:FTM_DATA_BALANCE_SHEET","Total_Customer_Supplier",J$21,$C$19,ori,"TOTAL PRODUCT","B-475010",$C$20,"Amount_BS")/1000)</f>
        <v>3385.8417799999988</v>
      </c>
      <c r="K38" s="59">
        <f ca="1">(_xll.DBR("CXMD:FTM_DATA_BALANCE_SHEET","Total_Customer_Supplier",K$21,$C$19,ori,"TOTAL PRODUCT","B-470010",$C$20,"Amount_BS")/1000)+(_xll.DBR("CXMD:FTM_DATA_BALANCE_SHEET","Total_Customer_Supplier",K$21,$C$19,ori,"TOTAL PRODUCT","B-475010",$C$20,"Amount_BS")/1000)</f>
        <v>3432.8226600000012</v>
      </c>
      <c r="L38" s="59">
        <f ca="1">(_xll.DBR("CXMD:FTM_DATA_BALANCE_SHEET","Total_Customer_Supplier",L$21,$C$19,ori,"TOTAL PRODUCT","B-470010",$C$20,"Amount_BS")/1000)+(_xll.DBR("CXMD:FTM_DATA_BALANCE_SHEET","Total_Customer_Supplier",L$21,$C$19,ori,"TOTAL PRODUCT","B-475010",$C$20,"Amount_BS")/1000)</f>
        <v>3145.5872500000023</v>
      </c>
      <c r="M38" s="59">
        <f ca="1">(_xll.DBR("CXMD:FTM_DATA_BALANCE_SHEET","Total_Customer_Supplier",M$21,$C$19,ori,"TOTAL PRODUCT","B-470010",$C$20,"Amount_BS")/1000)+(_xll.DBR("CXMD:FTM_DATA_BALANCE_SHEET","Total_Customer_Supplier",M$21,$C$19,ori,"TOTAL PRODUCT","B-475010",$C$20,"Amount_BS")/1000)</f>
        <v>3140.9816400000018</v>
      </c>
      <c r="N38" s="59">
        <f ca="1">(_xll.DBR("CXMD:FTM_DATA_BALANCE_SHEET","Total_Customer_Supplier",N$21,$C$19,ori,"TOTAL PRODUCT","B-470010",$C$20,"Amount_BS")/1000)+(_xll.DBR("CXMD:FTM_DATA_BALANCE_SHEET","Total_Customer_Supplier",N$21,$C$19,ori,"TOTAL PRODUCT","B-475010",$C$20,"Amount_BS")/1000)</f>
        <v>3154.1038400000029</v>
      </c>
      <c r="O38" s="59">
        <f ca="1">(_xll.DBR("CXMD:FTM_DATA_BALANCE_SHEET","Total_Customer_Supplier",O$21,$C$19,ori,"TOTAL PRODUCT","B-470010",$C$20,"Amount_BS")/1000)+(_xll.DBR("CXMD:FTM_DATA_BALANCE_SHEET","Total_Customer_Supplier",O$21,$C$19,ori,"TOTAL PRODUCT","B-475010",$C$20,"Amount_BS")/1000)</f>
        <v>3300.1831500000017</v>
      </c>
      <c r="P38" s="101">
        <f ca="1">SUM(D38:O38)</f>
        <v>39702.351720000021</v>
      </c>
    </row>
    <row r="39" spans="2:16" ht="15.75" x14ac:dyDescent="0.25">
      <c r="B39" s="50" t="s">
        <v>44</v>
      </c>
      <c r="C39" s="51"/>
      <c r="D39" s="80">
        <f ca="1">D27-D29-D33-D35-D37-D38-D28</f>
        <v>86917.47015999991</v>
      </c>
      <c r="E39" s="80">
        <f t="shared" ref="E39:O39" ca="1" si="9">E27-E29-E33-E35-E37-E38-E28</f>
        <v>70173.044439999983</v>
      </c>
      <c r="F39" s="80">
        <f t="shared" ca="1" si="9"/>
        <v>42198.059820000002</v>
      </c>
      <c r="G39" s="80">
        <f t="shared" ca="1" si="9"/>
        <v>36734.624049999926</v>
      </c>
      <c r="H39" s="80">
        <f t="shared" ca="1" si="9"/>
        <v>68398.344069999948</v>
      </c>
      <c r="I39" s="80">
        <f t="shared" ca="1" si="9"/>
        <v>62307.06377999996</v>
      </c>
      <c r="J39" s="80">
        <f t="shared" ca="1" si="9"/>
        <v>70679.444809999957</v>
      </c>
      <c r="K39" s="80">
        <f t="shared" ca="1" si="9"/>
        <v>106805.41190999988</v>
      </c>
      <c r="L39" s="80">
        <f t="shared" ca="1" si="9"/>
        <v>79496.967719999971</v>
      </c>
      <c r="M39" s="80">
        <f t="shared" ca="1" si="9"/>
        <v>34113.030929999994</v>
      </c>
      <c r="N39" s="80">
        <f t="shared" ca="1" si="9"/>
        <v>19694.39175000017</v>
      </c>
      <c r="O39" s="80">
        <f t="shared" ca="1" si="9"/>
        <v>16398.407869999959</v>
      </c>
      <c r="P39" s="113">
        <f t="shared" ref="P39" ca="1" si="10">SUM(D39:O39)</f>
        <v>693916.26130999974</v>
      </c>
    </row>
    <row r="40" spans="2:16" ht="15.75" thickBot="1" x14ac:dyDescent="0.3">
      <c r="B40" s="52"/>
      <c r="C40" s="90" t="s">
        <v>45</v>
      </c>
      <c r="D40" s="54">
        <f ca="1">IF(D23&lt;&gt;0,D39/D23,0)</f>
        <v>0.24154242477506324</v>
      </c>
      <c r="E40" s="54">
        <f t="shared" ref="E40:O40" ca="1" si="11">IF(E23&lt;&gt;0,E39/E23,0)</f>
        <v>0.20617793031328621</v>
      </c>
      <c r="F40" s="54">
        <f t="shared" ca="1" si="11"/>
        <v>0.11924863809662474</v>
      </c>
      <c r="G40" s="54">
        <f t="shared" ca="1" si="11"/>
        <v>0.11364577324396248</v>
      </c>
      <c r="H40" s="54">
        <f t="shared" ca="1" si="11"/>
        <v>0.19029442886524917</v>
      </c>
      <c r="I40" s="54">
        <f t="shared" ca="1" si="11"/>
        <v>0.16401182681847107</v>
      </c>
      <c r="J40" s="54">
        <f t="shared" ca="1" si="11"/>
        <v>0.18595232574446588</v>
      </c>
      <c r="K40" s="54">
        <f t="shared" ca="1" si="11"/>
        <v>0.29433218763342228</v>
      </c>
      <c r="L40" s="54">
        <f t="shared" ca="1" si="11"/>
        <v>0.24368199332969401</v>
      </c>
      <c r="M40" s="54">
        <f t="shared" ca="1" si="11"/>
        <v>0.10768443922462269</v>
      </c>
      <c r="N40" s="54">
        <f t="shared" ca="1" si="11"/>
        <v>6.1930384658445616E-2</v>
      </c>
      <c r="O40" s="54">
        <f t="shared" ca="1" si="11"/>
        <v>6.5063380897444401E-2</v>
      </c>
      <c r="P40" s="114">
        <f ca="1">IF(P23&lt;&gt;0,P39/P23,0)</f>
        <v>0.17038399519983038</v>
      </c>
    </row>
    <row r="41" spans="2:16" ht="15.75" thickBot="1" x14ac:dyDescent="0.3">
      <c r="B41" s="3" t="s">
        <v>10</v>
      </c>
      <c r="C41" s="82" t="s">
        <v>11</v>
      </c>
      <c r="D41" s="59">
        <f ca="1">(_xll.DBR("CXMD:FTM_DATA_BALANCE_SHEET","Total_Customer_Supplier",D$21,$C$19,ori,"TOTAL PRODUCT","B-560020",$C$20,"Amount_BS")/1000)+(_xll.DBR("CXMD:FTM_DATA_BALANCE_SHEET","Total_Customer_Supplier",D$21,$C$19,ori,"TOTAL PRODUCT","B-561010",$C$20,"Amount_BS")/1000)</f>
        <v>462.46413000000007</v>
      </c>
      <c r="E41" s="59">
        <f ca="1">(_xll.DBR("CXMD:FTM_DATA_BALANCE_SHEET","Total_Customer_Supplier",E$21,$C$19,ori,"TOTAL PRODUCT","B-560020",$C$20,"Amount_BS")/1000)+(_xll.DBR("CXMD:FTM_DATA_BALANCE_SHEET","Total_Customer_Supplier",E$21,$C$19,ori,"TOTAL PRODUCT","B-561010",$C$20,"Amount_BS")/1000)</f>
        <v>462.46413000000007</v>
      </c>
      <c r="F41" s="59">
        <f ca="1">(_xll.DBR("CXMD:FTM_DATA_BALANCE_SHEET","Total_Customer_Supplier",F$21,$C$19,ori,"TOTAL PRODUCT","B-560020",$C$20,"Amount_BS")/1000)+(_xll.DBR("CXMD:FTM_DATA_BALANCE_SHEET","Total_Customer_Supplier",F$21,$C$19,ori,"TOTAL PRODUCT","B-561010",$C$20,"Amount_BS")/1000)</f>
        <v>462.46413000000007</v>
      </c>
      <c r="G41" s="59">
        <f ca="1">(_xll.DBR("CXMD:FTM_DATA_BALANCE_SHEET","Total_Customer_Supplier",G$21,$C$19,ori,"TOTAL PRODUCT","B-560020",$C$20,"Amount_BS")/1000)+(_xll.DBR("CXMD:FTM_DATA_BALANCE_SHEET","Total_Customer_Supplier",G$21,$C$19,ori,"TOTAL PRODUCT","B-561010",$C$20,"Amount_BS")/1000)</f>
        <v>799.42713000000003</v>
      </c>
      <c r="H41" s="59">
        <f ca="1">(_xll.DBR("CXMD:FTM_DATA_BALANCE_SHEET","Total_Customer_Supplier",H$21,$C$19,ori,"TOTAL PRODUCT","B-560020",$C$20,"Amount_BS")/1000)+(_xll.DBR("CXMD:FTM_DATA_BALANCE_SHEET","Total_Customer_Supplier",H$21,$C$19,ori,"TOTAL PRODUCT","B-561010",$C$20,"Amount_BS")/1000)</f>
        <v>462.46413000000007</v>
      </c>
      <c r="I41" s="59">
        <f ca="1">(_xll.DBR("CXMD:FTM_DATA_BALANCE_SHEET","Total_Customer_Supplier",I$21,$C$19,ori,"TOTAL PRODUCT","B-560020",$C$20,"Amount_BS")/1000)+(_xll.DBR("CXMD:FTM_DATA_BALANCE_SHEET","Total_Customer_Supplier",I$21,$C$19,ori,"TOTAL PRODUCT","B-561010",$C$20,"Amount_BS")/1000)</f>
        <v>462.46413000000007</v>
      </c>
      <c r="J41" s="59">
        <f ca="1">(_xll.DBR("CXMD:FTM_DATA_BALANCE_SHEET","Total_Customer_Supplier",J$21,$C$19,ori,"TOTAL PRODUCT","B-560020",$C$20,"Amount_BS")/1000)+(_xll.DBR("CXMD:FTM_DATA_BALANCE_SHEET","Total_Customer_Supplier",J$21,$C$19,ori,"TOTAL PRODUCT","B-561010",$C$20,"Amount_BS")/1000)</f>
        <v>462.46413000000007</v>
      </c>
      <c r="K41" s="59">
        <f ca="1">(_xll.DBR("CXMD:FTM_DATA_BALANCE_SHEET","Total_Customer_Supplier",K$21,$C$19,ori,"TOTAL PRODUCT","B-560020",$C$20,"Amount_BS")/1000)+(_xll.DBR("CXMD:FTM_DATA_BALANCE_SHEET","Total_Customer_Supplier",K$21,$C$19,ori,"TOTAL PRODUCT","B-561010",$C$20,"Amount_BS")/1000)</f>
        <v>462.46413000000007</v>
      </c>
      <c r="L41" s="59">
        <f ca="1">(_xll.DBR("CXMD:FTM_DATA_BALANCE_SHEET","Total_Customer_Supplier",L$21,$C$19,ori,"TOTAL PRODUCT","B-560020",$C$20,"Amount_BS")/1000)+(_xll.DBR("CXMD:FTM_DATA_BALANCE_SHEET","Total_Customer_Supplier",L$21,$C$19,ori,"TOTAL PRODUCT","B-561010",$C$20,"Amount_BS")/1000)</f>
        <v>462.46413000000007</v>
      </c>
      <c r="M41" s="59">
        <f ca="1">(_xll.DBR("CXMD:FTM_DATA_BALANCE_SHEET","Total_Customer_Supplier",M$21,$C$19,ori,"TOTAL PRODUCT","B-560020",$C$20,"Amount_BS")/1000)+(_xll.DBR("CXMD:FTM_DATA_BALANCE_SHEET","Total_Customer_Supplier",M$21,$C$19,ori,"TOTAL PRODUCT","B-561010",$C$20,"Amount_BS")/1000)</f>
        <v>462.46412999999995</v>
      </c>
      <c r="N41" s="59">
        <f ca="1">(_xll.DBR("CXMD:FTM_DATA_BALANCE_SHEET","Total_Customer_Supplier",N$21,$C$19,ori,"TOTAL PRODUCT","B-560020",$C$20,"Amount_BS")/1000)+(_xll.DBR("CXMD:FTM_DATA_BALANCE_SHEET","Total_Customer_Supplier",N$21,$C$19,ori,"TOTAL PRODUCT","B-561010",$C$20,"Amount_BS")/1000)</f>
        <v>836.01812999999981</v>
      </c>
      <c r="O41" s="59">
        <f ca="1">(_xll.DBR("CXMD:FTM_DATA_BALANCE_SHEET","Total_Customer_Supplier",O$21,$C$19,ori,"TOTAL PRODUCT","B-560020",$C$20,"Amount_BS")/1000)+(_xll.DBR("CXMD:FTM_DATA_BALANCE_SHEET","Total_Customer_Supplier",O$21,$C$19,ori,"TOTAL PRODUCT","B-561010",$C$20,"Amount_BS")/1000)</f>
        <v>98.335599999999886</v>
      </c>
      <c r="P41" s="101">
        <f ca="1">SUM(D41:O41)</f>
        <v>5895.9580300000016</v>
      </c>
    </row>
    <row r="42" spans="2:16" ht="15.75" x14ac:dyDescent="0.25">
      <c r="B42" s="50" t="s">
        <v>46</v>
      </c>
      <c r="C42" s="51"/>
      <c r="D42" s="80">
        <f ca="1">D39-D41</f>
        <v>86455.006029999917</v>
      </c>
      <c r="E42" s="80">
        <f t="shared" ref="E42:O42" ca="1" si="12">E39-E41</f>
        <v>69710.58030999999</v>
      </c>
      <c r="F42" s="80">
        <f t="shared" ca="1" si="12"/>
        <v>41735.595690000002</v>
      </c>
      <c r="G42" s="80">
        <f t="shared" ca="1" si="12"/>
        <v>35935.196919999929</v>
      </c>
      <c r="H42" s="80">
        <f t="shared" ca="1" si="12"/>
        <v>67935.879939999955</v>
      </c>
      <c r="I42" s="80">
        <f t="shared" ca="1" si="12"/>
        <v>61844.59964999996</v>
      </c>
      <c r="J42" s="80">
        <f t="shared" ca="1" si="12"/>
        <v>70216.980679999964</v>
      </c>
      <c r="K42" s="80">
        <f t="shared" ca="1" si="12"/>
        <v>106342.94777999989</v>
      </c>
      <c r="L42" s="80">
        <f t="shared" ca="1" si="12"/>
        <v>79034.503589999978</v>
      </c>
      <c r="M42" s="80">
        <f t="shared" ca="1" si="12"/>
        <v>33650.566799999993</v>
      </c>
      <c r="N42" s="80">
        <f t="shared" ca="1" si="12"/>
        <v>18858.373620000169</v>
      </c>
      <c r="O42" s="80">
        <f t="shared" ca="1" si="12"/>
        <v>16300.072269999959</v>
      </c>
      <c r="P42" s="113">
        <f t="shared" ref="P42" ca="1" si="13">SUM(D42:O42)</f>
        <v>688020.30327999988</v>
      </c>
    </row>
    <row r="43" spans="2:16" ht="15.75" thickBot="1" x14ac:dyDescent="0.3">
      <c r="B43" s="52"/>
      <c r="C43" s="90" t="s">
        <v>45</v>
      </c>
      <c r="D43" s="54">
        <f ca="1">IF(D23&lt;&gt;0,D42/D23,0)</f>
        <v>0.24025724347461744</v>
      </c>
      <c r="E43" s="54">
        <f t="shared" ref="E43:O43" ca="1" si="14">IF(E23&lt;&gt;0,E42/E23,0)</f>
        <v>0.20481914792143688</v>
      </c>
      <c r="F43" s="54">
        <f t="shared" ca="1" si="14"/>
        <v>0.11794174820864693</v>
      </c>
      <c r="G43" s="54">
        <f t="shared" ca="1" si="14"/>
        <v>0.11117258843016413</v>
      </c>
      <c r="H43" s="54">
        <f t="shared" ca="1" si="14"/>
        <v>0.18900778444884417</v>
      </c>
      <c r="I43" s="54">
        <f t="shared" ca="1" si="14"/>
        <v>0.16279447549106568</v>
      </c>
      <c r="J43" s="54">
        <f t="shared" ca="1" si="14"/>
        <v>0.18473561725477608</v>
      </c>
      <c r="K43" s="54">
        <f t="shared" ca="1" si="14"/>
        <v>0.29305773836488164</v>
      </c>
      <c r="L43" s="54">
        <f t="shared" ca="1" si="14"/>
        <v>0.24226440239164959</v>
      </c>
      <c r="M43" s="54">
        <f t="shared" ca="1" si="14"/>
        <v>0.10622458094926911</v>
      </c>
      <c r="N43" s="54">
        <f t="shared" ca="1" si="14"/>
        <v>5.9301467501238464E-2</v>
      </c>
      <c r="O43" s="54">
        <f t="shared" ca="1" si="14"/>
        <v>6.46732182274279E-2</v>
      </c>
      <c r="P43" s="114">
        <f ca="1">IF(P23&lt;&gt;0,P42/P23,0)</f>
        <v>0.16893630339507945</v>
      </c>
    </row>
    <row r="44" spans="2:16" hidden="1" x14ac:dyDescent="0.25"/>
    <row r="45" spans="2:16" hidden="1" x14ac:dyDescent="0.25"/>
    <row r="46" spans="2:16" hidden="1" x14ac:dyDescent="0.25"/>
    <row r="47" spans="2:16" hidden="1" x14ac:dyDescent="0.25"/>
    <row r="48" spans="2:16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4337" r:id="rId4" name="TIButton1">
          <controlPr defaultSize="0" print="0" autoLine="0" autoPict="0" r:id="rId5">
            <anchor moveWithCells="1">
              <from>
                <xdr:col>3</xdr:col>
                <xdr:colOff>600075</xdr:colOff>
                <xdr:row>16</xdr:row>
                <xdr:rowOff>104775</xdr:rowOff>
              </from>
              <to>
                <xdr:col>5</xdr:col>
                <xdr:colOff>476250</xdr:colOff>
                <xdr:row>17</xdr:row>
                <xdr:rowOff>219075</xdr:rowOff>
              </to>
            </anchor>
          </controlPr>
        </control>
      </mc:Choice>
      <mc:Fallback>
        <control shapeId="14337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/>
  <dimension ref="A1:P81"/>
  <sheetViews>
    <sheetView showGridLines="0" zoomScale="90" zoomScaleNormal="90" workbookViewId="0">
      <pane xSplit="3" ySplit="22" topLeftCell="D23" activePane="bottomRight" state="frozen"/>
      <selection activeCell="B10" sqref="B10"/>
      <selection pane="topRight" activeCell="D10" sqref="D10"/>
      <selection pane="bottomLeft" activeCell="B32" sqref="B32"/>
      <selection pane="bottomRight" activeCell="C18" sqref="C18"/>
    </sheetView>
  </sheetViews>
  <sheetFormatPr defaultColWidth="0" defaultRowHeight="0" customHeight="1" zeroHeight="1" x14ac:dyDescent="0.25"/>
  <cols>
    <col min="1" max="1" width="20.140625" hidden="1" customWidth="1"/>
    <col min="2" max="2" width="43.140625" customWidth="1"/>
    <col min="3" max="3" width="29.140625" customWidth="1"/>
    <col min="4" max="4" width="16.7109375" style="57" customWidth="1"/>
    <col min="5" max="15" width="16.7109375" customWidth="1"/>
    <col min="16" max="16" width="0" hidden="1" customWidth="1"/>
    <col min="17" max="16384" width="11.42578125" hidden="1"/>
  </cols>
  <sheetData>
    <row r="1" spans="1:15" ht="15" hidden="1" x14ac:dyDescent="0.25"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ht="15" hidden="1" x14ac:dyDescent="0.25">
      <c r="B2" s="1"/>
      <c r="C2" s="2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hidden="1" x14ac:dyDescent="0.25">
      <c r="B3" s="2"/>
      <c r="C3" s="9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1:15" ht="15" hidden="1" x14ac:dyDescent="0.25">
      <c r="B4" s="2"/>
      <c r="C4" s="10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</row>
    <row r="5" spans="1:15" ht="15" hidden="1" x14ac:dyDescent="0.25">
      <c r="B5" s="2"/>
      <c r="C5" s="11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ht="15" hidden="1" x14ac:dyDescent="0.25">
      <c r="B6" s="2"/>
      <c r="C6" s="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 ht="15" hidden="1" x14ac:dyDescent="0.25">
      <c r="B7" s="2"/>
      <c r="C7" s="12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</row>
    <row r="8" spans="1:15" ht="15" hidden="1" x14ac:dyDescent="0.25"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hidden="1" x14ac:dyDescent="0.25"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1:15" ht="15" x14ac:dyDescent="0.25">
      <c r="A10" s="5"/>
      <c r="B10" s="5"/>
      <c r="C10" s="5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</row>
    <row r="11" spans="1:15" ht="15" x14ac:dyDescent="0.25">
      <c r="A11" s="5"/>
      <c r="B11" s="5"/>
      <c r="C11" s="5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</row>
    <row r="12" spans="1:15" ht="15" x14ac:dyDescent="0.25">
      <c r="A12" s="5"/>
      <c r="B12" s="5"/>
      <c r="C12" s="5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</row>
    <row r="13" spans="1:15" ht="15" x14ac:dyDescent="0.25">
      <c r="A13" s="5"/>
      <c r="B13" s="5"/>
      <c r="C13" s="5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</row>
    <row r="14" spans="1:15" ht="14.25" hidden="1" customHeight="1" x14ac:dyDescent="0.25">
      <c r="A14" s="5"/>
      <c r="B14" s="5"/>
      <c r="C14" s="5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</row>
    <row r="15" spans="1:15" ht="15" hidden="1" x14ac:dyDescent="0.25">
      <c r="A15" s="5"/>
      <c r="B15" s="5"/>
      <c r="C15" s="5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</row>
    <row r="16" spans="1:15" ht="15" hidden="1" x14ac:dyDescent="0.25">
      <c r="A16" s="5"/>
      <c r="B16" s="5"/>
      <c r="C16" s="5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</row>
    <row r="17" spans="1:15" ht="15" x14ac:dyDescent="0.25">
      <c r="A17" s="6"/>
      <c r="B17" s="8"/>
      <c r="C17" s="7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1:15" ht="21" x14ac:dyDescent="0.35">
      <c r="A18" s="6"/>
      <c r="B18" s="8" t="s">
        <v>0</v>
      </c>
      <c r="C18" s="7" t="str">
        <f ca="1">origine</f>
        <v>Total Origin Company</v>
      </c>
      <c r="D18" s="70"/>
      <c r="E18" s="70"/>
      <c r="F18" s="70"/>
      <c r="G18" s="70"/>
      <c r="H18" s="72" t="s">
        <v>83</v>
      </c>
      <c r="I18" s="70"/>
      <c r="J18" s="70"/>
      <c r="K18" s="70"/>
      <c r="L18" s="70"/>
      <c r="M18" s="70"/>
      <c r="N18" s="70"/>
      <c r="O18" s="70"/>
    </row>
    <row r="19" spans="1:15" ht="15" x14ac:dyDescent="0.25">
      <c r="A19" s="6"/>
      <c r="B19" s="8" t="s">
        <v>69</v>
      </c>
      <c r="C19" s="7" t="str">
        <f ca="1">'P&amp;L Month by CC summary'!C19</f>
        <v>AC2022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1:15" ht="15" x14ac:dyDescent="0.25">
      <c r="A20" s="6"/>
      <c r="B20" s="8" t="s">
        <v>68</v>
      </c>
      <c r="C20" s="7" t="str">
        <f ca="1">'P&amp;L Month by CC summary'!C20</f>
        <v>Total Allocation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1:15" ht="31.5" customHeight="1" x14ac:dyDescent="0.25">
      <c r="A21" s="6"/>
      <c r="B21" s="13"/>
      <c r="C21" s="55" t="s">
        <v>51</v>
      </c>
      <c r="D21" s="96" t="s">
        <v>71</v>
      </c>
      <c r="E21" s="96" t="s">
        <v>72</v>
      </c>
      <c r="F21" s="96" t="s">
        <v>73</v>
      </c>
      <c r="G21" s="96" t="s">
        <v>74</v>
      </c>
      <c r="H21" s="96" t="s">
        <v>75</v>
      </c>
      <c r="I21" s="96" t="s">
        <v>76</v>
      </c>
      <c r="J21" s="96" t="s">
        <v>77</v>
      </c>
      <c r="K21" s="96" t="s">
        <v>78</v>
      </c>
      <c r="L21" s="96" t="s">
        <v>79</v>
      </c>
      <c r="M21" s="96" t="s">
        <v>80</v>
      </c>
      <c r="N21" s="96" t="s">
        <v>81</v>
      </c>
      <c r="O21" s="97" t="s">
        <v>82</v>
      </c>
    </row>
    <row r="22" spans="1:15" ht="15" x14ac:dyDescent="0.25">
      <c r="A22" s="6"/>
      <c r="B22" s="56" t="s">
        <v>49</v>
      </c>
      <c r="C22" s="30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99"/>
    </row>
    <row r="23" spans="1:15" ht="15" x14ac:dyDescent="0.25">
      <c r="B23" s="3" t="s">
        <v>2</v>
      </c>
      <c r="C23" s="82" t="s">
        <v>11</v>
      </c>
      <c r="D23" s="59">
        <f ca="1">_xll.DBR("CXMD:FTM_DATA_BALANCE_SHEET","Total_Customer_Supplier",D$21,$C$19,ori,"TOTAL PRODUCT","B-300010",$C$20,"Amount_BS")*-1/1000</f>
        <v>359843.49432999996</v>
      </c>
      <c r="E23" s="59">
        <f ca="1">_xll.DBR("CXMD:FTM_DATA_BALANCE_SHEET","Total_Customer_Supplier",E$21,$C$19,ori,"TOTAL PRODUCT","B-300010",$C$20,"Amount_BS")*-1/1000</f>
        <v>700195.36580999999</v>
      </c>
      <c r="F23" s="59">
        <f ca="1">_xll.DBR("CXMD:FTM_DATA_BALANCE_SHEET","Total_Customer_Supplier",F$21,$C$19,ori,"TOTAL PRODUCT","B-300010",$C$20,"Amount_BS")*-1/1000</f>
        <v>1054061.5440199999</v>
      </c>
      <c r="G23" s="59">
        <f ca="1">_xll.DBR("CXMD:FTM_DATA_BALANCE_SHEET","Total_Customer_Supplier",G$21,$C$19,ori,"TOTAL PRODUCT","B-300010",$C$20,"Amount_BS")*-1/1000</f>
        <v>1377299.4700899997</v>
      </c>
      <c r="H23" s="59">
        <f ca="1">_xll.DBR("CXMD:FTM_DATA_BALANCE_SHEET","Total_Customer_Supplier",H$21,$C$19,ori,"TOTAL PRODUCT","B-300010",$C$20,"Amount_BS")*-1/1000</f>
        <v>1736733.7660799997</v>
      </c>
      <c r="I23" s="59">
        <f ca="1">_xll.DBR("CXMD:FTM_DATA_BALANCE_SHEET","Total_Customer_Supplier",I$21,$C$19,ori,"TOTAL PRODUCT","B-300010",$C$20,"Amount_BS")*-1/1000</f>
        <v>2116627.4907499999</v>
      </c>
      <c r="J23" s="59">
        <f ca="1">_xll.DBR("CXMD:FTM_DATA_BALANCE_SHEET","Total_Customer_Supplier",J$21,$C$19,ori,"TOTAL PRODUCT","B-300010",$C$20,"Amount_BS")*-1/1000</f>
        <v>2496721.9290800001</v>
      </c>
      <c r="K23" s="59">
        <f ca="1">_xll.DBR("CXMD:FTM_DATA_BALANCE_SHEET","Total_Customer_Supplier",K$21,$C$19,ori,"TOTAL PRODUCT","B-300010",$C$20,"Amount_BS")*-1/1000</f>
        <v>2859595.6357199997</v>
      </c>
      <c r="L23" s="59">
        <f ca="1">_xll.DBR("CXMD:FTM_DATA_BALANCE_SHEET","Total_Customer_Supplier",L$21,$C$19,ori,"TOTAL PRODUCT","B-300010",$C$20,"Amount_BS")*-1/1000</f>
        <v>3185828.06116</v>
      </c>
      <c r="M23" s="59">
        <f ca="1">_xll.DBR("CXMD:FTM_DATA_BALANCE_SHEET","Total_Customer_Supplier",M$21,$C$19,ori,"TOTAL PRODUCT","B-300010",$C$20,"Amount_BS")*-1/1000</f>
        <v>3502615.0656299992</v>
      </c>
      <c r="N23" s="59">
        <f ca="1">_xll.DBR("CXMD:FTM_DATA_BALANCE_SHEET","Total_Customer_Supplier",N$21,$C$19,ori,"TOTAL PRODUCT","B-300010",$C$20,"Amount_BS")*-1/1000</f>
        <v>3820623.6143999998</v>
      </c>
      <c r="O23" s="59">
        <f ca="1">_xll.DBR("CXMD:FTM_DATA_BALANCE_SHEET","Total_Customer_Supplier",O$21,$C$19,ori,"TOTAL PRODUCT","B-300010",$C$20,"Amount_BS")*-1/1000</f>
        <v>4072661.0530299996</v>
      </c>
    </row>
    <row r="24" spans="1:15" ht="15.75" thickBot="1" x14ac:dyDescent="0.3">
      <c r="B24" s="3" t="s">
        <v>54</v>
      </c>
      <c r="C24" s="82" t="s">
        <v>11</v>
      </c>
      <c r="D24" s="59">
        <f ca="1">_xll.DBR("CXMD:FTM_DATA_BALANCE_SHEET","Total_Customer_Supplier",D$21,$C$19,ori,"TOTAL PRODUCT","B-310010",$C$20,"Amount_BS")*-1/1000</f>
        <v>-30807.777600000005</v>
      </c>
      <c r="E24" s="59">
        <f ca="1">_xll.DBR("CXMD:FTM_DATA_BALANCE_SHEET","Total_Customer_Supplier",E$21,$C$19,ori,"TOTAL PRODUCT","B-310010",$C$20,"Amount_BS")*-1/1000</f>
        <v>-38508.694550000007</v>
      </c>
      <c r="F24" s="59">
        <f ca="1">_xll.DBR("CXMD:FTM_DATA_BALANCE_SHEET","Total_Customer_Supplier",F$21,$C$19,ori,"TOTAL PRODUCT","B-310010",$C$20,"Amount_BS")*-1/1000</f>
        <v>-20691.848680000003</v>
      </c>
      <c r="G24" s="59">
        <f ca="1">_xll.DBR("CXMD:FTM_DATA_BALANCE_SHEET","Total_Customer_Supplier",G$21,$C$19,ori,"TOTAL PRODUCT","B-310010",$C$20,"Amount_BS")*-1/1000</f>
        <v>-26217.427780000009</v>
      </c>
      <c r="H24" s="59">
        <f ca="1">_xll.DBR("CXMD:FTM_DATA_BALANCE_SHEET","Total_Customer_Supplier",H$21,$C$19,ori,"TOTAL PRODUCT","B-310010",$C$20,"Amount_BS")*-1/1000</f>
        <v>-2737.9111300000081</v>
      </c>
      <c r="I24" s="59">
        <f ca="1">_xll.DBR("CXMD:FTM_DATA_BALANCE_SHEET","Total_Customer_Supplier",I$21,$C$19,ori,"TOTAL PRODUCT","B-310010",$C$20,"Amount_BS")*-1/1000</f>
        <v>-11316.757550000013</v>
      </c>
      <c r="J24" s="59">
        <f ca="1">_xll.DBR("CXMD:FTM_DATA_BALANCE_SHEET","Total_Customer_Supplier",J$21,$C$19,ori,"TOTAL PRODUCT","B-310010",$C$20,"Amount_BS")*-1/1000</f>
        <v>-30213.845810000013</v>
      </c>
      <c r="K24" s="59">
        <f ca="1">_xll.DBR("CXMD:FTM_DATA_BALANCE_SHEET","Total_Customer_Supplier",K$21,$C$19,ori,"TOTAL PRODUCT","B-310010",$C$20,"Amount_BS")*-1/1000</f>
        <v>-30438.473150000013</v>
      </c>
      <c r="L24" s="59">
        <f ca="1">_xll.DBR("CXMD:FTM_DATA_BALANCE_SHEET","Total_Customer_Supplier",L$21,$C$19,ori,"TOTAL PRODUCT","B-310010",$C$20,"Amount_BS")*-1/1000</f>
        <v>-14389.547170000009</v>
      </c>
      <c r="M24" s="59">
        <f ca="1">_xll.DBR("CXMD:FTM_DATA_BALANCE_SHEET","Total_Customer_Supplier",M$21,$C$19,ori,"TOTAL PRODUCT","B-310010",$C$20,"Amount_BS")*-1/1000</f>
        <v>-4092.4933100000048</v>
      </c>
      <c r="N24" s="59">
        <f ca="1">_xll.DBR("CXMD:FTM_DATA_BALANCE_SHEET","Total_Customer_Supplier",N$21,$C$19,ori,"TOTAL PRODUCT","B-310010",$C$20,"Amount_BS")*-1/1000</f>
        <v>6588.2767099999965</v>
      </c>
      <c r="O24" s="59">
        <f ca="1">_xll.DBR("CXMD:FTM_DATA_BALANCE_SHEET","Total_Customer_Supplier",O$21,$C$19,ori,"TOTAL PRODUCT","B-310010",$C$20,"Amount_BS")*-1/1000</f>
        <v>10475.845239999995</v>
      </c>
    </row>
    <row r="25" spans="1:15" ht="16.5" thickBot="1" x14ac:dyDescent="0.3">
      <c r="B25" s="32" t="s">
        <v>41</v>
      </c>
      <c r="C25" s="31"/>
      <c r="D25" s="75">
        <f ca="1">D23+D24</f>
        <v>329035.71672999993</v>
      </c>
      <c r="E25" s="75">
        <f t="shared" ref="E25:O25" ca="1" si="0">E23+E24</f>
        <v>661686.67125999997</v>
      </c>
      <c r="F25" s="75">
        <f t="shared" ca="1" si="0"/>
        <v>1033369.6953399999</v>
      </c>
      <c r="G25" s="75">
        <f t="shared" ca="1" si="0"/>
        <v>1351082.0423099997</v>
      </c>
      <c r="H25" s="75">
        <f t="shared" ca="1" si="0"/>
        <v>1733995.8549499998</v>
      </c>
      <c r="I25" s="75">
        <f t="shared" ca="1" si="0"/>
        <v>2105310.7331999997</v>
      </c>
      <c r="J25" s="75">
        <f t="shared" ca="1" si="0"/>
        <v>2466508.0832700003</v>
      </c>
      <c r="K25" s="75">
        <f t="shared" ca="1" si="0"/>
        <v>2829157.1625699997</v>
      </c>
      <c r="L25" s="75">
        <f t="shared" ca="1" si="0"/>
        <v>3171438.5139899999</v>
      </c>
      <c r="M25" s="75">
        <f t="shared" ca="1" si="0"/>
        <v>3498522.5723199993</v>
      </c>
      <c r="N25" s="75">
        <f t="shared" ca="1" si="0"/>
        <v>3827211.8911099997</v>
      </c>
      <c r="O25" s="75">
        <f t="shared" ca="1" si="0"/>
        <v>4083136.8982699998</v>
      </c>
    </row>
    <row r="26" spans="1:15" ht="15.75" thickBot="1" x14ac:dyDescent="0.3">
      <c r="B26" s="3" t="s">
        <v>3</v>
      </c>
      <c r="C26" s="82" t="s">
        <v>11</v>
      </c>
      <c r="D26" s="59">
        <f ca="1">_xll.DBR("CXMD:FTM_DATA_BALANCE_SHEET","Total_Customer_Supplier",D$21,$C$19,ori,"TOTAL PRODUCT","B-330010",$C$20,"Amount_BS")*-1/1000</f>
        <v>4042.3654799999999</v>
      </c>
      <c r="E26" s="59">
        <f ca="1">_xll.DBR("CXMD:FTM_DATA_BALANCE_SHEET","Total_Customer_Supplier",E$21,$C$19,ori,"TOTAL PRODUCT","B-330010",$C$20,"Amount_BS")*-1/1000</f>
        <v>8583.2907899999991</v>
      </c>
      <c r="F26" s="59">
        <f ca="1">_xll.DBR("CXMD:FTM_DATA_BALANCE_SHEET","Total_Customer_Supplier",F$21,$C$19,ori,"TOTAL PRODUCT","B-330010",$C$20,"Amount_BS")*-1/1000</f>
        <v>13431.462899999999</v>
      </c>
      <c r="G26" s="59">
        <f ca="1">_xll.DBR("CXMD:FTM_DATA_BALANCE_SHEET","Total_Customer_Supplier",G$21,$C$19,ori,"TOTAL PRODUCT","B-330010",$C$20,"Amount_BS")*-1/1000</f>
        <v>17830.419729999998</v>
      </c>
      <c r="H26" s="59">
        <f ca="1">_xll.DBR("CXMD:FTM_DATA_BALANCE_SHEET","Total_Customer_Supplier",H$21,$C$19,ori,"TOTAL PRODUCT","B-330010",$C$20,"Amount_BS")*-1/1000</f>
        <v>22213.296569999999</v>
      </c>
      <c r="I26" s="59">
        <f ca="1">_xll.DBR("CXMD:FTM_DATA_BALANCE_SHEET","Total_Customer_Supplier",I$21,$C$19,ori,"TOTAL PRODUCT","B-330010",$C$20,"Amount_BS")*-1/1000</f>
        <v>26939.952670000002</v>
      </c>
      <c r="J26" s="59">
        <f ca="1">_xll.DBR("CXMD:FTM_DATA_BALANCE_SHEET","Total_Customer_Supplier",J$21,$C$19,ori,"TOTAL PRODUCT","B-330010",$C$20,"Amount_BS")*-1/1000</f>
        <v>31469.609470000007</v>
      </c>
      <c r="K26" s="59">
        <f ca="1">_xll.DBR("CXMD:FTM_DATA_BALANCE_SHEET","Total_Customer_Supplier",K$21,$C$19,ori,"TOTAL PRODUCT","B-330010",$C$20,"Amount_BS")*-1/1000</f>
        <v>35826.212980000004</v>
      </c>
      <c r="L26" s="59">
        <f ca="1">_xll.DBR("CXMD:FTM_DATA_BALANCE_SHEET","Total_Customer_Supplier",L$21,$C$19,ori,"TOTAL PRODUCT","B-330010",$C$20,"Amount_BS")*-1/1000</f>
        <v>39750.249480000006</v>
      </c>
      <c r="M26" s="59">
        <f ca="1">_xll.DBR("CXMD:FTM_DATA_BALANCE_SHEET","Total_Customer_Supplier",M$21,$C$19,ori,"TOTAL PRODUCT","B-330010",$C$20,"Amount_BS")*-1/1000</f>
        <v>44214.175920000001</v>
      </c>
      <c r="N26" s="59">
        <f ca="1">_xll.DBR("CXMD:FTM_DATA_BALANCE_SHEET","Total_Customer_Supplier",N$21,$C$19,ori,"TOTAL PRODUCT","B-330010",$C$20,"Amount_BS")*-1/1000</f>
        <v>49285.594960000002</v>
      </c>
      <c r="O26" s="59">
        <f ca="1">_xll.DBR("CXMD:FTM_DATA_BALANCE_SHEET","Total_Customer_Supplier",O$21,$C$19,ori,"TOTAL PRODUCT","B-330010",$C$20,"Amount_BS")*-1/1000</f>
        <v>52175.870070000004</v>
      </c>
    </row>
    <row r="27" spans="1:15" ht="16.5" thickBot="1" x14ac:dyDescent="0.3">
      <c r="B27" s="32" t="s">
        <v>42</v>
      </c>
      <c r="C27" s="31"/>
      <c r="D27" s="75">
        <f ca="1">D25+D26</f>
        <v>333078.08220999991</v>
      </c>
      <c r="E27" s="75">
        <f t="shared" ref="E27:O27" ca="1" si="1">E25+E26</f>
        <v>670269.96204999997</v>
      </c>
      <c r="F27" s="75">
        <f t="shared" ca="1" si="1"/>
        <v>1046801.1582399999</v>
      </c>
      <c r="G27" s="75">
        <f t="shared" ca="1" si="1"/>
        <v>1368912.4620399997</v>
      </c>
      <c r="H27" s="75">
        <f t="shared" ca="1" si="1"/>
        <v>1756209.1515199998</v>
      </c>
      <c r="I27" s="75">
        <f t="shared" ca="1" si="1"/>
        <v>2132250.6858699997</v>
      </c>
      <c r="J27" s="75">
        <f t="shared" ca="1" si="1"/>
        <v>2497977.6927400003</v>
      </c>
      <c r="K27" s="75">
        <f t="shared" ca="1" si="1"/>
        <v>2864983.3755499995</v>
      </c>
      <c r="L27" s="75">
        <f t="shared" ca="1" si="1"/>
        <v>3211188.7634700001</v>
      </c>
      <c r="M27" s="75">
        <f t="shared" ca="1" si="1"/>
        <v>3542736.7482399992</v>
      </c>
      <c r="N27" s="75">
        <f t="shared" ca="1" si="1"/>
        <v>3876497.4860699996</v>
      </c>
      <c r="O27" s="75">
        <f t="shared" ca="1" si="1"/>
        <v>4135312.76834</v>
      </c>
    </row>
    <row r="28" spans="1:15" ht="15.75" thickBot="1" x14ac:dyDescent="0.3">
      <c r="B28" s="3" t="s">
        <v>4</v>
      </c>
      <c r="C28" s="82" t="s">
        <v>11</v>
      </c>
      <c r="D28" s="59">
        <f ca="1">(_xll.DBR("CXMD:FTM_DATA_BALANCE_SHEET","Total_Customer_Supplier",D$21,$C$19,ori,"TOTAL PRODUCT","B-452010",$C$20,"Amount_BS")/1000)+(_xll.DBR("CXMD:FTM_DATA_BALANCE_SHEET","Total_Customer_Supplier",D$21,$C$19,ori,"TOTAL PRODUCT","B-452210",$C$20,"Amount_BS")/1000)</f>
        <v>442.07326</v>
      </c>
      <c r="E28" s="59">
        <f ca="1">(_xll.DBR("CXMD:FTM_DATA_BALANCE_SHEET","Total_Customer_Supplier",E$21,$C$19,ori,"TOTAL PRODUCT","B-452010",$C$20,"Amount_BS")/1000)+(_xll.DBR("CXMD:FTM_DATA_BALANCE_SHEET","Total_Customer_Supplier",E$21,$C$19,ori,"TOTAL PRODUCT","B-452210",$C$20,"Amount_BS")/1000)</f>
        <v>247.15667999999994</v>
      </c>
      <c r="F28" s="59">
        <f ca="1">(_xll.DBR("CXMD:FTM_DATA_BALANCE_SHEET","Total_Customer_Supplier",F$21,$C$19,ori,"TOTAL PRODUCT","B-452010",$C$20,"Amount_BS")/1000)+(_xll.DBR("CXMD:FTM_DATA_BALANCE_SHEET","Total_Customer_Supplier",F$21,$C$19,ori,"TOTAL PRODUCT","B-452210",$C$20,"Amount_BS")/1000)</f>
        <v>1860.5594299999993</v>
      </c>
      <c r="G28" s="59">
        <f ca="1">(_xll.DBR("CXMD:FTM_DATA_BALANCE_SHEET","Total_Customer_Supplier",G$21,$C$19,ori,"TOTAL PRODUCT","B-452010",$C$20,"Amount_BS")/1000)+(_xll.DBR("CXMD:FTM_DATA_BALANCE_SHEET","Total_Customer_Supplier",G$21,$C$19,ori,"TOTAL PRODUCT","B-452210",$C$20,"Amount_BS")/1000)</f>
        <v>3118.3911199999993</v>
      </c>
      <c r="H28" s="59">
        <f ca="1">(_xll.DBR("CXMD:FTM_DATA_BALANCE_SHEET","Total_Customer_Supplier",H$21,$C$19,ori,"TOTAL PRODUCT","B-452010",$C$20,"Amount_BS")/1000)+(_xll.DBR("CXMD:FTM_DATA_BALANCE_SHEET","Total_Customer_Supplier",H$21,$C$19,ori,"TOTAL PRODUCT","B-452210",$C$20,"Amount_BS")/1000)</f>
        <v>3052.1005099999993</v>
      </c>
      <c r="I28" s="59">
        <f ca="1">(_xll.DBR("CXMD:FTM_DATA_BALANCE_SHEET","Total_Customer_Supplier",I$21,$C$19,ori,"TOTAL PRODUCT","B-452010",$C$20,"Amount_BS")/1000)+(_xll.DBR("CXMD:FTM_DATA_BALANCE_SHEET","Total_Customer_Supplier",I$21,$C$19,ori,"TOTAL PRODUCT","B-452210",$C$20,"Amount_BS")/1000)</f>
        <v>3596.8588799999998</v>
      </c>
      <c r="J28" s="59">
        <f ca="1">(_xll.DBR("CXMD:FTM_DATA_BALANCE_SHEET","Total_Customer_Supplier",J$21,$C$19,ori,"TOTAL PRODUCT","B-452010",$C$20,"Amount_BS")/1000)+(_xll.DBR("CXMD:FTM_DATA_BALANCE_SHEET","Total_Customer_Supplier",J$21,$C$19,ori,"TOTAL PRODUCT","B-452210",$C$20,"Amount_BS")/1000)</f>
        <v>5073.9975599999998</v>
      </c>
      <c r="K28" s="59">
        <f ca="1">(_xll.DBR("CXMD:FTM_DATA_BALANCE_SHEET","Total_Customer_Supplier",K$21,$C$19,ori,"TOTAL PRODUCT","B-452010",$C$20,"Amount_BS")/1000)+(_xll.DBR("CXMD:FTM_DATA_BALANCE_SHEET","Total_Customer_Supplier",K$21,$C$19,ori,"TOTAL PRODUCT","B-452210",$C$20,"Amount_BS")/1000)</f>
        <v>5982.9797299999991</v>
      </c>
      <c r="L28" s="59">
        <f ca="1">(_xll.DBR("CXMD:FTM_DATA_BALANCE_SHEET","Total_Customer_Supplier",L$21,$C$19,ori,"TOTAL PRODUCT","B-452010",$C$20,"Amount_BS")/1000)+(_xll.DBR("CXMD:FTM_DATA_BALANCE_SHEET","Total_Customer_Supplier",L$21,$C$19,ori,"TOTAL PRODUCT","B-452210",$C$20,"Amount_BS")/1000)</f>
        <v>7236.3717299999989</v>
      </c>
      <c r="M28" s="59">
        <f ca="1">(_xll.DBR("CXMD:FTM_DATA_BALANCE_SHEET","Total_Customer_Supplier",M$21,$C$19,ori,"TOTAL PRODUCT","B-452010",$C$20,"Amount_BS")/1000)+(_xll.DBR("CXMD:FTM_DATA_BALANCE_SHEET","Total_Customer_Supplier",M$21,$C$19,ori,"TOTAL PRODUCT","B-452210",$C$20,"Amount_BS")/1000)</f>
        <v>7310.6818700000003</v>
      </c>
      <c r="N28" s="59">
        <f ca="1">(_xll.DBR("CXMD:FTM_DATA_BALANCE_SHEET","Total_Customer_Supplier",N$21,$C$19,ori,"TOTAL PRODUCT","B-452010",$C$20,"Amount_BS")/1000)+(_xll.DBR("CXMD:FTM_DATA_BALANCE_SHEET","Total_Customer_Supplier",N$21,$C$19,ori,"TOTAL PRODUCT","B-452210",$C$20,"Amount_BS")/1000)</f>
        <v>19924.411399999997</v>
      </c>
      <c r="O28" s="59">
        <f ca="1">(_xll.DBR("CXMD:FTM_DATA_BALANCE_SHEET","Total_Customer_Supplier",O$21,$C$19,ori,"TOTAL PRODUCT","B-452010",$C$20,"Amount_BS")/1000)+(_xll.DBR("CXMD:FTM_DATA_BALANCE_SHEET","Total_Customer_Supplier",O$21,$C$19,ori,"TOTAL PRODUCT","B-452210",$C$20,"Amount_BS")/1000)</f>
        <v>29689.02793</v>
      </c>
    </row>
    <row r="29" spans="1:15" ht="15.75" x14ac:dyDescent="0.25">
      <c r="B29" s="91" t="s">
        <v>53</v>
      </c>
      <c r="C29" s="85"/>
      <c r="D29" s="76">
        <f ca="1">(_xll.DBR("CXMD:FTM_DATA_BALANCE_SHEET","Total_Customer_Supplier",D$21,$C$19,ori,"TOTAL PRODUCT","B-401010",$C$20,"Amount_BS")/1000)+(_xll.DBR("CXMD:FTM_DATA_BALANCE_SHEET","Total_Customer_Supplier",D$21,$C$19,ori,"TOTAL PRODUCT","B-401020",$C$20,"Amount_BS")/1000)+(_xll.DBR("CXMD:FTM_DATA_BALANCE_SHEET","Total_Customer_Supplier",D$21,$C$19,ori,"TOTAL PRODUCT","B-402110",$C$20,"Amount_BS")/1000)+(_xll.DBR("CXMD:FTM_DATA_BALANCE_SHEET","Total_Customer_Supplier",D$21,$C$19,ori,"TOTAL PRODUCT","B-402111",$C$20,"Amount_BS")/1000)+(_xll.DBR("CXMD:FTM_DATA_BALANCE_SHEET","Total_Customer_Supplier",D$21,$C$19,ori,"TOTAL PRODUCT","B-407010",$C$20,"Amount_BS")/1000)</f>
        <v>190042.62173999997</v>
      </c>
      <c r="E29" s="76">
        <f ca="1">(_xll.DBR("CXMD:FTM_DATA_BALANCE_SHEET","Total_Customer_Supplier",E$21,$C$19,ori,"TOTAL PRODUCT","B-401010",$C$20,"Amount_BS")/1000)+(_xll.DBR("CXMD:FTM_DATA_BALANCE_SHEET","Total_Customer_Supplier",E$21,$C$19,ori,"TOTAL PRODUCT","B-401020",$C$20,"Amount_BS")/1000)+(_xll.DBR("CXMD:FTM_DATA_BALANCE_SHEET","Total_Customer_Supplier",E$21,$C$19,ori,"TOTAL PRODUCT","B-402110",$C$20,"Amount_BS")/1000)+(_xll.DBR("CXMD:FTM_DATA_BALANCE_SHEET","Total_Customer_Supplier",E$21,$C$19,ori,"TOTAL PRODUCT","B-402111",$C$20,"Amount_BS")/1000)+(_xll.DBR("CXMD:FTM_DATA_BALANCE_SHEET","Total_Customer_Supplier",E$21,$C$19,ori,"TOTAL PRODUCT","B-407010",$C$20,"Amount_BS")/1000)</f>
        <v>382894.77859</v>
      </c>
      <c r="F29" s="76">
        <f ca="1">(_xll.DBR("CXMD:FTM_DATA_BALANCE_SHEET","Total_Customer_Supplier",F$21,$C$19,ori,"TOTAL PRODUCT","B-401010",$C$20,"Amount_BS")/1000)+(_xll.DBR("CXMD:FTM_DATA_BALANCE_SHEET","Total_Customer_Supplier",F$21,$C$19,ori,"TOTAL PRODUCT","B-401020",$C$20,"Amount_BS")/1000)+(_xll.DBR("CXMD:FTM_DATA_BALANCE_SHEET","Total_Customer_Supplier",F$21,$C$19,ori,"TOTAL PRODUCT","B-402110",$C$20,"Amount_BS")/1000)+(_xll.DBR("CXMD:FTM_DATA_BALANCE_SHEET","Total_Customer_Supplier",F$21,$C$19,ori,"TOTAL PRODUCT","B-402111",$C$20,"Amount_BS")/1000)+(_xll.DBR("CXMD:FTM_DATA_BALANCE_SHEET","Total_Customer_Supplier",F$21,$C$19,ori,"TOTAL PRODUCT","B-407010",$C$20,"Amount_BS")/1000)</f>
        <v>635287.62179999996</v>
      </c>
      <c r="G29" s="76">
        <f ca="1">(_xll.DBR("CXMD:FTM_DATA_BALANCE_SHEET","Total_Customer_Supplier",G$21,$C$19,ori,"TOTAL PRODUCT","B-401010",$C$20,"Amount_BS")/1000)+(_xll.DBR("CXMD:FTM_DATA_BALANCE_SHEET","Total_Customer_Supplier",G$21,$C$19,ori,"TOTAL PRODUCT","B-401020",$C$20,"Amount_BS")/1000)+(_xll.DBR("CXMD:FTM_DATA_BALANCE_SHEET","Total_Customer_Supplier",G$21,$C$19,ori,"TOTAL PRODUCT","B-402110",$C$20,"Amount_BS")/1000)+(_xll.DBR("CXMD:FTM_DATA_BALANCE_SHEET","Total_Customer_Supplier",G$21,$C$19,ori,"TOTAL PRODUCT","B-402111",$C$20,"Amount_BS")/1000)+(_xll.DBR("CXMD:FTM_DATA_BALANCE_SHEET","Total_Customer_Supplier",G$21,$C$19,ori,"TOTAL PRODUCT","B-407010",$C$20,"Amount_BS")/1000)</f>
        <v>845428.45922000019</v>
      </c>
      <c r="H29" s="76">
        <f ca="1">(_xll.DBR("CXMD:FTM_DATA_BALANCE_SHEET","Total_Customer_Supplier",H$21,$C$19,ori,"TOTAL PRODUCT","B-401010",$C$20,"Amount_BS")/1000)+(_xll.DBR("CXMD:FTM_DATA_BALANCE_SHEET","Total_Customer_Supplier",H$21,$C$19,ori,"TOTAL PRODUCT","B-401020",$C$20,"Amount_BS")/1000)+(_xll.DBR("CXMD:FTM_DATA_BALANCE_SHEET","Total_Customer_Supplier",H$21,$C$19,ori,"TOTAL PRODUCT","B-402110",$C$20,"Amount_BS")/1000)+(_xll.DBR("CXMD:FTM_DATA_BALANCE_SHEET","Total_Customer_Supplier",H$21,$C$19,ori,"TOTAL PRODUCT","B-402111",$C$20,"Amount_BS")/1000)+(_xll.DBR("CXMD:FTM_DATA_BALANCE_SHEET","Total_Customer_Supplier",H$21,$C$19,ori,"TOTAL PRODUCT","B-407010",$C$20,"Amount_BS")/1000)</f>
        <v>1088819.2120399999</v>
      </c>
      <c r="I29" s="76">
        <f ca="1">(_xll.DBR("CXMD:FTM_DATA_BALANCE_SHEET","Total_Customer_Supplier",I$21,$C$19,ori,"TOTAL PRODUCT","B-401010",$C$20,"Amount_BS")/1000)+(_xll.DBR("CXMD:FTM_DATA_BALANCE_SHEET","Total_Customer_Supplier",I$21,$C$19,ori,"TOTAL PRODUCT","B-401020",$C$20,"Amount_BS")/1000)+(_xll.DBR("CXMD:FTM_DATA_BALANCE_SHEET","Total_Customer_Supplier",I$21,$C$19,ori,"TOTAL PRODUCT","B-402110",$C$20,"Amount_BS")/1000)+(_xll.DBR("CXMD:FTM_DATA_BALANCE_SHEET","Total_Customer_Supplier",I$21,$C$19,ori,"TOTAL PRODUCT","B-402111",$C$20,"Amount_BS")/1000)+(_xll.DBR("CXMD:FTM_DATA_BALANCE_SHEET","Total_Customer_Supplier",I$21,$C$19,ori,"TOTAL PRODUCT","B-407010",$C$20,"Amount_BS")/1000)</f>
        <v>1324032.2113000001</v>
      </c>
      <c r="J29" s="76">
        <f ca="1">(_xll.DBR("CXMD:FTM_DATA_BALANCE_SHEET","Total_Customer_Supplier",J$21,$C$19,ori,"TOTAL PRODUCT","B-401010",$C$20,"Amount_BS")/1000)+(_xll.DBR("CXMD:FTM_DATA_BALANCE_SHEET","Total_Customer_Supplier",J$21,$C$19,ori,"TOTAL PRODUCT","B-401020",$C$20,"Amount_BS")/1000)+(_xll.DBR("CXMD:FTM_DATA_BALANCE_SHEET","Total_Customer_Supplier",J$21,$C$19,ori,"TOTAL PRODUCT","B-402110",$C$20,"Amount_BS")/1000)+(_xll.DBR("CXMD:FTM_DATA_BALANCE_SHEET","Total_Customer_Supplier",J$21,$C$19,ori,"TOTAL PRODUCT","B-402111",$C$20,"Amount_BS")/1000)+(_xll.DBR("CXMD:FTM_DATA_BALANCE_SHEET","Total_Customer_Supplier",J$21,$C$19,ori,"TOTAL PRODUCT","B-407010",$C$20,"Amount_BS")/1000)</f>
        <v>1545981.5758200001</v>
      </c>
      <c r="K29" s="76">
        <f ca="1">(_xll.DBR("CXMD:FTM_DATA_BALANCE_SHEET","Total_Customer_Supplier",K$21,$C$19,ori,"TOTAL PRODUCT","B-401010",$C$20,"Amount_BS")/1000)+(_xll.DBR("CXMD:FTM_DATA_BALANCE_SHEET","Total_Customer_Supplier",K$21,$C$19,ori,"TOTAL PRODUCT","B-401020",$C$20,"Amount_BS")/1000)+(_xll.DBR("CXMD:FTM_DATA_BALANCE_SHEET","Total_Customer_Supplier",K$21,$C$19,ori,"TOTAL PRODUCT","B-402110",$C$20,"Amount_BS")/1000)+(_xll.DBR("CXMD:FTM_DATA_BALANCE_SHEET","Total_Customer_Supplier",K$21,$C$19,ori,"TOTAL PRODUCT","B-402111",$C$20,"Amount_BS")/1000)+(_xll.DBR("CXMD:FTM_DATA_BALANCE_SHEET","Total_Customer_Supplier",K$21,$C$19,ori,"TOTAL PRODUCT","B-407010",$C$20,"Amount_BS")/1000)</f>
        <v>1745045.42772</v>
      </c>
      <c r="L29" s="76">
        <f ca="1">(_xll.DBR("CXMD:FTM_DATA_BALANCE_SHEET","Total_Customer_Supplier",L$21,$C$19,ori,"TOTAL PRODUCT","B-401010",$C$20,"Amount_BS")/1000)+(_xll.DBR("CXMD:FTM_DATA_BALANCE_SHEET","Total_Customer_Supplier",L$21,$C$19,ori,"TOTAL PRODUCT","B-401020",$C$20,"Amount_BS")/1000)+(_xll.DBR("CXMD:FTM_DATA_BALANCE_SHEET","Total_Customer_Supplier",L$21,$C$19,ori,"TOTAL PRODUCT","B-402110",$C$20,"Amount_BS")/1000)+(_xll.DBR("CXMD:FTM_DATA_BALANCE_SHEET","Total_Customer_Supplier",L$21,$C$19,ori,"TOTAL PRODUCT","B-402111",$C$20,"Amount_BS")/1000)+(_xll.DBR("CXMD:FTM_DATA_BALANCE_SHEET","Total_Customer_Supplier",L$21,$C$19,ori,"TOTAL PRODUCT","B-407010",$C$20,"Amount_BS")/1000)</f>
        <v>1939440.6589099998</v>
      </c>
      <c r="M29" s="76">
        <f ca="1">(_xll.DBR("CXMD:FTM_DATA_BALANCE_SHEET","Total_Customer_Supplier",M$21,$C$19,ori,"TOTAL PRODUCT","B-401010",$C$20,"Amount_BS")/1000)+(_xll.DBR("CXMD:FTM_DATA_BALANCE_SHEET","Total_Customer_Supplier",M$21,$C$19,ori,"TOTAL PRODUCT","B-401020",$C$20,"Amount_BS")/1000)+(_xll.DBR("CXMD:FTM_DATA_BALANCE_SHEET","Total_Customer_Supplier",M$21,$C$19,ori,"TOTAL PRODUCT","B-402110",$C$20,"Amount_BS")/1000)+(_xll.DBR("CXMD:FTM_DATA_BALANCE_SHEET","Total_Customer_Supplier",M$21,$C$19,ori,"TOTAL PRODUCT","B-402111",$C$20,"Amount_BS")/1000)+(_xll.DBR("CXMD:FTM_DATA_BALANCE_SHEET","Total_Customer_Supplier",M$21,$C$19,ori,"TOTAL PRODUCT","B-407010",$C$20,"Amount_BS")/1000)</f>
        <v>2158095.7872299999</v>
      </c>
      <c r="N29" s="76">
        <f ca="1">(_xll.DBR("CXMD:FTM_DATA_BALANCE_SHEET","Total_Customer_Supplier",N$21,$C$19,ori,"TOTAL PRODUCT","B-401010",$C$20,"Amount_BS")/1000)+(_xll.DBR("CXMD:FTM_DATA_BALANCE_SHEET","Total_Customer_Supplier",N$21,$C$19,ori,"TOTAL PRODUCT","B-401020",$C$20,"Amount_BS")/1000)+(_xll.DBR("CXMD:FTM_DATA_BALANCE_SHEET","Total_Customer_Supplier",N$21,$C$19,ori,"TOTAL PRODUCT","B-402110",$C$20,"Amount_BS")/1000)+(_xll.DBR("CXMD:FTM_DATA_BALANCE_SHEET","Total_Customer_Supplier",N$21,$C$19,ori,"TOTAL PRODUCT","B-402111",$C$20,"Amount_BS")/1000)+(_xll.DBR("CXMD:FTM_DATA_BALANCE_SHEET","Total_Customer_Supplier",N$21,$C$19,ori,"TOTAL PRODUCT","B-407010",$C$20,"Amount_BS")/1000)</f>
        <v>2382020.9456999996</v>
      </c>
      <c r="O29" s="76">
        <f ca="1">(_xll.DBR("CXMD:FTM_DATA_BALANCE_SHEET","Total_Customer_Supplier",O$21,$C$19,ori,"TOTAL PRODUCT","B-401010",$C$20,"Amount_BS")/1000)+(_xll.DBR("CXMD:FTM_DATA_BALANCE_SHEET","Total_Customer_Supplier",O$21,$C$19,ori,"TOTAL PRODUCT","B-401020",$C$20,"Amount_BS")/1000)+(_xll.DBR("CXMD:FTM_DATA_BALANCE_SHEET","Total_Customer_Supplier",O$21,$C$19,ori,"TOTAL PRODUCT","B-402110",$C$20,"Amount_BS")/1000)+(_xll.DBR("CXMD:FTM_DATA_BALANCE_SHEET","Total_Customer_Supplier",O$21,$C$19,ori,"TOTAL PRODUCT","B-402111",$C$20,"Amount_BS")/1000)+(_xll.DBR("CXMD:FTM_DATA_BALANCE_SHEET","Total_Customer_Supplier",O$21,$C$19,ori,"TOTAL PRODUCT","B-407010",$C$20,"Amount_BS")/1000)</f>
        <v>2543662.1845999993</v>
      </c>
    </row>
    <row r="30" spans="1:15" ht="15.75" thickBot="1" x14ac:dyDescent="0.3">
      <c r="B30" s="34"/>
      <c r="C30" s="86" t="s">
        <v>52</v>
      </c>
      <c r="D30" s="36">
        <f ca="1">IF(D25&lt;&gt;0,D29/D25,0)</f>
        <v>0.57757444580384298</v>
      </c>
      <c r="E30" s="36">
        <f t="shared" ref="E30:O30" ca="1" si="2">IF(E25&lt;&gt;0,E29/E25,0)</f>
        <v>0.57866478987839121</v>
      </c>
      <c r="F30" s="36">
        <f t="shared" ca="1" si="2"/>
        <v>0.61477283944443262</v>
      </c>
      <c r="G30" s="36">
        <f t="shared" ca="1" si="2"/>
        <v>0.62574176307941809</v>
      </c>
      <c r="H30" s="36">
        <f t="shared" ca="1" si="2"/>
        <v>0.62792492204163675</v>
      </c>
      <c r="I30" s="36">
        <f t="shared" ca="1" si="2"/>
        <v>0.62890108829090363</v>
      </c>
      <c r="J30" s="36">
        <f t="shared" ca="1" si="2"/>
        <v>0.62678958415185815</v>
      </c>
      <c r="K30" s="36">
        <f t="shared" ca="1" si="2"/>
        <v>0.61680752515523207</v>
      </c>
      <c r="L30" s="36">
        <f t="shared" ca="1" si="2"/>
        <v>0.6115334257166416</v>
      </c>
      <c r="M30" s="36">
        <f t="shared" ca="1" si="2"/>
        <v>0.61685918630471692</v>
      </c>
      <c r="N30" s="36">
        <f t="shared" ca="1" si="2"/>
        <v>0.62239066283031064</v>
      </c>
      <c r="O30" s="36">
        <f t="shared" ca="1" si="2"/>
        <v>0.62296764668305227</v>
      </c>
    </row>
    <row r="31" spans="1:15" ht="15.75" x14ac:dyDescent="0.25">
      <c r="B31" s="37" t="s">
        <v>43</v>
      </c>
      <c r="C31" s="38"/>
      <c r="D31" s="77">
        <f ca="1">D27-D29</f>
        <v>143035.46046999993</v>
      </c>
      <c r="E31" s="77">
        <f t="shared" ref="E31:O31" ca="1" si="3">E27-E29</f>
        <v>287375.18345999997</v>
      </c>
      <c r="F31" s="77">
        <f t="shared" ca="1" si="3"/>
        <v>411513.53643999994</v>
      </c>
      <c r="G31" s="77">
        <f t="shared" ca="1" si="3"/>
        <v>523484.00281999947</v>
      </c>
      <c r="H31" s="77">
        <f t="shared" ca="1" si="3"/>
        <v>667389.93947999994</v>
      </c>
      <c r="I31" s="77">
        <f t="shared" ca="1" si="3"/>
        <v>808218.47456999961</v>
      </c>
      <c r="J31" s="77">
        <f t="shared" ca="1" si="3"/>
        <v>951996.11692000018</v>
      </c>
      <c r="K31" s="77">
        <f t="shared" ca="1" si="3"/>
        <v>1119937.9478299995</v>
      </c>
      <c r="L31" s="77">
        <f t="shared" ca="1" si="3"/>
        <v>1271748.1045600004</v>
      </c>
      <c r="M31" s="77">
        <f t="shared" ca="1" si="3"/>
        <v>1384640.9610099993</v>
      </c>
      <c r="N31" s="77">
        <f t="shared" ca="1" si="3"/>
        <v>1494476.5403700001</v>
      </c>
      <c r="O31" s="77">
        <f t="shared" ca="1" si="3"/>
        <v>1591650.5837400006</v>
      </c>
    </row>
    <row r="32" spans="1:15" ht="15.75" thickBot="1" x14ac:dyDescent="0.3">
      <c r="B32" s="39"/>
      <c r="C32" s="87" t="s">
        <v>52</v>
      </c>
      <c r="D32" s="41">
        <f ca="1">IF(D25&lt;&gt;0,D31/D25,0)</f>
        <v>0.4347110456320824</v>
      </c>
      <c r="E32" s="41">
        <f t="shared" ref="E32:O32" ca="1" si="4">IF(E25&lt;&gt;0,E31/E25,0)</f>
        <v>0.43430704582997431</v>
      </c>
      <c r="F32" s="41">
        <f t="shared" ca="1" si="4"/>
        <v>0.39822489308108028</v>
      </c>
      <c r="G32" s="41">
        <f t="shared" ca="1" si="4"/>
        <v>0.38745537756165987</v>
      </c>
      <c r="H32" s="41">
        <f t="shared" ca="1" si="4"/>
        <v>0.3848855448960945</v>
      </c>
      <c r="I32" s="41">
        <f t="shared" ca="1" si="4"/>
        <v>0.38389510005562716</v>
      </c>
      <c r="J32" s="41">
        <f t="shared" ca="1" si="4"/>
        <v>0.38596918590182799</v>
      </c>
      <c r="K32" s="41">
        <f t="shared" ca="1" si="4"/>
        <v>0.39585568544825928</v>
      </c>
      <c r="L32" s="41">
        <f t="shared" ca="1" si="4"/>
        <v>0.40100039743794647</v>
      </c>
      <c r="M32" s="41">
        <f t="shared" ca="1" si="4"/>
        <v>0.39577877014862101</v>
      </c>
      <c r="N32" s="41">
        <f t="shared" ca="1" si="4"/>
        <v>0.39048701323316581</v>
      </c>
      <c r="O32" s="41">
        <f t="shared" ca="1" si="4"/>
        <v>0.38981073213939343</v>
      </c>
    </row>
    <row r="33" spans="2:15" ht="15.75" x14ac:dyDescent="0.25">
      <c r="B33" s="42" t="s">
        <v>6</v>
      </c>
      <c r="C33" s="83" t="s">
        <v>11</v>
      </c>
      <c r="D33" s="78">
        <f ca="1">(_xll.DBR("CXMD:FTM_DATA_BALANCE_SHEET","Total_Customer_Supplier",D$21,$C$19,ori,"TOTAL PRODUCT","B-430010",$C$20,"Amount_BS")/1000)+(_xll.DBR("CXMD:FTM_DATA_BALANCE_SHEET","Total_Customer_Supplier",D$21,$C$19,ori,"TOTAL PRODUCT","B-430040",$C$20,"Amount_BS")/1000)+(_xll.DBR("CXMD:FTM_DATA_BALANCE_SHEET","Total_Customer_Supplier",D$21,$C$19,ori,"TOTAL PRODUCT","B-431040",$C$20,"Amount_BS")/1000)+(_xll.DBR("CXMD:FTM_DATA_BALANCE_SHEET","Total_Customer_Supplier",D$21,$C$19,ori,"TOTAL PRODUCT","B-437010",$C$20,"Amount_BS")/1000)+(_xll.DBR("CXMD:FTM_DATA_BALANCE_SHEET","Total_Customer_Supplier",D$21,$C$19,ori,"TOTAL PRODUCT","B-438010",$C$20,"Amount_BS")/1000)</f>
        <v>37400.483939999998</v>
      </c>
      <c r="E33" s="78">
        <f ca="1">(_xll.DBR("CXMD:FTM_DATA_BALANCE_SHEET","Total_Customer_Supplier",E$21,$C$19,ori,"TOTAL PRODUCT","B-430010",$C$20,"Amount_BS")/1000)+(_xll.DBR("CXMD:FTM_DATA_BALANCE_SHEET","Total_Customer_Supplier",E$21,$C$19,ori,"TOTAL PRODUCT","B-430040",$C$20,"Amount_BS")/1000)+(_xll.DBR("CXMD:FTM_DATA_BALANCE_SHEET","Total_Customer_Supplier",E$21,$C$19,ori,"TOTAL PRODUCT","B-431040",$C$20,"Amount_BS")/1000)+(_xll.DBR("CXMD:FTM_DATA_BALANCE_SHEET","Total_Customer_Supplier",E$21,$C$19,ori,"TOTAL PRODUCT","B-437010",$C$20,"Amount_BS")/1000)+(_xll.DBR("CXMD:FTM_DATA_BALANCE_SHEET","Total_Customer_Supplier",E$21,$C$19,ori,"TOTAL PRODUCT","B-438010",$C$20,"Amount_BS")/1000)</f>
        <v>77642.417399999991</v>
      </c>
      <c r="F33" s="78">
        <f ca="1">(_xll.DBR("CXMD:FTM_DATA_BALANCE_SHEET","Total_Customer_Supplier",F$21,$C$19,ori,"TOTAL PRODUCT","B-430010",$C$20,"Amount_BS")/1000)+(_xll.DBR("CXMD:FTM_DATA_BALANCE_SHEET","Total_Customer_Supplier",F$21,$C$19,ori,"TOTAL PRODUCT","B-430040",$C$20,"Amount_BS")/1000)+(_xll.DBR("CXMD:FTM_DATA_BALANCE_SHEET","Total_Customer_Supplier",F$21,$C$19,ori,"TOTAL PRODUCT","B-431040",$C$20,"Amount_BS")/1000)+(_xll.DBR("CXMD:FTM_DATA_BALANCE_SHEET","Total_Customer_Supplier",F$21,$C$19,ori,"TOTAL PRODUCT","B-437010",$C$20,"Amount_BS")/1000)+(_xll.DBR("CXMD:FTM_DATA_BALANCE_SHEET","Total_Customer_Supplier",F$21,$C$19,ori,"TOTAL PRODUCT","B-438010",$C$20,"Amount_BS")/1000)</f>
        <v>119124.28627999999</v>
      </c>
      <c r="G33" s="78">
        <f ca="1">(_xll.DBR("CXMD:FTM_DATA_BALANCE_SHEET","Total_Customer_Supplier",G$21,$C$19,ori,"TOTAL PRODUCT","B-430010",$C$20,"Amount_BS")/1000)+(_xll.DBR("CXMD:FTM_DATA_BALANCE_SHEET","Total_Customer_Supplier",G$21,$C$19,ori,"TOTAL PRODUCT","B-430040",$C$20,"Amount_BS")/1000)+(_xll.DBR("CXMD:FTM_DATA_BALANCE_SHEET","Total_Customer_Supplier",G$21,$C$19,ori,"TOTAL PRODUCT","B-431040",$C$20,"Amount_BS")/1000)+(_xll.DBR("CXMD:FTM_DATA_BALANCE_SHEET","Total_Customer_Supplier",G$21,$C$19,ori,"TOTAL PRODUCT","B-437010",$C$20,"Amount_BS")/1000)+(_xll.DBR("CXMD:FTM_DATA_BALANCE_SHEET","Total_Customer_Supplier",G$21,$C$19,ori,"TOTAL PRODUCT","B-438010",$C$20,"Amount_BS")/1000)</f>
        <v>157420.15292999998</v>
      </c>
      <c r="H33" s="78">
        <f ca="1">(_xll.DBR("CXMD:FTM_DATA_BALANCE_SHEET","Total_Customer_Supplier",H$21,$C$19,ori,"TOTAL PRODUCT","B-430010",$C$20,"Amount_BS")/1000)+(_xll.DBR("CXMD:FTM_DATA_BALANCE_SHEET","Total_Customer_Supplier",H$21,$C$19,ori,"TOTAL PRODUCT","B-430040",$C$20,"Amount_BS")/1000)+(_xll.DBR("CXMD:FTM_DATA_BALANCE_SHEET","Total_Customer_Supplier",H$21,$C$19,ori,"TOTAL PRODUCT","B-431040",$C$20,"Amount_BS")/1000)+(_xll.DBR("CXMD:FTM_DATA_BALANCE_SHEET","Total_Customer_Supplier",H$21,$C$19,ori,"TOTAL PRODUCT","B-437010",$C$20,"Amount_BS")/1000)+(_xll.DBR("CXMD:FTM_DATA_BALANCE_SHEET","Total_Customer_Supplier",H$21,$C$19,ori,"TOTAL PRODUCT","B-438010",$C$20,"Amount_BS")/1000)</f>
        <v>197570.35758000001</v>
      </c>
      <c r="I33" s="78">
        <f ca="1">(_xll.DBR("CXMD:FTM_DATA_BALANCE_SHEET","Total_Customer_Supplier",I$21,$C$19,ori,"TOTAL PRODUCT","B-430010",$C$20,"Amount_BS")/1000)+(_xll.DBR("CXMD:FTM_DATA_BALANCE_SHEET","Total_Customer_Supplier",I$21,$C$19,ori,"TOTAL PRODUCT","B-430040",$C$20,"Amount_BS")/1000)+(_xll.DBR("CXMD:FTM_DATA_BALANCE_SHEET","Total_Customer_Supplier",I$21,$C$19,ori,"TOTAL PRODUCT","B-431040",$C$20,"Amount_BS")/1000)+(_xll.DBR("CXMD:FTM_DATA_BALANCE_SHEET","Total_Customer_Supplier",I$21,$C$19,ori,"TOTAL PRODUCT","B-437010",$C$20,"Amount_BS")/1000)+(_xll.DBR("CXMD:FTM_DATA_BALANCE_SHEET","Total_Customer_Supplier",I$21,$C$19,ori,"TOTAL PRODUCT","B-438010",$C$20,"Amount_BS")/1000)</f>
        <v>241154.91008999999</v>
      </c>
      <c r="J33" s="78">
        <f ca="1">(_xll.DBR("CXMD:FTM_DATA_BALANCE_SHEET","Total_Customer_Supplier",J$21,$C$19,ori,"TOTAL PRODUCT","B-430010",$C$20,"Amount_BS")/1000)+(_xll.DBR("CXMD:FTM_DATA_BALANCE_SHEET","Total_Customer_Supplier",J$21,$C$19,ori,"TOTAL PRODUCT","B-430040",$C$20,"Amount_BS")/1000)+(_xll.DBR("CXMD:FTM_DATA_BALANCE_SHEET","Total_Customer_Supplier",J$21,$C$19,ori,"TOTAL PRODUCT","B-431040",$C$20,"Amount_BS")/1000)+(_xll.DBR("CXMD:FTM_DATA_BALANCE_SHEET","Total_Customer_Supplier",J$21,$C$19,ori,"TOTAL PRODUCT","B-437010",$C$20,"Amount_BS")/1000)+(_xll.DBR("CXMD:FTM_DATA_BALANCE_SHEET","Total_Customer_Supplier",J$21,$C$19,ori,"TOTAL PRODUCT","B-438010",$C$20,"Amount_BS")/1000)</f>
        <v>278723.47531999997</v>
      </c>
      <c r="K33" s="78">
        <f ca="1">(_xll.DBR("CXMD:FTM_DATA_BALANCE_SHEET","Total_Customer_Supplier",K$21,$C$19,ori,"TOTAL PRODUCT","B-430010",$C$20,"Amount_BS")/1000)+(_xll.DBR("CXMD:FTM_DATA_BALANCE_SHEET","Total_Customer_Supplier",K$21,$C$19,ori,"TOTAL PRODUCT","B-430040",$C$20,"Amount_BS")/1000)+(_xll.DBR("CXMD:FTM_DATA_BALANCE_SHEET","Total_Customer_Supplier",K$21,$C$19,ori,"TOTAL PRODUCT","B-431040",$C$20,"Amount_BS")/1000)+(_xll.DBR("CXMD:FTM_DATA_BALANCE_SHEET","Total_Customer_Supplier",K$21,$C$19,ori,"TOTAL PRODUCT","B-437010",$C$20,"Amount_BS")/1000)+(_xll.DBR("CXMD:FTM_DATA_BALANCE_SHEET","Total_Customer_Supplier",K$21,$C$19,ori,"TOTAL PRODUCT","B-438010",$C$20,"Amount_BS")/1000)</f>
        <v>310282.64411999995</v>
      </c>
      <c r="L33" s="78">
        <f ca="1">(_xll.DBR("CXMD:FTM_DATA_BALANCE_SHEET","Total_Customer_Supplier",L$21,$C$19,ori,"TOTAL PRODUCT","B-430010",$C$20,"Amount_BS")/1000)+(_xll.DBR("CXMD:FTM_DATA_BALANCE_SHEET","Total_Customer_Supplier",L$21,$C$19,ori,"TOTAL PRODUCT","B-430040",$C$20,"Amount_BS")/1000)+(_xll.DBR("CXMD:FTM_DATA_BALANCE_SHEET","Total_Customer_Supplier",L$21,$C$19,ori,"TOTAL PRODUCT","B-431040",$C$20,"Amount_BS")/1000)+(_xll.DBR("CXMD:FTM_DATA_BALANCE_SHEET","Total_Customer_Supplier",L$21,$C$19,ori,"TOTAL PRODUCT","B-437010",$C$20,"Amount_BS")/1000)+(_xll.DBR("CXMD:FTM_DATA_BALANCE_SHEET","Total_Customer_Supplier",L$21,$C$19,ori,"TOTAL PRODUCT","B-438010",$C$20,"Amount_BS")/1000)</f>
        <v>347352.84158999997</v>
      </c>
      <c r="M33" s="78">
        <f ca="1">(_xll.DBR("CXMD:FTM_DATA_BALANCE_SHEET","Total_Customer_Supplier",M$21,$C$19,ori,"TOTAL PRODUCT","B-430010",$C$20,"Amount_BS")/1000)+(_xll.DBR("CXMD:FTM_DATA_BALANCE_SHEET","Total_Customer_Supplier",M$21,$C$19,ori,"TOTAL PRODUCT","B-430040",$C$20,"Amount_BS")/1000)+(_xll.DBR("CXMD:FTM_DATA_BALANCE_SHEET","Total_Customer_Supplier",M$21,$C$19,ori,"TOTAL PRODUCT","B-431040",$C$20,"Amount_BS")/1000)+(_xll.DBR("CXMD:FTM_DATA_BALANCE_SHEET","Total_Customer_Supplier",M$21,$C$19,ori,"TOTAL PRODUCT","B-437010",$C$20,"Amount_BS")/1000)+(_xll.DBR("CXMD:FTM_DATA_BALANCE_SHEET","Total_Customer_Supplier",M$21,$C$19,ori,"TOTAL PRODUCT","B-438010",$C$20,"Amount_BS")/1000)</f>
        <v>386945.21354999993</v>
      </c>
      <c r="N33" s="78">
        <f ca="1">(_xll.DBR("CXMD:FTM_DATA_BALANCE_SHEET","Total_Customer_Supplier",N$21,$C$19,ori,"TOTAL PRODUCT","B-430010",$C$20,"Amount_BS")/1000)+(_xll.DBR("CXMD:FTM_DATA_BALANCE_SHEET","Total_Customer_Supplier",N$21,$C$19,ori,"TOTAL PRODUCT","B-430040",$C$20,"Amount_BS")/1000)+(_xll.DBR("CXMD:FTM_DATA_BALANCE_SHEET","Total_Customer_Supplier",N$21,$C$19,ori,"TOTAL PRODUCT","B-431040",$C$20,"Amount_BS")/1000)+(_xll.DBR("CXMD:FTM_DATA_BALANCE_SHEET","Total_Customer_Supplier",N$21,$C$19,ori,"TOTAL PRODUCT","B-437010",$C$20,"Amount_BS")/1000)+(_xll.DBR("CXMD:FTM_DATA_BALANCE_SHEET","Total_Customer_Supplier",N$21,$C$19,ori,"TOTAL PRODUCT","B-438010",$C$20,"Amount_BS")/1000)</f>
        <v>426603.68955999997</v>
      </c>
      <c r="O33" s="78">
        <f ca="1">(_xll.DBR("CXMD:FTM_DATA_BALANCE_SHEET","Total_Customer_Supplier",O$21,$C$19,ori,"TOTAL PRODUCT","B-430010",$C$20,"Amount_BS")/1000)+(_xll.DBR("CXMD:FTM_DATA_BALANCE_SHEET","Total_Customer_Supplier",O$21,$C$19,ori,"TOTAL PRODUCT","B-430040",$C$20,"Amount_BS")/1000)+(_xll.DBR("CXMD:FTM_DATA_BALANCE_SHEET","Total_Customer_Supplier",O$21,$C$19,ori,"TOTAL PRODUCT","B-431040",$C$20,"Amount_BS")/1000)+(_xll.DBR("CXMD:FTM_DATA_BALANCE_SHEET","Total_Customer_Supplier",O$21,$C$19,ori,"TOTAL PRODUCT","B-437010",$C$20,"Amount_BS")/1000)+(_xll.DBR("CXMD:FTM_DATA_BALANCE_SHEET","Total_Customer_Supplier",O$21,$C$19,ori,"TOTAL PRODUCT","B-438010",$C$20,"Amount_BS")/1000)</f>
        <v>460087.46799999999</v>
      </c>
    </row>
    <row r="34" spans="2:15" ht="15.75" thickBot="1" x14ac:dyDescent="0.3">
      <c r="B34" s="43"/>
      <c r="C34" s="88" t="s">
        <v>52</v>
      </c>
      <c r="D34" s="45">
        <f ca="1">IF(D25&lt;&gt;0,D33/D25,0)</f>
        <v>0.11366694263981707</v>
      </c>
      <c r="E34" s="45">
        <f t="shared" ref="E34:O34" ca="1" si="5">IF(E25&lt;&gt;0,E33/E25,0)</f>
        <v>0.1173401562587794</v>
      </c>
      <c r="F34" s="45">
        <f t="shared" ca="1" si="5"/>
        <v>0.11527751086294982</v>
      </c>
      <c r="G34" s="45">
        <f t="shared" ca="1" si="5"/>
        <v>0.11651413311722533</v>
      </c>
      <c r="H34" s="45">
        <f t="shared" ca="1" si="5"/>
        <v>0.11393934824930536</v>
      </c>
      <c r="I34" s="45">
        <f t="shared" ca="1" si="5"/>
        <v>0.1145459937514558</v>
      </c>
      <c r="J34" s="45">
        <f t="shared" ca="1" si="5"/>
        <v>0.11300326855222759</v>
      </c>
      <c r="K34" s="45">
        <f t="shared" ca="1" si="5"/>
        <v>0.10967317341894854</v>
      </c>
      <c r="L34" s="45">
        <f t="shared" ca="1" si="5"/>
        <v>0.10952532740513198</v>
      </c>
      <c r="M34" s="45">
        <f t="shared" ca="1" si="5"/>
        <v>0.11060246305439793</v>
      </c>
      <c r="N34" s="45">
        <f t="shared" ca="1" si="5"/>
        <v>0.11146591871511792</v>
      </c>
      <c r="O34" s="45">
        <f t="shared" ca="1" si="5"/>
        <v>0.11267990260011518</v>
      </c>
    </row>
    <row r="35" spans="2:15" ht="15.75" x14ac:dyDescent="0.25">
      <c r="B35" s="46" t="s">
        <v>7</v>
      </c>
      <c r="C35" s="84" t="s">
        <v>11</v>
      </c>
      <c r="D35" s="79">
        <f ca="1">(_xll.DBR("CXMD:FTM_DATA_BALANCE_SHEET","Total_Customer_Supplier",D$21,$C$19,ori,"TOTAL PRODUCT","B-451010",$C$20,"Amount_BS")/1000)+(_xll.DBR("CXMD:FTM_DATA_BALANCE_SHEET","Total_Customer_Supplier",D$21,$C$19,ori,"TOTAL PRODUCT","B-451020",$C$20,"Amount_BS")/1000)+(_xll.DBR("CXMD:FTM_DATA_BALANCE_SHEET","Total_Customer_Supplier",D$21,$C$19,ori,"TOTAL PRODUCT","B-451030",$C$20,"Amount_BS")/1000)+(_xll.DBR("CXMD:FTM_DATA_BALANCE_SHEET","Total_Customer_Supplier",D$21,$C$19,ori,"TOTAL PRODUCT","B-451110",$C$20,"Amount_BS")/1000)+(_xll.DBR("CXMD:FTM_DATA_BALANCE_SHEET","Total_Customer_Supplier",D$21,$C$19,ori,"TOTAL PRODUCT","B-451210",$C$20,"Amount_BS")/1000)+(_xll.DBR("CXMD:FTM_DATA_BALANCE_SHEET","Total_Customer_Supplier",D$21,$C$19,ori,"TOTAL PRODUCT","B-451220",$C$20,"Amount_BS")/1000)+(_xll.DBR("CXMD:FTM_DATA_BALANCE_SHEET","Total_Customer_Supplier",D$21,$C$19,ori,"TOTAL PRODUCT","B-451310",$C$20,"Amount_BS")/1000)+(_xll.DBR("CXMD:FTM_DATA_BALANCE_SHEET","Total_Customer_Supplier",D$21,$C$19,ori,"TOTAL PRODUCT","B-451450",$C$20,"Amount_BS")/1000)+(_xll.DBR("CXMD:FTM_DATA_BALANCE_SHEET","Total_Customer_Supplier",D$21,$C$19,ori,"TOTAL PRODUCT","B-451510",$C$20,"Amount_BS")/1000)+(_xll.DBR("CXMD:FTM_DATA_BALANCE_SHEET","Total_Customer_Supplier",D$21,$C$19,ori,"TOTAL PRODUCT","B-451610",$C$20,"Amount_BS")/1000)+(_xll.DBR("CXMD:FTM_DATA_BALANCE_SHEET","Total_Customer_Supplier",D$21,$C$19,ori,"TOTAL PRODUCT","B-451620",$C$20,"Amount_BS")/1000)</f>
        <v>29278.131550000002</v>
      </c>
      <c r="E35" s="79">
        <f ca="1">(_xll.DBR("CXMD:FTM_DATA_BALANCE_SHEET","Total_Customer_Supplier",E$21,$C$19,ori,"TOTAL PRODUCT","B-451010",$C$20,"Amount_BS")/1000)+(_xll.DBR("CXMD:FTM_DATA_BALANCE_SHEET","Total_Customer_Supplier",E$21,$C$19,ori,"TOTAL PRODUCT","B-451020",$C$20,"Amount_BS")/1000)+(_xll.DBR("CXMD:FTM_DATA_BALANCE_SHEET","Total_Customer_Supplier",E$21,$C$19,ori,"TOTAL PRODUCT","B-451030",$C$20,"Amount_BS")/1000)+(_xll.DBR("CXMD:FTM_DATA_BALANCE_SHEET","Total_Customer_Supplier",E$21,$C$19,ori,"TOTAL PRODUCT","B-451110",$C$20,"Amount_BS")/1000)+(_xll.DBR("CXMD:FTM_DATA_BALANCE_SHEET","Total_Customer_Supplier",E$21,$C$19,ori,"TOTAL PRODUCT","B-451210",$C$20,"Amount_BS")/1000)+(_xll.DBR("CXMD:FTM_DATA_BALANCE_SHEET","Total_Customer_Supplier",E$21,$C$19,ori,"TOTAL PRODUCT","B-451220",$C$20,"Amount_BS")/1000)+(_xll.DBR("CXMD:FTM_DATA_BALANCE_SHEET","Total_Customer_Supplier",E$21,$C$19,ori,"TOTAL PRODUCT","B-451310",$C$20,"Amount_BS")/1000)+(_xll.DBR("CXMD:FTM_DATA_BALANCE_SHEET","Total_Customer_Supplier",E$21,$C$19,ori,"TOTAL PRODUCT","B-451450",$C$20,"Amount_BS")/1000)+(_xll.DBR("CXMD:FTM_DATA_BALANCE_SHEET","Total_Customer_Supplier",E$21,$C$19,ori,"TOTAL PRODUCT","B-451510",$C$20,"Amount_BS")/1000)+(_xll.DBR("CXMD:FTM_DATA_BALANCE_SHEET","Total_Customer_Supplier",E$21,$C$19,ori,"TOTAL PRODUCT","B-451610",$C$20,"Amount_BS")/1000)+(_xll.DBR("CXMD:FTM_DATA_BALANCE_SHEET","Total_Customer_Supplier",E$21,$C$19,ori,"TOTAL PRODUCT","B-451620",$C$20,"Amount_BS")/1000)</f>
        <v>55704.349010000005</v>
      </c>
      <c r="F35" s="79">
        <f ca="1">(_xll.DBR("CXMD:FTM_DATA_BALANCE_SHEET","Total_Customer_Supplier",F$21,$C$19,ori,"TOTAL PRODUCT","B-451010",$C$20,"Amount_BS")/1000)+(_xll.DBR("CXMD:FTM_DATA_BALANCE_SHEET","Total_Customer_Supplier",F$21,$C$19,ori,"TOTAL PRODUCT","B-451020",$C$20,"Amount_BS")/1000)+(_xll.DBR("CXMD:FTM_DATA_BALANCE_SHEET","Total_Customer_Supplier",F$21,$C$19,ori,"TOTAL PRODUCT","B-451030",$C$20,"Amount_BS")/1000)+(_xll.DBR("CXMD:FTM_DATA_BALANCE_SHEET","Total_Customer_Supplier",F$21,$C$19,ori,"TOTAL PRODUCT","B-451110",$C$20,"Amount_BS")/1000)+(_xll.DBR("CXMD:FTM_DATA_BALANCE_SHEET","Total_Customer_Supplier",F$21,$C$19,ori,"TOTAL PRODUCT","B-451210",$C$20,"Amount_BS")/1000)+(_xll.DBR("CXMD:FTM_DATA_BALANCE_SHEET","Total_Customer_Supplier",F$21,$C$19,ori,"TOTAL PRODUCT","B-451220",$C$20,"Amount_BS")/1000)+(_xll.DBR("CXMD:FTM_DATA_BALANCE_SHEET","Total_Customer_Supplier",F$21,$C$19,ori,"TOTAL PRODUCT","B-451310",$C$20,"Amount_BS")/1000)+(_xll.DBR("CXMD:FTM_DATA_BALANCE_SHEET","Total_Customer_Supplier",F$21,$C$19,ori,"TOTAL PRODUCT","B-451450",$C$20,"Amount_BS")/1000)+(_xll.DBR("CXMD:FTM_DATA_BALANCE_SHEET","Total_Customer_Supplier",F$21,$C$19,ori,"TOTAL PRODUCT","B-451510",$C$20,"Amount_BS")/1000)+(_xll.DBR("CXMD:FTM_DATA_BALANCE_SHEET","Total_Customer_Supplier",F$21,$C$19,ori,"TOTAL PRODUCT","B-451610",$C$20,"Amount_BS")/1000)+(_xll.DBR("CXMD:FTM_DATA_BALANCE_SHEET","Total_Customer_Supplier",F$21,$C$19,ori,"TOTAL PRODUCT","B-451620",$C$20,"Amount_BS")/1000)</f>
        <v>88792.144480000003</v>
      </c>
      <c r="G35" s="79">
        <f ca="1">(_xll.DBR("CXMD:FTM_DATA_BALANCE_SHEET","Total_Customer_Supplier",G$21,$C$19,ori,"TOTAL PRODUCT","B-451010",$C$20,"Amount_BS")/1000)+(_xll.DBR("CXMD:FTM_DATA_BALANCE_SHEET","Total_Customer_Supplier",G$21,$C$19,ori,"TOTAL PRODUCT","B-451020",$C$20,"Amount_BS")/1000)+(_xll.DBR("CXMD:FTM_DATA_BALANCE_SHEET","Total_Customer_Supplier",G$21,$C$19,ori,"TOTAL PRODUCT","B-451030",$C$20,"Amount_BS")/1000)+(_xll.DBR("CXMD:FTM_DATA_BALANCE_SHEET","Total_Customer_Supplier",G$21,$C$19,ori,"TOTAL PRODUCT","B-451110",$C$20,"Amount_BS")/1000)+(_xll.DBR("CXMD:FTM_DATA_BALANCE_SHEET","Total_Customer_Supplier",G$21,$C$19,ori,"TOTAL PRODUCT","B-451210",$C$20,"Amount_BS")/1000)+(_xll.DBR("CXMD:FTM_DATA_BALANCE_SHEET","Total_Customer_Supplier",G$21,$C$19,ori,"TOTAL PRODUCT","B-451220",$C$20,"Amount_BS")/1000)+(_xll.DBR("CXMD:FTM_DATA_BALANCE_SHEET","Total_Customer_Supplier",G$21,$C$19,ori,"TOTAL PRODUCT","B-451310",$C$20,"Amount_BS")/1000)+(_xll.DBR("CXMD:FTM_DATA_BALANCE_SHEET","Total_Customer_Supplier",G$21,$C$19,ori,"TOTAL PRODUCT","B-451450",$C$20,"Amount_BS")/1000)+(_xll.DBR("CXMD:FTM_DATA_BALANCE_SHEET","Total_Customer_Supplier",G$21,$C$19,ori,"TOTAL PRODUCT","B-451510",$C$20,"Amount_BS")/1000)+(_xll.DBR("CXMD:FTM_DATA_BALANCE_SHEET","Total_Customer_Supplier",G$21,$C$19,ori,"TOTAL PRODUCT","B-451610",$C$20,"Amount_BS")/1000)+(_xll.DBR("CXMD:FTM_DATA_BALANCE_SHEET","Total_Customer_Supplier",G$21,$C$19,ori,"TOTAL PRODUCT","B-451620",$C$20,"Amount_BS")/1000)</f>
        <v>120559.83078999999</v>
      </c>
      <c r="H35" s="79">
        <f ca="1">(_xll.DBR("CXMD:FTM_DATA_BALANCE_SHEET","Total_Customer_Supplier",H$21,$C$19,ori,"TOTAL PRODUCT","B-451010",$C$20,"Amount_BS")/1000)+(_xll.DBR("CXMD:FTM_DATA_BALANCE_SHEET","Total_Customer_Supplier",H$21,$C$19,ori,"TOTAL PRODUCT","B-451020",$C$20,"Amount_BS")/1000)+(_xll.DBR("CXMD:FTM_DATA_BALANCE_SHEET","Total_Customer_Supplier",H$21,$C$19,ori,"TOTAL PRODUCT","B-451030",$C$20,"Amount_BS")/1000)+(_xll.DBR("CXMD:FTM_DATA_BALANCE_SHEET","Total_Customer_Supplier",H$21,$C$19,ori,"TOTAL PRODUCT","B-451110",$C$20,"Amount_BS")/1000)+(_xll.DBR("CXMD:FTM_DATA_BALANCE_SHEET","Total_Customer_Supplier",H$21,$C$19,ori,"TOTAL PRODUCT","B-451210",$C$20,"Amount_BS")/1000)+(_xll.DBR("CXMD:FTM_DATA_BALANCE_SHEET","Total_Customer_Supplier",H$21,$C$19,ori,"TOTAL PRODUCT","B-451220",$C$20,"Amount_BS")/1000)+(_xll.DBR("CXMD:FTM_DATA_BALANCE_SHEET","Total_Customer_Supplier",H$21,$C$19,ori,"TOTAL PRODUCT","B-451310",$C$20,"Amount_BS")/1000)+(_xll.DBR("CXMD:FTM_DATA_BALANCE_SHEET","Total_Customer_Supplier",H$21,$C$19,ori,"TOTAL PRODUCT","B-451450",$C$20,"Amount_BS")/1000)+(_xll.DBR("CXMD:FTM_DATA_BALANCE_SHEET","Total_Customer_Supplier",H$21,$C$19,ori,"TOTAL PRODUCT","B-451510",$C$20,"Amount_BS")/1000)+(_xll.DBR("CXMD:FTM_DATA_BALANCE_SHEET","Total_Customer_Supplier",H$21,$C$19,ori,"TOTAL PRODUCT","B-451610",$C$20,"Amount_BS")/1000)+(_xll.DBR("CXMD:FTM_DATA_BALANCE_SHEET","Total_Customer_Supplier",H$21,$C$19,ori,"TOTAL PRODUCT","B-451620",$C$20,"Amount_BS")/1000)</f>
        <v>153093.75517000002</v>
      </c>
      <c r="I35" s="79">
        <f ca="1">(_xll.DBR("CXMD:FTM_DATA_BALANCE_SHEET","Total_Customer_Supplier",I$21,$C$19,ori,"TOTAL PRODUCT","B-451010",$C$20,"Amount_BS")/1000)+(_xll.DBR("CXMD:FTM_DATA_BALANCE_SHEET","Total_Customer_Supplier",I$21,$C$19,ori,"TOTAL PRODUCT","B-451020",$C$20,"Amount_BS")/1000)+(_xll.DBR("CXMD:FTM_DATA_BALANCE_SHEET","Total_Customer_Supplier",I$21,$C$19,ori,"TOTAL PRODUCT","B-451030",$C$20,"Amount_BS")/1000)+(_xll.DBR("CXMD:FTM_DATA_BALANCE_SHEET","Total_Customer_Supplier",I$21,$C$19,ori,"TOTAL PRODUCT","B-451110",$C$20,"Amount_BS")/1000)+(_xll.DBR("CXMD:FTM_DATA_BALANCE_SHEET","Total_Customer_Supplier",I$21,$C$19,ori,"TOTAL PRODUCT","B-451210",$C$20,"Amount_BS")/1000)+(_xll.DBR("CXMD:FTM_DATA_BALANCE_SHEET","Total_Customer_Supplier",I$21,$C$19,ori,"TOTAL PRODUCT","B-451220",$C$20,"Amount_BS")/1000)+(_xll.DBR("CXMD:FTM_DATA_BALANCE_SHEET","Total_Customer_Supplier",I$21,$C$19,ori,"TOTAL PRODUCT","B-451310",$C$20,"Amount_BS")/1000)+(_xll.DBR("CXMD:FTM_DATA_BALANCE_SHEET","Total_Customer_Supplier",I$21,$C$19,ori,"TOTAL PRODUCT","B-451450",$C$20,"Amount_BS")/1000)+(_xll.DBR("CXMD:FTM_DATA_BALANCE_SHEET","Total_Customer_Supplier",I$21,$C$19,ori,"TOTAL PRODUCT","B-451510",$C$20,"Amount_BS")/1000)+(_xll.DBR("CXMD:FTM_DATA_BALANCE_SHEET","Total_Customer_Supplier",I$21,$C$19,ori,"TOTAL PRODUCT","B-451610",$C$20,"Amount_BS")/1000)+(_xll.DBR("CXMD:FTM_DATA_BALANCE_SHEET","Total_Customer_Supplier",I$21,$C$19,ori,"TOTAL PRODUCT","B-451620",$C$20,"Amount_BS")/1000)</f>
        <v>183999.09954999998</v>
      </c>
      <c r="J35" s="79">
        <f ca="1">(_xll.DBR("CXMD:FTM_DATA_BALANCE_SHEET","Total_Customer_Supplier",J$21,$C$19,ori,"TOTAL PRODUCT","B-451010",$C$20,"Amount_BS")/1000)+(_xll.DBR("CXMD:FTM_DATA_BALANCE_SHEET","Total_Customer_Supplier",J$21,$C$19,ori,"TOTAL PRODUCT","B-451020",$C$20,"Amount_BS")/1000)+(_xll.DBR("CXMD:FTM_DATA_BALANCE_SHEET","Total_Customer_Supplier",J$21,$C$19,ori,"TOTAL PRODUCT","B-451030",$C$20,"Amount_BS")/1000)+(_xll.DBR("CXMD:FTM_DATA_BALANCE_SHEET","Total_Customer_Supplier",J$21,$C$19,ori,"TOTAL PRODUCT","B-451110",$C$20,"Amount_BS")/1000)+(_xll.DBR("CXMD:FTM_DATA_BALANCE_SHEET","Total_Customer_Supplier",J$21,$C$19,ori,"TOTAL PRODUCT","B-451210",$C$20,"Amount_BS")/1000)+(_xll.DBR("CXMD:FTM_DATA_BALANCE_SHEET","Total_Customer_Supplier",J$21,$C$19,ori,"TOTAL PRODUCT","B-451220",$C$20,"Amount_BS")/1000)+(_xll.DBR("CXMD:FTM_DATA_BALANCE_SHEET","Total_Customer_Supplier",J$21,$C$19,ori,"TOTAL PRODUCT","B-451310",$C$20,"Amount_BS")/1000)+(_xll.DBR("CXMD:FTM_DATA_BALANCE_SHEET","Total_Customer_Supplier",J$21,$C$19,ori,"TOTAL PRODUCT","B-451450",$C$20,"Amount_BS")/1000)+(_xll.DBR("CXMD:FTM_DATA_BALANCE_SHEET","Total_Customer_Supplier",J$21,$C$19,ori,"TOTAL PRODUCT","B-451510",$C$20,"Amount_BS")/1000)+(_xll.DBR("CXMD:FTM_DATA_BALANCE_SHEET","Total_Customer_Supplier",J$21,$C$19,ori,"TOTAL PRODUCT","B-451610",$C$20,"Amount_BS")/1000)+(_xll.DBR("CXMD:FTM_DATA_BALANCE_SHEET","Total_Customer_Supplier",J$21,$C$19,ori,"TOTAL PRODUCT","B-451620",$C$20,"Amount_BS")/1000)</f>
        <v>212624.51154000001</v>
      </c>
      <c r="K35" s="79">
        <f ca="1">(_xll.DBR("CXMD:FTM_DATA_BALANCE_SHEET","Total_Customer_Supplier",K$21,$C$19,ori,"TOTAL PRODUCT","B-451010",$C$20,"Amount_BS")/1000)+(_xll.DBR("CXMD:FTM_DATA_BALANCE_SHEET","Total_Customer_Supplier",K$21,$C$19,ori,"TOTAL PRODUCT","B-451020",$C$20,"Amount_BS")/1000)+(_xll.DBR("CXMD:FTM_DATA_BALANCE_SHEET","Total_Customer_Supplier",K$21,$C$19,ori,"TOTAL PRODUCT","B-451030",$C$20,"Amount_BS")/1000)+(_xll.DBR("CXMD:FTM_DATA_BALANCE_SHEET","Total_Customer_Supplier",K$21,$C$19,ori,"TOTAL PRODUCT","B-451110",$C$20,"Amount_BS")/1000)+(_xll.DBR("CXMD:FTM_DATA_BALANCE_SHEET","Total_Customer_Supplier",K$21,$C$19,ori,"TOTAL PRODUCT","B-451210",$C$20,"Amount_BS")/1000)+(_xll.DBR("CXMD:FTM_DATA_BALANCE_SHEET","Total_Customer_Supplier",K$21,$C$19,ori,"TOTAL PRODUCT","B-451220",$C$20,"Amount_BS")/1000)+(_xll.DBR("CXMD:FTM_DATA_BALANCE_SHEET","Total_Customer_Supplier",K$21,$C$19,ori,"TOTAL PRODUCT","B-451310",$C$20,"Amount_BS")/1000)+(_xll.DBR("CXMD:FTM_DATA_BALANCE_SHEET","Total_Customer_Supplier",K$21,$C$19,ori,"TOTAL PRODUCT","B-451450",$C$20,"Amount_BS")/1000)+(_xll.DBR("CXMD:FTM_DATA_BALANCE_SHEET","Total_Customer_Supplier",K$21,$C$19,ori,"TOTAL PRODUCT","B-451510",$C$20,"Amount_BS")/1000)+(_xll.DBR("CXMD:FTM_DATA_BALANCE_SHEET","Total_Customer_Supplier",K$21,$C$19,ori,"TOTAL PRODUCT","B-451610",$C$20,"Amount_BS")/1000)+(_xll.DBR("CXMD:FTM_DATA_BALANCE_SHEET","Total_Customer_Supplier",K$21,$C$19,ori,"TOTAL PRODUCT","B-451620",$C$20,"Amount_BS")/1000)</f>
        <v>239387.38657000003</v>
      </c>
      <c r="L35" s="79">
        <f ca="1">(_xll.DBR("CXMD:FTM_DATA_BALANCE_SHEET","Total_Customer_Supplier",L$21,$C$19,ori,"TOTAL PRODUCT","B-451010",$C$20,"Amount_BS")/1000)+(_xll.DBR("CXMD:FTM_DATA_BALANCE_SHEET","Total_Customer_Supplier",L$21,$C$19,ori,"TOTAL PRODUCT","B-451020",$C$20,"Amount_BS")/1000)+(_xll.DBR("CXMD:FTM_DATA_BALANCE_SHEET","Total_Customer_Supplier",L$21,$C$19,ori,"TOTAL PRODUCT","B-451030",$C$20,"Amount_BS")/1000)+(_xll.DBR("CXMD:FTM_DATA_BALANCE_SHEET","Total_Customer_Supplier",L$21,$C$19,ori,"TOTAL PRODUCT","B-451110",$C$20,"Amount_BS")/1000)+(_xll.DBR("CXMD:FTM_DATA_BALANCE_SHEET","Total_Customer_Supplier",L$21,$C$19,ori,"TOTAL PRODUCT","B-451210",$C$20,"Amount_BS")/1000)+(_xll.DBR("CXMD:FTM_DATA_BALANCE_SHEET","Total_Customer_Supplier",L$21,$C$19,ori,"TOTAL PRODUCT","B-451220",$C$20,"Amount_BS")/1000)+(_xll.DBR("CXMD:FTM_DATA_BALANCE_SHEET","Total_Customer_Supplier",L$21,$C$19,ori,"TOTAL PRODUCT","B-451310",$C$20,"Amount_BS")/1000)+(_xll.DBR("CXMD:FTM_DATA_BALANCE_SHEET","Total_Customer_Supplier",L$21,$C$19,ori,"TOTAL PRODUCT","B-451450",$C$20,"Amount_BS")/1000)+(_xll.DBR("CXMD:FTM_DATA_BALANCE_SHEET","Total_Customer_Supplier",L$21,$C$19,ori,"TOTAL PRODUCT","B-451510",$C$20,"Amount_BS")/1000)+(_xll.DBR("CXMD:FTM_DATA_BALANCE_SHEET","Total_Customer_Supplier",L$21,$C$19,ori,"TOTAL PRODUCT","B-451610",$C$20,"Amount_BS")/1000)+(_xll.DBR("CXMD:FTM_DATA_BALANCE_SHEET","Total_Customer_Supplier",L$21,$C$19,ori,"TOTAL PRODUCT","B-451620",$C$20,"Amount_BS")/1000)</f>
        <v>269115.68698999996</v>
      </c>
      <c r="M35" s="79">
        <f ca="1">(_xll.DBR("CXMD:FTM_DATA_BALANCE_SHEET","Total_Customer_Supplier",M$21,$C$19,ori,"TOTAL PRODUCT","B-451010",$C$20,"Amount_BS")/1000)+(_xll.DBR("CXMD:FTM_DATA_BALANCE_SHEET","Total_Customer_Supplier",M$21,$C$19,ori,"TOTAL PRODUCT","B-451020",$C$20,"Amount_BS")/1000)+(_xll.DBR("CXMD:FTM_DATA_BALANCE_SHEET","Total_Customer_Supplier",M$21,$C$19,ori,"TOTAL PRODUCT","B-451030",$C$20,"Amount_BS")/1000)+(_xll.DBR("CXMD:FTM_DATA_BALANCE_SHEET","Total_Customer_Supplier",M$21,$C$19,ori,"TOTAL PRODUCT","B-451110",$C$20,"Amount_BS")/1000)+(_xll.DBR("CXMD:FTM_DATA_BALANCE_SHEET","Total_Customer_Supplier",M$21,$C$19,ori,"TOTAL PRODUCT","B-451210",$C$20,"Amount_BS")/1000)+(_xll.DBR("CXMD:FTM_DATA_BALANCE_SHEET","Total_Customer_Supplier",M$21,$C$19,ori,"TOTAL PRODUCT","B-451220",$C$20,"Amount_BS")/1000)+(_xll.DBR("CXMD:FTM_DATA_BALANCE_SHEET","Total_Customer_Supplier",M$21,$C$19,ori,"TOTAL PRODUCT","B-451310",$C$20,"Amount_BS")/1000)+(_xll.DBR("CXMD:FTM_DATA_BALANCE_SHEET","Total_Customer_Supplier",M$21,$C$19,ori,"TOTAL PRODUCT","B-451450",$C$20,"Amount_BS")/1000)+(_xll.DBR("CXMD:FTM_DATA_BALANCE_SHEET","Total_Customer_Supplier",M$21,$C$19,ori,"TOTAL PRODUCT","B-451510",$C$20,"Amount_BS")/1000)+(_xll.DBR("CXMD:FTM_DATA_BALANCE_SHEET","Total_Customer_Supplier",M$21,$C$19,ori,"TOTAL PRODUCT","B-451610",$C$20,"Amount_BS")/1000)+(_xll.DBR("CXMD:FTM_DATA_BALANCE_SHEET","Total_Customer_Supplier",M$21,$C$19,ori,"TOTAL PRODUCT","B-451620",$C$20,"Amount_BS")/1000)</f>
        <v>305418.33045000001</v>
      </c>
      <c r="N35" s="79">
        <f ca="1">(_xll.DBR("CXMD:FTM_DATA_BALANCE_SHEET","Total_Customer_Supplier",N$21,$C$19,ori,"TOTAL PRODUCT","B-451010",$C$20,"Amount_BS")/1000)+(_xll.DBR("CXMD:FTM_DATA_BALANCE_SHEET","Total_Customer_Supplier",N$21,$C$19,ori,"TOTAL PRODUCT","B-451020",$C$20,"Amount_BS")/1000)+(_xll.DBR("CXMD:FTM_DATA_BALANCE_SHEET","Total_Customer_Supplier",N$21,$C$19,ori,"TOTAL PRODUCT","B-451030",$C$20,"Amount_BS")/1000)+(_xll.DBR("CXMD:FTM_DATA_BALANCE_SHEET","Total_Customer_Supplier",N$21,$C$19,ori,"TOTAL PRODUCT","B-451110",$C$20,"Amount_BS")/1000)+(_xll.DBR("CXMD:FTM_DATA_BALANCE_SHEET","Total_Customer_Supplier",N$21,$C$19,ori,"TOTAL PRODUCT","B-451210",$C$20,"Amount_BS")/1000)+(_xll.DBR("CXMD:FTM_DATA_BALANCE_SHEET","Total_Customer_Supplier",N$21,$C$19,ori,"TOTAL PRODUCT","B-451220",$C$20,"Amount_BS")/1000)+(_xll.DBR("CXMD:FTM_DATA_BALANCE_SHEET","Total_Customer_Supplier",N$21,$C$19,ori,"TOTAL PRODUCT","B-451310",$C$20,"Amount_BS")/1000)+(_xll.DBR("CXMD:FTM_DATA_BALANCE_SHEET","Total_Customer_Supplier",N$21,$C$19,ori,"TOTAL PRODUCT","B-451450",$C$20,"Amount_BS")/1000)+(_xll.DBR("CXMD:FTM_DATA_BALANCE_SHEET","Total_Customer_Supplier",N$21,$C$19,ori,"TOTAL PRODUCT","B-451510",$C$20,"Amount_BS")/1000)+(_xll.DBR("CXMD:FTM_DATA_BALANCE_SHEET","Total_Customer_Supplier",N$21,$C$19,ori,"TOTAL PRODUCT","B-451610",$C$20,"Amount_BS")/1000)+(_xll.DBR("CXMD:FTM_DATA_BALANCE_SHEET","Total_Customer_Supplier",N$21,$C$19,ori,"TOTAL PRODUCT","B-451620",$C$20,"Amount_BS")/1000)</f>
        <v>340339.55348</v>
      </c>
      <c r="O35" s="79">
        <f ca="1">(_xll.DBR("CXMD:FTM_DATA_BALANCE_SHEET","Total_Customer_Supplier",O$21,$C$19,ori,"TOTAL PRODUCT","B-451010",$C$20,"Amount_BS")/1000)+(_xll.DBR("CXMD:FTM_DATA_BALANCE_SHEET","Total_Customer_Supplier",O$21,$C$19,ori,"TOTAL PRODUCT","B-451020",$C$20,"Amount_BS")/1000)+(_xll.DBR("CXMD:FTM_DATA_BALANCE_SHEET","Total_Customer_Supplier",O$21,$C$19,ori,"TOTAL PRODUCT","B-451030",$C$20,"Amount_BS")/1000)+(_xll.DBR("CXMD:FTM_DATA_BALANCE_SHEET","Total_Customer_Supplier",O$21,$C$19,ori,"TOTAL PRODUCT","B-451110",$C$20,"Amount_BS")/1000)+(_xll.DBR("CXMD:FTM_DATA_BALANCE_SHEET","Total_Customer_Supplier",O$21,$C$19,ori,"TOTAL PRODUCT","B-451210",$C$20,"Amount_BS")/1000)+(_xll.DBR("CXMD:FTM_DATA_BALANCE_SHEET","Total_Customer_Supplier",O$21,$C$19,ori,"TOTAL PRODUCT","B-451220",$C$20,"Amount_BS")/1000)+(_xll.DBR("CXMD:FTM_DATA_BALANCE_SHEET","Total_Customer_Supplier",O$21,$C$19,ori,"TOTAL PRODUCT","B-451310",$C$20,"Amount_BS")/1000)+(_xll.DBR("CXMD:FTM_DATA_BALANCE_SHEET","Total_Customer_Supplier",O$21,$C$19,ori,"TOTAL PRODUCT","B-451450",$C$20,"Amount_BS")/1000)+(_xll.DBR("CXMD:FTM_DATA_BALANCE_SHEET","Total_Customer_Supplier",O$21,$C$19,ori,"TOTAL PRODUCT","B-451510",$C$20,"Amount_BS")/1000)+(_xll.DBR("CXMD:FTM_DATA_BALANCE_SHEET","Total_Customer_Supplier",O$21,$C$19,ori,"TOTAL PRODUCT","B-451610",$C$20,"Amount_BS")/1000)+(_xll.DBR("CXMD:FTM_DATA_BALANCE_SHEET","Total_Customer_Supplier",O$21,$C$19,ori,"TOTAL PRODUCT","B-451620",$C$20,"Amount_BS")/1000)</f>
        <v>371754.64548000001</v>
      </c>
    </row>
    <row r="36" spans="2:15" ht="15.75" thickBot="1" x14ac:dyDescent="0.3">
      <c r="B36" s="47"/>
      <c r="C36" s="89" t="s">
        <v>52</v>
      </c>
      <c r="D36" s="49">
        <f ca="1">IF(D25&lt;&gt;0,D35/D25,0)</f>
        <v>8.8981621329653537E-2</v>
      </c>
      <c r="E36" s="49">
        <f t="shared" ref="E36:O36" ca="1" si="6">IF(E25&lt;&gt;0,E35/E25,0)</f>
        <v>8.4185387781691934E-2</v>
      </c>
      <c r="F36" s="49">
        <f t="shared" ca="1" si="6"/>
        <v>8.5924858141679453E-2</v>
      </c>
      <c r="G36" s="49">
        <f t="shared" ca="1" si="6"/>
        <v>8.9232057724543484E-2</v>
      </c>
      <c r="H36" s="49">
        <f t="shared" ca="1" si="6"/>
        <v>8.8289573895443091E-2</v>
      </c>
      <c r="I36" s="49">
        <f t="shared" ca="1" si="6"/>
        <v>8.7397597251749962E-2</v>
      </c>
      <c r="J36" s="49">
        <f t="shared" ca="1" si="6"/>
        <v>8.6204668446944924E-2</v>
      </c>
      <c r="K36" s="49">
        <f t="shared" ca="1" si="6"/>
        <v>8.4614382593203516E-2</v>
      </c>
      <c r="L36" s="49">
        <f t="shared" ca="1" si="6"/>
        <v>8.4856031672335464E-2</v>
      </c>
      <c r="M36" s="49">
        <f t="shared" ca="1" si="6"/>
        <v>8.7299231071550826E-2</v>
      </c>
      <c r="N36" s="49">
        <f t="shared" ca="1" si="6"/>
        <v>8.8926237470821581E-2</v>
      </c>
      <c r="O36" s="49">
        <f t="shared" ca="1" si="6"/>
        <v>9.1046333919764036E-2</v>
      </c>
    </row>
    <row r="37" spans="2:15" ht="15" x14ac:dyDescent="0.25">
      <c r="B37" s="3" t="s">
        <v>8</v>
      </c>
      <c r="C37" s="82" t="s">
        <v>11</v>
      </c>
      <c r="D37" s="59">
        <f ca="1">_xll.DBR("CXMD:FTM_DATA_BALANCE_SHEET","Total_Customer_Supplier",D$21,$C$19,ori,"TOTAL PRODUCT","B-453010",$C$20,"Amount_BS")/1000</f>
        <v>-14389.18346</v>
      </c>
      <c r="E37" s="59">
        <f ca="1">_xll.DBR("CXMD:FTM_DATA_BALANCE_SHEET","Total_Customer_Supplier",E$21,$C$19,ori,"TOTAL PRODUCT","B-453010",$C$20,"Amount_BS")/1000</f>
        <v>-10142.121300000001</v>
      </c>
      <c r="F37" s="59">
        <f ca="1">_xll.DBR("CXMD:FTM_DATA_BALANCE_SHEET","Total_Customer_Supplier",F$21,$C$19,ori,"TOTAL PRODUCT","B-453010",$C$20,"Amount_BS")/1000</f>
        <v>-7633.4781800000001</v>
      </c>
      <c r="G37" s="59">
        <f ca="1">_xll.DBR("CXMD:FTM_DATA_BALANCE_SHEET","Total_Customer_Supplier",G$21,$C$19,ori,"TOTAL PRODUCT","B-453010",$C$20,"Amount_BS")/1000</f>
        <v>-7034.1853999999994</v>
      </c>
      <c r="H37" s="59">
        <f ca="1">_xll.DBR("CXMD:FTM_DATA_BALANCE_SHEET","Total_Customer_Supplier",H$21,$C$19,ori,"TOTAL PRODUCT","B-453010",$C$20,"Amount_BS")/1000</f>
        <v>-7500.5074200000008</v>
      </c>
      <c r="I37" s="59">
        <f ca="1">_xll.DBR("CXMD:FTM_DATA_BALANCE_SHEET","Total_Customer_Supplier",I$21,$C$19,ori,"TOTAL PRODUCT","B-453010",$C$20,"Amount_BS")/1000</f>
        <v>-7403.8316699999996</v>
      </c>
      <c r="J37" s="59">
        <f ca="1">_xll.DBR("CXMD:FTM_DATA_BALANCE_SHEET","Total_Customer_Supplier",J$21,$C$19,ori,"TOTAL PRODUCT","B-453010",$C$20,"Amount_BS")/1000</f>
        <v>-5362.5918099999999</v>
      </c>
      <c r="K37" s="59">
        <f ca="1">_xll.DBR("CXMD:FTM_DATA_BALANCE_SHEET","Total_Customer_Supplier",K$21,$C$19,ori,"TOTAL PRODUCT","B-453010",$C$20,"Amount_BS")/1000</f>
        <v>-6890.0214699999997</v>
      </c>
      <c r="L37" s="59">
        <f ca="1">_xll.DBR("CXMD:FTM_DATA_BALANCE_SHEET","Total_Customer_Supplier",L$21,$C$19,ori,"TOTAL PRODUCT","B-453010",$C$20,"Amount_BS")/1000</f>
        <v>-5774.3096000000032</v>
      </c>
      <c r="M37" s="59">
        <f ca="1">_xll.DBR("CXMD:FTM_DATA_BALANCE_SHEET","Total_Customer_Supplier",M$21,$C$19,ori,"TOTAL PRODUCT","B-453010",$C$20,"Amount_BS")/1000</f>
        <v>-6104.791280000004</v>
      </c>
      <c r="N37" s="59">
        <f ca="1">_xll.DBR("CXMD:FTM_DATA_BALANCE_SHEET","Total_Customer_Supplier",N$21,$C$19,ori,"TOTAL PRODUCT","B-453010",$C$20,"Amount_BS")/1000</f>
        <v>-6311.1360800000057</v>
      </c>
      <c r="O37" s="59">
        <f ca="1">_xll.DBR("CXMD:FTM_DATA_BALANCE_SHEET","Total_Customer_Supplier",O$21,$C$19,ori,"TOTAL PRODUCT","B-453010",$C$20,"Amount_BS")/1000</f>
        <v>-3499.1707000000047</v>
      </c>
    </row>
    <row r="38" spans="2:15" ht="15.75" thickBot="1" x14ac:dyDescent="0.3">
      <c r="B38" s="3" t="s">
        <v>9</v>
      </c>
      <c r="C38" s="82" t="s">
        <v>11</v>
      </c>
      <c r="D38" s="59">
        <f ca="1">(_xll.DBR("CXMD:FTM_DATA_BALANCE_SHEET","Total_Customer_Supplier",D$21,$C$19,ori,"TOTAL PRODUCT","B-470010",$C$20,"Amount_BS")/1000)+(_xll.DBR("CXMD:FTM_DATA_BALANCE_SHEET","Total_Customer_Supplier",D$21,$C$19,ori,"TOTAL PRODUCT","B-475010",$C$20,"Amount_BS")/1000)</f>
        <v>3386.4850200000005</v>
      </c>
      <c r="E38" s="59">
        <f ca="1">(_xll.DBR("CXMD:FTM_DATA_BALANCE_SHEET","Total_Customer_Supplier",E$21,$C$19,ori,"TOTAL PRODUCT","B-470010",$C$20,"Amount_BS")/1000)+(_xll.DBR("CXMD:FTM_DATA_BALANCE_SHEET","Total_Customer_Supplier",E$21,$C$19,ori,"TOTAL PRODUCT","B-475010",$C$20,"Amount_BS")/1000)</f>
        <v>6832.8670700000002</v>
      </c>
      <c r="F38" s="59">
        <f ca="1">(_xll.DBR("CXMD:FTM_DATA_BALANCE_SHEET","Total_Customer_Supplier",F$21,$C$19,ori,"TOTAL PRODUCT","B-470010",$C$20,"Amount_BS")/1000)+(_xll.DBR("CXMD:FTM_DATA_BALANCE_SHEET","Total_Customer_Supplier",F$21,$C$19,ori,"TOTAL PRODUCT","B-475010",$C$20,"Amount_BS")/1000)</f>
        <v>10081.45001</v>
      </c>
      <c r="G38" s="59">
        <f ca="1">(_xll.DBR("CXMD:FTM_DATA_BALANCE_SHEET","Total_Customer_Supplier",G$21,$C$19,ori,"TOTAL PRODUCT","B-470010",$C$20,"Amount_BS")/1000)+(_xll.DBR("CXMD:FTM_DATA_BALANCE_SHEET","Total_Customer_Supplier",G$21,$C$19,ori,"TOTAL PRODUCT","B-475010",$C$20,"Amount_BS")/1000)</f>
        <v>13396.614910000002</v>
      </c>
      <c r="H38" s="59">
        <f ca="1">(_xll.DBR("CXMD:FTM_DATA_BALANCE_SHEET","Total_Customer_Supplier",H$21,$C$19,ori,"TOTAL PRODUCT","B-470010",$C$20,"Amount_BS")/1000)+(_xll.DBR("CXMD:FTM_DATA_BALANCE_SHEET","Total_Customer_Supplier",H$21,$C$19,ori,"TOTAL PRODUCT","B-475010",$C$20,"Amount_BS")/1000)</f>
        <v>16752.6911</v>
      </c>
      <c r="I38" s="59">
        <f ca="1">(_xll.DBR("CXMD:FTM_DATA_BALANCE_SHEET","Total_Customer_Supplier",I$21,$C$19,ori,"TOTAL PRODUCT","B-470010",$C$20,"Amount_BS")/1000)+(_xll.DBR("CXMD:FTM_DATA_BALANCE_SHEET","Total_Customer_Supplier",I$21,$C$19,ori,"TOTAL PRODUCT","B-475010",$C$20,"Amount_BS")/1000)</f>
        <v>20142.831400000003</v>
      </c>
      <c r="J38" s="59">
        <f ca="1">(_xll.DBR("CXMD:FTM_DATA_BALANCE_SHEET","Total_Customer_Supplier",J$21,$C$19,ori,"TOTAL PRODUCT","B-470010",$C$20,"Amount_BS")/1000)+(_xll.DBR("CXMD:FTM_DATA_BALANCE_SHEET","Total_Customer_Supplier",J$21,$C$19,ori,"TOTAL PRODUCT","B-475010",$C$20,"Amount_BS")/1000)</f>
        <v>23528.673180000002</v>
      </c>
      <c r="K38" s="59">
        <f ca="1">(_xll.DBR("CXMD:FTM_DATA_BALANCE_SHEET","Total_Customer_Supplier",K$21,$C$19,ori,"TOTAL PRODUCT","B-470010",$C$20,"Amount_BS")/1000)+(_xll.DBR("CXMD:FTM_DATA_BALANCE_SHEET","Total_Customer_Supplier",K$21,$C$19,ori,"TOTAL PRODUCT","B-475010",$C$20,"Amount_BS")/1000)</f>
        <v>26961.495840000003</v>
      </c>
      <c r="L38" s="59">
        <f ca="1">(_xll.DBR("CXMD:FTM_DATA_BALANCE_SHEET","Total_Customer_Supplier",L$21,$C$19,ori,"TOTAL PRODUCT","B-470010",$C$20,"Amount_BS")/1000)+(_xll.DBR("CXMD:FTM_DATA_BALANCE_SHEET","Total_Customer_Supplier",L$21,$C$19,ori,"TOTAL PRODUCT","B-475010",$C$20,"Amount_BS")/1000)</f>
        <v>30107.083090000004</v>
      </c>
      <c r="M38" s="59">
        <f ca="1">(_xll.DBR("CXMD:FTM_DATA_BALANCE_SHEET","Total_Customer_Supplier",M$21,$C$19,ori,"TOTAL PRODUCT","B-470010",$C$20,"Amount_BS")/1000)+(_xll.DBR("CXMD:FTM_DATA_BALANCE_SHEET","Total_Customer_Supplier",M$21,$C$19,ori,"TOTAL PRODUCT","B-475010",$C$20,"Amount_BS")/1000)</f>
        <v>33248.064730000006</v>
      </c>
      <c r="N38" s="59">
        <f ca="1">(_xll.DBR("CXMD:FTM_DATA_BALANCE_SHEET","Total_Customer_Supplier",N$21,$C$19,ori,"TOTAL PRODUCT","B-470010",$C$20,"Amount_BS")/1000)+(_xll.DBR("CXMD:FTM_DATA_BALANCE_SHEET","Total_Customer_Supplier",N$21,$C$19,ori,"TOTAL PRODUCT","B-475010",$C$20,"Amount_BS")/1000)</f>
        <v>36402.168570000009</v>
      </c>
      <c r="O38" s="59">
        <f ca="1">(_xll.DBR("CXMD:FTM_DATA_BALANCE_SHEET","Total_Customer_Supplier",O$21,$C$19,ori,"TOTAL PRODUCT","B-470010",$C$20,"Amount_BS")/1000)+(_xll.DBR("CXMD:FTM_DATA_BALANCE_SHEET","Total_Customer_Supplier",O$21,$C$19,ori,"TOTAL PRODUCT","B-475010",$C$20,"Amount_BS")/1000)</f>
        <v>39702.351720000013</v>
      </c>
    </row>
    <row r="39" spans="2:15" ht="15.75" x14ac:dyDescent="0.25">
      <c r="B39" s="50" t="s">
        <v>44</v>
      </c>
      <c r="C39" s="51"/>
      <c r="D39" s="80">
        <f ca="1">D27-D29-D33-D35-D37-D38-D28</f>
        <v>86917.47015999991</v>
      </c>
      <c r="E39" s="80">
        <f t="shared" ref="E39:O39" ca="1" si="7">E27-E29-E33-E35-E37-E38-E28</f>
        <v>157090.51459999999</v>
      </c>
      <c r="F39" s="80">
        <f t="shared" ca="1" si="7"/>
        <v>199288.57441999993</v>
      </c>
      <c r="G39" s="80">
        <f t="shared" ca="1" si="7"/>
        <v>236023.19846999951</v>
      </c>
      <c r="H39" s="80">
        <f t="shared" ca="1" si="7"/>
        <v>304421.54253999988</v>
      </c>
      <c r="I39" s="80">
        <f t="shared" ca="1" si="7"/>
        <v>366728.60631999956</v>
      </c>
      <c r="J39" s="80">
        <f t="shared" ca="1" si="7"/>
        <v>437408.05113000027</v>
      </c>
      <c r="K39" s="80">
        <f t="shared" ca="1" si="7"/>
        <v>544213.46303999959</v>
      </c>
      <c r="L39" s="80">
        <f t="shared" ca="1" si="7"/>
        <v>623710.43076000048</v>
      </c>
      <c r="M39" s="80">
        <f t="shared" ca="1" si="7"/>
        <v>657823.46168999933</v>
      </c>
      <c r="N39" s="80">
        <f t="shared" ca="1" si="7"/>
        <v>677517.85344000021</v>
      </c>
      <c r="O39" s="80">
        <f t="shared" ca="1" si="7"/>
        <v>693916.26131000079</v>
      </c>
    </row>
    <row r="40" spans="2:15" ht="15.75" thickBot="1" x14ac:dyDescent="0.3">
      <c r="B40" s="52"/>
      <c r="C40" s="90" t="s">
        <v>45</v>
      </c>
      <c r="D40" s="54">
        <f ca="1">IF(D23&lt;&gt;0,D39/D23,0)</f>
        <v>0.24154242477506324</v>
      </c>
      <c r="E40" s="54">
        <f t="shared" ref="E40:O40" ca="1" si="8">IF(E23&lt;&gt;0,E39/E23,0)</f>
        <v>0.22435240544369292</v>
      </c>
      <c r="F40" s="54">
        <f t="shared" ca="1" si="8"/>
        <v>0.18906730403990396</v>
      </c>
      <c r="G40" s="54">
        <f t="shared" ca="1" si="8"/>
        <v>0.17136665162194287</v>
      </c>
      <c r="H40" s="54">
        <f t="shared" ca="1" si="8"/>
        <v>0.17528394304621195</v>
      </c>
      <c r="I40" s="54">
        <f t="shared" ca="1" si="8"/>
        <v>0.1732608160494287</v>
      </c>
      <c r="J40" s="54">
        <f t="shared" ca="1" si="8"/>
        <v>0.175192938402707</v>
      </c>
      <c r="K40" s="54">
        <f t="shared" ca="1" si="8"/>
        <v>0.19031133501606967</v>
      </c>
      <c r="L40" s="54">
        <f t="shared" ca="1" si="8"/>
        <v>0.19577655127216742</v>
      </c>
      <c r="M40" s="54">
        <f t="shared" ca="1" si="8"/>
        <v>0.18780923663151083</v>
      </c>
      <c r="N40" s="54">
        <f t="shared" ca="1" si="8"/>
        <v>0.17733174523824413</v>
      </c>
      <c r="O40" s="54">
        <f t="shared" ca="1" si="8"/>
        <v>0.17038399519983066</v>
      </c>
    </row>
    <row r="41" spans="2:15" ht="15.75" thickBot="1" x14ac:dyDescent="0.3">
      <c r="B41" s="3" t="s">
        <v>10</v>
      </c>
      <c r="C41" s="82" t="s">
        <v>11</v>
      </c>
      <c r="D41" s="59">
        <f ca="1">(_xll.DBR("CXMD:FTM_DATA_BALANCE_SHEET","Total_Customer_Supplier",D$21,$C$19,ori,"TOTAL PRODUCT","B-560020",$C$20,"Amount_BS")/1000)+(_xll.DBR("CXMD:FTM_DATA_BALANCE_SHEET","Total_Customer_Supplier",D$21,$C$19,ori,"TOTAL PRODUCT","B-561010",$C$20,"Amount_BS")/1000)</f>
        <v>462.46413000000007</v>
      </c>
      <c r="E41" s="59">
        <f ca="1">(_xll.DBR("CXMD:FTM_DATA_BALANCE_SHEET","Total_Customer_Supplier",E$21,$C$19,ori,"TOTAL PRODUCT","B-560020",$C$20,"Amount_BS")/1000)+(_xll.DBR("CXMD:FTM_DATA_BALANCE_SHEET","Total_Customer_Supplier",E$21,$C$19,ori,"TOTAL PRODUCT","B-561010",$C$20,"Amount_BS")/1000)</f>
        <v>924.92826000000014</v>
      </c>
      <c r="F41" s="59">
        <f ca="1">(_xll.DBR("CXMD:FTM_DATA_BALANCE_SHEET","Total_Customer_Supplier",F$21,$C$19,ori,"TOTAL PRODUCT","B-560020",$C$20,"Amount_BS")/1000)+(_xll.DBR("CXMD:FTM_DATA_BALANCE_SHEET","Total_Customer_Supplier",F$21,$C$19,ori,"TOTAL PRODUCT","B-561010",$C$20,"Amount_BS")/1000)</f>
        <v>1387.39239</v>
      </c>
      <c r="G41" s="59">
        <f ca="1">(_xll.DBR("CXMD:FTM_DATA_BALANCE_SHEET","Total_Customer_Supplier",G$21,$C$19,ori,"TOTAL PRODUCT","B-560020",$C$20,"Amount_BS")/1000)+(_xll.DBR("CXMD:FTM_DATA_BALANCE_SHEET","Total_Customer_Supplier",G$21,$C$19,ori,"TOTAL PRODUCT","B-561010",$C$20,"Amount_BS")/1000)</f>
        <v>2186.81952</v>
      </c>
      <c r="H41" s="59">
        <f ca="1">(_xll.DBR("CXMD:FTM_DATA_BALANCE_SHEET","Total_Customer_Supplier",H$21,$C$19,ori,"TOTAL PRODUCT","B-560020",$C$20,"Amount_BS")/1000)+(_xll.DBR("CXMD:FTM_DATA_BALANCE_SHEET","Total_Customer_Supplier",H$21,$C$19,ori,"TOTAL PRODUCT","B-561010",$C$20,"Amount_BS")/1000)</f>
        <v>2649.2836499999999</v>
      </c>
      <c r="I41" s="59">
        <f ca="1">(_xll.DBR("CXMD:FTM_DATA_BALANCE_SHEET","Total_Customer_Supplier",I$21,$C$19,ori,"TOTAL PRODUCT","B-560020",$C$20,"Amount_BS")/1000)+(_xll.DBR("CXMD:FTM_DATA_BALANCE_SHEET","Total_Customer_Supplier",I$21,$C$19,ori,"TOTAL PRODUCT","B-561010",$C$20,"Amount_BS")/1000)</f>
        <v>3111.7477799999997</v>
      </c>
      <c r="J41" s="59">
        <f ca="1">(_xll.DBR("CXMD:FTM_DATA_BALANCE_SHEET","Total_Customer_Supplier",J$21,$C$19,ori,"TOTAL PRODUCT","B-560020",$C$20,"Amount_BS")/1000)+(_xll.DBR("CXMD:FTM_DATA_BALANCE_SHEET","Total_Customer_Supplier",J$21,$C$19,ori,"TOTAL PRODUCT","B-561010",$C$20,"Amount_BS")/1000)</f>
        <v>3574.21191</v>
      </c>
      <c r="K41" s="59">
        <f ca="1">(_xll.DBR("CXMD:FTM_DATA_BALANCE_SHEET","Total_Customer_Supplier",K$21,$C$19,ori,"TOTAL PRODUCT","B-560020",$C$20,"Amount_BS")/1000)+(_xll.DBR("CXMD:FTM_DATA_BALANCE_SHEET","Total_Customer_Supplier",K$21,$C$19,ori,"TOTAL PRODUCT","B-561010",$C$20,"Amount_BS")/1000)</f>
        <v>4036.6760400000003</v>
      </c>
      <c r="L41" s="59">
        <f ca="1">(_xll.DBR("CXMD:FTM_DATA_BALANCE_SHEET","Total_Customer_Supplier",L$21,$C$19,ori,"TOTAL PRODUCT","B-560020",$C$20,"Amount_BS")/1000)+(_xll.DBR("CXMD:FTM_DATA_BALANCE_SHEET","Total_Customer_Supplier",L$21,$C$19,ori,"TOTAL PRODUCT","B-561010",$C$20,"Amount_BS")/1000)</f>
        <v>4499.1401699999997</v>
      </c>
      <c r="M41" s="59">
        <f ca="1">(_xll.DBR("CXMD:FTM_DATA_BALANCE_SHEET","Total_Customer_Supplier",M$21,$C$19,ori,"TOTAL PRODUCT","B-560020",$C$20,"Amount_BS")/1000)+(_xll.DBR("CXMD:FTM_DATA_BALANCE_SHEET","Total_Customer_Supplier",M$21,$C$19,ori,"TOTAL PRODUCT","B-561010",$C$20,"Amount_BS")/1000)</f>
        <v>4961.6043</v>
      </c>
      <c r="N41" s="59">
        <f ca="1">(_xll.DBR("CXMD:FTM_DATA_BALANCE_SHEET","Total_Customer_Supplier",N$21,$C$19,ori,"TOTAL PRODUCT","B-560020",$C$20,"Amount_BS")/1000)+(_xll.DBR("CXMD:FTM_DATA_BALANCE_SHEET","Total_Customer_Supplier",N$21,$C$19,ori,"TOTAL PRODUCT","B-561010",$C$20,"Amount_BS")/1000)</f>
        <v>5797.6224299999994</v>
      </c>
      <c r="O41" s="59">
        <f ca="1">(_xll.DBR("CXMD:FTM_DATA_BALANCE_SHEET","Total_Customer_Supplier",O$21,$C$19,ori,"TOTAL PRODUCT","B-560020",$C$20,"Amount_BS")/1000)+(_xll.DBR("CXMD:FTM_DATA_BALANCE_SHEET","Total_Customer_Supplier",O$21,$C$19,ori,"TOTAL PRODUCT","B-561010",$C$20,"Amount_BS")/1000)</f>
        <v>5895.9580299999998</v>
      </c>
    </row>
    <row r="42" spans="2:15" ht="15.75" x14ac:dyDescent="0.25">
      <c r="B42" s="50" t="s">
        <v>46</v>
      </c>
      <c r="C42" s="51"/>
      <c r="D42" s="80">
        <f ca="1">D39-D41</f>
        <v>86455.006029999917</v>
      </c>
      <c r="E42" s="80">
        <f t="shared" ref="E42:O42" ca="1" si="9">E39-E41</f>
        <v>156165.58634000001</v>
      </c>
      <c r="F42" s="80">
        <f t="shared" ca="1" si="9"/>
        <v>197901.18202999994</v>
      </c>
      <c r="G42" s="80">
        <f t="shared" ca="1" si="9"/>
        <v>233836.37894999952</v>
      </c>
      <c r="H42" s="80">
        <f t="shared" ca="1" si="9"/>
        <v>301772.25888999988</v>
      </c>
      <c r="I42" s="80">
        <f t="shared" ca="1" si="9"/>
        <v>363616.85853999958</v>
      </c>
      <c r="J42" s="80">
        <f t="shared" ca="1" si="9"/>
        <v>433833.83922000026</v>
      </c>
      <c r="K42" s="80">
        <f t="shared" ca="1" si="9"/>
        <v>540176.78699999955</v>
      </c>
      <c r="L42" s="80">
        <f t="shared" ca="1" si="9"/>
        <v>619211.29059000046</v>
      </c>
      <c r="M42" s="80">
        <f t="shared" ca="1" si="9"/>
        <v>652861.85738999932</v>
      </c>
      <c r="N42" s="80">
        <f t="shared" ca="1" si="9"/>
        <v>671720.23101000022</v>
      </c>
      <c r="O42" s="80">
        <f t="shared" ca="1" si="9"/>
        <v>688020.30328000081</v>
      </c>
    </row>
    <row r="43" spans="2:15" ht="15.75" thickBot="1" x14ac:dyDescent="0.3">
      <c r="B43" s="52"/>
      <c r="C43" s="90" t="s">
        <v>45</v>
      </c>
      <c r="D43" s="54">
        <f ca="1">IF(D23&lt;&gt;0,D42/D23,0)</f>
        <v>0.24025724347461744</v>
      </c>
      <c r="E43" s="54">
        <f t="shared" ref="E43:O43" ca="1" si="10">IF(E23&lt;&gt;0,E42/E23,0)</f>
        <v>0.22303144802928615</v>
      </c>
      <c r="F43" s="54">
        <f t="shared" ca="1" si="10"/>
        <v>0.18775106933058258</v>
      </c>
      <c r="G43" s="54">
        <f t="shared" ca="1" si="10"/>
        <v>0.16977889270132332</v>
      </c>
      <c r="H43" s="54">
        <f t="shared" ca="1" si="10"/>
        <v>0.17375850276184429</v>
      </c>
      <c r="I43" s="54">
        <f t="shared" ca="1" si="10"/>
        <v>0.17179067177812973</v>
      </c>
      <c r="J43" s="54">
        <f t="shared" ca="1" si="10"/>
        <v>0.17376137653417442</v>
      </c>
      <c r="K43" s="54">
        <f t="shared" ca="1" si="10"/>
        <v>0.18889971024312038</v>
      </c>
      <c r="L43" s="54">
        <f t="shared" ca="1" si="10"/>
        <v>0.1943643155571107</v>
      </c>
      <c r="M43" s="54">
        <f t="shared" ca="1" si="10"/>
        <v>0.18639269378936793</v>
      </c>
      <c r="N43" s="54">
        <f t="shared" ca="1" si="10"/>
        <v>0.17581429075564378</v>
      </c>
      <c r="O43" s="54">
        <f t="shared" ca="1" si="10"/>
        <v>0.1689363033950797</v>
      </c>
    </row>
    <row r="44" spans="2:15" ht="15" hidden="1" x14ac:dyDescent="0.25"/>
    <row r="45" spans="2:15" ht="15" hidden="1" x14ac:dyDescent="0.25"/>
    <row r="46" spans="2:15" ht="15" hidden="1" x14ac:dyDescent="0.25"/>
    <row r="47" spans="2:15" ht="15" hidden="1" x14ac:dyDescent="0.25"/>
    <row r="48" spans="2:15" ht="15" hidden="1" x14ac:dyDescent="0.25"/>
    <row r="49" ht="15" hidden="1" x14ac:dyDescent="0.25"/>
    <row r="50" ht="15" hidden="1" x14ac:dyDescent="0.25"/>
    <row r="51" ht="15" hidden="1" x14ac:dyDescent="0.25"/>
    <row r="52" ht="15" hidden="1" x14ac:dyDescent="0.25"/>
    <row r="53" ht="15" hidden="1" x14ac:dyDescent="0.25"/>
    <row r="54" ht="15" hidden="1" x14ac:dyDescent="0.25"/>
    <row r="55" ht="15" hidden="1" x14ac:dyDescent="0.25"/>
    <row r="56" ht="15" hidden="1" x14ac:dyDescent="0.25"/>
    <row r="57" ht="15" hidden="1" x14ac:dyDescent="0.25"/>
    <row r="58" ht="15" hidden="1" x14ac:dyDescent="0.25"/>
    <row r="59" ht="15" hidden="1" x14ac:dyDescent="0.25"/>
    <row r="60" ht="15" hidden="1" x14ac:dyDescent="0.25"/>
    <row r="61" ht="15" hidden="1" x14ac:dyDescent="0.25"/>
    <row r="62" ht="15" hidden="1" x14ac:dyDescent="0.25"/>
    <row r="63" ht="15" hidden="1" x14ac:dyDescent="0.25"/>
    <row r="64" ht="15" hidden="1" x14ac:dyDescent="0.25"/>
    <row r="65" ht="15" hidden="1" x14ac:dyDescent="0.25"/>
    <row r="66" ht="15" hidden="1" x14ac:dyDescent="0.25"/>
    <row r="67" ht="15" hidden="1" x14ac:dyDescent="0.25"/>
    <row r="68" ht="15" hidden="1" x14ac:dyDescent="0.25"/>
    <row r="69" ht="15" hidden="1" x14ac:dyDescent="0.25"/>
    <row r="70" ht="15" hidden="1" x14ac:dyDescent="0.25"/>
    <row r="71" ht="15" hidden="1" x14ac:dyDescent="0.25"/>
    <row r="72" ht="15" hidden="1" x14ac:dyDescent="0.25"/>
    <row r="73" ht="15" hidden="1" x14ac:dyDescent="0.25"/>
    <row r="74" ht="15" hidden="1" x14ac:dyDescent="0.25"/>
    <row r="75" ht="15" hidden="1" x14ac:dyDescent="0.25"/>
    <row r="76" ht="15" hidden="1" x14ac:dyDescent="0.25"/>
    <row r="77" ht="15" hidden="1" x14ac:dyDescent="0.25"/>
    <row r="78" ht="15" hidden="1" x14ac:dyDescent="0.25"/>
    <row r="79" ht="15" hidden="1" x14ac:dyDescent="0.25"/>
    <row r="80" ht="15" hidden="1" x14ac:dyDescent="0.25"/>
    <row r="81" ht="15" hidden="1" x14ac:dyDescent="0.25"/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6385" r:id="rId4" name="TIButton1">
          <controlPr defaultSize="0" print="0" autoLine="0" r:id="rId5">
            <anchor moveWithCells="1">
              <from>
                <xdr:col>3</xdr:col>
                <xdr:colOff>600075</xdr:colOff>
                <xdr:row>16</xdr:row>
                <xdr:rowOff>104775</xdr:rowOff>
              </from>
              <to>
                <xdr:col>4</xdr:col>
                <xdr:colOff>1066800</xdr:colOff>
                <xdr:row>17</xdr:row>
                <xdr:rowOff>200025</xdr:rowOff>
              </to>
            </anchor>
          </controlPr>
        </control>
      </mc:Choice>
      <mc:Fallback>
        <control shapeId="16385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P80"/>
  <sheetViews>
    <sheetView showGridLines="0" zoomScale="90" zoomScaleNormal="90" workbookViewId="0">
      <pane xSplit="3" ySplit="24" topLeftCell="D25" activePane="bottomRight" state="frozen"/>
      <selection activeCell="B10" sqref="B10"/>
      <selection pane="topRight" activeCell="D10" sqref="D10"/>
      <selection pane="bottomLeft" activeCell="B32" sqref="B32"/>
      <selection pane="bottomRight" activeCell="C18" sqref="C18"/>
    </sheetView>
  </sheetViews>
  <sheetFormatPr defaultColWidth="0" defaultRowHeight="15" zeroHeight="1" x14ac:dyDescent="0.25"/>
  <cols>
    <col min="1" max="1" width="20.140625" hidden="1" customWidth="1"/>
    <col min="2" max="2" width="43.140625" customWidth="1"/>
    <col min="3" max="3" width="44.42578125" bestFit="1" customWidth="1"/>
    <col min="4" max="5" width="15.7109375" style="57" customWidth="1"/>
    <col min="6" max="6" width="12.7109375" style="58" customWidth="1"/>
    <col min="7" max="7" width="10.7109375" style="16" customWidth="1"/>
    <col min="8" max="8" width="15.7109375" style="57" customWidth="1"/>
    <col min="9" max="9" width="12.7109375" style="58" customWidth="1"/>
    <col min="10" max="10" width="10.7109375" style="16" customWidth="1"/>
    <col min="11" max="11" width="12.7109375" style="58" customWidth="1"/>
    <col min="12" max="12" width="10.7109375" style="16" customWidth="1"/>
    <col min="13" max="16" width="11.42578125" customWidth="1"/>
    <col min="17" max="16384" width="11.42578125" hidden="1"/>
  </cols>
  <sheetData>
    <row r="1" spans="1:16" hidden="1" x14ac:dyDescent="0.25"/>
    <row r="2" spans="1:16" hidden="1" x14ac:dyDescent="0.25">
      <c r="B2" s="1"/>
      <c r="C2" s="2"/>
      <c r="D2" s="59"/>
      <c r="E2" s="59"/>
      <c r="F2" s="60"/>
      <c r="G2" s="17"/>
      <c r="H2" s="59"/>
      <c r="I2" s="60"/>
      <c r="J2" s="17"/>
      <c r="K2" s="60"/>
      <c r="L2" s="17"/>
    </row>
    <row r="3" spans="1:16" hidden="1" x14ac:dyDescent="0.25">
      <c r="B3" s="2"/>
      <c r="C3" s="9"/>
      <c r="D3" s="61"/>
      <c r="E3" s="61"/>
      <c r="F3" s="62"/>
      <c r="G3" s="18"/>
      <c r="H3" s="61"/>
      <c r="I3" s="62"/>
      <c r="J3" s="18"/>
      <c r="K3" s="62"/>
      <c r="L3" s="18"/>
    </row>
    <row r="4" spans="1:16" hidden="1" x14ac:dyDescent="0.25">
      <c r="B4" s="2"/>
      <c r="C4" s="10"/>
      <c r="D4" s="63"/>
      <c r="E4" s="63"/>
      <c r="F4" s="64"/>
      <c r="G4" s="19"/>
      <c r="H4" s="63"/>
      <c r="I4" s="64"/>
      <c r="J4" s="19"/>
      <c r="K4" s="64"/>
      <c r="L4" s="19"/>
    </row>
    <row r="5" spans="1:16" hidden="1" x14ac:dyDescent="0.25">
      <c r="B5" s="2"/>
      <c r="C5" s="11"/>
      <c r="D5" s="65"/>
      <c r="E5" s="65"/>
      <c r="F5" s="66"/>
      <c r="G5" s="20"/>
      <c r="H5" s="65"/>
      <c r="I5" s="66"/>
      <c r="J5" s="20"/>
      <c r="K5" s="66"/>
      <c r="L5" s="20"/>
    </row>
    <row r="6" spans="1:16" hidden="1" x14ac:dyDescent="0.25">
      <c r="B6" s="2"/>
      <c r="C6" s="9"/>
      <c r="D6" s="61"/>
      <c r="E6" s="61"/>
      <c r="F6" s="62"/>
      <c r="G6" s="18"/>
      <c r="H6" s="61"/>
      <c r="I6" s="62"/>
      <c r="J6" s="18"/>
      <c r="K6" s="62"/>
      <c r="L6" s="18"/>
    </row>
    <row r="7" spans="1:16" hidden="1" x14ac:dyDescent="0.25">
      <c r="B7" s="2"/>
      <c r="C7" s="12"/>
      <c r="D7" s="67"/>
      <c r="E7" s="67"/>
      <c r="G7" s="21"/>
      <c r="H7" s="67"/>
      <c r="J7" s="21"/>
      <c r="L7" s="21"/>
    </row>
    <row r="8" spans="1:16" hidden="1" x14ac:dyDescent="0.25"/>
    <row r="9" spans="1:16" hidden="1" x14ac:dyDescent="0.25"/>
    <row r="10" spans="1:16" x14ac:dyDescent="0.25">
      <c r="A10" s="5"/>
      <c r="B10" s="5"/>
      <c r="C10" s="5"/>
      <c r="D10" s="68"/>
      <c r="E10" s="68"/>
      <c r="F10" s="69"/>
      <c r="G10" s="22"/>
      <c r="H10" s="68"/>
      <c r="I10" s="69"/>
      <c r="J10" s="22"/>
      <c r="K10" s="69"/>
      <c r="L10" s="22"/>
      <c r="M10" s="22"/>
      <c r="N10" s="22"/>
      <c r="O10" s="22"/>
      <c r="P10" s="22"/>
    </row>
    <row r="11" spans="1:16" x14ac:dyDescent="0.25">
      <c r="A11" s="5"/>
      <c r="B11" s="5"/>
      <c r="C11" s="5"/>
      <c r="D11" s="68"/>
      <c r="E11" s="68"/>
      <c r="F11" s="69"/>
      <c r="G11" s="22"/>
      <c r="H11" s="68"/>
      <c r="I11" s="69"/>
      <c r="J11" s="22"/>
      <c r="K11" s="69"/>
      <c r="L11" s="22"/>
      <c r="M11" s="22"/>
      <c r="N11" s="22"/>
      <c r="O11" s="22"/>
      <c r="P11" s="22"/>
    </row>
    <row r="12" spans="1:16" x14ac:dyDescent="0.25">
      <c r="A12" s="5"/>
      <c r="B12" s="5"/>
      <c r="C12" s="5"/>
      <c r="D12" s="68"/>
      <c r="E12" s="68"/>
      <c r="F12" s="69"/>
      <c r="G12" s="22"/>
      <c r="H12" s="68"/>
      <c r="I12" s="69"/>
      <c r="J12" s="22"/>
      <c r="K12" s="69"/>
      <c r="L12" s="22"/>
      <c r="M12" s="22"/>
      <c r="N12" s="22"/>
      <c r="O12" s="22"/>
      <c r="P12" s="22"/>
    </row>
    <row r="13" spans="1:16" x14ac:dyDescent="0.25">
      <c r="A13" s="5"/>
      <c r="B13" s="5"/>
      <c r="C13" s="5"/>
      <c r="D13" s="68"/>
      <c r="E13" s="68"/>
      <c r="F13" s="69"/>
      <c r="G13" s="22"/>
      <c r="H13" s="68"/>
      <c r="I13" s="69"/>
      <c r="J13" s="22"/>
      <c r="K13" s="69"/>
      <c r="L13" s="22"/>
      <c r="M13" s="22"/>
      <c r="N13" s="22"/>
      <c r="O13" s="22"/>
      <c r="P13" s="22"/>
    </row>
    <row r="14" spans="1:16" ht="14.25" hidden="1" customHeight="1" x14ac:dyDescent="0.25">
      <c r="A14" s="5"/>
      <c r="B14" s="5"/>
      <c r="C14" s="5"/>
      <c r="D14" s="68"/>
      <c r="E14" s="68"/>
      <c r="F14" s="69"/>
      <c r="G14" s="22"/>
      <c r="H14" s="68"/>
      <c r="I14" s="69"/>
      <c r="J14" s="22"/>
      <c r="K14" s="69"/>
      <c r="L14" s="22"/>
      <c r="M14" s="22"/>
      <c r="N14" s="22"/>
      <c r="O14" s="22"/>
      <c r="P14" s="22"/>
    </row>
    <row r="15" spans="1:16" hidden="1" x14ac:dyDescent="0.25">
      <c r="A15" s="5"/>
      <c r="B15" s="5"/>
      <c r="C15" s="5"/>
      <c r="D15" s="68"/>
      <c r="E15" s="68"/>
      <c r="F15" s="69"/>
      <c r="G15" s="22"/>
      <c r="H15" s="68"/>
      <c r="I15" s="69"/>
      <c r="J15" s="22"/>
      <c r="K15" s="69"/>
      <c r="L15" s="22"/>
      <c r="M15" s="22"/>
      <c r="N15" s="22"/>
      <c r="O15" s="22"/>
      <c r="P15" s="22"/>
    </row>
    <row r="16" spans="1:16" hidden="1" x14ac:dyDescent="0.25">
      <c r="A16" s="5"/>
      <c r="B16" s="5"/>
      <c r="C16" s="5"/>
      <c r="D16" s="68"/>
      <c r="E16" s="68"/>
      <c r="F16" s="69"/>
      <c r="G16" s="22"/>
      <c r="H16" s="68"/>
      <c r="I16" s="69"/>
      <c r="J16" s="22"/>
      <c r="K16" s="69"/>
      <c r="L16" s="22"/>
      <c r="M16" s="22"/>
      <c r="N16" s="22"/>
      <c r="O16" s="22"/>
      <c r="P16" s="22"/>
    </row>
    <row r="17" spans="1:16" x14ac:dyDescent="0.25">
      <c r="A17" s="6"/>
      <c r="B17" s="8"/>
      <c r="C17" s="7"/>
      <c r="D17" s="70"/>
      <c r="E17" s="70"/>
      <c r="F17" s="71"/>
      <c r="G17" s="23"/>
      <c r="H17" s="70"/>
      <c r="I17" s="71"/>
      <c r="J17" s="23"/>
      <c r="K17" s="71"/>
      <c r="L17" s="23"/>
      <c r="M17" s="23"/>
      <c r="N17" s="23"/>
      <c r="O17" s="23"/>
      <c r="P17" s="23"/>
    </row>
    <row r="18" spans="1:16" x14ac:dyDescent="0.25">
      <c r="A18" s="6"/>
      <c r="B18" s="8" t="s">
        <v>0</v>
      </c>
      <c r="C18" s="7" t="str">
        <f ca="1">origine</f>
        <v>Total Origin Company</v>
      </c>
      <c r="D18" s="70"/>
      <c r="E18" s="70"/>
      <c r="F18" s="71"/>
      <c r="G18" s="23"/>
      <c r="H18" s="70"/>
      <c r="I18" s="71"/>
      <c r="J18" s="23"/>
      <c r="K18" s="71"/>
      <c r="L18" s="23"/>
      <c r="M18" s="23"/>
      <c r="N18" s="23"/>
      <c r="O18" s="23"/>
      <c r="P18" s="23"/>
    </row>
    <row r="19" spans="1:16" ht="21" x14ac:dyDescent="0.35">
      <c r="A19" s="6"/>
      <c r="B19" s="8" t="s">
        <v>69</v>
      </c>
      <c r="C19" s="7" t="str">
        <f ca="1">'P&amp;L Month by CC summary'!C19</f>
        <v>AC2022</v>
      </c>
      <c r="D19" s="70"/>
      <c r="E19" s="70"/>
      <c r="F19" s="72" t="s">
        <v>85</v>
      </c>
      <c r="G19" s="23"/>
      <c r="H19" s="70"/>
      <c r="I19" s="71"/>
      <c r="J19" s="23"/>
      <c r="K19" s="71"/>
      <c r="L19" s="23"/>
      <c r="M19" s="23"/>
      <c r="N19" s="23"/>
      <c r="O19" s="23"/>
      <c r="P19" s="23"/>
    </row>
    <row r="20" spans="1:16" x14ac:dyDescent="0.25">
      <c r="A20" s="6"/>
      <c r="B20" s="8" t="s">
        <v>68</v>
      </c>
      <c r="C20" s="7" t="str">
        <f ca="1">'P&amp;L Month by CC summary'!C20</f>
        <v>Total Allocation</v>
      </c>
      <c r="D20" s="70"/>
      <c r="E20" s="70"/>
      <c r="F20" s="71"/>
      <c r="G20" s="23"/>
      <c r="H20" s="70"/>
      <c r="I20" s="71"/>
      <c r="J20" s="23"/>
      <c r="K20" s="71"/>
      <c r="L20" s="23"/>
      <c r="M20" s="23"/>
      <c r="N20" s="23"/>
      <c r="O20" s="23"/>
      <c r="P20" s="23"/>
    </row>
    <row r="21" spans="1:16" ht="8.25" customHeight="1" thickBot="1" x14ac:dyDescent="0.3">
      <c r="A21" s="6"/>
      <c r="B21" s="6"/>
      <c r="C21" s="6"/>
      <c r="D21" s="70"/>
      <c r="E21" s="70"/>
      <c r="F21" s="71"/>
      <c r="G21" s="23"/>
      <c r="H21" s="70"/>
      <c r="I21" s="71"/>
      <c r="J21" s="23"/>
      <c r="K21" s="71"/>
      <c r="L21" s="23"/>
      <c r="M21" s="23"/>
      <c r="N21" s="23"/>
      <c r="O21" s="23"/>
      <c r="P21" s="23"/>
    </row>
    <row r="22" spans="1:16" ht="31.5" customHeight="1" x14ac:dyDescent="0.25">
      <c r="A22" s="6"/>
      <c r="B22" s="13"/>
      <c r="C22" s="55" t="s">
        <v>51</v>
      </c>
      <c r="D22" s="96" t="s">
        <v>55</v>
      </c>
      <c r="E22" s="96" t="s">
        <v>56</v>
      </c>
      <c r="F22" s="96" t="s">
        <v>57</v>
      </c>
      <c r="G22" s="96" t="s">
        <v>58</v>
      </c>
      <c r="H22" s="96" t="s">
        <v>59</v>
      </c>
      <c r="I22" s="96" t="s">
        <v>60</v>
      </c>
      <c r="J22" s="96" t="s">
        <v>61</v>
      </c>
      <c r="K22" s="96" t="s">
        <v>62</v>
      </c>
      <c r="L22" s="96" t="s">
        <v>63</v>
      </c>
      <c r="M22" s="96" t="s">
        <v>64</v>
      </c>
      <c r="N22" s="96" t="s">
        <v>65</v>
      </c>
      <c r="O22" s="97" t="s">
        <v>66</v>
      </c>
      <c r="P22" s="98" t="s">
        <v>67</v>
      </c>
    </row>
    <row r="23" spans="1:16" ht="16.5" thickBot="1" x14ac:dyDescent="0.3">
      <c r="A23" s="6"/>
      <c r="B23" s="56" t="s">
        <v>49</v>
      </c>
      <c r="C23" s="30" t="s">
        <v>50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99"/>
      <c r="P23" s="100"/>
    </row>
    <row r="24" spans="1:16" hidden="1" x14ac:dyDescent="0.25">
      <c r="A24" s="6"/>
      <c r="B24" s="14"/>
      <c r="C24" s="15"/>
      <c r="D24" s="73" t="s">
        <v>1</v>
      </c>
      <c r="E24" s="73" t="s">
        <v>1</v>
      </c>
      <c r="F24" s="74"/>
      <c r="G24" s="24"/>
      <c r="H24" s="73" t="s">
        <v>1</v>
      </c>
      <c r="I24" s="81"/>
      <c r="J24" s="24"/>
      <c r="K24" s="74"/>
      <c r="L24" s="25"/>
    </row>
    <row r="25" spans="1:16" x14ac:dyDescent="0.25">
      <c r="B25" s="3" t="s">
        <v>2</v>
      </c>
      <c r="C25" s="26" t="s">
        <v>11</v>
      </c>
      <c r="D25" s="59">
        <f ca="1">_xll.DBR("CXMD:FTM_DATA_BALANCE_SHEET","Total_Customer_Supplier",D$22,$C$19,ori,"TOTAL PRODUCT","B-300010",$C$20,"Amount_BS")*-1/1000</f>
        <v>359843.49432999996</v>
      </c>
      <c r="E25" s="59">
        <f ca="1">_xll.DBR("CXMD:FTM_DATA_BALANCE_SHEET","Total_Customer_Supplier",E$22,$C$19,ori,"TOTAL PRODUCT","B-300010",$C$20,"Amount_BS")*-1/1000</f>
        <v>340351.87147999997</v>
      </c>
      <c r="F25" s="59">
        <f ca="1">_xll.DBR("CXMD:FTM_DATA_BALANCE_SHEET","Total_Customer_Supplier",F$22,$C$19,ori,"TOTAL PRODUCT","B-300010",$C$20,"Amount_BS")*-1/1000</f>
        <v>353866.17820999998</v>
      </c>
      <c r="G25" s="59">
        <f ca="1">_xll.DBR("CXMD:FTM_DATA_BALANCE_SHEET","Total_Customer_Supplier",G$22,$C$19,ori,"TOTAL PRODUCT","B-300010",$C$20,"Amount_BS")*-1/1000</f>
        <v>323237.92606999999</v>
      </c>
      <c r="H25" s="59">
        <f ca="1">_xll.DBR("CXMD:FTM_DATA_BALANCE_SHEET","Total_Customer_Supplier",H$22,$C$19,ori,"TOTAL PRODUCT","B-300010",$C$20,"Amount_BS")*-1/1000</f>
        <v>359434.2959899999</v>
      </c>
      <c r="I25" s="59">
        <f ca="1">_xll.DBR("CXMD:FTM_DATA_BALANCE_SHEET","Total_Customer_Supplier",I$22,$C$19,ori,"TOTAL PRODUCT","B-300010",$C$20,"Amount_BS")*-1/1000</f>
        <v>379893.72466999997</v>
      </c>
      <c r="J25" s="59">
        <f ca="1">_xll.DBR("CXMD:FTM_DATA_BALANCE_SHEET","Total_Customer_Supplier",J$22,$C$19,ori,"TOTAL PRODUCT","B-300010",$C$20,"Amount_BS")*-1/1000</f>
        <v>380094.43832999998</v>
      </c>
      <c r="K25" s="59">
        <f ca="1">_xll.DBR("CXMD:FTM_DATA_BALANCE_SHEET","Total_Customer_Supplier",K$22,$C$19,ori,"TOTAL PRODUCT","B-300010",$C$20,"Amount_BS")*-1/1000</f>
        <v>362873.70663999987</v>
      </c>
      <c r="L25" s="59">
        <f ca="1">_xll.DBR("CXMD:FTM_DATA_BALANCE_SHEET","Total_Customer_Supplier",L$22,$C$19,ori,"TOTAL PRODUCT","B-300010",$C$20,"Amount_BS")*-1/1000</f>
        <v>326232.42543999996</v>
      </c>
      <c r="M25" s="59">
        <f ca="1">_xll.DBR("CXMD:FTM_DATA_BALANCE_SHEET","Total_Customer_Supplier",M$22,$C$19,ori,"TOTAL PRODUCT","B-300010",$C$20,"Amount_BS")*-1/1000</f>
        <v>316787.00447000004</v>
      </c>
      <c r="N25" s="59">
        <f ca="1">_xll.DBR("CXMD:FTM_DATA_BALANCE_SHEET","Total_Customer_Supplier",N$22,$C$19,ori,"TOTAL PRODUCT","B-300010",$C$20,"Amount_BS")*-1/1000</f>
        <v>318008.54877000011</v>
      </c>
      <c r="O25" s="59">
        <f ca="1">_xll.DBR("CXMD:FTM_DATA_BALANCE_SHEET","Total_Customer_Supplier",O$22,$C$19,ori,"TOTAL PRODUCT","B-300010",$C$20,"Amount_BS")*-1/1000</f>
        <v>252037.43863000002</v>
      </c>
      <c r="P25" s="101">
        <f ca="1">SUM(D25:O25)</f>
        <v>4072661.0530300001</v>
      </c>
    </row>
    <row r="26" spans="1:16" ht="15.75" thickBot="1" x14ac:dyDescent="0.3">
      <c r="B26" s="3" t="s">
        <v>54</v>
      </c>
      <c r="C26" s="26" t="s">
        <v>11</v>
      </c>
      <c r="D26" s="59">
        <f ca="1">_xll.DBR("CXMD:FTM_DATA_BALANCE_SHEET","Total_Customer_Supplier",D$22,$C$19,ori,"TOTAL PRODUCT","B-310010",$C$20,"Amount_BS")*-1/1000</f>
        <v>-30807.777600000005</v>
      </c>
      <c r="E26" s="59">
        <f ca="1">_xll.DBR("CXMD:FTM_DATA_BALANCE_SHEET","Total_Customer_Supplier",E$22,$C$19,ori,"TOTAL PRODUCT","B-310010",$C$20,"Amount_BS")*-1/1000</f>
        <v>-7700.9169500000016</v>
      </c>
      <c r="F26" s="59">
        <f ca="1">_xll.DBR("CXMD:FTM_DATA_BALANCE_SHEET","Total_Customer_Supplier",F$22,$C$19,ori,"TOTAL PRODUCT","B-310010",$C$20,"Amount_BS")*-1/1000</f>
        <v>17816.845870000001</v>
      </c>
      <c r="G26" s="59">
        <f ca="1">_xll.DBR("CXMD:FTM_DATA_BALANCE_SHEET","Total_Customer_Supplier",G$22,$C$19,ori,"TOTAL PRODUCT","B-310010",$C$20,"Amount_BS")*-1/1000</f>
        <v>-5525.5791000000027</v>
      </c>
      <c r="H26" s="59">
        <f ca="1">_xll.DBR("CXMD:FTM_DATA_BALANCE_SHEET","Total_Customer_Supplier",H$22,$C$19,ori,"TOTAL PRODUCT","B-310010",$C$20,"Amount_BS")*-1/1000</f>
        <v>23479.516649999998</v>
      </c>
      <c r="I26" s="59">
        <f ca="1">_xll.DBR("CXMD:FTM_DATA_BALANCE_SHEET","Total_Customer_Supplier",I$22,$C$19,ori,"TOTAL PRODUCT","B-310010",$C$20,"Amount_BS")*-1/1000</f>
        <v>-8578.8464200000053</v>
      </c>
      <c r="J26" s="59">
        <f ca="1">_xll.DBR("CXMD:FTM_DATA_BALANCE_SHEET","Total_Customer_Supplier",J$22,$C$19,ori,"TOTAL PRODUCT","B-310010",$C$20,"Amount_BS")*-1/1000</f>
        <v>-18897.08826</v>
      </c>
      <c r="K26" s="59">
        <f ca="1">_xll.DBR("CXMD:FTM_DATA_BALANCE_SHEET","Total_Customer_Supplier",K$22,$C$19,ori,"TOTAL PRODUCT","B-310010",$C$20,"Amount_BS")*-1/1000</f>
        <v>-224.62733999999861</v>
      </c>
      <c r="L26" s="59">
        <f ca="1">_xll.DBR("CXMD:FTM_DATA_BALANCE_SHEET","Total_Customer_Supplier",L$22,$C$19,ori,"TOTAL PRODUCT","B-310010",$C$20,"Amount_BS")*-1/1000</f>
        <v>16048.925980000002</v>
      </c>
      <c r="M26" s="59">
        <f ca="1">_xll.DBR("CXMD:FTM_DATA_BALANCE_SHEET","Total_Customer_Supplier",M$22,$C$19,ori,"TOTAL PRODUCT","B-310010",$C$20,"Amount_BS")*-1/1000</f>
        <v>10297.053860000005</v>
      </c>
      <c r="N26" s="59">
        <f ca="1">_xll.DBR("CXMD:FTM_DATA_BALANCE_SHEET","Total_Customer_Supplier",N$22,$C$19,ori,"TOTAL PRODUCT","B-310010",$C$20,"Amount_BS")*-1/1000</f>
        <v>10680.77002</v>
      </c>
      <c r="O26" s="59">
        <f ca="1">_xll.DBR("CXMD:FTM_DATA_BALANCE_SHEET","Total_Customer_Supplier",O$22,$C$19,ori,"TOTAL PRODUCT","B-310010",$C$20,"Amount_BS")*-1/1000</f>
        <v>3887.5685299999977</v>
      </c>
      <c r="P26" s="101">
        <f ca="1">SUM(D26:O26)</f>
        <v>10475.845239999988</v>
      </c>
    </row>
    <row r="27" spans="1:16" ht="16.5" thickBot="1" x14ac:dyDescent="0.3">
      <c r="B27" s="32" t="s">
        <v>41</v>
      </c>
      <c r="C27" s="31"/>
      <c r="D27" s="75">
        <f ca="1">D25+D26</f>
        <v>329035.71672999993</v>
      </c>
      <c r="E27" s="75">
        <f t="shared" ref="E27:O27" ca="1" si="0">E25+E26</f>
        <v>332650.95452999999</v>
      </c>
      <c r="F27" s="75">
        <f t="shared" ca="1" si="0"/>
        <v>371683.02408</v>
      </c>
      <c r="G27" s="75">
        <f t="shared" ca="1" si="0"/>
        <v>317712.34696999996</v>
      </c>
      <c r="H27" s="75">
        <f t="shared" ca="1" si="0"/>
        <v>382913.8126399999</v>
      </c>
      <c r="I27" s="75">
        <f t="shared" ca="1" si="0"/>
        <v>371314.87824999995</v>
      </c>
      <c r="J27" s="75">
        <f t="shared" ca="1" si="0"/>
        <v>361197.35006999999</v>
      </c>
      <c r="K27" s="75">
        <f t="shared" ca="1" si="0"/>
        <v>362649.07929999987</v>
      </c>
      <c r="L27" s="75">
        <f t="shared" ca="1" si="0"/>
        <v>342281.35141999996</v>
      </c>
      <c r="M27" s="75">
        <f t="shared" ca="1" si="0"/>
        <v>327084.05833000003</v>
      </c>
      <c r="N27" s="75">
        <f t="shared" ca="1" si="0"/>
        <v>328689.31879000011</v>
      </c>
      <c r="O27" s="75">
        <f t="shared" ca="1" si="0"/>
        <v>255925.00716000001</v>
      </c>
      <c r="P27" s="103">
        <f t="shared" ref="P27" ca="1" si="1">P23+P25</f>
        <v>4072661.0530300001</v>
      </c>
    </row>
    <row r="28" spans="1:16" ht="15.75" thickBot="1" x14ac:dyDescent="0.3">
      <c r="B28" s="3" t="s">
        <v>3</v>
      </c>
      <c r="C28" s="26" t="s">
        <v>11</v>
      </c>
      <c r="D28" s="59">
        <f ca="1">_xll.DBR("CXMD:FTM_DATA_BALANCE_SHEET","Total_Customer_Supplier",D$22,$C$19,ori,"TOTAL PRODUCT","B-330010",$C$20,"Amount_BS")*-1/1000</f>
        <v>4042.3654799999999</v>
      </c>
      <c r="E28" s="59">
        <f ca="1">_xll.DBR("CXMD:FTM_DATA_BALANCE_SHEET","Total_Customer_Supplier",E$22,$C$19,ori,"TOTAL PRODUCT","B-330010",$C$20,"Amount_BS")*-1/1000</f>
        <v>4540.9253099999996</v>
      </c>
      <c r="F28" s="59">
        <f ca="1">_xll.DBR("CXMD:FTM_DATA_BALANCE_SHEET","Total_Customer_Supplier",F$22,$C$19,ori,"TOTAL PRODUCT","B-330010",$C$20,"Amount_BS")*-1/1000</f>
        <v>4848.1721100000004</v>
      </c>
      <c r="G28" s="59">
        <f ca="1">_xll.DBR("CXMD:FTM_DATA_BALANCE_SHEET","Total_Customer_Supplier",G$22,$C$19,ori,"TOTAL PRODUCT","B-330010",$C$20,"Amount_BS")*-1/1000</f>
        <v>4398.9568300000001</v>
      </c>
      <c r="H28" s="59">
        <f ca="1">_xll.DBR("CXMD:FTM_DATA_BALANCE_SHEET","Total_Customer_Supplier",H$22,$C$19,ori,"TOTAL PRODUCT","B-330010",$C$20,"Amount_BS")*-1/1000</f>
        <v>4382.8768399999999</v>
      </c>
      <c r="I28" s="59">
        <f ca="1">_xll.DBR("CXMD:FTM_DATA_BALANCE_SHEET","Total_Customer_Supplier",I$22,$C$19,ori,"TOTAL PRODUCT","B-330010",$C$20,"Amount_BS")*-1/1000</f>
        <v>4726.6560999999992</v>
      </c>
      <c r="J28" s="59">
        <f ca="1">_xll.DBR("CXMD:FTM_DATA_BALANCE_SHEET","Total_Customer_Supplier",J$22,$C$19,ori,"TOTAL PRODUCT","B-330010",$C$20,"Amount_BS")*-1/1000</f>
        <v>4529.6568000000007</v>
      </c>
      <c r="K28" s="59">
        <f ca="1">_xll.DBR("CXMD:FTM_DATA_BALANCE_SHEET","Total_Customer_Supplier",K$22,$C$19,ori,"TOTAL PRODUCT","B-330010",$C$20,"Amount_BS")*-1/1000</f>
        <v>4356.6035099999999</v>
      </c>
      <c r="L28" s="59">
        <f ca="1">_xll.DBR("CXMD:FTM_DATA_BALANCE_SHEET","Total_Customer_Supplier",L$22,$C$19,ori,"TOTAL PRODUCT","B-330010",$C$20,"Amount_BS")*-1/1000</f>
        <v>3924.0365000000002</v>
      </c>
      <c r="M28" s="59">
        <f ca="1">_xll.DBR("CXMD:FTM_DATA_BALANCE_SHEET","Total_Customer_Supplier",M$22,$C$19,ori,"TOTAL PRODUCT","B-330010",$C$20,"Amount_BS")*-1/1000</f>
        <v>4463.9264399999993</v>
      </c>
      <c r="N28" s="59">
        <f ca="1">_xll.DBR("CXMD:FTM_DATA_BALANCE_SHEET","Total_Customer_Supplier",N$22,$C$19,ori,"TOTAL PRODUCT","B-330010",$C$20,"Amount_BS")*-1/1000</f>
        <v>5071.4190399999989</v>
      </c>
      <c r="O28" s="59">
        <f ca="1">_xll.DBR("CXMD:FTM_DATA_BALANCE_SHEET","Total_Customer_Supplier",O$22,$C$19,ori,"TOTAL PRODUCT","B-330010",$C$20,"Amount_BS")*-1/1000</f>
        <v>2890.275110000005</v>
      </c>
      <c r="P28" s="101">
        <f ca="1">SUM(D28:O28)</f>
        <v>52175.870069999997</v>
      </c>
    </row>
    <row r="29" spans="1:16" ht="16.5" thickBot="1" x14ac:dyDescent="0.3">
      <c r="B29" s="32" t="s">
        <v>42</v>
      </c>
      <c r="C29" s="31"/>
      <c r="D29" s="75">
        <f ca="1">D27+D28</f>
        <v>333078.08220999991</v>
      </c>
      <c r="E29" s="75">
        <f t="shared" ref="E29:O29" ca="1" si="2">E27+E28</f>
        <v>337191.87984000001</v>
      </c>
      <c r="F29" s="75">
        <f t="shared" ca="1" si="2"/>
        <v>376531.19618999999</v>
      </c>
      <c r="G29" s="75">
        <f t="shared" ca="1" si="2"/>
        <v>322111.30379999994</v>
      </c>
      <c r="H29" s="75">
        <f t="shared" ca="1" si="2"/>
        <v>387296.68947999988</v>
      </c>
      <c r="I29" s="75">
        <f t="shared" ca="1" si="2"/>
        <v>376041.53434999997</v>
      </c>
      <c r="J29" s="75">
        <f t="shared" ca="1" si="2"/>
        <v>365727.00686999998</v>
      </c>
      <c r="K29" s="75">
        <f t="shared" ca="1" si="2"/>
        <v>367005.68280999985</v>
      </c>
      <c r="L29" s="75">
        <f t="shared" ca="1" si="2"/>
        <v>346205.38791999995</v>
      </c>
      <c r="M29" s="75">
        <f t="shared" ca="1" si="2"/>
        <v>331547.98477000004</v>
      </c>
      <c r="N29" s="75">
        <f t="shared" ca="1" si="2"/>
        <v>333760.73783000011</v>
      </c>
      <c r="O29" s="75">
        <f t="shared" ca="1" si="2"/>
        <v>258815.28227000003</v>
      </c>
      <c r="P29" s="103">
        <f t="shared" ref="P29" ca="1" si="3">P26+P27</f>
        <v>4083136.8982700002</v>
      </c>
    </row>
    <row r="30" spans="1:16" x14ac:dyDescent="0.25">
      <c r="B30" s="3" t="s">
        <v>4</v>
      </c>
      <c r="C30" s="26" t="s">
        <v>11</v>
      </c>
      <c r="D30" s="59">
        <f ca="1">D32+D33</f>
        <v>442.07326</v>
      </c>
      <c r="E30" s="59">
        <f t="shared" ref="E30:O30" ca="1" si="4">E32+E33</f>
        <v>-194.91658000000001</v>
      </c>
      <c r="F30" s="59">
        <f t="shared" ca="1" si="4"/>
        <v>1613.40275</v>
      </c>
      <c r="G30" s="59">
        <f t="shared" ca="1" si="4"/>
        <v>1257.83169</v>
      </c>
      <c r="H30" s="59">
        <f t="shared" ca="1" si="4"/>
        <v>-66.290609999999987</v>
      </c>
      <c r="I30" s="59">
        <f t="shared" ca="1" si="4"/>
        <v>544.75836999999979</v>
      </c>
      <c r="J30" s="59">
        <f t="shared" ca="1" si="4"/>
        <v>1477.1386799999998</v>
      </c>
      <c r="K30" s="59">
        <f t="shared" ca="1" si="4"/>
        <v>908.98217000000022</v>
      </c>
      <c r="L30" s="59">
        <f t="shared" ca="1" si="4"/>
        <v>1253.3919999999996</v>
      </c>
      <c r="M30" s="59">
        <f t="shared" ca="1" si="4"/>
        <v>74.310140000000359</v>
      </c>
      <c r="N30" s="59">
        <f t="shared" ca="1" si="4"/>
        <v>12613.729529999999</v>
      </c>
      <c r="O30" s="59">
        <f t="shared" ca="1" si="4"/>
        <v>9764.616530000003</v>
      </c>
      <c r="P30" s="101">
        <f ca="1">SUM(D30:O30)</f>
        <v>29689.02793</v>
      </c>
    </row>
    <row r="31" spans="1:16" x14ac:dyDescent="0.25">
      <c r="B31" s="4" t="s">
        <v>4</v>
      </c>
      <c r="C31" s="28" t="s">
        <v>22</v>
      </c>
      <c r="D31" s="61">
        <f ca="1">D32+D33</f>
        <v>442.07326</v>
      </c>
      <c r="E31" s="61">
        <f t="shared" ref="E31:O31" ca="1" si="5">E32+E33</f>
        <v>-194.91658000000001</v>
      </c>
      <c r="F31" s="61">
        <f t="shared" ca="1" si="5"/>
        <v>1613.40275</v>
      </c>
      <c r="G31" s="61">
        <f t="shared" ca="1" si="5"/>
        <v>1257.83169</v>
      </c>
      <c r="H31" s="61">
        <f t="shared" ca="1" si="5"/>
        <v>-66.290609999999987</v>
      </c>
      <c r="I31" s="61">
        <f t="shared" ca="1" si="5"/>
        <v>544.75836999999979</v>
      </c>
      <c r="J31" s="61">
        <f t="shared" ca="1" si="5"/>
        <v>1477.1386799999998</v>
      </c>
      <c r="K31" s="61">
        <f t="shared" ca="1" si="5"/>
        <v>908.98217000000022</v>
      </c>
      <c r="L31" s="61">
        <f t="shared" ca="1" si="5"/>
        <v>1253.3919999999996</v>
      </c>
      <c r="M31" s="61">
        <f t="shared" ca="1" si="5"/>
        <v>74.310140000000359</v>
      </c>
      <c r="N31" s="61">
        <f t="shared" ca="1" si="5"/>
        <v>12613.729529999999</v>
      </c>
      <c r="O31" s="61">
        <f t="shared" ca="1" si="5"/>
        <v>9764.616530000003</v>
      </c>
      <c r="P31" s="102">
        <f t="shared" ref="P31:P34" ca="1" si="6">SUM(D31:O31)</f>
        <v>29689.02793</v>
      </c>
    </row>
    <row r="32" spans="1:16" x14ac:dyDescent="0.25">
      <c r="B32" s="4" t="s">
        <v>4</v>
      </c>
      <c r="C32" s="29" t="s">
        <v>34</v>
      </c>
      <c r="D32" s="63">
        <f ca="1">(_xll.DBR("CXMD:FTM_DATA_BALANCE_SHEET","Total_Customer_Supplier",D$22,$C$19,ori,"TOTAL PRODUCT","B-452010",$C$20,"Amount_BS")/1000)</f>
        <v>-83.318250000000006</v>
      </c>
      <c r="E32" s="63">
        <f ca="1">(_xll.DBR("CXMD:FTM_DATA_BALANCE_SHEET","Total_Customer_Supplier",E$22,$C$19,ori,"TOTAL PRODUCT","B-452010",$C$20,"Amount_BS")/1000)</f>
        <v>-519</v>
      </c>
      <c r="F32" s="63">
        <f ca="1">(_xll.DBR("CXMD:FTM_DATA_BALANCE_SHEET","Total_Customer_Supplier",F$22,$C$19,ori,"TOTAL PRODUCT","B-452010",$C$20,"Amount_BS")/1000)</f>
        <v>26.419200000000011</v>
      </c>
      <c r="G32" s="63">
        <f ca="1">(_xll.DBR("CXMD:FTM_DATA_BALANCE_SHEET","Total_Customer_Supplier",G$22,$C$19,ori,"TOTAL PRODUCT","B-452010",$C$20,"Amount_BS")/1000)</f>
        <v>-67.353999999999999</v>
      </c>
      <c r="H32" s="63">
        <f ca="1">(_xll.DBR("CXMD:FTM_DATA_BALANCE_SHEET","Total_Customer_Supplier",H$22,$C$19,ori,"TOTAL PRODUCT","B-452010",$C$20,"Amount_BS")/1000)</f>
        <v>-21</v>
      </c>
      <c r="I32" s="63">
        <f ca="1">(_xll.DBR("CXMD:FTM_DATA_BALANCE_SHEET","Total_Customer_Supplier",I$22,$C$19,ori,"TOTAL PRODUCT","B-452010",$C$20,"Amount_BS")/1000)</f>
        <v>-1171.3866200000002</v>
      </c>
      <c r="J32" s="63">
        <f ca="1">(_xll.DBR("CXMD:FTM_DATA_BALANCE_SHEET","Total_Customer_Supplier",J$22,$C$19,ori,"TOTAL PRODUCT","B-452010",$C$20,"Amount_BS")/1000)</f>
        <v>67.372760000000014</v>
      </c>
      <c r="K32" s="63">
        <f ca="1">(_xll.DBR("CXMD:FTM_DATA_BALANCE_SHEET","Total_Customer_Supplier",K$22,$C$19,ori,"TOTAL PRODUCT","B-452010",$C$20,"Amount_BS")/1000)</f>
        <v>-154.30000000000001</v>
      </c>
      <c r="L32" s="63">
        <f ca="1">(_xll.DBR("CXMD:FTM_DATA_BALANCE_SHEET","Total_Customer_Supplier",L$22,$C$19,ori,"TOTAL PRODUCT","B-452010",$C$20,"Amount_BS")/1000)</f>
        <v>54.252110000000101</v>
      </c>
      <c r="M32" s="63">
        <f ca="1">(_xll.DBR("CXMD:FTM_DATA_BALANCE_SHEET","Total_Customer_Supplier",M$22,$C$19,ori,"TOTAL PRODUCT","B-452010",$C$20,"Amount_BS")/1000)</f>
        <v>-43</v>
      </c>
      <c r="N32" s="63">
        <f ca="1">(_xll.DBR("CXMD:FTM_DATA_BALANCE_SHEET","Total_Customer_Supplier",N$22,$C$19,ori,"TOTAL PRODUCT","B-452010",$C$20,"Amount_BS")/1000)</f>
        <v>-29.650490000000012</v>
      </c>
      <c r="O32" s="63">
        <f ca="1">(_xll.DBR("CXMD:FTM_DATA_BALANCE_SHEET","Total_Customer_Supplier",O$22,$C$19,ori,"TOTAL PRODUCT","B-452010",$C$20,"Amount_BS")/1000)</f>
        <v>4812.0851199999997</v>
      </c>
      <c r="P32" s="104">
        <f t="shared" ca="1" si="6"/>
        <v>2871.1198299999996</v>
      </c>
    </row>
    <row r="33" spans="2:16" ht="15.75" thickBot="1" x14ac:dyDescent="0.3">
      <c r="B33" s="4" t="s">
        <v>4</v>
      </c>
      <c r="C33" s="29" t="s">
        <v>35</v>
      </c>
      <c r="D33" s="63">
        <f ca="1">(_xll.DBR("CXMD:FTM_DATA_BALANCE_SHEET","Total_Customer_Supplier",D$22,$C$19,ori,"TOTAL PRODUCT","B-452210",$C$20,"Amount_BS")/1000)</f>
        <v>525.39151000000004</v>
      </c>
      <c r="E33" s="63">
        <f ca="1">(_xll.DBR("CXMD:FTM_DATA_BALANCE_SHEET","Total_Customer_Supplier",E$22,$C$19,ori,"TOTAL PRODUCT","B-452210",$C$20,"Amount_BS")/1000)</f>
        <v>324.08341999999999</v>
      </c>
      <c r="F33" s="63">
        <f ca="1">(_xll.DBR("CXMD:FTM_DATA_BALANCE_SHEET","Total_Customer_Supplier",F$22,$C$19,ori,"TOTAL PRODUCT","B-452210",$C$20,"Amount_BS")/1000)</f>
        <v>1586.9835499999999</v>
      </c>
      <c r="G33" s="63">
        <f ca="1">(_xll.DBR("CXMD:FTM_DATA_BALANCE_SHEET","Total_Customer_Supplier",G$22,$C$19,ori,"TOTAL PRODUCT","B-452210",$C$20,"Amount_BS")/1000)</f>
        <v>1325.18569</v>
      </c>
      <c r="H33" s="63">
        <f ca="1">(_xll.DBR("CXMD:FTM_DATA_BALANCE_SHEET","Total_Customer_Supplier",H$22,$C$19,ori,"TOTAL PRODUCT","B-452210",$C$20,"Amount_BS")/1000)</f>
        <v>-45.290609999999987</v>
      </c>
      <c r="I33" s="63">
        <f ca="1">(_xll.DBR("CXMD:FTM_DATA_BALANCE_SHEET","Total_Customer_Supplier",I$22,$C$19,ori,"TOTAL PRODUCT","B-452210",$C$20,"Amount_BS")/1000)</f>
        <v>1716.14499</v>
      </c>
      <c r="J33" s="63">
        <f ca="1">(_xll.DBR("CXMD:FTM_DATA_BALANCE_SHEET","Total_Customer_Supplier",J$22,$C$19,ori,"TOTAL PRODUCT","B-452210",$C$20,"Amount_BS")/1000)</f>
        <v>1409.7659199999998</v>
      </c>
      <c r="K33" s="63">
        <f ca="1">(_xll.DBR("CXMD:FTM_DATA_BALANCE_SHEET","Total_Customer_Supplier",K$22,$C$19,ori,"TOTAL PRODUCT","B-452210",$C$20,"Amount_BS")/1000)</f>
        <v>1063.2821700000002</v>
      </c>
      <c r="L33" s="63">
        <f ca="1">(_xll.DBR("CXMD:FTM_DATA_BALANCE_SHEET","Total_Customer_Supplier",L$22,$C$19,ori,"TOTAL PRODUCT","B-452210",$C$20,"Amount_BS")/1000)</f>
        <v>1199.1398899999995</v>
      </c>
      <c r="M33" s="63">
        <f ca="1">(_xll.DBR("CXMD:FTM_DATA_BALANCE_SHEET","Total_Customer_Supplier",M$22,$C$19,ori,"TOTAL PRODUCT","B-452210",$C$20,"Amount_BS")/1000)</f>
        <v>117.31014000000036</v>
      </c>
      <c r="N33" s="63">
        <f ca="1">(_xll.DBR("CXMD:FTM_DATA_BALANCE_SHEET","Total_Customer_Supplier",N$22,$C$19,ori,"TOTAL PRODUCT","B-452210",$C$20,"Amount_BS")/1000)</f>
        <v>12643.380019999999</v>
      </c>
      <c r="O33" s="63">
        <f ca="1">(_xll.DBR("CXMD:FTM_DATA_BALANCE_SHEET","Total_Customer_Supplier",O$22,$C$19,ori,"TOTAL PRODUCT","B-452210",$C$20,"Amount_BS")/1000)</f>
        <v>4952.5314100000032</v>
      </c>
      <c r="P33" s="104">
        <f t="shared" ca="1" si="6"/>
        <v>26817.908100000001</v>
      </c>
    </row>
    <row r="34" spans="2:16" ht="15.75" x14ac:dyDescent="0.25">
      <c r="B34" s="91" t="s">
        <v>53</v>
      </c>
      <c r="C34" s="33" t="s">
        <v>11</v>
      </c>
      <c r="D34" s="76">
        <f ca="1">(_xll.DBR("CXMD:FTM_DATA_BALANCE_SHEET","Total_Customer_Supplier",D$22,$C$19,ori,"TOTAL PRODUCT","B-401010",$C$20,"Amount_BS")/1000)+(_xll.DBR("CXMD:FTM_DATA_BALANCE_SHEET","Total_Customer_Supplier",D$22,$C$19,ori,"TOTAL PRODUCT","B-401020",$C$20,"Amount_BS")/1000)+(_xll.DBR("CXMD:FTM_DATA_BALANCE_SHEET","Total_Customer_Supplier",D$22,$C$19,ori,"TOTAL PRODUCT","B-402110",$C$20,"Amount_BS")/1000)+(_xll.DBR("CXMD:FTM_DATA_BALANCE_SHEET","Total_Customer_Supplier",D$22,$C$19,ori,"TOTAL PRODUCT","B-402111",$C$20,"Amount_BS")/1000)+(_xll.DBR("CXMD:FTM_DATA_BALANCE_SHEET","Total_Customer_Supplier",D$22,$C$19,ori,"TOTAL PRODUCT","B-407010",$C$20,"Amount_BS")/1000)</f>
        <v>190042.62173999997</v>
      </c>
      <c r="E34" s="76">
        <f ca="1">(_xll.DBR("CXMD:FTM_DATA_BALANCE_SHEET","Total_Customer_Supplier",E$22,$C$19,ori,"TOTAL PRODUCT","B-401010",$C$20,"Amount_BS")/1000)+(_xll.DBR("CXMD:FTM_DATA_BALANCE_SHEET","Total_Customer_Supplier",E$22,$C$19,ori,"TOTAL PRODUCT","B-401020",$C$20,"Amount_BS")/1000)+(_xll.DBR("CXMD:FTM_DATA_BALANCE_SHEET","Total_Customer_Supplier",E$22,$C$19,ori,"TOTAL PRODUCT","B-402110",$C$20,"Amount_BS")/1000)+(_xll.DBR("CXMD:FTM_DATA_BALANCE_SHEET","Total_Customer_Supplier",E$22,$C$19,ori,"TOTAL PRODUCT","B-402111",$C$20,"Amount_BS")/1000)+(_xll.DBR("CXMD:FTM_DATA_BALANCE_SHEET","Total_Customer_Supplier",E$22,$C$19,ori,"TOTAL PRODUCT","B-407010",$C$20,"Amount_BS")/1000)</f>
        <v>192852.15685000003</v>
      </c>
      <c r="F34" s="76">
        <f ca="1">(_xll.DBR("CXMD:FTM_DATA_BALANCE_SHEET","Total_Customer_Supplier",F$22,$C$19,ori,"TOTAL PRODUCT","B-401010",$C$20,"Amount_BS")/1000)+(_xll.DBR("CXMD:FTM_DATA_BALANCE_SHEET","Total_Customer_Supplier",F$22,$C$19,ori,"TOTAL PRODUCT","B-401020",$C$20,"Amount_BS")/1000)+(_xll.DBR("CXMD:FTM_DATA_BALANCE_SHEET","Total_Customer_Supplier",F$22,$C$19,ori,"TOTAL PRODUCT","B-402110",$C$20,"Amount_BS")/1000)+(_xll.DBR("CXMD:FTM_DATA_BALANCE_SHEET","Total_Customer_Supplier",F$22,$C$19,ori,"TOTAL PRODUCT","B-402111",$C$20,"Amount_BS")/1000)+(_xll.DBR("CXMD:FTM_DATA_BALANCE_SHEET","Total_Customer_Supplier",F$22,$C$19,ori,"TOTAL PRODUCT","B-407010",$C$20,"Amount_BS")/1000)</f>
        <v>252392.84320999999</v>
      </c>
      <c r="G34" s="76">
        <f ca="1">(_xll.DBR("CXMD:FTM_DATA_BALANCE_SHEET","Total_Customer_Supplier",G$22,$C$19,ori,"TOTAL PRODUCT","B-401010",$C$20,"Amount_BS")/1000)+(_xll.DBR("CXMD:FTM_DATA_BALANCE_SHEET","Total_Customer_Supplier",G$22,$C$19,ori,"TOTAL PRODUCT","B-401020",$C$20,"Amount_BS")/1000)+(_xll.DBR("CXMD:FTM_DATA_BALANCE_SHEET","Total_Customer_Supplier",G$22,$C$19,ori,"TOTAL PRODUCT","B-402110",$C$20,"Amount_BS")/1000)+(_xll.DBR("CXMD:FTM_DATA_BALANCE_SHEET","Total_Customer_Supplier",G$22,$C$19,ori,"TOTAL PRODUCT","B-402111",$C$20,"Amount_BS")/1000)+(_xll.DBR("CXMD:FTM_DATA_BALANCE_SHEET","Total_Customer_Supplier",G$22,$C$19,ori,"TOTAL PRODUCT","B-407010",$C$20,"Amount_BS")/1000)</f>
        <v>210140.83742</v>
      </c>
      <c r="H34" s="76">
        <f ca="1">(_xll.DBR("CXMD:FTM_DATA_BALANCE_SHEET","Total_Customer_Supplier",H$22,$C$19,ori,"TOTAL PRODUCT","B-401010",$C$20,"Amount_BS")/1000)+(_xll.DBR("CXMD:FTM_DATA_BALANCE_SHEET","Total_Customer_Supplier",H$22,$C$19,ori,"TOTAL PRODUCT","B-401020",$C$20,"Amount_BS")/1000)+(_xll.DBR("CXMD:FTM_DATA_BALANCE_SHEET","Total_Customer_Supplier",H$22,$C$19,ori,"TOTAL PRODUCT","B-402110",$C$20,"Amount_BS")/1000)+(_xll.DBR("CXMD:FTM_DATA_BALANCE_SHEET","Total_Customer_Supplier",H$22,$C$19,ori,"TOTAL PRODUCT","B-402111",$C$20,"Amount_BS")/1000)+(_xll.DBR("CXMD:FTM_DATA_BALANCE_SHEET","Total_Customer_Supplier",H$22,$C$19,ori,"TOTAL PRODUCT","B-407010",$C$20,"Amount_BS")/1000)</f>
        <v>243390.75281999994</v>
      </c>
      <c r="I34" s="76">
        <f ca="1">(_xll.DBR("CXMD:FTM_DATA_BALANCE_SHEET","Total_Customer_Supplier",I$22,$C$19,ori,"TOTAL PRODUCT","B-401010",$C$20,"Amount_BS")/1000)+(_xll.DBR("CXMD:FTM_DATA_BALANCE_SHEET","Total_Customer_Supplier",I$22,$C$19,ori,"TOTAL PRODUCT","B-401020",$C$20,"Amount_BS")/1000)+(_xll.DBR("CXMD:FTM_DATA_BALANCE_SHEET","Total_Customer_Supplier",I$22,$C$19,ori,"TOTAL PRODUCT","B-402110",$C$20,"Amount_BS")/1000)+(_xll.DBR("CXMD:FTM_DATA_BALANCE_SHEET","Total_Customer_Supplier",I$22,$C$19,ori,"TOTAL PRODUCT","B-402111",$C$20,"Amount_BS")/1000)+(_xll.DBR("CXMD:FTM_DATA_BALANCE_SHEET","Total_Customer_Supplier",I$22,$C$19,ori,"TOTAL PRODUCT","B-407010",$C$20,"Amount_BS")/1000)</f>
        <v>235212.99926000001</v>
      </c>
      <c r="J34" s="76">
        <f ca="1">(_xll.DBR("CXMD:FTM_DATA_BALANCE_SHEET","Total_Customer_Supplier",J$22,$C$19,ori,"TOTAL PRODUCT","B-401010",$C$20,"Amount_BS")/1000)+(_xll.DBR("CXMD:FTM_DATA_BALANCE_SHEET","Total_Customer_Supplier",J$22,$C$19,ori,"TOTAL PRODUCT","B-401020",$C$20,"Amount_BS")/1000)+(_xll.DBR("CXMD:FTM_DATA_BALANCE_SHEET","Total_Customer_Supplier",J$22,$C$19,ori,"TOTAL PRODUCT","B-402110",$C$20,"Amount_BS")/1000)+(_xll.DBR("CXMD:FTM_DATA_BALANCE_SHEET","Total_Customer_Supplier",J$22,$C$19,ori,"TOTAL PRODUCT","B-402111",$C$20,"Amount_BS")/1000)+(_xll.DBR("CXMD:FTM_DATA_BALANCE_SHEET","Total_Customer_Supplier",J$22,$C$19,ori,"TOTAL PRODUCT","B-407010",$C$20,"Amount_BS")/1000)</f>
        <v>221949.36452000003</v>
      </c>
      <c r="K34" s="76">
        <f ca="1">(_xll.DBR("CXMD:FTM_DATA_BALANCE_SHEET","Total_Customer_Supplier",K$22,$C$19,ori,"TOTAL PRODUCT","B-401010",$C$20,"Amount_BS")/1000)+(_xll.DBR("CXMD:FTM_DATA_BALANCE_SHEET","Total_Customer_Supplier",K$22,$C$19,ori,"TOTAL PRODUCT","B-401020",$C$20,"Amount_BS")/1000)+(_xll.DBR("CXMD:FTM_DATA_BALANCE_SHEET","Total_Customer_Supplier",K$22,$C$19,ori,"TOTAL PRODUCT","B-402110",$C$20,"Amount_BS")/1000)+(_xll.DBR("CXMD:FTM_DATA_BALANCE_SHEET","Total_Customer_Supplier",K$22,$C$19,ori,"TOTAL PRODUCT","B-402111",$C$20,"Amount_BS")/1000)+(_xll.DBR("CXMD:FTM_DATA_BALANCE_SHEET","Total_Customer_Supplier",K$22,$C$19,ori,"TOTAL PRODUCT","B-407010",$C$20,"Amount_BS")/1000)</f>
        <v>199063.85189999995</v>
      </c>
      <c r="L34" s="76">
        <f ca="1">(_xll.DBR("CXMD:FTM_DATA_BALANCE_SHEET","Total_Customer_Supplier",L$22,$C$19,ori,"TOTAL PRODUCT","B-401010",$C$20,"Amount_BS")/1000)+(_xll.DBR("CXMD:FTM_DATA_BALANCE_SHEET","Total_Customer_Supplier",L$22,$C$19,ori,"TOTAL PRODUCT","B-401020",$C$20,"Amount_BS")/1000)+(_xll.DBR("CXMD:FTM_DATA_BALANCE_SHEET","Total_Customer_Supplier",L$22,$C$19,ori,"TOTAL PRODUCT","B-402110",$C$20,"Amount_BS")/1000)+(_xll.DBR("CXMD:FTM_DATA_BALANCE_SHEET","Total_Customer_Supplier",L$22,$C$19,ori,"TOTAL PRODUCT","B-402111",$C$20,"Amount_BS")/1000)+(_xll.DBR("CXMD:FTM_DATA_BALANCE_SHEET","Total_Customer_Supplier",L$22,$C$19,ori,"TOTAL PRODUCT","B-407010",$C$20,"Amount_BS")/1000)</f>
        <v>194395.23118999999</v>
      </c>
      <c r="M34" s="76">
        <f ca="1">(_xll.DBR("CXMD:FTM_DATA_BALANCE_SHEET","Total_Customer_Supplier",M$22,$C$19,ori,"TOTAL PRODUCT","B-401010",$C$20,"Amount_BS")/1000)+(_xll.DBR("CXMD:FTM_DATA_BALANCE_SHEET","Total_Customer_Supplier",M$22,$C$19,ori,"TOTAL PRODUCT","B-401020",$C$20,"Amount_BS")/1000)+(_xll.DBR("CXMD:FTM_DATA_BALANCE_SHEET","Total_Customer_Supplier",M$22,$C$19,ori,"TOTAL PRODUCT","B-402110",$C$20,"Amount_BS")/1000)+(_xll.DBR("CXMD:FTM_DATA_BALANCE_SHEET","Total_Customer_Supplier",M$22,$C$19,ori,"TOTAL PRODUCT","B-402111",$C$20,"Amount_BS")/1000)+(_xll.DBR("CXMD:FTM_DATA_BALANCE_SHEET","Total_Customer_Supplier",M$22,$C$19,ori,"TOTAL PRODUCT","B-407010",$C$20,"Amount_BS")/1000)</f>
        <v>218655.12832000002</v>
      </c>
      <c r="N34" s="76">
        <f ca="1">(_xll.DBR("CXMD:FTM_DATA_BALANCE_SHEET","Total_Customer_Supplier",N$22,$C$19,ori,"TOTAL PRODUCT","B-401010",$C$20,"Amount_BS")/1000)+(_xll.DBR("CXMD:FTM_DATA_BALANCE_SHEET","Total_Customer_Supplier",N$22,$C$19,ori,"TOTAL PRODUCT","B-401020",$C$20,"Amount_BS")/1000)+(_xll.DBR("CXMD:FTM_DATA_BALANCE_SHEET","Total_Customer_Supplier",N$22,$C$19,ori,"TOTAL PRODUCT","B-402110",$C$20,"Amount_BS")/1000)+(_xll.DBR("CXMD:FTM_DATA_BALANCE_SHEET","Total_Customer_Supplier",N$22,$C$19,ori,"TOTAL PRODUCT","B-402111",$C$20,"Amount_BS")/1000)+(_xll.DBR("CXMD:FTM_DATA_BALANCE_SHEET","Total_Customer_Supplier",N$22,$C$19,ori,"TOTAL PRODUCT","B-407010",$C$20,"Amount_BS")/1000)</f>
        <v>223925.15846999997</v>
      </c>
      <c r="O34" s="76">
        <f ca="1">(_xll.DBR("CXMD:FTM_DATA_BALANCE_SHEET","Total_Customer_Supplier",O$22,$C$19,ori,"TOTAL PRODUCT","B-401010",$C$20,"Amount_BS")/1000)+(_xll.DBR("CXMD:FTM_DATA_BALANCE_SHEET","Total_Customer_Supplier",O$22,$C$19,ori,"TOTAL PRODUCT","B-401020",$C$20,"Amount_BS")/1000)+(_xll.DBR("CXMD:FTM_DATA_BALANCE_SHEET","Total_Customer_Supplier",O$22,$C$19,ori,"TOTAL PRODUCT","B-402110",$C$20,"Amount_BS")/1000)+(_xll.DBR("CXMD:FTM_DATA_BALANCE_SHEET","Total_Customer_Supplier",O$22,$C$19,ori,"TOTAL PRODUCT","B-402111",$C$20,"Amount_BS")/1000)+(_xll.DBR("CXMD:FTM_DATA_BALANCE_SHEET","Total_Customer_Supplier",O$22,$C$19,ori,"TOTAL PRODUCT","B-407010",$C$20,"Amount_BS")/1000)</f>
        <v>161641.23890000005</v>
      </c>
      <c r="P34" s="105">
        <f t="shared" ca="1" si="6"/>
        <v>2543662.1846000003</v>
      </c>
    </row>
    <row r="35" spans="2:16" ht="15.75" thickBot="1" x14ac:dyDescent="0.3">
      <c r="B35" s="34"/>
      <c r="C35" s="35" t="s">
        <v>52</v>
      </c>
      <c r="D35" s="36">
        <f ca="1">IF(D27&lt;&gt;0,D34/D27,0)</f>
        <v>0.57757444580384298</v>
      </c>
      <c r="E35" s="36">
        <f t="shared" ref="E35:O35" ca="1" si="7">IF(E27&lt;&gt;0,E34/E27,0)</f>
        <v>0.57974328413540666</v>
      </c>
      <c r="F35" s="36">
        <f t="shared" ca="1" si="7"/>
        <v>0.67905399724598581</v>
      </c>
      <c r="G35" s="36">
        <f t="shared" ca="1" si="7"/>
        <v>0.66141854235159003</v>
      </c>
      <c r="H35" s="36">
        <f t="shared" ca="1" si="7"/>
        <v>0.63562803112779342</v>
      </c>
      <c r="I35" s="36">
        <f t="shared" ca="1" si="7"/>
        <v>0.63345966735444181</v>
      </c>
      <c r="J35" s="36">
        <f t="shared" ca="1" si="7"/>
        <v>0.6144822615032649</v>
      </c>
      <c r="K35" s="36">
        <f t="shared" ca="1" si="7"/>
        <v>0.54891591696369713</v>
      </c>
      <c r="L35" s="36">
        <f t="shared" ca="1" si="7"/>
        <v>0.56793988449421906</v>
      </c>
      <c r="M35" s="36">
        <f t="shared" ca="1" si="7"/>
        <v>0.66849827361318714</v>
      </c>
      <c r="N35" s="36">
        <f t="shared" ca="1" si="7"/>
        <v>0.68126691580466581</v>
      </c>
      <c r="O35" s="36">
        <f t="shared" ca="1" si="7"/>
        <v>0.63159610971093838</v>
      </c>
      <c r="P35" s="106">
        <f t="shared" ref="P35" ca="1" si="8">IF(P26&lt;&gt;0,P34/P26,0)</f>
        <v>242.81211933978543</v>
      </c>
    </row>
    <row r="36" spans="2:16" x14ac:dyDescent="0.25">
      <c r="B36" s="4" t="s">
        <v>5</v>
      </c>
      <c r="C36" s="28" t="s">
        <v>12</v>
      </c>
      <c r="D36" s="61">
        <f ca="1">(_xll.DBR("CXMD:FTM_DATA_BALANCE_SHEET","Total_Customer_Supplier",D$22,$C$19,ori,"TOTAL PRODUCT","R-901000",$C$20,"Amount_BS")/1000)</f>
        <v>190042.62174</v>
      </c>
      <c r="E36" s="61">
        <f ca="1">(_xll.DBR("CXMD:FTM_DATA_BALANCE_SHEET","Total_Customer_Supplier",E$22,$C$19,ori,"TOTAL PRODUCT","R-901000",$C$20,"Amount_BS")/1000)</f>
        <v>192852.15684999997</v>
      </c>
      <c r="F36" s="61">
        <f ca="1">(_xll.DBR("CXMD:FTM_DATA_BALANCE_SHEET","Total_Customer_Supplier",F$22,$C$19,ori,"TOTAL PRODUCT","R-901000",$C$20,"Amount_BS")/1000)</f>
        <v>252392.84320999999</v>
      </c>
      <c r="G36" s="61">
        <f ca="1">(_xll.DBR("CXMD:FTM_DATA_BALANCE_SHEET","Total_Customer_Supplier",G$22,$C$19,ori,"TOTAL PRODUCT","R-901000",$C$20,"Amount_BS")/1000)</f>
        <v>210140.83742000003</v>
      </c>
      <c r="H36" s="61">
        <f ca="1">(_xll.DBR("CXMD:FTM_DATA_BALANCE_SHEET","Total_Customer_Supplier",H$22,$C$19,ori,"TOTAL PRODUCT","R-901000",$C$20,"Amount_BS")/1000)</f>
        <v>243390.75281999999</v>
      </c>
      <c r="I36" s="61">
        <f ca="1">(_xll.DBR("CXMD:FTM_DATA_BALANCE_SHEET","Total_Customer_Supplier",I$22,$C$19,ori,"TOTAL PRODUCT","R-901000",$C$20,"Amount_BS")/1000)</f>
        <v>235212.99926000004</v>
      </c>
      <c r="J36" s="61">
        <f ca="1">(_xll.DBR("CXMD:FTM_DATA_BALANCE_SHEET","Total_Customer_Supplier",J$22,$C$19,ori,"TOTAL PRODUCT","R-901000",$C$20,"Amount_BS")/1000)</f>
        <v>221949.36451999997</v>
      </c>
      <c r="K36" s="61">
        <f ca="1">(_xll.DBR("CXMD:FTM_DATA_BALANCE_SHEET","Total_Customer_Supplier",K$22,$C$19,ori,"TOTAL PRODUCT","R-901000",$C$20,"Amount_BS")/1000)</f>
        <v>199063.85189999995</v>
      </c>
      <c r="L36" s="61">
        <f ca="1">(_xll.DBR("CXMD:FTM_DATA_BALANCE_SHEET","Total_Customer_Supplier",L$22,$C$19,ori,"TOTAL PRODUCT","R-901000",$C$20,"Amount_BS")/1000)</f>
        <v>194395.23119000002</v>
      </c>
      <c r="M36" s="61">
        <f ca="1">(_xll.DBR("CXMD:FTM_DATA_BALANCE_SHEET","Total_Customer_Supplier",M$22,$C$19,ori,"TOTAL PRODUCT","R-901000",$C$20,"Amount_BS")/1000)</f>
        <v>218655.12831999993</v>
      </c>
      <c r="N36" s="61">
        <f ca="1">(_xll.DBR("CXMD:FTM_DATA_BALANCE_SHEET","Total_Customer_Supplier",N$22,$C$19,ori,"TOTAL PRODUCT","R-901000",$C$20,"Amount_BS")/1000)</f>
        <v>223925.15846999994</v>
      </c>
      <c r="O36" s="61">
        <f ca="1">(_xll.DBR("CXMD:FTM_DATA_BALANCE_SHEET","Total_Customer_Supplier",O$22,$C$19,ori,"TOTAL PRODUCT","R-901000",$C$20,"Amount_BS")/1000)</f>
        <v>161641.2389</v>
      </c>
      <c r="P36" s="102">
        <f t="shared" ref="P36:P43" ca="1" si="9">SUM(D36:O36)</f>
        <v>2543662.1846000003</v>
      </c>
    </row>
    <row r="37" spans="2:16" x14ac:dyDescent="0.25">
      <c r="B37" s="4" t="s">
        <v>5</v>
      </c>
      <c r="C37" s="29" t="s">
        <v>13</v>
      </c>
      <c r="D37" s="63">
        <f ca="1">(_xll.DBR("CXMD:FTM_DATA_BALANCE_SHEET","Total_Customer_Supplier",D$22,$C$19,ori,"TOTAL PRODUCT","B-401010",$C$20,"Amount_BS")/1000)</f>
        <v>72512.262969999996</v>
      </c>
      <c r="E37" s="63">
        <f ca="1">(_xll.DBR("CXMD:FTM_DATA_BALANCE_SHEET","Total_Customer_Supplier",E$22,$C$19,ori,"TOTAL PRODUCT","B-401010",$C$20,"Amount_BS")/1000)</f>
        <v>91171.248340000006</v>
      </c>
      <c r="F37" s="63">
        <f ca="1">(_xll.DBR("CXMD:FTM_DATA_BALANCE_SHEET","Total_Customer_Supplier",F$22,$C$19,ori,"TOTAL PRODUCT","B-401010",$C$20,"Amount_BS")/1000)</f>
        <v>109526.18991</v>
      </c>
      <c r="G37" s="63">
        <f ca="1">(_xll.DBR("CXMD:FTM_DATA_BALANCE_SHEET","Total_Customer_Supplier",G$22,$C$19,ori,"TOTAL PRODUCT","B-401010",$C$20,"Amount_BS")/1000)</f>
        <v>86644.047530000011</v>
      </c>
      <c r="H37" s="63">
        <f ca="1">(_xll.DBR("CXMD:FTM_DATA_BALANCE_SHEET","Total_Customer_Supplier",H$22,$C$19,ori,"TOTAL PRODUCT","B-401010",$C$20,"Amount_BS")/1000)</f>
        <v>117977.35017999996</v>
      </c>
      <c r="I37" s="63">
        <f ca="1">(_xll.DBR("CXMD:FTM_DATA_BALANCE_SHEET","Total_Customer_Supplier",I$22,$C$19,ori,"TOTAL PRODUCT","B-401010",$C$20,"Amount_BS")/1000)</f>
        <v>106691.98008000001</v>
      </c>
      <c r="J37" s="63">
        <f ca="1">(_xll.DBR("CXMD:FTM_DATA_BALANCE_SHEET","Total_Customer_Supplier",J$22,$C$19,ori,"TOTAL PRODUCT","B-401010",$C$20,"Amount_BS")/1000)</f>
        <v>109483.73378999998</v>
      </c>
      <c r="K37" s="63">
        <f ca="1">(_xll.DBR("CXMD:FTM_DATA_BALANCE_SHEET","Total_Customer_Supplier",K$22,$C$19,ori,"TOTAL PRODUCT","B-401010",$C$20,"Amount_BS")/1000)</f>
        <v>108477.08283999997</v>
      </c>
      <c r="L37" s="63">
        <f ca="1">(_xll.DBR("CXMD:FTM_DATA_BALANCE_SHEET","Total_Customer_Supplier",L$22,$C$19,ori,"TOTAL PRODUCT","B-401010",$C$20,"Amount_BS")/1000)</f>
        <v>104411.90836999999</v>
      </c>
      <c r="M37" s="63">
        <f ca="1">(_xll.DBR("CXMD:FTM_DATA_BALANCE_SHEET","Total_Customer_Supplier",M$22,$C$19,ori,"TOTAL PRODUCT","B-401010",$C$20,"Amount_BS")/1000)</f>
        <v>118536.75331000001</v>
      </c>
      <c r="N37" s="63">
        <f ca="1">(_xll.DBR("CXMD:FTM_DATA_BALANCE_SHEET","Total_Customer_Supplier",N$22,$C$19,ori,"TOTAL PRODUCT","B-401010",$C$20,"Amount_BS")/1000)</f>
        <v>110048.15631999998</v>
      </c>
      <c r="O37" s="63">
        <f ca="1">(_xll.DBR("CXMD:FTM_DATA_BALANCE_SHEET","Total_Customer_Supplier",O$22,$C$19,ori,"TOTAL PRODUCT","B-401010",$C$20,"Amount_BS")/1000)</f>
        <v>69232.502560000023</v>
      </c>
      <c r="P37" s="104">
        <f t="shared" ca="1" si="9"/>
        <v>1204713.2161999999</v>
      </c>
    </row>
    <row r="38" spans="2:16" x14ac:dyDescent="0.25">
      <c r="B38" s="4" t="s">
        <v>5</v>
      </c>
      <c r="C38" s="29" t="s">
        <v>14</v>
      </c>
      <c r="D38" s="63">
        <f ca="1">(_xll.DBR("CXMD:FTM_DATA_BALANCE_SHEET","Total_Customer_Supplier",D$22,$C$19,ori,"TOTAL PRODUCT","B-407010",$C$20,"Amount_BS")/1000)</f>
        <v>22443.169009999994</v>
      </c>
      <c r="E38" s="63">
        <f ca="1">(_xll.DBR("CXMD:FTM_DATA_BALANCE_SHEET","Total_Customer_Supplier",E$22,$C$19,ori,"TOTAL PRODUCT","B-407010",$C$20,"Amount_BS")/1000)</f>
        <v>23140.053880000007</v>
      </c>
      <c r="F38" s="63">
        <f ca="1">(_xll.DBR("CXMD:FTM_DATA_BALANCE_SHEET","Total_Customer_Supplier",F$22,$C$19,ori,"TOTAL PRODUCT","B-407010",$C$20,"Amount_BS")/1000)</f>
        <v>25473.465339999995</v>
      </c>
      <c r="G38" s="63">
        <f ca="1">(_xll.DBR("CXMD:FTM_DATA_BALANCE_SHEET","Total_Customer_Supplier",G$22,$C$19,ori,"TOTAL PRODUCT","B-407010",$C$20,"Amount_BS")/1000)</f>
        <v>22108.669150000002</v>
      </c>
      <c r="H38" s="63">
        <f ca="1">(_xll.DBR("CXMD:FTM_DATA_BALANCE_SHEET","Total_Customer_Supplier",H$22,$C$19,ori,"TOTAL PRODUCT","B-407010",$C$20,"Amount_BS")/1000)</f>
        <v>21441.586489999998</v>
      </c>
      <c r="I38" s="63">
        <f ca="1">(_xll.DBR("CXMD:FTM_DATA_BALANCE_SHEET","Total_Customer_Supplier",I$22,$C$19,ori,"TOTAL PRODUCT","B-407010",$C$20,"Amount_BS")/1000)</f>
        <v>20699.12934</v>
      </c>
      <c r="J38" s="63">
        <f ca="1">(_xll.DBR("CXMD:FTM_DATA_BALANCE_SHEET","Total_Customer_Supplier",J$22,$C$19,ori,"TOTAL PRODUCT","B-407010",$C$20,"Amount_BS")/1000)</f>
        <v>14473.979610000006</v>
      </c>
      <c r="K38" s="63">
        <f ca="1">(_xll.DBR("CXMD:FTM_DATA_BALANCE_SHEET","Total_Customer_Supplier",K$22,$C$19,ori,"TOTAL PRODUCT","B-407010",$C$20,"Amount_BS")/1000)</f>
        <v>10355.237099999993</v>
      </c>
      <c r="L38" s="63">
        <f ca="1">(_xll.DBR("CXMD:FTM_DATA_BALANCE_SHEET","Total_Customer_Supplier",L$22,$C$19,ori,"TOTAL PRODUCT","B-407010",$C$20,"Amount_BS")/1000)</f>
        <v>19707.862800000006</v>
      </c>
      <c r="M38" s="63">
        <f ca="1">(_xll.DBR("CXMD:FTM_DATA_BALANCE_SHEET","Total_Customer_Supplier",M$22,$C$19,ori,"TOTAL PRODUCT","B-407010",$C$20,"Amount_BS")/1000)</f>
        <v>18304.498429999992</v>
      </c>
      <c r="N38" s="63">
        <f ca="1">(_xll.DBR("CXMD:FTM_DATA_BALANCE_SHEET","Total_Customer_Supplier",N$22,$C$19,ori,"TOTAL PRODUCT","B-407010",$C$20,"Amount_BS")/1000)</f>
        <v>20553.613559999983</v>
      </c>
      <c r="O38" s="63">
        <f ca="1">(_xll.DBR("CXMD:FTM_DATA_BALANCE_SHEET","Total_Customer_Supplier",O$22,$C$19,ori,"TOTAL PRODUCT","B-407010",$C$20,"Amount_BS")/1000)</f>
        <v>15903.049820000002</v>
      </c>
      <c r="P38" s="104">
        <f t="shared" ca="1" si="9"/>
        <v>234604.31452999997</v>
      </c>
    </row>
    <row r="39" spans="2:16" x14ac:dyDescent="0.25">
      <c r="B39" s="4" t="s">
        <v>5</v>
      </c>
      <c r="C39" s="29" t="s">
        <v>47</v>
      </c>
      <c r="D39" s="63">
        <f ca="1">(_xll.DBR("CXMD:FTM_DATA_BALANCE_SHEET","Total_Customer_Supplier",D$22,$C$19,ori,"TOTAL PRODUCT","B-402110",$C$20,"Amount_BS")/1000)</f>
        <v>879.40243999999996</v>
      </c>
      <c r="E39" s="63">
        <f ca="1">(_xll.DBR("CXMD:FTM_DATA_BALANCE_SHEET","Total_Customer_Supplier",E$22,$C$19,ori,"TOTAL PRODUCT","B-402110",$C$20,"Amount_BS")/1000)</f>
        <v>572.56528000000003</v>
      </c>
      <c r="F39" s="63">
        <f ca="1">(_xll.DBR("CXMD:FTM_DATA_BALANCE_SHEET","Total_Customer_Supplier",F$22,$C$19,ori,"TOTAL PRODUCT","B-402110",$C$20,"Amount_BS")/1000)</f>
        <v>2615.1558999999997</v>
      </c>
      <c r="G39" s="63">
        <f ca="1">(_xll.DBR("CXMD:FTM_DATA_BALANCE_SHEET","Total_Customer_Supplier",G$22,$C$19,ori,"TOTAL PRODUCT","B-402110",$C$20,"Amount_BS")/1000)</f>
        <v>9161.3964600000018</v>
      </c>
      <c r="H39" s="63">
        <f ca="1">(_xll.DBR("CXMD:FTM_DATA_BALANCE_SHEET","Total_Customer_Supplier",H$22,$C$19,ori,"TOTAL PRODUCT","B-402110",$C$20,"Amount_BS")/1000)</f>
        <v>-3906.9355500000001</v>
      </c>
      <c r="I39" s="63">
        <f ca="1">(_xll.DBR("CXMD:FTM_DATA_BALANCE_SHEET","Total_Customer_Supplier",I$22,$C$19,ori,"TOTAL PRODUCT","B-402110",$C$20,"Amount_BS")/1000)</f>
        <v>-886.24673999999936</v>
      </c>
      <c r="J39" s="63">
        <f ca="1">(_xll.DBR("CXMD:FTM_DATA_BALANCE_SHEET","Total_Customer_Supplier",J$22,$C$19,ori,"TOTAL PRODUCT","B-402110",$C$20,"Amount_BS")/1000)</f>
        <v>-622.85440999999992</v>
      </c>
      <c r="K39" s="63">
        <f ca="1">(_xll.DBR("CXMD:FTM_DATA_BALANCE_SHEET","Total_Customer_Supplier",K$22,$C$19,ori,"TOTAL PRODUCT","B-402110",$C$20,"Amount_BS")/1000)</f>
        <v>2744.3925000000013</v>
      </c>
      <c r="L39" s="63">
        <f ca="1">(_xll.DBR("CXMD:FTM_DATA_BALANCE_SHEET","Total_Customer_Supplier",L$22,$C$19,ori,"TOTAL PRODUCT","B-402110",$C$20,"Amount_BS")/1000)</f>
        <v>848.85932000000003</v>
      </c>
      <c r="M39" s="63">
        <f ca="1">(_xll.DBR("CXMD:FTM_DATA_BALANCE_SHEET","Total_Customer_Supplier",M$22,$C$19,ori,"TOTAL PRODUCT","B-402110",$C$20,"Amount_BS")/1000)</f>
        <v>-741.37898000000041</v>
      </c>
      <c r="N39" s="63">
        <f ca="1">(_xll.DBR("CXMD:FTM_DATA_BALANCE_SHEET","Total_Customer_Supplier",N$22,$C$19,ori,"TOTAL PRODUCT","B-402110",$C$20,"Amount_BS")/1000)</f>
        <v>1153.9185800000002</v>
      </c>
      <c r="O39" s="63">
        <f ca="1">(_xll.DBR("CXMD:FTM_DATA_BALANCE_SHEET","Total_Customer_Supplier",O$22,$C$19,ori,"TOTAL PRODUCT","B-402110",$C$20,"Amount_BS")/1000)</f>
        <v>-384.62694000000079</v>
      </c>
      <c r="P39" s="104">
        <f t="shared" ca="1" si="9"/>
        <v>11433.647860000005</v>
      </c>
    </row>
    <row r="40" spans="2:16" x14ac:dyDescent="0.25">
      <c r="B40" s="4" t="s">
        <v>5</v>
      </c>
      <c r="C40" s="29" t="s">
        <v>48</v>
      </c>
      <c r="D40" s="63">
        <f ca="1">(_xll.DBR("CXMD:FTM_DATA_BALANCE_SHEET","Total_Customer_Supplier",D$22,$C$19,ori,"TOTAL PRODUCT","B-402111",$C$20,"Amount_BS")/1000)</f>
        <v>-98.024020000000021</v>
      </c>
      <c r="E40" s="63">
        <f ca="1">(_xll.DBR("CXMD:FTM_DATA_BALANCE_SHEET","Total_Customer_Supplier",E$22,$C$19,ori,"TOTAL PRODUCT","B-402111",$C$20,"Amount_BS")/1000)</f>
        <v>87.56480000000002</v>
      </c>
      <c r="F40" s="63">
        <f ca="1">(_xll.DBR("CXMD:FTM_DATA_BALANCE_SHEET","Total_Customer_Supplier",F$22,$C$19,ori,"TOTAL PRODUCT","B-402111",$C$20,"Amount_BS")/1000)</f>
        <v>-57.404920000000011</v>
      </c>
      <c r="G40" s="63">
        <f ca="1">(_xll.DBR("CXMD:FTM_DATA_BALANCE_SHEET","Total_Customer_Supplier",G$22,$C$19,ori,"TOTAL PRODUCT","B-402111",$C$20,"Amount_BS")/1000)</f>
        <v>-19.155529999999985</v>
      </c>
      <c r="H40" s="63">
        <f ca="1">(_xll.DBR("CXMD:FTM_DATA_BALANCE_SHEET","Total_Customer_Supplier",H$22,$C$19,ori,"TOTAL PRODUCT","B-402111",$C$20,"Amount_BS")/1000)</f>
        <v>-1.600240000000049</v>
      </c>
      <c r="I40" s="63">
        <f ca="1">(_xll.DBR("CXMD:FTM_DATA_BALANCE_SHEET","Total_Customer_Supplier",I$22,$C$19,ori,"TOTAL PRODUCT","B-402111",$C$20,"Amount_BS")/1000)</f>
        <v>47.718920000000047</v>
      </c>
      <c r="J40" s="63">
        <f ca="1">(_xll.DBR("CXMD:FTM_DATA_BALANCE_SHEET","Total_Customer_Supplier",J$22,$C$19,ori,"TOTAL PRODUCT","B-402111",$C$20,"Amount_BS")/1000)</f>
        <v>31.917209999999976</v>
      </c>
      <c r="K40" s="63">
        <f ca="1">(_xll.DBR("CXMD:FTM_DATA_BALANCE_SHEET","Total_Customer_Supplier",K$22,$C$19,ori,"TOTAL PRODUCT","B-402111",$C$20,"Amount_BS")/1000)</f>
        <v>-92.553710000000024</v>
      </c>
      <c r="L40" s="63">
        <f ca="1">(_xll.DBR("CXMD:FTM_DATA_BALANCE_SHEET","Total_Customer_Supplier",L$22,$C$19,ori,"TOTAL PRODUCT","B-402111",$C$20,"Amount_BS")/1000)</f>
        <v>19.092949999999984</v>
      </c>
      <c r="M40" s="63">
        <f ca="1">(_xll.DBR("CXMD:FTM_DATA_BALANCE_SHEET","Total_Customer_Supplier",M$22,$C$19,ori,"TOTAL PRODUCT","B-402111",$C$20,"Amount_BS")/1000)</f>
        <v>0.32146000000001002</v>
      </c>
      <c r="N40" s="63">
        <f ca="1">(_xll.DBR("CXMD:FTM_DATA_BALANCE_SHEET","Total_Customer_Supplier",N$22,$C$19,ori,"TOTAL PRODUCT","B-402111",$C$20,"Amount_BS")/1000)</f>
        <v>70.839740000000049</v>
      </c>
      <c r="O40" s="63">
        <f ca="1">(_xll.DBR("CXMD:FTM_DATA_BALANCE_SHEET","Total_Customer_Supplier",O$22,$C$19,ori,"TOTAL PRODUCT","B-402111",$C$20,"Amount_BS")/1000)</f>
        <v>-85.098449999999943</v>
      </c>
      <c r="P40" s="104">
        <f t="shared" ca="1" si="9"/>
        <v>-96.381789999999938</v>
      </c>
    </row>
    <row r="41" spans="2:16" x14ac:dyDescent="0.25">
      <c r="B41" s="4"/>
      <c r="C41" s="29" t="s">
        <v>15</v>
      </c>
      <c r="D41" s="63">
        <f ca="1">(_xll.DBR("CXMD:FTM_DATA_BALANCE_SHEET","Total_Customer_Supplier",D$22,$C$19,ori,"TOTAL PRODUCT","B-401020",$C$20,"Amount_BS")/1000)</f>
        <v>94305.81134</v>
      </c>
      <c r="E41" s="63">
        <f ca="1">(_xll.DBR("CXMD:FTM_DATA_BALANCE_SHEET","Total_Customer_Supplier",E$22,$C$19,ori,"TOTAL PRODUCT","B-401020",$C$20,"Amount_BS")/1000)</f>
        <v>77880.724550000014</v>
      </c>
      <c r="F41" s="63">
        <f ca="1">(_xll.DBR("CXMD:FTM_DATA_BALANCE_SHEET","Total_Customer_Supplier",F$22,$C$19,ori,"TOTAL PRODUCT","B-401020",$C$20,"Amount_BS")/1000)</f>
        <v>114835.43697999998</v>
      </c>
      <c r="G41" s="63">
        <f ca="1">(_xll.DBR("CXMD:FTM_DATA_BALANCE_SHEET","Total_Customer_Supplier",G$22,$C$19,ori,"TOTAL PRODUCT","B-401020",$C$20,"Amount_BS")/1000)</f>
        <v>92245.879809999984</v>
      </c>
      <c r="H41" s="63">
        <f ca="1">(_xll.DBR("CXMD:FTM_DATA_BALANCE_SHEET","Total_Customer_Supplier",H$22,$C$19,ori,"TOTAL PRODUCT","B-401020",$C$20,"Amount_BS")/1000)</f>
        <v>107880.35193999998</v>
      </c>
      <c r="I41" s="63">
        <f ca="1">(_xll.DBR("CXMD:FTM_DATA_BALANCE_SHEET","Total_Customer_Supplier",I$22,$C$19,ori,"TOTAL PRODUCT","B-401020",$C$20,"Amount_BS")/1000)</f>
        <v>108660.41765999999</v>
      </c>
      <c r="J41" s="63">
        <f ca="1">(_xll.DBR("CXMD:FTM_DATA_BALANCE_SHEET","Total_Customer_Supplier",J$22,$C$19,ori,"TOTAL PRODUCT","B-401020",$C$20,"Amount_BS")/1000)</f>
        <v>98582.588320000039</v>
      </c>
      <c r="K41" s="63">
        <f ca="1">(_xll.DBR("CXMD:FTM_DATA_BALANCE_SHEET","Total_Customer_Supplier",K$22,$C$19,ori,"TOTAL PRODUCT","B-401020",$C$20,"Amount_BS")/1000)</f>
        <v>77579.693169999984</v>
      </c>
      <c r="L41" s="63">
        <f ca="1">(_xll.DBR("CXMD:FTM_DATA_BALANCE_SHEET","Total_Customer_Supplier",L$22,$C$19,ori,"TOTAL PRODUCT","B-401020",$C$20,"Amount_BS")/1000)</f>
        <v>69407.507750000019</v>
      </c>
      <c r="M41" s="63">
        <f ca="1">(_xll.DBR("CXMD:FTM_DATA_BALANCE_SHEET","Total_Customer_Supplier",M$22,$C$19,ori,"TOTAL PRODUCT","B-401020",$C$20,"Amount_BS")/1000)</f>
        <v>82554.934099999999</v>
      </c>
      <c r="N41" s="63">
        <f ca="1">(_xll.DBR("CXMD:FTM_DATA_BALANCE_SHEET","Total_Customer_Supplier",N$22,$C$19,ori,"TOTAL PRODUCT","B-401020",$C$20,"Amount_BS")/1000)</f>
        <v>92098.63026999998</v>
      </c>
      <c r="O41" s="63">
        <f ca="1">(_xll.DBR("CXMD:FTM_DATA_BALANCE_SHEET","Total_Customer_Supplier",O$22,$C$19,ori,"TOTAL PRODUCT","B-401020",$C$20,"Amount_BS")/1000)</f>
        <v>76975.411909999995</v>
      </c>
      <c r="P41" s="104">
        <f t="shared" ca="1" si="9"/>
        <v>1093007.3877999999</v>
      </c>
    </row>
    <row r="42" spans="2:16" x14ac:dyDescent="0.25">
      <c r="B42" s="4"/>
      <c r="C42" s="28" t="s">
        <v>22</v>
      </c>
      <c r="D42" s="95">
        <f>D43</f>
        <v>0</v>
      </c>
      <c r="E42" s="95">
        <f t="shared" ref="E42:O42" si="10">E43</f>
        <v>0</v>
      </c>
      <c r="F42" s="95">
        <f t="shared" si="10"/>
        <v>0</v>
      </c>
      <c r="G42" s="95">
        <f t="shared" si="10"/>
        <v>0</v>
      </c>
      <c r="H42" s="95">
        <f t="shared" si="10"/>
        <v>0</v>
      </c>
      <c r="I42" s="95">
        <f t="shared" si="10"/>
        <v>0</v>
      </c>
      <c r="J42" s="95">
        <f t="shared" si="10"/>
        <v>0</v>
      </c>
      <c r="K42" s="95">
        <f t="shared" si="10"/>
        <v>0</v>
      </c>
      <c r="L42" s="95">
        <f t="shared" si="10"/>
        <v>0</v>
      </c>
      <c r="M42" s="95">
        <f t="shared" si="10"/>
        <v>0</v>
      </c>
      <c r="N42" s="95">
        <f t="shared" si="10"/>
        <v>0</v>
      </c>
      <c r="O42" s="95">
        <f t="shared" si="10"/>
        <v>0</v>
      </c>
      <c r="P42" s="102">
        <f t="shared" si="9"/>
        <v>0</v>
      </c>
    </row>
    <row r="43" spans="2:16" ht="15.75" thickBot="1" x14ac:dyDescent="0.3">
      <c r="B43" s="4" t="s">
        <v>5</v>
      </c>
      <c r="C43" s="29" t="s">
        <v>23</v>
      </c>
      <c r="D43" s="63">
        <f>0</f>
        <v>0</v>
      </c>
      <c r="E43" s="63">
        <f>0</f>
        <v>0</v>
      </c>
      <c r="F43" s="63">
        <f>0</f>
        <v>0</v>
      </c>
      <c r="G43" s="63">
        <f>0</f>
        <v>0</v>
      </c>
      <c r="H43" s="63">
        <f>0</f>
        <v>0</v>
      </c>
      <c r="I43" s="63">
        <f>0</f>
        <v>0</v>
      </c>
      <c r="J43" s="63">
        <f>0</f>
        <v>0</v>
      </c>
      <c r="K43" s="63">
        <f>0</f>
        <v>0</v>
      </c>
      <c r="L43" s="63">
        <f>0</f>
        <v>0</v>
      </c>
      <c r="M43" s="63">
        <f>0</f>
        <v>0</v>
      </c>
      <c r="N43" s="63">
        <f>0</f>
        <v>0</v>
      </c>
      <c r="O43" s="63">
        <f>0</f>
        <v>0</v>
      </c>
      <c r="P43" s="104">
        <f t="shared" si="9"/>
        <v>0</v>
      </c>
    </row>
    <row r="44" spans="2:16" ht="15.75" x14ac:dyDescent="0.25">
      <c r="B44" s="37" t="s">
        <v>43</v>
      </c>
      <c r="C44" s="38"/>
      <c r="D44" s="77">
        <f ca="1">D29-D34</f>
        <v>143035.46046999993</v>
      </c>
      <c r="E44" s="77">
        <f t="shared" ref="E44:P44" ca="1" si="11">E29-E34</f>
        <v>144339.72298999998</v>
      </c>
      <c r="F44" s="77">
        <f t="shared" ca="1" si="11"/>
        <v>124138.35298</v>
      </c>
      <c r="G44" s="77">
        <f t="shared" ca="1" si="11"/>
        <v>111970.46637999994</v>
      </c>
      <c r="H44" s="77">
        <f t="shared" ca="1" si="11"/>
        <v>143905.93665999995</v>
      </c>
      <c r="I44" s="77">
        <f t="shared" ca="1" si="11"/>
        <v>140828.53508999996</v>
      </c>
      <c r="J44" s="77">
        <f t="shared" ca="1" si="11"/>
        <v>143777.64234999995</v>
      </c>
      <c r="K44" s="77">
        <f t="shared" ca="1" si="11"/>
        <v>167941.8309099999</v>
      </c>
      <c r="L44" s="77">
        <f t="shared" ca="1" si="11"/>
        <v>151810.15672999996</v>
      </c>
      <c r="M44" s="77">
        <f t="shared" ca="1" si="11"/>
        <v>112892.85645000002</v>
      </c>
      <c r="N44" s="77">
        <f t="shared" ca="1" si="11"/>
        <v>109835.57936000015</v>
      </c>
      <c r="O44" s="77">
        <f t="shared" ca="1" si="11"/>
        <v>97174.04336999997</v>
      </c>
      <c r="P44" s="107">
        <f t="shared" ca="1" si="11"/>
        <v>1539474.71367</v>
      </c>
    </row>
    <row r="45" spans="2:16" ht="15.75" thickBot="1" x14ac:dyDescent="0.3">
      <c r="B45" s="39"/>
      <c r="C45" s="40" t="s">
        <v>52</v>
      </c>
      <c r="D45" s="41">
        <f ca="1">IF(D27&lt;&gt;0,D44/D27,0)</f>
        <v>0.4347110456320824</v>
      </c>
      <c r="E45" s="41">
        <f t="shared" ref="E45:O45" ca="1" si="12">IF(E27&lt;&gt;0,E44/E27,0)</f>
        <v>0.43390743668220189</v>
      </c>
      <c r="F45" s="41">
        <f t="shared" ca="1" si="12"/>
        <v>0.33398983794664994</v>
      </c>
      <c r="G45" s="41">
        <f t="shared" ca="1" si="12"/>
        <v>0.35242717964175552</v>
      </c>
      <c r="H45" s="41">
        <f t="shared" ca="1" si="12"/>
        <v>0.3758180872814178</v>
      </c>
      <c r="I45" s="41">
        <f t="shared" ca="1" si="12"/>
        <v>0.3792698416872553</v>
      </c>
      <c r="J45" s="41">
        <f t="shared" ca="1" si="12"/>
        <v>0.39805840857397173</v>
      </c>
      <c r="K45" s="41">
        <f t="shared" ca="1" si="12"/>
        <v>0.46309735911688543</v>
      </c>
      <c r="L45" s="41">
        <f t="shared" ca="1" si="12"/>
        <v>0.44352447511439119</v>
      </c>
      <c r="M45" s="41">
        <f t="shared" ca="1" si="12"/>
        <v>0.34514936932848228</v>
      </c>
      <c r="N45" s="41">
        <f t="shared" ca="1" si="12"/>
        <v>0.33416230184885987</v>
      </c>
      <c r="O45" s="41">
        <f t="shared" ca="1" si="12"/>
        <v>0.379697335748235</v>
      </c>
      <c r="P45" s="108">
        <f t="shared" ref="P45" ca="1" si="13">IF(P26&lt;&gt;0,P44/P26,0)</f>
        <v>146.95470183081875</v>
      </c>
    </row>
    <row r="46" spans="2:16" ht="15.75" x14ac:dyDescent="0.25">
      <c r="B46" s="42" t="s">
        <v>6</v>
      </c>
      <c r="C46" s="94" t="s">
        <v>11</v>
      </c>
      <c r="D46" s="78">
        <f ca="1">(_xll.DBR("CXMD:FTM_DATA_BALANCE_SHEET","Total_Customer_Supplier",D$22,$C$19,ori,"TOTAL PRODUCT","B-430010",$C$20,"Amount_BS")/1000)+(_xll.DBR("CXMD:FTM_DATA_BALANCE_SHEET","Total_Customer_Supplier",D$22,$C$19,ori,"TOTAL PRODUCT","B-430040",$C$20,"Amount_BS")/1000)+(_xll.DBR("CXMD:FTM_DATA_BALANCE_SHEET","Total_Customer_Supplier",D$22,$C$19,ori,"TOTAL PRODUCT","B-431040",$C$20,"Amount_BS")/1000)+(_xll.DBR("CXMD:FTM_DATA_BALANCE_SHEET","Total_Customer_Supplier",D$22,$C$19,ori,"TOTAL PRODUCT","B-437010",$C$20,"Amount_BS")/1000)+(_xll.DBR("CXMD:FTM_DATA_BALANCE_SHEET","Total_Customer_Supplier",D$22,$C$19,ori,"TOTAL PRODUCT","B-438010",$C$20,"Amount_BS")/1000)</f>
        <v>37400.483939999998</v>
      </c>
      <c r="E46" s="78">
        <f ca="1">(_xll.DBR("CXMD:FTM_DATA_BALANCE_SHEET","Total_Customer_Supplier",E$22,$C$19,ori,"TOTAL PRODUCT","B-430010",$C$20,"Amount_BS")/1000)+(_xll.DBR("CXMD:FTM_DATA_BALANCE_SHEET","Total_Customer_Supplier",E$22,$C$19,ori,"TOTAL PRODUCT","B-430040",$C$20,"Amount_BS")/1000)+(_xll.DBR("CXMD:FTM_DATA_BALANCE_SHEET","Total_Customer_Supplier",E$22,$C$19,ori,"TOTAL PRODUCT","B-431040",$C$20,"Amount_BS")/1000)+(_xll.DBR("CXMD:FTM_DATA_BALANCE_SHEET","Total_Customer_Supplier",E$22,$C$19,ori,"TOTAL PRODUCT","B-437010",$C$20,"Amount_BS")/1000)+(_xll.DBR("CXMD:FTM_DATA_BALANCE_SHEET","Total_Customer_Supplier",E$22,$C$19,ori,"TOTAL PRODUCT","B-438010",$C$20,"Amount_BS")/1000)</f>
        <v>40241.933459999993</v>
      </c>
      <c r="F46" s="78">
        <f ca="1">(_xll.DBR("CXMD:FTM_DATA_BALANCE_SHEET","Total_Customer_Supplier",F$22,$C$19,ori,"TOTAL PRODUCT","B-430010",$C$20,"Amount_BS")/1000)+(_xll.DBR("CXMD:FTM_DATA_BALANCE_SHEET","Total_Customer_Supplier",F$22,$C$19,ori,"TOTAL PRODUCT","B-430040",$C$20,"Amount_BS")/1000)+(_xll.DBR("CXMD:FTM_DATA_BALANCE_SHEET","Total_Customer_Supplier",F$22,$C$19,ori,"TOTAL PRODUCT","B-431040",$C$20,"Amount_BS")/1000)+(_xll.DBR("CXMD:FTM_DATA_BALANCE_SHEET","Total_Customer_Supplier",F$22,$C$19,ori,"TOTAL PRODUCT","B-437010",$C$20,"Amount_BS")/1000)+(_xll.DBR("CXMD:FTM_DATA_BALANCE_SHEET","Total_Customer_Supplier",F$22,$C$19,ori,"TOTAL PRODUCT","B-438010",$C$20,"Amount_BS")/1000)</f>
        <v>41481.868879999995</v>
      </c>
      <c r="G46" s="78">
        <f ca="1">(_xll.DBR("CXMD:FTM_DATA_BALANCE_SHEET","Total_Customer_Supplier",G$22,$C$19,ori,"TOTAL PRODUCT","B-430010",$C$20,"Amount_BS")/1000)+(_xll.DBR("CXMD:FTM_DATA_BALANCE_SHEET","Total_Customer_Supplier",G$22,$C$19,ori,"TOTAL PRODUCT","B-430040",$C$20,"Amount_BS")/1000)+(_xll.DBR("CXMD:FTM_DATA_BALANCE_SHEET","Total_Customer_Supplier",G$22,$C$19,ori,"TOTAL PRODUCT","B-431040",$C$20,"Amount_BS")/1000)+(_xll.DBR("CXMD:FTM_DATA_BALANCE_SHEET","Total_Customer_Supplier",G$22,$C$19,ori,"TOTAL PRODUCT","B-437010",$C$20,"Amount_BS")/1000)+(_xll.DBR("CXMD:FTM_DATA_BALANCE_SHEET","Total_Customer_Supplier",G$22,$C$19,ori,"TOTAL PRODUCT","B-438010",$C$20,"Amount_BS")/1000)</f>
        <v>38295.866650000004</v>
      </c>
      <c r="H46" s="78">
        <f ca="1">(_xll.DBR("CXMD:FTM_DATA_BALANCE_SHEET","Total_Customer_Supplier",H$22,$C$19,ori,"TOTAL PRODUCT","B-430010",$C$20,"Amount_BS")/1000)+(_xll.DBR("CXMD:FTM_DATA_BALANCE_SHEET","Total_Customer_Supplier",H$22,$C$19,ori,"TOTAL PRODUCT","B-430040",$C$20,"Amount_BS")/1000)+(_xll.DBR("CXMD:FTM_DATA_BALANCE_SHEET","Total_Customer_Supplier",H$22,$C$19,ori,"TOTAL PRODUCT","B-431040",$C$20,"Amount_BS")/1000)+(_xll.DBR("CXMD:FTM_DATA_BALANCE_SHEET","Total_Customer_Supplier",H$22,$C$19,ori,"TOTAL PRODUCT","B-437010",$C$20,"Amount_BS")/1000)+(_xll.DBR("CXMD:FTM_DATA_BALANCE_SHEET","Total_Customer_Supplier",H$22,$C$19,ori,"TOTAL PRODUCT","B-438010",$C$20,"Amount_BS")/1000)</f>
        <v>40150.204650000007</v>
      </c>
      <c r="I46" s="78">
        <f ca="1">(_xll.DBR("CXMD:FTM_DATA_BALANCE_SHEET","Total_Customer_Supplier",I$22,$C$19,ori,"TOTAL PRODUCT","B-430010",$C$20,"Amount_BS")/1000)+(_xll.DBR("CXMD:FTM_DATA_BALANCE_SHEET","Total_Customer_Supplier",I$22,$C$19,ori,"TOTAL PRODUCT","B-430040",$C$20,"Amount_BS")/1000)+(_xll.DBR("CXMD:FTM_DATA_BALANCE_SHEET","Total_Customer_Supplier",I$22,$C$19,ori,"TOTAL PRODUCT","B-431040",$C$20,"Amount_BS")/1000)+(_xll.DBR("CXMD:FTM_DATA_BALANCE_SHEET","Total_Customer_Supplier",I$22,$C$19,ori,"TOTAL PRODUCT","B-437010",$C$20,"Amount_BS")/1000)+(_xll.DBR("CXMD:FTM_DATA_BALANCE_SHEET","Total_Customer_Supplier",I$22,$C$19,ori,"TOTAL PRODUCT","B-438010",$C$20,"Amount_BS")/1000)</f>
        <v>43584.552510000001</v>
      </c>
      <c r="J46" s="78">
        <f ca="1">(_xll.DBR("CXMD:FTM_DATA_BALANCE_SHEET","Total_Customer_Supplier",J$22,$C$19,ori,"TOTAL PRODUCT","B-430010",$C$20,"Amount_BS")/1000)+(_xll.DBR("CXMD:FTM_DATA_BALANCE_SHEET","Total_Customer_Supplier",J$22,$C$19,ori,"TOTAL PRODUCT","B-430040",$C$20,"Amount_BS")/1000)+(_xll.DBR("CXMD:FTM_DATA_BALANCE_SHEET","Total_Customer_Supplier",J$22,$C$19,ori,"TOTAL PRODUCT","B-431040",$C$20,"Amount_BS")/1000)+(_xll.DBR("CXMD:FTM_DATA_BALANCE_SHEET","Total_Customer_Supplier",J$22,$C$19,ori,"TOTAL PRODUCT","B-437010",$C$20,"Amount_BS")/1000)+(_xll.DBR("CXMD:FTM_DATA_BALANCE_SHEET","Total_Customer_Supplier",J$22,$C$19,ori,"TOTAL PRODUCT","B-438010",$C$20,"Amount_BS")/1000)</f>
        <v>37568.565229999993</v>
      </c>
      <c r="K46" s="78">
        <f ca="1">(_xll.DBR("CXMD:FTM_DATA_BALANCE_SHEET","Total_Customer_Supplier",K$22,$C$19,ori,"TOTAL PRODUCT","B-430010",$C$20,"Amount_BS")/1000)+(_xll.DBR("CXMD:FTM_DATA_BALANCE_SHEET","Total_Customer_Supplier",K$22,$C$19,ori,"TOTAL PRODUCT","B-430040",$C$20,"Amount_BS")/1000)+(_xll.DBR("CXMD:FTM_DATA_BALANCE_SHEET","Total_Customer_Supplier",K$22,$C$19,ori,"TOTAL PRODUCT","B-431040",$C$20,"Amount_BS")/1000)+(_xll.DBR("CXMD:FTM_DATA_BALANCE_SHEET","Total_Customer_Supplier",K$22,$C$19,ori,"TOTAL PRODUCT","B-437010",$C$20,"Amount_BS")/1000)+(_xll.DBR("CXMD:FTM_DATA_BALANCE_SHEET","Total_Customer_Supplier",K$22,$C$19,ori,"TOTAL PRODUCT","B-438010",$C$20,"Amount_BS")/1000)</f>
        <v>31559.168800000007</v>
      </c>
      <c r="L46" s="78">
        <f ca="1">(_xll.DBR("CXMD:FTM_DATA_BALANCE_SHEET","Total_Customer_Supplier",L$22,$C$19,ori,"TOTAL PRODUCT","B-430010",$C$20,"Amount_BS")/1000)+(_xll.DBR("CXMD:FTM_DATA_BALANCE_SHEET","Total_Customer_Supplier",L$22,$C$19,ori,"TOTAL PRODUCT","B-430040",$C$20,"Amount_BS")/1000)+(_xll.DBR("CXMD:FTM_DATA_BALANCE_SHEET","Total_Customer_Supplier",L$22,$C$19,ori,"TOTAL PRODUCT","B-431040",$C$20,"Amount_BS")/1000)+(_xll.DBR("CXMD:FTM_DATA_BALANCE_SHEET","Total_Customer_Supplier",L$22,$C$19,ori,"TOTAL PRODUCT","B-437010",$C$20,"Amount_BS")/1000)+(_xll.DBR("CXMD:FTM_DATA_BALANCE_SHEET","Total_Customer_Supplier",L$22,$C$19,ori,"TOTAL PRODUCT","B-438010",$C$20,"Amount_BS")/1000)</f>
        <v>37070.197469999999</v>
      </c>
      <c r="M46" s="78">
        <f ca="1">(_xll.DBR("CXMD:FTM_DATA_BALANCE_SHEET","Total_Customer_Supplier",M$22,$C$19,ori,"TOTAL PRODUCT","B-430010",$C$20,"Amount_BS")/1000)+(_xll.DBR("CXMD:FTM_DATA_BALANCE_SHEET","Total_Customer_Supplier",M$22,$C$19,ori,"TOTAL PRODUCT","B-430040",$C$20,"Amount_BS")/1000)+(_xll.DBR("CXMD:FTM_DATA_BALANCE_SHEET","Total_Customer_Supplier",M$22,$C$19,ori,"TOTAL PRODUCT","B-431040",$C$20,"Amount_BS")/1000)+(_xll.DBR("CXMD:FTM_DATA_BALANCE_SHEET","Total_Customer_Supplier",M$22,$C$19,ori,"TOTAL PRODUCT","B-437010",$C$20,"Amount_BS")/1000)+(_xll.DBR("CXMD:FTM_DATA_BALANCE_SHEET","Total_Customer_Supplier",M$22,$C$19,ori,"TOTAL PRODUCT","B-438010",$C$20,"Amount_BS")/1000)</f>
        <v>39592.371960000011</v>
      </c>
      <c r="N46" s="78">
        <f ca="1">(_xll.DBR("CXMD:FTM_DATA_BALANCE_SHEET","Total_Customer_Supplier",N$22,$C$19,ori,"TOTAL PRODUCT","B-430010",$C$20,"Amount_BS")/1000)+(_xll.DBR("CXMD:FTM_DATA_BALANCE_SHEET","Total_Customer_Supplier",N$22,$C$19,ori,"TOTAL PRODUCT","B-430040",$C$20,"Amount_BS")/1000)+(_xll.DBR("CXMD:FTM_DATA_BALANCE_SHEET","Total_Customer_Supplier",N$22,$C$19,ori,"TOTAL PRODUCT","B-431040",$C$20,"Amount_BS")/1000)+(_xll.DBR("CXMD:FTM_DATA_BALANCE_SHEET","Total_Customer_Supplier",N$22,$C$19,ori,"TOTAL PRODUCT","B-437010",$C$20,"Amount_BS")/1000)+(_xll.DBR("CXMD:FTM_DATA_BALANCE_SHEET","Total_Customer_Supplier",N$22,$C$19,ori,"TOTAL PRODUCT","B-438010",$C$20,"Amount_BS")/1000)</f>
        <v>39658.476009999991</v>
      </c>
      <c r="O46" s="78">
        <f ca="1">(_xll.DBR("CXMD:FTM_DATA_BALANCE_SHEET","Total_Customer_Supplier",O$22,$C$19,ori,"TOTAL PRODUCT","B-430010",$C$20,"Amount_BS")/1000)+(_xll.DBR("CXMD:FTM_DATA_BALANCE_SHEET","Total_Customer_Supplier",O$22,$C$19,ori,"TOTAL PRODUCT","B-430040",$C$20,"Amount_BS")/1000)+(_xll.DBR("CXMD:FTM_DATA_BALANCE_SHEET","Total_Customer_Supplier",O$22,$C$19,ori,"TOTAL PRODUCT","B-431040",$C$20,"Amount_BS")/1000)+(_xll.DBR("CXMD:FTM_DATA_BALANCE_SHEET","Total_Customer_Supplier",O$22,$C$19,ori,"TOTAL PRODUCT","B-437010",$C$20,"Amount_BS")/1000)+(_xll.DBR("CXMD:FTM_DATA_BALANCE_SHEET","Total_Customer_Supplier",O$22,$C$19,ori,"TOTAL PRODUCT","B-438010",$C$20,"Amount_BS")/1000)</f>
        <v>33483.778440000009</v>
      </c>
      <c r="P46" s="109">
        <f ca="1">SUM(D46:O46)</f>
        <v>460087.46799999999</v>
      </c>
    </row>
    <row r="47" spans="2:16" ht="15.75" thickBot="1" x14ac:dyDescent="0.3">
      <c r="B47" s="43"/>
      <c r="C47" s="44" t="s">
        <v>52</v>
      </c>
      <c r="D47" s="45">
        <f ca="1">IF(D27&lt;&gt;0,D46/D27,0)</f>
        <v>0.11366694263981707</v>
      </c>
      <c r="E47" s="45">
        <f t="shared" ref="E47:O47" ca="1" si="14">IF(E27&lt;&gt;0,E46/E27,0)</f>
        <v>0.12097344953318266</v>
      </c>
      <c r="F47" s="45">
        <f t="shared" ca="1" si="14"/>
        <v>0.11160549767554505</v>
      </c>
      <c r="G47" s="45">
        <f t="shared" ca="1" si="14"/>
        <v>0.12053628703833817</v>
      </c>
      <c r="H47" s="45">
        <f t="shared" ca="1" si="14"/>
        <v>0.10485441716814642</v>
      </c>
      <c r="I47" s="45">
        <f t="shared" ca="1" si="14"/>
        <v>0.11737895533681057</v>
      </c>
      <c r="J47" s="45">
        <f t="shared" ca="1" si="14"/>
        <v>0.10401118729890796</v>
      </c>
      <c r="K47" s="45">
        <f t="shared" ca="1" si="14"/>
        <v>8.7023987103226091E-2</v>
      </c>
      <c r="L47" s="45">
        <f t="shared" ca="1" si="14"/>
        <v>0.10830329293783995</v>
      </c>
      <c r="M47" s="45">
        <f t="shared" ca="1" si="14"/>
        <v>0.12104647399248872</v>
      </c>
      <c r="N47" s="45">
        <f t="shared" ca="1" si="14"/>
        <v>0.12065641851701858</v>
      </c>
      <c r="O47" s="45">
        <f t="shared" ca="1" si="14"/>
        <v>0.13083433624392365</v>
      </c>
      <c r="P47" s="110">
        <f t="shared" ref="P47" ca="1" si="15">IF(P26&lt;&gt;0,P46/P26,0)</f>
        <v>43.918887446260186</v>
      </c>
    </row>
    <row r="48" spans="2:16" x14ac:dyDescent="0.25">
      <c r="B48" s="4" t="s">
        <v>6</v>
      </c>
      <c r="C48" s="28" t="s">
        <v>16</v>
      </c>
      <c r="D48" s="61">
        <f ca="1">(_xll.DBR("CXMD:FTM_DATA_BALANCE_SHEET","Total_Customer_Supplier",D$22,$C$19,ori,"TOTAL PRODUCT","R-940000",$C$20,"Amount_BS")/1000)</f>
        <v>37622.696710000011</v>
      </c>
      <c r="E48" s="61">
        <f ca="1">(_xll.DBR("CXMD:FTM_DATA_BALANCE_SHEET","Total_Customer_Supplier",E$22,$C$19,ori,"TOTAL PRODUCT","R-940000",$C$20,"Amount_BS")/1000)</f>
        <v>40357.723879999998</v>
      </c>
      <c r="F48" s="61">
        <f ca="1">(_xll.DBR("CXMD:FTM_DATA_BALANCE_SHEET","Total_Customer_Supplier",F$22,$C$19,ori,"TOTAL PRODUCT","R-940000",$C$20,"Amount_BS")/1000)</f>
        <v>41681.824560000001</v>
      </c>
      <c r="G48" s="61">
        <f ca="1">(_xll.DBR("CXMD:FTM_DATA_BALANCE_SHEET","Total_Customer_Supplier",G$22,$C$19,ori,"TOTAL PRODUCT","R-940000",$C$20,"Amount_BS")/1000)</f>
        <v>38470.116319999994</v>
      </c>
      <c r="H48" s="61">
        <f ca="1">(_xll.DBR("CXMD:FTM_DATA_BALANCE_SHEET","Total_Customer_Supplier",H$22,$C$19,ori,"TOTAL PRODUCT","R-940000",$C$20,"Amount_BS")/1000)</f>
        <v>40316.551750000006</v>
      </c>
      <c r="I48" s="61">
        <f ca="1">(_xll.DBR("CXMD:FTM_DATA_BALANCE_SHEET","Total_Customer_Supplier",I$22,$C$19,ori,"TOTAL PRODUCT","R-940000",$C$20,"Amount_BS")/1000)</f>
        <v>43787.770169999996</v>
      </c>
      <c r="J48" s="61">
        <f ca="1">(_xll.DBR("CXMD:FTM_DATA_BALANCE_SHEET","Total_Customer_Supplier",J$22,$C$19,ori,"TOTAL PRODUCT","R-940000",$C$20,"Amount_BS")/1000)</f>
        <v>37764.495360000015</v>
      </c>
      <c r="K48" s="61">
        <f ca="1">(_xll.DBR("CXMD:FTM_DATA_BALANCE_SHEET","Total_Customer_Supplier",K$22,$C$19,ori,"TOTAL PRODUCT","R-940000",$C$20,"Amount_BS")/1000)</f>
        <v>31722.95278</v>
      </c>
      <c r="L48" s="61">
        <f ca="1">(_xll.DBR("CXMD:FTM_DATA_BALANCE_SHEET","Total_Customer_Supplier",L$22,$C$19,ori,"TOTAL PRODUCT","R-940000",$C$20,"Amount_BS")/1000)</f>
        <v>37228.704669999999</v>
      </c>
      <c r="M48" s="61">
        <f ca="1">(_xll.DBR("CXMD:FTM_DATA_BALANCE_SHEET","Total_Customer_Supplier",M$22,$C$19,ori,"TOTAL PRODUCT","R-940000",$C$20,"Amount_BS")/1000)</f>
        <v>39599.643519999998</v>
      </c>
      <c r="N48" s="61">
        <f ca="1">(_xll.DBR("CXMD:FTM_DATA_BALANCE_SHEET","Total_Customer_Supplier",N$22,$C$19,ori,"TOTAL PRODUCT","R-940000",$C$20,"Amount_BS")/1000)</f>
        <v>39883.356999999989</v>
      </c>
      <c r="O48" s="61">
        <f ca="1">(_xll.DBR("CXMD:FTM_DATA_BALANCE_SHEET","Total_Customer_Supplier",O$22,$C$19,ori,"TOTAL PRODUCT","R-940000",$C$20,"Amount_BS")/1000)</f>
        <v>33655.087970000022</v>
      </c>
      <c r="P48" s="102">
        <f t="shared" ref="P48:P54" ca="1" si="16">SUM(D48:O48)</f>
        <v>462090.92469000001</v>
      </c>
    </row>
    <row r="49" spans="2:16" x14ac:dyDescent="0.25">
      <c r="B49" s="4" t="s">
        <v>6</v>
      </c>
      <c r="C49" s="29" t="s">
        <v>17</v>
      </c>
      <c r="D49" s="63">
        <f ca="1">(_xll.DBR("CXMD:FTM_DATA_BALANCE_SHEET","Total_Customer_Supplier",D$22,$C$19,ori,"TOTAL PRODUCT","B-430040",$C$20,"Amount_BS")/1000)</f>
        <v>6922.5498099999986</v>
      </c>
      <c r="E49" s="63">
        <f ca="1">(_xll.DBR("CXMD:FTM_DATA_BALANCE_SHEET","Total_Customer_Supplier",E$22,$C$19,ori,"TOTAL PRODUCT","B-430040",$C$20,"Amount_BS")/1000)</f>
        <v>6697.3731099999995</v>
      </c>
      <c r="F49" s="63">
        <f ca="1">(_xll.DBR("CXMD:FTM_DATA_BALANCE_SHEET","Total_Customer_Supplier",F$22,$C$19,ori,"TOTAL PRODUCT","B-430040",$C$20,"Amount_BS")/1000)</f>
        <v>7214.9111399999965</v>
      </c>
      <c r="G49" s="63">
        <f ca="1">(_xll.DBR("CXMD:FTM_DATA_BALANCE_SHEET","Total_Customer_Supplier",G$22,$C$19,ori,"TOTAL PRODUCT","B-430040",$C$20,"Amount_BS")/1000)</f>
        <v>7069.11852</v>
      </c>
      <c r="H49" s="63">
        <f ca="1">(_xll.DBR("CXMD:FTM_DATA_BALANCE_SHEET","Total_Customer_Supplier",H$22,$C$19,ori,"TOTAL PRODUCT","B-430040",$C$20,"Amount_BS")/1000)</f>
        <v>7161.0211399999971</v>
      </c>
      <c r="I49" s="63">
        <f ca="1">(_xll.DBR("CXMD:FTM_DATA_BALANCE_SHEET","Total_Customer_Supplier",I$22,$C$19,ori,"TOTAL PRODUCT","B-430040",$C$20,"Amount_BS")/1000)</f>
        <v>7782.3911200000002</v>
      </c>
      <c r="J49" s="63">
        <f ca="1">(_xll.DBR("CXMD:FTM_DATA_BALANCE_SHEET","Total_Customer_Supplier",J$22,$C$19,ori,"TOTAL PRODUCT","B-430040",$C$20,"Amount_BS")/1000)</f>
        <v>6256.485529999999</v>
      </c>
      <c r="K49" s="63">
        <f ca="1">(_xll.DBR("CXMD:FTM_DATA_BALANCE_SHEET","Total_Customer_Supplier",K$22,$C$19,ori,"TOTAL PRODUCT","B-430040",$C$20,"Amount_BS")/1000)</f>
        <v>4938.0739300000014</v>
      </c>
      <c r="L49" s="63">
        <f ca="1">(_xll.DBR("CXMD:FTM_DATA_BALANCE_SHEET","Total_Customer_Supplier",L$22,$C$19,ori,"TOTAL PRODUCT","B-430040",$C$20,"Amount_BS")/1000)</f>
        <v>6127.3251299999965</v>
      </c>
      <c r="M49" s="63">
        <f ca="1">(_xll.DBR("CXMD:FTM_DATA_BALANCE_SHEET","Total_Customer_Supplier",M$22,$C$19,ori,"TOTAL PRODUCT","B-430040",$C$20,"Amount_BS")/1000)</f>
        <v>6965.2900699999991</v>
      </c>
      <c r="N49" s="63">
        <f ca="1">(_xll.DBR("CXMD:FTM_DATA_BALANCE_SHEET","Total_Customer_Supplier",N$22,$C$19,ori,"TOTAL PRODUCT","B-430040",$C$20,"Amount_BS")/1000)</f>
        <v>6750.4411699999982</v>
      </c>
      <c r="O49" s="63">
        <f ca="1">(_xll.DBR("CXMD:FTM_DATA_BALANCE_SHEET","Total_Customer_Supplier",O$22,$C$19,ori,"TOTAL PRODUCT","B-430040",$C$20,"Amount_BS")/1000)</f>
        <v>5773.6269000000011</v>
      </c>
      <c r="P49" s="104">
        <f t="shared" ca="1" si="16"/>
        <v>79658.607569999993</v>
      </c>
    </row>
    <row r="50" spans="2:16" x14ac:dyDescent="0.25">
      <c r="B50" s="4" t="s">
        <v>6</v>
      </c>
      <c r="C50" s="29" t="s">
        <v>18</v>
      </c>
      <c r="D50" s="63">
        <f ca="1">(_xll.DBR("CXMD:FTM_DATA_BALANCE_SHEET","Total_Customer_Supplier",D$22,$C$19,ori,"TOTAL PRODUCT","B-438010",$C$20,"Amount_BS")/1000)</f>
        <v>4741.4324399999996</v>
      </c>
      <c r="E50" s="63">
        <f ca="1">(_xll.DBR("CXMD:FTM_DATA_BALANCE_SHEET","Total_Customer_Supplier",E$22,$C$19,ori,"TOTAL PRODUCT","B-438010",$C$20,"Amount_BS")/1000)</f>
        <v>5094.1606500000007</v>
      </c>
      <c r="F50" s="63">
        <f ca="1">(_xll.DBR("CXMD:FTM_DATA_BALANCE_SHEET","Total_Customer_Supplier",F$22,$C$19,ori,"TOTAL PRODUCT","B-438010",$C$20,"Amount_BS")/1000)</f>
        <v>5965.8276700000006</v>
      </c>
      <c r="G50" s="63">
        <f ca="1">(_xll.DBR("CXMD:FTM_DATA_BALANCE_SHEET","Total_Customer_Supplier",G$22,$C$19,ori,"TOTAL PRODUCT","B-438010",$C$20,"Amount_BS")/1000)</f>
        <v>4807.5349699999988</v>
      </c>
      <c r="H50" s="63">
        <f ca="1">(_xll.DBR("CXMD:FTM_DATA_BALANCE_SHEET","Total_Customer_Supplier",H$22,$C$19,ori,"TOTAL PRODUCT","B-438010",$C$20,"Amount_BS")/1000)</f>
        <v>5709.1304099999988</v>
      </c>
      <c r="I50" s="63">
        <f ca="1">(_xll.DBR("CXMD:FTM_DATA_BALANCE_SHEET","Total_Customer_Supplier",I$22,$C$19,ori,"TOTAL PRODUCT","B-438010",$C$20,"Amount_BS")/1000)</f>
        <v>5165.792620000002</v>
      </c>
      <c r="J50" s="63">
        <f ca="1">(_xll.DBR("CXMD:FTM_DATA_BALANCE_SHEET","Total_Customer_Supplier",J$22,$C$19,ori,"TOTAL PRODUCT","B-438010",$C$20,"Amount_BS")/1000)</f>
        <v>5021.6867199999997</v>
      </c>
      <c r="K50" s="63">
        <f ca="1">(_xll.DBR("CXMD:FTM_DATA_BALANCE_SHEET","Total_Customer_Supplier",K$22,$C$19,ori,"TOTAL PRODUCT","B-438010",$C$20,"Amount_BS")/1000)</f>
        <v>2975.0770299999999</v>
      </c>
      <c r="L50" s="63">
        <f ca="1">(_xll.DBR("CXMD:FTM_DATA_BALANCE_SHEET","Total_Customer_Supplier",L$22,$C$19,ori,"TOTAL PRODUCT","B-438010",$C$20,"Amount_BS")/1000)</f>
        <v>4257.1975599999996</v>
      </c>
      <c r="M50" s="63">
        <f ca="1">(_xll.DBR("CXMD:FTM_DATA_BALANCE_SHEET","Total_Customer_Supplier",M$22,$C$19,ori,"TOTAL PRODUCT","B-438010",$C$20,"Amount_BS")/1000)</f>
        <v>4713.8456300000016</v>
      </c>
      <c r="N50" s="63">
        <f ca="1">(_xll.DBR("CXMD:FTM_DATA_BALANCE_SHEET","Total_Customer_Supplier",N$22,$C$19,ori,"TOTAL PRODUCT","B-438010",$C$20,"Amount_BS")/1000)</f>
        <v>5406.6796899999972</v>
      </c>
      <c r="O50" s="63">
        <f ca="1">(_xll.DBR("CXMD:FTM_DATA_BALANCE_SHEET","Total_Customer_Supplier",O$22,$C$19,ori,"TOTAL PRODUCT","B-438010",$C$20,"Amount_BS")/1000)</f>
        <v>5122.6264199999978</v>
      </c>
      <c r="P50" s="104">
        <f t="shared" ca="1" si="16"/>
        <v>58980.99181</v>
      </c>
    </row>
    <row r="51" spans="2:16" x14ac:dyDescent="0.25">
      <c r="B51" s="4" t="s">
        <v>6</v>
      </c>
      <c r="C51" s="29" t="s">
        <v>19</v>
      </c>
      <c r="D51" s="63">
        <f ca="1">(_xll.DBR("CXMD:FTM_DATA_BALANCE_SHEET","Total_Customer_Supplier",D$22,$C$19,ori,"TOTAL PRODUCT","B-430010",$C$20,"Amount_BS")/1000)</f>
        <v>24166.695890000003</v>
      </c>
      <c r="E51" s="63">
        <f ca="1">(_xll.DBR("CXMD:FTM_DATA_BALANCE_SHEET","Total_Customer_Supplier",E$22,$C$19,ori,"TOTAL PRODUCT","B-430010",$C$20,"Amount_BS")/1000)</f>
        <v>26771.202299999997</v>
      </c>
      <c r="F51" s="63">
        <f ca="1">(_xll.DBR("CXMD:FTM_DATA_BALANCE_SHEET","Total_Customer_Supplier",F$22,$C$19,ori,"TOTAL PRODUCT","B-430010",$C$20,"Amount_BS")/1000)</f>
        <v>25952.813479999993</v>
      </c>
      <c r="G51" s="63">
        <f ca="1">(_xll.DBR("CXMD:FTM_DATA_BALANCE_SHEET","Total_Customer_Supplier",G$22,$C$19,ori,"TOTAL PRODUCT","B-430010",$C$20,"Amount_BS")/1000)</f>
        <v>24489.648150000001</v>
      </c>
      <c r="H51" s="63">
        <f ca="1">(_xll.DBR("CXMD:FTM_DATA_BALANCE_SHEET","Total_Customer_Supplier",H$22,$C$19,ori,"TOTAL PRODUCT","B-430010",$C$20,"Amount_BS")/1000)</f>
        <v>24993.283480000009</v>
      </c>
      <c r="I51" s="63">
        <f ca="1">(_xll.DBR("CXMD:FTM_DATA_BALANCE_SHEET","Total_Customer_Supplier",I$22,$C$19,ori,"TOTAL PRODUCT","B-430010",$C$20,"Amount_BS")/1000)</f>
        <v>28415.992339999993</v>
      </c>
      <c r="J51" s="63">
        <f ca="1">(_xll.DBR("CXMD:FTM_DATA_BALANCE_SHEET","Total_Customer_Supplier",J$22,$C$19,ori,"TOTAL PRODUCT","B-430010",$C$20,"Amount_BS")/1000)</f>
        <v>24403.596189999997</v>
      </c>
      <c r="K51" s="63">
        <f ca="1">(_xll.DBR("CXMD:FTM_DATA_BALANCE_SHEET","Total_Customer_Supplier",K$22,$C$19,ori,"TOTAL PRODUCT","B-430010",$C$20,"Amount_BS")/1000)</f>
        <v>21624.644840000004</v>
      </c>
      <c r="L51" s="63">
        <f ca="1">(_xll.DBR("CXMD:FTM_DATA_BALANCE_SHEET","Total_Customer_Supplier",L$22,$C$19,ori,"TOTAL PRODUCT","B-430010",$C$20,"Amount_BS")/1000)</f>
        <v>24736.461510000001</v>
      </c>
      <c r="M51" s="63">
        <f ca="1">(_xll.DBR("CXMD:FTM_DATA_BALANCE_SHEET","Total_Customer_Supplier",M$22,$C$19,ori,"TOTAL PRODUCT","B-430010",$C$20,"Amount_BS")/1000)</f>
        <v>25625.394450000007</v>
      </c>
      <c r="N51" s="63">
        <f ca="1">(_xll.DBR("CXMD:FTM_DATA_BALANCE_SHEET","Total_Customer_Supplier",N$22,$C$19,ori,"TOTAL PRODUCT","B-430010",$C$20,"Amount_BS")/1000)</f>
        <v>25172.305499999995</v>
      </c>
      <c r="O51" s="63">
        <f ca="1">(_xll.DBR("CXMD:FTM_DATA_BALANCE_SHEET","Total_Customer_Supplier",O$22,$C$19,ori,"TOTAL PRODUCT","B-430010",$C$20,"Amount_BS")/1000)</f>
        <v>22571.938030000005</v>
      </c>
      <c r="P51" s="104">
        <f t="shared" ca="1" si="16"/>
        <v>298923.97616000002</v>
      </c>
    </row>
    <row r="52" spans="2:16" x14ac:dyDescent="0.25">
      <c r="B52" s="4" t="s">
        <v>6</v>
      </c>
      <c r="C52" s="29" t="s">
        <v>20</v>
      </c>
      <c r="D52" s="63">
        <f ca="1">(_xll.DBR("CXMD:FTM_DATA_BALANCE_SHEET","Total_Customer_Supplier",D$22,$C$19,ori,"TOTAL PRODUCT","B-431040",$C$20,"Amount_BS")/1000)</f>
        <v>100.78999</v>
      </c>
      <c r="E52" s="63">
        <f ca="1">(_xll.DBR("CXMD:FTM_DATA_BALANCE_SHEET","Total_Customer_Supplier",E$22,$C$19,ori,"TOTAL PRODUCT","B-431040",$C$20,"Amount_BS")/1000)</f>
        <v>100.71355</v>
      </c>
      <c r="F52" s="63">
        <f ca="1">(_xll.DBR("CXMD:FTM_DATA_BALANCE_SHEET","Total_Customer_Supplier",F$22,$C$19,ori,"TOTAL PRODUCT","B-431040",$C$20,"Amount_BS")/1000)</f>
        <v>100</v>
      </c>
      <c r="G52" s="63">
        <f ca="1">(_xll.DBR("CXMD:FTM_DATA_BALANCE_SHEET","Total_Customer_Supplier",G$22,$C$19,ori,"TOTAL PRODUCT","B-431040",$C$20,"Amount_BS")/1000)</f>
        <v>100.61355</v>
      </c>
      <c r="H52" s="63">
        <f ca="1">(_xll.DBR("CXMD:FTM_DATA_BALANCE_SHEET","Total_Customer_Supplier",H$22,$C$19,ori,"TOTAL PRODUCT","B-431040",$C$20,"Amount_BS")/1000)</f>
        <v>101.22710000000001</v>
      </c>
      <c r="I52" s="63">
        <f ca="1">(_xll.DBR("CXMD:FTM_DATA_BALANCE_SHEET","Total_Customer_Supplier",I$22,$C$19,ori,"TOTAL PRODUCT","B-431040",$C$20,"Amount_BS")/1000)</f>
        <v>101.51355000000001</v>
      </c>
      <c r="J52" s="63">
        <f ca="1">(_xll.DBR("CXMD:FTM_DATA_BALANCE_SHEET","Total_Customer_Supplier",J$22,$C$19,ori,"TOTAL PRODUCT","B-431040",$C$20,"Amount_BS")/1000)</f>
        <v>119.89485000000001</v>
      </c>
      <c r="K52" s="63">
        <f ca="1">(_xll.DBR("CXMD:FTM_DATA_BALANCE_SHEET","Total_Customer_Supplier",K$22,$C$19,ori,"TOTAL PRODUCT","B-431040",$C$20,"Amount_BS")/1000)</f>
        <v>103.26775000000001</v>
      </c>
      <c r="L52" s="63">
        <f ca="1">(_xll.DBR("CXMD:FTM_DATA_BALANCE_SHEET","Total_Customer_Supplier",L$22,$C$19,ori,"TOTAL PRODUCT","B-431040",$C$20,"Amount_BS")/1000)</f>
        <v>218.53663</v>
      </c>
      <c r="M52" s="63">
        <f ca="1">(_xll.DBR("CXMD:FTM_DATA_BALANCE_SHEET","Total_Customer_Supplier",M$22,$C$19,ori,"TOTAL PRODUCT","B-431040",$C$20,"Amount_BS")/1000)</f>
        <v>114.925</v>
      </c>
      <c r="N52" s="63">
        <f ca="1">(_xll.DBR("CXMD:FTM_DATA_BALANCE_SHEET","Total_Customer_Supplier",N$22,$C$19,ori,"TOTAL PRODUCT","B-431040",$C$20,"Amount_BS")/1000)</f>
        <v>98.574130000000011</v>
      </c>
      <c r="O52" s="63">
        <f ca="1">(_xll.DBR("CXMD:FTM_DATA_BALANCE_SHEET","Total_Customer_Supplier",O$22,$C$19,ori,"TOTAL PRODUCT","B-431040",$C$20,"Amount_BS")/1000)</f>
        <v>-1894.8714199999999</v>
      </c>
      <c r="P52" s="104">
        <f t="shared" ca="1" si="16"/>
        <v>-634.81532000000016</v>
      </c>
    </row>
    <row r="53" spans="2:16" ht="15.75" thickBot="1" x14ac:dyDescent="0.3">
      <c r="B53" s="4" t="s">
        <v>6</v>
      </c>
      <c r="C53" s="29" t="s">
        <v>21</v>
      </c>
      <c r="D53" s="63">
        <f ca="1">(_xll.DBR("CXMD:FTM_DATA_BALANCE_SHEET","Total_Customer_Supplier",D$22,$C$19,ori,"TOTAL PRODUCT","B-437010",$C$20,"Amount_BS")/1000)</f>
        <v>1469.0158100000003</v>
      </c>
      <c r="E53" s="63">
        <f ca="1">(_xll.DBR("CXMD:FTM_DATA_BALANCE_SHEET","Total_Customer_Supplier",E$22,$C$19,ori,"TOTAL PRODUCT","B-437010",$C$20,"Amount_BS")/1000)</f>
        <v>1578.4838500000001</v>
      </c>
      <c r="F53" s="63">
        <f ca="1">(_xll.DBR("CXMD:FTM_DATA_BALANCE_SHEET","Total_Customer_Supplier",F$22,$C$19,ori,"TOTAL PRODUCT","B-437010",$C$20,"Amount_BS")/1000)</f>
        <v>2248.3165899999995</v>
      </c>
      <c r="G53" s="63">
        <f ca="1">(_xll.DBR("CXMD:FTM_DATA_BALANCE_SHEET","Total_Customer_Supplier",G$22,$C$19,ori,"TOTAL PRODUCT","B-437010",$C$20,"Amount_BS")/1000)</f>
        <v>1828.9514600000002</v>
      </c>
      <c r="H53" s="63">
        <f ca="1">(_xll.DBR("CXMD:FTM_DATA_BALANCE_SHEET","Total_Customer_Supplier",H$22,$C$19,ori,"TOTAL PRODUCT","B-437010",$C$20,"Amount_BS")/1000)</f>
        <v>2185.5425200000004</v>
      </c>
      <c r="I53" s="63">
        <f ca="1">(_xll.DBR("CXMD:FTM_DATA_BALANCE_SHEET","Total_Customer_Supplier",I$22,$C$19,ori,"TOTAL PRODUCT","B-437010",$C$20,"Amount_BS")/1000)</f>
        <v>2118.8628800000001</v>
      </c>
      <c r="J53" s="63">
        <f ca="1">(_xll.DBR("CXMD:FTM_DATA_BALANCE_SHEET","Total_Customer_Supplier",J$22,$C$19,ori,"TOTAL PRODUCT","B-437010",$C$20,"Amount_BS")/1000)</f>
        <v>1766.9019399999997</v>
      </c>
      <c r="K53" s="63">
        <f ca="1">(_xll.DBR("CXMD:FTM_DATA_BALANCE_SHEET","Total_Customer_Supplier",K$22,$C$19,ori,"TOTAL PRODUCT","B-437010",$C$20,"Amount_BS")/1000)</f>
        <v>1918.1052499999998</v>
      </c>
      <c r="L53" s="63">
        <f ca="1">(_xll.DBR("CXMD:FTM_DATA_BALANCE_SHEET","Total_Customer_Supplier",L$22,$C$19,ori,"TOTAL PRODUCT","B-437010",$C$20,"Amount_BS")/1000)</f>
        <v>1730.6766399999997</v>
      </c>
      <c r="M53" s="63">
        <f ca="1">(_xll.DBR("CXMD:FTM_DATA_BALANCE_SHEET","Total_Customer_Supplier",M$22,$C$19,ori,"TOTAL PRODUCT","B-437010",$C$20,"Amount_BS")/1000)</f>
        <v>2172.9168100000002</v>
      </c>
      <c r="N53" s="63">
        <f ca="1">(_xll.DBR("CXMD:FTM_DATA_BALANCE_SHEET","Total_Customer_Supplier",N$22,$C$19,ori,"TOTAL PRODUCT","B-437010",$C$20,"Amount_BS")/1000)</f>
        <v>2230.47552</v>
      </c>
      <c r="O53" s="63">
        <f ca="1">(_xll.DBR("CXMD:FTM_DATA_BALANCE_SHEET","Total_Customer_Supplier",O$22,$C$19,ori,"TOTAL PRODUCT","B-437010",$C$20,"Amount_BS")/1000)</f>
        <v>1910.4585099999999</v>
      </c>
      <c r="P53" s="104">
        <f t="shared" ca="1" si="16"/>
        <v>23158.707780000001</v>
      </c>
    </row>
    <row r="54" spans="2:16" ht="15.75" x14ac:dyDescent="0.25">
      <c r="B54" s="46" t="s">
        <v>7</v>
      </c>
      <c r="C54" s="93" t="s">
        <v>11</v>
      </c>
      <c r="D54" s="79">
        <f ca="1">(_xll.DBR("CXMD:FTM_DATA_BALANCE_SHEET","Total_Customer_Supplier",D$22,$C$19,ori,"TOTAL PRODUCT","B-451010",$C$20,"Amount_BS")/1000)+(_xll.DBR("CXMD:FTM_DATA_BALANCE_SHEET","Total_Customer_Supplier",D$22,$C$19,ori,"TOTAL PRODUCT","B-451020",$C$20,"Amount_BS")/1000)+(_xll.DBR("CXMD:FTM_DATA_BALANCE_SHEET","Total_Customer_Supplier",D$22,$C$19,ori,"TOTAL PRODUCT","B-451030",$C$20,"Amount_BS")/1000)+(_xll.DBR("CXMD:FTM_DATA_BALANCE_SHEET","Total_Customer_Supplier",D$22,$C$19,ori,"TOTAL PRODUCT","B-451110",$C$20,"Amount_BS")/1000)+(_xll.DBR("CXMD:FTM_DATA_BALANCE_SHEET","Total_Customer_Supplier",D$22,$C$19,ori,"TOTAL PRODUCT","B-451210",$C$20,"Amount_BS")/1000)+(_xll.DBR("CXMD:FTM_DATA_BALANCE_SHEET","Total_Customer_Supplier",D$22,$C$19,ori,"TOTAL PRODUCT","B-451220",$C$20,"Amount_BS")/1000)+(_xll.DBR("CXMD:FTM_DATA_BALANCE_SHEET","Total_Customer_Supplier",D$22,$C$19,ori,"TOTAL PRODUCT","B-451310",$C$20,"Amount_BS")/1000)+(_xll.DBR("CXMD:FTM_DATA_BALANCE_SHEET","Total_Customer_Supplier",D$22,$C$19,ori,"TOTAL PRODUCT","B-451450",$C$20,"Amount_BS")/1000)+(_xll.DBR("CXMD:FTM_DATA_BALANCE_SHEET","Total_Customer_Supplier",D$22,$C$19,ori,"TOTAL PRODUCT","B-451510",$C$20,"Amount_BS")/1000)+(_xll.DBR("CXMD:FTM_DATA_BALANCE_SHEET","Total_Customer_Supplier",D$22,$C$19,ori,"TOTAL PRODUCT","B-451610",$C$20,"Amount_BS")/1000)+(_xll.DBR("CXMD:FTM_DATA_BALANCE_SHEET","Total_Customer_Supplier",D$22,$C$19,ori,"TOTAL PRODUCT","B-451620",$C$20,"Amount_BS")/1000)</f>
        <v>29278.131550000002</v>
      </c>
      <c r="E54" s="79">
        <f ca="1">(_xll.DBR("CXMD:FTM_DATA_BALANCE_SHEET","Total_Customer_Supplier",E$22,$C$19,ori,"TOTAL PRODUCT","B-451010",$C$20,"Amount_BS")/1000)+(_xll.DBR("CXMD:FTM_DATA_BALANCE_SHEET","Total_Customer_Supplier",E$22,$C$19,ori,"TOTAL PRODUCT","B-451020",$C$20,"Amount_BS")/1000)+(_xll.DBR("CXMD:FTM_DATA_BALANCE_SHEET","Total_Customer_Supplier",E$22,$C$19,ori,"TOTAL PRODUCT","B-451030",$C$20,"Amount_BS")/1000)+(_xll.DBR("CXMD:FTM_DATA_BALANCE_SHEET","Total_Customer_Supplier",E$22,$C$19,ori,"TOTAL PRODUCT","B-451110",$C$20,"Amount_BS")/1000)+(_xll.DBR("CXMD:FTM_DATA_BALANCE_SHEET","Total_Customer_Supplier",E$22,$C$19,ori,"TOTAL PRODUCT","B-451210",$C$20,"Amount_BS")/1000)+(_xll.DBR("CXMD:FTM_DATA_BALANCE_SHEET","Total_Customer_Supplier",E$22,$C$19,ori,"TOTAL PRODUCT","B-451220",$C$20,"Amount_BS")/1000)+(_xll.DBR("CXMD:FTM_DATA_BALANCE_SHEET","Total_Customer_Supplier",E$22,$C$19,ori,"TOTAL PRODUCT","B-451310",$C$20,"Amount_BS")/1000)+(_xll.DBR("CXMD:FTM_DATA_BALANCE_SHEET","Total_Customer_Supplier",E$22,$C$19,ori,"TOTAL PRODUCT","B-451450",$C$20,"Amount_BS")/1000)+(_xll.DBR("CXMD:FTM_DATA_BALANCE_SHEET","Total_Customer_Supplier",E$22,$C$19,ori,"TOTAL PRODUCT","B-451510",$C$20,"Amount_BS")/1000)+(_xll.DBR("CXMD:FTM_DATA_BALANCE_SHEET","Total_Customer_Supplier",E$22,$C$19,ori,"TOTAL PRODUCT","B-451610",$C$20,"Amount_BS")/1000)+(_xll.DBR("CXMD:FTM_DATA_BALANCE_SHEET","Total_Customer_Supplier",E$22,$C$19,ori,"TOTAL PRODUCT","B-451620",$C$20,"Amount_BS")/1000)</f>
        <v>26426.21746</v>
      </c>
      <c r="F54" s="79">
        <f ca="1">(_xll.DBR("CXMD:FTM_DATA_BALANCE_SHEET","Total_Customer_Supplier",F$22,$C$19,ori,"TOTAL PRODUCT","B-451010",$C$20,"Amount_BS")/1000)+(_xll.DBR("CXMD:FTM_DATA_BALANCE_SHEET","Total_Customer_Supplier",F$22,$C$19,ori,"TOTAL PRODUCT","B-451020",$C$20,"Amount_BS")/1000)+(_xll.DBR("CXMD:FTM_DATA_BALANCE_SHEET","Total_Customer_Supplier",F$22,$C$19,ori,"TOTAL PRODUCT","B-451030",$C$20,"Amount_BS")/1000)+(_xll.DBR("CXMD:FTM_DATA_BALANCE_SHEET","Total_Customer_Supplier",F$22,$C$19,ori,"TOTAL PRODUCT","B-451110",$C$20,"Amount_BS")/1000)+(_xll.DBR("CXMD:FTM_DATA_BALANCE_SHEET","Total_Customer_Supplier",F$22,$C$19,ori,"TOTAL PRODUCT","B-451210",$C$20,"Amount_BS")/1000)+(_xll.DBR("CXMD:FTM_DATA_BALANCE_SHEET","Total_Customer_Supplier",F$22,$C$19,ori,"TOTAL PRODUCT","B-451220",$C$20,"Amount_BS")/1000)+(_xll.DBR("CXMD:FTM_DATA_BALANCE_SHEET","Total_Customer_Supplier",F$22,$C$19,ori,"TOTAL PRODUCT","B-451310",$C$20,"Amount_BS")/1000)+(_xll.DBR("CXMD:FTM_DATA_BALANCE_SHEET","Total_Customer_Supplier",F$22,$C$19,ori,"TOTAL PRODUCT","B-451450",$C$20,"Amount_BS")/1000)+(_xll.DBR("CXMD:FTM_DATA_BALANCE_SHEET","Total_Customer_Supplier",F$22,$C$19,ori,"TOTAL PRODUCT","B-451510",$C$20,"Amount_BS")/1000)+(_xll.DBR("CXMD:FTM_DATA_BALANCE_SHEET","Total_Customer_Supplier",F$22,$C$19,ori,"TOTAL PRODUCT","B-451610",$C$20,"Amount_BS")/1000)+(_xll.DBR("CXMD:FTM_DATA_BALANCE_SHEET","Total_Customer_Supplier",F$22,$C$19,ori,"TOTAL PRODUCT","B-451620",$C$20,"Amount_BS")/1000)</f>
        <v>33087.795469999997</v>
      </c>
      <c r="G54" s="79">
        <f ca="1">(_xll.DBR("CXMD:FTM_DATA_BALANCE_SHEET","Total_Customer_Supplier",G$22,$C$19,ori,"TOTAL PRODUCT","B-451010",$C$20,"Amount_BS")/1000)+(_xll.DBR("CXMD:FTM_DATA_BALANCE_SHEET","Total_Customer_Supplier",G$22,$C$19,ori,"TOTAL PRODUCT","B-451020",$C$20,"Amount_BS")/1000)+(_xll.DBR("CXMD:FTM_DATA_BALANCE_SHEET","Total_Customer_Supplier",G$22,$C$19,ori,"TOTAL PRODUCT","B-451030",$C$20,"Amount_BS")/1000)+(_xll.DBR("CXMD:FTM_DATA_BALANCE_SHEET","Total_Customer_Supplier",G$22,$C$19,ori,"TOTAL PRODUCT","B-451110",$C$20,"Amount_BS")/1000)+(_xll.DBR("CXMD:FTM_DATA_BALANCE_SHEET","Total_Customer_Supplier",G$22,$C$19,ori,"TOTAL PRODUCT","B-451210",$C$20,"Amount_BS")/1000)+(_xll.DBR("CXMD:FTM_DATA_BALANCE_SHEET","Total_Customer_Supplier",G$22,$C$19,ori,"TOTAL PRODUCT","B-451220",$C$20,"Amount_BS")/1000)+(_xll.DBR("CXMD:FTM_DATA_BALANCE_SHEET","Total_Customer_Supplier",G$22,$C$19,ori,"TOTAL PRODUCT","B-451310",$C$20,"Amount_BS")/1000)+(_xll.DBR("CXMD:FTM_DATA_BALANCE_SHEET","Total_Customer_Supplier",G$22,$C$19,ori,"TOTAL PRODUCT","B-451450",$C$20,"Amount_BS")/1000)+(_xll.DBR("CXMD:FTM_DATA_BALANCE_SHEET","Total_Customer_Supplier",G$22,$C$19,ori,"TOTAL PRODUCT","B-451510",$C$20,"Amount_BS")/1000)+(_xll.DBR("CXMD:FTM_DATA_BALANCE_SHEET","Total_Customer_Supplier",G$22,$C$19,ori,"TOTAL PRODUCT","B-451610",$C$20,"Amount_BS")/1000)+(_xll.DBR("CXMD:FTM_DATA_BALANCE_SHEET","Total_Customer_Supplier",G$22,$C$19,ori,"TOTAL PRODUCT","B-451620",$C$20,"Amount_BS")/1000)</f>
        <v>31767.686309999997</v>
      </c>
      <c r="H54" s="79">
        <f ca="1">(_xll.DBR("CXMD:FTM_DATA_BALANCE_SHEET","Total_Customer_Supplier",H$22,$C$19,ori,"TOTAL PRODUCT","B-451010",$C$20,"Amount_BS")/1000)+(_xll.DBR("CXMD:FTM_DATA_BALANCE_SHEET","Total_Customer_Supplier",H$22,$C$19,ori,"TOTAL PRODUCT","B-451020",$C$20,"Amount_BS")/1000)+(_xll.DBR("CXMD:FTM_DATA_BALANCE_SHEET","Total_Customer_Supplier",H$22,$C$19,ori,"TOTAL PRODUCT","B-451030",$C$20,"Amount_BS")/1000)+(_xll.DBR("CXMD:FTM_DATA_BALANCE_SHEET","Total_Customer_Supplier",H$22,$C$19,ori,"TOTAL PRODUCT","B-451110",$C$20,"Amount_BS")/1000)+(_xll.DBR("CXMD:FTM_DATA_BALANCE_SHEET","Total_Customer_Supplier",H$22,$C$19,ori,"TOTAL PRODUCT","B-451210",$C$20,"Amount_BS")/1000)+(_xll.DBR("CXMD:FTM_DATA_BALANCE_SHEET","Total_Customer_Supplier",H$22,$C$19,ori,"TOTAL PRODUCT","B-451220",$C$20,"Amount_BS")/1000)+(_xll.DBR("CXMD:FTM_DATA_BALANCE_SHEET","Total_Customer_Supplier",H$22,$C$19,ori,"TOTAL PRODUCT","B-451310",$C$20,"Amount_BS")/1000)+(_xll.DBR("CXMD:FTM_DATA_BALANCE_SHEET","Total_Customer_Supplier",H$22,$C$19,ori,"TOTAL PRODUCT","B-451450",$C$20,"Amount_BS")/1000)+(_xll.DBR("CXMD:FTM_DATA_BALANCE_SHEET","Total_Customer_Supplier",H$22,$C$19,ori,"TOTAL PRODUCT","B-451510",$C$20,"Amount_BS")/1000)+(_xll.DBR("CXMD:FTM_DATA_BALANCE_SHEET","Total_Customer_Supplier",H$22,$C$19,ori,"TOTAL PRODUCT","B-451610",$C$20,"Amount_BS")/1000)+(_xll.DBR("CXMD:FTM_DATA_BALANCE_SHEET","Total_Customer_Supplier",H$22,$C$19,ori,"TOTAL PRODUCT","B-451620",$C$20,"Amount_BS")/1000)</f>
        <v>32533.924380000004</v>
      </c>
      <c r="I54" s="79">
        <f ca="1">(_xll.DBR("CXMD:FTM_DATA_BALANCE_SHEET","Total_Customer_Supplier",I$22,$C$19,ori,"TOTAL PRODUCT","B-451010",$C$20,"Amount_BS")/1000)+(_xll.DBR("CXMD:FTM_DATA_BALANCE_SHEET","Total_Customer_Supplier",I$22,$C$19,ori,"TOTAL PRODUCT","B-451020",$C$20,"Amount_BS")/1000)+(_xll.DBR("CXMD:FTM_DATA_BALANCE_SHEET","Total_Customer_Supplier",I$22,$C$19,ori,"TOTAL PRODUCT","B-451030",$C$20,"Amount_BS")/1000)+(_xll.DBR("CXMD:FTM_DATA_BALANCE_SHEET","Total_Customer_Supplier",I$22,$C$19,ori,"TOTAL PRODUCT","B-451110",$C$20,"Amount_BS")/1000)+(_xll.DBR("CXMD:FTM_DATA_BALANCE_SHEET","Total_Customer_Supplier",I$22,$C$19,ori,"TOTAL PRODUCT","B-451210",$C$20,"Amount_BS")/1000)+(_xll.DBR("CXMD:FTM_DATA_BALANCE_SHEET","Total_Customer_Supplier",I$22,$C$19,ori,"TOTAL PRODUCT","B-451220",$C$20,"Amount_BS")/1000)+(_xll.DBR("CXMD:FTM_DATA_BALANCE_SHEET","Total_Customer_Supplier",I$22,$C$19,ori,"TOTAL PRODUCT","B-451310",$C$20,"Amount_BS")/1000)+(_xll.DBR("CXMD:FTM_DATA_BALANCE_SHEET","Total_Customer_Supplier",I$22,$C$19,ori,"TOTAL PRODUCT","B-451450",$C$20,"Amount_BS")/1000)+(_xll.DBR("CXMD:FTM_DATA_BALANCE_SHEET","Total_Customer_Supplier",I$22,$C$19,ori,"TOTAL PRODUCT","B-451510",$C$20,"Amount_BS")/1000)+(_xll.DBR("CXMD:FTM_DATA_BALANCE_SHEET","Total_Customer_Supplier",I$22,$C$19,ori,"TOTAL PRODUCT","B-451610",$C$20,"Amount_BS")/1000)+(_xll.DBR("CXMD:FTM_DATA_BALANCE_SHEET","Total_Customer_Supplier",I$22,$C$19,ori,"TOTAL PRODUCT","B-451620",$C$20,"Amount_BS")/1000)</f>
        <v>30905.344379999999</v>
      </c>
      <c r="J54" s="79">
        <f ca="1">(_xll.DBR("CXMD:FTM_DATA_BALANCE_SHEET","Total_Customer_Supplier",J$22,$C$19,ori,"TOTAL PRODUCT","B-451010",$C$20,"Amount_BS")/1000)+(_xll.DBR("CXMD:FTM_DATA_BALANCE_SHEET","Total_Customer_Supplier",J$22,$C$19,ori,"TOTAL PRODUCT","B-451020",$C$20,"Amount_BS")/1000)+(_xll.DBR("CXMD:FTM_DATA_BALANCE_SHEET","Total_Customer_Supplier",J$22,$C$19,ori,"TOTAL PRODUCT","B-451030",$C$20,"Amount_BS")/1000)+(_xll.DBR("CXMD:FTM_DATA_BALANCE_SHEET","Total_Customer_Supplier",J$22,$C$19,ori,"TOTAL PRODUCT","B-451110",$C$20,"Amount_BS")/1000)+(_xll.DBR("CXMD:FTM_DATA_BALANCE_SHEET","Total_Customer_Supplier",J$22,$C$19,ori,"TOTAL PRODUCT","B-451210",$C$20,"Amount_BS")/1000)+(_xll.DBR("CXMD:FTM_DATA_BALANCE_SHEET","Total_Customer_Supplier",J$22,$C$19,ori,"TOTAL PRODUCT","B-451220",$C$20,"Amount_BS")/1000)+(_xll.DBR("CXMD:FTM_DATA_BALANCE_SHEET","Total_Customer_Supplier",J$22,$C$19,ori,"TOTAL PRODUCT","B-451310",$C$20,"Amount_BS")/1000)+(_xll.DBR("CXMD:FTM_DATA_BALANCE_SHEET","Total_Customer_Supplier",J$22,$C$19,ori,"TOTAL PRODUCT","B-451450",$C$20,"Amount_BS")/1000)+(_xll.DBR("CXMD:FTM_DATA_BALANCE_SHEET","Total_Customer_Supplier",J$22,$C$19,ori,"TOTAL PRODUCT","B-451510",$C$20,"Amount_BS")/1000)+(_xll.DBR("CXMD:FTM_DATA_BALANCE_SHEET","Total_Customer_Supplier",J$22,$C$19,ori,"TOTAL PRODUCT","B-451610",$C$20,"Amount_BS")/1000)+(_xll.DBR("CXMD:FTM_DATA_BALANCE_SHEET","Total_Customer_Supplier",J$22,$C$19,ori,"TOTAL PRODUCT","B-451620",$C$20,"Amount_BS")/1000)</f>
        <v>28625.411989999997</v>
      </c>
      <c r="K54" s="79">
        <f ca="1">(_xll.DBR("CXMD:FTM_DATA_BALANCE_SHEET","Total_Customer_Supplier",K$22,$C$19,ori,"TOTAL PRODUCT","B-451010",$C$20,"Amount_BS")/1000)+(_xll.DBR("CXMD:FTM_DATA_BALANCE_SHEET","Total_Customer_Supplier",K$22,$C$19,ori,"TOTAL PRODUCT","B-451020",$C$20,"Amount_BS")/1000)+(_xll.DBR("CXMD:FTM_DATA_BALANCE_SHEET","Total_Customer_Supplier",K$22,$C$19,ori,"TOTAL PRODUCT","B-451030",$C$20,"Amount_BS")/1000)+(_xll.DBR("CXMD:FTM_DATA_BALANCE_SHEET","Total_Customer_Supplier",K$22,$C$19,ori,"TOTAL PRODUCT","B-451110",$C$20,"Amount_BS")/1000)+(_xll.DBR("CXMD:FTM_DATA_BALANCE_SHEET","Total_Customer_Supplier",K$22,$C$19,ori,"TOTAL PRODUCT","B-451210",$C$20,"Amount_BS")/1000)+(_xll.DBR("CXMD:FTM_DATA_BALANCE_SHEET","Total_Customer_Supplier",K$22,$C$19,ori,"TOTAL PRODUCT","B-451220",$C$20,"Amount_BS")/1000)+(_xll.DBR("CXMD:FTM_DATA_BALANCE_SHEET","Total_Customer_Supplier",K$22,$C$19,ori,"TOTAL PRODUCT","B-451310",$C$20,"Amount_BS")/1000)+(_xll.DBR("CXMD:FTM_DATA_BALANCE_SHEET","Total_Customer_Supplier",K$22,$C$19,ori,"TOTAL PRODUCT","B-451450",$C$20,"Amount_BS")/1000)+(_xll.DBR("CXMD:FTM_DATA_BALANCE_SHEET","Total_Customer_Supplier",K$22,$C$19,ori,"TOTAL PRODUCT","B-451510",$C$20,"Amount_BS")/1000)+(_xll.DBR("CXMD:FTM_DATA_BALANCE_SHEET","Total_Customer_Supplier",K$22,$C$19,ori,"TOTAL PRODUCT","B-451610",$C$20,"Amount_BS")/1000)+(_xll.DBR("CXMD:FTM_DATA_BALANCE_SHEET","Total_Customer_Supplier",K$22,$C$19,ori,"TOTAL PRODUCT","B-451620",$C$20,"Amount_BS")/1000)</f>
        <v>26762.875030000003</v>
      </c>
      <c r="L54" s="79">
        <f ca="1">(_xll.DBR("CXMD:FTM_DATA_BALANCE_SHEET","Total_Customer_Supplier",L$22,$C$19,ori,"TOTAL PRODUCT","B-451010",$C$20,"Amount_BS")/1000)+(_xll.DBR("CXMD:FTM_DATA_BALANCE_SHEET","Total_Customer_Supplier",L$22,$C$19,ori,"TOTAL PRODUCT","B-451020",$C$20,"Amount_BS")/1000)+(_xll.DBR("CXMD:FTM_DATA_BALANCE_SHEET","Total_Customer_Supplier",L$22,$C$19,ori,"TOTAL PRODUCT","B-451030",$C$20,"Amount_BS")/1000)+(_xll.DBR("CXMD:FTM_DATA_BALANCE_SHEET","Total_Customer_Supplier",L$22,$C$19,ori,"TOTAL PRODUCT","B-451110",$C$20,"Amount_BS")/1000)+(_xll.DBR("CXMD:FTM_DATA_BALANCE_SHEET","Total_Customer_Supplier",L$22,$C$19,ori,"TOTAL PRODUCT","B-451210",$C$20,"Amount_BS")/1000)+(_xll.DBR("CXMD:FTM_DATA_BALANCE_SHEET","Total_Customer_Supplier",L$22,$C$19,ori,"TOTAL PRODUCT","B-451220",$C$20,"Amount_BS")/1000)+(_xll.DBR("CXMD:FTM_DATA_BALANCE_SHEET","Total_Customer_Supplier",L$22,$C$19,ori,"TOTAL PRODUCT","B-451310",$C$20,"Amount_BS")/1000)+(_xll.DBR("CXMD:FTM_DATA_BALANCE_SHEET","Total_Customer_Supplier",L$22,$C$19,ori,"TOTAL PRODUCT","B-451450",$C$20,"Amount_BS")/1000)+(_xll.DBR("CXMD:FTM_DATA_BALANCE_SHEET","Total_Customer_Supplier",L$22,$C$19,ori,"TOTAL PRODUCT","B-451510",$C$20,"Amount_BS")/1000)+(_xll.DBR("CXMD:FTM_DATA_BALANCE_SHEET","Total_Customer_Supplier",L$22,$C$19,ori,"TOTAL PRODUCT","B-451610",$C$20,"Amount_BS")/1000)+(_xll.DBR("CXMD:FTM_DATA_BALANCE_SHEET","Total_Customer_Supplier",L$22,$C$19,ori,"TOTAL PRODUCT","B-451620",$C$20,"Amount_BS")/1000)</f>
        <v>29728.300420000003</v>
      </c>
      <c r="M54" s="79">
        <f ca="1">(_xll.DBR("CXMD:FTM_DATA_BALANCE_SHEET","Total_Customer_Supplier",M$22,$C$19,ori,"TOTAL PRODUCT","B-451010",$C$20,"Amount_BS")/1000)+(_xll.DBR("CXMD:FTM_DATA_BALANCE_SHEET","Total_Customer_Supplier",M$22,$C$19,ori,"TOTAL PRODUCT","B-451020",$C$20,"Amount_BS")/1000)+(_xll.DBR("CXMD:FTM_DATA_BALANCE_SHEET","Total_Customer_Supplier",M$22,$C$19,ori,"TOTAL PRODUCT","B-451030",$C$20,"Amount_BS")/1000)+(_xll.DBR("CXMD:FTM_DATA_BALANCE_SHEET","Total_Customer_Supplier",M$22,$C$19,ori,"TOTAL PRODUCT","B-451110",$C$20,"Amount_BS")/1000)+(_xll.DBR("CXMD:FTM_DATA_BALANCE_SHEET","Total_Customer_Supplier",M$22,$C$19,ori,"TOTAL PRODUCT","B-451210",$C$20,"Amount_BS")/1000)+(_xll.DBR("CXMD:FTM_DATA_BALANCE_SHEET","Total_Customer_Supplier",M$22,$C$19,ori,"TOTAL PRODUCT","B-451220",$C$20,"Amount_BS")/1000)+(_xll.DBR("CXMD:FTM_DATA_BALANCE_SHEET","Total_Customer_Supplier",M$22,$C$19,ori,"TOTAL PRODUCT","B-451310",$C$20,"Amount_BS")/1000)+(_xll.DBR("CXMD:FTM_DATA_BALANCE_SHEET","Total_Customer_Supplier",M$22,$C$19,ori,"TOTAL PRODUCT","B-451450",$C$20,"Amount_BS")/1000)+(_xll.DBR("CXMD:FTM_DATA_BALANCE_SHEET","Total_Customer_Supplier",M$22,$C$19,ori,"TOTAL PRODUCT","B-451510",$C$20,"Amount_BS")/1000)+(_xll.DBR("CXMD:FTM_DATA_BALANCE_SHEET","Total_Customer_Supplier",M$22,$C$19,ori,"TOTAL PRODUCT","B-451610",$C$20,"Amount_BS")/1000)+(_xll.DBR("CXMD:FTM_DATA_BALANCE_SHEET","Total_Customer_Supplier",M$22,$C$19,ori,"TOTAL PRODUCT","B-451620",$C$20,"Amount_BS")/1000)</f>
        <v>36302.643459999999</v>
      </c>
      <c r="N54" s="79">
        <f ca="1">(_xll.DBR("CXMD:FTM_DATA_BALANCE_SHEET","Total_Customer_Supplier",N$22,$C$19,ori,"TOTAL PRODUCT","B-451010",$C$20,"Amount_BS")/1000)+(_xll.DBR("CXMD:FTM_DATA_BALANCE_SHEET","Total_Customer_Supplier",N$22,$C$19,ori,"TOTAL PRODUCT","B-451020",$C$20,"Amount_BS")/1000)+(_xll.DBR("CXMD:FTM_DATA_BALANCE_SHEET","Total_Customer_Supplier",N$22,$C$19,ori,"TOTAL PRODUCT","B-451030",$C$20,"Amount_BS")/1000)+(_xll.DBR("CXMD:FTM_DATA_BALANCE_SHEET","Total_Customer_Supplier",N$22,$C$19,ori,"TOTAL PRODUCT","B-451110",$C$20,"Amount_BS")/1000)+(_xll.DBR("CXMD:FTM_DATA_BALANCE_SHEET","Total_Customer_Supplier",N$22,$C$19,ori,"TOTAL PRODUCT","B-451210",$C$20,"Amount_BS")/1000)+(_xll.DBR("CXMD:FTM_DATA_BALANCE_SHEET","Total_Customer_Supplier",N$22,$C$19,ori,"TOTAL PRODUCT","B-451220",$C$20,"Amount_BS")/1000)+(_xll.DBR("CXMD:FTM_DATA_BALANCE_SHEET","Total_Customer_Supplier",N$22,$C$19,ori,"TOTAL PRODUCT","B-451310",$C$20,"Amount_BS")/1000)+(_xll.DBR("CXMD:FTM_DATA_BALANCE_SHEET","Total_Customer_Supplier",N$22,$C$19,ori,"TOTAL PRODUCT","B-451450",$C$20,"Amount_BS")/1000)+(_xll.DBR("CXMD:FTM_DATA_BALANCE_SHEET","Total_Customer_Supplier",N$22,$C$19,ori,"TOTAL PRODUCT","B-451510",$C$20,"Amount_BS")/1000)+(_xll.DBR("CXMD:FTM_DATA_BALANCE_SHEET","Total_Customer_Supplier",N$22,$C$19,ori,"TOTAL PRODUCT","B-451610",$C$20,"Amount_BS")/1000)+(_xll.DBR("CXMD:FTM_DATA_BALANCE_SHEET","Total_Customer_Supplier",N$22,$C$19,ori,"TOTAL PRODUCT","B-451620",$C$20,"Amount_BS")/1000)</f>
        <v>34921.223029999994</v>
      </c>
      <c r="O54" s="79">
        <f ca="1">(_xll.DBR("CXMD:FTM_DATA_BALANCE_SHEET","Total_Customer_Supplier",O$22,$C$19,ori,"TOTAL PRODUCT","B-451010",$C$20,"Amount_BS")/1000)+(_xll.DBR("CXMD:FTM_DATA_BALANCE_SHEET","Total_Customer_Supplier",O$22,$C$19,ori,"TOTAL PRODUCT","B-451020",$C$20,"Amount_BS")/1000)+(_xll.DBR("CXMD:FTM_DATA_BALANCE_SHEET","Total_Customer_Supplier",O$22,$C$19,ori,"TOTAL PRODUCT","B-451030",$C$20,"Amount_BS")/1000)+(_xll.DBR("CXMD:FTM_DATA_BALANCE_SHEET","Total_Customer_Supplier",O$22,$C$19,ori,"TOTAL PRODUCT","B-451110",$C$20,"Amount_BS")/1000)+(_xll.DBR("CXMD:FTM_DATA_BALANCE_SHEET","Total_Customer_Supplier",O$22,$C$19,ori,"TOTAL PRODUCT","B-451210",$C$20,"Amount_BS")/1000)+(_xll.DBR("CXMD:FTM_DATA_BALANCE_SHEET","Total_Customer_Supplier",O$22,$C$19,ori,"TOTAL PRODUCT","B-451220",$C$20,"Amount_BS")/1000)+(_xll.DBR("CXMD:FTM_DATA_BALANCE_SHEET","Total_Customer_Supplier",O$22,$C$19,ori,"TOTAL PRODUCT","B-451310",$C$20,"Amount_BS")/1000)+(_xll.DBR("CXMD:FTM_DATA_BALANCE_SHEET","Total_Customer_Supplier",O$22,$C$19,ori,"TOTAL PRODUCT","B-451450",$C$20,"Amount_BS")/1000)+(_xll.DBR("CXMD:FTM_DATA_BALANCE_SHEET","Total_Customer_Supplier",O$22,$C$19,ori,"TOTAL PRODUCT","B-451510",$C$20,"Amount_BS")/1000)+(_xll.DBR("CXMD:FTM_DATA_BALANCE_SHEET","Total_Customer_Supplier",O$22,$C$19,ori,"TOTAL PRODUCT","B-451610",$C$20,"Amount_BS")/1000)+(_xll.DBR("CXMD:FTM_DATA_BALANCE_SHEET","Total_Customer_Supplier",O$22,$C$19,ori,"TOTAL PRODUCT","B-451620",$C$20,"Amount_BS")/1000)</f>
        <v>31415.091999999997</v>
      </c>
      <c r="P54" s="111">
        <f t="shared" ca="1" si="16"/>
        <v>371754.64548000001</v>
      </c>
    </row>
    <row r="55" spans="2:16" ht="15.75" thickBot="1" x14ac:dyDescent="0.3">
      <c r="B55" s="47"/>
      <c r="C55" s="48" t="s">
        <v>52</v>
      </c>
      <c r="D55" s="49">
        <f ca="1">IF(D27&lt;&gt;0,D54/D27,0)</f>
        <v>8.8981621329653537E-2</v>
      </c>
      <c r="E55" s="49">
        <f t="shared" ref="E55:O55" ca="1" si="17">IF(E27&lt;&gt;0,E54/E27,0)</f>
        <v>7.9441279515753693E-2</v>
      </c>
      <c r="F55" s="49">
        <f t="shared" ca="1" si="17"/>
        <v>8.902154073864367E-2</v>
      </c>
      <c r="G55" s="49">
        <f t="shared" ca="1" si="17"/>
        <v>9.9988831447585094E-2</v>
      </c>
      <c r="H55" s="49">
        <f t="shared" ca="1" si="17"/>
        <v>8.496409193414782E-2</v>
      </c>
      <c r="I55" s="49">
        <f t="shared" ca="1" si="17"/>
        <v>8.3232173527913303E-2</v>
      </c>
      <c r="J55" s="49">
        <f t="shared" ca="1" si="17"/>
        <v>7.9251445184889635E-2</v>
      </c>
      <c r="K55" s="49">
        <f t="shared" ca="1" si="17"/>
        <v>7.3798270994259244E-2</v>
      </c>
      <c r="L55" s="49">
        <f t="shared" ca="1" si="17"/>
        <v>8.6853403776361679E-2</v>
      </c>
      <c r="M55" s="49">
        <f t="shared" ca="1" si="17"/>
        <v>0.11098872762356922</v>
      </c>
      <c r="N55" s="49">
        <f t="shared" ca="1" si="17"/>
        <v>0.10624386322791096</v>
      </c>
      <c r="O55" s="49">
        <f t="shared" ca="1" si="17"/>
        <v>0.12275116194627987</v>
      </c>
      <c r="P55" s="112">
        <f t="shared" ref="P55" ca="1" si="18">IF(P26&lt;&gt;0,P54/P26,0)</f>
        <v>35.486840151143781</v>
      </c>
    </row>
    <row r="56" spans="2:16" x14ac:dyDescent="0.25">
      <c r="B56" s="4" t="s">
        <v>7</v>
      </c>
      <c r="C56" s="28" t="s">
        <v>22</v>
      </c>
      <c r="D56" s="61">
        <f ca="1">D57+D58+D59+D60+D61+D62+D63+D64+D65+D66+D67+D68</f>
        <v>29278.131549999995</v>
      </c>
      <c r="E56" s="61">
        <f t="shared" ref="E56:O56" ca="1" si="19">E57+E58+E59+E60+E61+E62+E63+E64+E65+E66+E67+E68</f>
        <v>26426.21746</v>
      </c>
      <c r="F56" s="61">
        <f t="shared" ca="1" si="19"/>
        <v>33087.795470000005</v>
      </c>
      <c r="G56" s="61">
        <f t="shared" ca="1" si="19"/>
        <v>31767.686310000001</v>
      </c>
      <c r="H56" s="61">
        <f t="shared" ca="1" si="19"/>
        <v>32533.92438</v>
      </c>
      <c r="I56" s="61">
        <f t="shared" ca="1" si="19"/>
        <v>30905.344379999999</v>
      </c>
      <c r="J56" s="61">
        <f t="shared" ca="1" si="19"/>
        <v>28625.411990000001</v>
      </c>
      <c r="K56" s="61">
        <f t="shared" ca="1" si="19"/>
        <v>26762.875030000007</v>
      </c>
      <c r="L56" s="61">
        <f t="shared" ca="1" si="19"/>
        <v>29728.300420000007</v>
      </c>
      <c r="M56" s="61">
        <f t="shared" ca="1" si="19"/>
        <v>36302.643459999999</v>
      </c>
      <c r="N56" s="61">
        <f t="shared" ca="1" si="19"/>
        <v>34921.223030000001</v>
      </c>
      <c r="O56" s="61">
        <f t="shared" ca="1" si="19"/>
        <v>31415.092000000004</v>
      </c>
      <c r="P56" s="102">
        <f t="shared" ref="P56:P68" ca="1" si="20">SUM(D56:O56)</f>
        <v>371754.64547999995</v>
      </c>
    </row>
    <row r="57" spans="2:16" x14ac:dyDescent="0.25">
      <c r="B57" s="4" t="s">
        <v>7</v>
      </c>
      <c r="C57" s="92" t="s">
        <v>23</v>
      </c>
      <c r="D57" s="63">
        <f ca="1">(_xll.DBR("CXMD:FTM_DATA_BALANCE_SHEET","Total_Customer_Supplier",D$22,$C$19,ori,"TOTAL PRODUCT","B-451020",$C$20,"Amount_BS")/1000)</f>
        <v>4342.9435999999996</v>
      </c>
      <c r="E57" s="63">
        <f ca="1">(_xll.DBR("CXMD:FTM_DATA_BALANCE_SHEET","Total_Customer_Supplier",E$22,$C$19,ori,"TOTAL PRODUCT","B-451020",$C$20,"Amount_BS")/1000)</f>
        <v>4768.9062700000004</v>
      </c>
      <c r="F57" s="63">
        <f ca="1">(_xll.DBR("CXMD:FTM_DATA_BALANCE_SHEET","Total_Customer_Supplier",F$22,$C$19,ori,"TOTAL PRODUCT","B-451020",$C$20,"Amount_BS")/1000)</f>
        <v>5452.3295099999996</v>
      </c>
      <c r="G57" s="63">
        <f ca="1">(_xll.DBR("CXMD:FTM_DATA_BALANCE_SHEET","Total_Customer_Supplier",G$22,$C$19,ori,"TOTAL PRODUCT","B-451020",$C$20,"Amount_BS")/1000)</f>
        <v>4720.5511200000001</v>
      </c>
      <c r="H57" s="63">
        <f ca="1">(_xll.DBR("CXMD:FTM_DATA_BALANCE_SHEET","Total_Customer_Supplier",H$22,$C$19,ori,"TOTAL PRODUCT","B-451020",$C$20,"Amount_BS")/1000)</f>
        <v>5305.0087400000011</v>
      </c>
      <c r="I57" s="63">
        <f ca="1">(_xll.DBR("CXMD:FTM_DATA_BALANCE_SHEET","Total_Customer_Supplier",I$22,$C$19,ori,"TOTAL PRODUCT","B-451020",$C$20,"Amount_BS")/1000)</f>
        <v>5876.6122100000002</v>
      </c>
      <c r="J57" s="63">
        <f ca="1">(_xll.DBR("CXMD:FTM_DATA_BALANCE_SHEET","Total_Customer_Supplier",J$22,$C$19,ori,"TOTAL PRODUCT","B-451020",$C$20,"Amount_BS")/1000)</f>
        <v>6119.3737499999997</v>
      </c>
      <c r="K57" s="63">
        <f ca="1">(_xll.DBR("CXMD:FTM_DATA_BALANCE_SHEET","Total_Customer_Supplier",K$22,$C$19,ori,"TOTAL PRODUCT","B-451020",$C$20,"Amount_BS")/1000)</f>
        <v>5110.0410899999997</v>
      </c>
      <c r="L57" s="63">
        <f ca="1">(_xll.DBR("CXMD:FTM_DATA_BALANCE_SHEET","Total_Customer_Supplier",L$22,$C$19,ori,"TOTAL PRODUCT","B-451020",$C$20,"Amount_BS")/1000)</f>
        <v>5851.7112500000012</v>
      </c>
      <c r="M57" s="63">
        <f ca="1">(_xll.DBR("CXMD:FTM_DATA_BALANCE_SHEET","Total_Customer_Supplier",M$22,$C$19,ori,"TOTAL PRODUCT","B-451020",$C$20,"Amount_BS")/1000)</f>
        <v>5496.4773999999998</v>
      </c>
      <c r="N57" s="63">
        <f ca="1">(_xll.DBR("CXMD:FTM_DATA_BALANCE_SHEET","Total_Customer_Supplier",N$22,$C$19,ori,"TOTAL PRODUCT","B-451020",$C$20,"Amount_BS")/1000)</f>
        <v>5690.753819999999</v>
      </c>
      <c r="O57" s="63">
        <f ca="1">(_xll.DBR("CXMD:FTM_DATA_BALANCE_SHEET","Total_Customer_Supplier",O$22,$C$19,ori,"TOTAL PRODUCT","B-451020",$C$20,"Amount_BS")/1000)</f>
        <v>6185.4500400000006</v>
      </c>
      <c r="P57" s="104">
        <f t="shared" ca="1" si="20"/>
        <v>64920.158799999997</v>
      </c>
    </row>
    <row r="58" spans="2:16" x14ac:dyDescent="0.25">
      <c r="B58" s="4" t="s">
        <v>7</v>
      </c>
      <c r="C58" s="92" t="s">
        <v>24</v>
      </c>
      <c r="D58" s="63">
        <f ca="1">(_xll.DBR("CXMD:FTM_DATA_BALANCE_SHEET","Total_Customer_Supplier",D$22,$C$19,ori,"TOTAL PRODUCT","B-451010",$C$20,"Amount_BS")/1000)</f>
        <v>2390.8586100000002</v>
      </c>
      <c r="E58" s="63">
        <f ca="1">(_xll.DBR("CXMD:FTM_DATA_BALANCE_SHEET","Total_Customer_Supplier",E$22,$C$19,ori,"TOTAL PRODUCT","B-451010",$C$20,"Amount_BS")/1000)</f>
        <v>2927.1484899999996</v>
      </c>
      <c r="F58" s="63">
        <f ca="1">(_xll.DBR("CXMD:FTM_DATA_BALANCE_SHEET","Total_Customer_Supplier",F$22,$C$19,ori,"TOTAL PRODUCT","B-451010",$C$20,"Amount_BS")/1000)</f>
        <v>3251.0923900000007</v>
      </c>
      <c r="G58" s="63">
        <f ca="1">(_xll.DBR("CXMD:FTM_DATA_BALANCE_SHEET","Total_Customer_Supplier",G$22,$C$19,ori,"TOTAL PRODUCT","B-451010",$C$20,"Amount_BS")/1000)</f>
        <v>3478.5693899999997</v>
      </c>
      <c r="H58" s="63">
        <f ca="1">(_xll.DBR("CXMD:FTM_DATA_BALANCE_SHEET","Total_Customer_Supplier",H$22,$C$19,ori,"TOTAL PRODUCT","B-451010",$C$20,"Amount_BS")/1000)</f>
        <v>3100.6866299999992</v>
      </c>
      <c r="I58" s="63">
        <f ca="1">(_xll.DBR("CXMD:FTM_DATA_BALANCE_SHEET","Total_Customer_Supplier",I$22,$C$19,ori,"TOTAL PRODUCT","B-451010",$C$20,"Amount_BS")/1000)</f>
        <v>2756.4503099999997</v>
      </c>
      <c r="J58" s="63">
        <f ca="1">(_xll.DBR("CXMD:FTM_DATA_BALANCE_SHEET","Total_Customer_Supplier",J$22,$C$19,ori,"TOTAL PRODUCT","B-451010",$C$20,"Amount_BS")/1000)</f>
        <v>2279.4037699999994</v>
      </c>
      <c r="K58" s="63">
        <f ca="1">(_xll.DBR("CXMD:FTM_DATA_BALANCE_SHEET","Total_Customer_Supplier",K$22,$C$19,ori,"TOTAL PRODUCT","B-451010",$C$20,"Amount_BS")/1000)</f>
        <v>2395.5095399999996</v>
      </c>
      <c r="L58" s="63">
        <f ca="1">(_xll.DBR("CXMD:FTM_DATA_BALANCE_SHEET","Total_Customer_Supplier",L$22,$C$19,ori,"TOTAL PRODUCT","B-451010",$C$20,"Amount_BS")/1000)</f>
        <v>2323.7586100000012</v>
      </c>
      <c r="M58" s="63">
        <f ca="1">(_xll.DBR("CXMD:FTM_DATA_BALANCE_SHEET","Total_Customer_Supplier",M$22,$C$19,ori,"TOTAL PRODUCT","B-451010",$C$20,"Amount_BS")/1000)</f>
        <v>2594.8187699999989</v>
      </c>
      <c r="N58" s="63">
        <f ca="1">(_xll.DBR("CXMD:FTM_DATA_BALANCE_SHEET","Total_Customer_Supplier",N$22,$C$19,ori,"TOTAL PRODUCT","B-451010",$C$20,"Amount_BS")/1000)</f>
        <v>2325.5535500000001</v>
      </c>
      <c r="O58" s="63">
        <f ca="1">(_xll.DBR("CXMD:FTM_DATA_BALANCE_SHEET","Total_Customer_Supplier",O$22,$C$19,ori,"TOTAL PRODUCT","B-451010",$C$20,"Amount_BS")/1000)</f>
        <v>2551.7411299999994</v>
      </c>
      <c r="P58" s="104">
        <f t="shared" ca="1" si="20"/>
        <v>32375.591189999999</v>
      </c>
    </row>
    <row r="59" spans="2:16" x14ac:dyDescent="0.25">
      <c r="B59" s="4" t="s">
        <v>7</v>
      </c>
      <c r="C59" s="92" t="s">
        <v>25</v>
      </c>
      <c r="D59" s="63">
        <f ca="1">(_xll.DBR("CXMD:FTM_DATA_BALANCE_SHEET","Total_Customer_Supplier",D$22,$C$19,ori,"TOTAL PRODUCT","B-451110",$C$20,"Amount_BS")/1000)</f>
        <v>637.80257999999992</v>
      </c>
      <c r="E59" s="63">
        <f ca="1">(_xll.DBR("CXMD:FTM_DATA_BALANCE_SHEET","Total_Customer_Supplier",E$22,$C$19,ori,"TOTAL PRODUCT","B-451110",$C$20,"Amount_BS")/1000)</f>
        <v>551.20690999999988</v>
      </c>
      <c r="F59" s="63">
        <f ca="1">(_xll.DBR("CXMD:FTM_DATA_BALANCE_SHEET","Total_Customer_Supplier",F$22,$C$19,ori,"TOTAL PRODUCT","B-451110",$C$20,"Amount_BS")/1000)</f>
        <v>534.37409000000025</v>
      </c>
      <c r="G59" s="63">
        <f ca="1">(_xll.DBR("CXMD:FTM_DATA_BALANCE_SHEET","Total_Customer_Supplier",G$22,$C$19,ori,"TOTAL PRODUCT","B-451110",$C$20,"Amount_BS")/1000)</f>
        <v>697.80002999999999</v>
      </c>
      <c r="H59" s="63">
        <f ca="1">(_xll.DBR("CXMD:FTM_DATA_BALANCE_SHEET","Total_Customer_Supplier",H$22,$C$19,ori,"TOTAL PRODUCT","B-451110",$C$20,"Amount_BS")/1000)</f>
        <v>573.56464000000005</v>
      </c>
      <c r="I59" s="63">
        <f ca="1">(_xll.DBR("CXMD:FTM_DATA_BALANCE_SHEET","Total_Customer_Supplier",I$22,$C$19,ori,"TOTAL PRODUCT","B-451110",$C$20,"Amount_BS")/1000)</f>
        <v>576.37416999999994</v>
      </c>
      <c r="J59" s="63">
        <f ca="1">(_xll.DBR("CXMD:FTM_DATA_BALANCE_SHEET","Total_Customer_Supplier",J$22,$C$19,ori,"TOTAL PRODUCT","B-451110",$C$20,"Amount_BS")/1000)</f>
        <v>693.78170000000011</v>
      </c>
      <c r="K59" s="63">
        <f ca="1">(_xll.DBR("CXMD:FTM_DATA_BALANCE_SHEET","Total_Customer_Supplier",K$22,$C$19,ori,"TOTAL PRODUCT","B-451110",$C$20,"Amount_BS")/1000)</f>
        <v>532.69988000000001</v>
      </c>
      <c r="L59" s="63">
        <f ca="1">(_xll.DBR("CXMD:FTM_DATA_BALANCE_SHEET","Total_Customer_Supplier",L$22,$C$19,ori,"TOTAL PRODUCT","B-451110",$C$20,"Amount_BS")/1000)</f>
        <v>316.07128000000006</v>
      </c>
      <c r="M59" s="63">
        <f ca="1">(_xll.DBR("CXMD:FTM_DATA_BALANCE_SHEET","Total_Customer_Supplier",M$22,$C$19,ori,"TOTAL PRODUCT","B-451110",$C$20,"Amount_BS")/1000)</f>
        <v>726.78822000000002</v>
      </c>
      <c r="N59" s="63">
        <f ca="1">(_xll.DBR("CXMD:FTM_DATA_BALANCE_SHEET","Total_Customer_Supplier",N$22,$C$19,ori,"TOTAL PRODUCT","B-451110",$C$20,"Amount_BS")/1000)</f>
        <v>376.77460000000002</v>
      </c>
      <c r="O59" s="63">
        <f ca="1">(_xll.DBR("CXMD:FTM_DATA_BALANCE_SHEET","Total_Customer_Supplier",O$22,$C$19,ori,"TOTAL PRODUCT","B-451110",$C$20,"Amount_BS")/1000)</f>
        <v>825.70427000000007</v>
      </c>
      <c r="P59" s="104">
        <f t="shared" ca="1" si="20"/>
        <v>7042.9423700000007</v>
      </c>
    </row>
    <row r="60" spans="2:16" x14ac:dyDescent="0.25">
      <c r="B60" s="4" t="s">
        <v>7</v>
      </c>
      <c r="C60" s="92" t="s">
        <v>26</v>
      </c>
      <c r="D60" s="63">
        <f ca="1">(_xll.DBR("CXMD:FTM_DATA_BALANCE_SHEET","Total_Customer_Supplier",D$22,$C$19,ori,"TOTAL PRODUCT","B-451610",$C$20,"Amount_BS")/1000)</f>
        <v>8582.6170899999997</v>
      </c>
      <c r="E60" s="63">
        <f ca="1">(_xll.DBR("CXMD:FTM_DATA_BALANCE_SHEET","Total_Customer_Supplier",E$22,$C$19,ori,"TOTAL PRODUCT","B-451610",$C$20,"Amount_BS")/1000)</f>
        <v>6472.0243299999993</v>
      </c>
      <c r="F60" s="63">
        <f ca="1">(_xll.DBR("CXMD:FTM_DATA_BALANCE_SHEET","Total_Customer_Supplier",F$22,$C$19,ori,"TOTAL PRODUCT","B-451610",$C$20,"Amount_BS")/1000)</f>
        <v>7643.4870999999994</v>
      </c>
      <c r="G60" s="63">
        <f ca="1">(_xll.DBR("CXMD:FTM_DATA_BALANCE_SHEET","Total_Customer_Supplier",G$22,$C$19,ori,"TOTAL PRODUCT","B-451610",$C$20,"Amount_BS")/1000)</f>
        <v>6064.1241199999995</v>
      </c>
      <c r="H60" s="63">
        <f ca="1">(_xll.DBR("CXMD:FTM_DATA_BALANCE_SHEET","Total_Customer_Supplier",H$22,$C$19,ori,"TOTAL PRODUCT","B-451610",$C$20,"Amount_BS")/1000)</f>
        <v>6388.2146300000004</v>
      </c>
      <c r="I60" s="63">
        <f ca="1">(_xll.DBR("CXMD:FTM_DATA_BALANCE_SHEET","Total_Customer_Supplier",I$22,$C$19,ori,"TOTAL PRODUCT","B-451610",$C$20,"Amount_BS")/1000)</f>
        <v>5452.1349199999986</v>
      </c>
      <c r="J60" s="63">
        <f ca="1">(_xll.DBR("CXMD:FTM_DATA_BALANCE_SHEET","Total_Customer_Supplier",J$22,$C$19,ori,"TOTAL PRODUCT","B-451610",$C$20,"Amount_BS")/1000)</f>
        <v>5950.7003599999998</v>
      </c>
      <c r="K60" s="63">
        <f ca="1">(_xll.DBR("CXMD:FTM_DATA_BALANCE_SHEET","Total_Customer_Supplier",K$22,$C$19,ori,"TOTAL PRODUCT","B-451610",$C$20,"Amount_BS")/1000)</f>
        <v>4719.1834000000026</v>
      </c>
      <c r="L60" s="63">
        <f ca="1">(_xll.DBR("CXMD:FTM_DATA_BALANCE_SHEET","Total_Customer_Supplier",L$22,$C$19,ori,"TOTAL PRODUCT","B-451610",$C$20,"Amount_BS")/1000)</f>
        <v>7538.5374699999984</v>
      </c>
      <c r="M60" s="63">
        <f ca="1">(_xll.DBR("CXMD:FTM_DATA_BALANCE_SHEET","Total_Customer_Supplier",M$22,$C$19,ori,"TOTAL PRODUCT","B-451610",$C$20,"Amount_BS")/1000)</f>
        <v>6757.557960000001</v>
      </c>
      <c r="N60" s="63">
        <f ca="1">(_xll.DBR("CXMD:FTM_DATA_BALANCE_SHEET","Total_Customer_Supplier",N$22,$C$19,ori,"TOTAL PRODUCT","B-451610",$C$20,"Amount_BS")/1000)</f>
        <v>6678.439620000001</v>
      </c>
      <c r="O60" s="63">
        <f ca="1">(_xll.DBR("CXMD:FTM_DATA_BALANCE_SHEET","Total_Customer_Supplier",O$22,$C$19,ori,"TOTAL PRODUCT","B-451610",$C$20,"Amount_BS")/1000)</f>
        <v>7960.05566</v>
      </c>
      <c r="P60" s="104">
        <f t="shared" ca="1" si="20"/>
        <v>80207.076660000006</v>
      </c>
    </row>
    <row r="61" spans="2:16" x14ac:dyDescent="0.25">
      <c r="B61" s="4" t="s">
        <v>7</v>
      </c>
      <c r="C61" s="92" t="s">
        <v>27</v>
      </c>
      <c r="D61" s="63">
        <f ca="1">(_xll.DBR("CXMD:FTM_DATA_BALANCE_SHEET","Total_Customer_Supplier",D$22,$C$19,ori,"TOTAL PRODUCT","B-451030",$C$20,"Amount_BS")/1000)</f>
        <v>1509.3019500000003</v>
      </c>
      <c r="E61" s="63">
        <f ca="1">(_xll.DBR("CXMD:FTM_DATA_BALANCE_SHEET","Total_Customer_Supplier",E$22,$C$19,ori,"TOTAL PRODUCT","B-451030",$C$20,"Amount_BS")/1000)</f>
        <v>181.03978000000004</v>
      </c>
      <c r="F61" s="63">
        <f ca="1">(_xll.DBR("CXMD:FTM_DATA_BALANCE_SHEET","Total_Customer_Supplier",F$22,$C$19,ori,"TOTAL PRODUCT","B-451030",$C$20,"Amount_BS")/1000)</f>
        <v>287.33699000000001</v>
      </c>
      <c r="G61" s="63">
        <f ca="1">(_xll.DBR("CXMD:FTM_DATA_BALANCE_SHEET","Total_Customer_Supplier",G$22,$C$19,ori,"TOTAL PRODUCT","B-451030",$C$20,"Amount_BS")/1000)</f>
        <v>270.03880000000009</v>
      </c>
      <c r="H61" s="63">
        <f ca="1">(_xll.DBR("CXMD:FTM_DATA_BALANCE_SHEET","Total_Customer_Supplier",H$22,$C$19,ori,"TOTAL PRODUCT","B-451030",$C$20,"Amount_BS")/1000)</f>
        <v>116.53537</v>
      </c>
      <c r="I61" s="63">
        <f ca="1">(_xll.DBR("CXMD:FTM_DATA_BALANCE_SHEET","Total_Customer_Supplier",I$22,$C$19,ori,"TOTAL PRODUCT","B-451030",$C$20,"Amount_BS")/1000)</f>
        <v>97.663319999999985</v>
      </c>
      <c r="J61" s="63">
        <f ca="1">(_xll.DBR("CXMD:FTM_DATA_BALANCE_SHEET","Total_Customer_Supplier",J$22,$C$19,ori,"TOTAL PRODUCT","B-451030",$C$20,"Amount_BS")/1000)</f>
        <v>304.30970000000008</v>
      </c>
      <c r="K61" s="63">
        <f ca="1">(_xll.DBR("CXMD:FTM_DATA_BALANCE_SHEET","Total_Customer_Supplier",K$22,$C$19,ori,"TOTAL PRODUCT","B-451030",$C$20,"Amount_BS")/1000)</f>
        <v>119.84834999999998</v>
      </c>
      <c r="L61" s="63">
        <f ca="1">(_xll.DBR("CXMD:FTM_DATA_BALANCE_SHEET","Total_Customer_Supplier",L$22,$C$19,ori,"TOTAL PRODUCT","B-451030",$C$20,"Amount_BS")/1000)</f>
        <v>140.13624999999999</v>
      </c>
      <c r="M61" s="63">
        <f ca="1">(_xll.DBR("CXMD:FTM_DATA_BALANCE_SHEET","Total_Customer_Supplier",M$22,$C$19,ori,"TOTAL PRODUCT","B-451030",$C$20,"Amount_BS")/1000)</f>
        <v>138.41946999999996</v>
      </c>
      <c r="N61" s="63">
        <f ca="1">(_xll.DBR("CXMD:FTM_DATA_BALANCE_SHEET","Total_Customer_Supplier",N$22,$C$19,ori,"TOTAL PRODUCT","B-451030",$C$20,"Amount_BS")/1000)</f>
        <v>113.40666</v>
      </c>
      <c r="O61" s="63">
        <f ca="1">(_xll.DBR("CXMD:FTM_DATA_BALANCE_SHEET","Total_Customer_Supplier",O$22,$C$19,ori,"TOTAL PRODUCT","B-451030",$C$20,"Amount_BS")/1000)</f>
        <v>152.18684999999999</v>
      </c>
      <c r="P61" s="104">
        <f t="shared" ca="1" si="20"/>
        <v>3430.2234900000012</v>
      </c>
    </row>
    <row r="62" spans="2:16" x14ac:dyDescent="0.25">
      <c r="B62" s="4" t="s">
        <v>7</v>
      </c>
      <c r="C62" s="92" t="s">
        <v>28</v>
      </c>
      <c r="D62" s="63">
        <f ca="1">(_xll.DBR("CXMD:FTM_DATA_BALANCE_SHEET","Total_Customer_Supplier",D$22,$C$19,ori,"TOTAL PRODUCT","B-451450",$C$20,"Amount_BS")/1000)</f>
        <v>6133.2677700000004</v>
      </c>
      <c r="E62" s="63">
        <f ca="1">(_xll.DBR("CXMD:FTM_DATA_BALANCE_SHEET","Total_Customer_Supplier",E$22,$C$19,ori,"TOTAL PRODUCT","B-451450",$C$20,"Amount_BS")/1000)</f>
        <v>7098.5787000000009</v>
      </c>
      <c r="F62" s="63">
        <f ca="1">(_xll.DBR("CXMD:FTM_DATA_BALANCE_SHEET","Total_Customer_Supplier",F$22,$C$19,ori,"TOTAL PRODUCT","B-451450",$C$20,"Amount_BS")/1000)</f>
        <v>9195.5068599999995</v>
      </c>
      <c r="G62" s="63">
        <f ca="1">(_xll.DBR("CXMD:FTM_DATA_BALANCE_SHEET","Total_Customer_Supplier",G$22,$C$19,ori,"TOTAL PRODUCT","B-451450",$C$20,"Amount_BS")/1000)</f>
        <v>9744.7816799999982</v>
      </c>
      <c r="H62" s="63">
        <f ca="1">(_xll.DBR("CXMD:FTM_DATA_BALANCE_SHEET","Total_Customer_Supplier",H$22,$C$19,ori,"TOTAL PRODUCT","B-451450",$C$20,"Amount_BS")/1000)</f>
        <v>9543.0558300000012</v>
      </c>
      <c r="I62" s="63">
        <f ca="1">(_xll.DBR("CXMD:FTM_DATA_BALANCE_SHEET","Total_Customer_Supplier",I$22,$C$19,ori,"TOTAL PRODUCT","B-451450",$C$20,"Amount_BS")/1000)</f>
        <v>8949.5396200000014</v>
      </c>
      <c r="J62" s="63">
        <f ca="1">(_xll.DBR("CXMD:FTM_DATA_BALANCE_SHEET","Total_Customer_Supplier",J$22,$C$19,ori,"TOTAL PRODUCT","B-451450",$C$20,"Amount_BS")/1000)</f>
        <v>7254.4148800000003</v>
      </c>
      <c r="K62" s="63">
        <f ca="1">(_xll.DBR("CXMD:FTM_DATA_BALANCE_SHEET","Total_Customer_Supplier",K$22,$C$19,ori,"TOTAL PRODUCT","B-451450",$C$20,"Amount_BS")/1000)</f>
        <v>7688.2510300000013</v>
      </c>
      <c r="L62" s="63">
        <f ca="1">(_xll.DBR("CXMD:FTM_DATA_BALANCE_SHEET","Total_Customer_Supplier",L$22,$C$19,ori,"TOTAL PRODUCT","B-451450",$C$20,"Amount_BS")/1000)</f>
        <v>8773.3337700000011</v>
      </c>
      <c r="M62" s="63">
        <f ca="1">(_xll.DBR("CXMD:FTM_DATA_BALANCE_SHEET","Total_Customer_Supplier",M$22,$C$19,ori,"TOTAL PRODUCT","B-451450",$C$20,"Amount_BS")/1000)</f>
        <v>10155.6283</v>
      </c>
      <c r="N62" s="63">
        <f ca="1">(_xll.DBR("CXMD:FTM_DATA_BALANCE_SHEET","Total_Customer_Supplier",N$22,$C$19,ori,"TOTAL PRODUCT","B-451450",$C$20,"Amount_BS")/1000)</f>
        <v>8453.3085699999992</v>
      </c>
      <c r="O62" s="63">
        <f ca="1">(_xll.DBR("CXMD:FTM_DATA_BALANCE_SHEET","Total_Customer_Supplier",O$22,$C$19,ori,"TOTAL PRODUCT","B-451450",$C$20,"Amount_BS")/1000)</f>
        <v>7924.152219999999</v>
      </c>
      <c r="P62" s="104">
        <f t="shared" ca="1" si="20"/>
        <v>100913.81922999999</v>
      </c>
    </row>
    <row r="63" spans="2:16" x14ac:dyDescent="0.25">
      <c r="B63" s="4" t="s">
        <v>7</v>
      </c>
      <c r="C63" s="92" t="s">
        <v>29</v>
      </c>
      <c r="D63" s="63">
        <f ca="1">(_xll.DBR("CXMD:FTM_DATA_BALANCE_SHEET","Total_Customer_Supplier",D$22,$C$19,ori,"TOTAL PRODUCT","B-451210",$C$20,"Amount_BS")/1000)</f>
        <v>76.263850000000005</v>
      </c>
      <c r="E63" s="63">
        <f ca="1">(_xll.DBR("CXMD:FTM_DATA_BALANCE_SHEET","Total_Customer_Supplier",E$22,$C$19,ori,"TOTAL PRODUCT","B-451210",$C$20,"Amount_BS")/1000)</f>
        <v>58.411540000000002</v>
      </c>
      <c r="F63" s="63">
        <f ca="1">(_xll.DBR("CXMD:FTM_DATA_BALANCE_SHEET","Total_Customer_Supplier",F$22,$C$19,ori,"TOTAL PRODUCT","B-451210",$C$20,"Amount_BS")/1000)</f>
        <v>37.763479999999994</v>
      </c>
      <c r="G63" s="63">
        <f ca="1">(_xll.DBR("CXMD:FTM_DATA_BALANCE_SHEET","Total_Customer_Supplier",G$22,$C$19,ori,"TOTAL PRODUCT","B-451210",$C$20,"Amount_BS")/1000)</f>
        <v>30.316339999999997</v>
      </c>
      <c r="H63" s="63">
        <f ca="1">(_xll.DBR("CXMD:FTM_DATA_BALANCE_SHEET","Total_Customer_Supplier",H$22,$C$19,ori,"TOTAL PRODUCT","B-451210",$C$20,"Amount_BS")/1000)</f>
        <v>42.080829999999992</v>
      </c>
      <c r="I63" s="63">
        <f ca="1">(_xll.DBR("CXMD:FTM_DATA_BALANCE_SHEET","Total_Customer_Supplier",I$22,$C$19,ori,"TOTAL PRODUCT","B-451210",$C$20,"Amount_BS")/1000)</f>
        <v>31</v>
      </c>
      <c r="J63" s="63">
        <f ca="1">(_xll.DBR("CXMD:FTM_DATA_BALANCE_SHEET","Total_Customer_Supplier",J$22,$C$19,ori,"TOTAL PRODUCT","B-451210",$C$20,"Amount_BS")/1000)</f>
        <v>59.48425000000001</v>
      </c>
      <c r="K63" s="63">
        <f ca="1">(_xll.DBR("CXMD:FTM_DATA_BALANCE_SHEET","Total_Customer_Supplier",K$22,$C$19,ori,"TOTAL PRODUCT","B-451210",$C$20,"Amount_BS")/1000)</f>
        <v>33.999919999999989</v>
      </c>
      <c r="L63" s="63">
        <f ca="1">(_xll.DBR("CXMD:FTM_DATA_BALANCE_SHEET","Total_Customer_Supplier",L$22,$C$19,ori,"TOTAL PRODUCT","B-451210",$C$20,"Amount_BS")/1000)</f>
        <v>29.899910000000002</v>
      </c>
      <c r="M63" s="63">
        <f ca="1">(_xll.DBR("CXMD:FTM_DATA_BALANCE_SHEET","Total_Customer_Supplier",M$22,$C$19,ori,"TOTAL PRODUCT","B-451210",$C$20,"Amount_BS")/1000)</f>
        <v>26.999910000000003</v>
      </c>
      <c r="N63" s="63">
        <f ca="1">(_xll.DBR("CXMD:FTM_DATA_BALANCE_SHEET","Total_Customer_Supplier",N$22,$C$19,ori,"TOTAL PRODUCT","B-451210",$C$20,"Amount_BS")/1000)</f>
        <v>64.427510000000012</v>
      </c>
      <c r="O63" s="63">
        <f ca="1">(_xll.DBR("CXMD:FTM_DATA_BALANCE_SHEET","Total_Customer_Supplier",O$22,$C$19,ori,"TOTAL PRODUCT","B-451210",$C$20,"Amount_BS")/1000)</f>
        <v>123.18817</v>
      </c>
      <c r="P63" s="104">
        <f t="shared" ca="1" si="20"/>
        <v>613.83570999999995</v>
      </c>
    </row>
    <row r="64" spans="2:16" x14ac:dyDescent="0.25">
      <c r="B64" s="4" t="s">
        <v>7</v>
      </c>
      <c r="C64" s="92" t="s">
        <v>30</v>
      </c>
      <c r="D64" s="63">
        <f ca="1">(_xll.DBR("CXMD:FTM_DATA_BALANCE_SHEET","Total_Customer_Supplier",D$22,$C$19,ori,"TOTAL PRODUCT","B-451220",$C$20,"Amount_BS")/1000)</f>
        <v>342.5247500000001</v>
      </c>
      <c r="E64" s="63">
        <f ca="1">(_xll.DBR("CXMD:FTM_DATA_BALANCE_SHEET","Total_Customer_Supplier",E$22,$C$19,ori,"TOTAL PRODUCT","B-451220",$C$20,"Amount_BS")/1000)</f>
        <v>553.91963999999984</v>
      </c>
      <c r="F64" s="63">
        <f ca="1">(_xll.DBR("CXMD:FTM_DATA_BALANCE_SHEET","Total_Customer_Supplier",F$22,$C$19,ori,"TOTAL PRODUCT","B-451220",$C$20,"Amount_BS")/1000)</f>
        <v>221.93225000000004</v>
      </c>
      <c r="G64" s="63">
        <f ca="1">(_xll.DBR("CXMD:FTM_DATA_BALANCE_SHEET","Total_Customer_Supplier",G$22,$C$19,ori,"TOTAL PRODUCT","B-451220",$C$20,"Amount_BS")/1000)</f>
        <v>351.51067000000023</v>
      </c>
      <c r="H64" s="63">
        <f ca="1">(_xll.DBR("CXMD:FTM_DATA_BALANCE_SHEET","Total_Customer_Supplier",H$22,$C$19,ori,"TOTAL PRODUCT","B-451220",$C$20,"Amount_BS")/1000)</f>
        <v>551.61095999999998</v>
      </c>
      <c r="I64" s="63">
        <f ca="1">(_xll.DBR("CXMD:FTM_DATA_BALANCE_SHEET","Total_Customer_Supplier",I$22,$C$19,ori,"TOTAL PRODUCT","B-451220",$C$20,"Amount_BS")/1000)</f>
        <v>340.68662999999998</v>
      </c>
      <c r="J64" s="63">
        <f ca="1">(_xll.DBR("CXMD:FTM_DATA_BALANCE_SHEET","Total_Customer_Supplier",J$22,$C$19,ori,"TOTAL PRODUCT","B-451220",$C$20,"Amount_BS")/1000)</f>
        <v>352.01311000000015</v>
      </c>
      <c r="K64" s="63">
        <f ca="1">(_xll.DBR("CXMD:FTM_DATA_BALANCE_SHEET","Total_Customer_Supplier",K$22,$C$19,ori,"TOTAL PRODUCT","B-451220",$C$20,"Amount_BS")/1000)</f>
        <v>301.27664999999996</v>
      </c>
      <c r="L64" s="63">
        <f ca="1">(_xll.DBR("CXMD:FTM_DATA_BALANCE_SHEET","Total_Customer_Supplier",L$22,$C$19,ori,"TOTAL PRODUCT","B-451220",$C$20,"Amount_BS")/1000)</f>
        <v>571.11517000000026</v>
      </c>
      <c r="M64" s="63">
        <f ca="1">(_xll.DBR("CXMD:FTM_DATA_BALANCE_SHEET","Total_Customer_Supplier",M$22,$C$19,ori,"TOTAL PRODUCT","B-451220",$C$20,"Amount_BS")/1000)</f>
        <v>1406.0956600000002</v>
      </c>
      <c r="N64" s="63">
        <f ca="1">(_xll.DBR("CXMD:FTM_DATA_BALANCE_SHEET","Total_Customer_Supplier",N$22,$C$19,ori,"TOTAL PRODUCT","B-451220",$C$20,"Amount_BS")/1000)</f>
        <v>844.34329000000025</v>
      </c>
      <c r="O64" s="63">
        <f ca="1">(_xll.DBR("CXMD:FTM_DATA_BALANCE_SHEET","Total_Customer_Supplier",O$22,$C$19,ori,"TOTAL PRODUCT","B-451220",$C$20,"Amount_BS")/1000)</f>
        <v>1604.8367299999995</v>
      </c>
      <c r="P64" s="104">
        <f t="shared" ca="1" si="20"/>
        <v>7441.8655099999996</v>
      </c>
    </row>
    <row r="65" spans="2:16" x14ac:dyDescent="0.25">
      <c r="B65" s="4" t="s">
        <v>7</v>
      </c>
      <c r="C65" s="92" t="s">
        <v>31</v>
      </c>
      <c r="D65" s="63">
        <f ca="1">(_xll.DBR("CXMD:FTM_DATA_BALANCE_SHEET","Total_Customer_Supplier",D$22,$C$19,ori,"TOTAL PRODUCT","B-451620",$C$20,"Amount_BS")/1000)</f>
        <v>3447.9384100000002</v>
      </c>
      <c r="E65" s="63">
        <f ca="1">(_xll.DBR("CXMD:FTM_DATA_BALANCE_SHEET","Total_Customer_Supplier",E$22,$C$19,ori,"TOTAL PRODUCT","B-451620",$C$20,"Amount_BS")/1000)</f>
        <v>3418.5059100000003</v>
      </c>
      <c r="F65" s="63">
        <f ca="1">(_xll.DBR("CXMD:FTM_DATA_BALANCE_SHEET","Total_Customer_Supplier",F$22,$C$19,ori,"TOTAL PRODUCT","B-451620",$C$20,"Amount_BS")/1000)</f>
        <v>3656.4814999999999</v>
      </c>
      <c r="G65" s="63">
        <f ca="1">(_xll.DBR("CXMD:FTM_DATA_BALANCE_SHEET","Total_Customer_Supplier",G$22,$C$19,ori,"TOTAL PRODUCT","B-451620",$C$20,"Amount_BS")/1000)</f>
        <v>3646.3757900000001</v>
      </c>
      <c r="H65" s="63">
        <f ca="1">(_xll.DBR("CXMD:FTM_DATA_BALANCE_SHEET","Total_Customer_Supplier",H$22,$C$19,ori,"TOTAL PRODUCT","B-451620",$C$20,"Amount_BS")/1000)</f>
        <v>3668.2346999999995</v>
      </c>
      <c r="I65" s="63">
        <f ca="1">(_xll.DBR("CXMD:FTM_DATA_BALANCE_SHEET","Total_Customer_Supplier",I$22,$C$19,ori,"TOTAL PRODUCT","B-451620",$C$20,"Amount_BS")/1000)</f>
        <v>3692.4522999999999</v>
      </c>
      <c r="J65" s="63">
        <f ca="1">(_xll.DBR("CXMD:FTM_DATA_BALANCE_SHEET","Total_Customer_Supplier",J$22,$C$19,ori,"TOTAL PRODUCT","B-451620",$C$20,"Amount_BS")/1000)</f>
        <v>3675.0693899999997</v>
      </c>
      <c r="K65" s="63">
        <f ca="1">(_xll.DBR("CXMD:FTM_DATA_BALANCE_SHEET","Total_Customer_Supplier",K$22,$C$19,ori,"TOTAL PRODUCT","B-451620",$C$20,"Amount_BS")/1000)</f>
        <v>3637.3002900000001</v>
      </c>
      <c r="L65" s="63">
        <f ca="1">(_xll.DBR("CXMD:FTM_DATA_BALANCE_SHEET","Total_Customer_Supplier",L$22,$C$19,ori,"TOTAL PRODUCT","B-451620",$C$20,"Amount_BS")/1000)</f>
        <v>2756.42866</v>
      </c>
      <c r="M65" s="63">
        <f ca="1">(_xll.DBR("CXMD:FTM_DATA_BALANCE_SHEET","Total_Customer_Supplier",M$22,$C$19,ori,"TOTAL PRODUCT","B-451620",$C$20,"Amount_BS")/1000)</f>
        <v>7666.2339299999994</v>
      </c>
      <c r="N65" s="63">
        <f ca="1">(_xll.DBR("CXMD:FTM_DATA_BALANCE_SHEET","Total_Customer_Supplier",N$22,$C$19,ori,"TOTAL PRODUCT","B-451620",$C$20,"Amount_BS")/1000)</f>
        <v>8479.4602500000001</v>
      </c>
      <c r="O65" s="63">
        <f ca="1">(_xll.DBR("CXMD:FTM_DATA_BALANCE_SHEET","Total_Customer_Supplier",O$22,$C$19,ori,"TOTAL PRODUCT","B-451620",$C$20,"Amount_BS")/1000)</f>
        <v>2554.7648400000016</v>
      </c>
      <c r="P65" s="104">
        <f t="shared" ca="1" si="20"/>
        <v>50299.245970000004</v>
      </c>
    </row>
    <row r="66" spans="2:16" x14ac:dyDescent="0.25">
      <c r="B66" s="4" t="s">
        <v>7</v>
      </c>
      <c r="C66" s="92" t="s">
        <v>32</v>
      </c>
      <c r="D66" s="63">
        <f ca="1">(_xll.DBR("CXMD:FTM_DATA_BALANCE_SHEET","Total_Customer_Supplier",D$22,$C$19,ori,"TOTAL PRODUCT","B-451510",$C$20,"Amount_BS")/1000)</f>
        <v>2016.8970300000001</v>
      </c>
      <c r="E66" s="63">
        <f ca="1">(_xll.DBR("CXMD:FTM_DATA_BALANCE_SHEET","Total_Customer_Supplier",E$22,$C$19,ori,"TOTAL PRODUCT","B-451510",$C$20,"Amount_BS")/1000)</f>
        <v>113.07189000000025</v>
      </c>
      <c r="F66" s="63">
        <f ca="1">(_xll.DBR("CXMD:FTM_DATA_BALANCE_SHEET","Total_Customer_Supplier",F$22,$C$19,ori,"TOTAL PRODUCT","B-451510",$C$20,"Amount_BS")/1000)</f>
        <v>2375.3511499999991</v>
      </c>
      <c r="G66" s="63">
        <f ca="1">(_xll.DBR("CXMD:FTM_DATA_BALANCE_SHEET","Total_Customer_Supplier",G$22,$C$19,ori,"TOTAL PRODUCT","B-451510",$C$20,"Amount_BS")/1000)</f>
        <v>2452.6602900000003</v>
      </c>
      <c r="H66" s="63">
        <f ca="1">(_xll.DBR("CXMD:FTM_DATA_BALANCE_SHEET","Total_Customer_Supplier",H$22,$C$19,ori,"TOTAL PRODUCT","B-451510",$C$20,"Amount_BS")/1000)</f>
        <v>2929.2106600000011</v>
      </c>
      <c r="I66" s="63">
        <f ca="1">(_xll.DBR("CXMD:FTM_DATA_BALANCE_SHEET","Total_Customer_Supplier",I$22,$C$19,ori,"TOTAL PRODUCT","B-451510",$C$20,"Amount_BS")/1000)</f>
        <v>2641.4262299999996</v>
      </c>
      <c r="J66" s="63">
        <f ca="1">(_xll.DBR("CXMD:FTM_DATA_BALANCE_SHEET","Total_Customer_Supplier",J$22,$C$19,ori,"TOTAL PRODUCT","B-451510",$C$20,"Amount_BS")/1000)</f>
        <v>1616.8070100000004</v>
      </c>
      <c r="K66" s="63">
        <f ca="1">(_xll.DBR("CXMD:FTM_DATA_BALANCE_SHEET","Total_Customer_Supplier",K$22,$C$19,ori,"TOTAL PRODUCT","B-451510",$C$20,"Amount_BS")/1000)</f>
        <v>1774.7555900000004</v>
      </c>
      <c r="L66" s="63">
        <f ca="1">(_xll.DBR("CXMD:FTM_DATA_BALANCE_SHEET","Total_Customer_Supplier",L$22,$C$19,ori,"TOTAL PRODUCT","B-451510",$C$20,"Amount_BS")/1000)</f>
        <v>1056.7200900000005</v>
      </c>
      <c r="M66" s="63">
        <f ca="1">(_xll.DBR("CXMD:FTM_DATA_BALANCE_SHEET","Total_Customer_Supplier",M$22,$C$19,ori,"TOTAL PRODUCT","B-451510",$C$20,"Amount_BS")/1000)</f>
        <v>1003.8586699999994</v>
      </c>
      <c r="N66" s="63">
        <f ca="1">(_xll.DBR("CXMD:FTM_DATA_BALANCE_SHEET","Total_Customer_Supplier",N$22,$C$19,ori,"TOTAL PRODUCT","B-451510",$C$20,"Amount_BS")/1000)</f>
        <v>1593.6885600000001</v>
      </c>
      <c r="O66" s="63">
        <f ca="1">(_xll.DBR("CXMD:FTM_DATA_BALANCE_SHEET","Total_Customer_Supplier",O$22,$C$19,ori,"TOTAL PRODUCT","B-451510",$C$20,"Amount_BS")/1000)</f>
        <v>1470.1568600000001</v>
      </c>
      <c r="P66" s="104">
        <f t="shared" ca="1" si="20"/>
        <v>21044.604029999995</v>
      </c>
    </row>
    <row r="67" spans="2:16" x14ac:dyDescent="0.25">
      <c r="B67" s="4" t="s">
        <v>7</v>
      </c>
      <c r="C67" s="92" t="s">
        <v>33</v>
      </c>
      <c r="D67" s="63">
        <f ca="1">(_xll.DBR("CXMD:FTM_DATA_BALANCE_SHEET","Total_Customer_Supplier",D$22,$C$19,ori,"TOTAL PRODUCT","B-451310",$C$20,"Amount_BS")/1000)</f>
        <v>-202.28409000000008</v>
      </c>
      <c r="E67" s="63">
        <f ca="1">(_xll.DBR("CXMD:FTM_DATA_BALANCE_SHEET","Total_Customer_Supplier",E$22,$C$19,ori,"TOTAL PRODUCT","B-451310",$C$20,"Amount_BS")/1000)</f>
        <v>283.404</v>
      </c>
      <c r="F67" s="63">
        <f ca="1">(_xll.DBR("CXMD:FTM_DATA_BALANCE_SHEET","Total_Customer_Supplier",F$22,$C$19,ori,"TOTAL PRODUCT","B-451310",$C$20,"Amount_BS")/1000)</f>
        <v>432.14014999999995</v>
      </c>
      <c r="G67" s="63">
        <f ca="1">(_xll.DBR("CXMD:FTM_DATA_BALANCE_SHEET","Total_Customer_Supplier",G$22,$C$19,ori,"TOTAL PRODUCT","B-451310",$C$20,"Amount_BS")/1000)</f>
        <v>310.95808</v>
      </c>
      <c r="H67" s="63">
        <f ca="1">(_xll.DBR("CXMD:FTM_DATA_BALANCE_SHEET","Total_Customer_Supplier",H$22,$C$19,ori,"TOTAL PRODUCT","B-451310",$C$20,"Amount_BS")/1000)</f>
        <v>315.72139000000004</v>
      </c>
      <c r="I67" s="63">
        <f ca="1">(_xll.DBR("CXMD:FTM_DATA_BALANCE_SHEET","Total_Customer_Supplier",I$22,$C$19,ori,"TOTAL PRODUCT","B-451310",$C$20,"Amount_BS")/1000)</f>
        <v>491.00466999999998</v>
      </c>
      <c r="J67" s="63">
        <f ca="1">(_xll.DBR("CXMD:FTM_DATA_BALANCE_SHEET","Total_Customer_Supplier",J$22,$C$19,ori,"TOTAL PRODUCT","B-451310",$C$20,"Amount_BS")/1000)</f>
        <v>320.05407000000002</v>
      </c>
      <c r="K67" s="63">
        <f ca="1">(_xll.DBR("CXMD:FTM_DATA_BALANCE_SHEET","Total_Customer_Supplier",K$22,$C$19,ori,"TOTAL PRODUCT","B-451310",$C$20,"Amount_BS")/1000)</f>
        <v>450.00929000000002</v>
      </c>
      <c r="L67" s="63">
        <f ca="1">(_xll.DBR("CXMD:FTM_DATA_BALANCE_SHEET","Total_Customer_Supplier",L$22,$C$19,ori,"TOTAL PRODUCT","B-451310",$C$20,"Amount_BS")/1000)</f>
        <v>370.58795999999995</v>
      </c>
      <c r="M67" s="63">
        <f ca="1">(_xll.DBR("CXMD:FTM_DATA_BALANCE_SHEET","Total_Customer_Supplier",M$22,$C$19,ori,"TOTAL PRODUCT","B-451310",$C$20,"Amount_BS")/1000)</f>
        <v>329.76517000000001</v>
      </c>
      <c r="N67" s="63">
        <f ca="1">(_xll.DBR("CXMD:FTM_DATA_BALANCE_SHEET","Total_Customer_Supplier",N$22,$C$19,ori,"TOTAL PRODUCT","B-451310",$C$20,"Amount_BS")/1000)</f>
        <v>301.06660000000005</v>
      </c>
      <c r="O67" s="63">
        <f ca="1">(_xll.DBR("CXMD:FTM_DATA_BALANCE_SHEET","Total_Customer_Supplier",O$22,$C$19,ori,"TOTAL PRODUCT","B-451310",$C$20,"Amount_BS")/1000)</f>
        <v>62.855229999999985</v>
      </c>
      <c r="P67" s="104">
        <f t="shared" ca="1" si="20"/>
        <v>3465.2825200000002</v>
      </c>
    </row>
    <row r="68" spans="2:16" x14ac:dyDescent="0.25">
      <c r="B68" s="4" t="s">
        <v>7</v>
      </c>
      <c r="C68" s="29" t="s">
        <v>37</v>
      </c>
      <c r="D68" s="63">
        <f ca="1">(_xll.DBR("CXMD:FTM_DATA_BALANCE_SHEET","Total_Customer_Supplier",D$22,$C$19,ori,"TOTAL PRODUCT","B-999999",$C$20,"Amount_BS")/1000)</f>
        <v>-1.0942358130705543E-13</v>
      </c>
      <c r="E68" s="63">
        <f ca="1">(_xll.DBR("CXMD:FTM_DATA_BALANCE_SHEET","Total_Customer_Supplier",E$22,$C$19,ori,"TOTAL PRODUCT","B-999999",$C$20,"Amount_BS")/1000)</f>
        <v>2.4249402486020699E-13</v>
      </c>
      <c r="F68" s="63">
        <f ca="1">(_xll.DBR("CXMD:FTM_DATA_BALANCE_SHEET","Total_Customer_Supplier",F$22,$C$19,ori,"TOTAL PRODUCT","B-999999",$C$20,"Amount_BS")/1000)</f>
        <v>-8.0478201880396231E-13</v>
      </c>
      <c r="G68" s="63">
        <f ca="1">(_xll.DBR("CXMD:FTM_DATA_BALANCE_SHEET","Total_Customer_Supplier",G$22,$C$19,ori,"TOTAL PRODUCT","B-999999",$C$20,"Amount_BS")/1000)</f>
        <v>-5.0383164307277185E-13</v>
      </c>
      <c r="H68" s="63">
        <f ca="1">(_xll.DBR("CXMD:FTM_DATA_BALANCE_SHEET","Total_Customer_Supplier",H$22,$C$19,ori,"TOTAL PRODUCT","B-999999",$C$20,"Amount_BS")/1000)</f>
        <v>-2.177102942368947E-14</v>
      </c>
      <c r="I68" s="63">
        <f ca="1">(_xll.DBR("CXMD:FTM_DATA_BALANCE_SHEET","Total_Customer_Supplier",I$22,$C$19,ori,"TOTAL PRODUCT","B-999999",$C$20,"Amount_BS")/1000)</f>
        <v>-8.5930196291883481E-13</v>
      </c>
      <c r="J68" s="63">
        <f ca="1">(_xll.DBR("CXMD:FTM_DATA_BALANCE_SHEET","Total_Customer_Supplier",J$22,$C$19,ori,"TOTAL PRODUCT","B-999999",$C$20,"Amount_BS")/1000)</f>
        <v>-1.6768808563938365E-13</v>
      </c>
      <c r="K68" s="63">
        <f ca="1">(_xll.DBR("CXMD:FTM_DATA_BALANCE_SHEET","Total_Customer_Supplier",K$22,$C$19,ori,"TOTAL PRODUCT","B-999999",$C$20,"Amount_BS")/1000)</f>
        <v>3.637978807091713E-14</v>
      </c>
      <c r="L68" s="63">
        <f ca="1">(_xll.DBR("CXMD:FTM_DATA_BALANCE_SHEET","Total_Customer_Supplier",L$22,$C$19,ori,"TOTAL PRODUCT","B-999999",$C$20,"Amount_BS")/1000)</f>
        <v>3.9244696381501857E-12</v>
      </c>
      <c r="M68" s="63">
        <f ca="1">(_xll.DBR("CXMD:FTM_DATA_BALANCE_SHEET","Total_Customer_Supplier",M$22,$C$19,ori,"TOTAL PRODUCT","B-999999",$C$20,"Amount_BS")/1000)</f>
        <v>-2.2802169041824526E-12</v>
      </c>
      <c r="N68" s="63">
        <f ca="1">(_xll.DBR("CXMD:FTM_DATA_BALANCE_SHEET","Total_Customer_Supplier",N$22,$C$19,ori,"TOTAL PRODUCT","B-999999",$C$20,"Amount_BS")/1000)</f>
        <v>2.4899691197788344E-12</v>
      </c>
      <c r="O68" s="63">
        <f ca="1">(_xll.DBR("CXMD:FTM_DATA_BALANCE_SHEET","Total_Customer_Supplier",O$22,$C$19,ori,"TOTAL PRODUCT","B-999999",$C$20,"Amount_BS")/1000)</f>
        <v>3.6313565487944287E-12</v>
      </c>
      <c r="P68" s="104">
        <f t="shared" ca="1" si="20"/>
        <v>5.5776538943064233E-12</v>
      </c>
    </row>
    <row r="69" spans="2:16" x14ac:dyDescent="0.25">
      <c r="B69" s="3" t="s">
        <v>8</v>
      </c>
      <c r="C69" s="26" t="s">
        <v>11</v>
      </c>
      <c r="D69" s="59">
        <f ca="1">_xll.DBR("CXMD:FTM_DATA_BALANCE_SHEET","Total_Customer_Supplier",D$22,$C$19,ori,"TOTAL PRODUCT","B-453010",$C$20,"Amount_BS")/1000</f>
        <v>-14389.18346</v>
      </c>
      <c r="E69" s="59">
        <f ca="1">_xll.DBR("CXMD:FTM_DATA_BALANCE_SHEET","Total_Customer_Supplier",E$22,$C$19,ori,"TOTAL PRODUCT","B-453010",$C$20,"Amount_BS")/1000</f>
        <v>4247.0621600000004</v>
      </c>
      <c r="F69" s="59">
        <f ca="1">_xll.DBR("CXMD:FTM_DATA_BALANCE_SHEET","Total_Customer_Supplier",F$22,$C$19,ori,"TOTAL PRODUCT","B-453010",$C$20,"Amount_BS")/1000</f>
        <v>2508.6431200000002</v>
      </c>
      <c r="G69" s="59">
        <f ca="1">_xll.DBR("CXMD:FTM_DATA_BALANCE_SHEET","Total_Customer_Supplier",G$22,$C$19,ori,"TOTAL PRODUCT","B-453010",$C$20,"Amount_BS")/1000</f>
        <v>599.29278000000068</v>
      </c>
      <c r="H69" s="59">
        <f ca="1">_xll.DBR("CXMD:FTM_DATA_BALANCE_SHEET","Total_Customer_Supplier",H$22,$C$19,ori,"TOTAL PRODUCT","B-453010",$C$20,"Amount_BS")/1000</f>
        <v>-466.32202000000132</v>
      </c>
      <c r="I69" s="59">
        <f ca="1">_xll.DBR("CXMD:FTM_DATA_BALANCE_SHEET","Total_Customer_Supplier",I$22,$C$19,ori,"TOTAL PRODUCT","B-453010",$C$20,"Amount_BS")/1000</f>
        <v>96.675750000001287</v>
      </c>
      <c r="J69" s="59">
        <f ca="1">_xll.DBR("CXMD:FTM_DATA_BALANCE_SHEET","Total_Customer_Supplier",J$22,$C$19,ori,"TOTAL PRODUCT","B-453010",$C$20,"Amount_BS")/1000</f>
        <v>2041.2398600000004</v>
      </c>
      <c r="K69" s="59">
        <f ca="1">_xll.DBR("CXMD:FTM_DATA_BALANCE_SHEET","Total_Customer_Supplier",K$22,$C$19,ori,"TOTAL PRODUCT","B-453010",$C$20,"Amount_BS")/1000</f>
        <v>-1527.4296600000002</v>
      </c>
      <c r="L69" s="59">
        <f ca="1">_xll.DBR("CXMD:FTM_DATA_BALANCE_SHEET","Total_Customer_Supplier",L$22,$C$19,ori,"TOTAL PRODUCT","B-453010",$C$20,"Amount_BS")/1000</f>
        <v>1115.7118699999971</v>
      </c>
      <c r="M69" s="59">
        <f ca="1">_xll.DBR("CXMD:FTM_DATA_BALANCE_SHEET","Total_Customer_Supplier",M$22,$C$19,ori,"TOTAL PRODUCT","B-453010",$C$20,"Amount_BS")/1000</f>
        <v>-330.48168000000038</v>
      </c>
      <c r="N69" s="59">
        <f ca="1">_xll.DBR("CXMD:FTM_DATA_BALANCE_SHEET","Total_Customer_Supplier",N$22,$C$19,ori,"TOTAL PRODUCT","B-453010",$C$20,"Amount_BS")/1000</f>
        <v>-206.34480000000141</v>
      </c>
      <c r="O69" s="59">
        <f ca="1">_xll.DBR("CXMD:FTM_DATA_BALANCE_SHEET","Total_Customer_Supplier",O$22,$C$19,ori,"TOTAL PRODUCT","B-453010",$C$20,"Amount_BS")/1000</f>
        <v>2811.9653800000006</v>
      </c>
      <c r="P69" s="101">
        <f ca="1">SUM(D69:O69)</f>
        <v>-3499.1707000000024</v>
      </c>
    </row>
    <row r="70" spans="2:16" x14ac:dyDescent="0.25">
      <c r="B70" s="4" t="s">
        <v>8</v>
      </c>
      <c r="C70" s="28" t="s">
        <v>22</v>
      </c>
      <c r="D70" s="61">
        <f ca="1">D71</f>
        <v>-14389.18346</v>
      </c>
      <c r="E70" s="61">
        <f t="shared" ref="E70:O70" ca="1" si="21">E71</f>
        <v>4247.0621600000004</v>
      </c>
      <c r="F70" s="61">
        <f t="shared" ca="1" si="21"/>
        <v>2508.6431200000002</v>
      </c>
      <c r="G70" s="61">
        <f t="shared" ca="1" si="21"/>
        <v>599.29278000000068</v>
      </c>
      <c r="H70" s="61">
        <f t="shared" ca="1" si="21"/>
        <v>-466.32202000000132</v>
      </c>
      <c r="I70" s="61">
        <f t="shared" ca="1" si="21"/>
        <v>96.675750000001287</v>
      </c>
      <c r="J70" s="61">
        <f t="shared" ca="1" si="21"/>
        <v>2041.2398600000004</v>
      </c>
      <c r="K70" s="61">
        <f t="shared" ca="1" si="21"/>
        <v>-1527.4296600000002</v>
      </c>
      <c r="L70" s="61">
        <f t="shared" ca="1" si="21"/>
        <v>1115.7118699999971</v>
      </c>
      <c r="M70" s="61">
        <f t="shared" ca="1" si="21"/>
        <v>-330.48168000000038</v>
      </c>
      <c r="N70" s="61">
        <f t="shared" ca="1" si="21"/>
        <v>-206.34480000000141</v>
      </c>
      <c r="O70" s="61">
        <f t="shared" ca="1" si="21"/>
        <v>2811.9653800000006</v>
      </c>
      <c r="P70" s="102">
        <f t="shared" ref="P70:P71" ca="1" si="22">SUM(D70:O70)</f>
        <v>-3499.1707000000024</v>
      </c>
    </row>
    <row r="71" spans="2:16" x14ac:dyDescent="0.25">
      <c r="B71" s="4" t="s">
        <v>8</v>
      </c>
      <c r="C71" s="29" t="s">
        <v>36</v>
      </c>
      <c r="D71" s="63">
        <f ca="1">(_xll.DBR("CXMD:FTM_DATA_BALANCE_SHEET","Total_Customer_Supplier",D$22,$C$19,ori,"TOTAL PRODUCT","B-453010",$C$20,"Amount_BS")/1000)</f>
        <v>-14389.18346</v>
      </c>
      <c r="E71" s="63">
        <f ca="1">(_xll.DBR("CXMD:FTM_DATA_BALANCE_SHEET","Total_Customer_Supplier",E$22,$C$19,ori,"TOTAL PRODUCT","B-453010",$C$20,"Amount_BS")/1000)</f>
        <v>4247.0621600000004</v>
      </c>
      <c r="F71" s="63">
        <f ca="1">(_xll.DBR("CXMD:FTM_DATA_BALANCE_SHEET","Total_Customer_Supplier",F$22,$C$19,ori,"TOTAL PRODUCT","B-453010",$C$20,"Amount_BS")/1000)</f>
        <v>2508.6431200000002</v>
      </c>
      <c r="G71" s="63">
        <f ca="1">(_xll.DBR("CXMD:FTM_DATA_BALANCE_SHEET","Total_Customer_Supplier",G$22,$C$19,ori,"TOTAL PRODUCT","B-453010",$C$20,"Amount_BS")/1000)</f>
        <v>599.29278000000068</v>
      </c>
      <c r="H71" s="63">
        <f ca="1">(_xll.DBR("CXMD:FTM_DATA_BALANCE_SHEET","Total_Customer_Supplier",H$22,$C$19,ori,"TOTAL PRODUCT","B-453010",$C$20,"Amount_BS")/1000)</f>
        <v>-466.32202000000132</v>
      </c>
      <c r="I71" s="63">
        <f ca="1">(_xll.DBR("CXMD:FTM_DATA_BALANCE_SHEET","Total_Customer_Supplier",I$22,$C$19,ori,"TOTAL PRODUCT","B-453010",$C$20,"Amount_BS")/1000)</f>
        <v>96.675750000001287</v>
      </c>
      <c r="J71" s="63">
        <f ca="1">(_xll.DBR("CXMD:FTM_DATA_BALANCE_SHEET","Total_Customer_Supplier",J$22,$C$19,ori,"TOTAL PRODUCT","B-453010",$C$20,"Amount_BS")/1000)</f>
        <v>2041.2398600000004</v>
      </c>
      <c r="K71" s="63">
        <f ca="1">(_xll.DBR("CXMD:FTM_DATA_BALANCE_SHEET","Total_Customer_Supplier",K$22,$C$19,ori,"TOTAL PRODUCT","B-453010",$C$20,"Amount_BS")/1000)</f>
        <v>-1527.4296600000002</v>
      </c>
      <c r="L71" s="63">
        <f ca="1">(_xll.DBR("CXMD:FTM_DATA_BALANCE_SHEET","Total_Customer_Supplier",L$22,$C$19,ori,"TOTAL PRODUCT","B-453010",$C$20,"Amount_BS")/1000)</f>
        <v>1115.7118699999971</v>
      </c>
      <c r="M71" s="63">
        <f ca="1">(_xll.DBR("CXMD:FTM_DATA_BALANCE_SHEET","Total_Customer_Supplier",M$22,$C$19,ori,"TOTAL PRODUCT","B-453010",$C$20,"Amount_BS")/1000)</f>
        <v>-330.48168000000038</v>
      </c>
      <c r="N71" s="63">
        <f ca="1">(_xll.DBR("CXMD:FTM_DATA_BALANCE_SHEET","Total_Customer_Supplier",N$22,$C$19,ori,"TOTAL PRODUCT","B-453010",$C$20,"Amount_BS")/1000)</f>
        <v>-206.34480000000141</v>
      </c>
      <c r="O71" s="63">
        <f ca="1">(_xll.DBR("CXMD:FTM_DATA_BALANCE_SHEET","Total_Customer_Supplier",O$22,$C$19,ori,"TOTAL PRODUCT","B-453010",$C$20,"Amount_BS")/1000)</f>
        <v>2811.9653800000006</v>
      </c>
      <c r="P71" s="104">
        <f t="shared" ca="1" si="22"/>
        <v>-3499.1707000000024</v>
      </c>
    </row>
    <row r="72" spans="2:16" x14ac:dyDescent="0.25">
      <c r="B72" s="3" t="s">
        <v>9</v>
      </c>
      <c r="C72" s="26" t="s">
        <v>11</v>
      </c>
      <c r="D72" s="59">
        <f ca="1">(_xll.DBR("CXMD:FTM_DATA_BALANCE_SHEET","Total_Customer_Supplier",D$22,$C$19,ori,"TOTAL PRODUCT","B-470010",$C$20,"Amount_BS")/1000)+(_xll.DBR("CXMD:FTM_DATA_BALANCE_SHEET","Total_Customer_Supplier",D$22,$C$19,ori,"TOTAL PRODUCT","B-475010",$C$20,"Amount_BS")/1000)</f>
        <v>3386.4850200000005</v>
      </c>
      <c r="E72" s="59">
        <f ca="1">(_xll.DBR("CXMD:FTM_DATA_BALANCE_SHEET","Total_Customer_Supplier",E$22,$C$19,ori,"TOTAL PRODUCT","B-470010",$C$20,"Amount_BS")/1000)+(_xll.DBR("CXMD:FTM_DATA_BALANCE_SHEET","Total_Customer_Supplier",E$22,$C$19,ori,"TOTAL PRODUCT","B-475010",$C$20,"Amount_BS")/1000)</f>
        <v>3446.3820499999997</v>
      </c>
      <c r="F72" s="59">
        <f ca="1">(_xll.DBR("CXMD:FTM_DATA_BALANCE_SHEET","Total_Customer_Supplier",F$22,$C$19,ori,"TOTAL PRODUCT","B-470010",$C$20,"Amount_BS")/1000)+(_xll.DBR("CXMD:FTM_DATA_BALANCE_SHEET","Total_Customer_Supplier",F$22,$C$19,ori,"TOTAL PRODUCT","B-475010",$C$20,"Amount_BS")/1000)</f>
        <v>3248.5829400000002</v>
      </c>
      <c r="G72" s="59">
        <f ca="1">(_xll.DBR("CXMD:FTM_DATA_BALANCE_SHEET","Total_Customer_Supplier",G$22,$C$19,ori,"TOTAL PRODUCT","B-470010",$C$20,"Amount_BS")/1000)+(_xll.DBR("CXMD:FTM_DATA_BALANCE_SHEET","Total_Customer_Supplier",G$22,$C$19,ori,"TOTAL PRODUCT","B-475010",$C$20,"Amount_BS")/1000)</f>
        <v>3315.1649000000007</v>
      </c>
      <c r="H72" s="59">
        <f ca="1">(_xll.DBR("CXMD:FTM_DATA_BALANCE_SHEET","Total_Customer_Supplier",H$22,$C$19,ori,"TOTAL PRODUCT","B-470010",$C$20,"Amount_BS")/1000)+(_xll.DBR("CXMD:FTM_DATA_BALANCE_SHEET","Total_Customer_Supplier",H$22,$C$19,ori,"TOTAL PRODUCT","B-475010",$C$20,"Amount_BS")/1000)</f>
        <v>3356.0761899999989</v>
      </c>
      <c r="I72" s="59">
        <f ca="1">(_xll.DBR("CXMD:FTM_DATA_BALANCE_SHEET","Total_Customer_Supplier",I$22,$C$19,ori,"TOTAL PRODUCT","B-470010",$C$20,"Amount_BS")/1000)+(_xll.DBR("CXMD:FTM_DATA_BALANCE_SHEET","Total_Customer_Supplier",I$22,$C$19,ori,"TOTAL PRODUCT","B-475010",$C$20,"Amount_BS")/1000)</f>
        <v>3390.1403000000009</v>
      </c>
      <c r="J72" s="59">
        <f ca="1">(_xll.DBR("CXMD:FTM_DATA_BALANCE_SHEET","Total_Customer_Supplier",J$22,$C$19,ori,"TOTAL PRODUCT","B-470010",$C$20,"Amount_BS")/1000)+(_xll.DBR("CXMD:FTM_DATA_BALANCE_SHEET","Total_Customer_Supplier",J$22,$C$19,ori,"TOTAL PRODUCT","B-475010",$C$20,"Amount_BS")/1000)</f>
        <v>3385.8417799999988</v>
      </c>
      <c r="K72" s="59">
        <f ca="1">(_xll.DBR("CXMD:FTM_DATA_BALANCE_SHEET","Total_Customer_Supplier",K$22,$C$19,ori,"TOTAL PRODUCT","B-470010",$C$20,"Amount_BS")/1000)+(_xll.DBR("CXMD:FTM_DATA_BALANCE_SHEET","Total_Customer_Supplier",K$22,$C$19,ori,"TOTAL PRODUCT","B-475010",$C$20,"Amount_BS")/1000)</f>
        <v>3432.8226600000012</v>
      </c>
      <c r="L72" s="59">
        <f ca="1">(_xll.DBR("CXMD:FTM_DATA_BALANCE_SHEET","Total_Customer_Supplier",L$22,$C$19,ori,"TOTAL PRODUCT","B-470010",$C$20,"Amount_BS")/1000)+(_xll.DBR("CXMD:FTM_DATA_BALANCE_SHEET","Total_Customer_Supplier",L$22,$C$19,ori,"TOTAL PRODUCT","B-475010",$C$20,"Amount_BS")/1000)</f>
        <v>3145.5872500000023</v>
      </c>
      <c r="M72" s="59">
        <f ca="1">(_xll.DBR("CXMD:FTM_DATA_BALANCE_SHEET","Total_Customer_Supplier",M$22,$C$19,ori,"TOTAL PRODUCT","B-470010",$C$20,"Amount_BS")/1000)+(_xll.DBR("CXMD:FTM_DATA_BALANCE_SHEET","Total_Customer_Supplier",M$22,$C$19,ori,"TOTAL PRODUCT","B-475010",$C$20,"Amount_BS")/1000)</f>
        <v>3140.9816400000018</v>
      </c>
      <c r="N72" s="59">
        <f ca="1">(_xll.DBR("CXMD:FTM_DATA_BALANCE_SHEET","Total_Customer_Supplier",N$22,$C$19,ori,"TOTAL PRODUCT","B-470010",$C$20,"Amount_BS")/1000)+(_xll.DBR("CXMD:FTM_DATA_BALANCE_SHEET","Total_Customer_Supplier",N$22,$C$19,ori,"TOTAL PRODUCT","B-475010",$C$20,"Amount_BS")/1000)</f>
        <v>3154.1038400000029</v>
      </c>
      <c r="O72" s="59">
        <f ca="1">(_xll.DBR("CXMD:FTM_DATA_BALANCE_SHEET","Total_Customer_Supplier",O$22,$C$19,ori,"TOTAL PRODUCT","B-470010",$C$20,"Amount_BS")/1000)+(_xll.DBR("CXMD:FTM_DATA_BALANCE_SHEET","Total_Customer_Supplier",O$22,$C$19,ori,"TOTAL PRODUCT","B-475010",$C$20,"Amount_BS")/1000)</f>
        <v>3300.1831500000017</v>
      </c>
      <c r="P72" s="101">
        <f ca="1">SUM(D72:O72)</f>
        <v>39702.351720000021</v>
      </c>
    </row>
    <row r="73" spans="2:16" ht="15.75" thickBot="1" x14ac:dyDescent="0.3">
      <c r="B73" s="4" t="s">
        <v>9</v>
      </c>
      <c r="C73" s="27" t="s">
        <v>39</v>
      </c>
      <c r="D73" s="61">
        <f ca="1">(_xll.DBR("CXMD:FTM_DATA_BALANCE_SHEET","Total_Customer_Supplier",D$22,$C$19,ori,"TOTAL PRODUCT","R-981000",$C$20,"Amount_BS")/1000)</f>
        <v>3386.4850200000005</v>
      </c>
      <c r="E73" s="61">
        <f ca="1">(_xll.DBR("CXMD:FTM_DATA_BALANCE_SHEET","Total_Customer_Supplier",E$22,$C$19,ori,"TOTAL PRODUCT","R-981000",$C$20,"Amount_BS")/1000)</f>
        <v>3446.3820499999997</v>
      </c>
      <c r="F73" s="61">
        <f ca="1">(_xll.DBR("CXMD:FTM_DATA_BALANCE_SHEET","Total_Customer_Supplier",F$22,$C$19,ori,"TOTAL PRODUCT","R-981000",$C$20,"Amount_BS")/1000)</f>
        <v>3248.5829400000007</v>
      </c>
      <c r="G73" s="61">
        <f ca="1">(_xll.DBR("CXMD:FTM_DATA_BALANCE_SHEET","Total_Customer_Supplier",G$22,$C$19,ori,"TOTAL PRODUCT","R-981000",$C$20,"Amount_BS")/1000)</f>
        <v>3315.1648999999993</v>
      </c>
      <c r="H73" s="61">
        <f ca="1">(_xll.DBR("CXMD:FTM_DATA_BALANCE_SHEET","Total_Customer_Supplier",H$22,$C$19,ori,"TOTAL PRODUCT","R-981000",$C$20,"Amount_BS")/1000)</f>
        <v>3356.0761899999993</v>
      </c>
      <c r="I73" s="61">
        <f ca="1">(_xll.DBR("CXMD:FTM_DATA_BALANCE_SHEET","Total_Customer_Supplier",I$22,$C$19,ori,"TOTAL PRODUCT","R-981000",$C$20,"Amount_BS")/1000)</f>
        <v>3390.1403000000018</v>
      </c>
      <c r="J73" s="61">
        <f ca="1">(_xll.DBR("CXMD:FTM_DATA_BALANCE_SHEET","Total_Customer_Supplier",J$22,$C$19,ori,"TOTAL PRODUCT","R-981000",$C$20,"Amount_BS")/1000)</f>
        <v>3385.8417799999988</v>
      </c>
      <c r="K73" s="61">
        <f ca="1">(_xll.DBR("CXMD:FTM_DATA_BALANCE_SHEET","Total_Customer_Supplier",K$22,$C$19,ori,"TOTAL PRODUCT","R-981000",$C$20,"Amount_BS")/1000)</f>
        <v>3432.8226600000012</v>
      </c>
      <c r="L73" s="61">
        <f ca="1">(_xll.DBR("CXMD:FTM_DATA_BALANCE_SHEET","Total_Customer_Supplier",L$22,$C$19,ori,"TOTAL PRODUCT","R-981000",$C$20,"Amount_BS")/1000)</f>
        <v>3145.5872500000028</v>
      </c>
      <c r="M73" s="61">
        <f ca="1">(_xll.DBR("CXMD:FTM_DATA_BALANCE_SHEET","Total_Customer_Supplier",M$22,$C$19,ori,"TOTAL PRODUCT","R-981000",$C$20,"Amount_BS")/1000)</f>
        <v>3140.9816400000013</v>
      </c>
      <c r="N73" s="61">
        <f ca="1">(_xll.DBR("CXMD:FTM_DATA_BALANCE_SHEET","Total_Customer_Supplier",N$22,$C$19,ori,"TOTAL PRODUCT","R-981000",$C$20,"Amount_BS")/1000)</f>
        <v>3154.1038400000029</v>
      </c>
      <c r="O73" s="61">
        <f ca="1">(_xll.DBR("CXMD:FTM_DATA_BALANCE_SHEET","Total_Customer_Supplier",O$22,$C$19,ori,"TOTAL PRODUCT","R-981000",$C$20,"Amount_BS")/1000)</f>
        <v>3300.1831500000017</v>
      </c>
      <c r="P73" s="102">
        <f t="shared" ref="P73:P74" ca="1" si="23">SUM(D73:O73)</f>
        <v>39702.351720000013</v>
      </c>
    </row>
    <row r="74" spans="2:16" ht="15.75" x14ac:dyDescent="0.25">
      <c r="B74" s="50" t="s">
        <v>44</v>
      </c>
      <c r="C74" s="51"/>
      <c r="D74" s="80">
        <f ca="1">D29-D34-D46-D54-D69-D72-D30</f>
        <v>86917.47015999991</v>
      </c>
      <c r="E74" s="80">
        <f t="shared" ref="E74:O74" ca="1" si="24">E29-E34-E46-E54-E69-E72-E30</f>
        <v>70173.044439999983</v>
      </c>
      <c r="F74" s="80">
        <f t="shared" ca="1" si="24"/>
        <v>42198.059820000002</v>
      </c>
      <c r="G74" s="80">
        <f t="shared" ca="1" si="24"/>
        <v>36734.624049999926</v>
      </c>
      <c r="H74" s="80">
        <f t="shared" ca="1" si="24"/>
        <v>68398.344069999948</v>
      </c>
      <c r="I74" s="80">
        <f t="shared" ca="1" si="24"/>
        <v>62307.06377999996</v>
      </c>
      <c r="J74" s="80">
        <f t="shared" ca="1" si="24"/>
        <v>70679.444809999957</v>
      </c>
      <c r="K74" s="80">
        <f t="shared" ca="1" si="24"/>
        <v>106805.41190999988</v>
      </c>
      <c r="L74" s="80">
        <f t="shared" ca="1" si="24"/>
        <v>79496.967719999971</v>
      </c>
      <c r="M74" s="80">
        <f t="shared" ca="1" si="24"/>
        <v>34113.030929999994</v>
      </c>
      <c r="N74" s="80">
        <f t="shared" ca="1" si="24"/>
        <v>19694.39175000017</v>
      </c>
      <c r="O74" s="80">
        <f t="shared" ca="1" si="24"/>
        <v>16398.407869999959</v>
      </c>
      <c r="P74" s="113">
        <f t="shared" ca="1" si="23"/>
        <v>693916.26130999974</v>
      </c>
    </row>
    <row r="75" spans="2:16" ht="15.75" thickBot="1" x14ac:dyDescent="0.3">
      <c r="B75" s="52"/>
      <c r="C75" s="53" t="s">
        <v>45</v>
      </c>
      <c r="D75" s="54">
        <f ca="1">IF(D25&lt;&gt;0,D74/D25,0)</f>
        <v>0.24154242477506324</v>
      </c>
      <c r="E75" s="54">
        <f t="shared" ref="E75:O75" ca="1" si="25">IF(E25&lt;&gt;0,E74/E25,0)</f>
        <v>0.20617793031328621</v>
      </c>
      <c r="F75" s="54">
        <f t="shared" ca="1" si="25"/>
        <v>0.11924863809662474</v>
      </c>
      <c r="G75" s="54">
        <f t="shared" ca="1" si="25"/>
        <v>0.11364577324396248</v>
      </c>
      <c r="H75" s="54">
        <f t="shared" ca="1" si="25"/>
        <v>0.19029442886524917</v>
      </c>
      <c r="I75" s="54">
        <f t="shared" ca="1" si="25"/>
        <v>0.16401182681847107</v>
      </c>
      <c r="J75" s="54">
        <f t="shared" ca="1" si="25"/>
        <v>0.18595232574446588</v>
      </c>
      <c r="K75" s="54">
        <f t="shared" ca="1" si="25"/>
        <v>0.29433218763342228</v>
      </c>
      <c r="L75" s="54">
        <f t="shared" ca="1" si="25"/>
        <v>0.24368199332969401</v>
      </c>
      <c r="M75" s="54">
        <f t="shared" ca="1" si="25"/>
        <v>0.10768443922462269</v>
      </c>
      <c r="N75" s="54">
        <f t="shared" ca="1" si="25"/>
        <v>6.1930384658445616E-2</v>
      </c>
      <c r="O75" s="54">
        <f t="shared" ca="1" si="25"/>
        <v>6.5063380897444401E-2</v>
      </c>
      <c r="P75" s="114">
        <f ca="1">IF(P25&lt;&gt;0,P74/P25,0)</f>
        <v>0.17038399519983038</v>
      </c>
    </row>
    <row r="76" spans="2:16" x14ac:dyDescent="0.25">
      <c r="B76" s="3" t="s">
        <v>10</v>
      </c>
      <c r="C76" s="26" t="s">
        <v>11</v>
      </c>
      <c r="D76" s="59">
        <f ca="1">(_xll.DBR("CXMD:FTM_DATA_BALANCE_SHEET","Total_Customer_Supplier",D$22,$C$19,ori,"TOTAL PRODUCT","B-560020",$C$20,"Amount_BS")/1000)+(_xll.DBR("CXMD:FTM_DATA_BALANCE_SHEET","Total_Customer_Supplier",D$22,$C$19,ori,"TOTAL PRODUCT","B-561010",$C$20,"Amount_BS")/1000)</f>
        <v>462.46413000000007</v>
      </c>
      <c r="E76" s="59">
        <f ca="1">(_xll.DBR("CXMD:FTM_DATA_BALANCE_SHEET","Total_Customer_Supplier",E$22,$C$19,ori,"TOTAL PRODUCT","B-560020",$C$20,"Amount_BS")/1000)+(_xll.DBR("CXMD:FTM_DATA_BALANCE_SHEET","Total_Customer_Supplier",E$22,$C$19,ori,"TOTAL PRODUCT","B-561010",$C$20,"Amount_BS")/1000)</f>
        <v>462.46413000000007</v>
      </c>
      <c r="F76" s="59">
        <f ca="1">(_xll.DBR("CXMD:FTM_DATA_BALANCE_SHEET","Total_Customer_Supplier",F$22,$C$19,ori,"TOTAL PRODUCT","B-560020",$C$20,"Amount_BS")/1000)+(_xll.DBR("CXMD:FTM_DATA_BALANCE_SHEET","Total_Customer_Supplier",F$22,$C$19,ori,"TOTAL PRODUCT","B-561010",$C$20,"Amount_BS")/1000)</f>
        <v>462.46413000000007</v>
      </c>
      <c r="G76" s="59">
        <f ca="1">(_xll.DBR("CXMD:FTM_DATA_BALANCE_SHEET","Total_Customer_Supplier",G$22,$C$19,ori,"TOTAL PRODUCT","B-560020",$C$20,"Amount_BS")/1000)+(_xll.DBR("CXMD:FTM_DATA_BALANCE_SHEET","Total_Customer_Supplier",G$22,$C$19,ori,"TOTAL PRODUCT","B-561010",$C$20,"Amount_BS")/1000)</f>
        <v>799.42713000000003</v>
      </c>
      <c r="H76" s="59">
        <f ca="1">(_xll.DBR("CXMD:FTM_DATA_BALANCE_SHEET","Total_Customer_Supplier",H$22,$C$19,ori,"TOTAL PRODUCT","B-560020",$C$20,"Amount_BS")/1000)+(_xll.DBR("CXMD:FTM_DATA_BALANCE_SHEET","Total_Customer_Supplier",H$22,$C$19,ori,"TOTAL PRODUCT","B-561010",$C$20,"Amount_BS")/1000)</f>
        <v>462.46413000000007</v>
      </c>
      <c r="I76" s="59">
        <f ca="1">(_xll.DBR("CXMD:FTM_DATA_BALANCE_SHEET","Total_Customer_Supplier",I$22,$C$19,ori,"TOTAL PRODUCT","B-560020",$C$20,"Amount_BS")/1000)+(_xll.DBR("CXMD:FTM_DATA_BALANCE_SHEET","Total_Customer_Supplier",I$22,$C$19,ori,"TOTAL PRODUCT","B-561010",$C$20,"Amount_BS")/1000)</f>
        <v>462.46413000000007</v>
      </c>
      <c r="J76" s="59">
        <f ca="1">(_xll.DBR("CXMD:FTM_DATA_BALANCE_SHEET","Total_Customer_Supplier",J$22,$C$19,ori,"TOTAL PRODUCT","B-560020",$C$20,"Amount_BS")/1000)+(_xll.DBR("CXMD:FTM_DATA_BALANCE_SHEET","Total_Customer_Supplier",J$22,$C$19,ori,"TOTAL PRODUCT","B-561010",$C$20,"Amount_BS")/1000)</f>
        <v>462.46413000000007</v>
      </c>
      <c r="K76" s="59">
        <f ca="1">(_xll.DBR("CXMD:FTM_DATA_BALANCE_SHEET","Total_Customer_Supplier",K$22,$C$19,ori,"TOTAL PRODUCT","B-560020",$C$20,"Amount_BS")/1000)+(_xll.DBR("CXMD:FTM_DATA_BALANCE_SHEET","Total_Customer_Supplier",K$22,$C$19,ori,"TOTAL PRODUCT","B-561010",$C$20,"Amount_BS")/1000)</f>
        <v>462.46413000000007</v>
      </c>
      <c r="L76" s="59">
        <f ca="1">(_xll.DBR("CXMD:FTM_DATA_BALANCE_SHEET","Total_Customer_Supplier",L$22,$C$19,ori,"TOTAL PRODUCT","B-560020",$C$20,"Amount_BS")/1000)+(_xll.DBR("CXMD:FTM_DATA_BALANCE_SHEET","Total_Customer_Supplier",L$22,$C$19,ori,"TOTAL PRODUCT","B-561010",$C$20,"Amount_BS")/1000)</f>
        <v>462.46413000000007</v>
      </c>
      <c r="M76" s="59">
        <f ca="1">(_xll.DBR("CXMD:FTM_DATA_BALANCE_SHEET","Total_Customer_Supplier",M$22,$C$19,ori,"TOTAL PRODUCT","B-560020",$C$20,"Amount_BS")/1000)+(_xll.DBR("CXMD:FTM_DATA_BALANCE_SHEET","Total_Customer_Supplier",M$22,$C$19,ori,"TOTAL PRODUCT","B-561010",$C$20,"Amount_BS")/1000)</f>
        <v>462.46412999999995</v>
      </c>
      <c r="N76" s="59">
        <f ca="1">(_xll.DBR("CXMD:FTM_DATA_BALANCE_SHEET","Total_Customer_Supplier",N$22,$C$19,ori,"TOTAL PRODUCT","B-560020",$C$20,"Amount_BS")/1000)+(_xll.DBR("CXMD:FTM_DATA_BALANCE_SHEET","Total_Customer_Supplier",N$22,$C$19,ori,"TOTAL PRODUCT","B-561010",$C$20,"Amount_BS")/1000)</f>
        <v>836.01812999999981</v>
      </c>
      <c r="O76" s="59">
        <f ca="1">(_xll.DBR("CXMD:FTM_DATA_BALANCE_SHEET","Total_Customer_Supplier",O$22,$C$19,ori,"TOTAL PRODUCT","B-560020",$C$20,"Amount_BS")/1000)+(_xll.DBR("CXMD:FTM_DATA_BALANCE_SHEET","Total_Customer_Supplier",O$22,$C$19,ori,"TOTAL PRODUCT","B-561010",$C$20,"Amount_BS")/1000)</f>
        <v>98.335599999999886</v>
      </c>
      <c r="P76" s="101">
        <f ca="1">SUM(D76:O76)</f>
        <v>5895.9580300000016</v>
      </c>
    </row>
    <row r="77" spans="2:16" x14ac:dyDescent="0.25">
      <c r="B77" s="4" t="s">
        <v>10</v>
      </c>
      <c r="C77" s="27" t="s">
        <v>38</v>
      </c>
      <c r="D77" s="61">
        <f ca="1">(_xll.DBR("CXMD:FTM_DATA_BALANCE_SHEET","Total_Customer_Supplier",D$22,$C$19,ori,"TOTAL PRODUCT","R-959100",$C$20,"Amount_BS")/1000)</f>
        <v>329.58300000000003</v>
      </c>
      <c r="E77" s="61">
        <f ca="1">(_xll.DBR("CXMD:FTM_DATA_BALANCE_SHEET","Total_Customer_Supplier",E$22,$C$19,ori,"TOTAL PRODUCT","R-959100",$C$20,"Amount_BS")/1000)</f>
        <v>329.58300000000003</v>
      </c>
      <c r="F77" s="61">
        <f ca="1">(_xll.DBR("CXMD:FTM_DATA_BALANCE_SHEET","Total_Customer_Supplier",F$22,$C$19,ori,"TOTAL PRODUCT","R-959100",$C$20,"Amount_BS")/1000)</f>
        <v>329.58300000000003</v>
      </c>
      <c r="G77" s="61">
        <f ca="1">(_xll.DBR("CXMD:FTM_DATA_BALANCE_SHEET","Total_Customer_Supplier",G$22,$C$19,ori,"TOTAL PRODUCT","R-959100",$C$20,"Amount_BS")/1000)</f>
        <v>666.54600000000005</v>
      </c>
      <c r="H77" s="61">
        <f ca="1">(_xll.DBR("CXMD:FTM_DATA_BALANCE_SHEET","Total_Customer_Supplier",H$22,$C$19,ori,"TOTAL PRODUCT","R-959100",$C$20,"Amount_BS")/1000)</f>
        <v>329.58300000000003</v>
      </c>
      <c r="I77" s="61">
        <f ca="1">(_xll.DBR("CXMD:FTM_DATA_BALANCE_SHEET","Total_Customer_Supplier",I$22,$C$19,ori,"TOTAL PRODUCT","R-959100",$C$20,"Amount_BS")/1000)</f>
        <v>329.58300000000003</v>
      </c>
      <c r="J77" s="61">
        <f ca="1">(_xll.DBR("CXMD:FTM_DATA_BALANCE_SHEET","Total_Customer_Supplier",J$22,$C$19,ori,"TOTAL PRODUCT","R-959100",$C$20,"Amount_BS")/1000)</f>
        <v>329.58300000000003</v>
      </c>
      <c r="K77" s="61">
        <f ca="1">(_xll.DBR("CXMD:FTM_DATA_BALANCE_SHEET","Total_Customer_Supplier",K$22,$C$19,ori,"TOTAL PRODUCT","R-959100",$C$20,"Amount_BS")/1000)</f>
        <v>329.58300000000003</v>
      </c>
      <c r="L77" s="61">
        <f ca="1">(_xll.DBR("CXMD:FTM_DATA_BALANCE_SHEET","Total_Customer_Supplier",L$22,$C$19,ori,"TOTAL PRODUCT","R-959100",$C$20,"Amount_BS")/1000)</f>
        <v>329.58300000000003</v>
      </c>
      <c r="M77" s="61">
        <f ca="1">(_xll.DBR("CXMD:FTM_DATA_BALANCE_SHEET","Total_Customer_Supplier",M$22,$C$19,ori,"TOTAL PRODUCT","R-959100",$C$20,"Amount_BS")/1000)</f>
        <v>329.58300000000003</v>
      </c>
      <c r="N77" s="61">
        <f ca="1">(_xll.DBR("CXMD:FTM_DATA_BALANCE_SHEET","Total_Customer_Supplier",N$22,$C$19,ori,"TOTAL PRODUCT","R-959100",$C$20,"Amount_BS")/1000)</f>
        <v>703.13699999999994</v>
      </c>
      <c r="O77" s="61">
        <f ca="1">(_xll.DBR("CXMD:FTM_DATA_BALANCE_SHEET","Total_Customer_Supplier",O$22,$C$19,ori,"TOTAL PRODUCT","R-959100",$C$20,"Amount_BS")/1000)</f>
        <v>75.158000000000001</v>
      </c>
      <c r="P77" s="102">
        <f t="shared" ref="P77:P79" ca="1" si="26">SUM(D77:O77)</f>
        <v>4411.0880000000006</v>
      </c>
    </row>
    <row r="78" spans="2:16" ht="15.75" thickBot="1" x14ac:dyDescent="0.3">
      <c r="B78" s="4" t="s">
        <v>10</v>
      </c>
      <c r="C78" s="27" t="s">
        <v>40</v>
      </c>
      <c r="D78" s="61">
        <f ca="1">(_xll.DBR("CXMD:FTM_DATA_BALANCE_SHEET","Total_Customer_Supplier",D$22,$C$19,ori,"TOTAL PRODUCT","R-990000",$C$20,"Amount_BS")/1000)</f>
        <v>2239.7399699999996</v>
      </c>
      <c r="E78" s="61">
        <f ca="1">(_xll.DBR("CXMD:FTM_DATA_BALANCE_SHEET","Total_Customer_Supplier",E$22,$C$19,ori,"TOTAL PRODUCT","R-990000",$C$20,"Amount_BS")/1000)</f>
        <v>-771.18992000000014</v>
      </c>
      <c r="F78" s="61">
        <f ca="1">(_xll.DBR("CXMD:FTM_DATA_BALANCE_SHEET","Total_Customer_Supplier",F$22,$C$19,ori,"TOTAL PRODUCT","R-990000",$C$20,"Amount_BS")/1000)</f>
        <v>15197.677029999999</v>
      </c>
      <c r="G78" s="61">
        <f ca="1">(_xll.DBR("CXMD:FTM_DATA_BALANCE_SHEET","Total_Customer_Supplier",G$22,$C$19,ori,"TOTAL PRODUCT","R-990000",$C$20,"Amount_BS")/1000)</f>
        <v>-10775.5213</v>
      </c>
      <c r="H78" s="61">
        <f ca="1">(_xll.DBR("CXMD:FTM_DATA_BALANCE_SHEET","Total_Customer_Supplier",H$22,$C$19,ori,"TOTAL PRODUCT","R-990000",$C$20,"Amount_BS")/1000)</f>
        <v>1366.6094599999994</v>
      </c>
      <c r="I78" s="61">
        <f ca="1">(_xll.DBR("CXMD:FTM_DATA_BALANCE_SHEET","Total_Customer_Supplier",I$22,$C$19,ori,"TOTAL PRODUCT","R-990000",$C$20,"Amount_BS")/1000)</f>
        <v>21769.968079999999</v>
      </c>
      <c r="J78" s="61">
        <f ca="1">(_xll.DBR("CXMD:FTM_DATA_BALANCE_SHEET","Total_Customer_Supplier",J$22,$C$19,ori,"TOTAL PRODUCT","R-990000",$C$20,"Amount_BS")/1000)</f>
        <v>-975.49857000000065</v>
      </c>
      <c r="K78" s="61">
        <f ca="1">(_xll.DBR("CXMD:FTM_DATA_BALANCE_SHEET","Total_Customer_Supplier",K$22,$C$19,ori,"TOTAL PRODUCT","R-990000",$C$20,"Amount_BS")/1000)</f>
        <v>-472.22143000000068</v>
      </c>
      <c r="L78" s="61">
        <f ca="1">(_xll.DBR("CXMD:FTM_DATA_BALANCE_SHEET","Total_Customer_Supplier",L$22,$C$19,ori,"TOTAL PRODUCT","R-990000",$C$20,"Amount_BS")/1000)</f>
        <v>23796.53775</v>
      </c>
      <c r="M78" s="61">
        <f ca="1">(_xll.DBR("CXMD:FTM_DATA_BALANCE_SHEET","Total_Customer_Supplier",M$22,$C$19,ori,"TOTAL PRODUCT","R-990000",$C$20,"Amount_BS")/1000)</f>
        <v>-2570.7578900000008</v>
      </c>
      <c r="N78" s="61">
        <f ca="1">(_xll.DBR("CXMD:FTM_DATA_BALANCE_SHEET","Total_Customer_Supplier",N$22,$C$19,ori,"TOTAL PRODUCT","R-990000",$C$20,"Amount_BS")/1000)</f>
        <v>-1812.5130700000004</v>
      </c>
      <c r="O78" s="61">
        <f ca="1">(_xll.DBR("CXMD:FTM_DATA_BALANCE_SHEET","Total_Customer_Supplier",O$22,$C$19,ori,"TOTAL PRODUCT","R-990000",$C$20,"Amount_BS")/1000)</f>
        <v>112356.41438</v>
      </c>
      <c r="P78" s="102">
        <f t="shared" ca="1" si="26"/>
        <v>159349.24448999998</v>
      </c>
    </row>
    <row r="79" spans="2:16" ht="15.75" x14ac:dyDescent="0.25">
      <c r="B79" s="50" t="s">
        <v>46</v>
      </c>
      <c r="C79" s="51"/>
      <c r="D79" s="80">
        <f ca="1">D74-D76</f>
        <v>86455.006029999917</v>
      </c>
      <c r="E79" s="80">
        <f t="shared" ref="E79:O79" ca="1" si="27">E74-E76</f>
        <v>69710.58030999999</v>
      </c>
      <c r="F79" s="80">
        <f t="shared" ca="1" si="27"/>
        <v>41735.595690000002</v>
      </c>
      <c r="G79" s="80">
        <f t="shared" ca="1" si="27"/>
        <v>35935.196919999929</v>
      </c>
      <c r="H79" s="80">
        <f t="shared" ca="1" si="27"/>
        <v>67935.879939999955</v>
      </c>
      <c r="I79" s="80">
        <f t="shared" ca="1" si="27"/>
        <v>61844.59964999996</v>
      </c>
      <c r="J79" s="80">
        <f t="shared" ca="1" si="27"/>
        <v>70216.980679999964</v>
      </c>
      <c r="K79" s="80">
        <f t="shared" ca="1" si="27"/>
        <v>106342.94777999989</v>
      </c>
      <c r="L79" s="80">
        <f t="shared" ca="1" si="27"/>
        <v>79034.503589999978</v>
      </c>
      <c r="M79" s="80">
        <f t="shared" ca="1" si="27"/>
        <v>33650.566799999993</v>
      </c>
      <c r="N79" s="80">
        <f t="shared" ca="1" si="27"/>
        <v>18858.373620000169</v>
      </c>
      <c r="O79" s="80">
        <f t="shared" ca="1" si="27"/>
        <v>16300.072269999959</v>
      </c>
      <c r="P79" s="113">
        <f t="shared" ca="1" si="26"/>
        <v>688020.30327999988</v>
      </c>
    </row>
    <row r="80" spans="2:16" ht="15.75" thickBot="1" x14ac:dyDescent="0.3">
      <c r="B80" s="52"/>
      <c r="C80" s="53" t="s">
        <v>45</v>
      </c>
      <c r="D80" s="54">
        <f ca="1">IF(D25&lt;&gt;0,D79/D25,0)</f>
        <v>0.24025724347461744</v>
      </c>
      <c r="E80" s="54">
        <f t="shared" ref="E80:O80" ca="1" si="28">IF(E25&lt;&gt;0,E79/E25,0)</f>
        <v>0.20481914792143688</v>
      </c>
      <c r="F80" s="54">
        <f t="shared" ca="1" si="28"/>
        <v>0.11794174820864693</v>
      </c>
      <c r="G80" s="54">
        <f t="shared" ca="1" si="28"/>
        <v>0.11117258843016413</v>
      </c>
      <c r="H80" s="54">
        <f t="shared" ca="1" si="28"/>
        <v>0.18900778444884417</v>
      </c>
      <c r="I80" s="54">
        <f t="shared" ca="1" si="28"/>
        <v>0.16279447549106568</v>
      </c>
      <c r="J80" s="54">
        <f t="shared" ca="1" si="28"/>
        <v>0.18473561725477608</v>
      </c>
      <c r="K80" s="54">
        <f t="shared" ca="1" si="28"/>
        <v>0.29305773836488164</v>
      </c>
      <c r="L80" s="54">
        <f t="shared" ca="1" si="28"/>
        <v>0.24226440239164959</v>
      </c>
      <c r="M80" s="54">
        <f t="shared" ca="1" si="28"/>
        <v>0.10622458094926911</v>
      </c>
      <c r="N80" s="54">
        <f t="shared" ca="1" si="28"/>
        <v>5.9301467501238464E-2</v>
      </c>
      <c r="O80" s="54">
        <f t="shared" ca="1" si="28"/>
        <v>6.46732182274279E-2</v>
      </c>
      <c r="P80" s="114">
        <f ca="1">IF(P25&lt;&gt;0,P79/P25,0)</f>
        <v>0.16893630339507945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3313" r:id="rId4" name="TIButton1">
          <controlPr defaultSize="0" print="0" autoLine="0" autoPict="0" r:id="rId5">
            <anchor moveWithCells="1">
              <from>
                <xdr:col>3</xdr:col>
                <xdr:colOff>409575</xdr:colOff>
                <xdr:row>16</xdr:row>
                <xdr:rowOff>152400</xdr:rowOff>
              </from>
              <to>
                <xdr:col>4</xdr:col>
                <xdr:colOff>438150</xdr:colOff>
                <xdr:row>18</xdr:row>
                <xdr:rowOff>28575</xdr:rowOff>
              </to>
            </anchor>
          </controlPr>
        </control>
      </mc:Choice>
      <mc:Fallback>
        <control shapeId="13313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/>
  <dimension ref="A1:O80"/>
  <sheetViews>
    <sheetView showGridLines="0" zoomScale="90" zoomScaleNormal="90" workbookViewId="0">
      <pane xSplit="3" ySplit="24" topLeftCell="D25" activePane="bottomRight" state="frozen"/>
      <selection activeCell="B10" sqref="B10"/>
      <selection pane="topRight" activeCell="D10" sqref="D10"/>
      <selection pane="bottomLeft" activeCell="B32" sqref="B32"/>
      <selection pane="bottomRight" activeCell="C18" sqref="C18"/>
    </sheetView>
  </sheetViews>
  <sheetFormatPr defaultColWidth="0" defaultRowHeight="0" customHeight="1" zeroHeight="1" x14ac:dyDescent="0.25"/>
  <cols>
    <col min="1" max="1" width="20.140625" hidden="1" customWidth="1"/>
    <col min="2" max="2" width="43.140625" customWidth="1"/>
    <col min="3" max="3" width="44.42578125" bestFit="1" customWidth="1"/>
    <col min="4" max="5" width="15.7109375" style="57" customWidth="1"/>
    <col min="6" max="6" width="15.7109375" style="58" customWidth="1"/>
    <col min="7" max="7" width="15.7109375" style="16" customWidth="1"/>
    <col min="8" max="8" width="15.7109375" style="57" customWidth="1"/>
    <col min="9" max="9" width="15.7109375" style="58" customWidth="1"/>
    <col min="10" max="10" width="15.7109375" style="16" customWidth="1"/>
    <col min="11" max="11" width="15.7109375" style="58" customWidth="1"/>
    <col min="12" max="12" width="15.7109375" style="16" customWidth="1"/>
    <col min="13" max="15" width="15.7109375" customWidth="1"/>
    <col min="16" max="16384" width="11.42578125" hidden="1"/>
  </cols>
  <sheetData>
    <row r="1" spans="1:15" ht="15" hidden="1" x14ac:dyDescent="0.25"/>
    <row r="2" spans="1:15" ht="15" hidden="1" x14ac:dyDescent="0.25">
      <c r="B2" s="1"/>
      <c r="C2" s="2"/>
      <c r="D2" s="59"/>
      <c r="E2" s="59"/>
      <c r="F2" s="60"/>
      <c r="G2" s="17"/>
      <c r="H2" s="59"/>
      <c r="I2" s="60"/>
      <c r="J2" s="17"/>
      <c r="K2" s="60"/>
      <c r="L2" s="17"/>
    </row>
    <row r="3" spans="1:15" ht="15" hidden="1" x14ac:dyDescent="0.25">
      <c r="B3" s="2"/>
      <c r="C3" s="9"/>
      <c r="D3" s="61"/>
      <c r="E3" s="61"/>
      <c r="F3" s="62"/>
      <c r="G3" s="18"/>
      <c r="H3" s="61"/>
      <c r="I3" s="62"/>
      <c r="J3" s="18"/>
      <c r="K3" s="62"/>
      <c r="L3" s="18"/>
    </row>
    <row r="4" spans="1:15" ht="15" hidden="1" x14ac:dyDescent="0.25">
      <c r="B4" s="2"/>
      <c r="C4" s="10"/>
      <c r="D4" s="63"/>
      <c r="E4" s="63"/>
      <c r="F4" s="64"/>
      <c r="G4" s="19"/>
      <c r="H4" s="63"/>
      <c r="I4" s="64"/>
      <c r="J4" s="19"/>
      <c r="K4" s="64"/>
      <c r="L4" s="19"/>
    </row>
    <row r="5" spans="1:15" ht="15" hidden="1" x14ac:dyDescent="0.25">
      <c r="B5" s="2"/>
      <c r="C5" s="11"/>
      <c r="D5" s="65"/>
      <c r="E5" s="65"/>
      <c r="F5" s="66"/>
      <c r="G5" s="20"/>
      <c r="H5" s="65"/>
      <c r="I5" s="66"/>
      <c r="J5" s="20"/>
      <c r="K5" s="66"/>
      <c r="L5" s="20"/>
    </row>
    <row r="6" spans="1:15" ht="15" hidden="1" x14ac:dyDescent="0.25">
      <c r="B6" s="2"/>
      <c r="C6" s="9"/>
      <c r="D6" s="61"/>
      <c r="E6" s="61"/>
      <c r="F6" s="62"/>
      <c r="G6" s="18"/>
      <c r="H6" s="61"/>
      <c r="I6" s="62"/>
      <c r="J6" s="18"/>
      <c r="K6" s="62"/>
      <c r="L6" s="18"/>
    </row>
    <row r="7" spans="1:15" ht="15" hidden="1" x14ac:dyDescent="0.25">
      <c r="B7" s="2"/>
      <c r="C7" s="12"/>
      <c r="D7" s="67"/>
      <c r="E7" s="67"/>
      <c r="G7" s="21"/>
      <c r="H7" s="67"/>
      <c r="J7" s="21"/>
      <c r="L7" s="21"/>
    </row>
    <row r="8" spans="1:15" ht="15" hidden="1" x14ac:dyDescent="0.25"/>
    <row r="9" spans="1:15" ht="15" hidden="1" x14ac:dyDescent="0.25"/>
    <row r="10" spans="1:15" ht="15" x14ac:dyDescent="0.25">
      <c r="A10" s="5"/>
      <c r="B10" s="5"/>
      <c r="C10" s="5"/>
      <c r="D10" s="68"/>
      <c r="E10" s="68"/>
      <c r="F10" s="69"/>
      <c r="G10" s="22"/>
      <c r="H10" s="68"/>
      <c r="I10" s="69"/>
      <c r="J10" s="22"/>
      <c r="K10" s="69"/>
      <c r="L10" s="22"/>
      <c r="M10" s="22"/>
      <c r="N10" s="22"/>
      <c r="O10" s="22"/>
    </row>
    <row r="11" spans="1:15" ht="15" x14ac:dyDescent="0.25">
      <c r="A11" s="5"/>
      <c r="B11" s="5"/>
      <c r="C11" s="5"/>
      <c r="D11" s="68"/>
      <c r="E11" s="68"/>
      <c r="F11" s="69"/>
      <c r="G11" s="22"/>
      <c r="H11" s="68"/>
      <c r="I11" s="69"/>
      <c r="J11" s="22"/>
      <c r="K11" s="69"/>
      <c r="L11" s="22"/>
      <c r="M11" s="22"/>
      <c r="N11" s="22"/>
      <c r="O11" s="22"/>
    </row>
    <row r="12" spans="1:15" ht="15" x14ac:dyDescent="0.25">
      <c r="A12" s="5"/>
      <c r="B12" s="5"/>
      <c r="C12" s="5"/>
      <c r="D12" s="68"/>
      <c r="E12" s="68"/>
      <c r="F12" s="69"/>
      <c r="G12" s="22"/>
      <c r="H12" s="68"/>
      <c r="I12" s="69"/>
      <c r="J12" s="22"/>
      <c r="K12" s="69"/>
      <c r="L12" s="22"/>
      <c r="M12" s="22"/>
      <c r="N12" s="22"/>
      <c r="O12" s="22"/>
    </row>
    <row r="13" spans="1:15" ht="15" x14ac:dyDescent="0.25">
      <c r="A13" s="5"/>
      <c r="B13" s="5"/>
      <c r="C13" s="5"/>
      <c r="D13" s="68"/>
      <c r="E13" s="68"/>
      <c r="F13" s="69"/>
      <c r="G13" s="22"/>
      <c r="H13" s="68"/>
      <c r="I13" s="69"/>
      <c r="J13" s="22"/>
      <c r="K13" s="69"/>
      <c r="L13" s="22"/>
      <c r="M13" s="22"/>
      <c r="N13" s="22"/>
      <c r="O13" s="22"/>
    </row>
    <row r="14" spans="1:15" ht="14.25" hidden="1" customHeight="1" x14ac:dyDescent="0.25">
      <c r="A14" s="5"/>
      <c r="B14" s="5"/>
      <c r="C14" s="5"/>
      <c r="D14" s="68"/>
      <c r="E14" s="68"/>
      <c r="F14" s="69"/>
      <c r="G14" s="22"/>
      <c r="H14" s="68"/>
      <c r="I14" s="69"/>
      <c r="J14" s="22"/>
      <c r="K14" s="69"/>
      <c r="L14" s="22"/>
      <c r="M14" s="22"/>
      <c r="N14" s="22"/>
      <c r="O14" s="22"/>
    </row>
    <row r="15" spans="1:15" ht="15" hidden="1" x14ac:dyDescent="0.25">
      <c r="A15" s="5"/>
      <c r="B15" s="5"/>
      <c r="C15" s="5"/>
      <c r="D15" s="68"/>
      <c r="E15" s="68"/>
      <c r="F15" s="69"/>
      <c r="G15" s="22"/>
      <c r="H15" s="68"/>
      <c r="I15" s="69"/>
      <c r="J15" s="22"/>
      <c r="K15" s="69"/>
      <c r="L15" s="22"/>
      <c r="M15" s="22"/>
      <c r="N15" s="22"/>
      <c r="O15" s="22"/>
    </row>
    <row r="16" spans="1:15" ht="15" hidden="1" x14ac:dyDescent="0.25">
      <c r="A16" s="5"/>
      <c r="B16" s="5"/>
      <c r="C16" s="5"/>
      <c r="D16" s="68"/>
      <c r="E16" s="68"/>
      <c r="F16" s="69"/>
      <c r="G16" s="22"/>
      <c r="H16" s="68"/>
      <c r="I16" s="69"/>
      <c r="J16" s="22"/>
      <c r="K16" s="69"/>
      <c r="L16" s="22"/>
      <c r="M16" s="22"/>
      <c r="N16" s="22"/>
      <c r="O16" s="22"/>
    </row>
    <row r="17" spans="1:15" ht="15" x14ac:dyDescent="0.25">
      <c r="A17" s="6"/>
      <c r="B17" s="8"/>
      <c r="C17" s="7"/>
      <c r="D17" s="70"/>
      <c r="E17" s="70"/>
      <c r="F17" s="71"/>
      <c r="G17" s="23"/>
      <c r="H17" s="70"/>
      <c r="I17" s="71"/>
      <c r="J17" s="23"/>
      <c r="K17" s="71"/>
      <c r="L17" s="23"/>
      <c r="M17" s="23"/>
      <c r="N17" s="23"/>
      <c r="O17" s="23"/>
    </row>
    <row r="18" spans="1:15" ht="15" x14ac:dyDescent="0.25">
      <c r="A18" s="6"/>
      <c r="B18" s="8" t="s">
        <v>0</v>
      </c>
      <c r="C18" s="7" t="str">
        <f ca="1">origine</f>
        <v>Total Origin Company</v>
      </c>
      <c r="D18" s="70"/>
      <c r="E18" s="70"/>
      <c r="F18" s="71"/>
      <c r="G18" s="23"/>
      <c r="H18" s="70"/>
      <c r="I18" s="71"/>
      <c r="J18" s="23"/>
      <c r="K18" s="71"/>
      <c r="L18" s="23"/>
      <c r="M18" s="23"/>
      <c r="N18" s="23"/>
      <c r="O18" s="23"/>
    </row>
    <row r="19" spans="1:15" ht="21" x14ac:dyDescent="0.35">
      <c r="A19" s="6"/>
      <c r="B19" s="8" t="s">
        <v>69</v>
      </c>
      <c r="C19" s="7" t="str">
        <f ca="1">'P&amp;L Month by CC summary'!C19</f>
        <v>AC2022</v>
      </c>
      <c r="D19" s="70"/>
      <c r="E19" s="70"/>
      <c r="F19" s="72" t="s">
        <v>84</v>
      </c>
      <c r="G19" s="23"/>
      <c r="H19" s="70"/>
      <c r="I19" s="71"/>
      <c r="J19" s="23"/>
      <c r="K19" s="71"/>
      <c r="L19" s="23"/>
      <c r="M19" s="23"/>
      <c r="N19" s="23"/>
      <c r="O19" s="23"/>
    </row>
    <row r="20" spans="1:15" ht="15" x14ac:dyDescent="0.25">
      <c r="A20" s="6"/>
      <c r="B20" s="8" t="s">
        <v>68</v>
      </c>
      <c r="C20" s="7" t="str">
        <f ca="1">'P&amp;L Month by CC summary'!C20</f>
        <v>Total Allocation</v>
      </c>
      <c r="D20" s="70"/>
      <c r="E20" s="70"/>
      <c r="F20" s="71"/>
      <c r="G20" s="23"/>
      <c r="H20" s="70"/>
      <c r="I20" s="71"/>
      <c r="J20" s="23"/>
      <c r="K20" s="71"/>
      <c r="L20" s="23"/>
      <c r="M20" s="23"/>
      <c r="N20" s="23"/>
      <c r="O20" s="23"/>
    </row>
    <row r="21" spans="1:15" ht="8.25" customHeight="1" x14ac:dyDescent="0.25">
      <c r="A21" s="6"/>
      <c r="B21" s="6"/>
      <c r="C21" s="6"/>
      <c r="D21" s="70"/>
      <c r="E21" s="70"/>
      <c r="F21" s="71"/>
      <c r="G21" s="23"/>
      <c r="H21" s="70"/>
      <c r="I21" s="71"/>
      <c r="J21" s="23"/>
      <c r="K21" s="71"/>
      <c r="L21" s="23"/>
      <c r="M21" s="23"/>
      <c r="N21" s="23"/>
      <c r="O21" s="23"/>
    </row>
    <row r="22" spans="1:15" ht="31.5" customHeight="1" x14ac:dyDescent="0.25">
      <c r="A22" s="6"/>
      <c r="B22" s="13"/>
      <c r="C22" s="55" t="s">
        <v>51</v>
      </c>
      <c r="D22" s="96" t="s">
        <v>71</v>
      </c>
      <c r="E22" s="96" t="s">
        <v>72</v>
      </c>
      <c r="F22" s="96" t="s">
        <v>73</v>
      </c>
      <c r="G22" s="96" t="s">
        <v>74</v>
      </c>
      <c r="H22" s="96" t="s">
        <v>75</v>
      </c>
      <c r="I22" s="96" t="s">
        <v>76</v>
      </c>
      <c r="J22" s="96" t="s">
        <v>77</v>
      </c>
      <c r="K22" s="96" t="s">
        <v>78</v>
      </c>
      <c r="L22" s="96" t="s">
        <v>79</v>
      </c>
      <c r="M22" s="96" t="s">
        <v>80</v>
      </c>
      <c r="N22" s="96" t="s">
        <v>81</v>
      </c>
      <c r="O22" s="97" t="s">
        <v>82</v>
      </c>
    </row>
    <row r="23" spans="1:15" ht="15" x14ac:dyDescent="0.25">
      <c r="A23" s="6"/>
      <c r="B23" s="56" t="s">
        <v>49</v>
      </c>
      <c r="C23" s="30" t="s">
        <v>50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99"/>
    </row>
    <row r="24" spans="1:15" ht="15" hidden="1" x14ac:dyDescent="0.25">
      <c r="A24" s="6"/>
      <c r="B24" s="14"/>
      <c r="C24" s="15"/>
      <c r="D24" s="73" t="s">
        <v>1</v>
      </c>
      <c r="E24" s="73" t="s">
        <v>1</v>
      </c>
      <c r="F24" s="74"/>
      <c r="G24" s="24"/>
      <c r="H24" s="73" t="s">
        <v>1</v>
      </c>
      <c r="I24" s="81"/>
      <c r="J24" s="24"/>
      <c r="K24" s="74"/>
      <c r="L24" s="25"/>
    </row>
    <row r="25" spans="1:15" ht="15" x14ac:dyDescent="0.25">
      <c r="B25" s="3" t="s">
        <v>2</v>
      </c>
      <c r="C25" s="26" t="s">
        <v>11</v>
      </c>
      <c r="D25" s="59">
        <f ca="1">_xll.DBR("CXMD:FTM_DATA_BALANCE_SHEET","Total_Customer_Supplier",D$22,$C$19,ori,"TOTAL PRODUCT","B-300010",$C$20,"Amount_BS")*-1/1000</f>
        <v>359843.49432999996</v>
      </c>
      <c r="E25" s="59">
        <f ca="1">_xll.DBR("CXMD:FTM_DATA_BALANCE_SHEET","Total_Customer_Supplier",E$22,$C$19,ori,"TOTAL PRODUCT","B-300010",$C$20,"Amount_BS")*-1/1000</f>
        <v>700195.36580999999</v>
      </c>
      <c r="F25" s="59">
        <f ca="1">_xll.DBR("CXMD:FTM_DATA_BALANCE_SHEET","Total_Customer_Supplier",F$22,$C$19,ori,"TOTAL PRODUCT","B-300010",$C$20,"Amount_BS")*-1/1000</f>
        <v>1054061.5440199999</v>
      </c>
      <c r="G25" s="59">
        <f ca="1">_xll.DBR("CXMD:FTM_DATA_BALANCE_SHEET","Total_Customer_Supplier",G$22,$C$19,ori,"TOTAL PRODUCT","B-300010",$C$20,"Amount_BS")*-1/1000</f>
        <v>1377299.4700899997</v>
      </c>
      <c r="H25" s="59">
        <f ca="1">_xll.DBR("CXMD:FTM_DATA_BALANCE_SHEET","Total_Customer_Supplier",H$22,$C$19,ori,"TOTAL PRODUCT","B-300010",$C$20,"Amount_BS")*-1/1000</f>
        <v>1736733.7660799997</v>
      </c>
      <c r="I25" s="59">
        <f ca="1">_xll.DBR("CXMD:FTM_DATA_BALANCE_SHEET","Total_Customer_Supplier",I$22,$C$19,ori,"TOTAL PRODUCT","B-300010",$C$20,"Amount_BS")*-1/1000</f>
        <v>2116627.4907499999</v>
      </c>
      <c r="J25" s="59">
        <f ca="1">_xll.DBR("CXMD:FTM_DATA_BALANCE_SHEET","Total_Customer_Supplier",J$22,$C$19,ori,"TOTAL PRODUCT","B-300010",$C$20,"Amount_BS")*-1/1000</f>
        <v>2496721.9290800001</v>
      </c>
      <c r="K25" s="59">
        <f ca="1">_xll.DBR("CXMD:FTM_DATA_BALANCE_SHEET","Total_Customer_Supplier",K$22,$C$19,ori,"TOTAL PRODUCT","B-300010",$C$20,"Amount_BS")*-1/1000</f>
        <v>2859595.6357199997</v>
      </c>
      <c r="L25" s="59">
        <f ca="1">_xll.DBR("CXMD:FTM_DATA_BALANCE_SHEET","Total_Customer_Supplier",L$22,$C$19,ori,"TOTAL PRODUCT","B-300010",$C$20,"Amount_BS")*-1/1000</f>
        <v>3185828.06116</v>
      </c>
      <c r="M25" s="59">
        <f ca="1">_xll.DBR("CXMD:FTM_DATA_BALANCE_SHEET","Total_Customer_Supplier",M$22,$C$19,ori,"TOTAL PRODUCT","B-300010",$C$20,"Amount_BS")*-1/1000</f>
        <v>3502615.0656299992</v>
      </c>
      <c r="N25" s="59">
        <f ca="1">_xll.DBR("CXMD:FTM_DATA_BALANCE_SHEET","Total_Customer_Supplier",N$22,$C$19,ori,"TOTAL PRODUCT","B-300010",$C$20,"Amount_BS")*-1/1000</f>
        <v>3820623.6143999998</v>
      </c>
      <c r="O25" s="59">
        <f ca="1">_xll.DBR("CXMD:FTM_DATA_BALANCE_SHEET","Total_Customer_Supplier",O$22,$C$19,ori,"TOTAL PRODUCT","B-300010",$C$20,"Amount_BS")*-1/1000</f>
        <v>4072661.0530299996</v>
      </c>
    </row>
    <row r="26" spans="1:15" ht="15.75" thickBot="1" x14ac:dyDescent="0.3">
      <c r="B26" s="3" t="s">
        <v>54</v>
      </c>
      <c r="C26" s="26" t="s">
        <v>11</v>
      </c>
      <c r="D26" s="59">
        <f ca="1">_xll.DBR("CXMD:FTM_DATA_BALANCE_SHEET","Total_Customer_Supplier",D$22,$C$19,ori,"TOTAL PRODUCT","B-310010",$C$20,"Amount_BS")*-1/1000</f>
        <v>-30807.777600000005</v>
      </c>
      <c r="E26" s="59">
        <f ca="1">_xll.DBR("CXMD:FTM_DATA_BALANCE_SHEET","Total_Customer_Supplier",E$22,$C$19,ori,"TOTAL PRODUCT","B-310010",$C$20,"Amount_BS")*-1/1000</f>
        <v>-38508.694550000007</v>
      </c>
      <c r="F26" s="59">
        <f ca="1">_xll.DBR("CXMD:FTM_DATA_BALANCE_SHEET","Total_Customer_Supplier",F$22,$C$19,ori,"TOTAL PRODUCT","B-310010",$C$20,"Amount_BS")*-1/1000</f>
        <v>-20691.848680000003</v>
      </c>
      <c r="G26" s="59">
        <f ca="1">_xll.DBR("CXMD:FTM_DATA_BALANCE_SHEET","Total_Customer_Supplier",G$22,$C$19,ori,"TOTAL PRODUCT","B-310010",$C$20,"Amount_BS")*-1/1000</f>
        <v>-26217.427780000009</v>
      </c>
      <c r="H26" s="59">
        <f ca="1">_xll.DBR("CXMD:FTM_DATA_BALANCE_SHEET","Total_Customer_Supplier",H$22,$C$19,ori,"TOTAL PRODUCT","B-310010",$C$20,"Amount_BS")*-1/1000</f>
        <v>-2737.9111300000081</v>
      </c>
      <c r="I26" s="59">
        <f ca="1">_xll.DBR("CXMD:FTM_DATA_BALANCE_SHEET","Total_Customer_Supplier",I$22,$C$19,ori,"TOTAL PRODUCT","B-310010",$C$20,"Amount_BS")*-1/1000</f>
        <v>-11316.757550000013</v>
      </c>
      <c r="J26" s="59">
        <f ca="1">_xll.DBR("CXMD:FTM_DATA_BALANCE_SHEET","Total_Customer_Supplier",J$22,$C$19,ori,"TOTAL PRODUCT","B-310010",$C$20,"Amount_BS")*-1/1000</f>
        <v>-30213.845810000013</v>
      </c>
      <c r="K26" s="59">
        <f ca="1">_xll.DBR("CXMD:FTM_DATA_BALANCE_SHEET","Total_Customer_Supplier",K$22,$C$19,ori,"TOTAL PRODUCT","B-310010",$C$20,"Amount_BS")*-1/1000</f>
        <v>-30438.473150000013</v>
      </c>
      <c r="L26" s="59">
        <f ca="1">_xll.DBR("CXMD:FTM_DATA_BALANCE_SHEET","Total_Customer_Supplier",L$22,$C$19,ori,"TOTAL PRODUCT","B-310010",$C$20,"Amount_BS")*-1/1000</f>
        <v>-14389.547170000009</v>
      </c>
      <c r="M26" s="59">
        <f ca="1">_xll.DBR("CXMD:FTM_DATA_BALANCE_SHEET","Total_Customer_Supplier",M$22,$C$19,ori,"TOTAL PRODUCT","B-310010",$C$20,"Amount_BS")*-1/1000</f>
        <v>-4092.4933100000048</v>
      </c>
      <c r="N26" s="59">
        <f ca="1">_xll.DBR("CXMD:FTM_DATA_BALANCE_SHEET","Total_Customer_Supplier",N$22,$C$19,ori,"TOTAL PRODUCT","B-310010",$C$20,"Amount_BS")*-1/1000</f>
        <v>6588.2767099999965</v>
      </c>
      <c r="O26" s="59">
        <f ca="1">_xll.DBR("CXMD:FTM_DATA_BALANCE_SHEET","Total_Customer_Supplier",O$22,$C$19,ori,"TOTAL PRODUCT","B-310010",$C$20,"Amount_BS")*-1/1000</f>
        <v>10475.845239999995</v>
      </c>
    </row>
    <row r="27" spans="1:15" ht="16.5" thickBot="1" x14ac:dyDescent="0.3">
      <c r="B27" s="32" t="s">
        <v>41</v>
      </c>
      <c r="C27" s="31"/>
      <c r="D27" s="75">
        <f ca="1">D25+D26</f>
        <v>329035.71672999993</v>
      </c>
      <c r="E27" s="75">
        <f t="shared" ref="E27:O27" ca="1" si="0">E25+E26</f>
        <v>661686.67125999997</v>
      </c>
      <c r="F27" s="75">
        <f t="shared" ca="1" si="0"/>
        <v>1033369.6953399999</v>
      </c>
      <c r="G27" s="75">
        <f t="shared" ca="1" si="0"/>
        <v>1351082.0423099997</v>
      </c>
      <c r="H27" s="75">
        <f t="shared" ca="1" si="0"/>
        <v>1733995.8549499998</v>
      </c>
      <c r="I27" s="75">
        <f t="shared" ca="1" si="0"/>
        <v>2105310.7331999997</v>
      </c>
      <c r="J27" s="75">
        <f t="shared" ca="1" si="0"/>
        <v>2466508.0832700003</v>
      </c>
      <c r="K27" s="75">
        <f t="shared" ca="1" si="0"/>
        <v>2829157.1625699997</v>
      </c>
      <c r="L27" s="75">
        <f t="shared" ca="1" si="0"/>
        <v>3171438.5139899999</v>
      </c>
      <c r="M27" s="75">
        <f t="shared" ca="1" si="0"/>
        <v>3498522.5723199993</v>
      </c>
      <c r="N27" s="75">
        <f t="shared" ca="1" si="0"/>
        <v>3827211.8911099997</v>
      </c>
      <c r="O27" s="75">
        <f t="shared" ca="1" si="0"/>
        <v>4083136.8982699998</v>
      </c>
    </row>
    <row r="28" spans="1:15" ht="15.75" thickBot="1" x14ac:dyDescent="0.3">
      <c r="B28" s="3" t="s">
        <v>3</v>
      </c>
      <c r="C28" s="26" t="s">
        <v>11</v>
      </c>
      <c r="D28" s="59">
        <f ca="1">_xll.DBR("CXMD:FTM_DATA_BALANCE_SHEET","Total_Customer_Supplier",D$22,$C$19,ori,"TOTAL PRODUCT","B-330010",$C$20,"Amount_BS")*-1/1000</f>
        <v>4042.3654799999999</v>
      </c>
      <c r="E28" s="59">
        <f ca="1">_xll.DBR("CXMD:FTM_DATA_BALANCE_SHEET","Total_Customer_Supplier",E$22,$C$19,ori,"TOTAL PRODUCT","B-330010",$C$20,"Amount_BS")*-1/1000</f>
        <v>8583.2907899999991</v>
      </c>
      <c r="F28" s="59">
        <f ca="1">_xll.DBR("CXMD:FTM_DATA_BALANCE_SHEET","Total_Customer_Supplier",F$22,$C$19,ori,"TOTAL PRODUCT","B-330010",$C$20,"Amount_BS")*-1/1000</f>
        <v>13431.462899999999</v>
      </c>
      <c r="G28" s="59">
        <f ca="1">_xll.DBR("CXMD:FTM_DATA_BALANCE_SHEET","Total_Customer_Supplier",G$22,$C$19,ori,"TOTAL PRODUCT","B-330010",$C$20,"Amount_BS")*-1/1000</f>
        <v>17830.419729999998</v>
      </c>
      <c r="H28" s="59">
        <f ca="1">_xll.DBR("CXMD:FTM_DATA_BALANCE_SHEET","Total_Customer_Supplier",H$22,$C$19,ori,"TOTAL PRODUCT","B-330010",$C$20,"Amount_BS")*-1/1000</f>
        <v>22213.296569999999</v>
      </c>
      <c r="I28" s="59">
        <f ca="1">_xll.DBR("CXMD:FTM_DATA_BALANCE_SHEET","Total_Customer_Supplier",I$22,$C$19,ori,"TOTAL PRODUCT","B-330010",$C$20,"Amount_BS")*-1/1000</f>
        <v>26939.952670000002</v>
      </c>
      <c r="J28" s="59">
        <f ca="1">_xll.DBR("CXMD:FTM_DATA_BALANCE_SHEET","Total_Customer_Supplier",J$22,$C$19,ori,"TOTAL PRODUCT","B-330010",$C$20,"Amount_BS")*-1/1000</f>
        <v>31469.609470000007</v>
      </c>
      <c r="K28" s="59">
        <f ca="1">_xll.DBR("CXMD:FTM_DATA_BALANCE_SHEET","Total_Customer_Supplier",K$22,$C$19,ori,"TOTAL PRODUCT","B-330010",$C$20,"Amount_BS")*-1/1000</f>
        <v>35826.212980000004</v>
      </c>
      <c r="L28" s="59">
        <f ca="1">_xll.DBR("CXMD:FTM_DATA_BALANCE_SHEET","Total_Customer_Supplier",L$22,$C$19,ori,"TOTAL PRODUCT","B-330010",$C$20,"Amount_BS")*-1/1000</f>
        <v>39750.249480000006</v>
      </c>
      <c r="M28" s="59">
        <f ca="1">_xll.DBR("CXMD:FTM_DATA_BALANCE_SHEET","Total_Customer_Supplier",M$22,$C$19,ori,"TOTAL PRODUCT","B-330010",$C$20,"Amount_BS")*-1/1000</f>
        <v>44214.175920000001</v>
      </c>
      <c r="N28" s="59">
        <f ca="1">_xll.DBR("CXMD:FTM_DATA_BALANCE_SHEET","Total_Customer_Supplier",N$22,$C$19,ori,"TOTAL PRODUCT","B-330010",$C$20,"Amount_BS")*-1/1000</f>
        <v>49285.594960000002</v>
      </c>
      <c r="O28" s="59">
        <f ca="1">_xll.DBR("CXMD:FTM_DATA_BALANCE_SHEET","Total_Customer_Supplier",O$22,$C$19,ori,"TOTAL PRODUCT","B-330010",$C$20,"Amount_BS")*-1/1000</f>
        <v>52175.870070000004</v>
      </c>
    </row>
    <row r="29" spans="1:15" ht="16.5" thickBot="1" x14ac:dyDescent="0.3">
      <c r="B29" s="32" t="s">
        <v>42</v>
      </c>
      <c r="C29" s="31"/>
      <c r="D29" s="75">
        <f ca="1">D27+D28</f>
        <v>333078.08220999991</v>
      </c>
      <c r="E29" s="75">
        <f t="shared" ref="E29:O29" ca="1" si="1">E27+E28</f>
        <v>670269.96204999997</v>
      </c>
      <c r="F29" s="75">
        <f t="shared" ca="1" si="1"/>
        <v>1046801.1582399999</v>
      </c>
      <c r="G29" s="75">
        <f t="shared" ca="1" si="1"/>
        <v>1368912.4620399997</v>
      </c>
      <c r="H29" s="75">
        <f t="shared" ca="1" si="1"/>
        <v>1756209.1515199998</v>
      </c>
      <c r="I29" s="75">
        <f t="shared" ca="1" si="1"/>
        <v>2132250.6858699997</v>
      </c>
      <c r="J29" s="75">
        <f t="shared" ca="1" si="1"/>
        <v>2497977.6927400003</v>
      </c>
      <c r="K29" s="75">
        <f t="shared" ca="1" si="1"/>
        <v>2864983.3755499995</v>
      </c>
      <c r="L29" s="75">
        <f t="shared" ca="1" si="1"/>
        <v>3211188.7634700001</v>
      </c>
      <c r="M29" s="75">
        <f t="shared" ca="1" si="1"/>
        <v>3542736.7482399992</v>
      </c>
      <c r="N29" s="75">
        <f t="shared" ca="1" si="1"/>
        <v>3876497.4860699996</v>
      </c>
      <c r="O29" s="75">
        <f t="shared" ca="1" si="1"/>
        <v>4135312.76834</v>
      </c>
    </row>
    <row r="30" spans="1:15" ht="15" x14ac:dyDescent="0.25">
      <c r="B30" s="3" t="s">
        <v>4</v>
      </c>
      <c r="C30" s="26" t="s">
        <v>11</v>
      </c>
      <c r="D30" s="59">
        <f ca="1">D32+D33</f>
        <v>442.07326</v>
      </c>
      <c r="E30" s="59">
        <f t="shared" ref="E30:O30" ca="1" si="2">E32+E33</f>
        <v>247.15667999999994</v>
      </c>
      <c r="F30" s="59">
        <f t="shared" ca="1" si="2"/>
        <v>1860.5594299999993</v>
      </c>
      <c r="G30" s="59">
        <f t="shared" ca="1" si="2"/>
        <v>3118.3911199999993</v>
      </c>
      <c r="H30" s="59">
        <f t="shared" ca="1" si="2"/>
        <v>3052.1005099999993</v>
      </c>
      <c r="I30" s="59">
        <f t="shared" ca="1" si="2"/>
        <v>3596.8588799999998</v>
      </c>
      <c r="J30" s="59">
        <f t="shared" ca="1" si="2"/>
        <v>5073.9975599999998</v>
      </c>
      <c r="K30" s="59">
        <f t="shared" ca="1" si="2"/>
        <v>5982.9797299999991</v>
      </c>
      <c r="L30" s="59">
        <f t="shared" ca="1" si="2"/>
        <v>7236.3717299999989</v>
      </c>
      <c r="M30" s="59">
        <f t="shared" ca="1" si="2"/>
        <v>7310.6818700000003</v>
      </c>
      <c r="N30" s="59">
        <f t="shared" ca="1" si="2"/>
        <v>19924.411399999997</v>
      </c>
      <c r="O30" s="59">
        <f t="shared" ca="1" si="2"/>
        <v>29689.02793</v>
      </c>
    </row>
    <row r="31" spans="1:15" ht="15" x14ac:dyDescent="0.25">
      <c r="B31" s="4" t="s">
        <v>4</v>
      </c>
      <c r="C31" s="28" t="s">
        <v>22</v>
      </c>
      <c r="D31" s="61">
        <f ca="1">D32+D33</f>
        <v>442.07326</v>
      </c>
      <c r="E31" s="61">
        <f t="shared" ref="E31:O31" ca="1" si="3">E32+E33</f>
        <v>247.15667999999994</v>
      </c>
      <c r="F31" s="61">
        <f t="shared" ca="1" si="3"/>
        <v>1860.5594299999993</v>
      </c>
      <c r="G31" s="61">
        <f t="shared" ca="1" si="3"/>
        <v>3118.3911199999993</v>
      </c>
      <c r="H31" s="61">
        <f t="shared" ca="1" si="3"/>
        <v>3052.1005099999993</v>
      </c>
      <c r="I31" s="61">
        <f t="shared" ca="1" si="3"/>
        <v>3596.8588799999998</v>
      </c>
      <c r="J31" s="61">
        <f t="shared" ca="1" si="3"/>
        <v>5073.9975599999998</v>
      </c>
      <c r="K31" s="61">
        <f t="shared" ca="1" si="3"/>
        <v>5982.9797299999991</v>
      </c>
      <c r="L31" s="61">
        <f t="shared" ca="1" si="3"/>
        <v>7236.3717299999989</v>
      </c>
      <c r="M31" s="61">
        <f t="shared" ca="1" si="3"/>
        <v>7310.6818700000003</v>
      </c>
      <c r="N31" s="61">
        <f t="shared" ca="1" si="3"/>
        <v>19924.411399999997</v>
      </c>
      <c r="O31" s="61">
        <f t="shared" ca="1" si="3"/>
        <v>29689.02793</v>
      </c>
    </row>
    <row r="32" spans="1:15" ht="15" x14ac:dyDescent="0.25">
      <c r="B32" s="4" t="s">
        <v>4</v>
      </c>
      <c r="C32" s="29" t="s">
        <v>34</v>
      </c>
      <c r="D32" s="63">
        <f ca="1">(_xll.DBR("CXMD:FTM_DATA_BALANCE_SHEET","Total_Customer_Supplier",D$22,$C$19,ori,"TOTAL PRODUCT","B-452010",$C$20,"Amount_BS")/1000)</f>
        <v>-83.318250000000006</v>
      </c>
      <c r="E32" s="63">
        <f ca="1">(_xll.DBR("CXMD:FTM_DATA_BALANCE_SHEET","Total_Customer_Supplier",E$22,$C$19,ori,"TOTAL PRODUCT","B-452010",$C$20,"Amount_BS")/1000)</f>
        <v>-602.31825000000003</v>
      </c>
      <c r="F32" s="63">
        <f ca="1">(_xll.DBR("CXMD:FTM_DATA_BALANCE_SHEET","Total_Customer_Supplier",F$22,$C$19,ori,"TOTAL PRODUCT","B-452010",$C$20,"Amount_BS")/1000)</f>
        <v>-575.8990500000001</v>
      </c>
      <c r="G32" s="63">
        <f ca="1">(_xll.DBR("CXMD:FTM_DATA_BALANCE_SHEET","Total_Customer_Supplier",G$22,$C$19,ori,"TOTAL PRODUCT","B-452010",$C$20,"Amount_BS")/1000)</f>
        <v>-643.25305000000003</v>
      </c>
      <c r="H32" s="63">
        <f ca="1">(_xll.DBR("CXMD:FTM_DATA_BALANCE_SHEET","Total_Customer_Supplier",H$22,$C$19,ori,"TOTAL PRODUCT","B-452010",$C$20,"Amount_BS")/1000)</f>
        <v>-664.25305000000003</v>
      </c>
      <c r="I32" s="63">
        <f ca="1">(_xll.DBR("CXMD:FTM_DATA_BALANCE_SHEET","Total_Customer_Supplier",I$22,$C$19,ori,"TOTAL PRODUCT","B-452010",$C$20,"Amount_BS")/1000)</f>
        <v>-1835.6396700000003</v>
      </c>
      <c r="J32" s="63">
        <f ca="1">(_xll.DBR("CXMD:FTM_DATA_BALANCE_SHEET","Total_Customer_Supplier",J$22,$C$19,ori,"TOTAL PRODUCT","B-452010",$C$20,"Amount_BS")/1000)</f>
        <v>-1768.2669100000001</v>
      </c>
      <c r="K32" s="63">
        <f ca="1">(_xll.DBR("CXMD:FTM_DATA_BALANCE_SHEET","Total_Customer_Supplier",K$22,$C$19,ori,"TOTAL PRODUCT","B-452010",$C$20,"Amount_BS")/1000)</f>
        <v>-1922.5669100000002</v>
      </c>
      <c r="L32" s="63">
        <f ca="1">(_xll.DBR("CXMD:FTM_DATA_BALANCE_SHEET","Total_Customer_Supplier",L$22,$C$19,ori,"TOTAL PRODUCT","B-452010",$C$20,"Amount_BS")/1000)</f>
        <v>-1868.3148000000001</v>
      </c>
      <c r="M32" s="63">
        <f ca="1">(_xll.DBR("CXMD:FTM_DATA_BALANCE_SHEET","Total_Customer_Supplier",M$22,$C$19,ori,"TOTAL PRODUCT","B-452010",$C$20,"Amount_BS")/1000)</f>
        <v>-1911.3148000000001</v>
      </c>
      <c r="N32" s="63">
        <f ca="1">(_xll.DBR("CXMD:FTM_DATA_BALANCE_SHEET","Total_Customer_Supplier",N$22,$C$19,ori,"TOTAL PRODUCT","B-452010",$C$20,"Amount_BS")/1000)</f>
        <v>-1940.9652900000001</v>
      </c>
      <c r="O32" s="63">
        <f ca="1">(_xll.DBR("CXMD:FTM_DATA_BALANCE_SHEET","Total_Customer_Supplier",O$22,$C$19,ori,"TOTAL PRODUCT","B-452010",$C$20,"Amount_BS")/1000)</f>
        <v>2871.1198300000001</v>
      </c>
    </row>
    <row r="33" spans="2:15" ht="15.75" thickBot="1" x14ac:dyDescent="0.3">
      <c r="B33" s="4" t="s">
        <v>4</v>
      </c>
      <c r="C33" s="29" t="s">
        <v>35</v>
      </c>
      <c r="D33" s="63">
        <f ca="1">(_xll.DBR("CXMD:FTM_DATA_BALANCE_SHEET","Total_Customer_Supplier",D$22,$C$19,ori,"TOTAL PRODUCT","B-452210",$C$20,"Amount_BS")/1000)</f>
        <v>525.39151000000004</v>
      </c>
      <c r="E33" s="63">
        <f ca="1">(_xll.DBR("CXMD:FTM_DATA_BALANCE_SHEET","Total_Customer_Supplier",E$22,$C$19,ori,"TOTAL PRODUCT","B-452210",$C$20,"Amount_BS")/1000)</f>
        <v>849.47492999999997</v>
      </c>
      <c r="F33" s="63">
        <f ca="1">(_xll.DBR("CXMD:FTM_DATA_BALANCE_SHEET","Total_Customer_Supplier",F$22,$C$19,ori,"TOTAL PRODUCT","B-452210",$C$20,"Amount_BS")/1000)</f>
        <v>2436.4584799999993</v>
      </c>
      <c r="G33" s="63">
        <f ca="1">(_xll.DBR("CXMD:FTM_DATA_BALANCE_SHEET","Total_Customer_Supplier",G$22,$C$19,ori,"TOTAL PRODUCT","B-452210",$C$20,"Amount_BS")/1000)</f>
        <v>3761.6441699999996</v>
      </c>
      <c r="H33" s="63">
        <f ca="1">(_xll.DBR("CXMD:FTM_DATA_BALANCE_SHEET","Total_Customer_Supplier",H$22,$C$19,ori,"TOTAL PRODUCT","B-452210",$C$20,"Amount_BS")/1000)</f>
        <v>3716.3535599999996</v>
      </c>
      <c r="I33" s="63">
        <f ca="1">(_xll.DBR("CXMD:FTM_DATA_BALANCE_SHEET","Total_Customer_Supplier",I$22,$C$19,ori,"TOTAL PRODUCT","B-452210",$C$20,"Amount_BS")/1000)</f>
        <v>5432.4985500000003</v>
      </c>
      <c r="J33" s="63">
        <f ca="1">(_xll.DBR("CXMD:FTM_DATA_BALANCE_SHEET","Total_Customer_Supplier",J$22,$C$19,ori,"TOTAL PRODUCT","B-452210",$C$20,"Amount_BS")/1000)</f>
        <v>6842.2644700000001</v>
      </c>
      <c r="K33" s="63">
        <f ca="1">(_xll.DBR("CXMD:FTM_DATA_BALANCE_SHEET","Total_Customer_Supplier",K$22,$C$19,ori,"TOTAL PRODUCT","B-452210",$C$20,"Amount_BS")/1000)</f>
        <v>7905.5466399999996</v>
      </c>
      <c r="L33" s="63">
        <f ca="1">(_xll.DBR("CXMD:FTM_DATA_BALANCE_SHEET","Total_Customer_Supplier",L$22,$C$19,ori,"TOTAL PRODUCT","B-452210",$C$20,"Amount_BS")/1000)</f>
        <v>9104.686529999999</v>
      </c>
      <c r="M33" s="63">
        <f ca="1">(_xll.DBR("CXMD:FTM_DATA_BALANCE_SHEET","Total_Customer_Supplier",M$22,$C$19,ori,"TOTAL PRODUCT","B-452210",$C$20,"Amount_BS")/1000)</f>
        <v>9221.9966700000004</v>
      </c>
      <c r="N33" s="63">
        <f ca="1">(_xll.DBR("CXMD:FTM_DATA_BALANCE_SHEET","Total_Customer_Supplier",N$22,$C$19,ori,"TOTAL PRODUCT","B-452210",$C$20,"Amount_BS")/1000)</f>
        <v>21865.376689999997</v>
      </c>
      <c r="O33" s="63">
        <f ca="1">(_xll.DBR("CXMD:FTM_DATA_BALANCE_SHEET","Total_Customer_Supplier",O$22,$C$19,ori,"TOTAL PRODUCT","B-452210",$C$20,"Amount_BS")/1000)</f>
        <v>26817.908100000001</v>
      </c>
    </row>
    <row r="34" spans="2:15" ht="15.75" x14ac:dyDescent="0.25">
      <c r="B34" s="91" t="s">
        <v>53</v>
      </c>
      <c r="C34" s="33" t="s">
        <v>11</v>
      </c>
      <c r="D34" s="76">
        <f ca="1">(_xll.DBR("CXMD:FTM_DATA_BALANCE_SHEET","Total_Customer_Supplier",D$22,$C$19,ori,"TOTAL PRODUCT","B-401010",$C$20,"Amount_BS")/1000)+(_xll.DBR("CXMD:FTM_DATA_BALANCE_SHEET","Total_Customer_Supplier",D$22,$C$19,ori,"TOTAL PRODUCT","B-401020",$C$20,"Amount_BS")/1000)+(_xll.DBR("CXMD:FTM_DATA_BALANCE_SHEET","Total_Customer_Supplier",D$22,$C$19,ori,"TOTAL PRODUCT","B-402110",$C$20,"Amount_BS")/1000)+(_xll.DBR("CXMD:FTM_DATA_BALANCE_SHEET","Total_Customer_Supplier",D$22,$C$19,ori,"TOTAL PRODUCT","B-402111",$C$20,"Amount_BS")/1000)+(_xll.DBR("CXMD:FTM_DATA_BALANCE_SHEET","Total_Customer_Supplier",D$22,$C$19,ori,"TOTAL PRODUCT","B-407010",$C$20,"Amount_BS")/1000)</f>
        <v>190042.62173999997</v>
      </c>
      <c r="E34" s="76">
        <f ca="1">(_xll.DBR("CXMD:FTM_DATA_BALANCE_SHEET","Total_Customer_Supplier",E$22,$C$19,ori,"TOTAL PRODUCT","B-401010",$C$20,"Amount_BS")/1000)+(_xll.DBR("CXMD:FTM_DATA_BALANCE_SHEET","Total_Customer_Supplier",E$22,$C$19,ori,"TOTAL PRODUCT","B-401020",$C$20,"Amount_BS")/1000)+(_xll.DBR("CXMD:FTM_DATA_BALANCE_SHEET","Total_Customer_Supplier",E$22,$C$19,ori,"TOTAL PRODUCT","B-402110",$C$20,"Amount_BS")/1000)+(_xll.DBR("CXMD:FTM_DATA_BALANCE_SHEET","Total_Customer_Supplier",E$22,$C$19,ori,"TOTAL PRODUCT","B-402111",$C$20,"Amount_BS")/1000)+(_xll.DBR("CXMD:FTM_DATA_BALANCE_SHEET","Total_Customer_Supplier",E$22,$C$19,ori,"TOTAL PRODUCT","B-407010",$C$20,"Amount_BS")/1000)</f>
        <v>382894.77859</v>
      </c>
      <c r="F34" s="76">
        <f ca="1">(_xll.DBR("CXMD:FTM_DATA_BALANCE_SHEET","Total_Customer_Supplier",F$22,$C$19,ori,"TOTAL PRODUCT","B-401010",$C$20,"Amount_BS")/1000)+(_xll.DBR("CXMD:FTM_DATA_BALANCE_SHEET","Total_Customer_Supplier",F$22,$C$19,ori,"TOTAL PRODUCT","B-401020",$C$20,"Amount_BS")/1000)+(_xll.DBR("CXMD:FTM_DATA_BALANCE_SHEET","Total_Customer_Supplier",F$22,$C$19,ori,"TOTAL PRODUCT","B-402110",$C$20,"Amount_BS")/1000)+(_xll.DBR("CXMD:FTM_DATA_BALANCE_SHEET","Total_Customer_Supplier",F$22,$C$19,ori,"TOTAL PRODUCT","B-402111",$C$20,"Amount_BS")/1000)+(_xll.DBR("CXMD:FTM_DATA_BALANCE_SHEET","Total_Customer_Supplier",F$22,$C$19,ori,"TOTAL PRODUCT","B-407010",$C$20,"Amount_BS")/1000)</f>
        <v>635287.62179999996</v>
      </c>
      <c r="G34" s="76">
        <f ca="1">(_xll.DBR("CXMD:FTM_DATA_BALANCE_SHEET","Total_Customer_Supplier",G$22,$C$19,ori,"TOTAL PRODUCT","B-401010",$C$20,"Amount_BS")/1000)+(_xll.DBR("CXMD:FTM_DATA_BALANCE_SHEET","Total_Customer_Supplier",G$22,$C$19,ori,"TOTAL PRODUCT","B-401020",$C$20,"Amount_BS")/1000)+(_xll.DBR("CXMD:FTM_DATA_BALANCE_SHEET","Total_Customer_Supplier",G$22,$C$19,ori,"TOTAL PRODUCT","B-402110",$C$20,"Amount_BS")/1000)+(_xll.DBR("CXMD:FTM_DATA_BALANCE_SHEET","Total_Customer_Supplier",G$22,$C$19,ori,"TOTAL PRODUCT","B-402111",$C$20,"Amount_BS")/1000)+(_xll.DBR("CXMD:FTM_DATA_BALANCE_SHEET","Total_Customer_Supplier",G$22,$C$19,ori,"TOTAL PRODUCT","B-407010",$C$20,"Amount_BS")/1000)</f>
        <v>845428.45922000019</v>
      </c>
      <c r="H34" s="76">
        <f ca="1">(_xll.DBR("CXMD:FTM_DATA_BALANCE_SHEET","Total_Customer_Supplier",H$22,$C$19,ori,"TOTAL PRODUCT","B-401010",$C$20,"Amount_BS")/1000)+(_xll.DBR("CXMD:FTM_DATA_BALANCE_SHEET","Total_Customer_Supplier",H$22,$C$19,ori,"TOTAL PRODUCT","B-401020",$C$20,"Amount_BS")/1000)+(_xll.DBR("CXMD:FTM_DATA_BALANCE_SHEET","Total_Customer_Supplier",H$22,$C$19,ori,"TOTAL PRODUCT","B-402110",$C$20,"Amount_BS")/1000)+(_xll.DBR("CXMD:FTM_DATA_BALANCE_SHEET","Total_Customer_Supplier",H$22,$C$19,ori,"TOTAL PRODUCT","B-402111",$C$20,"Amount_BS")/1000)+(_xll.DBR("CXMD:FTM_DATA_BALANCE_SHEET","Total_Customer_Supplier",H$22,$C$19,ori,"TOTAL PRODUCT","B-407010",$C$20,"Amount_BS")/1000)</f>
        <v>1088819.2120399999</v>
      </c>
      <c r="I34" s="76">
        <f ca="1">(_xll.DBR("CXMD:FTM_DATA_BALANCE_SHEET","Total_Customer_Supplier",I$22,$C$19,ori,"TOTAL PRODUCT","B-401010",$C$20,"Amount_BS")/1000)+(_xll.DBR("CXMD:FTM_DATA_BALANCE_SHEET","Total_Customer_Supplier",I$22,$C$19,ori,"TOTAL PRODUCT","B-401020",$C$20,"Amount_BS")/1000)+(_xll.DBR("CXMD:FTM_DATA_BALANCE_SHEET","Total_Customer_Supplier",I$22,$C$19,ori,"TOTAL PRODUCT","B-402110",$C$20,"Amount_BS")/1000)+(_xll.DBR("CXMD:FTM_DATA_BALANCE_SHEET","Total_Customer_Supplier",I$22,$C$19,ori,"TOTAL PRODUCT","B-402111",$C$20,"Amount_BS")/1000)+(_xll.DBR("CXMD:FTM_DATA_BALANCE_SHEET","Total_Customer_Supplier",I$22,$C$19,ori,"TOTAL PRODUCT","B-407010",$C$20,"Amount_BS")/1000)</f>
        <v>1324032.2113000001</v>
      </c>
      <c r="J34" s="76">
        <f ca="1">(_xll.DBR("CXMD:FTM_DATA_BALANCE_SHEET","Total_Customer_Supplier",J$22,$C$19,ori,"TOTAL PRODUCT","B-401010",$C$20,"Amount_BS")/1000)+(_xll.DBR("CXMD:FTM_DATA_BALANCE_SHEET","Total_Customer_Supplier",J$22,$C$19,ori,"TOTAL PRODUCT","B-401020",$C$20,"Amount_BS")/1000)+(_xll.DBR("CXMD:FTM_DATA_BALANCE_SHEET","Total_Customer_Supplier",J$22,$C$19,ori,"TOTAL PRODUCT","B-402110",$C$20,"Amount_BS")/1000)+(_xll.DBR("CXMD:FTM_DATA_BALANCE_SHEET","Total_Customer_Supplier",J$22,$C$19,ori,"TOTAL PRODUCT","B-402111",$C$20,"Amount_BS")/1000)+(_xll.DBR("CXMD:FTM_DATA_BALANCE_SHEET","Total_Customer_Supplier",J$22,$C$19,ori,"TOTAL PRODUCT","B-407010",$C$20,"Amount_BS")/1000)</f>
        <v>1545981.5758200001</v>
      </c>
      <c r="K34" s="76">
        <f ca="1">(_xll.DBR("CXMD:FTM_DATA_BALANCE_SHEET","Total_Customer_Supplier",K$22,$C$19,ori,"TOTAL PRODUCT","B-401010",$C$20,"Amount_BS")/1000)+(_xll.DBR("CXMD:FTM_DATA_BALANCE_SHEET","Total_Customer_Supplier",K$22,$C$19,ori,"TOTAL PRODUCT","B-401020",$C$20,"Amount_BS")/1000)+(_xll.DBR("CXMD:FTM_DATA_BALANCE_SHEET","Total_Customer_Supplier",K$22,$C$19,ori,"TOTAL PRODUCT","B-402110",$C$20,"Amount_BS")/1000)+(_xll.DBR("CXMD:FTM_DATA_BALANCE_SHEET","Total_Customer_Supplier",K$22,$C$19,ori,"TOTAL PRODUCT","B-402111",$C$20,"Amount_BS")/1000)+(_xll.DBR("CXMD:FTM_DATA_BALANCE_SHEET","Total_Customer_Supplier",K$22,$C$19,ori,"TOTAL PRODUCT","B-407010",$C$20,"Amount_BS")/1000)</f>
        <v>1745045.42772</v>
      </c>
      <c r="L34" s="76">
        <f ca="1">(_xll.DBR("CXMD:FTM_DATA_BALANCE_SHEET","Total_Customer_Supplier",L$22,$C$19,ori,"TOTAL PRODUCT","B-401010",$C$20,"Amount_BS")/1000)+(_xll.DBR("CXMD:FTM_DATA_BALANCE_SHEET","Total_Customer_Supplier",L$22,$C$19,ori,"TOTAL PRODUCT","B-401020",$C$20,"Amount_BS")/1000)+(_xll.DBR("CXMD:FTM_DATA_BALANCE_SHEET","Total_Customer_Supplier",L$22,$C$19,ori,"TOTAL PRODUCT","B-402110",$C$20,"Amount_BS")/1000)+(_xll.DBR("CXMD:FTM_DATA_BALANCE_SHEET","Total_Customer_Supplier",L$22,$C$19,ori,"TOTAL PRODUCT","B-402111",$C$20,"Amount_BS")/1000)+(_xll.DBR("CXMD:FTM_DATA_BALANCE_SHEET","Total_Customer_Supplier",L$22,$C$19,ori,"TOTAL PRODUCT","B-407010",$C$20,"Amount_BS")/1000)</f>
        <v>1939440.6589099998</v>
      </c>
      <c r="M34" s="76">
        <f ca="1">(_xll.DBR("CXMD:FTM_DATA_BALANCE_SHEET","Total_Customer_Supplier",M$22,$C$19,ori,"TOTAL PRODUCT","B-401010",$C$20,"Amount_BS")/1000)+(_xll.DBR("CXMD:FTM_DATA_BALANCE_SHEET","Total_Customer_Supplier",M$22,$C$19,ori,"TOTAL PRODUCT","B-401020",$C$20,"Amount_BS")/1000)+(_xll.DBR("CXMD:FTM_DATA_BALANCE_SHEET","Total_Customer_Supplier",M$22,$C$19,ori,"TOTAL PRODUCT","B-402110",$C$20,"Amount_BS")/1000)+(_xll.DBR("CXMD:FTM_DATA_BALANCE_SHEET","Total_Customer_Supplier",M$22,$C$19,ori,"TOTAL PRODUCT","B-402111",$C$20,"Amount_BS")/1000)+(_xll.DBR("CXMD:FTM_DATA_BALANCE_SHEET","Total_Customer_Supplier",M$22,$C$19,ori,"TOTAL PRODUCT","B-407010",$C$20,"Amount_BS")/1000)</f>
        <v>2158095.7872299999</v>
      </c>
      <c r="N34" s="76">
        <f ca="1">(_xll.DBR("CXMD:FTM_DATA_BALANCE_SHEET","Total_Customer_Supplier",N$22,$C$19,ori,"TOTAL PRODUCT","B-401010",$C$20,"Amount_BS")/1000)+(_xll.DBR("CXMD:FTM_DATA_BALANCE_SHEET","Total_Customer_Supplier",N$22,$C$19,ori,"TOTAL PRODUCT","B-401020",$C$20,"Amount_BS")/1000)+(_xll.DBR("CXMD:FTM_DATA_BALANCE_SHEET","Total_Customer_Supplier",N$22,$C$19,ori,"TOTAL PRODUCT","B-402110",$C$20,"Amount_BS")/1000)+(_xll.DBR("CXMD:FTM_DATA_BALANCE_SHEET","Total_Customer_Supplier",N$22,$C$19,ori,"TOTAL PRODUCT","B-402111",$C$20,"Amount_BS")/1000)+(_xll.DBR("CXMD:FTM_DATA_BALANCE_SHEET","Total_Customer_Supplier",N$22,$C$19,ori,"TOTAL PRODUCT","B-407010",$C$20,"Amount_BS")/1000)</f>
        <v>2382020.9456999996</v>
      </c>
      <c r="O34" s="76">
        <f ca="1">(_xll.DBR("CXMD:FTM_DATA_BALANCE_SHEET","Total_Customer_Supplier",O$22,$C$19,ori,"TOTAL PRODUCT","B-401010",$C$20,"Amount_BS")/1000)+(_xll.DBR("CXMD:FTM_DATA_BALANCE_SHEET","Total_Customer_Supplier",O$22,$C$19,ori,"TOTAL PRODUCT","B-401020",$C$20,"Amount_BS")/1000)+(_xll.DBR("CXMD:FTM_DATA_BALANCE_SHEET","Total_Customer_Supplier",O$22,$C$19,ori,"TOTAL PRODUCT","B-402110",$C$20,"Amount_BS")/1000)+(_xll.DBR("CXMD:FTM_DATA_BALANCE_SHEET","Total_Customer_Supplier",O$22,$C$19,ori,"TOTAL PRODUCT","B-402111",$C$20,"Amount_BS")/1000)+(_xll.DBR("CXMD:FTM_DATA_BALANCE_SHEET","Total_Customer_Supplier",O$22,$C$19,ori,"TOTAL PRODUCT","B-407010",$C$20,"Amount_BS")/1000)</f>
        <v>2543662.1845999993</v>
      </c>
    </row>
    <row r="35" spans="2:15" ht="15.75" thickBot="1" x14ac:dyDescent="0.3">
      <c r="B35" s="34"/>
      <c r="C35" s="35" t="s">
        <v>52</v>
      </c>
      <c r="D35" s="36">
        <f ca="1">IF(D27&lt;&gt;0,D34/D27,0)</f>
        <v>0.57757444580384298</v>
      </c>
      <c r="E35" s="36">
        <f t="shared" ref="E35:O35" ca="1" si="4">IF(E27&lt;&gt;0,E34/E27,0)</f>
        <v>0.57866478987839121</v>
      </c>
      <c r="F35" s="36">
        <f t="shared" ca="1" si="4"/>
        <v>0.61477283944443262</v>
      </c>
      <c r="G35" s="36">
        <f t="shared" ca="1" si="4"/>
        <v>0.62574176307941809</v>
      </c>
      <c r="H35" s="36">
        <f t="shared" ca="1" si="4"/>
        <v>0.62792492204163675</v>
      </c>
      <c r="I35" s="36">
        <f t="shared" ca="1" si="4"/>
        <v>0.62890108829090363</v>
      </c>
      <c r="J35" s="36">
        <f t="shared" ca="1" si="4"/>
        <v>0.62678958415185815</v>
      </c>
      <c r="K35" s="36">
        <f t="shared" ca="1" si="4"/>
        <v>0.61680752515523207</v>
      </c>
      <c r="L35" s="36">
        <f t="shared" ca="1" si="4"/>
        <v>0.6115334257166416</v>
      </c>
      <c r="M35" s="36">
        <f t="shared" ca="1" si="4"/>
        <v>0.61685918630471692</v>
      </c>
      <c r="N35" s="36">
        <f t="shared" ca="1" si="4"/>
        <v>0.62239066283031064</v>
      </c>
      <c r="O35" s="36">
        <f t="shared" ca="1" si="4"/>
        <v>0.62296764668305227</v>
      </c>
    </row>
    <row r="36" spans="2:15" ht="15" x14ac:dyDescent="0.25">
      <c r="B36" s="4" t="s">
        <v>5</v>
      </c>
      <c r="C36" s="28" t="s">
        <v>12</v>
      </c>
      <c r="D36" s="61">
        <f ca="1">(_xll.DBR("CXMD:FTM_DATA_BALANCE_SHEET","Total_Customer_Supplier",D$22,$C$19,ori,"TOTAL PRODUCT","R-901000",$C$20,"Amount_BS")/1000)</f>
        <v>190042.62174</v>
      </c>
      <c r="E36" s="61">
        <f ca="1">(_xll.DBR("CXMD:FTM_DATA_BALANCE_SHEET","Total_Customer_Supplier",E$22,$C$19,ori,"TOTAL PRODUCT","R-901000",$C$20,"Amount_BS")/1000)</f>
        <v>382894.77859</v>
      </c>
      <c r="F36" s="61">
        <f ca="1">(_xll.DBR("CXMD:FTM_DATA_BALANCE_SHEET","Total_Customer_Supplier",F$22,$C$19,ori,"TOTAL PRODUCT","R-901000",$C$20,"Amount_BS")/1000)</f>
        <v>635287.62179999996</v>
      </c>
      <c r="G36" s="61">
        <f ca="1">(_xll.DBR("CXMD:FTM_DATA_BALANCE_SHEET","Total_Customer_Supplier",G$22,$C$19,ori,"TOTAL PRODUCT","R-901000",$C$20,"Amount_BS")/1000)</f>
        <v>845428.45922000008</v>
      </c>
      <c r="H36" s="61">
        <f ca="1">(_xll.DBR("CXMD:FTM_DATA_BALANCE_SHEET","Total_Customer_Supplier",H$22,$C$19,ori,"TOTAL PRODUCT","R-901000",$C$20,"Amount_BS")/1000)</f>
        <v>1088819.2120399999</v>
      </c>
      <c r="I36" s="61">
        <f ca="1">(_xll.DBR("CXMD:FTM_DATA_BALANCE_SHEET","Total_Customer_Supplier",I$22,$C$19,ori,"TOTAL PRODUCT","R-901000",$C$20,"Amount_BS")/1000)</f>
        <v>1324032.2112999998</v>
      </c>
      <c r="J36" s="61">
        <f ca="1">(_xll.DBR("CXMD:FTM_DATA_BALANCE_SHEET","Total_Customer_Supplier",J$22,$C$19,ori,"TOTAL PRODUCT","R-901000",$C$20,"Amount_BS")/1000)</f>
        <v>1545981.5758199999</v>
      </c>
      <c r="K36" s="61">
        <f ca="1">(_xll.DBR("CXMD:FTM_DATA_BALANCE_SHEET","Total_Customer_Supplier",K$22,$C$19,ori,"TOTAL PRODUCT","R-901000",$C$20,"Amount_BS")/1000)</f>
        <v>1745045.42772</v>
      </c>
      <c r="L36" s="61">
        <f ca="1">(_xll.DBR("CXMD:FTM_DATA_BALANCE_SHEET","Total_Customer_Supplier",L$22,$C$19,ori,"TOTAL PRODUCT","R-901000",$C$20,"Amount_BS")/1000)</f>
        <v>1939440.65891</v>
      </c>
      <c r="M36" s="61">
        <f ca="1">(_xll.DBR("CXMD:FTM_DATA_BALANCE_SHEET","Total_Customer_Supplier",M$22,$C$19,ori,"TOTAL PRODUCT","R-901000",$C$20,"Amount_BS")/1000)</f>
        <v>2158095.7872299999</v>
      </c>
      <c r="N36" s="61">
        <f ca="1">(_xll.DBR("CXMD:FTM_DATA_BALANCE_SHEET","Total_Customer_Supplier",N$22,$C$19,ori,"TOTAL PRODUCT","R-901000",$C$20,"Amount_BS")/1000)</f>
        <v>2382020.9457</v>
      </c>
      <c r="O36" s="61">
        <f ca="1">(_xll.DBR("CXMD:FTM_DATA_BALANCE_SHEET","Total_Customer_Supplier",O$22,$C$19,ori,"TOTAL PRODUCT","R-901000",$C$20,"Amount_BS")/1000)</f>
        <v>2543662.1845999993</v>
      </c>
    </row>
    <row r="37" spans="2:15" ht="15" x14ac:dyDescent="0.25">
      <c r="B37" s="4" t="s">
        <v>5</v>
      </c>
      <c r="C37" s="29" t="s">
        <v>13</v>
      </c>
      <c r="D37" s="63">
        <f ca="1">(_xll.DBR("CXMD:FTM_DATA_BALANCE_SHEET","Total_Customer_Supplier",D$22,$C$19,ori,"TOTAL PRODUCT","B-401010",$C$20,"Amount_BS")/1000)</f>
        <v>72512.262969999996</v>
      </c>
      <c r="E37" s="63">
        <f ca="1">(_xll.DBR("CXMD:FTM_DATA_BALANCE_SHEET","Total_Customer_Supplier",E$22,$C$19,ori,"TOTAL PRODUCT","B-401010",$C$20,"Amount_BS")/1000)</f>
        <v>163683.51131</v>
      </c>
      <c r="F37" s="63">
        <f ca="1">(_xll.DBR("CXMD:FTM_DATA_BALANCE_SHEET","Total_Customer_Supplier",F$22,$C$19,ori,"TOTAL PRODUCT","B-401010",$C$20,"Amount_BS")/1000)</f>
        <v>273209.70121999999</v>
      </c>
      <c r="G37" s="63">
        <f ca="1">(_xll.DBR("CXMD:FTM_DATA_BALANCE_SHEET","Total_Customer_Supplier",G$22,$C$19,ori,"TOTAL PRODUCT","B-401010",$C$20,"Amount_BS")/1000)</f>
        <v>359853.74875000003</v>
      </c>
      <c r="H37" s="63">
        <f ca="1">(_xll.DBR("CXMD:FTM_DATA_BALANCE_SHEET","Total_Customer_Supplier",H$22,$C$19,ori,"TOTAL PRODUCT","B-401010",$C$20,"Amount_BS")/1000)</f>
        <v>477831.09892999992</v>
      </c>
      <c r="I37" s="63">
        <f ca="1">(_xll.DBR("CXMD:FTM_DATA_BALANCE_SHEET","Total_Customer_Supplier",I$22,$C$19,ori,"TOTAL PRODUCT","B-401010",$C$20,"Amount_BS")/1000)</f>
        <v>584523.07900999999</v>
      </c>
      <c r="J37" s="63">
        <f ca="1">(_xll.DBR("CXMD:FTM_DATA_BALANCE_SHEET","Total_Customer_Supplier",J$22,$C$19,ori,"TOTAL PRODUCT","B-401010",$C$20,"Amount_BS")/1000)</f>
        <v>694006.81279999996</v>
      </c>
      <c r="K37" s="63">
        <f ca="1">(_xll.DBR("CXMD:FTM_DATA_BALANCE_SHEET","Total_Customer_Supplier",K$22,$C$19,ori,"TOTAL PRODUCT","B-401010",$C$20,"Amount_BS")/1000)</f>
        <v>802483.89564</v>
      </c>
      <c r="L37" s="63">
        <f ca="1">(_xll.DBR("CXMD:FTM_DATA_BALANCE_SHEET","Total_Customer_Supplier",L$22,$C$19,ori,"TOTAL PRODUCT","B-401010",$C$20,"Amount_BS")/1000)</f>
        <v>906895.80400999996</v>
      </c>
      <c r="M37" s="63">
        <f ca="1">(_xll.DBR("CXMD:FTM_DATA_BALANCE_SHEET","Total_Customer_Supplier",M$22,$C$19,ori,"TOTAL PRODUCT","B-401010",$C$20,"Amount_BS")/1000)</f>
        <v>1025432.5573199999</v>
      </c>
      <c r="N37" s="63">
        <f ca="1">(_xll.DBR("CXMD:FTM_DATA_BALANCE_SHEET","Total_Customer_Supplier",N$22,$C$19,ori,"TOTAL PRODUCT","B-401010",$C$20,"Amount_BS")/1000)</f>
        <v>1135480.71364</v>
      </c>
      <c r="O37" s="63">
        <f ca="1">(_xll.DBR("CXMD:FTM_DATA_BALANCE_SHEET","Total_Customer_Supplier",O$22,$C$19,ori,"TOTAL PRODUCT","B-401010",$C$20,"Amount_BS")/1000)</f>
        <v>1204713.2161999999</v>
      </c>
    </row>
    <row r="38" spans="2:15" ht="15" x14ac:dyDescent="0.25">
      <c r="B38" s="4" t="s">
        <v>5</v>
      </c>
      <c r="C38" s="29" t="s">
        <v>14</v>
      </c>
      <c r="D38" s="63">
        <f ca="1">(_xll.DBR("CXMD:FTM_DATA_BALANCE_SHEET","Total_Customer_Supplier",D$22,$C$19,ori,"TOTAL PRODUCT","B-407010",$C$20,"Amount_BS")/1000)</f>
        <v>22443.169009999994</v>
      </c>
      <c r="E38" s="63">
        <f ca="1">(_xll.DBR("CXMD:FTM_DATA_BALANCE_SHEET","Total_Customer_Supplier",E$22,$C$19,ori,"TOTAL PRODUCT","B-407010",$C$20,"Amount_BS")/1000)</f>
        <v>45583.222890000005</v>
      </c>
      <c r="F38" s="63">
        <f ca="1">(_xll.DBR("CXMD:FTM_DATA_BALANCE_SHEET","Total_Customer_Supplier",F$22,$C$19,ori,"TOTAL PRODUCT","B-407010",$C$20,"Amount_BS")/1000)</f>
        <v>71056.688229999985</v>
      </c>
      <c r="G38" s="63">
        <f ca="1">(_xll.DBR("CXMD:FTM_DATA_BALANCE_SHEET","Total_Customer_Supplier",G$22,$C$19,ori,"TOTAL PRODUCT","B-407010",$C$20,"Amount_BS")/1000)</f>
        <v>93165.357380000016</v>
      </c>
      <c r="H38" s="63">
        <f ca="1">(_xll.DBR("CXMD:FTM_DATA_BALANCE_SHEET","Total_Customer_Supplier",H$22,$C$19,ori,"TOTAL PRODUCT","B-407010",$C$20,"Amount_BS")/1000)</f>
        <v>114606.94387</v>
      </c>
      <c r="I38" s="63">
        <f ca="1">(_xll.DBR("CXMD:FTM_DATA_BALANCE_SHEET","Total_Customer_Supplier",I$22,$C$19,ori,"TOTAL PRODUCT","B-407010",$C$20,"Amount_BS")/1000)</f>
        <v>135306.07321</v>
      </c>
      <c r="J38" s="63">
        <f ca="1">(_xll.DBR("CXMD:FTM_DATA_BALANCE_SHEET","Total_Customer_Supplier",J$22,$C$19,ori,"TOTAL PRODUCT","B-407010",$C$20,"Amount_BS")/1000)</f>
        <v>149780.05282000001</v>
      </c>
      <c r="K38" s="63">
        <f ca="1">(_xll.DBR("CXMD:FTM_DATA_BALANCE_SHEET","Total_Customer_Supplier",K$22,$C$19,ori,"TOTAL PRODUCT","B-407010",$C$20,"Amount_BS")/1000)</f>
        <v>160135.28992000001</v>
      </c>
      <c r="L38" s="63">
        <f ca="1">(_xll.DBR("CXMD:FTM_DATA_BALANCE_SHEET","Total_Customer_Supplier",L$22,$C$19,ori,"TOTAL PRODUCT","B-407010",$C$20,"Amount_BS")/1000)</f>
        <v>179843.15272000004</v>
      </c>
      <c r="M38" s="63">
        <f ca="1">(_xll.DBR("CXMD:FTM_DATA_BALANCE_SHEET","Total_Customer_Supplier",M$22,$C$19,ori,"TOTAL PRODUCT","B-407010",$C$20,"Amount_BS")/1000)</f>
        <v>198147.65115000002</v>
      </c>
      <c r="N38" s="63">
        <f ca="1">(_xll.DBR("CXMD:FTM_DATA_BALANCE_SHEET","Total_Customer_Supplier",N$22,$C$19,ori,"TOTAL PRODUCT","B-407010",$C$20,"Amount_BS")/1000)</f>
        <v>218701.26470999999</v>
      </c>
      <c r="O38" s="63">
        <f ca="1">(_xll.DBR("CXMD:FTM_DATA_BALANCE_SHEET","Total_Customer_Supplier",O$22,$C$19,ori,"TOTAL PRODUCT","B-407010",$C$20,"Amount_BS")/1000)</f>
        <v>234604.31453</v>
      </c>
    </row>
    <row r="39" spans="2:15" ht="15" x14ac:dyDescent="0.25">
      <c r="B39" s="4" t="s">
        <v>5</v>
      </c>
      <c r="C39" s="29" t="s">
        <v>47</v>
      </c>
      <c r="D39" s="63">
        <f ca="1">(_xll.DBR("CXMD:FTM_DATA_BALANCE_SHEET","Total_Customer_Supplier",D$22,$C$19,ori,"TOTAL PRODUCT","B-402110",$C$20,"Amount_BS")/1000)</f>
        <v>879.40243999999996</v>
      </c>
      <c r="E39" s="63">
        <f ca="1">(_xll.DBR("CXMD:FTM_DATA_BALANCE_SHEET","Total_Customer_Supplier",E$22,$C$19,ori,"TOTAL PRODUCT","B-402110",$C$20,"Amount_BS")/1000)</f>
        <v>1451.9677199999999</v>
      </c>
      <c r="F39" s="63">
        <f ca="1">(_xll.DBR("CXMD:FTM_DATA_BALANCE_SHEET","Total_Customer_Supplier",F$22,$C$19,ori,"TOTAL PRODUCT","B-402110",$C$20,"Amount_BS")/1000)</f>
        <v>4067.1236200000003</v>
      </c>
      <c r="G39" s="63">
        <f ca="1">(_xll.DBR("CXMD:FTM_DATA_BALANCE_SHEET","Total_Customer_Supplier",G$22,$C$19,ori,"TOTAL PRODUCT","B-402110",$C$20,"Amount_BS")/1000)</f>
        <v>13228.520080000002</v>
      </c>
      <c r="H39" s="63">
        <f ca="1">(_xll.DBR("CXMD:FTM_DATA_BALANCE_SHEET","Total_Customer_Supplier",H$22,$C$19,ori,"TOTAL PRODUCT","B-402110",$C$20,"Amount_BS")/1000)</f>
        <v>9321.5845300000019</v>
      </c>
      <c r="I39" s="63">
        <f ca="1">(_xll.DBR("CXMD:FTM_DATA_BALANCE_SHEET","Total_Customer_Supplier",I$22,$C$19,ori,"TOTAL PRODUCT","B-402110",$C$20,"Amount_BS")/1000)</f>
        <v>8435.3377900000014</v>
      </c>
      <c r="J39" s="63">
        <f ca="1">(_xll.DBR("CXMD:FTM_DATA_BALANCE_SHEET","Total_Customer_Supplier",J$22,$C$19,ori,"TOTAL PRODUCT","B-402110",$C$20,"Amount_BS")/1000)</f>
        <v>7812.4833800000006</v>
      </c>
      <c r="K39" s="63">
        <f ca="1">(_xll.DBR("CXMD:FTM_DATA_BALANCE_SHEET","Total_Customer_Supplier",K$22,$C$19,ori,"TOTAL PRODUCT","B-402110",$C$20,"Amount_BS")/1000)</f>
        <v>10556.875880000003</v>
      </c>
      <c r="L39" s="63">
        <f ca="1">(_xll.DBR("CXMD:FTM_DATA_BALANCE_SHEET","Total_Customer_Supplier",L$22,$C$19,ori,"TOTAL PRODUCT","B-402110",$C$20,"Amount_BS")/1000)</f>
        <v>11405.735200000003</v>
      </c>
      <c r="M39" s="63">
        <f ca="1">(_xll.DBR("CXMD:FTM_DATA_BALANCE_SHEET","Total_Customer_Supplier",M$22,$C$19,ori,"TOTAL PRODUCT","B-402110",$C$20,"Amount_BS")/1000)</f>
        <v>10664.356220000003</v>
      </c>
      <c r="N39" s="63">
        <f ca="1">(_xll.DBR("CXMD:FTM_DATA_BALANCE_SHEET","Total_Customer_Supplier",N$22,$C$19,ori,"TOTAL PRODUCT","B-402110",$C$20,"Amount_BS")/1000)</f>
        <v>11818.274800000003</v>
      </c>
      <c r="O39" s="63">
        <f ca="1">(_xll.DBR("CXMD:FTM_DATA_BALANCE_SHEET","Total_Customer_Supplier",O$22,$C$19,ori,"TOTAL PRODUCT","B-402110",$C$20,"Amount_BS")/1000)</f>
        <v>11433.647860000001</v>
      </c>
    </row>
    <row r="40" spans="2:15" ht="15" x14ac:dyDescent="0.25">
      <c r="B40" s="4" t="s">
        <v>5</v>
      </c>
      <c r="C40" s="29" t="s">
        <v>48</v>
      </c>
      <c r="D40" s="63">
        <f ca="1">(_xll.DBR("CXMD:FTM_DATA_BALANCE_SHEET","Total_Customer_Supplier",D$22,$C$19,ori,"TOTAL PRODUCT","B-402111",$C$20,"Amount_BS")/1000)</f>
        <v>-98.024020000000021</v>
      </c>
      <c r="E40" s="63">
        <f ca="1">(_xll.DBR("CXMD:FTM_DATA_BALANCE_SHEET","Total_Customer_Supplier",E$22,$C$19,ori,"TOTAL PRODUCT","B-402111",$C$20,"Amount_BS")/1000)</f>
        <v>-10.459220000000002</v>
      </c>
      <c r="F40" s="63">
        <f ca="1">(_xll.DBR("CXMD:FTM_DATA_BALANCE_SHEET","Total_Customer_Supplier",F$22,$C$19,ori,"TOTAL PRODUCT","B-402111",$C$20,"Amount_BS")/1000)</f>
        <v>-67.86414000000002</v>
      </c>
      <c r="G40" s="63">
        <f ca="1">(_xll.DBR("CXMD:FTM_DATA_BALANCE_SHEET","Total_Customer_Supplier",G$22,$C$19,ori,"TOTAL PRODUCT","B-402111",$C$20,"Amount_BS")/1000)</f>
        <v>-87.019670000000005</v>
      </c>
      <c r="H40" s="63">
        <f ca="1">(_xll.DBR("CXMD:FTM_DATA_BALANCE_SHEET","Total_Customer_Supplier",H$22,$C$19,ori,"TOTAL PRODUCT","B-402111",$C$20,"Amount_BS")/1000)</f>
        <v>-88.619910000000047</v>
      </c>
      <c r="I40" s="63">
        <f ca="1">(_xll.DBR("CXMD:FTM_DATA_BALANCE_SHEET","Total_Customer_Supplier",I$22,$C$19,ori,"TOTAL PRODUCT","B-402111",$C$20,"Amount_BS")/1000)</f>
        <v>-40.90099</v>
      </c>
      <c r="J40" s="63">
        <f ca="1">(_xll.DBR("CXMD:FTM_DATA_BALANCE_SHEET","Total_Customer_Supplier",J$22,$C$19,ori,"TOTAL PRODUCT","B-402111",$C$20,"Amount_BS")/1000)</f>
        <v>-8.9837800000000207</v>
      </c>
      <c r="K40" s="63">
        <f ca="1">(_xll.DBR("CXMD:FTM_DATA_BALANCE_SHEET","Total_Customer_Supplier",K$22,$C$19,ori,"TOTAL PRODUCT","B-402111",$C$20,"Amount_BS")/1000)</f>
        <v>-101.53749000000005</v>
      </c>
      <c r="L40" s="63">
        <f ca="1">(_xll.DBR("CXMD:FTM_DATA_BALANCE_SHEET","Total_Customer_Supplier",L$22,$C$19,ori,"TOTAL PRODUCT","B-402111",$C$20,"Amount_BS")/1000)</f>
        <v>-82.44454000000006</v>
      </c>
      <c r="M40" s="63">
        <f ca="1">(_xll.DBR("CXMD:FTM_DATA_BALANCE_SHEET","Total_Customer_Supplier",M$22,$C$19,ori,"TOTAL PRODUCT","B-402111",$C$20,"Amount_BS")/1000)</f>
        <v>-82.123080000000058</v>
      </c>
      <c r="N40" s="63">
        <f ca="1">(_xll.DBR("CXMD:FTM_DATA_BALANCE_SHEET","Total_Customer_Supplier",N$22,$C$19,ori,"TOTAL PRODUCT","B-402111",$C$20,"Amount_BS")/1000)</f>
        <v>-11.283340000000011</v>
      </c>
      <c r="O40" s="63">
        <f ca="1">(_xll.DBR("CXMD:FTM_DATA_BALANCE_SHEET","Total_Customer_Supplier",O$22,$C$19,ori,"TOTAL PRODUCT","B-402111",$C$20,"Amount_BS")/1000)</f>
        <v>-96.381789999999953</v>
      </c>
    </row>
    <row r="41" spans="2:15" ht="15" x14ac:dyDescent="0.25">
      <c r="B41" s="4"/>
      <c r="C41" s="29" t="s">
        <v>15</v>
      </c>
      <c r="D41" s="63">
        <f ca="1">(_xll.DBR("CXMD:FTM_DATA_BALANCE_SHEET","Total_Customer_Supplier",D$22,$C$19,ori,"TOTAL PRODUCT","B-401020",$C$20,"Amount_BS")/1000)</f>
        <v>94305.81134</v>
      </c>
      <c r="E41" s="63">
        <f ca="1">(_xll.DBR("CXMD:FTM_DATA_BALANCE_SHEET","Total_Customer_Supplier",E$22,$C$19,ori,"TOTAL PRODUCT","B-401020",$C$20,"Amount_BS")/1000)</f>
        <v>172186.53589000003</v>
      </c>
      <c r="F41" s="63">
        <f ca="1">(_xll.DBR("CXMD:FTM_DATA_BALANCE_SHEET","Total_Customer_Supplier",F$22,$C$19,ori,"TOTAL PRODUCT","B-401020",$C$20,"Amount_BS")/1000)</f>
        <v>287021.97287</v>
      </c>
      <c r="G41" s="63">
        <f ca="1">(_xll.DBR("CXMD:FTM_DATA_BALANCE_SHEET","Total_Customer_Supplier",G$22,$C$19,ori,"TOTAL PRODUCT","B-401020",$C$20,"Amount_BS")/1000)</f>
        <v>379267.85268000001</v>
      </c>
      <c r="H41" s="63">
        <f ca="1">(_xll.DBR("CXMD:FTM_DATA_BALANCE_SHEET","Total_Customer_Supplier",H$22,$C$19,ori,"TOTAL PRODUCT","B-401020",$C$20,"Amount_BS")/1000)</f>
        <v>487148.20462000003</v>
      </c>
      <c r="I41" s="63">
        <f ca="1">(_xll.DBR("CXMD:FTM_DATA_BALANCE_SHEET","Total_Customer_Supplier",I$22,$C$19,ori,"TOTAL PRODUCT","B-401020",$C$20,"Amount_BS")/1000)</f>
        <v>595808.62228000001</v>
      </c>
      <c r="J41" s="63">
        <f ca="1">(_xll.DBR("CXMD:FTM_DATA_BALANCE_SHEET","Total_Customer_Supplier",J$22,$C$19,ori,"TOTAL PRODUCT","B-401020",$C$20,"Amount_BS")/1000)</f>
        <v>694391.21059999987</v>
      </c>
      <c r="K41" s="63">
        <f ca="1">(_xll.DBR("CXMD:FTM_DATA_BALANCE_SHEET","Total_Customer_Supplier",K$22,$C$19,ori,"TOTAL PRODUCT","B-401020",$C$20,"Amount_BS")/1000)</f>
        <v>771970.90376999998</v>
      </c>
      <c r="L41" s="63">
        <f ca="1">(_xll.DBR("CXMD:FTM_DATA_BALANCE_SHEET","Total_Customer_Supplier",L$22,$C$19,ori,"TOTAL PRODUCT","B-401020",$C$20,"Amount_BS")/1000)</f>
        <v>841378.41151999985</v>
      </c>
      <c r="M41" s="63">
        <f ca="1">(_xll.DBR("CXMD:FTM_DATA_BALANCE_SHEET","Total_Customer_Supplier",M$22,$C$19,ori,"TOTAL PRODUCT","B-401020",$C$20,"Amount_BS")/1000)</f>
        <v>923933.34561999992</v>
      </c>
      <c r="N41" s="63">
        <f ca="1">(_xll.DBR("CXMD:FTM_DATA_BALANCE_SHEET","Total_Customer_Supplier",N$22,$C$19,ori,"TOTAL PRODUCT","B-401020",$C$20,"Amount_BS")/1000)</f>
        <v>1016031.9758899999</v>
      </c>
      <c r="O41" s="63">
        <f ca="1">(_xll.DBR("CXMD:FTM_DATA_BALANCE_SHEET","Total_Customer_Supplier",O$22,$C$19,ori,"TOTAL PRODUCT","B-401020",$C$20,"Amount_BS")/1000)</f>
        <v>1093007.3877999997</v>
      </c>
    </row>
    <row r="42" spans="2:15" ht="15" x14ac:dyDescent="0.25">
      <c r="B42" s="4"/>
      <c r="C42" s="28" t="s">
        <v>22</v>
      </c>
      <c r="D42" s="95">
        <f>D43</f>
        <v>0</v>
      </c>
      <c r="E42" s="95">
        <f t="shared" ref="E42:O42" si="5">E43</f>
        <v>0</v>
      </c>
      <c r="F42" s="95">
        <f t="shared" si="5"/>
        <v>0</v>
      </c>
      <c r="G42" s="95">
        <f t="shared" si="5"/>
        <v>0</v>
      </c>
      <c r="H42" s="95">
        <f t="shared" si="5"/>
        <v>0</v>
      </c>
      <c r="I42" s="95">
        <f t="shared" si="5"/>
        <v>0</v>
      </c>
      <c r="J42" s="95">
        <f t="shared" si="5"/>
        <v>0</v>
      </c>
      <c r="K42" s="95">
        <f t="shared" si="5"/>
        <v>0</v>
      </c>
      <c r="L42" s="95">
        <f t="shared" si="5"/>
        <v>0</v>
      </c>
      <c r="M42" s="95">
        <f t="shared" si="5"/>
        <v>0</v>
      </c>
      <c r="N42" s="95">
        <f t="shared" si="5"/>
        <v>0</v>
      </c>
      <c r="O42" s="95">
        <f t="shared" si="5"/>
        <v>0</v>
      </c>
    </row>
    <row r="43" spans="2:15" ht="15.75" thickBot="1" x14ac:dyDescent="0.3">
      <c r="B43" s="4" t="s">
        <v>5</v>
      </c>
      <c r="C43" s="29" t="s">
        <v>23</v>
      </c>
      <c r="D43" s="63">
        <f>0</f>
        <v>0</v>
      </c>
      <c r="E43" s="63">
        <f>0</f>
        <v>0</v>
      </c>
      <c r="F43" s="63">
        <f>0</f>
        <v>0</v>
      </c>
      <c r="G43" s="63">
        <f>0</f>
        <v>0</v>
      </c>
      <c r="H43" s="63">
        <f>0</f>
        <v>0</v>
      </c>
      <c r="I43" s="63">
        <f>0</f>
        <v>0</v>
      </c>
      <c r="J43" s="63">
        <f>0</f>
        <v>0</v>
      </c>
      <c r="K43" s="63">
        <f>0</f>
        <v>0</v>
      </c>
      <c r="L43" s="63">
        <f>0</f>
        <v>0</v>
      </c>
      <c r="M43" s="63">
        <f>0</f>
        <v>0</v>
      </c>
      <c r="N43" s="63">
        <f>0</f>
        <v>0</v>
      </c>
      <c r="O43" s="63">
        <f>0</f>
        <v>0</v>
      </c>
    </row>
    <row r="44" spans="2:15" ht="15.75" x14ac:dyDescent="0.25">
      <c r="B44" s="37" t="s">
        <v>43</v>
      </c>
      <c r="C44" s="38"/>
      <c r="D44" s="77">
        <f ca="1">D29-D34</f>
        <v>143035.46046999993</v>
      </c>
      <c r="E44" s="77">
        <f t="shared" ref="E44:O44" ca="1" si="6">E29-E34</f>
        <v>287375.18345999997</v>
      </c>
      <c r="F44" s="77">
        <f t="shared" ca="1" si="6"/>
        <v>411513.53643999994</v>
      </c>
      <c r="G44" s="77">
        <f t="shared" ca="1" si="6"/>
        <v>523484.00281999947</v>
      </c>
      <c r="H44" s="77">
        <f t="shared" ca="1" si="6"/>
        <v>667389.93947999994</v>
      </c>
      <c r="I44" s="77">
        <f t="shared" ca="1" si="6"/>
        <v>808218.47456999961</v>
      </c>
      <c r="J44" s="77">
        <f t="shared" ca="1" si="6"/>
        <v>951996.11692000018</v>
      </c>
      <c r="K44" s="77">
        <f t="shared" ca="1" si="6"/>
        <v>1119937.9478299995</v>
      </c>
      <c r="L44" s="77">
        <f t="shared" ca="1" si="6"/>
        <v>1271748.1045600004</v>
      </c>
      <c r="M44" s="77">
        <f t="shared" ca="1" si="6"/>
        <v>1384640.9610099993</v>
      </c>
      <c r="N44" s="77">
        <f t="shared" ca="1" si="6"/>
        <v>1494476.5403700001</v>
      </c>
      <c r="O44" s="77">
        <f t="shared" ca="1" si="6"/>
        <v>1591650.5837400006</v>
      </c>
    </row>
    <row r="45" spans="2:15" ht="15.75" thickBot="1" x14ac:dyDescent="0.3">
      <c r="B45" s="39"/>
      <c r="C45" s="40" t="s">
        <v>52</v>
      </c>
      <c r="D45" s="41">
        <f ca="1">IF(D27&lt;&gt;0,D44/D27,0)</f>
        <v>0.4347110456320824</v>
      </c>
      <c r="E45" s="41">
        <f t="shared" ref="E45:O45" ca="1" si="7">IF(E27&lt;&gt;0,E44/E27,0)</f>
        <v>0.43430704582997431</v>
      </c>
      <c r="F45" s="41">
        <f t="shared" ca="1" si="7"/>
        <v>0.39822489308108028</v>
      </c>
      <c r="G45" s="41">
        <f t="shared" ca="1" si="7"/>
        <v>0.38745537756165987</v>
      </c>
      <c r="H45" s="41">
        <f t="shared" ca="1" si="7"/>
        <v>0.3848855448960945</v>
      </c>
      <c r="I45" s="41">
        <f t="shared" ca="1" si="7"/>
        <v>0.38389510005562716</v>
      </c>
      <c r="J45" s="41">
        <f t="shared" ca="1" si="7"/>
        <v>0.38596918590182799</v>
      </c>
      <c r="K45" s="41">
        <f t="shared" ca="1" si="7"/>
        <v>0.39585568544825928</v>
      </c>
      <c r="L45" s="41">
        <f t="shared" ca="1" si="7"/>
        <v>0.40100039743794647</v>
      </c>
      <c r="M45" s="41">
        <f t="shared" ca="1" si="7"/>
        <v>0.39577877014862101</v>
      </c>
      <c r="N45" s="41">
        <f t="shared" ca="1" si="7"/>
        <v>0.39048701323316581</v>
      </c>
      <c r="O45" s="41">
        <f t="shared" ca="1" si="7"/>
        <v>0.38981073213939343</v>
      </c>
    </row>
    <row r="46" spans="2:15" ht="15.75" x14ac:dyDescent="0.25">
      <c r="B46" s="42" t="s">
        <v>6</v>
      </c>
      <c r="C46" s="94" t="s">
        <v>11</v>
      </c>
      <c r="D46" s="78">
        <f ca="1">(_xll.DBR("CXMD:FTM_DATA_BALANCE_SHEET","Total_Customer_Supplier",D$22,$C$19,ori,"TOTAL PRODUCT","B-430010",$C$20,"Amount_BS")/1000)+(_xll.DBR("CXMD:FTM_DATA_BALANCE_SHEET","Total_Customer_Supplier",D$22,$C$19,ori,"TOTAL PRODUCT","B-430040",$C$20,"Amount_BS")/1000)+(_xll.DBR("CXMD:FTM_DATA_BALANCE_SHEET","Total_Customer_Supplier",D$22,$C$19,ori,"TOTAL PRODUCT","B-431040",$C$20,"Amount_BS")/1000)+(_xll.DBR("CXMD:FTM_DATA_BALANCE_SHEET","Total_Customer_Supplier",D$22,$C$19,ori,"TOTAL PRODUCT","B-437010",$C$20,"Amount_BS")/1000)+(_xll.DBR("CXMD:FTM_DATA_BALANCE_SHEET","Total_Customer_Supplier",D$22,$C$19,ori,"TOTAL PRODUCT","B-438010",$C$20,"Amount_BS")/1000)</f>
        <v>37400.483939999998</v>
      </c>
      <c r="E46" s="78">
        <f ca="1">(_xll.DBR("CXMD:FTM_DATA_BALANCE_SHEET","Total_Customer_Supplier",E$22,$C$19,ori,"TOTAL PRODUCT","B-430010",$C$20,"Amount_BS")/1000)+(_xll.DBR("CXMD:FTM_DATA_BALANCE_SHEET","Total_Customer_Supplier",E$22,$C$19,ori,"TOTAL PRODUCT","B-430040",$C$20,"Amount_BS")/1000)+(_xll.DBR("CXMD:FTM_DATA_BALANCE_SHEET","Total_Customer_Supplier",E$22,$C$19,ori,"TOTAL PRODUCT","B-431040",$C$20,"Amount_BS")/1000)+(_xll.DBR("CXMD:FTM_DATA_BALANCE_SHEET","Total_Customer_Supplier",E$22,$C$19,ori,"TOTAL PRODUCT","B-437010",$C$20,"Amount_BS")/1000)+(_xll.DBR("CXMD:FTM_DATA_BALANCE_SHEET","Total_Customer_Supplier",E$22,$C$19,ori,"TOTAL PRODUCT","B-438010",$C$20,"Amount_BS")/1000)</f>
        <v>77642.417399999991</v>
      </c>
      <c r="F46" s="78">
        <f ca="1">(_xll.DBR("CXMD:FTM_DATA_BALANCE_SHEET","Total_Customer_Supplier",F$22,$C$19,ori,"TOTAL PRODUCT","B-430010",$C$20,"Amount_BS")/1000)+(_xll.DBR("CXMD:FTM_DATA_BALANCE_SHEET","Total_Customer_Supplier",F$22,$C$19,ori,"TOTAL PRODUCT","B-430040",$C$20,"Amount_BS")/1000)+(_xll.DBR("CXMD:FTM_DATA_BALANCE_SHEET","Total_Customer_Supplier",F$22,$C$19,ori,"TOTAL PRODUCT","B-431040",$C$20,"Amount_BS")/1000)+(_xll.DBR("CXMD:FTM_DATA_BALANCE_SHEET","Total_Customer_Supplier",F$22,$C$19,ori,"TOTAL PRODUCT","B-437010",$C$20,"Amount_BS")/1000)+(_xll.DBR("CXMD:FTM_DATA_BALANCE_SHEET","Total_Customer_Supplier",F$22,$C$19,ori,"TOTAL PRODUCT","B-438010",$C$20,"Amount_BS")/1000)</f>
        <v>119124.28627999999</v>
      </c>
      <c r="G46" s="78">
        <f ca="1">(_xll.DBR("CXMD:FTM_DATA_BALANCE_SHEET","Total_Customer_Supplier",G$22,$C$19,ori,"TOTAL PRODUCT","B-430010",$C$20,"Amount_BS")/1000)+(_xll.DBR("CXMD:FTM_DATA_BALANCE_SHEET","Total_Customer_Supplier",G$22,$C$19,ori,"TOTAL PRODUCT","B-430040",$C$20,"Amount_BS")/1000)+(_xll.DBR("CXMD:FTM_DATA_BALANCE_SHEET","Total_Customer_Supplier",G$22,$C$19,ori,"TOTAL PRODUCT","B-431040",$C$20,"Amount_BS")/1000)+(_xll.DBR("CXMD:FTM_DATA_BALANCE_SHEET","Total_Customer_Supplier",G$22,$C$19,ori,"TOTAL PRODUCT","B-437010",$C$20,"Amount_BS")/1000)+(_xll.DBR("CXMD:FTM_DATA_BALANCE_SHEET","Total_Customer_Supplier",G$22,$C$19,ori,"TOTAL PRODUCT","B-438010",$C$20,"Amount_BS")/1000)</f>
        <v>157420.15292999998</v>
      </c>
      <c r="H46" s="78">
        <f ca="1">(_xll.DBR("CXMD:FTM_DATA_BALANCE_SHEET","Total_Customer_Supplier",H$22,$C$19,ori,"TOTAL PRODUCT","B-430010",$C$20,"Amount_BS")/1000)+(_xll.DBR("CXMD:FTM_DATA_BALANCE_SHEET","Total_Customer_Supplier",H$22,$C$19,ori,"TOTAL PRODUCT","B-430040",$C$20,"Amount_BS")/1000)+(_xll.DBR("CXMD:FTM_DATA_BALANCE_SHEET","Total_Customer_Supplier",H$22,$C$19,ori,"TOTAL PRODUCT","B-431040",$C$20,"Amount_BS")/1000)+(_xll.DBR("CXMD:FTM_DATA_BALANCE_SHEET","Total_Customer_Supplier",H$22,$C$19,ori,"TOTAL PRODUCT","B-437010",$C$20,"Amount_BS")/1000)+(_xll.DBR("CXMD:FTM_DATA_BALANCE_SHEET","Total_Customer_Supplier",H$22,$C$19,ori,"TOTAL PRODUCT","B-438010",$C$20,"Amount_BS")/1000)</f>
        <v>197570.35758000001</v>
      </c>
      <c r="I46" s="78">
        <f ca="1">(_xll.DBR("CXMD:FTM_DATA_BALANCE_SHEET","Total_Customer_Supplier",I$22,$C$19,ori,"TOTAL PRODUCT","B-430010",$C$20,"Amount_BS")/1000)+(_xll.DBR("CXMD:FTM_DATA_BALANCE_SHEET","Total_Customer_Supplier",I$22,$C$19,ori,"TOTAL PRODUCT","B-430040",$C$20,"Amount_BS")/1000)+(_xll.DBR("CXMD:FTM_DATA_BALANCE_SHEET","Total_Customer_Supplier",I$22,$C$19,ori,"TOTAL PRODUCT","B-431040",$C$20,"Amount_BS")/1000)+(_xll.DBR("CXMD:FTM_DATA_BALANCE_SHEET","Total_Customer_Supplier",I$22,$C$19,ori,"TOTAL PRODUCT","B-437010",$C$20,"Amount_BS")/1000)+(_xll.DBR("CXMD:FTM_DATA_BALANCE_SHEET","Total_Customer_Supplier",I$22,$C$19,ori,"TOTAL PRODUCT","B-438010",$C$20,"Amount_BS")/1000)</f>
        <v>241154.91008999999</v>
      </c>
      <c r="J46" s="78">
        <f ca="1">(_xll.DBR("CXMD:FTM_DATA_BALANCE_SHEET","Total_Customer_Supplier",J$22,$C$19,ori,"TOTAL PRODUCT","B-430010",$C$20,"Amount_BS")/1000)+(_xll.DBR("CXMD:FTM_DATA_BALANCE_SHEET","Total_Customer_Supplier",J$22,$C$19,ori,"TOTAL PRODUCT","B-430040",$C$20,"Amount_BS")/1000)+(_xll.DBR("CXMD:FTM_DATA_BALANCE_SHEET","Total_Customer_Supplier",J$22,$C$19,ori,"TOTAL PRODUCT","B-431040",$C$20,"Amount_BS")/1000)+(_xll.DBR("CXMD:FTM_DATA_BALANCE_SHEET","Total_Customer_Supplier",J$22,$C$19,ori,"TOTAL PRODUCT","B-437010",$C$20,"Amount_BS")/1000)+(_xll.DBR("CXMD:FTM_DATA_BALANCE_SHEET","Total_Customer_Supplier",J$22,$C$19,ori,"TOTAL PRODUCT","B-438010",$C$20,"Amount_BS")/1000)</f>
        <v>278723.47531999997</v>
      </c>
      <c r="K46" s="78">
        <f ca="1">(_xll.DBR("CXMD:FTM_DATA_BALANCE_SHEET","Total_Customer_Supplier",K$22,$C$19,ori,"TOTAL PRODUCT","B-430010",$C$20,"Amount_BS")/1000)+(_xll.DBR("CXMD:FTM_DATA_BALANCE_SHEET","Total_Customer_Supplier",K$22,$C$19,ori,"TOTAL PRODUCT","B-430040",$C$20,"Amount_BS")/1000)+(_xll.DBR("CXMD:FTM_DATA_BALANCE_SHEET","Total_Customer_Supplier",K$22,$C$19,ori,"TOTAL PRODUCT","B-431040",$C$20,"Amount_BS")/1000)+(_xll.DBR("CXMD:FTM_DATA_BALANCE_SHEET","Total_Customer_Supplier",K$22,$C$19,ori,"TOTAL PRODUCT","B-437010",$C$20,"Amount_BS")/1000)+(_xll.DBR("CXMD:FTM_DATA_BALANCE_SHEET","Total_Customer_Supplier",K$22,$C$19,ori,"TOTAL PRODUCT","B-438010",$C$20,"Amount_BS")/1000)</f>
        <v>310282.64411999995</v>
      </c>
      <c r="L46" s="78">
        <f ca="1">(_xll.DBR("CXMD:FTM_DATA_BALANCE_SHEET","Total_Customer_Supplier",L$22,$C$19,ori,"TOTAL PRODUCT","B-430010",$C$20,"Amount_BS")/1000)+(_xll.DBR("CXMD:FTM_DATA_BALANCE_SHEET","Total_Customer_Supplier",L$22,$C$19,ori,"TOTAL PRODUCT","B-430040",$C$20,"Amount_BS")/1000)+(_xll.DBR("CXMD:FTM_DATA_BALANCE_SHEET","Total_Customer_Supplier",L$22,$C$19,ori,"TOTAL PRODUCT","B-431040",$C$20,"Amount_BS")/1000)+(_xll.DBR("CXMD:FTM_DATA_BALANCE_SHEET","Total_Customer_Supplier",L$22,$C$19,ori,"TOTAL PRODUCT","B-437010",$C$20,"Amount_BS")/1000)+(_xll.DBR("CXMD:FTM_DATA_BALANCE_SHEET","Total_Customer_Supplier",L$22,$C$19,ori,"TOTAL PRODUCT","B-438010",$C$20,"Amount_BS")/1000)</f>
        <v>347352.84158999997</v>
      </c>
      <c r="M46" s="78">
        <f ca="1">(_xll.DBR("CXMD:FTM_DATA_BALANCE_SHEET","Total_Customer_Supplier",M$22,$C$19,ori,"TOTAL PRODUCT","B-430010",$C$20,"Amount_BS")/1000)+(_xll.DBR("CXMD:FTM_DATA_BALANCE_SHEET","Total_Customer_Supplier",M$22,$C$19,ori,"TOTAL PRODUCT","B-430040",$C$20,"Amount_BS")/1000)+(_xll.DBR("CXMD:FTM_DATA_BALANCE_SHEET","Total_Customer_Supplier",M$22,$C$19,ori,"TOTAL PRODUCT","B-431040",$C$20,"Amount_BS")/1000)+(_xll.DBR("CXMD:FTM_DATA_BALANCE_SHEET","Total_Customer_Supplier",M$22,$C$19,ori,"TOTAL PRODUCT","B-437010",$C$20,"Amount_BS")/1000)+(_xll.DBR("CXMD:FTM_DATA_BALANCE_SHEET","Total_Customer_Supplier",M$22,$C$19,ori,"TOTAL PRODUCT","B-438010",$C$20,"Amount_BS")/1000)</f>
        <v>386945.21354999993</v>
      </c>
      <c r="N46" s="78">
        <f ca="1">(_xll.DBR("CXMD:FTM_DATA_BALANCE_SHEET","Total_Customer_Supplier",N$22,$C$19,ori,"TOTAL PRODUCT","B-430010",$C$20,"Amount_BS")/1000)+(_xll.DBR("CXMD:FTM_DATA_BALANCE_SHEET","Total_Customer_Supplier",N$22,$C$19,ori,"TOTAL PRODUCT","B-430040",$C$20,"Amount_BS")/1000)+(_xll.DBR("CXMD:FTM_DATA_BALANCE_SHEET","Total_Customer_Supplier",N$22,$C$19,ori,"TOTAL PRODUCT","B-431040",$C$20,"Amount_BS")/1000)+(_xll.DBR("CXMD:FTM_DATA_BALANCE_SHEET","Total_Customer_Supplier",N$22,$C$19,ori,"TOTAL PRODUCT","B-437010",$C$20,"Amount_BS")/1000)+(_xll.DBR("CXMD:FTM_DATA_BALANCE_SHEET","Total_Customer_Supplier",N$22,$C$19,ori,"TOTAL PRODUCT","B-438010",$C$20,"Amount_BS")/1000)</f>
        <v>426603.68955999997</v>
      </c>
      <c r="O46" s="78">
        <f ca="1">(_xll.DBR("CXMD:FTM_DATA_BALANCE_SHEET","Total_Customer_Supplier",O$22,$C$19,ori,"TOTAL PRODUCT","B-430010",$C$20,"Amount_BS")/1000)+(_xll.DBR("CXMD:FTM_DATA_BALANCE_SHEET","Total_Customer_Supplier",O$22,$C$19,ori,"TOTAL PRODUCT","B-430040",$C$20,"Amount_BS")/1000)+(_xll.DBR("CXMD:FTM_DATA_BALANCE_SHEET","Total_Customer_Supplier",O$22,$C$19,ori,"TOTAL PRODUCT","B-431040",$C$20,"Amount_BS")/1000)+(_xll.DBR("CXMD:FTM_DATA_BALANCE_SHEET","Total_Customer_Supplier",O$22,$C$19,ori,"TOTAL PRODUCT","B-437010",$C$20,"Amount_BS")/1000)+(_xll.DBR("CXMD:FTM_DATA_BALANCE_SHEET","Total_Customer_Supplier",O$22,$C$19,ori,"TOTAL PRODUCT","B-438010",$C$20,"Amount_BS")/1000)</f>
        <v>460087.46799999999</v>
      </c>
    </row>
    <row r="47" spans="2:15" ht="15.75" thickBot="1" x14ac:dyDescent="0.3">
      <c r="B47" s="43"/>
      <c r="C47" s="44" t="s">
        <v>52</v>
      </c>
      <c r="D47" s="45">
        <f ca="1">IF(D27&lt;&gt;0,D46/D27,0)</f>
        <v>0.11366694263981707</v>
      </c>
      <c r="E47" s="45">
        <f t="shared" ref="E47:O47" ca="1" si="8">IF(E27&lt;&gt;0,E46/E27,0)</f>
        <v>0.1173401562587794</v>
      </c>
      <c r="F47" s="45">
        <f t="shared" ca="1" si="8"/>
        <v>0.11527751086294982</v>
      </c>
      <c r="G47" s="45">
        <f t="shared" ca="1" si="8"/>
        <v>0.11651413311722533</v>
      </c>
      <c r="H47" s="45">
        <f t="shared" ca="1" si="8"/>
        <v>0.11393934824930536</v>
      </c>
      <c r="I47" s="45">
        <f t="shared" ca="1" si="8"/>
        <v>0.1145459937514558</v>
      </c>
      <c r="J47" s="45">
        <f t="shared" ca="1" si="8"/>
        <v>0.11300326855222759</v>
      </c>
      <c r="K47" s="45">
        <f t="shared" ca="1" si="8"/>
        <v>0.10967317341894854</v>
      </c>
      <c r="L47" s="45">
        <f t="shared" ca="1" si="8"/>
        <v>0.10952532740513198</v>
      </c>
      <c r="M47" s="45">
        <f t="shared" ca="1" si="8"/>
        <v>0.11060246305439793</v>
      </c>
      <c r="N47" s="45">
        <f t="shared" ca="1" si="8"/>
        <v>0.11146591871511792</v>
      </c>
      <c r="O47" s="45">
        <f t="shared" ca="1" si="8"/>
        <v>0.11267990260011518</v>
      </c>
    </row>
    <row r="48" spans="2:15" ht="15" x14ac:dyDescent="0.25">
      <c r="B48" s="4" t="s">
        <v>6</v>
      </c>
      <c r="C48" s="28" t="s">
        <v>16</v>
      </c>
      <c r="D48" s="61">
        <f ca="1">(_xll.DBR("CXMD:FTM_DATA_BALANCE_SHEET","Total_Customer_Supplier",D$22,$C$19,ori,"TOTAL PRODUCT","R-940000",$C$20,"Amount_BS")/1000)</f>
        <v>37622.696710000011</v>
      </c>
      <c r="E48" s="61">
        <f ca="1">(_xll.DBR("CXMD:FTM_DATA_BALANCE_SHEET","Total_Customer_Supplier",E$22,$C$19,ori,"TOTAL PRODUCT","R-940000",$C$20,"Amount_BS")/1000)</f>
        <v>77980.420590000009</v>
      </c>
      <c r="F48" s="61">
        <f ca="1">(_xll.DBR("CXMD:FTM_DATA_BALANCE_SHEET","Total_Customer_Supplier",F$22,$C$19,ori,"TOTAL PRODUCT","R-940000",$C$20,"Amount_BS")/1000)</f>
        <v>119662.24515</v>
      </c>
      <c r="G48" s="61">
        <f ca="1">(_xll.DBR("CXMD:FTM_DATA_BALANCE_SHEET","Total_Customer_Supplier",G$22,$C$19,ori,"TOTAL PRODUCT","R-940000",$C$20,"Amount_BS")/1000)</f>
        <v>158132.36147</v>
      </c>
      <c r="H48" s="61">
        <f ca="1">(_xll.DBR("CXMD:FTM_DATA_BALANCE_SHEET","Total_Customer_Supplier",H$22,$C$19,ori,"TOTAL PRODUCT","R-940000",$C$20,"Amount_BS")/1000)</f>
        <v>198448.91322000002</v>
      </c>
      <c r="I48" s="61">
        <f ca="1">(_xll.DBR("CXMD:FTM_DATA_BALANCE_SHEET","Total_Customer_Supplier",I$22,$C$19,ori,"TOTAL PRODUCT","R-940000",$C$20,"Amount_BS")/1000)</f>
        <v>242236.68339000002</v>
      </c>
      <c r="J48" s="61">
        <f ca="1">(_xll.DBR("CXMD:FTM_DATA_BALANCE_SHEET","Total_Customer_Supplier",J$22,$C$19,ori,"TOTAL PRODUCT","R-940000",$C$20,"Amount_BS")/1000)</f>
        <v>280001.17875000002</v>
      </c>
      <c r="K48" s="61">
        <f ca="1">(_xll.DBR("CXMD:FTM_DATA_BALANCE_SHEET","Total_Customer_Supplier",K$22,$C$19,ori,"TOTAL PRODUCT","R-940000",$C$20,"Amount_BS")/1000)</f>
        <v>311724.13153000001</v>
      </c>
      <c r="L48" s="61">
        <f ca="1">(_xll.DBR("CXMD:FTM_DATA_BALANCE_SHEET","Total_Customer_Supplier",L$22,$C$19,ori,"TOTAL PRODUCT","R-940000",$C$20,"Amount_BS")/1000)</f>
        <v>348952.83620000002</v>
      </c>
      <c r="M48" s="61">
        <f ca="1">(_xll.DBR("CXMD:FTM_DATA_BALANCE_SHEET","Total_Customer_Supplier",M$22,$C$19,ori,"TOTAL PRODUCT","R-940000",$C$20,"Amount_BS")/1000)</f>
        <v>388552.47972</v>
      </c>
      <c r="N48" s="61">
        <f ca="1">(_xll.DBR("CXMD:FTM_DATA_BALANCE_SHEET","Total_Customer_Supplier",N$22,$C$19,ori,"TOTAL PRODUCT","R-940000",$C$20,"Amount_BS")/1000)</f>
        <v>428435.83672000002</v>
      </c>
      <c r="O48" s="61">
        <f ca="1">(_xll.DBR("CXMD:FTM_DATA_BALANCE_SHEET","Total_Customer_Supplier",O$22,$C$19,ori,"TOTAL PRODUCT","R-940000",$C$20,"Amount_BS")/1000)</f>
        <v>462090.92469000007</v>
      </c>
    </row>
    <row r="49" spans="2:15" ht="15" x14ac:dyDescent="0.25">
      <c r="B49" s="4" t="s">
        <v>6</v>
      </c>
      <c r="C49" s="29" t="s">
        <v>17</v>
      </c>
      <c r="D49" s="63">
        <f ca="1">(_xll.DBR("CXMD:FTM_DATA_BALANCE_SHEET","Total_Customer_Supplier",D$22,$C$19,ori,"TOTAL PRODUCT","B-430040",$C$20,"Amount_BS")/1000)</f>
        <v>6922.5498099999986</v>
      </c>
      <c r="E49" s="63">
        <f ca="1">(_xll.DBR("CXMD:FTM_DATA_BALANCE_SHEET","Total_Customer_Supplier",E$22,$C$19,ori,"TOTAL PRODUCT","B-430040",$C$20,"Amount_BS")/1000)</f>
        <v>13619.922919999997</v>
      </c>
      <c r="F49" s="63">
        <f ca="1">(_xll.DBR("CXMD:FTM_DATA_BALANCE_SHEET","Total_Customer_Supplier",F$22,$C$19,ori,"TOTAL PRODUCT","B-430040",$C$20,"Amount_BS")/1000)</f>
        <v>20834.834059999994</v>
      </c>
      <c r="G49" s="63">
        <f ca="1">(_xll.DBR("CXMD:FTM_DATA_BALANCE_SHEET","Total_Customer_Supplier",G$22,$C$19,ori,"TOTAL PRODUCT","B-430040",$C$20,"Amount_BS")/1000)</f>
        <v>27903.952579999994</v>
      </c>
      <c r="H49" s="63">
        <f ca="1">(_xll.DBR("CXMD:FTM_DATA_BALANCE_SHEET","Total_Customer_Supplier",H$22,$C$19,ori,"TOTAL PRODUCT","B-430040",$C$20,"Amount_BS")/1000)</f>
        <v>35064.973719999995</v>
      </c>
      <c r="I49" s="63">
        <f ca="1">(_xll.DBR("CXMD:FTM_DATA_BALANCE_SHEET","Total_Customer_Supplier",I$22,$C$19,ori,"TOTAL PRODUCT","B-430040",$C$20,"Amount_BS")/1000)</f>
        <v>42847.364839999987</v>
      </c>
      <c r="J49" s="63">
        <f ca="1">(_xll.DBR("CXMD:FTM_DATA_BALANCE_SHEET","Total_Customer_Supplier",J$22,$C$19,ori,"TOTAL PRODUCT","B-430040",$C$20,"Amount_BS")/1000)</f>
        <v>49103.850369999993</v>
      </c>
      <c r="K49" s="63">
        <f ca="1">(_xll.DBR("CXMD:FTM_DATA_BALANCE_SHEET","Total_Customer_Supplier",K$22,$C$19,ori,"TOTAL PRODUCT","B-430040",$C$20,"Amount_BS")/1000)</f>
        <v>54041.924299999991</v>
      </c>
      <c r="L49" s="63">
        <f ca="1">(_xll.DBR("CXMD:FTM_DATA_BALANCE_SHEET","Total_Customer_Supplier",L$22,$C$19,ori,"TOTAL PRODUCT","B-430040",$C$20,"Amount_BS")/1000)</f>
        <v>60169.249429999982</v>
      </c>
      <c r="M49" s="63">
        <f ca="1">(_xll.DBR("CXMD:FTM_DATA_BALANCE_SHEET","Total_Customer_Supplier",M$22,$C$19,ori,"TOTAL PRODUCT","B-430040",$C$20,"Amount_BS")/1000)</f>
        <v>67134.539499999984</v>
      </c>
      <c r="N49" s="63">
        <f ca="1">(_xll.DBR("CXMD:FTM_DATA_BALANCE_SHEET","Total_Customer_Supplier",N$22,$C$19,ori,"TOTAL PRODUCT","B-430040",$C$20,"Amount_BS")/1000)</f>
        <v>73884.98066999999</v>
      </c>
      <c r="O49" s="63">
        <f ca="1">(_xll.DBR("CXMD:FTM_DATA_BALANCE_SHEET","Total_Customer_Supplier",O$22,$C$19,ori,"TOTAL PRODUCT","B-430040",$C$20,"Amount_BS")/1000)</f>
        <v>79658.607569999993</v>
      </c>
    </row>
    <row r="50" spans="2:15" ht="15" x14ac:dyDescent="0.25">
      <c r="B50" s="4" t="s">
        <v>6</v>
      </c>
      <c r="C50" s="29" t="s">
        <v>18</v>
      </c>
      <c r="D50" s="63">
        <f ca="1">(_xll.DBR("CXMD:FTM_DATA_BALANCE_SHEET","Total_Customer_Supplier",D$22,$C$19,ori,"TOTAL PRODUCT","B-438010",$C$20,"Amount_BS")/1000)</f>
        <v>4741.4324399999996</v>
      </c>
      <c r="E50" s="63">
        <f ca="1">(_xll.DBR("CXMD:FTM_DATA_BALANCE_SHEET","Total_Customer_Supplier",E$22,$C$19,ori,"TOTAL PRODUCT","B-438010",$C$20,"Amount_BS")/1000)</f>
        <v>9835.5930900000003</v>
      </c>
      <c r="F50" s="63">
        <f ca="1">(_xll.DBR("CXMD:FTM_DATA_BALANCE_SHEET","Total_Customer_Supplier",F$22,$C$19,ori,"TOTAL PRODUCT","B-438010",$C$20,"Amount_BS")/1000)</f>
        <v>15801.420759999999</v>
      </c>
      <c r="G50" s="63">
        <f ca="1">(_xll.DBR("CXMD:FTM_DATA_BALANCE_SHEET","Total_Customer_Supplier",G$22,$C$19,ori,"TOTAL PRODUCT","B-438010",$C$20,"Amount_BS")/1000)</f>
        <v>20608.955730000001</v>
      </c>
      <c r="H50" s="63">
        <f ca="1">(_xll.DBR("CXMD:FTM_DATA_BALANCE_SHEET","Total_Customer_Supplier",H$22,$C$19,ori,"TOTAL PRODUCT","B-438010",$C$20,"Amount_BS")/1000)</f>
        <v>26318.086139999996</v>
      </c>
      <c r="I50" s="63">
        <f ca="1">(_xll.DBR("CXMD:FTM_DATA_BALANCE_SHEET","Total_Customer_Supplier",I$22,$C$19,ori,"TOTAL PRODUCT","B-438010",$C$20,"Amount_BS")/1000)</f>
        <v>31483.87876</v>
      </c>
      <c r="J50" s="63">
        <f ca="1">(_xll.DBR("CXMD:FTM_DATA_BALANCE_SHEET","Total_Customer_Supplier",J$22,$C$19,ori,"TOTAL PRODUCT","B-438010",$C$20,"Amount_BS")/1000)</f>
        <v>36505.565479999997</v>
      </c>
      <c r="K50" s="63">
        <f ca="1">(_xll.DBR("CXMD:FTM_DATA_BALANCE_SHEET","Total_Customer_Supplier",K$22,$C$19,ori,"TOTAL PRODUCT","B-438010",$C$20,"Amount_BS")/1000)</f>
        <v>39480.642509999998</v>
      </c>
      <c r="L50" s="63">
        <f ca="1">(_xll.DBR("CXMD:FTM_DATA_BALANCE_SHEET","Total_Customer_Supplier",L$22,$C$19,ori,"TOTAL PRODUCT","B-438010",$C$20,"Amount_BS")/1000)</f>
        <v>43737.840069999998</v>
      </c>
      <c r="M50" s="63">
        <f ca="1">(_xll.DBR("CXMD:FTM_DATA_BALANCE_SHEET","Total_Customer_Supplier",M$22,$C$19,ori,"TOTAL PRODUCT","B-438010",$C$20,"Amount_BS")/1000)</f>
        <v>48451.685699999995</v>
      </c>
      <c r="N50" s="63">
        <f ca="1">(_xll.DBR("CXMD:FTM_DATA_BALANCE_SHEET","Total_Customer_Supplier",N$22,$C$19,ori,"TOTAL PRODUCT","B-438010",$C$20,"Amount_BS")/1000)</f>
        <v>53858.365389999999</v>
      </c>
      <c r="O50" s="63">
        <f ca="1">(_xll.DBR("CXMD:FTM_DATA_BALANCE_SHEET","Total_Customer_Supplier",O$22,$C$19,ori,"TOTAL PRODUCT","B-438010",$C$20,"Amount_BS")/1000)</f>
        <v>58980.99181</v>
      </c>
    </row>
    <row r="51" spans="2:15" ht="15" x14ac:dyDescent="0.25">
      <c r="B51" s="4" t="s">
        <v>6</v>
      </c>
      <c r="C51" s="29" t="s">
        <v>19</v>
      </c>
      <c r="D51" s="63">
        <f ca="1">(_xll.DBR("CXMD:FTM_DATA_BALANCE_SHEET","Total_Customer_Supplier",D$22,$C$19,ori,"TOTAL PRODUCT","B-430010",$C$20,"Amount_BS")/1000)</f>
        <v>24166.695890000003</v>
      </c>
      <c r="E51" s="63">
        <f ca="1">(_xll.DBR("CXMD:FTM_DATA_BALANCE_SHEET","Total_Customer_Supplier",E$22,$C$19,ori,"TOTAL PRODUCT","B-430010",$C$20,"Amount_BS")/1000)</f>
        <v>50937.89819</v>
      </c>
      <c r="F51" s="63">
        <f ca="1">(_xll.DBR("CXMD:FTM_DATA_BALANCE_SHEET","Total_Customer_Supplier",F$22,$C$19,ori,"TOTAL PRODUCT","B-430010",$C$20,"Amount_BS")/1000)</f>
        <v>76890.71166999999</v>
      </c>
      <c r="G51" s="63">
        <f ca="1">(_xll.DBR("CXMD:FTM_DATA_BALANCE_SHEET","Total_Customer_Supplier",G$22,$C$19,ori,"TOTAL PRODUCT","B-430010",$C$20,"Amount_BS")/1000)</f>
        <v>101380.35982</v>
      </c>
      <c r="H51" s="63">
        <f ca="1">(_xll.DBR("CXMD:FTM_DATA_BALANCE_SHEET","Total_Customer_Supplier",H$22,$C$19,ori,"TOTAL PRODUCT","B-430010",$C$20,"Amount_BS")/1000)</f>
        <v>126373.6433</v>
      </c>
      <c r="I51" s="63">
        <f ca="1">(_xll.DBR("CXMD:FTM_DATA_BALANCE_SHEET","Total_Customer_Supplier",I$22,$C$19,ori,"TOTAL PRODUCT","B-430010",$C$20,"Amount_BS")/1000)</f>
        <v>154789.63563999999</v>
      </c>
      <c r="J51" s="63">
        <f ca="1">(_xll.DBR("CXMD:FTM_DATA_BALANCE_SHEET","Total_Customer_Supplier",J$22,$C$19,ori,"TOTAL PRODUCT","B-430010",$C$20,"Amount_BS")/1000)</f>
        <v>179193.23182999998</v>
      </c>
      <c r="K51" s="63">
        <f ca="1">(_xll.DBR("CXMD:FTM_DATA_BALANCE_SHEET","Total_Customer_Supplier",K$22,$C$19,ori,"TOTAL PRODUCT","B-430010",$C$20,"Amount_BS")/1000)</f>
        <v>200817.87667</v>
      </c>
      <c r="L51" s="63">
        <f ca="1">(_xll.DBR("CXMD:FTM_DATA_BALANCE_SHEET","Total_Customer_Supplier",L$22,$C$19,ori,"TOTAL PRODUCT","B-430010",$C$20,"Amount_BS")/1000)</f>
        <v>225554.33817999999</v>
      </c>
      <c r="M51" s="63">
        <f ca="1">(_xll.DBR("CXMD:FTM_DATA_BALANCE_SHEET","Total_Customer_Supplier",M$22,$C$19,ori,"TOTAL PRODUCT","B-430010",$C$20,"Amount_BS")/1000)</f>
        <v>251179.73262999998</v>
      </c>
      <c r="N51" s="63">
        <f ca="1">(_xll.DBR("CXMD:FTM_DATA_BALANCE_SHEET","Total_Customer_Supplier",N$22,$C$19,ori,"TOTAL PRODUCT","B-430010",$C$20,"Amount_BS")/1000)</f>
        <v>276352.03813</v>
      </c>
      <c r="O51" s="63">
        <f ca="1">(_xll.DBR("CXMD:FTM_DATA_BALANCE_SHEET","Total_Customer_Supplier",O$22,$C$19,ori,"TOTAL PRODUCT","B-430010",$C$20,"Amount_BS")/1000)</f>
        <v>298923.97616000002</v>
      </c>
    </row>
    <row r="52" spans="2:15" ht="15" x14ac:dyDescent="0.25">
      <c r="B52" s="4" t="s">
        <v>6</v>
      </c>
      <c r="C52" s="29" t="s">
        <v>20</v>
      </c>
      <c r="D52" s="63">
        <f ca="1">(_xll.DBR("CXMD:FTM_DATA_BALANCE_SHEET","Total_Customer_Supplier",D$22,$C$19,ori,"TOTAL PRODUCT","B-431040",$C$20,"Amount_BS")/1000)</f>
        <v>100.78999</v>
      </c>
      <c r="E52" s="63">
        <f ca="1">(_xll.DBR("CXMD:FTM_DATA_BALANCE_SHEET","Total_Customer_Supplier",E$22,$C$19,ori,"TOTAL PRODUCT","B-431040",$C$20,"Amount_BS")/1000)</f>
        <v>201.50354000000002</v>
      </c>
      <c r="F52" s="63">
        <f ca="1">(_xll.DBR("CXMD:FTM_DATA_BALANCE_SHEET","Total_Customer_Supplier",F$22,$C$19,ori,"TOTAL PRODUCT","B-431040",$C$20,"Amount_BS")/1000)</f>
        <v>301.50354000000004</v>
      </c>
      <c r="G52" s="63">
        <f ca="1">(_xll.DBR("CXMD:FTM_DATA_BALANCE_SHEET","Total_Customer_Supplier",G$22,$C$19,ori,"TOTAL PRODUCT","B-431040",$C$20,"Amount_BS")/1000)</f>
        <v>402.11709000000002</v>
      </c>
      <c r="H52" s="63">
        <f ca="1">(_xll.DBR("CXMD:FTM_DATA_BALANCE_SHEET","Total_Customer_Supplier",H$22,$C$19,ori,"TOTAL PRODUCT","B-431040",$C$20,"Amount_BS")/1000)</f>
        <v>503.34419000000008</v>
      </c>
      <c r="I52" s="63">
        <f ca="1">(_xll.DBR("CXMD:FTM_DATA_BALANCE_SHEET","Total_Customer_Supplier",I$22,$C$19,ori,"TOTAL PRODUCT","B-431040",$C$20,"Amount_BS")/1000)</f>
        <v>604.85774000000015</v>
      </c>
      <c r="J52" s="63">
        <f ca="1">(_xll.DBR("CXMD:FTM_DATA_BALANCE_SHEET","Total_Customer_Supplier",J$22,$C$19,ori,"TOTAL PRODUCT","B-431040",$C$20,"Amount_BS")/1000)</f>
        <v>724.75259000000005</v>
      </c>
      <c r="K52" s="63">
        <f ca="1">(_xll.DBR("CXMD:FTM_DATA_BALANCE_SHEET","Total_Customer_Supplier",K$22,$C$19,ori,"TOTAL PRODUCT","B-431040",$C$20,"Amount_BS")/1000)</f>
        <v>828.02034000000003</v>
      </c>
      <c r="L52" s="63">
        <f ca="1">(_xll.DBR("CXMD:FTM_DATA_BALANCE_SHEET","Total_Customer_Supplier",L$22,$C$19,ori,"TOTAL PRODUCT","B-431040",$C$20,"Amount_BS")/1000)</f>
        <v>1046.5569700000001</v>
      </c>
      <c r="M52" s="63">
        <f ca="1">(_xll.DBR("CXMD:FTM_DATA_BALANCE_SHEET","Total_Customer_Supplier",M$22,$C$19,ori,"TOTAL PRODUCT","B-431040",$C$20,"Amount_BS")/1000)</f>
        <v>1161.4819700000003</v>
      </c>
      <c r="N52" s="63">
        <f ca="1">(_xll.DBR("CXMD:FTM_DATA_BALANCE_SHEET","Total_Customer_Supplier",N$22,$C$19,ori,"TOTAL PRODUCT","B-431040",$C$20,"Amount_BS")/1000)</f>
        <v>1260.0561</v>
      </c>
      <c r="O52" s="63">
        <f ca="1">(_xll.DBR("CXMD:FTM_DATA_BALANCE_SHEET","Total_Customer_Supplier",O$22,$C$19,ori,"TOTAL PRODUCT","B-431040",$C$20,"Amount_BS")/1000)</f>
        <v>-634.81531999999982</v>
      </c>
    </row>
    <row r="53" spans="2:15" ht="15.75" thickBot="1" x14ac:dyDescent="0.3">
      <c r="B53" s="4" t="s">
        <v>6</v>
      </c>
      <c r="C53" s="29" t="s">
        <v>21</v>
      </c>
      <c r="D53" s="63">
        <f ca="1">(_xll.DBR("CXMD:FTM_DATA_BALANCE_SHEET","Total_Customer_Supplier",D$22,$C$19,ori,"TOTAL PRODUCT","B-437010",$C$20,"Amount_BS")/1000)</f>
        <v>1469.0158100000003</v>
      </c>
      <c r="E53" s="63">
        <f ca="1">(_xll.DBR("CXMD:FTM_DATA_BALANCE_SHEET","Total_Customer_Supplier",E$22,$C$19,ori,"TOTAL PRODUCT","B-437010",$C$20,"Amount_BS")/1000)</f>
        <v>3047.4996599999999</v>
      </c>
      <c r="F53" s="63">
        <f ca="1">(_xll.DBR("CXMD:FTM_DATA_BALANCE_SHEET","Total_Customer_Supplier",F$22,$C$19,ori,"TOTAL PRODUCT","B-437010",$C$20,"Amount_BS")/1000)</f>
        <v>5295.8162499999999</v>
      </c>
      <c r="G53" s="63">
        <f ca="1">(_xll.DBR("CXMD:FTM_DATA_BALANCE_SHEET","Total_Customer_Supplier",G$22,$C$19,ori,"TOTAL PRODUCT","B-437010",$C$20,"Amount_BS")/1000)</f>
        <v>7124.7677100000001</v>
      </c>
      <c r="H53" s="63">
        <f ca="1">(_xll.DBR("CXMD:FTM_DATA_BALANCE_SHEET","Total_Customer_Supplier",H$22,$C$19,ori,"TOTAL PRODUCT","B-437010",$C$20,"Amount_BS")/1000)</f>
        <v>9310.310230000001</v>
      </c>
      <c r="I53" s="63">
        <f ca="1">(_xll.DBR("CXMD:FTM_DATA_BALANCE_SHEET","Total_Customer_Supplier",I$22,$C$19,ori,"TOTAL PRODUCT","B-437010",$C$20,"Amount_BS")/1000)</f>
        <v>11429.173110000002</v>
      </c>
      <c r="J53" s="63">
        <f ca="1">(_xll.DBR("CXMD:FTM_DATA_BALANCE_SHEET","Total_Customer_Supplier",J$22,$C$19,ori,"TOTAL PRODUCT","B-437010",$C$20,"Amount_BS")/1000)</f>
        <v>13196.075050000001</v>
      </c>
      <c r="K53" s="63">
        <f ca="1">(_xll.DBR("CXMD:FTM_DATA_BALANCE_SHEET","Total_Customer_Supplier",K$22,$C$19,ori,"TOTAL PRODUCT","B-437010",$C$20,"Amount_BS")/1000)</f>
        <v>15114.1803</v>
      </c>
      <c r="L53" s="63">
        <f ca="1">(_xll.DBR("CXMD:FTM_DATA_BALANCE_SHEET","Total_Customer_Supplier",L$22,$C$19,ori,"TOTAL PRODUCT","B-437010",$C$20,"Amount_BS")/1000)</f>
        <v>16844.856940000001</v>
      </c>
      <c r="M53" s="63">
        <f ca="1">(_xll.DBR("CXMD:FTM_DATA_BALANCE_SHEET","Total_Customer_Supplier",M$22,$C$19,ori,"TOTAL PRODUCT","B-437010",$C$20,"Amount_BS")/1000)</f>
        <v>19017.77375</v>
      </c>
      <c r="N53" s="63">
        <f ca="1">(_xll.DBR("CXMD:FTM_DATA_BALANCE_SHEET","Total_Customer_Supplier",N$22,$C$19,ori,"TOTAL PRODUCT","B-437010",$C$20,"Amount_BS")/1000)</f>
        <v>21248.249270000004</v>
      </c>
      <c r="O53" s="63">
        <f ca="1">(_xll.DBR("CXMD:FTM_DATA_BALANCE_SHEET","Total_Customer_Supplier",O$22,$C$19,ori,"TOTAL PRODUCT","B-437010",$C$20,"Amount_BS")/1000)</f>
        <v>23158.707780000001</v>
      </c>
    </row>
    <row r="54" spans="2:15" ht="15.75" x14ac:dyDescent="0.25">
      <c r="B54" s="46" t="s">
        <v>7</v>
      </c>
      <c r="C54" s="93" t="s">
        <v>11</v>
      </c>
      <c r="D54" s="79">
        <f ca="1">(_xll.DBR("CXMD:FTM_DATA_BALANCE_SHEET","Total_Customer_Supplier",D$22,$C$19,ori,"TOTAL PRODUCT","B-451010",$C$20,"Amount_BS")/1000)+(_xll.DBR("CXMD:FTM_DATA_BALANCE_SHEET","Total_Customer_Supplier",D$22,$C$19,ori,"TOTAL PRODUCT","B-451020",$C$20,"Amount_BS")/1000)+(_xll.DBR("CXMD:FTM_DATA_BALANCE_SHEET","Total_Customer_Supplier",D$22,$C$19,ori,"TOTAL PRODUCT","B-451030",$C$20,"Amount_BS")/1000)+(_xll.DBR("CXMD:FTM_DATA_BALANCE_SHEET","Total_Customer_Supplier",D$22,$C$19,ori,"TOTAL PRODUCT","B-451110",$C$20,"Amount_BS")/1000)+(_xll.DBR("CXMD:FTM_DATA_BALANCE_SHEET","Total_Customer_Supplier",D$22,$C$19,ori,"TOTAL PRODUCT","B-451210",$C$20,"Amount_BS")/1000)+(_xll.DBR("CXMD:FTM_DATA_BALANCE_SHEET","Total_Customer_Supplier",D$22,$C$19,ori,"TOTAL PRODUCT","B-451220",$C$20,"Amount_BS")/1000)+(_xll.DBR("CXMD:FTM_DATA_BALANCE_SHEET","Total_Customer_Supplier",D$22,$C$19,ori,"TOTAL PRODUCT","B-451310",$C$20,"Amount_BS")/1000)+(_xll.DBR("CXMD:FTM_DATA_BALANCE_SHEET","Total_Customer_Supplier",D$22,$C$19,ori,"TOTAL PRODUCT","B-451450",$C$20,"Amount_BS")/1000)+(_xll.DBR("CXMD:FTM_DATA_BALANCE_SHEET","Total_Customer_Supplier",D$22,$C$19,ori,"TOTAL PRODUCT","B-451510",$C$20,"Amount_BS")/1000)+(_xll.DBR("CXMD:FTM_DATA_BALANCE_SHEET","Total_Customer_Supplier",D$22,$C$19,ori,"TOTAL PRODUCT","B-451610",$C$20,"Amount_BS")/1000)+(_xll.DBR("CXMD:FTM_DATA_BALANCE_SHEET","Total_Customer_Supplier",D$22,$C$19,ori,"TOTAL PRODUCT","B-451620",$C$20,"Amount_BS")/1000)</f>
        <v>29278.131550000002</v>
      </c>
      <c r="E54" s="79">
        <f ca="1">(_xll.DBR("CXMD:FTM_DATA_BALANCE_SHEET","Total_Customer_Supplier",E$22,$C$19,ori,"TOTAL PRODUCT","B-451010",$C$20,"Amount_BS")/1000)+(_xll.DBR("CXMD:FTM_DATA_BALANCE_SHEET","Total_Customer_Supplier",E$22,$C$19,ori,"TOTAL PRODUCT","B-451020",$C$20,"Amount_BS")/1000)+(_xll.DBR("CXMD:FTM_DATA_BALANCE_SHEET","Total_Customer_Supplier",E$22,$C$19,ori,"TOTAL PRODUCT","B-451030",$C$20,"Amount_BS")/1000)+(_xll.DBR("CXMD:FTM_DATA_BALANCE_SHEET","Total_Customer_Supplier",E$22,$C$19,ori,"TOTAL PRODUCT","B-451110",$C$20,"Amount_BS")/1000)+(_xll.DBR("CXMD:FTM_DATA_BALANCE_SHEET","Total_Customer_Supplier",E$22,$C$19,ori,"TOTAL PRODUCT","B-451210",$C$20,"Amount_BS")/1000)+(_xll.DBR("CXMD:FTM_DATA_BALANCE_SHEET","Total_Customer_Supplier",E$22,$C$19,ori,"TOTAL PRODUCT","B-451220",$C$20,"Amount_BS")/1000)+(_xll.DBR("CXMD:FTM_DATA_BALANCE_SHEET","Total_Customer_Supplier",E$22,$C$19,ori,"TOTAL PRODUCT","B-451310",$C$20,"Amount_BS")/1000)+(_xll.DBR("CXMD:FTM_DATA_BALANCE_SHEET","Total_Customer_Supplier",E$22,$C$19,ori,"TOTAL PRODUCT","B-451450",$C$20,"Amount_BS")/1000)+(_xll.DBR("CXMD:FTM_DATA_BALANCE_SHEET","Total_Customer_Supplier",E$22,$C$19,ori,"TOTAL PRODUCT","B-451510",$C$20,"Amount_BS")/1000)+(_xll.DBR("CXMD:FTM_DATA_BALANCE_SHEET","Total_Customer_Supplier",E$22,$C$19,ori,"TOTAL PRODUCT","B-451610",$C$20,"Amount_BS")/1000)+(_xll.DBR("CXMD:FTM_DATA_BALANCE_SHEET","Total_Customer_Supplier",E$22,$C$19,ori,"TOTAL PRODUCT","B-451620",$C$20,"Amount_BS")/1000)</f>
        <v>55704.349010000005</v>
      </c>
      <c r="F54" s="79">
        <f ca="1">(_xll.DBR("CXMD:FTM_DATA_BALANCE_SHEET","Total_Customer_Supplier",F$22,$C$19,ori,"TOTAL PRODUCT","B-451010",$C$20,"Amount_BS")/1000)+(_xll.DBR("CXMD:FTM_DATA_BALANCE_SHEET","Total_Customer_Supplier",F$22,$C$19,ori,"TOTAL PRODUCT","B-451020",$C$20,"Amount_BS")/1000)+(_xll.DBR("CXMD:FTM_DATA_BALANCE_SHEET","Total_Customer_Supplier",F$22,$C$19,ori,"TOTAL PRODUCT","B-451030",$C$20,"Amount_BS")/1000)+(_xll.DBR("CXMD:FTM_DATA_BALANCE_SHEET","Total_Customer_Supplier",F$22,$C$19,ori,"TOTAL PRODUCT","B-451110",$C$20,"Amount_BS")/1000)+(_xll.DBR("CXMD:FTM_DATA_BALANCE_SHEET","Total_Customer_Supplier",F$22,$C$19,ori,"TOTAL PRODUCT","B-451210",$C$20,"Amount_BS")/1000)+(_xll.DBR("CXMD:FTM_DATA_BALANCE_SHEET","Total_Customer_Supplier",F$22,$C$19,ori,"TOTAL PRODUCT","B-451220",$C$20,"Amount_BS")/1000)+(_xll.DBR("CXMD:FTM_DATA_BALANCE_SHEET","Total_Customer_Supplier",F$22,$C$19,ori,"TOTAL PRODUCT","B-451310",$C$20,"Amount_BS")/1000)+(_xll.DBR("CXMD:FTM_DATA_BALANCE_SHEET","Total_Customer_Supplier",F$22,$C$19,ori,"TOTAL PRODUCT","B-451450",$C$20,"Amount_BS")/1000)+(_xll.DBR("CXMD:FTM_DATA_BALANCE_SHEET","Total_Customer_Supplier",F$22,$C$19,ori,"TOTAL PRODUCT","B-451510",$C$20,"Amount_BS")/1000)+(_xll.DBR("CXMD:FTM_DATA_BALANCE_SHEET","Total_Customer_Supplier",F$22,$C$19,ori,"TOTAL PRODUCT","B-451610",$C$20,"Amount_BS")/1000)+(_xll.DBR("CXMD:FTM_DATA_BALANCE_SHEET","Total_Customer_Supplier",F$22,$C$19,ori,"TOTAL PRODUCT","B-451620",$C$20,"Amount_BS")/1000)</f>
        <v>88792.144480000003</v>
      </c>
      <c r="G54" s="79">
        <f ca="1">(_xll.DBR("CXMD:FTM_DATA_BALANCE_SHEET","Total_Customer_Supplier",G$22,$C$19,ori,"TOTAL PRODUCT","B-451010",$C$20,"Amount_BS")/1000)+(_xll.DBR("CXMD:FTM_DATA_BALANCE_SHEET","Total_Customer_Supplier",G$22,$C$19,ori,"TOTAL PRODUCT","B-451020",$C$20,"Amount_BS")/1000)+(_xll.DBR("CXMD:FTM_DATA_BALANCE_SHEET","Total_Customer_Supplier",G$22,$C$19,ori,"TOTAL PRODUCT","B-451030",$C$20,"Amount_BS")/1000)+(_xll.DBR("CXMD:FTM_DATA_BALANCE_SHEET","Total_Customer_Supplier",G$22,$C$19,ori,"TOTAL PRODUCT","B-451110",$C$20,"Amount_BS")/1000)+(_xll.DBR("CXMD:FTM_DATA_BALANCE_SHEET","Total_Customer_Supplier",G$22,$C$19,ori,"TOTAL PRODUCT","B-451210",$C$20,"Amount_BS")/1000)+(_xll.DBR("CXMD:FTM_DATA_BALANCE_SHEET","Total_Customer_Supplier",G$22,$C$19,ori,"TOTAL PRODUCT","B-451220",$C$20,"Amount_BS")/1000)+(_xll.DBR("CXMD:FTM_DATA_BALANCE_SHEET","Total_Customer_Supplier",G$22,$C$19,ori,"TOTAL PRODUCT","B-451310",$C$20,"Amount_BS")/1000)+(_xll.DBR("CXMD:FTM_DATA_BALANCE_SHEET","Total_Customer_Supplier",G$22,$C$19,ori,"TOTAL PRODUCT","B-451450",$C$20,"Amount_BS")/1000)+(_xll.DBR("CXMD:FTM_DATA_BALANCE_SHEET","Total_Customer_Supplier",G$22,$C$19,ori,"TOTAL PRODUCT","B-451510",$C$20,"Amount_BS")/1000)+(_xll.DBR("CXMD:FTM_DATA_BALANCE_SHEET","Total_Customer_Supplier",G$22,$C$19,ori,"TOTAL PRODUCT","B-451610",$C$20,"Amount_BS")/1000)+(_xll.DBR("CXMD:FTM_DATA_BALANCE_SHEET","Total_Customer_Supplier",G$22,$C$19,ori,"TOTAL PRODUCT","B-451620",$C$20,"Amount_BS")/1000)</f>
        <v>120559.83078999999</v>
      </c>
      <c r="H54" s="79">
        <f ca="1">(_xll.DBR("CXMD:FTM_DATA_BALANCE_SHEET","Total_Customer_Supplier",H$22,$C$19,ori,"TOTAL PRODUCT","B-451010",$C$20,"Amount_BS")/1000)+(_xll.DBR("CXMD:FTM_DATA_BALANCE_SHEET","Total_Customer_Supplier",H$22,$C$19,ori,"TOTAL PRODUCT","B-451020",$C$20,"Amount_BS")/1000)+(_xll.DBR("CXMD:FTM_DATA_BALANCE_SHEET","Total_Customer_Supplier",H$22,$C$19,ori,"TOTAL PRODUCT","B-451030",$C$20,"Amount_BS")/1000)+(_xll.DBR("CXMD:FTM_DATA_BALANCE_SHEET","Total_Customer_Supplier",H$22,$C$19,ori,"TOTAL PRODUCT","B-451110",$C$20,"Amount_BS")/1000)+(_xll.DBR("CXMD:FTM_DATA_BALANCE_SHEET","Total_Customer_Supplier",H$22,$C$19,ori,"TOTAL PRODUCT","B-451210",$C$20,"Amount_BS")/1000)+(_xll.DBR("CXMD:FTM_DATA_BALANCE_SHEET","Total_Customer_Supplier",H$22,$C$19,ori,"TOTAL PRODUCT","B-451220",$C$20,"Amount_BS")/1000)+(_xll.DBR("CXMD:FTM_DATA_BALANCE_SHEET","Total_Customer_Supplier",H$22,$C$19,ori,"TOTAL PRODUCT","B-451310",$C$20,"Amount_BS")/1000)+(_xll.DBR("CXMD:FTM_DATA_BALANCE_SHEET","Total_Customer_Supplier",H$22,$C$19,ori,"TOTAL PRODUCT","B-451450",$C$20,"Amount_BS")/1000)+(_xll.DBR("CXMD:FTM_DATA_BALANCE_SHEET","Total_Customer_Supplier",H$22,$C$19,ori,"TOTAL PRODUCT","B-451510",$C$20,"Amount_BS")/1000)+(_xll.DBR("CXMD:FTM_DATA_BALANCE_SHEET","Total_Customer_Supplier",H$22,$C$19,ori,"TOTAL PRODUCT","B-451610",$C$20,"Amount_BS")/1000)+(_xll.DBR("CXMD:FTM_DATA_BALANCE_SHEET","Total_Customer_Supplier",H$22,$C$19,ori,"TOTAL PRODUCT","B-451620",$C$20,"Amount_BS")/1000)</f>
        <v>153093.75517000002</v>
      </c>
      <c r="I54" s="79">
        <f ca="1">(_xll.DBR("CXMD:FTM_DATA_BALANCE_SHEET","Total_Customer_Supplier",I$22,$C$19,ori,"TOTAL PRODUCT","B-451010",$C$20,"Amount_BS")/1000)+(_xll.DBR("CXMD:FTM_DATA_BALANCE_SHEET","Total_Customer_Supplier",I$22,$C$19,ori,"TOTAL PRODUCT","B-451020",$C$20,"Amount_BS")/1000)+(_xll.DBR("CXMD:FTM_DATA_BALANCE_SHEET","Total_Customer_Supplier",I$22,$C$19,ori,"TOTAL PRODUCT","B-451030",$C$20,"Amount_BS")/1000)+(_xll.DBR("CXMD:FTM_DATA_BALANCE_SHEET","Total_Customer_Supplier",I$22,$C$19,ori,"TOTAL PRODUCT","B-451110",$C$20,"Amount_BS")/1000)+(_xll.DBR("CXMD:FTM_DATA_BALANCE_SHEET","Total_Customer_Supplier",I$22,$C$19,ori,"TOTAL PRODUCT","B-451210",$C$20,"Amount_BS")/1000)+(_xll.DBR("CXMD:FTM_DATA_BALANCE_SHEET","Total_Customer_Supplier",I$22,$C$19,ori,"TOTAL PRODUCT","B-451220",$C$20,"Amount_BS")/1000)+(_xll.DBR("CXMD:FTM_DATA_BALANCE_SHEET","Total_Customer_Supplier",I$22,$C$19,ori,"TOTAL PRODUCT","B-451310",$C$20,"Amount_BS")/1000)+(_xll.DBR("CXMD:FTM_DATA_BALANCE_SHEET","Total_Customer_Supplier",I$22,$C$19,ori,"TOTAL PRODUCT","B-451450",$C$20,"Amount_BS")/1000)+(_xll.DBR("CXMD:FTM_DATA_BALANCE_SHEET","Total_Customer_Supplier",I$22,$C$19,ori,"TOTAL PRODUCT","B-451510",$C$20,"Amount_BS")/1000)+(_xll.DBR("CXMD:FTM_DATA_BALANCE_SHEET","Total_Customer_Supplier",I$22,$C$19,ori,"TOTAL PRODUCT","B-451610",$C$20,"Amount_BS")/1000)+(_xll.DBR("CXMD:FTM_DATA_BALANCE_SHEET","Total_Customer_Supplier",I$22,$C$19,ori,"TOTAL PRODUCT","B-451620",$C$20,"Amount_BS")/1000)</f>
        <v>183999.09954999998</v>
      </c>
      <c r="J54" s="79">
        <f ca="1">(_xll.DBR("CXMD:FTM_DATA_BALANCE_SHEET","Total_Customer_Supplier",J$22,$C$19,ori,"TOTAL PRODUCT","B-451010",$C$20,"Amount_BS")/1000)+(_xll.DBR("CXMD:FTM_DATA_BALANCE_SHEET","Total_Customer_Supplier",J$22,$C$19,ori,"TOTAL PRODUCT","B-451020",$C$20,"Amount_BS")/1000)+(_xll.DBR("CXMD:FTM_DATA_BALANCE_SHEET","Total_Customer_Supplier",J$22,$C$19,ori,"TOTAL PRODUCT","B-451030",$C$20,"Amount_BS")/1000)+(_xll.DBR("CXMD:FTM_DATA_BALANCE_SHEET","Total_Customer_Supplier",J$22,$C$19,ori,"TOTAL PRODUCT","B-451110",$C$20,"Amount_BS")/1000)+(_xll.DBR("CXMD:FTM_DATA_BALANCE_SHEET","Total_Customer_Supplier",J$22,$C$19,ori,"TOTAL PRODUCT","B-451210",$C$20,"Amount_BS")/1000)+(_xll.DBR("CXMD:FTM_DATA_BALANCE_SHEET","Total_Customer_Supplier",J$22,$C$19,ori,"TOTAL PRODUCT","B-451220",$C$20,"Amount_BS")/1000)+(_xll.DBR("CXMD:FTM_DATA_BALANCE_SHEET","Total_Customer_Supplier",J$22,$C$19,ori,"TOTAL PRODUCT","B-451310",$C$20,"Amount_BS")/1000)+(_xll.DBR("CXMD:FTM_DATA_BALANCE_SHEET","Total_Customer_Supplier",J$22,$C$19,ori,"TOTAL PRODUCT","B-451450",$C$20,"Amount_BS")/1000)+(_xll.DBR("CXMD:FTM_DATA_BALANCE_SHEET","Total_Customer_Supplier",J$22,$C$19,ori,"TOTAL PRODUCT","B-451510",$C$20,"Amount_BS")/1000)+(_xll.DBR("CXMD:FTM_DATA_BALANCE_SHEET","Total_Customer_Supplier",J$22,$C$19,ori,"TOTAL PRODUCT","B-451610",$C$20,"Amount_BS")/1000)+(_xll.DBR("CXMD:FTM_DATA_BALANCE_SHEET","Total_Customer_Supplier",J$22,$C$19,ori,"TOTAL PRODUCT","B-451620",$C$20,"Amount_BS")/1000)</f>
        <v>212624.51154000001</v>
      </c>
      <c r="K54" s="79">
        <f ca="1">(_xll.DBR("CXMD:FTM_DATA_BALANCE_SHEET","Total_Customer_Supplier",K$22,$C$19,ori,"TOTAL PRODUCT","B-451010",$C$20,"Amount_BS")/1000)+(_xll.DBR("CXMD:FTM_DATA_BALANCE_SHEET","Total_Customer_Supplier",K$22,$C$19,ori,"TOTAL PRODUCT","B-451020",$C$20,"Amount_BS")/1000)+(_xll.DBR("CXMD:FTM_DATA_BALANCE_SHEET","Total_Customer_Supplier",K$22,$C$19,ori,"TOTAL PRODUCT","B-451030",$C$20,"Amount_BS")/1000)+(_xll.DBR("CXMD:FTM_DATA_BALANCE_SHEET","Total_Customer_Supplier",K$22,$C$19,ori,"TOTAL PRODUCT","B-451110",$C$20,"Amount_BS")/1000)+(_xll.DBR("CXMD:FTM_DATA_BALANCE_SHEET","Total_Customer_Supplier",K$22,$C$19,ori,"TOTAL PRODUCT","B-451210",$C$20,"Amount_BS")/1000)+(_xll.DBR("CXMD:FTM_DATA_BALANCE_SHEET","Total_Customer_Supplier",K$22,$C$19,ori,"TOTAL PRODUCT","B-451220",$C$20,"Amount_BS")/1000)+(_xll.DBR("CXMD:FTM_DATA_BALANCE_SHEET","Total_Customer_Supplier",K$22,$C$19,ori,"TOTAL PRODUCT","B-451310",$C$20,"Amount_BS")/1000)+(_xll.DBR("CXMD:FTM_DATA_BALANCE_SHEET","Total_Customer_Supplier",K$22,$C$19,ori,"TOTAL PRODUCT","B-451450",$C$20,"Amount_BS")/1000)+(_xll.DBR("CXMD:FTM_DATA_BALANCE_SHEET","Total_Customer_Supplier",K$22,$C$19,ori,"TOTAL PRODUCT","B-451510",$C$20,"Amount_BS")/1000)+(_xll.DBR("CXMD:FTM_DATA_BALANCE_SHEET","Total_Customer_Supplier",K$22,$C$19,ori,"TOTAL PRODUCT","B-451610",$C$20,"Amount_BS")/1000)+(_xll.DBR("CXMD:FTM_DATA_BALANCE_SHEET","Total_Customer_Supplier",K$22,$C$19,ori,"TOTAL PRODUCT","B-451620",$C$20,"Amount_BS")/1000)</f>
        <v>239387.38657000003</v>
      </c>
      <c r="L54" s="79">
        <f ca="1">(_xll.DBR("CXMD:FTM_DATA_BALANCE_SHEET","Total_Customer_Supplier",L$22,$C$19,ori,"TOTAL PRODUCT","B-451010",$C$20,"Amount_BS")/1000)+(_xll.DBR("CXMD:FTM_DATA_BALANCE_SHEET","Total_Customer_Supplier",L$22,$C$19,ori,"TOTAL PRODUCT","B-451020",$C$20,"Amount_BS")/1000)+(_xll.DBR("CXMD:FTM_DATA_BALANCE_SHEET","Total_Customer_Supplier",L$22,$C$19,ori,"TOTAL PRODUCT","B-451030",$C$20,"Amount_BS")/1000)+(_xll.DBR("CXMD:FTM_DATA_BALANCE_SHEET","Total_Customer_Supplier",L$22,$C$19,ori,"TOTAL PRODUCT","B-451110",$C$20,"Amount_BS")/1000)+(_xll.DBR("CXMD:FTM_DATA_BALANCE_SHEET","Total_Customer_Supplier",L$22,$C$19,ori,"TOTAL PRODUCT","B-451210",$C$20,"Amount_BS")/1000)+(_xll.DBR("CXMD:FTM_DATA_BALANCE_SHEET","Total_Customer_Supplier",L$22,$C$19,ori,"TOTAL PRODUCT","B-451220",$C$20,"Amount_BS")/1000)+(_xll.DBR("CXMD:FTM_DATA_BALANCE_SHEET","Total_Customer_Supplier",L$22,$C$19,ori,"TOTAL PRODUCT","B-451310",$C$20,"Amount_BS")/1000)+(_xll.DBR("CXMD:FTM_DATA_BALANCE_SHEET","Total_Customer_Supplier",L$22,$C$19,ori,"TOTAL PRODUCT","B-451450",$C$20,"Amount_BS")/1000)+(_xll.DBR("CXMD:FTM_DATA_BALANCE_SHEET","Total_Customer_Supplier",L$22,$C$19,ori,"TOTAL PRODUCT","B-451510",$C$20,"Amount_BS")/1000)+(_xll.DBR("CXMD:FTM_DATA_BALANCE_SHEET","Total_Customer_Supplier",L$22,$C$19,ori,"TOTAL PRODUCT","B-451610",$C$20,"Amount_BS")/1000)+(_xll.DBR("CXMD:FTM_DATA_BALANCE_SHEET","Total_Customer_Supplier",L$22,$C$19,ori,"TOTAL PRODUCT","B-451620",$C$20,"Amount_BS")/1000)</f>
        <v>269115.68698999996</v>
      </c>
      <c r="M54" s="79">
        <f ca="1">(_xll.DBR("CXMD:FTM_DATA_BALANCE_SHEET","Total_Customer_Supplier",M$22,$C$19,ori,"TOTAL PRODUCT","B-451010",$C$20,"Amount_BS")/1000)+(_xll.DBR("CXMD:FTM_DATA_BALANCE_SHEET","Total_Customer_Supplier",M$22,$C$19,ori,"TOTAL PRODUCT","B-451020",$C$20,"Amount_BS")/1000)+(_xll.DBR("CXMD:FTM_DATA_BALANCE_SHEET","Total_Customer_Supplier",M$22,$C$19,ori,"TOTAL PRODUCT","B-451030",$C$20,"Amount_BS")/1000)+(_xll.DBR("CXMD:FTM_DATA_BALANCE_SHEET","Total_Customer_Supplier",M$22,$C$19,ori,"TOTAL PRODUCT","B-451110",$C$20,"Amount_BS")/1000)+(_xll.DBR("CXMD:FTM_DATA_BALANCE_SHEET","Total_Customer_Supplier",M$22,$C$19,ori,"TOTAL PRODUCT","B-451210",$C$20,"Amount_BS")/1000)+(_xll.DBR("CXMD:FTM_DATA_BALANCE_SHEET","Total_Customer_Supplier",M$22,$C$19,ori,"TOTAL PRODUCT","B-451220",$C$20,"Amount_BS")/1000)+(_xll.DBR("CXMD:FTM_DATA_BALANCE_SHEET","Total_Customer_Supplier",M$22,$C$19,ori,"TOTAL PRODUCT","B-451310",$C$20,"Amount_BS")/1000)+(_xll.DBR("CXMD:FTM_DATA_BALANCE_SHEET","Total_Customer_Supplier",M$22,$C$19,ori,"TOTAL PRODUCT","B-451450",$C$20,"Amount_BS")/1000)+(_xll.DBR("CXMD:FTM_DATA_BALANCE_SHEET","Total_Customer_Supplier",M$22,$C$19,ori,"TOTAL PRODUCT","B-451510",$C$20,"Amount_BS")/1000)+(_xll.DBR("CXMD:FTM_DATA_BALANCE_SHEET","Total_Customer_Supplier",M$22,$C$19,ori,"TOTAL PRODUCT","B-451610",$C$20,"Amount_BS")/1000)+(_xll.DBR("CXMD:FTM_DATA_BALANCE_SHEET","Total_Customer_Supplier",M$22,$C$19,ori,"TOTAL PRODUCT","B-451620",$C$20,"Amount_BS")/1000)</f>
        <v>305418.33045000001</v>
      </c>
      <c r="N54" s="79">
        <f ca="1">(_xll.DBR("CXMD:FTM_DATA_BALANCE_SHEET","Total_Customer_Supplier",N$22,$C$19,ori,"TOTAL PRODUCT","B-451010",$C$20,"Amount_BS")/1000)+(_xll.DBR("CXMD:FTM_DATA_BALANCE_SHEET","Total_Customer_Supplier",N$22,$C$19,ori,"TOTAL PRODUCT","B-451020",$C$20,"Amount_BS")/1000)+(_xll.DBR("CXMD:FTM_DATA_BALANCE_SHEET","Total_Customer_Supplier",N$22,$C$19,ori,"TOTAL PRODUCT","B-451030",$C$20,"Amount_BS")/1000)+(_xll.DBR("CXMD:FTM_DATA_BALANCE_SHEET","Total_Customer_Supplier",N$22,$C$19,ori,"TOTAL PRODUCT","B-451110",$C$20,"Amount_BS")/1000)+(_xll.DBR("CXMD:FTM_DATA_BALANCE_SHEET","Total_Customer_Supplier",N$22,$C$19,ori,"TOTAL PRODUCT","B-451210",$C$20,"Amount_BS")/1000)+(_xll.DBR("CXMD:FTM_DATA_BALANCE_SHEET","Total_Customer_Supplier",N$22,$C$19,ori,"TOTAL PRODUCT","B-451220",$C$20,"Amount_BS")/1000)+(_xll.DBR("CXMD:FTM_DATA_BALANCE_SHEET","Total_Customer_Supplier",N$22,$C$19,ori,"TOTAL PRODUCT","B-451310",$C$20,"Amount_BS")/1000)+(_xll.DBR("CXMD:FTM_DATA_BALANCE_SHEET","Total_Customer_Supplier",N$22,$C$19,ori,"TOTAL PRODUCT","B-451450",$C$20,"Amount_BS")/1000)+(_xll.DBR("CXMD:FTM_DATA_BALANCE_SHEET","Total_Customer_Supplier",N$22,$C$19,ori,"TOTAL PRODUCT","B-451510",$C$20,"Amount_BS")/1000)+(_xll.DBR("CXMD:FTM_DATA_BALANCE_SHEET","Total_Customer_Supplier",N$22,$C$19,ori,"TOTAL PRODUCT","B-451610",$C$20,"Amount_BS")/1000)+(_xll.DBR("CXMD:FTM_DATA_BALANCE_SHEET","Total_Customer_Supplier",N$22,$C$19,ori,"TOTAL PRODUCT","B-451620",$C$20,"Amount_BS")/1000)</f>
        <v>340339.55348</v>
      </c>
      <c r="O54" s="79">
        <f ca="1">(_xll.DBR("CXMD:FTM_DATA_BALANCE_SHEET","Total_Customer_Supplier",O$22,$C$19,ori,"TOTAL PRODUCT","B-451010",$C$20,"Amount_BS")/1000)+(_xll.DBR("CXMD:FTM_DATA_BALANCE_SHEET","Total_Customer_Supplier",O$22,$C$19,ori,"TOTAL PRODUCT","B-451020",$C$20,"Amount_BS")/1000)+(_xll.DBR("CXMD:FTM_DATA_BALANCE_SHEET","Total_Customer_Supplier",O$22,$C$19,ori,"TOTAL PRODUCT","B-451030",$C$20,"Amount_BS")/1000)+(_xll.DBR("CXMD:FTM_DATA_BALANCE_SHEET","Total_Customer_Supplier",O$22,$C$19,ori,"TOTAL PRODUCT","B-451110",$C$20,"Amount_BS")/1000)+(_xll.DBR("CXMD:FTM_DATA_BALANCE_SHEET","Total_Customer_Supplier",O$22,$C$19,ori,"TOTAL PRODUCT","B-451210",$C$20,"Amount_BS")/1000)+(_xll.DBR("CXMD:FTM_DATA_BALANCE_SHEET","Total_Customer_Supplier",O$22,$C$19,ori,"TOTAL PRODUCT","B-451220",$C$20,"Amount_BS")/1000)+(_xll.DBR("CXMD:FTM_DATA_BALANCE_SHEET","Total_Customer_Supplier",O$22,$C$19,ori,"TOTAL PRODUCT","B-451310",$C$20,"Amount_BS")/1000)+(_xll.DBR("CXMD:FTM_DATA_BALANCE_SHEET","Total_Customer_Supplier",O$22,$C$19,ori,"TOTAL PRODUCT","B-451450",$C$20,"Amount_BS")/1000)+(_xll.DBR("CXMD:FTM_DATA_BALANCE_SHEET","Total_Customer_Supplier",O$22,$C$19,ori,"TOTAL PRODUCT","B-451510",$C$20,"Amount_BS")/1000)+(_xll.DBR("CXMD:FTM_DATA_BALANCE_SHEET","Total_Customer_Supplier",O$22,$C$19,ori,"TOTAL PRODUCT","B-451610",$C$20,"Amount_BS")/1000)+(_xll.DBR("CXMD:FTM_DATA_BALANCE_SHEET","Total_Customer_Supplier",O$22,$C$19,ori,"TOTAL PRODUCT","B-451620",$C$20,"Amount_BS")/1000)</f>
        <v>371754.64548000001</v>
      </c>
    </row>
    <row r="55" spans="2:15" ht="15.75" thickBot="1" x14ac:dyDescent="0.3">
      <c r="B55" s="47"/>
      <c r="C55" s="48" t="s">
        <v>52</v>
      </c>
      <c r="D55" s="49">
        <f ca="1">IF(D27&lt;&gt;0,D54/D27,0)</f>
        <v>8.8981621329653537E-2</v>
      </c>
      <c r="E55" s="49">
        <f t="shared" ref="E55:O55" ca="1" si="9">IF(E27&lt;&gt;0,E54/E27,0)</f>
        <v>8.4185387781691934E-2</v>
      </c>
      <c r="F55" s="49">
        <f t="shared" ca="1" si="9"/>
        <v>8.5924858141679453E-2</v>
      </c>
      <c r="G55" s="49">
        <f t="shared" ca="1" si="9"/>
        <v>8.9232057724543484E-2</v>
      </c>
      <c r="H55" s="49">
        <f t="shared" ca="1" si="9"/>
        <v>8.8289573895443091E-2</v>
      </c>
      <c r="I55" s="49">
        <f t="shared" ca="1" si="9"/>
        <v>8.7397597251749962E-2</v>
      </c>
      <c r="J55" s="49">
        <f t="shared" ca="1" si="9"/>
        <v>8.6204668446944924E-2</v>
      </c>
      <c r="K55" s="49">
        <f t="shared" ca="1" si="9"/>
        <v>8.4614382593203516E-2</v>
      </c>
      <c r="L55" s="49">
        <f t="shared" ca="1" si="9"/>
        <v>8.4856031672335464E-2</v>
      </c>
      <c r="M55" s="49">
        <f t="shared" ca="1" si="9"/>
        <v>8.7299231071550826E-2</v>
      </c>
      <c r="N55" s="49">
        <f t="shared" ca="1" si="9"/>
        <v>8.8926237470821581E-2</v>
      </c>
      <c r="O55" s="49">
        <f t="shared" ca="1" si="9"/>
        <v>9.1046333919764036E-2</v>
      </c>
    </row>
    <row r="56" spans="2:15" ht="15" x14ac:dyDescent="0.25">
      <c r="B56" s="4" t="s">
        <v>7</v>
      </c>
      <c r="C56" s="28" t="s">
        <v>22</v>
      </c>
      <c r="D56" s="61">
        <f ca="1">D57+D58+D59+D60+D61+D62+D63+D64+D65+D66+D67+D68</f>
        <v>29278.131549999995</v>
      </c>
      <c r="E56" s="61">
        <f t="shared" ref="E56:O56" ca="1" si="10">E57+E58+E59+E60+E61+E62+E63+E64+E65+E66+E67+E68</f>
        <v>55704.349009999991</v>
      </c>
      <c r="F56" s="61">
        <f t="shared" ca="1" si="10"/>
        <v>88792.144480000017</v>
      </c>
      <c r="G56" s="61">
        <f t="shared" ca="1" si="10"/>
        <v>120559.83078999999</v>
      </c>
      <c r="H56" s="61">
        <f t="shared" ca="1" si="10"/>
        <v>153093.75516999999</v>
      </c>
      <c r="I56" s="61">
        <f t="shared" ca="1" si="10"/>
        <v>183999.09954999998</v>
      </c>
      <c r="J56" s="61">
        <f t="shared" ca="1" si="10"/>
        <v>212624.51153999998</v>
      </c>
      <c r="K56" s="61">
        <f t="shared" ca="1" si="10"/>
        <v>239387.38657000003</v>
      </c>
      <c r="L56" s="61">
        <f t="shared" ca="1" si="10"/>
        <v>269115.68699000002</v>
      </c>
      <c r="M56" s="61">
        <f t="shared" ca="1" si="10"/>
        <v>305418.33045000001</v>
      </c>
      <c r="N56" s="61">
        <f t="shared" ca="1" si="10"/>
        <v>340339.55347999994</v>
      </c>
      <c r="O56" s="61">
        <f t="shared" ca="1" si="10"/>
        <v>371754.64548000001</v>
      </c>
    </row>
    <row r="57" spans="2:15" ht="15" x14ac:dyDescent="0.25">
      <c r="B57" s="4" t="s">
        <v>7</v>
      </c>
      <c r="C57" s="92" t="s">
        <v>23</v>
      </c>
      <c r="D57" s="63">
        <f ca="1">(_xll.DBR("CXMD:FTM_DATA_BALANCE_SHEET","Total_Customer_Supplier",D$22,$C$19,ori,"TOTAL PRODUCT","B-451020",$C$20,"Amount_BS")/1000)</f>
        <v>4342.9435999999996</v>
      </c>
      <c r="E57" s="63">
        <f ca="1">(_xll.DBR("CXMD:FTM_DATA_BALANCE_SHEET","Total_Customer_Supplier",E$22,$C$19,ori,"TOTAL PRODUCT","B-451020",$C$20,"Amount_BS")/1000)</f>
        <v>9111.84987</v>
      </c>
      <c r="F57" s="63">
        <f ca="1">(_xll.DBR("CXMD:FTM_DATA_BALANCE_SHEET","Total_Customer_Supplier",F$22,$C$19,ori,"TOTAL PRODUCT","B-451020",$C$20,"Amount_BS")/1000)</f>
        <v>14564.17938</v>
      </c>
      <c r="G57" s="63">
        <f ca="1">(_xll.DBR("CXMD:FTM_DATA_BALANCE_SHEET","Total_Customer_Supplier",G$22,$C$19,ori,"TOTAL PRODUCT","B-451020",$C$20,"Amount_BS")/1000)</f>
        <v>19284.730500000001</v>
      </c>
      <c r="H57" s="63">
        <f ca="1">(_xll.DBR("CXMD:FTM_DATA_BALANCE_SHEET","Total_Customer_Supplier",H$22,$C$19,ori,"TOTAL PRODUCT","B-451020",$C$20,"Amount_BS")/1000)</f>
        <v>24589.739240000003</v>
      </c>
      <c r="I57" s="63">
        <f ca="1">(_xll.DBR("CXMD:FTM_DATA_BALANCE_SHEET","Total_Customer_Supplier",I$22,$C$19,ori,"TOTAL PRODUCT","B-451020",$C$20,"Amount_BS")/1000)</f>
        <v>30466.351450000002</v>
      </c>
      <c r="J57" s="63">
        <f ca="1">(_xll.DBR("CXMD:FTM_DATA_BALANCE_SHEET","Total_Customer_Supplier",J$22,$C$19,ori,"TOTAL PRODUCT","B-451020",$C$20,"Amount_BS")/1000)</f>
        <v>36585.725200000001</v>
      </c>
      <c r="K57" s="63">
        <f ca="1">(_xll.DBR("CXMD:FTM_DATA_BALANCE_SHEET","Total_Customer_Supplier",K$22,$C$19,ori,"TOTAL PRODUCT","B-451020",$C$20,"Amount_BS")/1000)</f>
        <v>41695.766290000007</v>
      </c>
      <c r="L57" s="63">
        <f ca="1">(_xll.DBR("CXMD:FTM_DATA_BALANCE_SHEET","Total_Customer_Supplier",L$22,$C$19,ori,"TOTAL PRODUCT","B-451020",$C$20,"Amount_BS")/1000)</f>
        <v>47547.477540000007</v>
      </c>
      <c r="M57" s="63">
        <f ca="1">(_xll.DBR("CXMD:FTM_DATA_BALANCE_SHEET","Total_Customer_Supplier",M$22,$C$19,ori,"TOTAL PRODUCT","B-451020",$C$20,"Amount_BS")/1000)</f>
        <v>53043.954940000003</v>
      </c>
      <c r="N57" s="63">
        <f ca="1">(_xll.DBR("CXMD:FTM_DATA_BALANCE_SHEET","Total_Customer_Supplier",N$22,$C$19,ori,"TOTAL PRODUCT","B-451020",$C$20,"Amount_BS")/1000)</f>
        <v>58734.708760000009</v>
      </c>
      <c r="O57" s="63">
        <f ca="1">(_xll.DBR("CXMD:FTM_DATA_BALANCE_SHEET","Total_Customer_Supplier",O$22,$C$19,ori,"TOTAL PRODUCT","B-451020",$C$20,"Amount_BS")/1000)</f>
        <v>64920.158800000005</v>
      </c>
    </row>
    <row r="58" spans="2:15" ht="15" x14ac:dyDescent="0.25">
      <c r="B58" s="4" t="s">
        <v>7</v>
      </c>
      <c r="C58" s="92" t="s">
        <v>24</v>
      </c>
      <c r="D58" s="63">
        <f ca="1">(_xll.DBR("CXMD:FTM_DATA_BALANCE_SHEET","Total_Customer_Supplier",D$22,$C$19,ori,"TOTAL PRODUCT","B-451010",$C$20,"Amount_BS")/1000)</f>
        <v>2390.8586100000002</v>
      </c>
      <c r="E58" s="63">
        <f ca="1">(_xll.DBR("CXMD:FTM_DATA_BALANCE_SHEET","Total_Customer_Supplier",E$22,$C$19,ori,"TOTAL PRODUCT","B-451010",$C$20,"Amount_BS")/1000)</f>
        <v>5318.0070999999998</v>
      </c>
      <c r="F58" s="63">
        <f ca="1">(_xll.DBR("CXMD:FTM_DATA_BALANCE_SHEET","Total_Customer_Supplier",F$22,$C$19,ori,"TOTAL PRODUCT","B-451010",$C$20,"Amount_BS")/1000)</f>
        <v>8569.0994900000005</v>
      </c>
      <c r="G58" s="63">
        <f ca="1">(_xll.DBR("CXMD:FTM_DATA_BALANCE_SHEET","Total_Customer_Supplier",G$22,$C$19,ori,"TOTAL PRODUCT","B-451010",$C$20,"Amount_BS")/1000)</f>
        <v>12047.668879999999</v>
      </c>
      <c r="H58" s="63">
        <f ca="1">(_xll.DBR("CXMD:FTM_DATA_BALANCE_SHEET","Total_Customer_Supplier",H$22,$C$19,ori,"TOTAL PRODUCT","B-451010",$C$20,"Amount_BS")/1000)</f>
        <v>15148.355509999998</v>
      </c>
      <c r="I58" s="63">
        <f ca="1">(_xll.DBR("CXMD:FTM_DATA_BALANCE_SHEET","Total_Customer_Supplier",I$22,$C$19,ori,"TOTAL PRODUCT","B-451010",$C$20,"Amount_BS")/1000)</f>
        <v>17904.805819999998</v>
      </c>
      <c r="J58" s="63">
        <f ca="1">(_xll.DBR("CXMD:FTM_DATA_BALANCE_SHEET","Total_Customer_Supplier",J$22,$C$19,ori,"TOTAL PRODUCT","B-451010",$C$20,"Amount_BS")/1000)</f>
        <v>20184.209589999995</v>
      </c>
      <c r="K58" s="63">
        <f ca="1">(_xll.DBR("CXMD:FTM_DATA_BALANCE_SHEET","Total_Customer_Supplier",K$22,$C$19,ori,"TOTAL PRODUCT","B-451010",$C$20,"Amount_BS")/1000)</f>
        <v>22579.719129999994</v>
      </c>
      <c r="L58" s="63">
        <f ca="1">(_xll.DBR("CXMD:FTM_DATA_BALANCE_SHEET","Total_Customer_Supplier",L$22,$C$19,ori,"TOTAL PRODUCT","B-451010",$C$20,"Amount_BS")/1000)</f>
        <v>24903.477739999995</v>
      </c>
      <c r="M58" s="63">
        <f ca="1">(_xll.DBR("CXMD:FTM_DATA_BALANCE_SHEET","Total_Customer_Supplier",M$22,$C$19,ori,"TOTAL PRODUCT","B-451010",$C$20,"Amount_BS")/1000)</f>
        <v>27498.296509999993</v>
      </c>
      <c r="N58" s="63">
        <f ca="1">(_xll.DBR("CXMD:FTM_DATA_BALANCE_SHEET","Total_Customer_Supplier",N$22,$C$19,ori,"TOTAL PRODUCT","B-451010",$C$20,"Amount_BS")/1000)</f>
        <v>29823.850059999993</v>
      </c>
      <c r="O58" s="63">
        <f ca="1">(_xll.DBR("CXMD:FTM_DATA_BALANCE_SHEET","Total_Customer_Supplier",O$22,$C$19,ori,"TOTAL PRODUCT","B-451010",$C$20,"Amount_BS")/1000)</f>
        <v>32375.591189999996</v>
      </c>
    </row>
    <row r="59" spans="2:15" ht="15" x14ac:dyDescent="0.25">
      <c r="B59" s="4" t="s">
        <v>7</v>
      </c>
      <c r="C59" s="92" t="s">
        <v>25</v>
      </c>
      <c r="D59" s="63">
        <f ca="1">(_xll.DBR("CXMD:FTM_DATA_BALANCE_SHEET","Total_Customer_Supplier",D$22,$C$19,ori,"TOTAL PRODUCT","B-451110",$C$20,"Amount_BS")/1000)</f>
        <v>637.80257999999992</v>
      </c>
      <c r="E59" s="63">
        <f ca="1">(_xll.DBR("CXMD:FTM_DATA_BALANCE_SHEET","Total_Customer_Supplier",E$22,$C$19,ori,"TOTAL PRODUCT","B-451110",$C$20,"Amount_BS")/1000)</f>
        <v>1189.0094899999997</v>
      </c>
      <c r="F59" s="63">
        <f ca="1">(_xll.DBR("CXMD:FTM_DATA_BALANCE_SHEET","Total_Customer_Supplier",F$22,$C$19,ori,"TOTAL PRODUCT","B-451110",$C$20,"Amount_BS")/1000)</f>
        <v>1723.3835800000002</v>
      </c>
      <c r="G59" s="63">
        <f ca="1">(_xll.DBR("CXMD:FTM_DATA_BALANCE_SHEET","Total_Customer_Supplier",G$22,$C$19,ori,"TOTAL PRODUCT","B-451110",$C$20,"Amount_BS")/1000)</f>
        <v>2421.1836100000005</v>
      </c>
      <c r="H59" s="63">
        <f ca="1">(_xll.DBR("CXMD:FTM_DATA_BALANCE_SHEET","Total_Customer_Supplier",H$22,$C$19,ori,"TOTAL PRODUCT","B-451110",$C$20,"Amount_BS")/1000)</f>
        <v>2994.7482500000006</v>
      </c>
      <c r="I59" s="63">
        <f ca="1">(_xll.DBR("CXMD:FTM_DATA_BALANCE_SHEET","Total_Customer_Supplier",I$22,$C$19,ori,"TOTAL PRODUCT","B-451110",$C$20,"Amount_BS")/1000)</f>
        <v>3571.1224200000006</v>
      </c>
      <c r="J59" s="63">
        <f ca="1">(_xll.DBR("CXMD:FTM_DATA_BALANCE_SHEET","Total_Customer_Supplier",J$22,$C$19,ori,"TOTAL PRODUCT","B-451110",$C$20,"Amount_BS")/1000)</f>
        <v>4264.9041200000001</v>
      </c>
      <c r="K59" s="63">
        <f ca="1">(_xll.DBR("CXMD:FTM_DATA_BALANCE_SHEET","Total_Customer_Supplier",K$22,$C$19,ori,"TOTAL PRODUCT","B-451110",$C$20,"Amount_BS")/1000)</f>
        <v>4797.6040000000003</v>
      </c>
      <c r="L59" s="63">
        <f ca="1">(_xll.DBR("CXMD:FTM_DATA_BALANCE_SHEET","Total_Customer_Supplier",L$22,$C$19,ori,"TOTAL PRODUCT","B-451110",$C$20,"Amount_BS")/1000)</f>
        <v>5113.6752800000004</v>
      </c>
      <c r="M59" s="63">
        <f ca="1">(_xll.DBR("CXMD:FTM_DATA_BALANCE_SHEET","Total_Customer_Supplier",M$22,$C$19,ori,"TOTAL PRODUCT","B-451110",$C$20,"Amount_BS")/1000)</f>
        <v>5840.4634999999998</v>
      </c>
      <c r="N59" s="63">
        <f ca="1">(_xll.DBR("CXMD:FTM_DATA_BALANCE_SHEET","Total_Customer_Supplier",N$22,$C$19,ori,"TOTAL PRODUCT","B-451110",$C$20,"Amount_BS")/1000)</f>
        <v>6217.2380999999996</v>
      </c>
      <c r="O59" s="63">
        <f ca="1">(_xll.DBR("CXMD:FTM_DATA_BALANCE_SHEET","Total_Customer_Supplier",O$22,$C$19,ori,"TOTAL PRODUCT","B-451110",$C$20,"Amount_BS")/1000)</f>
        <v>7042.9423699999988</v>
      </c>
    </row>
    <row r="60" spans="2:15" ht="15" x14ac:dyDescent="0.25">
      <c r="B60" s="4" t="s">
        <v>7</v>
      </c>
      <c r="C60" s="92" t="s">
        <v>26</v>
      </c>
      <c r="D60" s="63">
        <f ca="1">(_xll.DBR("CXMD:FTM_DATA_BALANCE_SHEET","Total_Customer_Supplier",D$22,$C$19,ori,"TOTAL PRODUCT","B-451610",$C$20,"Amount_BS")/1000)</f>
        <v>8582.6170899999997</v>
      </c>
      <c r="E60" s="63">
        <f ca="1">(_xll.DBR("CXMD:FTM_DATA_BALANCE_SHEET","Total_Customer_Supplier",E$22,$C$19,ori,"TOTAL PRODUCT","B-451610",$C$20,"Amount_BS")/1000)</f>
        <v>15054.641419999998</v>
      </c>
      <c r="F60" s="63">
        <f ca="1">(_xll.DBR("CXMD:FTM_DATA_BALANCE_SHEET","Total_Customer_Supplier",F$22,$C$19,ori,"TOTAL PRODUCT","B-451610",$C$20,"Amount_BS")/1000)</f>
        <v>22698.128519999995</v>
      </c>
      <c r="G60" s="63">
        <f ca="1">(_xll.DBR("CXMD:FTM_DATA_BALANCE_SHEET","Total_Customer_Supplier",G$22,$C$19,ori,"TOTAL PRODUCT","B-451610",$C$20,"Amount_BS")/1000)</f>
        <v>28762.252639999995</v>
      </c>
      <c r="H60" s="63">
        <f ca="1">(_xll.DBR("CXMD:FTM_DATA_BALANCE_SHEET","Total_Customer_Supplier",H$22,$C$19,ori,"TOTAL PRODUCT","B-451610",$C$20,"Amount_BS")/1000)</f>
        <v>35150.467269999994</v>
      </c>
      <c r="I60" s="63">
        <f ca="1">(_xll.DBR("CXMD:FTM_DATA_BALANCE_SHEET","Total_Customer_Supplier",I$22,$C$19,ori,"TOTAL PRODUCT","B-451610",$C$20,"Amount_BS")/1000)</f>
        <v>40602.602189999998</v>
      </c>
      <c r="J60" s="63">
        <f ca="1">(_xll.DBR("CXMD:FTM_DATA_BALANCE_SHEET","Total_Customer_Supplier",J$22,$C$19,ori,"TOTAL PRODUCT","B-451610",$C$20,"Amount_BS")/1000)</f>
        <v>46553.30255</v>
      </c>
      <c r="K60" s="63">
        <f ca="1">(_xll.DBR("CXMD:FTM_DATA_BALANCE_SHEET","Total_Customer_Supplier",K$22,$C$19,ori,"TOTAL PRODUCT","B-451610",$C$20,"Amount_BS")/1000)</f>
        <v>51272.485950000002</v>
      </c>
      <c r="L60" s="63">
        <f ca="1">(_xll.DBR("CXMD:FTM_DATA_BALANCE_SHEET","Total_Customer_Supplier",L$22,$C$19,ori,"TOTAL PRODUCT","B-451610",$C$20,"Amount_BS")/1000)</f>
        <v>58811.023419999998</v>
      </c>
      <c r="M60" s="63">
        <f ca="1">(_xll.DBR("CXMD:FTM_DATA_BALANCE_SHEET","Total_Customer_Supplier",M$22,$C$19,ori,"TOTAL PRODUCT","B-451610",$C$20,"Amount_BS")/1000)</f>
        <v>65568.581379999989</v>
      </c>
      <c r="N60" s="63">
        <f ca="1">(_xll.DBR("CXMD:FTM_DATA_BALANCE_SHEET","Total_Customer_Supplier",N$22,$C$19,ori,"TOTAL PRODUCT","B-451610",$C$20,"Amount_BS")/1000)</f>
        <v>72247.020999999993</v>
      </c>
      <c r="O60" s="63">
        <f ca="1">(_xll.DBR("CXMD:FTM_DATA_BALANCE_SHEET","Total_Customer_Supplier",O$22,$C$19,ori,"TOTAL PRODUCT","B-451610",$C$20,"Amount_BS")/1000)</f>
        <v>80207.076660000006</v>
      </c>
    </row>
    <row r="61" spans="2:15" ht="15" x14ac:dyDescent="0.25">
      <c r="B61" s="4" t="s">
        <v>7</v>
      </c>
      <c r="C61" s="92" t="s">
        <v>27</v>
      </c>
      <c r="D61" s="63">
        <f ca="1">(_xll.DBR("CXMD:FTM_DATA_BALANCE_SHEET","Total_Customer_Supplier",D$22,$C$19,ori,"TOTAL PRODUCT","B-451030",$C$20,"Amount_BS")/1000)</f>
        <v>1509.3019500000003</v>
      </c>
      <c r="E61" s="63">
        <f ca="1">(_xll.DBR("CXMD:FTM_DATA_BALANCE_SHEET","Total_Customer_Supplier",E$22,$C$19,ori,"TOTAL PRODUCT","B-451030",$C$20,"Amount_BS")/1000)</f>
        <v>1690.3417300000003</v>
      </c>
      <c r="F61" s="63">
        <f ca="1">(_xll.DBR("CXMD:FTM_DATA_BALANCE_SHEET","Total_Customer_Supplier",F$22,$C$19,ori,"TOTAL PRODUCT","B-451030",$C$20,"Amount_BS")/1000)</f>
        <v>1977.6787200000001</v>
      </c>
      <c r="G61" s="63">
        <f ca="1">(_xll.DBR("CXMD:FTM_DATA_BALANCE_SHEET","Total_Customer_Supplier",G$22,$C$19,ori,"TOTAL PRODUCT","B-451030",$C$20,"Amount_BS")/1000)</f>
        <v>2247.7175200000006</v>
      </c>
      <c r="H61" s="63">
        <f ca="1">(_xll.DBR("CXMD:FTM_DATA_BALANCE_SHEET","Total_Customer_Supplier",H$22,$C$19,ori,"TOTAL PRODUCT","B-451030",$C$20,"Amount_BS")/1000)</f>
        <v>2364.2528900000007</v>
      </c>
      <c r="I61" s="63">
        <f ca="1">(_xll.DBR("CXMD:FTM_DATA_BALANCE_SHEET","Total_Customer_Supplier",I$22,$C$19,ori,"TOTAL PRODUCT","B-451030",$C$20,"Amount_BS")/1000)</f>
        <v>2461.9162100000008</v>
      </c>
      <c r="J61" s="63">
        <f ca="1">(_xll.DBR("CXMD:FTM_DATA_BALANCE_SHEET","Total_Customer_Supplier",J$22,$C$19,ori,"TOTAL PRODUCT","B-451030",$C$20,"Amount_BS")/1000)</f>
        <v>2766.225910000001</v>
      </c>
      <c r="K61" s="63">
        <f ca="1">(_xll.DBR("CXMD:FTM_DATA_BALANCE_SHEET","Total_Customer_Supplier",K$22,$C$19,ori,"TOTAL PRODUCT","B-451030",$C$20,"Amount_BS")/1000)</f>
        <v>2886.0742600000012</v>
      </c>
      <c r="L61" s="63">
        <f ca="1">(_xll.DBR("CXMD:FTM_DATA_BALANCE_SHEET","Total_Customer_Supplier",L$22,$C$19,ori,"TOTAL PRODUCT","B-451030",$C$20,"Amount_BS")/1000)</f>
        <v>3026.2105100000012</v>
      </c>
      <c r="M61" s="63">
        <f ca="1">(_xll.DBR("CXMD:FTM_DATA_BALANCE_SHEET","Total_Customer_Supplier",M$22,$C$19,ori,"TOTAL PRODUCT","B-451030",$C$20,"Amount_BS")/1000)</f>
        <v>3164.6299800000011</v>
      </c>
      <c r="N61" s="63">
        <f ca="1">(_xll.DBR("CXMD:FTM_DATA_BALANCE_SHEET","Total_Customer_Supplier",N$22,$C$19,ori,"TOTAL PRODUCT","B-451030",$C$20,"Amount_BS")/1000)</f>
        <v>3278.0366400000012</v>
      </c>
      <c r="O61" s="63">
        <f ca="1">(_xll.DBR("CXMD:FTM_DATA_BALANCE_SHEET","Total_Customer_Supplier",O$22,$C$19,ori,"TOTAL PRODUCT","B-451030",$C$20,"Amount_BS")/1000)</f>
        <v>3430.2234900000012</v>
      </c>
    </row>
    <row r="62" spans="2:15" ht="15" x14ac:dyDescent="0.25">
      <c r="B62" s="4" t="s">
        <v>7</v>
      </c>
      <c r="C62" s="92" t="s">
        <v>28</v>
      </c>
      <c r="D62" s="63">
        <f ca="1">(_xll.DBR("CXMD:FTM_DATA_BALANCE_SHEET","Total_Customer_Supplier",D$22,$C$19,ori,"TOTAL PRODUCT","B-451450",$C$20,"Amount_BS")/1000)</f>
        <v>6133.2677700000004</v>
      </c>
      <c r="E62" s="63">
        <f ca="1">(_xll.DBR("CXMD:FTM_DATA_BALANCE_SHEET","Total_Customer_Supplier",E$22,$C$19,ori,"TOTAL PRODUCT","B-451450",$C$20,"Amount_BS")/1000)</f>
        <v>13231.84647</v>
      </c>
      <c r="F62" s="63">
        <f ca="1">(_xll.DBR("CXMD:FTM_DATA_BALANCE_SHEET","Total_Customer_Supplier",F$22,$C$19,ori,"TOTAL PRODUCT","B-451450",$C$20,"Amount_BS")/1000)</f>
        <v>22427.353330000002</v>
      </c>
      <c r="G62" s="63">
        <f ca="1">(_xll.DBR("CXMD:FTM_DATA_BALANCE_SHEET","Total_Customer_Supplier",G$22,$C$19,ori,"TOTAL PRODUCT","B-451450",$C$20,"Amount_BS")/1000)</f>
        <v>32172.135009999998</v>
      </c>
      <c r="H62" s="63">
        <f ca="1">(_xll.DBR("CXMD:FTM_DATA_BALANCE_SHEET","Total_Customer_Supplier",H$22,$C$19,ori,"TOTAL PRODUCT","B-451450",$C$20,"Amount_BS")/1000)</f>
        <v>41715.190839999996</v>
      </c>
      <c r="I62" s="63">
        <f ca="1">(_xll.DBR("CXMD:FTM_DATA_BALANCE_SHEET","Total_Customer_Supplier",I$22,$C$19,ori,"TOTAL PRODUCT","B-451450",$C$20,"Amount_BS")/1000)</f>
        <v>50664.730459999992</v>
      </c>
      <c r="J62" s="63">
        <f ca="1">(_xll.DBR("CXMD:FTM_DATA_BALANCE_SHEET","Total_Customer_Supplier",J$22,$C$19,ori,"TOTAL PRODUCT","B-451450",$C$20,"Amount_BS")/1000)</f>
        <v>57919.145340000003</v>
      </c>
      <c r="K62" s="63">
        <f ca="1">(_xll.DBR("CXMD:FTM_DATA_BALANCE_SHEET","Total_Customer_Supplier",K$22,$C$19,ori,"TOTAL PRODUCT","B-451450",$C$20,"Amount_BS")/1000)</f>
        <v>65607.396370000002</v>
      </c>
      <c r="L62" s="63">
        <f ca="1">(_xll.DBR("CXMD:FTM_DATA_BALANCE_SHEET","Total_Customer_Supplier",L$22,$C$19,ori,"TOTAL PRODUCT","B-451450",$C$20,"Amount_BS")/1000)</f>
        <v>74380.730139999985</v>
      </c>
      <c r="M62" s="63">
        <f ca="1">(_xll.DBR("CXMD:FTM_DATA_BALANCE_SHEET","Total_Customer_Supplier",M$22,$C$19,ori,"TOTAL PRODUCT","B-451450",$C$20,"Amount_BS")/1000)</f>
        <v>84536.358439999996</v>
      </c>
      <c r="N62" s="63">
        <f ca="1">(_xll.DBR("CXMD:FTM_DATA_BALANCE_SHEET","Total_Customer_Supplier",N$22,$C$19,ori,"TOTAL PRODUCT","B-451450",$C$20,"Amount_BS")/1000)</f>
        <v>92989.66700999999</v>
      </c>
      <c r="O62" s="63">
        <f ca="1">(_xll.DBR("CXMD:FTM_DATA_BALANCE_SHEET","Total_Customer_Supplier",O$22,$C$19,ori,"TOTAL PRODUCT","B-451450",$C$20,"Amount_BS")/1000)</f>
        <v>100913.81922999999</v>
      </c>
    </row>
    <row r="63" spans="2:15" ht="15" x14ac:dyDescent="0.25">
      <c r="B63" s="4" t="s">
        <v>7</v>
      </c>
      <c r="C63" s="92" t="s">
        <v>29</v>
      </c>
      <c r="D63" s="63">
        <f ca="1">(_xll.DBR("CXMD:FTM_DATA_BALANCE_SHEET","Total_Customer_Supplier",D$22,$C$19,ori,"TOTAL PRODUCT","B-451210",$C$20,"Amount_BS")/1000)</f>
        <v>76.263850000000005</v>
      </c>
      <c r="E63" s="63">
        <f ca="1">(_xll.DBR("CXMD:FTM_DATA_BALANCE_SHEET","Total_Customer_Supplier",E$22,$C$19,ori,"TOTAL PRODUCT","B-451210",$C$20,"Amount_BS")/1000)</f>
        <v>134.67539000000002</v>
      </c>
      <c r="F63" s="63">
        <f ca="1">(_xll.DBR("CXMD:FTM_DATA_BALANCE_SHEET","Total_Customer_Supplier",F$22,$C$19,ori,"TOTAL PRODUCT","B-451210",$C$20,"Amount_BS")/1000)</f>
        <v>172.43887000000001</v>
      </c>
      <c r="G63" s="63">
        <f ca="1">(_xll.DBR("CXMD:FTM_DATA_BALANCE_SHEET","Total_Customer_Supplier",G$22,$C$19,ori,"TOTAL PRODUCT","B-451210",$C$20,"Amount_BS")/1000)</f>
        <v>202.75521000000001</v>
      </c>
      <c r="H63" s="63">
        <f ca="1">(_xll.DBR("CXMD:FTM_DATA_BALANCE_SHEET","Total_Customer_Supplier",H$22,$C$19,ori,"TOTAL PRODUCT","B-451210",$C$20,"Amount_BS")/1000)</f>
        <v>244.83603999999997</v>
      </c>
      <c r="I63" s="63">
        <f ca="1">(_xll.DBR("CXMD:FTM_DATA_BALANCE_SHEET","Total_Customer_Supplier",I$22,$C$19,ori,"TOTAL PRODUCT","B-451210",$C$20,"Amount_BS")/1000)</f>
        <v>275.83603999999997</v>
      </c>
      <c r="J63" s="63">
        <f ca="1">(_xll.DBR("CXMD:FTM_DATA_BALANCE_SHEET","Total_Customer_Supplier",J$22,$C$19,ori,"TOTAL PRODUCT","B-451210",$C$20,"Amount_BS")/1000)</f>
        <v>335.32029</v>
      </c>
      <c r="K63" s="63">
        <f ca="1">(_xll.DBR("CXMD:FTM_DATA_BALANCE_SHEET","Total_Customer_Supplier",K$22,$C$19,ori,"TOTAL PRODUCT","B-451210",$C$20,"Amount_BS")/1000)</f>
        <v>369.32020999999997</v>
      </c>
      <c r="L63" s="63">
        <f ca="1">(_xll.DBR("CXMD:FTM_DATA_BALANCE_SHEET","Total_Customer_Supplier",L$22,$C$19,ori,"TOTAL PRODUCT","B-451210",$C$20,"Amount_BS")/1000)</f>
        <v>399.22012000000001</v>
      </c>
      <c r="M63" s="63">
        <f ca="1">(_xll.DBR("CXMD:FTM_DATA_BALANCE_SHEET","Total_Customer_Supplier",M$22,$C$19,ori,"TOTAL PRODUCT","B-451210",$C$20,"Amount_BS")/1000)</f>
        <v>426.22003000000001</v>
      </c>
      <c r="N63" s="63">
        <f ca="1">(_xll.DBR("CXMD:FTM_DATA_BALANCE_SHEET","Total_Customer_Supplier",N$22,$C$19,ori,"TOTAL PRODUCT","B-451210",$C$20,"Amount_BS")/1000)</f>
        <v>490.64754000000005</v>
      </c>
      <c r="O63" s="63">
        <f ca="1">(_xll.DBR("CXMD:FTM_DATA_BALANCE_SHEET","Total_Customer_Supplier",O$22,$C$19,ori,"TOTAL PRODUCT","B-451210",$C$20,"Amount_BS")/1000)</f>
        <v>613.83571000000006</v>
      </c>
    </row>
    <row r="64" spans="2:15" ht="15" x14ac:dyDescent="0.25">
      <c r="B64" s="4" t="s">
        <v>7</v>
      </c>
      <c r="C64" s="92" t="s">
        <v>30</v>
      </c>
      <c r="D64" s="63">
        <f ca="1">(_xll.DBR("CXMD:FTM_DATA_BALANCE_SHEET","Total_Customer_Supplier",D$22,$C$19,ori,"TOTAL PRODUCT","B-451220",$C$20,"Amount_BS")/1000)</f>
        <v>342.5247500000001</v>
      </c>
      <c r="E64" s="63">
        <f ca="1">(_xll.DBR("CXMD:FTM_DATA_BALANCE_SHEET","Total_Customer_Supplier",E$22,$C$19,ori,"TOTAL PRODUCT","B-451220",$C$20,"Amount_BS")/1000)</f>
        <v>896.44439000000011</v>
      </c>
      <c r="F64" s="63">
        <f ca="1">(_xll.DBR("CXMD:FTM_DATA_BALANCE_SHEET","Total_Customer_Supplier",F$22,$C$19,ori,"TOTAL PRODUCT","B-451220",$C$20,"Amount_BS")/1000)</f>
        <v>1118.3766400000002</v>
      </c>
      <c r="G64" s="63">
        <f ca="1">(_xll.DBR("CXMD:FTM_DATA_BALANCE_SHEET","Total_Customer_Supplier",G$22,$C$19,ori,"TOTAL PRODUCT","B-451220",$C$20,"Amount_BS")/1000)</f>
        <v>1469.8873100000003</v>
      </c>
      <c r="H64" s="63">
        <f ca="1">(_xll.DBR("CXMD:FTM_DATA_BALANCE_SHEET","Total_Customer_Supplier",H$22,$C$19,ori,"TOTAL PRODUCT","B-451220",$C$20,"Amount_BS")/1000)</f>
        <v>2021.4982700000003</v>
      </c>
      <c r="I64" s="63">
        <f ca="1">(_xll.DBR("CXMD:FTM_DATA_BALANCE_SHEET","Total_Customer_Supplier",I$22,$C$19,ori,"TOTAL PRODUCT","B-451220",$C$20,"Amount_BS")/1000)</f>
        <v>2362.1849000000002</v>
      </c>
      <c r="J64" s="63">
        <f ca="1">(_xll.DBR("CXMD:FTM_DATA_BALANCE_SHEET","Total_Customer_Supplier",J$22,$C$19,ori,"TOTAL PRODUCT","B-451220",$C$20,"Amount_BS")/1000)</f>
        <v>2714.1980100000005</v>
      </c>
      <c r="K64" s="63">
        <f ca="1">(_xll.DBR("CXMD:FTM_DATA_BALANCE_SHEET","Total_Customer_Supplier",K$22,$C$19,ori,"TOTAL PRODUCT","B-451220",$C$20,"Amount_BS")/1000)</f>
        <v>3015.4746600000008</v>
      </c>
      <c r="L64" s="63">
        <f ca="1">(_xll.DBR("CXMD:FTM_DATA_BALANCE_SHEET","Total_Customer_Supplier",L$22,$C$19,ori,"TOTAL PRODUCT","B-451220",$C$20,"Amount_BS")/1000)</f>
        <v>3586.5898300000003</v>
      </c>
      <c r="M64" s="63">
        <f ca="1">(_xll.DBR("CXMD:FTM_DATA_BALANCE_SHEET","Total_Customer_Supplier",M$22,$C$19,ori,"TOTAL PRODUCT","B-451220",$C$20,"Amount_BS")/1000)</f>
        <v>4992.6854899999998</v>
      </c>
      <c r="N64" s="63">
        <f ca="1">(_xll.DBR("CXMD:FTM_DATA_BALANCE_SHEET","Total_Customer_Supplier",N$22,$C$19,ori,"TOTAL PRODUCT","B-451220",$C$20,"Amount_BS")/1000)</f>
        <v>5837.0287800000006</v>
      </c>
      <c r="O64" s="63">
        <f ca="1">(_xll.DBR("CXMD:FTM_DATA_BALANCE_SHEET","Total_Customer_Supplier",O$22,$C$19,ori,"TOTAL PRODUCT","B-451220",$C$20,"Amount_BS")/1000)</f>
        <v>7441.8655099999996</v>
      </c>
    </row>
    <row r="65" spans="2:15" ht="15" x14ac:dyDescent="0.25">
      <c r="B65" s="4" t="s">
        <v>7</v>
      </c>
      <c r="C65" s="92" t="s">
        <v>31</v>
      </c>
      <c r="D65" s="63">
        <f ca="1">(_xll.DBR("CXMD:FTM_DATA_BALANCE_SHEET","Total_Customer_Supplier",D$22,$C$19,ori,"TOTAL PRODUCT","B-451620",$C$20,"Amount_BS")/1000)</f>
        <v>3447.9384100000002</v>
      </c>
      <c r="E65" s="63">
        <f ca="1">(_xll.DBR("CXMD:FTM_DATA_BALANCE_SHEET","Total_Customer_Supplier",E$22,$C$19,ori,"TOTAL PRODUCT","B-451620",$C$20,"Amount_BS")/1000)</f>
        <v>6866.4443200000005</v>
      </c>
      <c r="F65" s="63">
        <f ca="1">(_xll.DBR("CXMD:FTM_DATA_BALANCE_SHEET","Total_Customer_Supplier",F$22,$C$19,ori,"TOTAL PRODUCT","B-451620",$C$20,"Amount_BS")/1000)</f>
        <v>10522.92582</v>
      </c>
      <c r="G65" s="63">
        <f ca="1">(_xll.DBR("CXMD:FTM_DATA_BALANCE_SHEET","Total_Customer_Supplier",G$22,$C$19,ori,"TOTAL PRODUCT","B-451620",$C$20,"Amount_BS")/1000)</f>
        <v>14169.301609999999</v>
      </c>
      <c r="H65" s="63">
        <f ca="1">(_xll.DBR("CXMD:FTM_DATA_BALANCE_SHEET","Total_Customer_Supplier",H$22,$C$19,ori,"TOTAL PRODUCT","B-451620",$C$20,"Amount_BS")/1000)</f>
        <v>17837.536310000003</v>
      </c>
      <c r="I65" s="63">
        <f ca="1">(_xll.DBR("CXMD:FTM_DATA_BALANCE_SHEET","Total_Customer_Supplier",I$22,$C$19,ori,"TOTAL PRODUCT","B-451620",$C$20,"Amount_BS")/1000)</f>
        <v>21529.98861</v>
      </c>
      <c r="J65" s="63">
        <f ca="1">(_xll.DBR("CXMD:FTM_DATA_BALANCE_SHEET","Total_Customer_Supplier",J$22,$C$19,ori,"TOTAL PRODUCT","B-451620",$C$20,"Amount_BS")/1000)</f>
        <v>25205.058000000001</v>
      </c>
      <c r="K65" s="63">
        <f ca="1">(_xll.DBR("CXMD:FTM_DATA_BALANCE_SHEET","Total_Customer_Supplier",K$22,$C$19,ori,"TOTAL PRODUCT","B-451620",$C$20,"Amount_BS")/1000)</f>
        <v>28842.358290000004</v>
      </c>
      <c r="L65" s="63">
        <f ca="1">(_xll.DBR("CXMD:FTM_DATA_BALANCE_SHEET","Total_Customer_Supplier",L$22,$C$19,ori,"TOTAL PRODUCT","B-451620",$C$20,"Amount_BS")/1000)</f>
        <v>31598.786950000002</v>
      </c>
      <c r="M65" s="63">
        <f ca="1">(_xll.DBR("CXMD:FTM_DATA_BALANCE_SHEET","Total_Customer_Supplier",M$22,$C$19,ori,"TOTAL PRODUCT","B-451620",$C$20,"Amount_BS")/1000)</f>
        <v>39265.020880000004</v>
      </c>
      <c r="N65" s="63">
        <f ca="1">(_xll.DBR("CXMD:FTM_DATA_BALANCE_SHEET","Total_Customer_Supplier",N$22,$C$19,ori,"TOTAL PRODUCT","B-451620",$C$20,"Amount_BS")/1000)</f>
        <v>47744.48113</v>
      </c>
      <c r="O65" s="63">
        <f ca="1">(_xll.DBR("CXMD:FTM_DATA_BALANCE_SHEET","Total_Customer_Supplier",O$22,$C$19,ori,"TOTAL PRODUCT","B-451620",$C$20,"Amount_BS")/1000)</f>
        <v>50299.245970000004</v>
      </c>
    </row>
    <row r="66" spans="2:15" ht="15" x14ac:dyDescent="0.25">
      <c r="B66" s="4" t="s">
        <v>7</v>
      </c>
      <c r="C66" s="92" t="s">
        <v>32</v>
      </c>
      <c r="D66" s="63">
        <f ca="1">(_xll.DBR("CXMD:FTM_DATA_BALANCE_SHEET","Total_Customer_Supplier",D$22,$C$19,ori,"TOTAL PRODUCT","B-451510",$C$20,"Amount_BS")/1000)</f>
        <v>2016.8970300000001</v>
      </c>
      <c r="E66" s="63">
        <f ca="1">(_xll.DBR("CXMD:FTM_DATA_BALANCE_SHEET","Total_Customer_Supplier",E$22,$C$19,ori,"TOTAL PRODUCT","B-451510",$C$20,"Amount_BS")/1000)</f>
        <v>2129.9689200000003</v>
      </c>
      <c r="F66" s="63">
        <f ca="1">(_xll.DBR("CXMD:FTM_DATA_BALANCE_SHEET","Total_Customer_Supplier",F$22,$C$19,ori,"TOTAL PRODUCT","B-451510",$C$20,"Amount_BS")/1000)</f>
        <v>4505.3200699999998</v>
      </c>
      <c r="G66" s="63">
        <f ca="1">(_xll.DBR("CXMD:FTM_DATA_BALANCE_SHEET","Total_Customer_Supplier",G$22,$C$19,ori,"TOTAL PRODUCT","B-451510",$C$20,"Amount_BS")/1000)</f>
        <v>6957.9803599999996</v>
      </c>
      <c r="H66" s="63">
        <f ca="1">(_xll.DBR("CXMD:FTM_DATA_BALANCE_SHEET","Total_Customer_Supplier",H$22,$C$19,ori,"TOTAL PRODUCT","B-451510",$C$20,"Amount_BS")/1000)</f>
        <v>9887.191020000002</v>
      </c>
      <c r="I66" s="63">
        <f ca="1">(_xll.DBR("CXMD:FTM_DATA_BALANCE_SHEET","Total_Customer_Supplier",I$22,$C$19,ori,"TOTAL PRODUCT","B-451510",$C$20,"Amount_BS")/1000)</f>
        <v>12528.617250000001</v>
      </c>
      <c r="J66" s="63">
        <f ca="1">(_xll.DBR("CXMD:FTM_DATA_BALANCE_SHEET","Total_Customer_Supplier",J$22,$C$19,ori,"TOTAL PRODUCT","B-451510",$C$20,"Amount_BS")/1000)</f>
        <v>14145.424260000002</v>
      </c>
      <c r="K66" s="63">
        <f ca="1">(_xll.DBR("CXMD:FTM_DATA_BALANCE_SHEET","Total_Customer_Supplier",K$22,$C$19,ori,"TOTAL PRODUCT","B-451510",$C$20,"Amount_BS")/1000)</f>
        <v>15920.179850000002</v>
      </c>
      <c r="L66" s="63">
        <f ca="1">(_xll.DBR("CXMD:FTM_DATA_BALANCE_SHEET","Total_Customer_Supplier",L$22,$C$19,ori,"TOTAL PRODUCT","B-451510",$C$20,"Amount_BS")/1000)</f>
        <v>16976.899940000003</v>
      </c>
      <c r="M66" s="63">
        <f ca="1">(_xll.DBR("CXMD:FTM_DATA_BALANCE_SHEET","Total_Customer_Supplier",M$22,$C$19,ori,"TOTAL PRODUCT","B-451510",$C$20,"Amount_BS")/1000)</f>
        <v>17980.758610000004</v>
      </c>
      <c r="N66" s="63">
        <f ca="1">(_xll.DBR("CXMD:FTM_DATA_BALANCE_SHEET","Total_Customer_Supplier",N$22,$C$19,ori,"TOTAL PRODUCT","B-451510",$C$20,"Amount_BS")/1000)</f>
        <v>19574.447170000003</v>
      </c>
      <c r="O66" s="63">
        <f ca="1">(_xll.DBR("CXMD:FTM_DATA_BALANCE_SHEET","Total_Customer_Supplier",O$22,$C$19,ori,"TOTAL PRODUCT","B-451510",$C$20,"Amount_BS")/1000)</f>
        <v>21044.604030000006</v>
      </c>
    </row>
    <row r="67" spans="2:15" ht="15" x14ac:dyDescent="0.25">
      <c r="B67" s="4" t="s">
        <v>7</v>
      </c>
      <c r="C67" s="92" t="s">
        <v>33</v>
      </c>
      <c r="D67" s="63">
        <f ca="1">(_xll.DBR("CXMD:FTM_DATA_BALANCE_SHEET","Total_Customer_Supplier",D$22,$C$19,ori,"TOTAL PRODUCT","B-451310",$C$20,"Amount_BS")/1000)</f>
        <v>-202.28409000000008</v>
      </c>
      <c r="E67" s="63">
        <f ca="1">(_xll.DBR("CXMD:FTM_DATA_BALANCE_SHEET","Total_Customer_Supplier",E$22,$C$19,ori,"TOTAL PRODUCT","B-451310",$C$20,"Amount_BS")/1000)</f>
        <v>81.119909999999919</v>
      </c>
      <c r="F67" s="63">
        <f ca="1">(_xll.DBR("CXMD:FTM_DATA_BALANCE_SHEET","Total_Customer_Supplier",F$22,$C$19,ori,"TOTAL PRODUCT","B-451310",$C$20,"Amount_BS")/1000)</f>
        <v>513.26005999999984</v>
      </c>
      <c r="G67" s="63">
        <f ca="1">(_xll.DBR("CXMD:FTM_DATA_BALANCE_SHEET","Total_Customer_Supplier",G$22,$C$19,ori,"TOTAL PRODUCT","B-451310",$C$20,"Amount_BS")/1000)</f>
        <v>824.21814000000006</v>
      </c>
      <c r="H67" s="63">
        <f ca="1">(_xll.DBR("CXMD:FTM_DATA_BALANCE_SHEET","Total_Customer_Supplier",H$22,$C$19,ori,"TOTAL PRODUCT","B-451310",$C$20,"Amount_BS")/1000)</f>
        <v>1139.9395300000001</v>
      </c>
      <c r="I67" s="63">
        <f ca="1">(_xll.DBR("CXMD:FTM_DATA_BALANCE_SHEET","Total_Customer_Supplier",I$22,$C$19,ori,"TOTAL PRODUCT","B-451310",$C$20,"Amount_BS")/1000)</f>
        <v>1630.9441999999999</v>
      </c>
      <c r="J67" s="63">
        <f ca="1">(_xll.DBR("CXMD:FTM_DATA_BALANCE_SHEET","Total_Customer_Supplier",J$22,$C$19,ori,"TOTAL PRODUCT","B-451310",$C$20,"Amount_BS")/1000)</f>
        <v>1950.99827</v>
      </c>
      <c r="K67" s="63">
        <f ca="1">(_xll.DBR("CXMD:FTM_DATA_BALANCE_SHEET","Total_Customer_Supplier",K$22,$C$19,ori,"TOTAL PRODUCT","B-451310",$C$20,"Amount_BS")/1000)</f>
        <v>2401.0075600000005</v>
      </c>
      <c r="L67" s="63">
        <f ca="1">(_xll.DBR("CXMD:FTM_DATA_BALANCE_SHEET","Total_Customer_Supplier",L$22,$C$19,ori,"TOTAL PRODUCT","B-451310",$C$20,"Amount_BS")/1000)</f>
        <v>2771.5955200000003</v>
      </c>
      <c r="M67" s="63">
        <f ca="1">(_xll.DBR("CXMD:FTM_DATA_BALANCE_SHEET","Total_Customer_Supplier",M$22,$C$19,ori,"TOTAL PRODUCT","B-451310",$C$20,"Amount_BS")/1000)</f>
        <v>3101.3606900000004</v>
      </c>
      <c r="N67" s="63">
        <f ca="1">(_xll.DBR("CXMD:FTM_DATA_BALANCE_SHEET","Total_Customer_Supplier",N$22,$C$19,ori,"TOTAL PRODUCT","B-451310",$C$20,"Amount_BS")/1000)</f>
        <v>3402.4272900000005</v>
      </c>
      <c r="O67" s="63">
        <f ca="1">(_xll.DBR("CXMD:FTM_DATA_BALANCE_SHEET","Total_Customer_Supplier",O$22,$C$19,ori,"TOTAL PRODUCT","B-451310",$C$20,"Amount_BS")/1000)</f>
        <v>3465.2825200000007</v>
      </c>
    </row>
    <row r="68" spans="2:15" ht="15" x14ac:dyDescent="0.25">
      <c r="B68" s="4" t="s">
        <v>7</v>
      </c>
      <c r="C68" s="29" t="s">
        <v>37</v>
      </c>
      <c r="D68" s="63">
        <f ca="1">(_xll.DBR("CXMD:FTM_DATA_BALANCE_SHEET","Total_Customer_Supplier",D$22,$C$19,ori,"TOTAL PRODUCT","B-999999",$C$20,"Amount_BS")/1000)</f>
        <v>-1.0942358130705543E-13</v>
      </c>
      <c r="E68" s="63">
        <f ca="1">(_xll.DBR("CXMD:FTM_DATA_BALANCE_SHEET","Total_Customer_Supplier",E$22,$C$19,ori,"TOTAL PRODUCT","B-999999",$C$20,"Amount_BS")/1000)</f>
        <v>1.3307044355315157E-13</v>
      </c>
      <c r="F68" s="63">
        <f ca="1">(_xll.DBR("CXMD:FTM_DATA_BALANCE_SHEET","Total_Customer_Supplier",F$22,$C$19,ori,"TOTAL PRODUCT","B-999999",$C$20,"Amount_BS")/1000)</f>
        <v>-6.7171157525081069E-13</v>
      </c>
      <c r="G68" s="63">
        <f ca="1">(_xll.DBR("CXMD:FTM_DATA_BALANCE_SHEET","Total_Customer_Supplier",G$22,$C$19,ori,"TOTAL PRODUCT","B-999999",$C$20,"Amount_BS")/1000)</f>
        <v>-1.1755432183235826E-12</v>
      </c>
      <c r="H68" s="63">
        <f ca="1">(_xll.DBR("CXMD:FTM_DATA_BALANCE_SHEET","Total_Customer_Supplier",H$22,$C$19,ori,"TOTAL PRODUCT","B-999999",$C$20,"Amount_BS")/1000)</f>
        <v>-1.1973142477472721E-12</v>
      </c>
      <c r="I68" s="63">
        <f ca="1">(_xll.DBR("CXMD:FTM_DATA_BALANCE_SHEET","Total_Customer_Supplier",I$22,$C$19,ori,"TOTAL PRODUCT","B-999999",$C$20,"Amount_BS")/1000)</f>
        <v>-2.0566162106661067E-12</v>
      </c>
      <c r="J68" s="63">
        <f ca="1">(_xll.DBR("CXMD:FTM_DATA_BALANCE_SHEET","Total_Customer_Supplier",J$22,$C$19,ori,"TOTAL PRODUCT","B-999999",$C$20,"Amount_BS")/1000)</f>
        <v>-2.2243042963054905E-12</v>
      </c>
      <c r="K68" s="63">
        <f ca="1">(_xll.DBR("CXMD:FTM_DATA_BALANCE_SHEET","Total_Customer_Supplier",K$22,$C$19,ori,"TOTAL PRODUCT","B-999999",$C$20,"Amount_BS")/1000)</f>
        <v>-2.1879245082345733E-12</v>
      </c>
      <c r="L68" s="63">
        <f ca="1">(_xll.DBR("CXMD:FTM_DATA_BALANCE_SHEET","Total_Customer_Supplier",L$22,$C$19,ori,"TOTAL PRODUCT","B-999999",$C$20,"Amount_BS")/1000)</f>
        <v>1.736545129915612E-12</v>
      </c>
      <c r="M68" s="63">
        <f ca="1">(_xll.DBR("CXMD:FTM_DATA_BALANCE_SHEET","Total_Customer_Supplier",M$22,$C$19,ori,"TOTAL PRODUCT","B-999999",$C$20,"Amount_BS")/1000)</f>
        <v>-5.4367177426684066E-13</v>
      </c>
      <c r="N68" s="63">
        <f ca="1">(_xll.DBR("CXMD:FTM_DATA_BALANCE_SHEET","Total_Customer_Supplier",N$22,$C$19,ori,"TOTAL PRODUCT","B-999999",$C$20,"Amount_BS")/1000)</f>
        <v>1.9462973455119934E-12</v>
      </c>
      <c r="O68" s="63">
        <f ca="1">(_xll.DBR("CXMD:FTM_DATA_BALANCE_SHEET","Total_Customer_Supplier",O$22,$C$19,ori,"TOTAL PRODUCT","B-999999",$C$20,"Amount_BS")/1000)</f>
        <v>5.5776183671696346E-12</v>
      </c>
    </row>
    <row r="69" spans="2:15" ht="15" x14ac:dyDescent="0.25">
      <c r="B69" s="3" t="s">
        <v>8</v>
      </c>
      <c r="C69" s="26" t="s">
        <v>11</v>
      </c>
      <c r="D69" s="59">
        <f ca="1">_xll.DBR("CXMD:FTM_DATA_BALANCE_SHEET","Total_Customer_Supplier",D$22,$C$19,ori,"TOTAL PRODUCT","B-453010",$C$20,"Amount_BS")/1000</f>
        <v>-14389.18346</v>
      </c>
      <c r="E69" s="59">
        <f ca="1">_xll.DBR("CXMD:FTM_DATA_BALANCE_SHEET","Total_Customer_Supplier",E$22,$C$19,ori,"TOTAL PRODUCT","B-453010",$C$20,"Amount_BS")/1000</f>
        <v>-10142.121300000001</v>
      </c>
      <c r="F69" s="59">
        <f ca="1">_xll.DBR("CXMD:FTM_DATA_BALANCE_SHEET","Total_Customer_Supplier",F$22,$C$19,ori,"TOTAL PRODUCT","B-453010",$C$20,"Amount_BS")/1000</f>
        <v>-7633.4781800000001</v>
      </c>
      <c r="G69" s="59">
        <f ca="1">_xll.DBR("CXMD:FTM_DATA_BALANCE_SHEET","Total_Customer_Supplier",G$22,$C$19,ori,"TOTAL PRODUCT","B-453010",$C$20,"Amount_BS")/1000</f>
        <v>-7034.1853999999994</v>
      </c>
      <c r="H69" s="59">
        <f ca="1">_xll.DBR("CXMD:FTM_DATA_BALANCE_SHEET","Total_Customer_Supplier",H$22,$C$19,ori,"TOTAL PRODUCT","B-453010",$C$20,"Amount_BS")/1000</f>
        <v>-7500.5074200000008</v>
      </c>
      <c r="I69" s="59">
        <f ca="1">_xll.DBR("CXMD:FTM_DATA_BALANCE_SHEET","Total_Customer_Supplier",I$22,$C$19,ori,"TOTAL PRODUCT","B-453010",$C$20,"Amount_BS")/1000</f>
        <v>-7403.8316699999996</v>
      </c>
      <c r="J69" s="59">
        <f ca="1">_xll.DBR("CXMD:FTM_DATA_BALANCE_SHEET","Total_Customer_Supplier",J$22,$C$19,ori,"TOTAL PRODUCT","B-453010",$C$20,"Amount_BS")/1000</f>
        <v>-5362.5918099999999</v>
      </c>
      <c r="K69" s="59">
        <f ca="1">_xll.DBR("CXMD:FTM_DATA_BALANCE_SHEET","Total_Customer_Supplier",K$22,$C$19,ori,"TOTAL PRODUCT","B-453010",$C$20,"Amount_BS")/1000</f>
        <v>-6890.0214699999997</v>
      </c>
      <c r="L69" s="59">
        <f ca="1">_xll.DBR("CXMD:FTM_DATA_BALANCE_SHEET","Total_Customer_Supplier",L$22,$C$19,ori,"TOTAL PRODUCT","B-453010",$C$20,"Amount_BS")/1000</f>
        <v>-5774.3096000000032</v>
      </c>
      <c r="M69" s="59">
        <f ca="1">_xll.DBR("CXMD:FTM_DATA_BALANCE_SHEET","Total_Customer_Supplier",M$22,$C$19,ori,"TOTAL PRODUCT","B-453010",$C$20,"Amount_BS")/1000</f>
        <v>-6104.791280000004</v>
      </c>
      <c r="N69" s="59">
        <f ca="1">_xll.DBR("CXMD:FTM_DATA_BALANCE_SHEET","Total_Customer_Supplier",N$22,$C$19,ori,"TOTAL PRODUCT","B-453010",$C$20,"Amount_BS")/1000</f>
        <v>-6311.1360800000057</v>
      </c>
      <c r="O69" s="59">
        <f ca="1">_xll.DBR("CXMD:FTM_DATA_BALANCE_SHEET","Total_Customer_Supplier",O$22,$C$19,ori,"TOTAL PRODUCT","B-453010",$C$20,"Amount_BS")/1000</f>
        <v>-3499.1707000000047</v>
      </c>
    </row>
    <row r="70" spans="2:15" ht="15" x14ac:dyDescent="0.25">
      <c r="B70" s="4" t="s">
        <v>8</v>
      </c>
      <c r="C70" s="28" t="s">
        <v>22</v>
      </c>
      <c r="D70" s="61">
        <f ca="1">D71</f>
        <v>-14389.18346</v>
      </c>
      <c r="E70" s="61">
        <f t="shared" ref="E70:O70" ca="1" si="11">E71</f>
        <v>-10142.121300000001</v>
      </c>
      <c r="F70" s="61">
        <f t="shared" ca="1" si="11"/>
        <v>-7633.4781800000001</v>
      </c>
      <c r="G70" s="61">
        <f t="shared" ca="1" si="11"/>
        <v>-7034.1853999999994</v>
      </c>
      <c r="H70" s="61">
        <f t="shared" ca="1" si="11"/>
        <v>-7500.5074200000008</v>
      </c>
      <c r="I70" s="61">
        <f t="shared" ca="1" si="11"/>
        <v>-7403.8316699999996</v>
      </c>
      <c r="J70" s="61">
        <f t="shared" ca="1" si="11"/>
        <v>-5362.5918099999999</v>
      </c>
      <c r="K70" s="61">
        <f t="shared" ca="1" si="11"/>
        <v>-6890.0214699999997</v>
      </c>
      <c r="L70" s="61">
        <f t="shared" ca="1" si="11"/>
        <v>-5774.3096000000032</v>
      </c>
      <c r="M70" s="61">
        <f t="shared" ca="1" si="11"/>
        <v>-6104.791280000004</v>
      </c>
      <c r="N70" s="61">
        <f t="shared" ca="1" si="11"/>
        <v>-6311.1360800000057</v>
      </c>
      <c r="O70" s="61">
        <f t="shared" ca="1" si="11"/>
        <v>-3499.1707000000047</v>
      </c>
    </row>
    <row r="71" spans="2:15" ht="15" x14ac:dyDescent="0.25">
      <c r="B71" s="4" t="s">
        <v>8</v>
      </c>
      <c r="C71" s="29" t="s">
        <v>36</v>
      </c>
      <c r="D71" s="63">
        <f ca="1">(_xll.DBR("CXMD:FTM_DATA_BALANCE_SHEET","Total_Customer_Supplier",D$22,$C$19,ori,"TOTAL PRODUCT","B-453010",$C$20,"Amount_BS")/1000)</f>
        <v>-14389.18346</v>
      </c>
      <c r="E71" s="63">
        <f ca="1">(_xll.DBR("CXMD:FTM_DATA_BALANCE_SHEET","Total_Customer_Supplier",E$22,$C$19,ori,"TOTAL PRODUCT","B-453010",$C$20,"Amount_BS")/1000)</f>
        <v>-10142.121300000001</v>
      </c>
      <c r="F71" s="63">
        <f ca="1">(_xll.DBR("CXMD:FTM_DATA_BALANCE_SHEET","Total_Customer_Supplier",F$22,$C$19,ori,"TOTAL PRODUCT","B-453010",$C$20,"Amount_BS")/1000)</f>
        <v>-7633.4781800000001</v>
      </c>
      <c r="G71" s="63">
        <f ca="1">(_xll.DBR("CXMD:FTM_DATA_BALANCE_SHEET","Total_Customer_Supplier",G$22,$C$19,ori,"TOTAL PRODUCT","B-453010",$C$20,"Amount_BS")/1000)</f>
        <v>-7034.1853999999994</v>
      </c>
      <c r="H71" s="63">
        <f ca="1">(_xll.DBR("CXMD:FTM_DATA_BALANCE_SHEET","Total_Customer_Supplier",H$22,$C$19,ori,"TOTAL PRODUCT","B-453010",$C$20,"Amount_BS")/1000)</f>
        <v>-7500.5074200000008</v>
      </c>
      <c r="I71" s="63">
        <f ca="1">(_xll.DBR("CXMD:FTM_DATA_BALANCE_SHEET","Total_Customer_Supplier",I$22,$C$19,ori,"TOTAL PRODUCT","B-453010",$C$20,"Amount_BS")/1000)</f>
        <v>-7403.8316699999996</v>
      </c>
      <c r="J71" s="63">
        <f ca="1">(_xll.DBR("CXMD:FTM_DATA_BALANCE_SHEET","Total_Customer_Supplier",J$22,$C$19,ori,"TOTAL PRODUCT","B-453010",$C$20,"Amount_BS")/1000)</f>
        <v>-5362.5918099999999</v>
      </c>
      <c r="K71" s="63">
        <f ca="1">(_xll.DBR("CXMD:FTM_DATA_BALANCE_SHEET","Total_Customer_Supplier",K$22,$C$19,ori,"TOTAL PRODUCT","B-453010",$C$20,"Amount_BS")/1000)</f>
        <v>-6890.0214699999997</v>
      </c>
      <c r="L71" s="63">
        <f ca="1">(_xll.DBR("CXMD:FTM_DATA_BALANCE_SHEET","Total_Customer_Supplier",L$22,$C$19,ori,"TOTAL PRODUCT","B-453010",$C$20,"Amount_BS")/1000)</f>
        <v>-5774.3096000000032</v>
      </c>
      <c r="M71" s="63">
        <f ca="1">(_xll.DBR("CXMD:FTM_DATA_BALANCE_SHEET","Total_Customer_Supplier",M$22,$C$19,ori,"TOTAL PRODUCT","B-453010",$C$20,"Amount_BS")/1000)</f>
        <v>-6104.791280000004</v>
      </c>
      <c r="N71" s="63">
        <f ca="1">(_xll.DBR("CXMD:FTM_DATA_BALANCE_SHEET","Total_Customer_Supplier",N$22,$C$19,ori,"TOTAL PRODUCT","B-453010",$C$20,"Amount_BS")/1000)</f>
        <v>-6311.1360800000057</v>
      </c>
      <c r="O71" s="63">
        <f ca="1">(_xll.DBR("CXMD:FTM_DATA_BALANCE_SHEET","Total_Customer_Supplier",O$22,$C$19,ori,"TOTAL PRODUCT","B-453010",$C$20,"Amount_BS")/1000)</f>
        <v>-3499.1707000000047</v>
      </c>
    </row>
    <row r="72" spans="2:15" ht="15" x14ac:dyDescent="0.25">
      <c r="B72" s="3" t="s">
        <v>9</v>
      </c>
      <c r="C72" s="26" t="s">
        <v>11</v>
      </c>
      <c r="D72" s="59">
        <f ca="1">(_xll.DBR("CXMD:FTM_DATA_BALANCE_SHEET","Total_Customer_Supplier",D$22,$C$19,ori,"TOTAL PRODUCT","B-470010",$C$20,"Amount_BS")/1000)+(_xll.DBR("CXMD:FTM_DATA_BALANCE_SHEET","Total_Customer_Supplier",D$22,$C$19,ori,"TOTAL PRODUCT","B-475010",$C$20,"Amount_BS")/1000)</f>
        <v>3386.4850200000005</v>
      </c>
      <c r="E72" s="59">
        <f ca="1">(_xll.DBR("CXMD:FTM_DATA_BALANCE_SHEET","Total_Customer_Supplier",E$22,$C$19,ori,"TOTAL PRODUCT","B-470010",$C$20,"Amount_BS")/1000)+(_xll.DBR("CXMD:FTM_DATA_BALANCE_SHEET","Total_Customer_Supplier",E$22,$C$19,ori,"TOTAL PRODUCT","B-475010",$C$20,"Amount_BS")/1000)</f>
        <v>6832.8670700000002</v>
      </c>
      <c r="F72" s="59">
        <f ca="1">(_xll.DBR("CXMD:FTM_DATA_BALANCE_SHEET","Total_Customer_Supplier",F$22,$C$19,ori,"TOTAL PRODUCT","B-470010",$C$20,"Amount_BS")/1000)+(_xll.DBR("CXMD:FTM_DATA_BALANCE_SHEET","Total_Customer_Supplier",F$22,$C$19,ori,"TOTAL PRODUCT","B-475010",$C$20,"Amount_BS")/1000)</f>
        <v>10081.45001</v>
      </c>
      <c r="G72" s="59">
        <f ca="1">(_xll.DBR("CXMD:FTM_DATA_BALANCE_SHEET","Total_Customer_Supplier",G$22,$C$19,ori,"TOTAL PRODUCT","B-470010",$C$20,"Amount_BS")/1000)+(_xll.DBR("CXMD:FTM_DATA_BALANCE_SHEET","Total_Customer_Supplier",G$22,$C$19,ori,"TOTAL PRODUCT","B-475010",$C$20,"Amount_BS")/1000)</f>
        <v>13396.614910000002</v>
      </c>
      <c r="H72" s="59">
        <f ca="1">(_xll.DBR("CXMD:FTM_DATA_BALANCE_SHEET","Total_Customer_Supplier",H$22,$C$19,ori,"TOTAL PRODUCT","B-470010",$C$20,"Amount_BS")/1000)+(_xll.DBR("CXMD:FTM_DATA_BALANCE_SHEET","Total_Customer_Supplier",H$22,$C$19,ori,"TOTAL PRODUCT","B-475010",$C$20,"Amount_BS")/1000)</f>
        <v>16752.6911</v>
      </c>
      <c r="I72" s="59">
        <f ca="1">(_xll.DBR("CXMD:FTM_DATA_BALANCE_SHEET","Total_Customer_Supplier",I$22,$C$19,ori,"TOTAL PRODUCT","B-470010",$C$20,"Amount_BS")/1000)+(_xll.DBR("CXMD:FTM_DATA_BALANCE_SHEET","Total_Customer_Supplier",I$22,$C$19,ori,"TOTAL PRODUCT","B-475010",$C$20,"Amount_BS")/1000)</f>
        <v>20142.831400000003</v>
      </c>
      <c r="J72" s="59">
        <f ca="1">(_xll.DBR("CXMD:FTM_DATA_BALANCE_SHEET","Total_Customer_Supplier",J$22,$C$19,ori,"TOTAL PRODUCT","B-470010",$C$20,"Amount_BS")/1000)+(_xll.DBR("CXMD:FTM_DATA_BALANCE_SHEET","Total_Customer_Supplier",J$22,$C$19,ori,"TOTAL PRODUCT","B-475010",$C$20,"Amount_BS")/1000)</f>
        <v>23528.673180000002</v>
      </c>
      <c r="K72" s="59">
        <f ca="1">(_xll.DBR("CXMD:FTM_DATA_BALANCE_SHEET","Total_Customer_Supplier",K$22,$C$19,ori,"TOTAL PRODUCT","B-470010",$C$20,"Amount_BS")/1000)+(_xll.DBR("CXMD:FTM_DATA_BALANCE_SHEET","Total_Customer_Supplier",K$22,$C$19,ori,"TOTAL PRODUCT","B-475010",$C$20,"Amount_BS")/1000)</f>
        <v>26961.495840000003</v>
      </c>
      <c r="L72" s="59">
        <f ca="1">(_xll.DBR("CXMD:FTM_DATA_BALANCE_SHEET","Total_Customer_Supplier",L$22,$C$19,ori,"TOTAL PRODUCT","B-470010",$C$20,"Amount_BS")/1000)+(_xll.DBR("CXMD:FTM_DATA_BALANCE_SHEET","Total_Customer_Supplier",L$22,$C$19,ori,"TOTAL PRODUCT","B-475010",$C$20,"Amount_BS")/1000)</f>
        <v>30107.083090000004</v>
      </c>
      <c r="M72" s="59">
        <f ca="1">(_xll.DBR("CXMD:FTM_DATA_BALANCE_SHEET","Total_Customer_Supplier",M$22,$C$19,ori,"TOTAL PRODUCT","B-470010",$C$20,"Amount_BS")/1000)+(_xll.DBR("CXMD:FTM_DATA_BALANCE_SHEET","Total_Customer_Supplier",M$22,$C$19,ori,"TOTAL PRODUCT","B-475010",$C$20,"Amount_BS")/1000)</f>
        <v>33248.064730000006</v>
      </c>
      <c r="N72" s="59">
        <f ca="1">(_xll.DBR("CXMD:FTM_DATA_BALANCE_SHEET","Total_Customer_Supplier",N$22,$C$19,ori,"TOTAL PRODUCT","B-470010",$C$20,"Amount_BS")/1000)+(_xll.DBR("CXMD:FTM_DATA_BALANCE_SHEET","Total_Customer_Supplier",N$22,$C$19,ori,"TOTAL PRODUCT","B-475010",$C$20,"Amount_BS")/1000)</f>
        <v>36402.168570000009</v>
      </c>
      <c r="O72" s="59">
        <f ca="1">(_xll.DBR("CXMD:FTM_DATA_BALANCE_SHEET","Total_Customer_Supplier",O$22,$C$19,ori,"TOTAL PRODUCT","B-470010",$C$20,"Amount_BS")/1000)+(_xll.DBR("CXMD:FTM_DATA_BALANCE_SHEET","Total_Customer_Supplier",O$22,$C$19,ori,"TOTAL PRODUCT","B-475010",$C$20,"Amount_BS")/1000)</f>
        <v>39702.351720000013</v>
      </c>
    </row>
    <row r="73" spans="2:15" ht="15.75" thickBot="1" x14ac:dyDescent="0.3">
      <c r="B73" s="4" t="s">
        <v>9</v>
      </c>
      <c r="C73" s="27" t="s">
        <v>39</v>
      </c>
      <c r="D73" s="61">
        <f ca="1">(_xll.DBR("CXMD:FTM_DATA_BALANCE_SHEET","Total_Customer_Supplier",D$22,$C$19,ori,"TOTAL PRODUCT","R-981000",$C$20,"Amount_BS")/1000)</f>
        <v>3386.4850200000005</v>
      </c>
      <c r="E73" s="61">
        <f ca="1">(_xll.DBR("CXMD:FTM_DATA_BALANCE_SHEET","Total_Customer_Supplier",E$22,$C$19,ori,"TOTAL PRODUCT","R-981000",$C$20,"Amount_BS")/1000)</f>
        <v>6832.8670700000002</v>
      </c>
      <c r="F73" s="61">
        <f ca="1">(_xll.DBR("CXMD:FTM_DATA_BALANCE_SHEET","Total_Customer_Supplier",F$22,$C$19,ori,"TOTAL PRODUCT","R-981000",$C$20,"Amount_BS")/1000)</f>
        <v>10081.450010000002</v>
      </c>
      <c r="G73" s="61">
        <f ca="1">(_xll.DBR("CXMD:FTM_DATA_BALANCE_SHEET","Total_Customer_Supplier",G$22,$C$19,ori,"TOTAL PRODUCT","R-981000",$C$20,"Amount_BS")/1000)</f>
        <v>13396.61491</v>
      </c>
      <c r="H73" s="61">
        <f ca="1">(_xll.DBR("CXMD:FTM_DATA_BALANCE_SHEET","Total_Customer_Supplier",H$22,$C$19,ori,"TOTAL PRODUCT","R-981000",$C$20,"Amount_BS")/1000)</f>
        <v>16752.6911</v>
      </c>
      <c r="I73" s="61">
        <f ca="1">(_xll.DBR("CXMD:FTM_DATA_BALANCE_SHEET","Total_Customer_Supplier",I$22,$C$19,ori,"TOTAL PRODUCT","R-981000",$C$20,"Amount_BS")/1000)</f>
        <v>20142.831400000003</v>
      </c>
      <c r="J73" s="61">
        <f ca="1">(_xll.DBR("CXMD:FTM_DATA_BALANCE_SHEET","Total_Customer_Supplier",J$22,$C$19,ori,"TOTAL PRODUCT","R-981000",$C$20,"Amount_BS")/1000)</f>
        <v>23528.673179999998</v>
      </c>
      <c r="K73" s="61">
        <f ca="1">(_xll.DBR("CXMD:FTM_DATA_BALANCE_SHEET","Total_Customer_Supplier",K$22,$C$19,ori,"TOTAL PRODUCT","R-981000",$C$20,"Amount_BS")/1000)</f>
        <v>26961.49584</v>
      </c>
      <c r="L73" s="61">
        <f ca="1">(_xll.DBR("CXMD:FTM_DATA_BALANCE_SHEET","Total_Customer_Supplier",L$22,$C$19,ori,"TOTAL PRODUCT","R-981000",$C$20,"Amount_BS")/1000)</f>
        <v>30107.083090000004</v>
      </c>
      <c r="M73" s="61">
        <f ca="1">(_xll.DBR("CXMD:FTM_DATA_BALANCE_SHEET","Total_Customer_Supplier",M$22,$C$19,ori,"TOTAL PRODUCT","R-981000",$C$20,"Amount_BS")/1000)</f>
        <v>33248.064730000006</v>
      </c>
      <c r="N73" s="61">
        <f ca="1">(_xll.DBR("CXMD:FTM_DATA_BALANCE_SHEET","Total_Customer_Supplier",N$22,$C$19,ori,"TOTAL PRODUCT","R-981000",$C$20,"Amount_BS")/1000)</f>
        <v>36402.168570000009</v>
      </c>
      <c r="O73" s="61">
        <f ca="1">(_xll.DBR("CXMD:FTM_DATA_BALANCE_SHEET","Total_Customer_Supplier",O$22,$C$19,ori,"TOTAL PRODUCT","R-981000",$C$20,"Amount_BS")/1000)</f>
        <v>39702.351720000006</v>
      </c>
    </row>
    <row r="74" spans="2:15" ht="15.75" x14ac:dyDescent="0.25">
      <c r="B74" s="50" t="s">
        <v>44</v>
      </c>
      <c r="C74" s="51"/>
      <c r="D74" s="80">
        <f ca="1">D29-D34-D46-D54-D69-D72-D30</f>
        <v>86917.47015999991</v>
      </c>
      <c r="E74" s="80">
        <f t="shared" ref="E74:O74" ca="1" si="12">E29-E34-E46-E54-E69-E72-E30</f>
        <v>157090.51459999999</v>
      </c>
      <c r="F74" s="80">
        <f t="shared" ca="1" si="12"/>
        <v>199288.57441999993</v>
      </c>
      <c r="G74" s="80">
        <f t="shared" ca="1" si="12"/>
        <v>236023.19846999951</v>
      </c>
      <c r="H74" s="80">
        <f t="shared" ca="1" si="12"/>
        <v>304421.54253999988</v>
      </c>
      <c r="I74" s="80">
        <f t="shared" ca="1" si="12"/>
        <v>366728.60631999956</v>
      </c>
      <c r="J74" s="80">
        <f t="shared" ca="1" si="12"/>
        <v>437408.05113000027</v>
      </c>
      <c r="K74" s="80">
        <f t="shared" ca="1" si="12"/>
        <v>544213.46303999959</v>
      </c>
      <c r="L74" s="80">
        <f t="shared" ca="1" si="12"/>
        <v>623710.43076000048</v>
      </c>
      <c r="M74" s="80">
        <f t="shared" ca="1" si="12"/>
        <v>657823.46168999933</v>
      </c>
      <c r="N74" s="80">
        <f t="shared" ca="1" si="12"/>
        <v>677517.85344000021</v>
      </c>
      <c r="O74" s="80">
        <f t="shared" ca="1" si="12"/>
        <v>693916.26131000079</v>
      </c>
    </row>
    <row r="75" spans="2:15" ht="15.75" thickBot="1" x14ac:dyDescent="0.3">
      <c r="B75" s="52"/>
      <c r="C75" s="53" t="s">
        <v>45</v>
      </c>
      <c r="D75" s="54">
        <f ca="1">IF(D25&lt;&gt;0,D74/D25,0)</f>
        <v>0.24154242477506324</v>
      </c>
      <c r="E75" s="54">
        <f t="shared" ref="E75:O75" ca="1" si="13">IF(E25&lt;&gt;0,E74/E25,0)</f>
        <v>0.22435240544369292</v>
      </c>
      <c r="F75" s="54">
        <f t="shared" ca="1" si="13"/>
        <v>0.18906730403990396</v>
      </c>
      <c r="G75" s="54">
        <f t="shared" ca="1" si="13"/>
        <v>0.17136665162194287</v>
      </c>
      <c r="H75" s="54">
        <f t="shared" ca="1" si="13"/>
        <v>0.17528394304621195</v>
      </c>
      <c r="I75" s="54">
        <f t="shared" ca="1" si="13"/>
        <v>0.1732608160494287</v>
      </c>
      <c r="J75" s="54">
        <f t="shared" ca="1" si="13"/>
        <v>0.175192938402707</v>
      </c>
      <c r="K75" s="54">
        <f t="shared" ca="1" si="13"/>
        <v>0.19031133501606967</v>
      </c>
      <c r="L75" s="54">
        <f t="shared" ca="1" si="13"/>
        <v>0.19577655127216742</v>
      </c>
      <c r="M75" s="54">
        <f t="shared" ca="1" si="13"/>
        <v>0.18780923663151083</v>
      </c>
      <c r="N75" s="54">
        <f t="shared" ca="1" si="13"/>
        <v>0.17733174523824413</v>
      </c>
      <c r="O75" s="54">
        <f t="shared" ca="1" si="13"/>
        <v>0.17038399519983066</v>
      </c>
    </row>
    <row r="76" spans="2:15" ht="15" x14ac:dyDescent="0.25">
      <c r="B76" s="3" t="s">
        <v>10</v>
      </c>
      <c r="C76" s="26" t="s">
        <v>11</v>
      </c>
      <c r="D76" s="59">
        <f ca="1">(_xll.DBR("CXMD:FTM_DATA_BALANCE_SHEET","Total_Customer_Supplier",D$22,$C$19,ori,"TOTAL PRODUCT","B-560020",$C$20,"Amount_BS")/1000)+(_xll.DBR("CXMD:FTM_DATA_BALANCE_SHEET","Total_Customer_Supplier",D$22,$C$19,ori,"TOTAL PRODUCT","B-561010",$C$20,"Amount_BS")/1000)</f>
        <v>462.46413000000007</v>
      </c>
      <c r="E76" s="59">
        <f ca="1">(_xll.DBR("CXMD:FTM_DATA_BALANCE_SHEET","Total_Customer_Supplier",E$22,$C$19,ori,"TOTAL PRODUCT","B-560020",$C$20,"Amount_BS")/1000)+(_xll.DBR("CXMD:FTM_DATA_BALANCE_SHEET","Total_Customer_Supplier",E$22,$C$19,ori,"TOTAL PRODUCT","B-561010",$C$20,"Amount_BS")/1000)</f>
        <v>924.92826000000014</v>
      </c>
      <c r="F76" s="59">
        <f ca="1">(_xll.DBR("CXMD:FTM_DATA_BALANCE_SHEET","Total_Customer_Supplier",F$22,$C$19,ori,"TOTAL PRODUCT","B-560020",$C$20,"Amount_BS")/1000)+(_xll.DBR("CXMD:FTM_DATA_BALANCE_SHEET","Total_Customer_Supplier",F$22,$C$19,ori,"TOTAL PRODUCT","B-561010",$C$20,"Amount_BS")/1000)</f>
        <v>1387.39239</v>
      </c>
      <c r="G76" s="59">
        <f ca="1">(_xll.DBR("CXMD:FTM_DATA_BALANCE_SHEET","Total_Customer_Supplier",G$22,$C$19,ori,"TOTAL PRODUCT","B-560020",$C$20,"Amount_BS")/1000)+(_xll.DBR("CXMD:FTM_DATA_BALANCE_SHEET","Total_Customer_Supplier",G$22,$C$19,ori,"TOTAL PRODUCT","B-561010",$C$20,"Amount_BS")/1000)</f>
        <v>2186.81952</v>
      </c>
      <c r="H76" s="59">
        <f ca="1">(_xll.DBR("CXMD:FTM_DATA_BALANCE_SHEET","Total_Customer_Supplier",H$22,$C$19,ori,"TOTAL PRODUCT","B-560020",$C$20,"Amount_BS")/1000)+(_xll.DBR("CXMD:FTM_DATA_BALANCE_SHEET","Total_Customer_Supplier",H$22,$C$19,ori,"TOTAL PRODUCT","B-561010",$C$20,"Amount_BS")/1000)</f>
        <v>2649.2836499999999</v>
      </c>
      <c r="I76" s="59">
        <f ca="1">(_xll.DBR("CXMD:FTM_DATA_BALANCE_SHEET","Total_Customer_Supplier",I$22,$C$19,ori,"TOTAL PRODUCT","B-560020",$C$20,"Amount_BS")/1000)+(_xll.DBR("CXMD:FTM_DATA_BALANCE_SHEET","Total_Customer_Supplier",I$22,$C$19,ori,"TOTAL PRODUCT","B-561010",$C$20,"Amount_BS")/1000)</f>
        <v>3111.7477799999997</v>
      </c>
      <c r="J76" s="59">
        <f ca="1">(_xll.DBR("CXMD:FTM_DATA_BALANCE_SHEET","Total_Customer_Supplier",J$22,$C$19,ori,"TOTAL PRODUCT","B-560020",$C$20,"Amount_BS")/1000)+(_xll.DBR("CXMD:FTM_DATA_BALANCE_SHEET","Total_Customer_Supplier",J$22,$C$19,ori,"TOTAL PRODUCT","B-561010",$C$20,"Amount_BS")/1000)</f>
        <v>3574.21191</v>
      </c>
      <c r="K76" s="59">
        <f ca="1">(_xll.DBR("CXMD:FTM_DATA_BALANCE_SHEET","Total_Customer_Supplier",K$22,$C$19,ori,"TOTAL PRODUCT","B-560020",$C$20,"Amount_BS")/1000)+(_xll.DBR("CXMD:FTM_DATA_BALANCE_SHEET","Total_Customer_Supplier",K$22,$C$19,ori,"TOTAL PRODUCT","B-561010",$C$20,"Amount_BS")/1000)</f>
        <v>4036.6760400000003</v>
      </c>
      <c r="L76" s="59">
        <f ca="1">(_xll.DBR("CXMD:FTM_DATA_BALANCE_SHEET","Total_Customer_Supplier",L$22,$C$19,ori,"TOTAL PRODUCT","B-560020",$C$20,"Amount_BS")/1000)+(_xll.DBR("CXMD:FTM_DATA_BALANCE_SHEET","Total_Customer_Supplier",L$22,$C$19,ori,"TOTAL PRODUCT","B-561010",$C$20,"Amount_BS")/1000)</f>
        <v>4499.1401699999997</v>
      </c>
      <c r="M76" s="59">
        <f ca="1">(_xll.DBR("CXMD:FTM_DATA_BALANCE_SHEET","Total_Customer_Supplier",M$22,$C$19,ori,"TOTAL PRODUCT","B-560020",$C$20,"Amount_BS")/1000)+(_xll.DBR("CXMD:FTM_DATA_BALANCE_SHEET","Total_Customer_Supplier",M$22,$C$19,ori,"TOTAL PRODUCT","B-561010",$C$20,"Amount_BS")/1000)</f>
        <v>4961.6043</v>
      </c>
      <c r="N76" s="59">
        <f ca="1">(_xll.DBR("CXMD:FTM_DATA_BALANCE_SHEET","Total_Customer_Supplier",N$22,$C$19,ori,"TOTAL PRODUCT","B-560020",$C$20,"Amount_BS")/1000)+(_xll.DBR("CXMD:FTM_DATA_BALANCE_SHEET","Total_Customer_Supplier",N$22,$C$19,ori,"TOTAL PRODUCT","B-561010",$C$20,"Amount_BS")/1000)</f>
        <v>5797.6224299999994</v>
      </c>
      <c r="O76" s="59">
        <f ca="1">(_xll.DBR("CXMD:FTM_DATA_BALANCE_SHEET","Total_Customer_Supplier",O$22,$C$19,ori,"TOTAL PRODUCT","B-560020",$C$20,"Amount_BS")/1000)+(_xll.DBR("CXMD:FTM_DATA_BALANCE_SHEET","Total_Customer_Supplier",O$22,$C$19,ori,"TOTAL PRODUCT","B-561010",$C$20,"Amount_BS")/1000)</f>
        <v>5895.9580299999998</v>
      </c>
    </row>
    <row r="77" spans="2:15" ht="15" x14ac:dyDescent="0.25">
      <c r="B77" s="4" t="s">
        <v>10</v>
      </c>
      <c r="C77" s="27" t="s">
        <v>38</v>
      </c>
      <c r="D77" s="61">
        <f ca="1">(_xll.DBR("CXMD:FTM_DATA_BALANCE_SHEET","Total_Customer_Supplier",D$22,$C$19,ori,"TOTAL PRODUCT","R-959100",$C$20,"Amount_BS")/1000)</f>
        <v>329.58300000000003</v>
      </c>
      <c r="E77" s="61">
        <f ca="1">(_xll.DBR("CXMD:FTM_DATA_BALANCE_SHEET","Total_Customer_Supplier",E$22,$C$19,ori,"TOTAL PRODUCT","R-959100",$C$20,"Amount_BS")/1000)</f>
        <v>659.16600000000005</v>
      </c>
      <c r="F77" s="61">
        <f ca="1">(_xll.DBR("CXMD:FTM_DATA_BALANCE_SHEET","Total_Customer_Supplier",F$22,$C$19,ori,"TOTAL PRODUCT","R-959100",$C$20,"Amount_BS")/1000)</f>
        <v>988.74900000000002</v>
      </c>
      <c r="G77" s="61">
        <f ca="1">(_xll.DBR("CXMD:FTM_DATA_BALANCE_SHEET","Total_Customer_Supplier",G$22,$C$19,ori,"TOTAL PRODUCT","R-959100",$C$20,"Amount_BS")/1000)</f>
        <v>1655.2950000000001</v>
      </c>
      <c r="H77" s="61">
        <f ca="1">(_xll.DBR("CXMD:FTM_DATA_BALANCE_SHEET","Total_Customer_Supplier",H$22,$C$19,ori,"TOTAL PRODUCT","R-959100",$C$20,"Amount_BS")/1000)</f>
        <v>1984.8779999999999</v>
      </c>
      <c r="I77" s="61">
        <f ca="1">(_xll.DBR("CXMD:FTM_DATA_BALANCE_SHEET","Total_Customer_Supplier",I$22,$C$19,ori,"TOTAL PRODUCT","R-959100",$C$20,"Amount_BS")/1000)</f>
        <v>2314.4609999999998</v>
      </c>
      <c r="J77" s="61">
        <f ca="1">(_xll.DBR("CXMD:FTM_DATA_BALANCE_SHEET","Total_Customer_Supplier",J$22,$C$19,ori,"TOTAL PRODUCT","R-959100",$C$20,"Amount_BS")/1000)</f>
        <v>2644.0439999999999</v>
      </c>
      <c r="K77" s="61">
        <f ca="1">(_xll.DBR("CXMD:FTM_DATA_BALANCE_SHEET","Total_Customer_Supplier",K$22,$C$19,ori,"TOTAL PRODUCT","R-959100",$C$20,"Amount_BS")/1000)</f>
        <v>2973.627</v>
      </c>
      <c r="L77" s="61">
        <f ca="1">(_xll.DBR("CXMD:FTM_DATA_BALANCE_SHEET","Total_Customer_Supplier",L$22,$C$19,ori,"TOTAL PRODUCT","R-959100",$C$20,"Amount_BS")/1000)</f>
        <v>3303.21</v>
      </c>
      <c r="M77" s="61">
        <f ca="1">(_xll.DBR("CXMD:FTM_DATA_BALANCE_SHEET","Total_Customer_Supplier",M$22,$C$19,ori,"TOTAL PRODUCT","R-959100",$C$20,"Amount_BS")/1000)</f>
        <v>3632.7930000000001</v>
      </c>
      <c r="N77" s="61">
        <f ca="1">(_xll.DBR("CXMD:FTM_DATA_BALANCE_SHEET","Total_Customer_Supplier",N$22,$C$19,ori,"TOTAL PRODUCT","R-959100",$C$20,"Amount_BS")/1000)</f>
        <v>4335.93</v>
      </c>
      <c r="O77" s="61">
        <f ca="1">(_xll.DBR("CXMD:FTM_DATA_BALANCE_SHEET","Total_Customer_Supplier",O$22,$C$19,ori,"TOTAL PRODUCT","R-959100",$C$20,"Amount_BS")/1000)</f>
        <v>4411.0879999999997</v>
      </c>
    </row>
    <row r="78" spans="2:15" ht="15.75" thickBot="1" x14ac:dyDescent="0.3">
      <c r="B78" s="4" t="s">
        <v>10</v>
      </c>
      <c r="C78" s="27" t="s">
        <v>40</v>
      </c>
      <c r="D78" s="61">
        <f ca="1">(_xll.DBR("CXMD:FTM_DATA_BALANCE_SHEET","Total_Customer_Supplier",D$22,$C$19,ori,"TOTAL PRODUCT","R-990000",$C$20,"Amount_BS")/1000)</f>
        <v>2239.7399699999996</v>
      </c>
      <c r="E78" s="61">
        <f ca="1">(_xll.DBR("CXMD:FTM_DATA_BALANCE_SHEET","Total_Customer_Supplier",E$22,$C$19,ori,"TOTAL PRODUCT","R-990000",$C$20,"Amount_BS")/1000)</f>
        <v>1468.5500499999998</v>
      </c>
      <c r="F78" s="61">
        <f ca="1">(_xll.DBR("CXMD:FTM_DATA_BALANCE_SHEET","Total_Customer_Supplier",F$22,$C$19,ori,"TOTAL PRODUCT","R-990000",$C$20,"Amount_BS")/1000)</f>
        <v>16666.227080000001</v>
      </c>
      <c r="G78" s="61">
        <f ca="1">(_xll.DBR("CXMD:FTM_DATA_BALANCE_SHEET","Total_Customer_Supplier",G$22,$C$19,ori,"TOTAL PRODUCT","R-990000",$C$20,"Amount_BS")/1000)</f>
        <v>5890.7057799999984</v>
      </c>
      <c r="H78" s="61">
        <f ca="1">(_xll.DBR("CXMD:FTM_DATA_BALANCE_SHEET","Total_Customer_Supplier",H$22,$C$19,ori,"TOTAL PRODUCT","R-990000",$C$20,"Amount_BS")/1000)</f>
        <v>7257.3152399999972</v>
      </c>
      <c r="I78" s="61">
        <f ca="1">(_xll.DBR("CXMD:FTM_DATA_BALANCE_SHEET","Total_Customer_Supplier",I$22,$C$19,ori,"TOTAL PRODUCT","R-990000",$C$20,"Amount_BS")/1000)</f>
        <v>29027.283319999999</v>
      </c>
      <c r="J78" s="61">
        <f ca="1">(_xll.DBR("CXMD:FTM_DATA_BALANCE_SHEET","Total_Customer_Supplier",J$22,$C$19,ori,"TOTAL PRODUCT","R-990000",$C$20,"Amount_BS")/1000)</f>
        <v>28051.784749999999</v>
      </c>
      <c r="K78" s="61">
        <f ca="1">(_xll.DBR("CXMD:FTM_DATA_BALANCE_SHEET","Total_Customer_Supplier",K$22,$C$19,ori,"TOTAL PRODUCT","R-990000",$C$20,"Amount_BS")/1000)</f>
        <v>27579.563320000001</v>
      </c>
      <c r="L78" s="61">
        <f ca="1">(_xll.DBR("CXMD:FTM_DATA_BALANCE_SHEET","Total_Customer_Supplier",L$22,$C$19,ori,"TOTAL PRODUCT","R-990000",$C$20,"Amount_BS")/1000)</f>
        <v>51376.101069999997</v>
      </c>
      <c r="M78" s="61">
        <f ca="1">(_xll.DBR("CXMD:FTM_DATA_BALANCE_SHEET","Total_Customer_Supplier",M$22,$C$19,ori,"TOTAL PRODUCT","R-990000",$C$20,"Amount_BS")/1000)</f>
        <v>48805.343179999996</v>
      </c>
      <c r="N78" s="61">
        <f ca="1">(_xll.DBR("CXMD:FTM_DATA_BALANCE_SHEET","Total_Customer_Supplier",N$22,$C$19,ori,"TOTAL PRODUCT","R-990000",$C$20,"Amount_BS")/1000)</f>
        <v>46992.830110000003</v>
      </c>
      <c r="O78" s="61">
        <f ca="1">(_xll.DBR("CXMD:FTM_DATA_BALANCE_SHEET","Total_Customer_Supplier",O$22,$C$19,ori,"TOTAL PRODUCT","R-990000",$C$20,"Amount_BS")/1000)</f>
        <v>159349.24449000001</v>
      </c>
    </row>
    <row r="79" spans="2:15" ht="15.75" x14ac:dyDescent="0.25">
      <c r="B79" s="50" t="s">
        <v>46</v>
      </c>
      <c r="C79" s="51"/>
      <c r="D79" s="80">
        <f ca="1">D74-D76</f>
        <v>86455.006029999917</v>
      </c>
      <c r="E79" s="80">
        <f t="shared" ref="E79:O79" ca="1" si="14">E74-E76</f>
        <v>156165.58634000001</v>
      </c>
      <c r="F79" s="80">
        <f t="shared" ca="1" si="14"/>
        <v>197901.18202999994</v>
      </c>
      <c r="G79" s="80">
        <f t="shared" ca="1" si="14"/>
        <v>233836.37894999952</v>
      </c>
      <c r="H79" s="80">
        <f t="shared" ca="1" si="14"/>
        <v>301772.25888999988</v>
      </c>
      <c r="I79" s="80">
        <f t="shared" ca="1" si="14"/>
        <v>363616.85853999958</v>
      </c>
      <c r="J79" s="80">
        <f t="shared" ca="1" si="14"/>
        <v>433833.83922000026</v>
      </c>
      <c r="K79" s="80">
        <f t="shared" ca="1" si="14"/>
        <v>540176.78699999955</v>
      </c>
      <c r="L79" s="80">
        <f t="shared" ca="1" si="14"/>
        <v>619211.29059000046</v>
      </c>
      <c r="M79" s="80">
        <f t="shared" ca="1" si="14"/>
        <v>652861.85738999932</v>
      </c>
      <c r="N79" s="80">
        <f t="shared" ca="1" si="14"/>
        <v>671720.23101000022</v>
      </c>
      <c r="O79" s="80">
        <f t="shared" ca="1" si="14"/>
        <v>688020.30328000081</v>
      </c>
    </row>
    <row r="80" spans="2:15" ht="15.75" thickBot="1" x14ac:dyDescent="0.3">
      <c r="B80" s="52"/>
      <c r="C80" s="53" t="s">
        <v>45</v>
      </c>
      <c r="D80" s="54">
        <f ca="1">IF(D25&lt;&gt;0,D79/D25,0)</f>
        <v>0.24025724347461744</v>
      </c>
      <c r="E80" s="54">
        <f t="shared" ref="E80:O80" ca="1" si="15">IF(E25&lt;&gt;0,E79/E25,0)</f>
        <v>0.22303144802928615</v>
      </c>
      <c r="F80" s="54">
        <f t="shared" ca="1" si="15"/>
        <v>0.18775106933058258</v>
      </c>
      <c r="G80" s="54">
        <f t="shared" ca="1" si="15"/>
        <v>0.16977889270132332</v>
      </c>
      <c r="H80" s="54">
        <f t="shared" ca="1" si="15"/>
        <v>0.17375850276184429</v>
      </c>
      <c r="I80" s="54">
        <f t="shared" ca="1" si="15"/>
        <v>0.17179067177812973</v>
      </c>
      <c r="J80" s="54">
        <f t="shared" ca="1" si="15"/>
        <v>0.17376137653417442</v>
      </c>
      <c r="K80" s="54">
        <f t="shared" ca="1" si="15"/>
        <v>0.18889971024312038</v>
      </c>
      <c r="L80" s="54">
        <f t="shared" ca="1" si="15"/>
        <v>0.1943643155571107</v>
      </c>
      <c r="M80" s="54">
        <f t="shared" ca="1" si="15"/>
        <v>0.18639269378936793</v>
      </c>
      <c r="N80" s="54">
        <f t="shared" ca="1" si="15"/>
        <v>0.17581429075564378</v>
      </c>
      <c r="O80" s="54">
        <f t="shared" ca="1" si="15"/>
        <v>0.1689363033950797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7409" r:id="rId4" name="TIButton1">
          <controlPr defaultSize="0" print="0" autoLine="0" r:id="rId5">
            <anchor moveWithCells="1">
              <from>
                <xdr:col>3</xdr:col>
                <xdr:colOff>409575</xdr:colOff>
                <xdr:row>16</xdr:row>
                <xdr:rowOff>152400</xdr:rowOff>
              </from>
              <to>
                <xdr:col>4</xdr:col>
                <xdr:colOff>371475</xdr:colOff>
                <xdr:row>18</xdr:row>
                <xdr:rowOff>9525</xdr:rowOff>
              </to>
            </anchor>
          </controlPr>
        </control>
      </mc:Choice>
      <mc:Fallback>
        <control shapeId="17409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33</vt:i4>
      </vt:variant>
    </vt:vector>
  </HeadingPairs>
  <TitlesOfParts>
    <vt:vector size="37" baseType="lpstr">
      <vt:lpstr>P&amp;L Month by CC summary</vt:lpstr>
      <vt:lpstr>P&amp;L Month YTD by CC summary</vt:lpstr>
      <vt:lpstr>P&amp;L Month by CC detailed</vt:lpstr>
      <vt:lpstr>P&amp;L Month YTD by CC detailed</vt:lpstr>
      <vt:lpstr>'P&amp;L Month by CC detailed'!Actuality_1</vt:lpstr>
      <vt:lpstr>'P&amp;L Month by CC summary'!Actuality_1</vt:lpstr>
      <vt:lpstr>'P&amp;L Month YTD by CC detailed'!Actuality_1</vt:lpstr>
      <vt:lpstr>'P&amp;L Month YTD by CC summary'!Actuality_1</vt:lpstr>
      <vt:lpstr>'P&amp;L Month by CC detailed'!Actuality_2</vt:lpstr>
      <vt:lpstr>'P&amp;L Month YTD by CC detailed'!Actuality_2</vt:lpstr>
      <vt:lpstr>'P&amp;L Month by CC detailed'!Actuality_3</vt:lpstr>
      <vt:lpstr>'P&amp;L Month YTD by CC detailed'!Actuality_3</vt:lpstr>
      <vt:lpstr>'P&amp;L Month by CC detailed'!company</vt:lpstr>
      <vt:lpstr>'P&amp;L Month by CC summary'!company</vt:lpstr>
      <vt:lpstr>'P&amp;L Month YTD by CC detailed'!company</vt:lpstr>
      <vt:lpstr>'P&amp;L Month YTD by CC summary'!company</vt:lpstr>
      <vt:lpstr>'P&amp;L Month by CC detailed'!Month</vt:lpstr>
      <vt:lpstr>'P&amp;L Month YTD by CC detailed'!Month</vt:lpstr>
      <vt:lpstr>'P&amp;L Month by CC summary'!Month_1</vt:lpstr>
      <vt:lpstr>'P&amp;L Month YTD by CC summary'!Month_1</vt:lpstr>
      <vt:lpstr>'P&amp;L Month by CC detailed'!ori</vt:lpstr>
      <vt:lpstr>'P&amp;L Month by CC summary'!ori</vt:lpstr>
      <vt:lpstr>'P&amp;L Month YTD by CC detailed'!ori</vt:lpstr>
      <vt:lpstr>'P&amp;L Month YTD by CC summary'!ori</vt:lpstr>
      <vt:lpstr>origine</vt:lpstr>
      <vt:lpstr>'P&amp;L Month by CC detailed'!TM1RPTDATARNGARPT1</vt:lpstr>
      <vt:lpstr>'P&amp;L Month by CC summary'!TM1RPTDATARNGARPT1</vt:lpstr>
      <vt:lpstr>'P&amp;L Month YTD by CC detailed'!TM1RPTDATARNGARPT1</vt:lpstr>
      <vt:lpstr>'P&amp;L Month YTD by CC summary'!TM1RPTDATARNGARPT1</vt:lpstr>
      <vt:lpstr>'P&amp;L Month by CC detailed'!TM1RPTFMTIDCOL</vt:lpstr>
      <vt:lpstr>'P&amp;L Month by CC summary'!TM1RPTFMTIDCOL</vt:lpstr>
      <vt:lpstr>'P&amp;L Month YTD by CC detailed'!TM1RPTFMTIDCOL</vt:lpstr>
      <vt:lpstr>'P&amp;L Month YTD by CC summary'!TM1RPTFMTIDCOL</vt:lpstr>
      <vt:lpstr>'P&amp;L Month by CC detailed'!TM1RPTFMTRNG</vt:lpstr>
      <vt:lpstr>'P&amp;L Month by CC summary'!TM1RPTFMTRNG</vt:lpstr>
      <vt:lpstr>'P&amp;L Month YTD by CC detailed'!TM1RPTFMTRNG</vt:lpstr>
      <vt:lpstr>'P&amp;L Month YTD by CC summary'!TM1RPTFMTRNG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2015-05-04T09:00:30Z</dcterms:created>
  <dcterms:modified xsi:type="dcterms:W3CDTF">2024-04-25T12:40:18Z</dcterms:modified>
</cp:coreProperties>
</file>