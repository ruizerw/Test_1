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rv191\AppData\Local\Temp\28\"/>
    </mc:Choice>
  </mc:AlternateContent>
  <bookViews>
    <workbookView xWindow="0" yWindow="0" windowWidth="15330" windowHeight="6630" firstSheet="1" activeTab="1"/>
  </bookViews>
  <sheets>
    <sheet name="Feuil1" sheetId="1" state="hidden" r:id="rId1"/>
    <sheet name="P&amp;L detailed Month YTD" sheetId="2" r:id="rId2"/>
    <sheet name="{AR}01" sheetId="3" state="hidden" r:id="rId3"/>
    <sheet name="{AR}11" sheetId="4" state="hidden" r:id="rId4"/>
  </sheets>
  <definedNames>
    <definedName name="TM1REBUILDOPTION">1</definedName>
    <definedName name="TM1RPTDATARNGARPT1" localSheetId="1">'P&amp;L detailed Month YTD'!$26:$26</definedName>
    <definedName name="TM1RPTFMTIDCOL" localSheetId="1">'P&amp;L detailed Month YTD'!$A$1:$A$8</definedName>
    <definedName name="TM1RPTFMTRNG" localSheetId="1">'P&amp;L detailed Month YTD'!$B$1:$O$8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2" l="1"/>
  <c r="B9" i="2"/>
  <c r="C18" i="2"/>
  <c r="C17" i="2"/>
  <c r="C19" i="2"/>
  <c r="B26" i="2"/>
  <c r="C20" i="2"/>
  <c r="D26" i="2"/>
  <c r="E26" i="2"/>
  <c r="F26" i="2"/>
  <c r="G26" i="2"/>
  <c r="H26" i="2"/>
  <c r="I26" i="2"/>
  <c r="J26" i="2"/>
  <c r="K26" i="2"/>
  <c r="L26" i="2"/>
  <c r="M26" i="2"/>
  <c r="N26" i="2"/>
  <c r="C26" i="2"/>
  <c r="A26" i="2"/>
  <c r="A5" i="2"/>
  <c r="A4" i="2"/>
  <c r="A3" i="2"/>
  <c r="A2" i="2"/>
</calcChain>
</file>

<file path=xl/sharedStrings.xml><?xml version="1.0" encoding="utf-8"?>
<sst xmlns="http://schemas.openxmlformats.org/spreadsheetml/2006/main" count="53" uniqueCount="42">
  <si>
    <t>Origin_Company</t>
  </si>
  <si>
    <t>Prev_IC_mapping</t>
  </si>
  <si>
    <t>Configuration</t>
  </si>
  <si>
    <t>Allocation</t>
  </si>
  <si>
    <t>Actuality</t>
  </si>
  <si>
    <t>YTD_January</t>
  </si>
  <si>
    <t>YTD_February</t>
  </si>
  <si>
    <t>YTD_March</t>
  </si>
  <si>
    <t>YTD_April</t>
  </si>
  <si>
    <t>YTD_May</t>
  </si>
  <si>
    <t>YTD_June</t>
  </si>
  <si>
    <t>YTD_July</t>
  </si>
  <si>
    <t>YTD_August</t>
  </si>
  <si>
    <t>YTD_September</t>
  </si>
  <si>
    <t>YTD_October</t>
  </si>
  <si>
    <t>YTD_November</t>
  </si>
  <si>
    <t>YTD_December</t>
  </si>
  <si>
    <t>Amount_BS</t>
  </si>
  <si>
    <t>G - 309000 - NET SALES</t>
  </si>
  <si>
    <t>G - 319000 - NET VARIATION OF STOCK</t>
  </si>
  <si>
    <t>G - 339000 - OPERATING INCOME</t>
  </si>
  <si>
    <t>G - 452000 - VARIATION OF PROVISIONS</t>
  </si>
  <si>
    <t>G - 415000 - MATERIAL &amp; OUTSIDE COSTS</t>
  </si>
  <si>
    <t>G - 439000 - PERSONNEL COSTS</t>
  </si>
  <si>
    <t>G - 459000 - OTHER EXPENSES</t>
  </si>
  <si>
    <t>G - 453900 - FX GAIN/LOSS</t>
  </si>
  <si>
    <t>G - 479000 - DEPREC. PROV.</t>
  </si>
  <si>
    <t>G - 569199 - OTHER INCOME/EXPENSES</t>
  </si>
  <si>
    <t>Profit and Loss</t>
  </si>
  <si>
    <t>R-0-R-P-790000-SALES</t>
  </si>
  <si>
    <t>R-0-R-P-901000-MATERIAL EXPENSES</t>
  </si>
  <si>
    <t>R-0-R-P-940000-PERSONEL EXPENSES</t>
  </si>
  <si>
    <t>R-0-R-P-959000-OTHER EXPENSES</t>
  </si>
  <si>
    <t>R-0-R-P-959100-MANAGEMENT FEES BI</t>
  </si>
  <si>
    <t>R-0-R-P-981000-DEPRECIATION</t>
  </si>
  <si>
    <t>D</t>
  </si>
  <si>
    <t>N</t>
  </si>
  <si>
    <t>[Begin Format Range]</t>
  </si>
  <si>
    <t>[End Format Range]</t>
  </si>
  <si>
    <t>P&amp;L detailed _ Month YTD</t>
  </si>
  <si>
    <t>Chart of Account</t>
  </si>
  <si>
    <t>Local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</si>
</sst>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&quot;+ &quot;@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indexed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0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/>
    <xf numFmtId="0" fontId="0" fillId="2" borderId="1" xfId="0" applyFill="1" applyBorder="1"/>
    <xf numFmtId="3" fontId="0" fillId="0" borderId="0" xfId="0" applyNumberFormat="1"/>
    <xf numFmtId="3" fontId="4" fillId="2" borderId="1" xfId="0" applyNumberFormat="1" applyFont="1" applyFill="1" applyBorder="1"/>
    <xf numFmtId="0" fontId="0" fillId="3" borderId="1" xfId="0" applyFill="1" applyBorder="1"/>
    <xf numFmtId="3" fontId="4" fillId="3" borderId="1" xfId="0" applyNumberFormat="1" applyFont="1" applyFill="1" applyBorder="1"/>
    <xf numFmtId="0" fontId="0" fillId="4" borderId="1" xfId="0" applyFill="1" applyBorder="1"/>
    <xf numFmtId="3" fontId="4" fillId="4" borderId="1" xfId="0" applyNumberFormat="1" applyFont="1" applyFill="1" applyBorder="1"/>
    <xf numFmtId="0" fontId="0" fillId="5" borderId="1" xfId="0" applyFill="1" applyBorder="1"/>
    <xf numFmtId="3" fontId="4" fillId="5" borderId="1" xfId="0" applyNumberFormat="1" applyFont="1" applyFill="1" applyBorder="1"/>
    <xf numFmtId="0" fontId="0" fillId="0" borderId="1" xfId="0" applyBorder="1"/>
    <xf numFmtId="3" fontId="4" fillId="0" borderId="1" xfId="0" applyNumberFormat="1" applyFont="1" applyBorder="1"/>
    <xf numFmtId="3" fontId="0" fillId="6" borderId="0" xfId="0" applyNumberFormat="1" applyFill="1" applyBorder="1"/>
    <xf numFmtId="0" fontId="2" fillId="7" borderId="0" xfId="0" applyFont="1" applyFill="1"/>
    <xf numFmtId="0" fontId="1" fillId="7" borderId="0" xfId="0" applyFont="1" applyFill="1"/>
    <xf numFmtId="3" fontId="0" fillId="7" borderId="0" xfId="0" applyNumberFormat="1" applyFill="1"/>
    <xf numFmtId="0" fontId="0" fillId="7" borderId="0" xfId="0" applyFill="1"/>
    <xf numFmtId="3" fontId="5" fillId="7" borderId="0" xfId="0" applyNumberFormat="1" applyFont="1" applyFill="1"/>
    <xf numFmtId="165" fontId="2" fillId="2" borderId="1" xfId="0" applyNumberFormat="1" applyFont="1" applyFill="1" applyBorder="1" applyAlignment="1"/>
    <xf numFmtId="0" fontId="7" fillId="7" borderId="3" xfId="0" applyFont="1" applyFill="1" applyBorder="1" applyAlignment="1">
      <alignment horizontal="center" vertical="center"/>
    </xf>
    <xf numFmtId="3" fontId="3" fillId="7" borderId="4" xfId="0" applyNumberFormat="1" applyFont="1" applyFill="1" applyBorder="1" applyAlignment="1">
      <alignment horizontal="center"/>
    </xf>
    <xf numFmtId="3" fontId="3" fillId="7" borderId="6" xfId="0" applyNumberFormat="1" applyFont="1" applyFill="1" applyBorder="1" applyAlignment="1">
      <alignment horizontal="center"/>
    </xf>
    <xf numFmtId="3" fontId="8" fillId="7" borderId="2" xfId="0" applyNumberFormat="1" applyFont="1" applyFill="1" applyBorder="1" applyAlignment="1">
      <alignment horizontal="center"/>
    </xf>
    <xf numFmtId="3" fontId="8" fillId="7" borderId="7" xfId="0" applyNumberFormat="1" applyFont="1" applyFill="1" applyBorder="1" applyAlignment="1">
      <alignment horizontal="center"/>
    </xf>
    <xf numFmtId="0" fontId="6" fillId="7" borderId="5" xfId="0" quotePrefix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3572"/>
  <ax:ocxPr ax:name="_ExtentY" ax:value="1085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1"/>
  <ax:ocxPr ax:name="ShowFailureMessage" ax:value="1"/>
  <ax:ocxPr ax:name="TargetWorkbookName" ax:value=""/>
  <ax:ocxPr ax:name="TargetWorksheetName" ax:value="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306916</xdr:colOff>
      <xdr:row>12</xdr:row>
      <xdr:rowOff>145392</xdr:rowOff>
    </xdr:to>
    <xdr:pic>
      <xdr:nvPicPr>
        <xdr:cNvPr id="3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725833" cy="7168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123825</xdr:colOff>
          <xdr:row>16</xdr:row>
          <xdr:rowOff>190500</xdr:rowOff>
        </xdr:from>
        <xdr:to>
          <xdr:col>4</xdr:col>
          <xdr:colOff>1085850</xdr:colOff>
          <xdr:row>18</xdr:row>
          <xdr:rowOff>104775</xdr:rowOff>
        </xdr:to>
        <xdr:sp macro="" textlink="">
          <xdr:nvSpPr>
            <xdr:cNvPr id="2049" name="TIButton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zoomScale="90" zoomScaleNormal="90" workbookViewId="0"/>
  </sheetViews>
  <sheetFormatPr defaultColWidth="11.42578125" defaultRowHeight="15" x14ac:dyDescent="0.25"/>
  <sheetData/>
  <pageMargins left="0.11811023622047245" right="0.11811023622047245" top="0.74803149606299213" bottom="0.74803149606299213" header="0.31496062992125984" footer="0.31496062992125984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>
    <tabColor theme="5" tint="0.59999389629810485"/>
    <pageSetUpPr fitToPage="1"/>
  </sheetPr>
  <dimension ref="A1:AE26"/>
  <sheetViews>
    <sheetView showGridLines="0" tabSelected="1" topLeftCell="B10" zoomScale="90" zoomScaleNormal="90" workbookViewId="0">
      <pane xSplit="2" ySplit="16" topLeftCell="D26" activePane="bottomRight" state="frozen"/>
      <selection activeCell="B10" sqref="B10"/>
      <selection pane="topRight" activeCell="D10" sqref="D10"/>
      <selection pane="bottomLeft" activeCell="B31" sqref="B31"/>
      <selection pane="bottomRight" activeCell="C17" sqref="C17"/>
    </sheetView>
  </sheetViews>
  <sheetFormatPr defaultColWidth="0" defaultRowHeight="15" x14ac:dyDescent="0.25"/>
  <cols>
    <col min="1" max="1" width="20.140625" hidden="1" customWidth="1"/>
    <col min="2" max="2" width="43.28515625" customWidth="1"/>
    <col min="3" max="3" width="50.7109375" customWidth="1"/>
    <col min="4" max="14" width="17.140625" style="3" customWidth="1"/>
    <col min="15" max="15" width="17.140625" style="3" hidden="1" customWidth="1"/>
    <col min="16" max="16" width="2.140625" style="3" customWidth="1"/>
    <col min="17" max="17" width="11.42578125" style="3" hidden="1" customWidth="1"/>
    <col min="18" max="31" width="0" style="3" hidden="1" customWidth="1"/>
    <col min="32" max="16384" width="11.42578125" hidden="1"/>
  </cols>
  <sheetData>
    <row r="1" spans="1:16" hidden="1" x14ac:dyDescent="0.25">
      <c r="A1" t="s">
        <v>37</v>
      </c>
    </row>
    <row r="2" spans="1:16" hidden="1" x14ac:dyDescent="0.25">
      <c r="A2">
        <f>0</f>
        <v>0</v>
      </c>
      <c r="B2" s="1"/>
      <c r="C2" s="2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/>
    </row>
    <row r="3" spans="1:16" hidden="1" x14ac:dyDescent="0.25">
      <c r="A3">
        <f>1</f>
        <v>1</v>
      </c>
      <c r="B3" s="2"/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/>
    </row>
    <row r="4" spans="1:16" hidden="1" x14ac:dyDescent="0.25">
      <c r="A4">
        <f>2</f>
        <v>2</v>
      </c>
      <c r="B4" s="2"/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/>
    </row>
    <row r="5" spans="1:16" hidden="1" x14ac:dyDescent="0.25">
      <c r="A5">
        <f>3</f>
        <v>3</v>
      </c>
      <c r="B5" s="2"/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/>
    </row>
    <row r="6" spans="1:16" hidden="1" x14ac:dyDescent="0.25">
      <c r="A6" t="s">
        <v>35</v>
      </c>
      <c r="B6" s="2"/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/>
    </row>
    <row r="7" spans="1:16" hidden="1" x14ac:dyDescent="0.25">
      <c r="A7" t="s">
        <v>36</v>
      </c>
      <c r="B7" s="2"/>
      <c r="C7" s="11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/>
    </row>
    <row r="8" spans="1:16" hidden="1" x14ac:dyDescent="0.25">
      <c r="A8" t="s">
        <v>38</v>
      </c>
    </row>
    <row r="9" spans="1:16" ht="19.5" hidden="1" customHeight="1" x14ac:dyDescent="0.25">
      <c r="B9" t="str">
        <f ca="1">_xll.TM1RPTVIEW("CXMD:FTM_DATA_BALANCE_SHEET:ARPT1", 1, _xll.TM1RPTTITLE("CXMD:Actuality",$C$21), _xll.TM1RPTTITLE("CXMD:DIM_Origin_Company",$C$17), _xll.TM1RPTTITLE("CXMD:DIM_Prev_IC_mapping",$C$18), _xll.TM1RPTTITLE("CXMD:DIM_Configuration",$C$19), _xll.TM1RPTTITLE("CXMD:DIM_Allocation",$C$20),TM1RPTFMTRNG,TM1RPTFMTIDCOL)</f>
        <v>CXMD:FTM_DATA_BALANCE_SHEET:ARPT1</v>
      </c>
    </row>
    <row r="10" spans="1:16" x14ac:dyDescent="0.25"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6" x14ac:dyDescent="0.25"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spans="1:16" x14ac:dyDescent="0.25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spans="1:16" x14ac:dyDescent="0.25"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spans="1:16" x14ac:dyDescent="0.25"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spans="1:16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spans="1:16" x14ac:dyDescent="0.25"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spans="1:15" x14ac:dyDescent="0.25">
      <c r="B17" s="14" t="s">
        <v>0</v>
      </c>
      <c r="C17" s="15" t="str">
        <f ca="1">_xll.SUBNM("CXMD:DIM_Origin_Company","","Total Origin Company","Nom FR")</f>
        <v>Total Origin Company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spans="1:15" x14ac:dyDescent="0.25">
      <c r="B18" s="14" t="s">
        <v>1</v>
      </c>
      <c r="C18" s="15" t="str">
        <f ca="1">_xll.SUBNM("CXMD:DIM_Prev_IC_mapping","","Total_Customer_Supplier")</f>
        <v>Total_Customer_Supplier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spans="1:15" x14ac:dyDescent="0.25">
      <c r="B19" s="14" t="s">
        <v>2</v>
      </c>
      <c r="C19" s="15" t="str">
        <f ca="1">_xll.SUBNM("CXMD:DIM_Configuration","","TOTAL PRODUCT","Description EN")</f>
        <v>TOTAL PRODUCT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spans="1:15" x14ac:dyDescent="0.25">
      <c r="B20" s="14" t="s">
        <v>3</v>
      </c>
      <c r="C20" s="15" t="str">
        <f ca="1">_xll.SUBNM("CXMD:DIM_Allocation","","Total Allocation","Allocation EN")</f>
        <v>Total Allocation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1:15" ht="24" customHeight="1" x14ac:dyDescent="0.25">
      <c r="B21" s="14" t="s">
        <v>4</v>
      </c>
      <c r="C21" s="15" t="str">
        <f ca="1">_xll.SUBNM("CXMD:Actuality","Actuality","AC2016","Description EN")</f>
        <v>AC2016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spans="1:15" ht="21" x14ac:dyDescent="0.35">
      <c r="B22" s="17"/>
      <c r="C22" s="17"/>
      <c r="D22" s="16"/>
      <c r="E22" s="16"/>
      <c r="F22" s="16"/>
      <c r="G22" s="18" t="s">
        <v>39</v>
      </c>
      <c r="H22" s="16"/>
      <c r="I22" s="16"/>
      <c r="J22" s="16"/>
      <c r="K22" s="16"/>
      <c r="L22" s="16"/>
      <c r="M22" s="16"/>
      <c r="N22" s="16"/>
      <c r="O22" s="16"/>
    </row>
    <row r="23" spans="1:15" x14ac:dyDescent="0.25">
      <c r="B23" s="17"/>
      <c r="C23" s="17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1:15" ht="15.75" x14ac:dyDescent="0.25">
      <c r="B24" s="20" t="s">
        <v>41</v>
      </c>
      <c r="C24" s="21" t="s">
        <v>5</v>
      </c>
      <c r="D24" s="21" t="s">
        <v>6</v>
      </c>
      <c r="E24" s="21" t="s">
        <v>7</v>
      </c>
      <c r="F24" s="21" t="s">
        <v>8</v>
      </c>
      <c r="G24" s="21" t="s">
        <v>9</v>
      </c>
      <c r="H24" s="21" t="s">
        <v>10</v>
      </c>
      <c r="I24" s="21" t="s">
        <v>11</v>
      </c>
      <c r="J24" s="21" t="s">
        <v>12</v>
      </c>
      <c r="K24" s="21" t="s">
        <v>13</v>
      </c>
      <c r="L24" s="21" t="s">
        <v>14</v>
      </c>
      <c r="M24" s="21" t="s">
        <v>15</v>
      </c>
      <c r="N24" s="22" t="s">
        <v>16</v>
      </c>
    </row>
    <row r="25" spans="1:15" x14ac:dyDescent="0.25">
      <c r="B25" s="25" t="s">
        <v>40</v>
      </c>
      <c r="C25" s="23" t="s">
        <v>17</v>
      </c>
      <c r="D25" s="23" t="s">
        <v>17</v>
      </c>
      <c r="E25" s="23" t="s">
        <v>17</v>
      </c>
      <c r="F25" s="23" t="s">
        <v>17</v>
      </c>
      <c r="G25" s="23" t="s">
        <v>17</v>
      </c>
      <c r="H25" s="23" t="s">
        <v>17</v>
      </c>
      <c r="I25" s="23" t="s">
        <v>17</v>
      </c>
      <c r="J25" s="23" t="s">
        <v>17</v>
      </c>
      <c r="K25" s="23" t="s">
        <v>17</v>
      </c>
      <c r="L25" s="23" t="s">
        <v>17</v>
      </c>
      <c r="M25" s="23" t="s">
        <v>17</v>
      </c>
      <c r="N25" s="24" t="s">
        <v>17</v>
      </c>
    </row>
    <row r="26" spans="1:15" x14ac:dyDescent="0.25">
      <c r="A26" t="str">
        <f ca="1">IF(_xll.TM1RPTELISCONSOLIDATED($B$26,$B26),IF(_xll.TM1RPTELLEV($B$26,$B26)&lt;=3,_xll.TM1RPTELLEV($B$26,$B26),"D"),"N")</f>
        <v>N</v>
      </c>
      <c r="B26" s="19" t="str">
        <f ca="1">_xll.TM1RPTROW($B$9,"CXMD:DIM_Chart_of_Account","",'{AR}11'!$E$25:$E$32,"Description EN",0)</f>
        <v/>
      </c>
      <c r="C26" s="2" t="str">
        <f ca="1">_xll.DBRW($B$9,$C$18,C$24,$C$21,$C$17,$C$19,$B26,$C$20,C$25)</f>
        <v/>
      </c>
      <c r="D26" s="4" t="str">
        <f ca="1">_xll.DBRW($B$9,$C$18,D$24,$C$21,$C$17,$C$19,$B26,$C$20,D$25)</f>
        <v/>
      </c>
      <c r="E26" s="4" t="str">
        <f ca="1">_xll.DBRW($B$9,$C$18,E$24,$C$21,$C$17,$C$19,$B26,$C$20,E$25)</f>
        <v/>
      </c>
      <c r="F26" s="4" t="str">
        <f ca="1">_xll.DBRW($B$9,$C$18,F$24,$C$21,$C$17,$C$19,$B26,$C$20,F$25)</f>
        <v/>
      </c>
      <c r="G26" s="4" t="str">
        <f ca="1">_xll.DBRW($B$9,$C$18,G$24,$C$21,$C$17,$C$19,$B26,$C$20,G$25)</f>
        <v/>
      </c>
      <c r="H26" s="4" t="str">
        <f ca="1">_xll.DBRW($B$9,$C$18,H$24,$C$21,$C$17,$C$19,$B26,$C$20,H$25)</f>
        <v/>
      </c>
      <c r="I26" s="4" t="str">
        <f ca="1">_xll.DBRW($B$9,$C$18,I$24,$C$21,$C$17,$C$19,$B26,$C$20,I$25)</f>
        <v/>
      </c>
      <c r="J26" s="4" t="str">
        <f ca="1">_xll.DBRW($B$9,$C$18,J$24,$C$21,$C$17,$C$19,$B26,$C$20,J$25)</f>
        <v/>
      </c>
      <c r="K26" s="4" t="str">
        <f ca="1">_xll.DBRW($B$9,$C$18,K$24,$C$21,$C$17,$C$19,$B26,$C$20,K$25)</f>
        <v/>
      </c>
      <c r="L26" s="4" t="str">
        <f ca="1">_xll.DBRW($B$9,$C$18,L$24,$C$21,$C$17,$C$19,$B26,$C$20,L$25)</f>
        <v/>
      </c>
      <c r="M26" s="4" t="str">
        <f ca="1">_xll.DBRW($B$9,$C$18,M$24,$C$21,$C$17,$C$19,$B26,$C$20,M$25)</f>
        <v/>
      </c>
      <c r="N26" s="4" t="str">
        <f ca="1">_xll.DBRW($B$9,$C$18,N$24,$C$21,$C$17,$C$19,$B26,$C$20,N$25)</f>
        <v/>
      </c>
      <c r="O26" s="4"/>
    </row>
  </sheetData>
  <pageMargins left="0.70866141732283472" right="0.70866141732283472" top="0.74803149606299213" bottom="0.74803149606299213" header="0.31496062992125984" footer="0.31496062992125984"/>
  <pageSetup paperSize="9" scale="43" orientation="landscape" r:id="rId1"/>
  <drawing r:id="rId2"/>
  <legacyDrawing r:id="rId3"/>
  <controls>
    <mc:AlternateContent xmlns:mc="http://schemas.openxmlformats.org/markup-compatibility/2006">
      <mc:Choice Requires="x14">
        <control shapeId="2049" r:id="rId4" name="TIButton1">
          <controlPr defaultSize="0" print="0" autoLine="0" autoPict="0" r:id="rId5">
            <anchor moveWithCells="1">
              <from>
                <xdr:col>4</xdr:col>
                <xdr:colOff>123825</xdr:colOff>
                <xdr:row>16</xdr:row>
                <xdr:rowOff>190500</xdr:rowOff>
              </from>
              <to>
                <xdr:col>4</xdr:col>
                <xdr:colOff>1085850</xdr:colOff>
                <xdr:row>18</xdr:row>
                <xdr:rowOff>104775</xdr:rowOff>
              </to>
            </anchor>
          </controlPr>
        </control>
      </mc:Choice>
      <mc:Fallback>
        <control shapeId="2049" r:id="rId4" name="TIButton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5:D34"/>
  <sheetViews>
    <sheetView topLeftCell="A25" workbookViewId="0"/>
  </sheetViews>
  <sheetFormatPr defaultColWidth="11.42578125" defaultRowHeight="15" x14ac:dyDescent="0.25"/>
  <sheetData>
    <row r="25" spans="4:4" x14ac:dyDescent="0.25">
      <c r="D25" t="s">
        <v>18</v>
      </c>
    </row>
    <row r="26" spans="4:4" x14ac:dyDescent="0.25">
      <c r="D26" t="s">
        <v>19</v>
      </c>
    </row>
    <row r="27" spans="4:4" x14ac:dyDescent="0.25">
      <c r="D27" t="s">
        <v>20</v>
      </c>
    </row>
    <row r="28" spans="4:4" x14ac:dyDescent="0.25">
      <c r="D28" t="s">
        <v>21</v>
      </c>
    </row>
    <row r="29" spans="4:4" x14ac:dyDescent="0.25">
      <c r="D29" t="s">
        <v>22</v>
      </c>
    </row>
    <row r="30" spans="4:4" x14ac:dyDescent="0.25">
      <c r="D30" t="s">
        <v>23</v>
      </c>
    </row>
    <row r="31" spans="4:4" x14ac:dyDescent="0.25">
      <c r="D31" t="s">
        <v>24</v>
      </c>
    </row>
    <row r="32" spans="4:4" x14ac:dyDescent="0.25">
      <c r="D32" t="s">
        <v>25</v>
      </c>
    </row>
    <row r="33" spans="4:4" x14ac:dyDescent="0.25">
      <c r="D33" t="s">
        <v>26</v>
      </c>
    </row>
    <row r="34" spans="4:4" x14ac:dyDescent="0.25">
      <c r="D34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5:E31"/>
  <sheetViews>
    <sheetView topLeftCell="A7" workbookViewId="0"/>
  </sheetViews>
  <sheetFormatPr defaultColWidth="11.42578125" defaultRowHeight="15" x14ac:dyDescent="0.25"/>
  <sheetData>
    <row r="25" spans="5:5" x14ac:dyDescent="0.25">
      <c r="E25" t="s">
        <v>28</v>
      </c>
    </row>
    <row r="26" spans="5:5" x14ac:dyDescent="0.25">
      <c r="E26" t="s">
        <v>29</v>
      </c>
    </row>
    <row r="27" spans="5:5" x14ac:dyDescent="0.25">
      <c r="E27" t="s">
        <v>30</v>
      </c>
    </row>
    <row r="28" spans="5:5" x14ac:dyDescent="0.25">
      <c r="E28" t="s">
        <v>31</v>
      </c>
    </row>
    <row r="29" spans="5:5" x14ac:dyDescent="0.25">
      <c r="E29" t="s">
        <v>32</v>
      </c>
    </row>
    <row r="30" spans="5:5" x14ac:dyDescent="0.25">
      <c r="E30" t="s">
        <v>33</v>
      </c>
    </row>
    <row r="31" spans="5:5" x14ac:dyDescent="0.25">
      <c r="E3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Feuil1</vt:lpstr>
      <vt:lpstr>P&amp;L detailed Month YTD</vt:lpstr>
      <vt:lpstr>{AR}01</vt:lpstr>
      <vt:lpstr>{AR}11</vt:lpstr>
      <vt:lpstr>'P&amp;L detailed Month YTD'!TM1RPTDATARNGARPT1</vt:lpstr>
      <vt:lpstr>'P&amp;L detailed Month YTD'!TM1RPTFMTIDCOL</vt:lpstr>
      <vt:lpstr>'P&amp;L detailed Month YTD'!TM1RPTFMTRNG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DEDENON</dc:creator>
  <cp:lastModifiedBy>Serveurs COGNOS</cp:lastModifiedBy>
  <cp:lastPrinted>2017-04-04T12:00:08Z</cp:lastPrinted>
  <dcterms:created xsi:type="dcterms:W3CDTF">2017-04-04T06:07:23Z</dcterms:created>
  <dcterms:modified xsi:type="dcterms:W3CDTF">2022-06-07T14:31:01Z</dcterms:modified>
</cp:coreProperties>
</file>