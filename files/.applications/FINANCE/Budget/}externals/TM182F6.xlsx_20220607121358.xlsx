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28\"/>
    </mc:Choice>
  </mc:AlternateContent>
  <bookViews>
    <workbookView xWindow="0" yWindow="0" windowWidth="21600" windowHeight="9435"/>
  </bookViews>
  <sheets>
    <sheet name="Feuil1" sheetId="1" r:id="rId1"/>
    <sheet name="{AR}01" sheetId="2" state="hidden" r:id="rId2"/>
  </sheets>
  <definedNames>
    <definedName name="TM1REBUILDOPTION">1</definedName>
    <definedName name="TM1RPTDATARNGARPT1" localSheetId="0">Feuil1!$25:$25</definedName>
    <definedName name="TM1RPTFMTIDCOL" localSheetId="0">Feuil1!$A$1:$A$8</definedName>
    <definedName name="TM1RPTFMTRNG" localSheetId="0">Feuil1!$B$1:$I$8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9" i="1"/>
  <c r="C18" i="1"/>
  <c r="C19" i="1"/>
  <c r="I24" i="1"/>
  <c r="H24" i="1"/>
  <c r="G24" i="1"/>
  <c r="F24" i="1"/>
  <c r="E24" i="1"/>
  <c r="D24" i="1"/>
  <c r="H15" i="1"/>
  <c r="C25" i="1"/>
  <c r="B25" i="1"/>
  <c r="F25" i="1"/>
  <c r="G25" i="1"/>
  <c r="H25" i="1"/>
  <c r="I25" i="1"/>
  <c r="E25" i="1"/>
  <c r="D25" i="1"/>
  <c r="C23" i="1"/>
  <c r="A25" i="1"/>
  <c r="A5" i="1"/>
  <c r="A4" i="1"/>
  <c r="A3" i="1"/>
  <c r="A2" i="1"/>
</calcChain>
</file>

<file path=xl/sharedStrings.xml><?xml version="1.0" encoding="utf-8"?>
<sst xmlns="http://schemas.openxmlformats.org/spreadsheetml/2006/main" count="50" uniqueCount="45">
  <si>
    <t>Current_Year</t>
  </si>
  <si>
    <t>Current_Month</t>
  </si>
  <si>
    <t>Currency</t>
  </si>
  <si>
    <t>Origin_Company</t>
  </si>
  <si>
    <t>Actuality</t>
  </si>
  <si>
    <t>Customer_Supplier</t>
  </si>
  <si>
    <t>Company_Owner</t>
  </si>
  <si>
    <t>Total_Month</t>
  </si>
  <si>
    <t>TOTAL PRODUCT</t>
  </si>
  <si>
    <t>L - 000 -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</si>
  <si>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</si>
  <si>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</si>
  <si>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</si>
  <si>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</si>
  <si>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</si>
  <si>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</si>
  <si>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</si>
  <si>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</si>
  <si>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</si>
  <si>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</si>
  <si>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- 712000 - CHOPPERS</t>
  </si>
  <si>
    <t>L - 715000 - BEDDING &amp; FEEDING</t>
  </si>
  <si>
    <t>L - 718000 - MANURE SPREADING</t>
  </si>
  <si>
    <t>L - 719000 - NON CONVENTIO. HARVESTING</t>
  </si>
  <si>
    <t>L - 720000 - FREIGHT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</si>
  <si>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</si>
  <si>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</si>
  <si>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</si>
  <si>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</si>
  <si>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</si>
  <si>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</si>
  <si>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</si>
  <si>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</si>
  <si>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</si>
  <si>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 SERVICES/EQUIPMENT</t>
  </si>
  <si>
    <t>L - 999000 - RECONCILIATION GEN</t>
  </si>
  <si>
    <t>L - NA - Not Available</t>
  </si>
  <si>
    <t>D</t>
  </si>
  <si>
    <t>N</t>
  </si>
  <si>
    <t>[Begin Format Range]</t>
  </si>
  <si>
    <t>[End Format Range]</t>
  </si>
  <si>
    <t>amount in Local Currency</t>
  </si>
  <si>
    <t>Product</t>
  </si>
  <si>
    <t>Area</t>
  </si>
  <si>
    <t>data to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</si>
</sst>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b/>
      <sz val="4"/>
      <color theme="1" tint="0.499984740745262"/>
      <name val="Calibri"/>
      <family val="2"/>
      <scheme val="minor"/>
    </font>
    <font>
      <b/>
      <sz val="4"/>
      <color rgb="FFEC701C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rgb="FFC8C8C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F93D1"/>
        <bgColor indexed="64"/>
      </patternFill>
    </fill>
    <fill>
      <patternFill patternType="solid">
        <fgColor rgb="FFEC701C"/>
        <bgColor indexed="64"/>
      </patternFill>
    </fill>
    <fill>
      <patternFill patternType="solid">
        <fgColor rgb="FF00B4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3" fontId="3" fillId="2" borderId="0" xfId="0" applyNumberFormat="1" applyFont="1" applyFill="1"/>
    <xf numFmtId="3" fontId="3" fillId="3" borderId="0" xfId="0" applyNumberFormat="1" applyFont="1" applyFill="1"/>
    <xf numFmtId="3" fontId="3" fillId="0" borderId="0" xfId="0" applyNumberFormat="1" applyFont="1"/>
    <xf numFmtId="0" fontId="0" fillId="4" borderId="0" xfId="0" applyFill="1" applyBorder="1"/>
    <xf numFmtId="0" fontId="1" fillId="5" borderId="0" xfId="0" applyFont="1" applyFill="1"/>
    <xf numFmtId="0" fontId="4" fillId="5" borderId="0" xfId="0" applyFont="1" applyFill="1"/>
    <xf numFmtId="0" fontId="0" fillId="6" borderId="0" xfId="0" applyFill="1"/>
    <xf numFmtId="3" fontId="3" fillId="6" borderId="0" xfId="0" applyNumberFormat="1" applyFont="1" applyFill="1"/>
    <xf numFmtId="0" fontId="0" fillId="7" borderId="0" xfId="0" applyFill="1"/>
    <xf numFmtId="3" fontId="3" fillId="7" borderId="0" xfId="0" applyNumberFormat="1" applyFont="1" applyFill="1"/>
    <xf numFmtId="3" fontId="3" fillId="2" borderId="2" xfId="0" applyNumberFormat="1" applyFont="1" applyFill="1" applyBorder="1"/>
    <xf numFmtId="3" fontId="3" fillId="3" borderId="2" xfId="0" applyNumberFormat="1" applyFont="1" applyFill="1" applyBorder="1"/>
    <xf numFmtId="3" fontId="3" fillId="6" borderId="2" xfId="0" applyNumberFormat="1" applyFont="1" applyFill="1" applyBorder="1"/>
    <xf numFmtId="3" fontId="3" fillId="7" borderId="2" xfId="0" applyNumberFormat="1" applyFont="1" applyFill="1" applyBorder="1"/>
    <xf numFmtId="3" fontId="3" fillId="0" borderId="2" xfId="0" applyNumberFormat="1" applyFont="1" applyBorder="1"/>
    <xf numFmtId="3" fontId="3" fillId="2" borderId="3" xfId="0" applyNumberFormat="1" applyFont="1" applyFill="1" applyBorder="1"/>
    <xf numFmtId="3" fontId="3" fillId="3" borderId="3" xfId="0" applyNumberFormat="1" applyFont="1" applyFill="1" applyBorder="1"/>
    <xf numFmtId="3" fontId="3" fillId="6" borderId="3" xfId="0" applyNumberFormat="1" applyFont="1" applyFill="1" applyBorder="1"/>
    <xf numFmtId="3" fontId="3" fillId="7" borderId="3" xfId="0" applyNumberFormat="1" applyFont="1" applyFill="1" applyBorder="1"/>
    <xf numFmtId="3" fontId="3" fillId="0" borderId="3" xfId="0" applyNumberFormat="1" applyFont="1" applyBorder="1"/>
    <xf numFmtId="0" fontId="0" fillId="0" borderId="0" xfId="0" applyAlignment="1">
      <alignment horizontal="center" vertical="center" wrapText="1"/>
    </xf>
    <xf numFmtId="3" fontId="0" fillId="0" borderId="0" xfId="0" applyNumberFormat="1"/>
    <xf numFmtId="3" fontId="0" fillId="4" borderId="0" xfId="0" applyNumberFormat="1" applyFill="1" applyBorder="1"/>
    <xf numFmtId="3" fontId="1" fillId="5" borderId="0" xfId="0" applyNumberFormat="1" applyFont="1" applyFill="1"/>
    <xf numFmtId="3" fontId="6" fillId="5" borderId="0" xfId="0" applyNumberFormat="1" applyFont="1" applyFill="1" applyAlignment="1">
      <alignment horizontal="center"/>
    </xf>
    <xf numFmtId="3" fontId="1" fillId="5" borderId="0" xfId="0" applyNumberFormat="1" applyFont="1" applyFill="1" applyBorder="1" applyAlignment="1">
      <alignment horizontal="center"/>
    </xf>
    <xf numFmtId="3" fontId="2" fillId="8" borderId="4" xfId="0" applyNumberFormat="1" applyFont="1" applyFill="1" applyBorder="1" applyAlignment="1">
      <alignment horizontal="center" vertical="top" wrapText="1"/>
    </xf>
    <xf numFmtId="3" fontId="2" fillId="8" borderId="6" xfId="0" applyNumberFormat="1" applyFont="1" applyFill="1" applyBorder="1" applyAlignment="1">
      <alignment horizontal="center" vertical="top" wrapText="1"/>
    </xf>
    <xf numFmtId="3" fontId="2" fillId="9" borderId="4" xfId="0" applyNumberFormat="1" applyFont="1" applyFill="1" applyBorder="1" applyAlignment="1">
      <alignment horizontal="center" vertical="top" wrapText="1"/>
    </xf>
    <xf numFmtId="3" fontId="2" fillId="9" borderId="6" xfId="0" applyNumberFormat="1" applyFont="1" applyFill="1" applyBorder="1" applyAlignment="1">
      <alignment horizontal="center" vertical="top" wrapText="1"/>
    </xf>
    <xf numFmtId="3" fontId="2" fillId="10" borderId="5" xfId="0" applyNumberFormat="1" applyFont="1" applyFill="1" applyBorder="1" applyAlignment="1">
      <alignment horizontal="center" vertical="top" wrapText="1"/>
    </xf>
    <xf numFmtId="3" fontId="2" fillId="10" borderId="6" xfId="0" applyNumberFormat="1" applyFont="1" applyFill="1" applyBorder="1" applyAlignment="1">
      <alignment horizontal="center" vertical="top" wrapText="1"/>
    </xf>
    <xf numFmtId="0" fontId="4" fillId="5" borderId="0" xfId="0" applyFont="1" applyFill="1" applyAlignment="1">
      <alignment horizontal="center" vertical="center" wrapText="1"/>
    </xf>
    <xf numFmtId="3" fontId="7" fillId="9" borderId="0" xfId="0" applyNumberFormat="1" applyFont="1" applyFill="1" applyAlignment="1">
      <alignment horizontal="center"/>
    </xf>
    <xf numFmtId="0" fontId="8" fillId="5" borderId="2" xfId="0" applyFont="1" applyFill="1" applyBorder="1" applyAlignment="1">
      <alignment horizontal="center"/>
    </xf>
    <xf numFmtId="3" fontId="4" fillId="5" borderId="0" xfId="0" applyNumberFormat="1" applyFont="1" applyFill="1" applyAlignment="1">
      <alignment horizontal="center"/>
    </xf>
    <xf numFmtId="3" fontId="5" fillId="5" borderId="0" xfId="0" applyNumberFormat="1" applyFont="1" applyFill="1" applyAlignment="1">
      <alignment horizontal="left"/>
    </xf>
    <xf numFmtId="3" fontId="9" fillId="9" borderId="0" xfId="0" applyNumberFormat="1" applyFont="1" applyFill="1" applyAlignment="1">
      <alignment horizontal="center"/>
    </xf>
    <xf numFmtId="164" fontId="1" fillId="2" borderId="1" xfId="0" applyNumberFormat="1" applyFont="1" applyFill="1" applyBorder="1" applyAlignment="1"/>
    <xf numFmtId="165" fontId="0" fillId="2" borderId="0" xfId="0" applyNumberForma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C701C"/>
      <color rgb="FF00B400"/>
      <color rgb="FF009900"/>
      <color rgb="FF4F93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884"/>
  <ax:ocxPr ax:name="_ExtentY" ax:value="1032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16</xdr:row>
          <xdr:rowOff>76200</xdr:rowOff>
        </xdr:from>
        <xdr:to>
          <xdr:col>6</xdr:col>
          <xdr:colOff>28575</xdr:colOff>
          <xdr:row>17</xdr:row>
          <xdr:rowOff>161925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9</xdr:row>
      <xdr:rowOff>21167</xdr:rowOff>
    </xdr:from>
    <xdr:to>
      <xdr:col>5</xdr:col>
      <xdr:colOff>607608</xdr:colOff>
      <xdr:row>12</xdr:row>
      <xdr:rowOff>172451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5667"/>
          <a:ext cx="7789333" cy="7227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L5375"/>
  <sheetViews>
    <sheetView showGridLines="0" tabSelected="1" topLeftCell="B10" zoomScale="85" zoomScaleNormal="85" workbookViewId="0">
      <pane xSplit="2" ySplit="15" topLeftCell="D25" activePane="bottomRight" state="frozen"/>
      <selection activeCell="B10" sqref="B10"/>
      <selection pane="topRight" activeCell="D10" sqref="D10"/>
      <selection pane="bottomLeft" activeCell="B25" sqref="B25"/>
      <selection pane="bottomRight" activeCell="D25" sqref="D25"/>
    </sheetView>
  </sheetViews>
  <sheetFormatPr defaultColWidth="0" defaultRowHeight="15" zeroHeight="1" x14ac:dyDescent="0.25"/>
  <cols>
    <col min="1" max="1" width="20.140625" hidden="1" customWidth="1"/>
    <col min="2" max="2" width="47.140625" customWidth="1"/>
    <col min="3" max="3" width="30.28515625" customWidth="1"/>
    <col min="4" max="4" width="11.7109375" style="26" customWidth="1"/>
    <col min="5" max="5" width="18.7109375" style="26" customWidth="1"/>
    <col min="6" max="6" width="11.7109375" style="26" customWidth="1"/>
    <col min="7" max="7" width="18.7109375" style="26" customWidth="1"/>
    <col min="8" max="8" width="11.7109375" style="26" customWidth="1"/>
    <col min="9" max="9" width="18.7109375" style="26" customWidth="1"/>
    <col min="10" max="10" width="1.28515625" hidden="1"/>
    <col min="11" max="11" width="1.5703125" hidden="1"/>
    <col min="1001" max="16384" width="11.42578125" hidden="1"/>
  </cols>
  <sheetData>
    <row r="1" spans="1:11" hidden="1" x14ac:dyDescent="0.25">
      <c r="A1" t="s">
        <v>39</v>
      </c>
    </row>
    <row r="2" spans="1:11" hidden="1" x14ac:dyDescent="0.25">
      <c r="A2">
        <f>0</f>
        <v>0</v>
      </c>
      <c r="B2" s="2"/>
      <c r="C2" s="1"/>
      <c r="D2" s="15"/>
      <c r="E2" s="20"/>
      <c r="F2" s="5"/>
      <c r="G2" s="20"/>
      <c r="H2" s="15"/>
      <c r="I2" s="20"/>
    </row>
    <row r="3" spans="1:11" hidden="1" x14ac:dyDescent="0.25">
      <c r="A3">
        <f>1</f>
        <v>1</v>
      </c>
      <c r="B3" s="3"/>
      <c r="C3" s="4"/>
      <c r="D3" s="16"/>
      <c r="E3" s="21"/>
      <c r="F3" s="6"/>
      <c r="G3" s="21"/>
      <c r="H3" s="16"/>
      <c r="I3" s="21"/>
    </row>
    <row r="4" spans="1:11" hidden="1" x14ac:dyDescent="0.25">
      <c r="A4">
        <f>2</f>
        <v>2</v>
      </c>
      <c r="B4" s="3"/>
      <c r="C4" s="11"/>
      <c r="D4" s="17"/>
      <c r="E4" s="22"/>
      <c r="F4" s="12"/>
      <c r="G4" s="22"/>
      <c r="H4" s="17"/>
      <c r="I4" s="22"/>
    </row>
    <row r="5" spans="1:11" hidden="1" x14ac:dyDescent="0.25">
      <c r="A5">
        <f>3</f>
        <v>3</v>
      </c>
      <c r="B5" s="3"/>
      <c r="C5" s="13"/>
      <c r="D5" s="18"/>
      <c r="E5" s="23"/>
      <c r="F5" s="14"/>
      <c r="G5" s="23"/>
      <c r="H5" s="18"/>
      <c r="I5" s="23"/>
    </row>
    <row r="6" spans="1:11" hidden="1" x14ac:dyDescent="0.25">
      <c r="A6" t="s">
        <v>37</v>
      </c>
      <c r="B6" s="3"/>
      <c r="C6" s="4"/>
      <c r="D6" s="16"/>
      <c r="E6" s="21"/>
      <c r="F6" s="6"/>
      <c r="G6" s="21"/>
      <c r="H6" s="16"/>
      <c r="I6" s="21"/>
    </row>
    <row r="7" spans="1:11" hidden="1" x14ac:dyDescent="0.25">
      <c r="A7" t="s">
        <v>38</v>
      </c>
      <c r="B7" s="3"/>
      <c r="D7" s="19"/>
      <c r="E7" s="24"/>
      <c r="F7" s="7"/>
      <c r="G7" s="24"/>
      <c r="H7" s="19"/>
      <c r="I7" s="24"/>
    </row>
    <row r="8" spans="1:11" hidden="1" x14ac:dyDescent="0.25">
      <c r="A8" t="s">
        <v>40</v>
      </c>
    </row>
    <row r="9" spans="1:11" hidden="1" x14ac:dyDescent="0.25">
      <c r="B9" t="str">
        <f ca="1">_xll.TM1RPTVIEW("CXMD:FTM_DATA_MARGIN:ARPT1", 0, _xll.TM1RPTTITLE("CXMD:Actuality",$C$18), _xll.TM1RPTTITLE("CXMD:DIM_Origin_Company",$C$17),_xll.TM1RPTTITLE("CXMD:DIM_Customer_Supplier",$C$19),TM1RPTFMTRNG,TM1RPTFMTIDCOL)</f>
        <v>CXMD:FTM_DATA_MARGIN:ARPT1</v>
      </c>
    </row>
    <row r="10" spans="1:11" x14ac:dyDescent="0.25">
      <c r="B10" s="8"/>
      <c r="C10" s="8"/>
      <c r="D10" s="27"/>
      <c r="E10" s="27"/>
      <c r="F10" s="27"/>
      <c r="G10" s="27"/>
      <c r="H10" s="27"/>
      <c r="I10" s="27"/>
      <c r="J10" s="8"/>
      <c r="K10" s="8"/>
    </row>
    <row r="11" spans="1:11" x14ac:dyDescent="0.25">
      <c r="B11" s="8"/>
      <c r="C11" s="8"/>
      <c r="D11" s="27"/>
      <c r="E11" s="27"/>
      <c r="F11" s="27"/>
      <c r="G11" s="27"/>
      <c r="H11" s="27"/>
      <c r="I11" s="27"/>
      <c r="J11" s="8"/>
      <c r="K11" s="8"/>
    </row>
    <row r="12" spans="1:11" x14ac:dyDescent="0.25">
      <c r="B12" s="8"/>
      <c r="C12" s="8"/>
      <c r="D12" s="27"/>
      <c r="E12" s="27"/>
      <c r="F12" s="27"/>
      <c r="G12" s="27"/>
      <c r="H12" s="27"/>
      <c r="I12" s="27"/>
      <c r="J12" s="8"/>
      <c r="K12" s="8"/>
    </row>
    <row r="13" spans="1:11" x14ac:dyDescent="0.25">
      <c r="B13" s="8"/>
      <c r="C13" s="8"/>
      <c r="D13" s="27"/>
      <c r="E13" s="27"/>
      <c r="F13" s="27"/>
      <c r="G13" s="27"/>
      <c r="H13" s="27"/>
      <c r="I13" s="27"/>
      <c r="J13" s="8"/>
      <c r="K13" s="8"/>
    </row>
    <row r="14" spans="1:11" x14ac:dyDescent="0.25">
      <c r="B14" s="9" t="s">
        <v>0</v>
      </c>
      <c r="C14" s="10"/>
      <c r="D14" s="28"/>
      <c r="E14" s="28"/>
      <c r="F14" s="28"/>
      <c r="G14" s="28"/>
      <c r="H14" s="28"/>
      <c r="I14" s="28"/>
    </row>
    <row r="15" spans="1:11" x14ac:dyDescent="0.25">
      <c r="B15" s="9" t="s">
        <v>1</v>
      </c>
      <c r="C15" s="10"/>
      <c r="D15" s="28"/>
      <c r="E15" s="28"/>
      <c r="F15" s="28"/>
      <c r="G15" s="28"/>
      <c r="H15" s="30" t="str">
        <f ca="1">CONCATENATE(_xll.DBRA("CXMD:Company",C17,"Company"),"_SALES")</f>
        <v>Y_SALES</v>
      </c>
      <c r="I15" s="28"/>
    </row>
    <row r="16" spans="1:11" x14ac:dyDescent="0.25">
      <c r="B16" s="9" t="s">
        <v>2</v>
      </c>
      <c r="C16" s="10"/>
      <c r="D16" s="28"/>
      <c r="E16" s="28"/>
      <c r="F16" s="28"/>
      <c r="G16" s="28"/>
      <c r="H16" s="28"/>
      <c r="I16" s="28"/>
    </row>
    <row r="17" spans="1:9" x14ac:dyDescent="0.25">
      <c r="B17" s="9" t="s">
        <v>3</v>
      </c>
      <c r="C17" s="10" t="str">
        <f ca="1">_xll.SUBNM("CXMD:DIM_Origin_Company","","Y","Name EN")</f>
        <v>SILVA</v>
      </c>
      <c r="D17" s="28"/>
      <c r="E17" s="28"/>
      <c r="F17" s="28"/>
      <c r="G17" s="28"/>
      <c r="H17" s="28"/>
      <c r="I17" s="28"/>
    </row>
    <row r="18" spans="1:9" x14ac:dyDescent="0.25">
      <c r="B18" s="9" t="s">
        <v>4</v>
      </c>
      <c r="C18" s="10" t="str">
        <f ca="1">_xll.SUBNM("CXMD:Actuality","","WK2","Description EN")</f>
        <v>WK2 - 2022</v>
      </c>
      <c r="D18" s="28"/>
      <c r="E18" s="28"/>
      <c r="F18" s="28"/>
      <c r="G18" s="28"/>
      <c r="H18" s="28"/>
      <c r="I18" s="28"/>
    </row>
    <row r="19" spans="1:9" x14ac:dyDescent="0.25">
      <c r="B19" s="9" t="s">
        <v>5</v>
      </c>
      <c r="C19" s="10" t="str">
        <f ca="1">_xll.SUBNM("CXMD:DIM_Customer_Supplier","","Total_Customer_Supplier")</f>
        <v>Total_Customer_Supplier</v>
      </c>
      <c r="D19" s="28"/>
      <c r="E19" s="28"/>
      <c r="F19" s="28"/>
      <c r="G19" s="28"/>
      <c r="H19" s="28"/>
      <c r="I19" s="28"/>
    </row>
    <row r="20" spans="1:9" x14ac:dyDescent="0.25">
      <c r="B20" s="9" t="s">
        <v>6</v>
      </c>
      <c r="C20" s="10"/>
      <c r="D20" s="28"/>
      <c r="E20" s="28"/>
      <c r="F20" s="28"/>
      <c r="G20" s="28"/>
      <c r="H20" s="28"/>
      <c r="I20" s="28"/>
    </row>
    <row r="21" spans="1:9" x14ac:dyDescent="0.25">
      <c r="B21" s="9"/>
      <c r="C21" s="9"/>
      <c r="D21" s="28"/>
      <c r="E21" s="28"/>
      <c r="F21" s="28"/>
      <c r="G21" s="28"/>
      <c r="H21" s="28"/>
      <c r="I21" s="28"/>
    </row>
    <row r="22" spans="1:9" x14ac:dyDescent="0.25">
      <c r="B22" s="39" t="s">
        <v>41</v>
      </c>
      <c r="C22" s="9"/>
      <c r="D22" s="28"/>
      <c r="E22" s="28"/>
      <c r="F22" s="42" t="s">
        <v>44</v>
      </c>
      <c r="G22" s="42"/>
      <c r="H22" s="28"/>
      <c r="I22" s="28"/>
    </row>
    <row r="23" spans="1:9" x14ac:dyDescent="0.25">
      <c r="B23" s="9"/>
      <c r="C23" s="40" t="str">
        <f>D23</f>
        <v>Total_Month</v>
      </c>
      <c r="D23" s="41" t="s">
        <v>7</v>
      </c>
      <c r="E23" s="29" t="s">
        <v>7</v>
      </c>
      <c r="F23" s="38" t="s">
        <v>7</v>
      </c>
      <c r="G23" s="38" t="s">
        <v>7</v>
      </c>
      <c r="H23" s="29" t="s">
        <v>7</v>
      </c>
      <c r="I23" s="29" t="s">
        <v>7</v>
      </c>
    </row>
    <row r="24" spans="1:9" s="25" customFormat="1" ht="38.25" customHeight="1" x14ac:dyDescent="0.25">
      <c r="B24" s="37" t="s">
        <v>42</v>
      </c>
      <c r="C24" s="37" t="s">
        <v>43</v>
      </c>
      <c r="D24" s="31" t="str">
        <f ca="1">_xll.SUBNM("CXMD:Amount_Prev_Margin","","QTY_ERPK")</f>
        <v>QTY_ERPK</v>
      </c>
      <c r="E24" s="32" t="str">
        <f ca="1">_xll.SUBNM("CXMD:Amount_Prev_Margin","","SALES_ERPK")</f>
        <v>SALES_ERPK</v>
      </c>
      <c r="F24" s="33" t="str">
        <f ca="1">_xll.SUBNM("CXMD:Amount_Prev_Margin","","QTY_Adjustment")</f>
        <v>QTY_Adjustment</v>
      </c>
      <c r="G24" s="34" t="str">
        <f ca="1">_xll.SUBNM("CXMD:Amount_Prev_Margin","","Manual_adjustment")</f>
        <v>Manual_adjustment</v>
      </c>
      <c r="H24" s="35" t="str">
        <f ca="1">_xll.SUBNM("CXMD:Amount_Prev_Margin","","QTY")</f>
        <v>QTY</v>
      </c>
      <c r="I24" s="36" t="str">
        <f ca="1">_xll.SUBNM("CXMD:Amount_Prev_Margin","","SALES")</f>
        <v>SALES</v>
      </c>
    </row>
    <row r="25" spans="1:9" x14ac:dyDescent="0.25">
      <c r="A25" t="str">
        <f ca="1">IF(_xll.TM1RPTELISCONSOLIDATED($C$25,$C25),IF(_xll.TM1RPTELLEV($C$25,$C25)&lt;=3,_xll.TM1RPTELLEV($C$25,$C25),"D"),"N")</f>
        <v>N</v>
      </c>
      <c r="B25" s="43" t="str">
        <f ca="1">_xll.TM1RPTROW($B$9,"CXMD:DIM_Configuration","Sales",,"Description EN",0)</f>
        <v/>
      </c>
      <c r="C25" s="44" t="str">
        <f ca="1">_xll.TM1RPTROW($B$9,"CXMD:DIM_Allocation",,$H$15,"Allocation EN")</f>
        <v/>
      </c>
      <c r="D25" s="15" t="str">
        <f ca="1">_xll.DBRW($B$9,D$23,$C$18,$C$17,$C25,$C$19,$B25,D$24)</f>
        <v/>
      </c>
      <c r="E25" s="20" t="str">
        <f ca="1">_xll.DBRW($B$9,E$23,$C$18,$C$17,$C25,$C$19,$B25,E$24)</f>
        <v/>
      </c>
      <c r="F25" s="5" t="str">
        <f ca="1">_xll.DBRW($B$9,F$23,$C$18,$C$17,$C25,$C$19,$B25,F$24)</f>
        <v/>
      </c>
      <c r="G25" s="20" t="str">
        <f ca="1">_xll.DBRW($B$9,G$23,$C$18,$C$17,$C25,$C$19,$B25,G$24)</f>
        <v/>
      </c>
      <c r="H25" s="15" t="str">
        <f ca="1">_xll.DBRW($B$9,H$23,$C$18,$C$17,$C25,$C$19,$B25,H$24)</f>
        <v/>
      </c>
      <c r="I25" s="20" t="str">
        <f ca="1">_xll.DBRW($B$9,I$23,$C$18,$C$17,$C25,$C$19,$B25,I$24)</f>
        <v/>
      </c>
    </row>
    <row r="26" spans="1:9" hidden="1" x14ac:dyDescent="0.25"/>
    <row r="27" spans="1:9" hidden="1" x14ac:dyDescent="0.25"/>
    <row r="28" spans="1:9" hidden="1" x14ac:dyDescent="0.25"/>
    <row r="29" spans="1:9" hidden="1" x14ac:dyDescent="0.25"/>
    <row r="30" spans="1:9" hidden="1" x14ac:dyDescent="0.25"/>
    <row r="31" spans="1:9" hidden="1" x14ac:dyDescent="0.25"/>
    <row r="32" spans="1:9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8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  <row r="2052" hidden="1" x14ac:dyDescent="0.25"/>
    <row r="2053" hidden="1" x14ac:dyDescent="0.25"/>
    <row r="2054" hidden="1" x14ac:dyDescent="0.25"/>
    <row r="2055" hidden="1" x14ac:dyDescent="0.25"/>
    <row r="2056" hidden="1" x14ac:dyDescent="0.25"/>
    <row r="2057" hidden="1" x14ac:dyDescent="0.25"/>
    <row r="2058" hidden="1" x14ac:dyDescent="0.25"/>
    <row r="2059" hidden="1" x14ac:dyDescent="0.25"/>
    <row r="2060" hidden="1" x14ac:dyDescent="0.25"/>
    <row r="2061" hidden="1" x14ac:dyDescent="0.25"/>
    <row r="2062" hidden="1" x14ac:dyDescent="0.25"/>
    <row r="2063" hidden="1" x14ac:dyDescent="0.25"/>
    <row r="2064" hidden="1" x14ac:dyDescent="0.25"/>
    <row r="2065" hidden="1" x14ac:dyDescent="0.25"/>
    <row r="2066" hidden="1" x14ac:dyDescent="0.25"/>
    <row r="2067" hidden="1" x14ac:dyDescent="0.25"/>
    <row r="2068" hidden="1" x14ac:dyDescent="0.25"/>
    <row r="2069" hidden="1" x14ac:dyDescent="0.25"/>
    <row r="2070" hidden="1" x14ac:dyDescent="0.25"/>
    <row r="2071" hidden="1" x14ac:dyDescent="0.25"/>
    <row r="2072" hidden="1" x14ac:dyDescent="0.25"/>
    <row r="2073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hidden="1" x14ac:dyDescent="0.25"/>
    <row r="2130" hidden="1" x14ac:dyDescent="0.25"/>
    <row r="2131" hidden="1" x14ac:dyDescent="0.25"/>
    <row r="2132" hidden="1" x14ac:dyDescent="0.25"/>
    <row r="2133" hidden="1" x14ac:dyDescent="0.25"/>
    <row r="2134" hidden="1" x14ac:dyDescent="0.25"/>
    <row r="2135" hidden="1" x14ac:dyDescent="0.25"/>
    <row r="2136" hidden="1" x14ac:dyDescent="0.25"/>
    <row r="2137" hidden="1" x14ac:dyDescent="0.25"/>
    <row r="2138" hidden="1" x14ac:dyDescent="0.25"/>
    <row r="2139" hidden="1" x14ac:dyDescent="0.25"/>
    <row r="2140" hidden="1" x14ac:dyDescent="0.25"/>
    <row r="2141" hidden="1" x14ac:dyDescent="0.25"/>
    <row r="2142" hidden="1" x14ac:dyDescent="0.25"/>
    <row r="2143" hidden="1" x14ac:dyDescent="0.25"/>
    <row r="2144" hidden="1" x14ac:dyDescent="0.25"/>
    <row r="2145" hidden="1" x14ac:dyDescent="0.25"/>
    <row r="2146" hidden="1" x14ac:dyDescent="0.25"/>
    <row r="2147" hidden="1" x14ac:dyDescent="0.25"/>
    <row r="2148" hidden="1" x14ac:dyDescent="0.25"/>
    <row r="2149" hidden="1" x14ac:dyDescent="0.25"/>
    <row r="2150" hidden="1" x14ac:dyDescent="0.25"/>
    <row r="2151" hidden="1" x14ac:dyDescent="0.25"/>
    <row r="2152" hidden="1" x14ac:dyDescent="0.25"/>
    <row r="2153" hidden="1" x14ac:dyDescent="0.25"/>
    <row r="2154" hidden="1" x14ac:dyDescent="0.25"/>
    <row r="2155" hidden="1" x14ac:dyDescent="0.25"/>
    <row r="2156" hidden="1" x14ac:dyDescent="0.25"/>
    <row r="2157" hidden="1" x14ac:dyDescent="0.25"/>
    <row r="2158" hidden="1" x14ac:dyDescent="0.25"/>
    <row r="2159" hidden="1" x14ac:dyDescent="0.25"/>
    <row r="2160" hidden="1" x14ac:dyDescent="0.25"/>
    <row r="2161" hidden="1" x14ac:dyDescent="0.25"/>
    <row r="2162" hidden="1" x14ac:dyDescent="0.25"/>
    <row r="2163" hidden="1" x14ac:dyDescent="0.25"/>
    <row r="2164" hidden="1" x14ac:dyDescent="0.25"/>
    <row r="2165" hidden="1" x14ac:dyDescent="0.25"/>
    <row r="2166" hidden="1" x14ac:dyDescent="0.25"/>
    <row r="2167" hidden="1" x14ac:dyDescent="0.25"/>
    <row r="2168" hidden="1" x14ac:dyDescent="0.25"/>
    <row r="2169" hidden="1" x14ac:dyDescent="0.25"/>
    <row r="2170" hidden="1" x14ac:dyDescent="0.25"/>
    <row r="2171" hidden="1" x14ac:dyDescent="0.25"/>
    <row r="2172" hidden="1" x14ac:dyDescent="0.25"/>
    <row r="2173" hidden="1" x14ac:dyDescent="0.25"/>
    <row r="2174" hidden="1" x14ac:dyDescent="0.25"/>
    <row r="2175" hidden="1" x14ac:dyDescent="0.25"/>
    <row r="2176" hidden="1" x14ac:dyDescent="0.25"/>
    <row r="2177" hidden="1" x14ac:dyDescent="0.25"/>
    <row r="2178" hidden="1" x14ac:dyDescent="0.25"/>
    <row r="2179" hidden="1" x14ac:dyDescent="0.25"/>
    <row r="2180" hidden="1" x14ac:dyDescent="0.25"/>
    <row r="2181" hidden="1" x14ac:dyDescent="0.25"/>
    <row r="2182" hidden="1" x14ac:dyDescent="0.25"/>
    <row r="2183" hidden="1" x14ac:dyDescent="0.25"/>
    <row r="2184" hidden="1" x14ac:dyDescent="0.25"/>
    <row r="2185" hidden="1" x14ac:dyDescent="0.25"/>
    <row r="2186" hidden="1" x14ac:dyDescent="0.25"/>
    <row r="2187" hidden="1" x14ac:dyDescent="0.25"/>
    <row r="2188" hidden="1" x14ac:dyDescent="0.25"/>
    <row r="2189" hidden="1" x14ac:dyDescent="0.25"/>
    <row r="2190" hidden="1" x14ac:dyDescent="0.25"/>
    <row r="2191" hidden="1" x14ac:dyDescent="0.25"/>
    <row r="2192" hidden="1" x14ac:dyDescent="0.25"/>
    <row r="2193" hidden="1" x14ac:dyDescent="0.25"/>
    <row r="2194" hidden="1" x14ac:dyDescent="0.25"/>
    <row r="2195" hidden="1" x14ac:dyDescent="0.25"/>
    <row r="2196" hidden="1" x14ac:dyDescent="0.25"/>
    <row r="2197" hidden="1" x14ac:dyDescent="0.25"/>
    <row r="2198" hidden="1" x14ac:dyDescent="0.25"/>
    <row r="2199" hidden="1" x14ac:dyDescent="0.25"/>
    <row r="2200" hidden="1" x14ac:dyDescent="0.25"/>
    <row r="2201" hidden="1" x14ac:dyDescent="0.25"/>
    <row r="2202" hidden="1" x14ac:dyDescent="0.25"/>
    <row r="2203" hidden="1" x14ac:dyDescent="0.25"/>
    <row r="2204" hidden="1" x14ac:dyDescent="0.25"/>
    <row r="2205" hidden="1" x14ac:dyDescent="0.25"/>
    <row r="2206" hidden="1" x14ac:dyDescent="0.25"/>
    <row r="2207" hidden="1" x14ac:dyDescent="0.25"/>
    <row r="2208" hidden="1" x14ac:dyDescent="0.25"/>
    <row r="2209" hidden="1" x14ac:dyDescent="0.25"/>
    <row r="2210" hidden="1" x14ac:dyDescent="0.25"/>
    <row r="2211" hidden="1" x14ac:dyDescent="0.25"/>
    <row r="2212" hidden="1" x14ac:dyDescent="0.25"/>
    <row r="2213" hidden="1" x14ac:dyDescent="0.25"/>
    <row r="2214" hidden="1" x14ac:dyDescent="0.25"/>
    <row r="2215" hidden="1" x14ac:dyDescent="0.25"/>
    <row r="2216" hidden="1" x14ac:dyDescent="0.25"/>
    <row r="2217" hidden="1" x14ac:dyDescent="0.25"/>
    <row r="2218" hidden="1" x14ac:dyDescent="0.25"/>
    <row r="2219" hidden="1" x14ac:dyDescent="0.25"/>
    <row r="2220" hidden="1" x14ac:dyDescent="0.25"/>
    <row r="2221" hidden="1" x14ac:dyDescent="0.25"/>
    <row r="2222" hidden="1" x14ac:dyDescent="0.25"/>
    <row r="2223" hidden="1" x14ac:dyDescent="0.25"/>
    <row r="2224" hidden="1" x14ac:dyDescent="0.25"/>
    <row r="2225" hidden="1" x14ac:dyDescent="0.25"/>
    <row r="2226" hidden="1" x14ac:dyDescent="0.25"/>
    <row r="2227" hidden="1" x14ac:dyDescent="0.25"/>
    <row r="2228" hidden="1" x14ac:dyDescent="0.25"/>
    <row r="2229" hidden="1" x14ac:dyDescent="0.25"/>
    <row r="2230" hidden="1" x14ac:dyDescent="0.25"/>
    <row r="2231" hidden="1" x14ac:dyDescent="0.25"/>
    <row r="2232" hidden="1" x14ac:dyDescent="0.25"/>
    <row r="2233" hidden="1" x14ac:dyDescent="0.25"/>
    <row r="2234" hidden="1" x14ac:dyDescent="0.25"/>
    <row r="2235" hidden="1" x14ac:dyDescent="0.25"/>
    <row r="2236" hidden="1" x14ac:dyDescent="0.25"/>
    <row r="2237" hidden="1" x14ac:dyDescent="0.25"/>
    <row r="2238" hidden="1" x14ac:dyDescent="0.25"/>
    <row r="2239" hidden="1" x14ac:dyDescent="0.25"/>
    <row r="2240" hidden="1" x14ac:dyDescent="0.25"/>
    <row r="2241" hidden="1" x14ac:dyDescent="0.25"/>
    <row r="2242" hidden="1" x14ac:dyDescent="0.25"/>
    <row r="2243" hidden="1" x14ac:dyDescent="0.25"/>
    <row r="2244" hidden="1" x14ac:dyDescent="0.25"/>
    <row r="2245" hidden="1" x14ac:dyDescent="0.25"/>
    <row r="2246" hidden="1" x14ac:dyDescent="0.25"/>
    <row r="2247" hidden="1" x14ac:dyDescent="0.25"/>
    <row r="2248" hidden="1" x14ac:dyDescent="0.25"/>
    <row r="2249" hidden="1" x14ac:dyDescent="0.25"/>
    <row r="2250" hidden="1" x14ac:dyDescent="0.25"/>
    <row r="2251" hidden="1" x14ac:dyDescent="0.25"/>
    <row r="2252" hidden="1" x14ac:dyDescent="0.25"/>
    <row r="2253" hidden="1" x14ac:dyDescent="0.25"/>
    <row r="2254" hidden="1" x14ac:dyDescent="0.25"/>
    <row r="2255" hidden="1" x14ac:dyDescent="0.25"/>
    <row r="2256" hidden="1" x14ac:dyDescent="0.25"/>
    <row r="2257" hidden="1" x14ac:dyDescent="0.25"/>
    <row r="2258" hidden="1" x14ac:dyDescent="0.25"/>
    <row r="2259" hidden="1" x14ac:dyDescent="0.25"/>
    <row r="2260" hidden="1" x14ac:dyDescent="0.25"/>
    <row r="2261" hidden="1" x14ac:dyDescent="0.25"/>
    <row r="2262" hidden="1" x14ac:dyDescent="0.25"/>
    <row r="2263" hidden="1" x14ac:dyDescent="0.25"/>
    <row r="2264" hidden="1" x14ac:dyDescent="0.25"/>
    <row r="2265" hidden="1" x14ac:dyDescent="0.25"/>
    <row r="2266" hidden="1" x14ac:dyDescent="0.25"/>
    <row r="2267" hidden="1" x14ac:dyDescent="0.25"/>
    <row r="2268" hidden="1" x14ac:dyDescent="0.25"/>
    <row r="2269" hidden="1" x14ac:dyDescent="0.25"/>
    <row r="2270" hidden="1" x14ac:dyDescent="0.25"/>
    <row r="2271" hidden="1" x14ac:dyDescent="0.25"/>
    <row r="2272" hidden="1" x14ac:dyDescent="0.25"/>
    <row r="2273" hidden="1" x14ac:dyDescent="0.25"/>
    <row r="2274" hidden="1" x14ac:dyDescent="0.25"/>
    <row r="2275" hidden="1" x14ac:dyDescent="0.25"/>
    <row r="2276" hidden="1" x14ac:dyDescent="0.25"/>
    <row r="2277" hidden="1" x14ac:dyDescent="0.25"/>
    <row r="2278" hidden="1" x14ac:dyDescent="0.25"/>
    <row r="2279" hidden="1" x14ac:dyDescent="0.25"/>
    <row r="2280" hidden="1" x14ac:dyDescent="0.25"/>
    <row r="2281" hidden="1" x14ac:dyDescent="0.25"/>
    <row r="2282" hidden="1" x14ac:dyDescent="0.25"/>
    <row r="2283" hidden="1" x14ac:dyDescent="0.25"/>
    <row r="2284" hidden="1" x14ac:dyDescent="0.25"/>
    <row r="2285" hidden="1" x14ac:dyDescent="0.25"/>
    <row r="2286" hidden="1" x14ac:dyDescent="0.25"/>
    <row r="2287" hidden="1" x14ac:dyDescent="0.25"/>
    <row r="2288" hidden="1" x14ac:dyDescent="0.25"/>
    <row r="2289" hidden="1" x14ac:dyDescent="0.25"/>
    <row r="2290" hidden="1" x14ac:dyDescent="0.25"/>
    <row r="2291" hidden="1" x14ac:dyDescent="0.25"/>
    <row r="2292" hidden="1" x14ac:dyDescent="0.25"/>
    <row r="2293" hidden="1" x14ac:dyDescent="0.25"/>
    <row r="2294" hidden="1" x14ac:dyDescent="0.25"/>
    <row r="2295" hidden="1" x14ac:dyDescent="0.25"/>
    <row r="2296" hidden="1" x14ac:dyDescent="0.25"/>
    <row r="2297" hidden="1" x14ac:dyDescent="0.25"/>
    <row r="2298" hidden="1" x14ac:dyDescent="0.25"/>
    <row r="2299" hidden="1" x14ac:dyDescent="0.25"/>
    <row r="2300" hidden="1" x14ac:dyDescent="0.25"/>
    <row r="2301" hidden="1" x14ac:dyDescent="0.25"/>
    <row r="2302" hidden="1" x14ac:dyDescent="0.25"/>
    <row r="2303" hidden="1" x14ac:dyDescent="0.25"/>
    <row r="2304" hidden="1" x14ac:dyDescent="0.25"/>
    <row r="2305" hidden="1" x14ac:dyDescent="0.25"/>
    <row r="2306" hidden="1" x14ac:dyDescent="0.25"/>
    <row r="2307" hidden="1" x14ac:dyDescent="0.25"/>
    <row r="2308" hidden="1" x14ac:dyDescent="0.25"/>
    <row r="2309" hidden="1" x14ac:dyDescent="0.25"/>
    <row r="2310" hidden="1" x14ac:dyDescent="0.25"/>
    <row r="2311" hidden="1" x14ac:dyDescent="0.25"/>
    <row r="2312" hidden="1" x14ac:dyDescent="0.25"/>
    <row r="2313" hidden="1" x14ac:dyDescent="0.25"/>
    <row r="2314" hidden="1" x14ac:dyDescent="0.25"/>
    <row r="2315" hidden="1" x14ac:dyDescent="0.25"/>
    <row r="2316" hidden="1" x14ac:dyDescent="0.25"/>
    <row r="2317" hidden="1" x14ac:dyDescent="0.25"/>
    <row r="2318" hidden="1" x14ac:dyDescent="0.25"/>
    <row r="2319" hidden="1" x14ac:dyDescent="0.25"/>
    <row r="2320" hidden="1" x14ac:dyDescent="0.25"/>
    <row r="2321" hidden="1" x14ac:dyDescent="0.25"/>
    <row r="2322" hidden="1" x14ac:dyDescent="0.25"/>
    <row r="2323" hidden="1" x14ac:dyDescent="0.25"/>
    <row r="2324" hidden="1" x14ac:dyDescent="0.25"/>
    <row r="2325" hidden="1" x14ac:dyDescent="0.25"/>
    <row r="2326" hidden="1" x14ac:dyDescent="0.25"/>
    <row r="2327" hidden="1" x14ac:dyDescent="0.25"/>
    <row r="2328" hidden="1" x14ac:dyDescent="0.25"/>
    <row r="2329" hidden="1" x14ac:dyDescent="0.25"/>
    <row r="2330" hidden="1" x14ac:dyDescent="0.25"/>
    <row r="2331" hidden="1" x14ac:dyDescent="0.25"/>
    <row r="2332" hidden="1" x14ac:dyDescent="0.25"/>
    <row r="2333" hidden="1" x14ac:dyDescent="0.25"/>
    <row r="2334" hidden="1" x14ac:dyDescent="0.25"/>
    <row r="2335" hidden="1" x14ac:dyDescent="0.25"/>
    <row r="2336" hidden="1" x14ac:dyDescent="0.25"/>
    <row r="2337" hidden="1" x14ac:dyDescent="0.25"/>
    <row r="2338" hidden="1" x14ac:dyDescent="0.25"/>
    <row r="2339" hidden="1" x14ac:dyDescent="0.25"/>
    <row r="2340" hidden="1" x14ac:dyDescent="0.25"/>
    <row r="2341" hidden="1" x14ac:dyDescent="0.25"/>
    <row r="2342" hidden="1" x14ac:dyDescent="0.25"/>
    <row r="2343" hidden="1" x14ac:dyDescent="0.25"/>
    <row r="2344" hidden="1" x14ac:dyDescent="0.25"/>
    <row r="2345" hidden="1" x14ac:dyDescent="0.25"/>
    <row r="2346" hidden="1" x14ac:dyDescent="0.25"/>
    <row r="2347" hidden="1" x14ac:dyDescent="0.25"/>
    <row r="2348" hidden="1" x14ac:dyDescent="0.25"/>
    <row r="2349" hidden="1" x14ac:dyDescent="0.25"/>
    <row r="2350" hidden="1" x14ac:dyDescent="0.25"/>
    <row r="2351" hidden="1" x14ac:dyDescent="0.25"/>
    <row r="2352" hidden="1" x14ac:dyDescent="0.25"/>
    <row r="2353" hidden="1" x14ac:dyDescent="0.25"/>
    <row r="2354" hidden="1" x14ac:dyDescent="0.25"/>
    <row r="2355" hidden="1" x14ac:dyDescent="0.25"/>
    <row r="2356" hidden="1" x14ac:dyDescent="0.25"/>
    <row r="2357" hidden="1" x14ac:dyDescent="0.25"/>
    <row r="2358" hidden="1" x14ac:dyDescent="0.25"/>
    <row r="2359" hidden="1" x14ac:dyDescent="0.25"/>
    <row r="2360" hidden="1" x14ac:dyDescent="0.25"/>
    <row r="2361" hidden="1" x14ac:dyDescent="0.25"/>
    <row r="2362" hidden="1" x14ac:dyDescent="0.25"/>
    <row r="2363" hidden="1" x14ac:dyDescent="0.25"/>
    <row r="2364" hidden="1" x14ac:dyDescent="0.25"/>
    <row r="2365" hidden="1" x14ac:dyDescent="0.25"/>
    <row r="2366" hidden="1" x14ac:dyDescent="0.25"/>
    <row r="2367" hidden="1" x14ac:dyDescent="0.25"/>
    <row r="2368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399" hidden="1" x14ac:dyDescent="0.25"/>
    <row r="2400" hidden="1" x14ac:dyDescent="0.25"/>
    <row r="2401" hidden="1" x14ac:dyDescent="0.25"/>
    <row r="2402" hidden="1" x14ac:dyDescent="0.25"/>
    <row r="2403" hidden="1" x14ac:dyDescent="0.25"/>
    <row r="2404" hidden="1" x14ac:dyDescent="0.25"/>
    <row r="2405" hidden="1" x14ac:dyDescent="0.25"/>
    <row r="2406" hidden="1" x14ac:dyDescent="0.25"/>
    <row r="2407" hidden="1" x14ac:dyDescent="0.25"/>
    <row r="2408" hidden="1" x14ac:dyDescent="0.25"/>
    <row r="2409" hidden="1" x14ac:dyDescent="0.25"/>
    <row r="2410" hidden="1" x14ac:dyDescent="0.25"/>
    <row r="2411" hidden="1" x14ac:dyDescent="0.25"/>
    <row r="2412" hidden="1" x14ac:dyDescent="0.25"/>
    <row r="2413" hidden="1" x14ac:dyDescent="0.25"/>
    <row r="2414" hidden="1" x14ac:dyDescent="0.25"/>
    <row r="2415" hidden="1" x14ac:dyDescent="0.25"/>
    <row r="2416" hidden="1" x14ac:dyDescent="0.25"/>
    <row r="2417" hidden="1" x14ac:dyDescent="0.25"/>
    <row r="2418" hidden="1" x14ac:dyDescent="0.25"/>
    <row r="2419" hidden="1" x14ac:dyDescent="0.25"/>
    <row r="2420" hidden="1" x14ac:dyDescent="0.25"/>
    <row r="2421" hidden="1" x14ac:dyDescent="0.25"/>
    <row r="2422" hidden="1" x14ac:dyDescent="0.25"/>
    <row r="2423" hidden="1" x14ac:dyDescent="0.25"/>
    <row r="2424" hidden="1" x14ac:dyDescent="0.25"/>
    <row r="2425" hidden="1" x14ac:dyDescent="0.25"/>
    <row r="2426" hidden="1" x14ac:dyDescent="0.25"/>
    <row r="2427" hidden="1" x14ac:dyDescent="0.25"/>
    <row r="2428" hidden="1" x14ac:dyDescent="0.25"/>
    <row r="2429" hidden="1" x14ac:dyDescent="0.25"/>
    <row r="2430" hidden="1" x14ac:dyDescent="0.25"/>
    <row r="2431" hidden="1" x14ac:dyDescent="0.25"/>
    <row r="2432" hidden="1" x14ac:dyDescent="0.25"/>
    <row r="2433" hidden="1" x14ac:dyDescent="0.25"/>
    <row r="2434" hidden="1" x14ac:dyDescent="0.25"/>
    <row r="2435" hidden="1" x14ac:dyDescent="0.25"/>
    <row r="2436" hidden="1" x14ac:dyDescent="0.25"/>
    <row r="2437" hidden="1" x14ac:dyDescent="0.25"/>
    <row r="2438" hidden="1" x14ac:dyDescent="0.25"/>
    <row r="2439" hidden="1" x14ac:dyDescent="0.25"/>
    <row r="2440" hidden="1" x14ac:dyDescent="0.25"/>
    <row r="2441" hidden="1" x14ac:dyDescent="0.25"/>
    <row r="2442" hidden="1" x14ac:dyDescent="0.25"/>
    <row r="2443" hidden="1" x14ac:dyDescent="0.25"/>
    <row r="2444" hidden="1" x14ac:dyDescent="0.25"/>
    <row r="2445" hidden="1" x14ac:dyDescent="0.25"/>
    <row r="2446" hidden="1" x14ac:dyDescent="0.25"/>
    <row r="2447" hidden="1" x14ac:dyDescent="0.25"/>
    <row r="2448" hidden="1" x14ac:dyDescent="0.25"/>
    <row r="2449" hidden="1" x14ac:dyDescent="0.25"/>
    <row r="2450" hidden="1" x14ac:dyDescent="0.25"/>
    <row r="2451" hidden="1" x14ac:dyDescent="0.25"/>
    <row r="2452" hidden="1" x14ac:dyDescent="0.25"/>
    <row r="2453" hidden="1" x14ac:dyDescent="0.25"/>
    <row r="2454" hidden="1" x14ac:dyDescent="0.25"/>
    <row r="2455" hidden="1" x14ac:dyDescent="0.25"/>
    <row r="2456" hidden="1" x14ac:dyDescent="0.25"/>
    <row r="2457" hidden="1" x14ac:dyDescent="0.25"/>
    <row r="2458" hidden="1" x14ac:dyDescent="0.25"/>
    <row r="2459" hidden="1" x14ac:dyDescent="0.25"/>
    <row r="2460" hidden="1" x14ac:dyDescent="0.25"/>
    <row r="2461" hidden="1" x14ac:dyDescent="0.25"/>
    <row r="2462" hidden="1" x14ac:dyDescent="0.25"/>
    <row r="2463" hidden="1" x14ac:dyDescent="0.25"/>
    <row r="2464" hidden="1" x14ac:dyDescent="0.25"/>
    <row r="2465" hidden="1" x14ac:dyDescent="0.25"/>
    <row r="2466" hidden="1" x14ac:dyDescent="0.25"/>
    <row r="2467" hidden="1" x14ac:dyDescent="0.25"/>
    <row r="2468" hidden="1" x14ac:dyDescent="0.25"/>
    <row r="2469" hidden="1" x14ac:dyDescent="0.25"/>
    <row r="2470" hidden="1" x14ac:dyDescent="0.25"/>
    <row r="2471" hidden="1" x14ac:dyDescent="0.25"/>
    <row r="2472" hidden="1" x14ac:dyDescent="0.25"/>
    <row r="2473" hidden="1" x14ac:dyDescent="0.25"/>
    <row r="2474" hidden="1" x14ac:dyDescent="0.25"/>
    <row r="2475" hidden="1" x14ac:dyDescent="0.25"/>
    <row r="2476" hidden="1" x14ac:dyDescent="0.25"/>
    <row r="2477" hidden="1" x14ac:dyDescent="0.25"/>
    <row r="2478" hidden="1" x14ac:dyDescent="0.25"/>
    <row r="2479" hidden="1" x14ac:dyDescent="0.25"/>
    <row r="2480" hidden="1" x14ac:dyDescent="0.25"/>
    <row r="2481" hidden="1" x14ac:dyDescent="0.25"/>
    <row r="2482" hidden="1" x14ac:dyDescent="0.25"/>
    <row r="2483" hidden="1" x14ac:dyDescent="0.25"/>
    <row r="2484" hidden="1" x14ac:dyDescent="0.25"/>
    <row r="2485" hidden="1" x14ac:dyDescent="0.25"/>
    <row r="2486" hidden="1" x14ac:dyDescent="0.25"/>
    <row r="2487" hidden="1" x14ac:dyDescent="0.25"/>
    <row r="2488" hidden="1" x14ac:dyDescent="0.25"/>
    <row r="2489" hidden="1" x14ac:dyDescent="0.25"/>
    <row r="2490" hidden="1" x14ac:dyDescent="0.25"/>
    <row r="2491" hidden="1" x14ac:dyDescent="0.25"/>
    <row r="2492" hidden="1" x14ac:dyDescent="0.25"/>
    <row r="2493" hidden="1" x14ac:dyDescent="0.25"/>
    <row r="2494" hidden="1" x14ac:dyDescent="0.25"/>
    <row r="2495" hidden="1" x14ac:dyDescent="0.25"/>
    <row r="2496" hidden="1" x14ac:dyDescent="0.25"/>
    <row r="2497" hidden="1" x14ac:dyDescent="0.25"/>
    <row r="2498" hidden="1" x14ac:dyDescent="0.25"/>
    <row r="2499" hidden="1" x14ac:dyDescent="0.25"/>
    <row r="2500" hidden="1" x14ac:dyDescent="0.25"/>
    <row r="2501" hidden="1" x14ac:dyDescent="0.25"/>
    <row r="2502" hidden="1" x14ac:dyDescent="0.25"/>
    <row r="2503" hidden="1" x14ac:dyDescent="0.25"/>
    <row r="2504" hidden="1" x14ac:dyDescent="0.25"/>
    <row r="2505" hidden="1" x14ac:dyDescent="0.25"/>
    <row r="2506" hidden="1" x14ac:dyDescent="0.25"/>
    <row r="2507" hidden="1" x14ac:dyDescent="0.25"/>
    <row r="2508" hidden="1" x14ac:dyDescent="0.25"/>
    <row r="2509" hidden="1" x14ac:dyDescent="0.25"/>
    <row r="2510" hidden="1" x14ac:dyDescent="0.25"/>
    <row r="2511" hidden="1" x14ac:dyDescent="0.25"/>
    <row r="2512" hidden="1" x14ac:dyDescent="0.25"/>
    <row r="2513" hidden="1" x14ac:dyDescent="0.25"/>
    <row r="2514" hidden="1" x14ac:dyDescent="0.25"/>
    <row r="2515" hidden="1" x14ac:dyDescent="0.25"/>
    <row r="2516" hidden="1" x14ac:dyDescent="0.25"/>
    <row r="2517" hidden="1" x14ac:dyDescent="0.25"/>
    <row r="2518" hidden="1" x14ac:dyDescent="0.25"/>
    <row r="2519" hidden="1" x14ac:dyDescent="0.25"/>
    <row r="2520" hidden="1" x14ac:dyDescent="0.25"/>
    <row r="2521" hidden="1" x14ac:dyDescent="0.25"/>
    <row r="2522" hidden="1" x14ac:dyDescent="0.25"/>
    <row r="2523" hidden="1" x14ac:dyDescent="0.25"/>
    <row r="2524" hidden="1" x14ac:dyDescent="0.25"/>
    <row r="2525" hidden="1" x14ac:dyDescent="0.25"/>
    <row r="2526" hidden="1" x14ac:dyDescent="0.25"/>
    <row r="2527" hidden="1" x14ac:dyDescent="0.25"/>
    <row r="2528" hidden="1" x14ac:dyDescent="0.25"/>
    <row r="2529" hidden="1" x14ac:dyDescent="0.25"/>
    <row r="2530" hidden="1" x14ac:dyDescent="0.25"/>
    <row r="2531" hidden="1" x14ac:dyDescent="0.25"/>
    <row r="2532" hidden="1" x14ac:dyDescent="0.25"/>
    <row r="2533" hidden="1" x14ac:dyDescent="0.25"/>
    <row r="2534" hidden="1" x14ac:dyDescent="0.25"/>
    <row r="2535" hidden="1" x14ac:dyDescent="0.25"/>
    <row r="2536" hidden="1" x14ac:dyDescent="0.25"/>
    <row r="2537" hidden="1" x14ac:dyDescent="0.25"/>
    <row r="2538" hidden="1" x14ac:dyDescent="0.25"/>
    <row r="2539" hidden="1" x14ac:dyDescent="0.25"/>
    <row r="2540" hidden="1" x14ac:dyDescent="0.25"/>
    <row r="2541" hidden="1" x14ac:dyDescent="0.25"/>
    <row r="2542" hidden="1" x14ac:dyDescent="0.25"/>
    <row r="2543" hidden="1" x14ac:dyDescent="0.25"/>
    <row r="2544" hidden="1" x14ac:dyDescent="0.25"/>
    <row r="2545" hidden="1" x14ac:dyDescent="0.25"/>
    <row r="2546" hidden="1" x14ac:dyDescent="0.25"/>
    <row r="2547" hidden="1" x14ac:dyDescent="0.25"/>
    <row r="2548" hidden="1" x14ac:dyDescent="0.25"/>
    <row r="2549" hidden="1" x14ac:dyDescent="0.25"/>
    <row r="2550" hidden="1" x14ac:dyDescent="0.25"/>
    <row r="2551" hidden="1" x14ac:dyDescent="0.25"/>
    <row r="2552" hidden="1" x14ac:dyDescent="0.25"/>
    <row r="2553" hidden="1" x14ac:dyDescent="0.25"/>
    <row r="2554" hidden="1" x14ac:dyDescent="0.25"/>
    <row r="2555" hidden="1" x14ac:dyDescent="0.25"/>
    <row r="2556" hidden="1" x14ac:dyDescent="0.25"/>
    <row r="2557" hidden="1" x14ac:dyDescent="0.25"/>
    <row r="2558" hidden="1" x14ac:dyDescent="0.25"/>
    <row r="2559" hidden="1" x14ac:dyDescent="0.25"/>
    <row r="2560" hidden="1" x14ac:dyDescent="0.25"/>
    <row r="2561" hidden="1" x14ac:dyDescent="0.25"/>
    <row r="2562" hidden="1" x14ac:dyDescent="0.25"/>
    <row r="2563" hidden="1" x14ac:dyDescent="0.25"/>
    <row r="2564" hidden="1" x14ac:dyDescent="0.25"/>
    <row r="2565" hidden="1" x14ac:dyDescent="0.25"/>
    <row r="2566" hidden="1" x14ac:dyDescent="0.25"/>
    <row r="2567" hidden="1" x14ac:dyDescent="0.25"/>
    <row r="2568" hidden="1" x14ac:dyDescent="0.25"/>
    <row r="2569" hidden="1" x14ac:dyDescent="0.25"/>
    <row r="2570" hidden="1" x14ac:dyDescent="0.25"/>
    <row r="2571" hidden="1" x14ac:dyDescent="0.25"/>
    <row r="2572" hidden="1" x14ac:dyDescent="0.25"/>
    <row r="2573" hidden="1" x14ac:dyDescent="0.25"/>
    <row r="2574" hidden="1" x14ac:dyDescent="0.25"/>
    <row r="2575" hidden="1" x14ac:dyDescent="0.25"/>
    <row r="2576" hidden="1" x14ac:dyDescent="0.25"/>
    <row r="2577" hidden="1" x14ac:dyDescent="0.25"/>
    <row r="2578" hidden="1" x14ac:dyDescent="0.25"/>
    <row r="2579" hidden="1" x14ac:dyDescent="0.25"/>
    <row r="2580" hidden="1" x14ac:dyDescent="0.25"/>
    <row r="2581" hidden="1" x14ac:dyDescent="0.25"/>
    <row r="2582" hidden="1" x14ac:dyDescent="0.25"/>
    <row r="2583" hidden="1" x14ac:dyDescent="0.25"/>
    <row r="2584" hidden="1" x14ac:dyDescent="0.25"/>
    <row r="2585" hidden="1" x14ac:dyDescent="0.25"/>
    <row r="2586" hidden="1" x14ac:dyDescent="0.25"/>
    <row r="2587" hidden="1" x14ac:dyDescent="0.25"/>
    <row r="2588" hidden="1" x14ac:dyDescent="0.25"/>
    <row r="2589" hidden="1" x14ac:dyDescent="0.25"/>
    <row r="2590" hidden="1" x14ac:dyDescent="0.25"/>
    <row r="2591" hidden="1" x14ac:dyDescent="0.25"/>
    <row r="2592" hidden="1" x14ac:dyDescent="0.25"/>
    <row r="2593" hidden="1" x14ac:dyDescent="0.25"/>
    <row r="2594" hidden="1" x14ac:dyDescent="0.25"/>
    <row r="2595" hidden="1" x14ac:dyDescent="0.25"/>
    <row r="2596" hidden="1" x14ac:dyDescent="0.25"/>
    <row r="2597" hidden="1" x14ac:dyDescent="0.25"/>
    <row r="2598" hidden="1" x14ac:dyDescent="0.25"/>
    <row r="2599" hidden="1" x14ac:dyDescent="0.25"/>
    <row r="2600" hidden="1" x14ac:dyDescent="0.25"/>
    <row r="2601" hidden="1" x14ac:dyDescent="0.25"/>
    <row r="2602" hidden="1" x14ac:dyDescent="0.25"/>
    <row r="2603" hidden="1" x14ac:dyDescent="0.25"/>
    <row r="2604" hidden="1" x14ac:dyDescent="0.25"/>
    <row r="2605" hidden="1" x14ac:dyDescent="0.25"/>
    <row r="2606" hidden="1" x14ac:dyDescent="0.25"/>
    <row r="2607" hidden="1" x14ac:dyDescent="0.25"/>
    <row r="2608" hidden="1" x14ac:dyDescent="0.25"/>
    <row r="2609" hidden="1" x14ac:dyDescent="0.25"/>
    <row r="2610" hidden="1" x14ac:dyDescent="0.25"/>
    <row r="2611" hidden="1" x14ac:dyDescent="0.25"/>
    <row r="2612" hidden="1" x14ac:dyDescent="0.25"/>
    <row r="2613" hidden="1" x14ac:dyDescent="0.25"/>
    <row r="2614" hidden="1" x14ac:dyDescent="0.25"/>
    <row r="2615" hidden="1" x14ac:dyDescent="0.25"/>
    <row r="2616" hidden="1" x14ac:dyDescent="0.25"/>
    <row r="2617" hidden="1" x14ac:dyDescent="0.25"/>
    <row r="2618" hidden="1" x14ac:dyDescent="0.25"/>
    <row r="2619" hidden="1" x14ac:dyDescent="0.25"/>
    <row r="2620" hidden="1" x14ac:dyDescent="0.25"/>
    <row r="2621" hidden="1" x14ac:dyDescent="0.25"/>
    <row r="2622" hidden="1" x14ac:dyDescent="0.25"/>
    <row r="2623" hidden="1" x14ac:dyDescent="0.25"/>
    <row r="2624" hidden="1" x14ac:dyDescent="0.25"/>
    <row r="2625" hidden="1" x14ac:dyDescent="0.25"/>
    <row r="2626" hidden="1" x14ac:dyDescent="0.25"/>
    <row r="2627" hidden="1" x14ac:dyDescent="0.25"/>
    <row r="2628" hidden="1" x14ac:dyDescent="0.25"/>
    <row r="2629" hidden="1" x14ac:dyDescent="0.25"/>
    <row r="2630" hidden="1" x14ac:dyDescent="0.25"/>
    <row r="2631" hidden="1" x14ac:dyDescent="0.25"/>
    <row r="2632" hidden="1" x14ac:dyDescent="0.25"/>
    <row r="2633" hidden="1" x14ac:dyDescent="0.25"/>
    <row r="2634" hidden="1" x14ac:dyDescent="0.25"/>
    <row r="2635" hidden="1" x14ac:dyDescent="0.25"/>
    <row r="2636" hidden="1" x14ac:dyDescent="0.25"/>
    <row r="2637" hidden="1" x14ac:dyDescent="0.25"/>
    <row r="2638" hidden="1" x14ac:dyDescent="0.25"/>
    <row r="2639" hidden="1" x14ac:dyDescent="0.25"/>
    <row r="2640" hidden="1" x14ac:dyDescent="0.25"/>
    <row r="2641" hidden="1" x14ac:dyDescent="0.25"/>
    <row r="2642" hidden="1" x14ac:dyDescent="0.25"/>
    <row r="2643" hidden="1" x14ac:dyDescent="0.25"/>
    <row r="2644" hidden="1" x14ac:dyDescent="0.25"/>
    <row r="2645" hidden="1" x14ac:dyDescent="0.25"/>
    <row r="2646" hidden="1" x14ac:dyDescent="0.25"/>
    <row r="2647" hidden="1" x14ac:dyDescent="0.25"/>
    <row r="2648" hidden="1" x14ac:dyDescent="0.25"/>
    <row r="2649" hidden="1" x14ac:dyDescent="0.25"/>
    <row r="2650" hidden="1" x14ac:dyDescent="0.25"/>
    <row r="2651" hidden="1" x14ac:dyDescent="0.25"/>
    <row r="2652" hidden="1" x14ac:dyDescent="0.25"/>
    <row r="2653" hidden="1" x14ac:dyDescent="0.25"/>
    <row r="2654" hidden="1" x14ac:dyDescent="0.25"/>
    <row r="2655" hidden="1" x14ac:dyDescent="0.25"/>
    <row r="2656" hidden="1" x14ac:dyDescent="0.25"/>
    <row r="2657" hidden="1" x14ac:dyDescent="0.25"/>
    <row r="2658" hidden="1" x14ac:dyDescent="0.25"/>
    <row r="2659" hidden="1" x14ac:dyDescent="0.25"/>
    <row r="2660" hidden="1" x14ac:dyDescent="0.25"/>
    <row r="2661" hidden="1" x14ac:dyDescent="0.25"/>
    <row r="2662" hidden="1" x14ac:dyDescent="0.25"/>
    <row r="2663" hidden="1" x14ac:dyDescent="0.25"/>
    <row r="2664" hidden="1" x14ac:dyDescent="0.25"/>
    <row r="2665" hidden="1" x14ac:dyDescent="0.25"/>
    <row r="2666" hidden="1" x14ac:dyDescent="0.25"/>
    <row r="2667" hidden="1" x14ac:dyDescent="0.25"/>
    <row r="2668" hidden="1" x14ac:dyDescent="0.25"/>
    <row r="2669" hidden="1" x14ac:dyDescent="0.25"/>
    <row r="2670" hidden="1" x14ac:dyDescent="0.25"/>
    <row r="2671" hidden="1" x14ac:dyDescent="0.25"/>
    <row r="2672" hidden="1" x14ac:dyDescent="0.25"/>
    <row r="2673" hidden="1" x14ac:dyDescent="0.25"/>
    <row r="2674" hidden="1" x14ac:dyDescent="0.25"/>
    <row r="2675" hidden="1" x14ac:dyDescent="0.25"/>
    <row r="2676" hidden="1" x14ac:dyDescent="0.25"/>
    <row r="2677" hidden="1" x14ac:dyDescent="0.25"/>
    <row r="2678" hidden="1" x14ac:dyDescent="0.25"/>
    <row r="2679" hidden="1" x14ac:dyDescent="0.25"/>
    <row r="2680" hidden="1" x14ac:dyDescent="0.25"/>
    <row r="2681" hidden="1" x14ac:dyDescent="0.25"/>
    <row r="2682" hidden="1" x14ac:dyDescent="0.25"/>
    <row r="2683" hidden="1" x14ac:dyDescent="0.25"/>
    <row r="2684" hidden="1" x14ac:dyDescent="0.25"/>
    <row r="2685" hidden="1" x14ac:dyDescent="0.25"/>
    <row r="2686" hidden="1" x14ac:dyDescent="0.25"/>
    <row r="2687" hidden="1" x14ac:dyDescent="0.25"/>
    <row r="2688" hidden="1" x14ac:dyDescent="0.25"/>
    <row r="2689" hidden="1" x14ac:dyDescent="0.25"/>
    <row r="2690" hidden="1" x14ac:dyDescent="0.25"/>
    <row r="2691" hidden="1" x14ac:dyDescent="0.25"/>
    <row r="2692" hidden="1" x14ac:dyDescent="0.25"/>
    <row r="2693" hidden="1" x14ac:dyDescent="0.25"/>
    <row r="2694" hidden="1" x14ac:dyDescent="0.25"/>
    <row r="2695" hidden="1" x14ac:dyDescent="0.25"/>
    <row r="2696" hidden="1" x14ac:dyDescent="0.25"/>
    <row r="2697" hidden="1" x14ac:dyDescent="0.25"/>
    <row r="2698" hidden="1" x14ac:dyDescent="0.25"/>
    <row r="2699" hidden="1" x14ac:dyDescent="0.25"/>
    <row r="2700" hidden="1" x14ac:dyDescent="0.25"/>
    <row r="2701" hidden="1" x14ac:dyDescent="0.25"/>
    <row r="2702" hidden="1" x14ac:dyDescent="0.25"/>
    <row r="2703" hidden="1" x14ac:dyDescent="0.25"/>
    <row r="2704" hidden="1" x14ac:dyDescent="0.25"/>
    <row r="2705" hidden="1" x14ac:dyDescent="0.25"/>
    <row r="2706" hidden="1" x14ac:dyDescent="0.25"/>
    <row r="2707" hidden="1" x14ac:dyDescent="0.25"/>
    <row r="2708" hidden="1" x14ac:dyDescent="0.25"/>
    <row r="2709" hidden="1" x14ac:dyDescent="0.25"/>
    <row r="2710" hidden="1" x14ac:dyDescent="0.25"/>
    <row r="2711" hidden="1" x14ac:dyDescent="0.25"/>
    <row r="2712" hidden="1" x14ac:dyDescent="0.25"/>
    <row r="2713" hidden="1" x14ac:dyDescent="0.25"/>
    <row r="2714" hidden="1" x14ac:dyDescent="0.25"/>
    <row r="2715" hidden="1" x14ac:dyDescent="0.25"/>
    <row r="2716" hidden="1" x14ac:dyDescent="0.25"/>
    <row r="2717" hidden="1" x14ac:dyDescent="0.25"/>
    <row r="2718" hidden="1" x14ac:dyDescent="0.25"/>
    <row r="2719" hidden="1" x14ac:dyDescent="0.25"/>
    <row r="2720" hidden="1" x14ac:dyDescent="0.25"/>
    <row r="2721" hidden="1" x14ac:dyDescent="0.25"/>
    <row r="2722" hidden="1" x14ac:dyDescent="0.25"/>
    <row r="2723" hidden="1" x14ac:dyDescent="0.25"/>
    <row r="2724" hidden="1" x14ac:dyDescent="0.25"/>
    <row r="2725" hidden="1" x14ac:dyDescent="0.25"/>
    <row r="2726" hidden="1" x14ac:dyDescent="0.25"/>
    <row r="2727" hidden="1" x14ac:dyDescent="0.25"/>
    <row r="2728" hidden="1" x14ac:dyDescent="0.25"/>
    <row r="2729" hidden="1" x14ac:dyDescent="0.25"/>
    <row r="2730" hidden="1" x14ac:dyDescent="0.25"/>
    <row r="2731" hidden="1" x14ac:dyDescent="0.25"/>
    <row r="2732" hidden="1" x14ac:dyDescent="0.25"/>
    <row r="2733" hidden="1" x14ac:dyDescent="0.25"/>
    <row r="2734" hidden="1" x14ac:dyDescent="0.25"/>
    <row r="2735" hidden="1" x14ac:dyDescent="0.25"/>
    <row r="2736" hidden="1" x14ac:dyDescent="0.25"/>
    <row r="2737" hidden="1" x14ac:dyDescent="0.25"/>
    <row r="2738" hidden="1" x14ac:dyDescent="0.25"/>
    <row r="2739" hidden="1" x14ac:dyDescent="0.25"/>
    <row r="2740" hidden="1" x14ac:dyDescent="0.25"/>
    <row r="2741" hidden="1" x14ac:dyDescent="0.25"/>
    <row r="2742" hidden="1" x14ac:dyDescent="0.25"/>
    <row r="2743" hidden="1" x14ac:dyDescent="0.25"/>
    <row r="2744" hidden="1" x14ac:dyDescent="0.25"/>
    <row r="2745" hidden="1" x14ac:dyDescent="0.25"/>
    <row r="2746" hidden="1" x14ac:dyDescent="0.25"/>
    <row r="2747" hidden="1" x14ac:dyDescent="0.25"/>
    <row r="2748" hidden="1" x14ac:dyDescent="0.25"/>
    <row r="2749" hidden="1" x14ac:dyDescent="0.25"/>
    <row r="2750" hidden="1" x14ac:dyDescent="0.25"/>
    <row r="2751" hidden="1" x14ac:dyDescent="0.25"/>
    <row r="2752" hidden="1" x14ac:dyDescent="0.25"/>
    <row r="2753" hidden="1" x14ac:dyDescent="0.25"/>
    <row r="2754" hidden="1" x14ac:dyDescent="0.25"/>
    <row r="2755" hidden="1" x14ac:dyDescent="0.25"/>
    <row r="2756" hidden="1" x14ac:dyDescent="0.25"/>
    <row r="2757" hidden="1" x14ac:dyDescent="0.25"/>
    <row r="2758" hidden="1" x14ac:dyDescent="0.25"/>
    <row r="2759" hidden="1" x14ac:dyDescent="0.25"/>
    <row r="2760" hidden="1" x14ac:dyDescent="0.25"/>
    <row r="2761" hidden="1" x14ac:dyDescent="0.25"/>
    <row r="2762" hidden="1" x14ac:dyDescent="0.25"/>
    <row r="2763" hidden="1" x14ac:dyDescent="0.25"/>
    <row r="2764" hidden="1" x14ac:dyDescent="0.25"/>
    <row r="2765" hidden="1" x14ac:dyDescent="0.25"/>
    <row r="2766" hidden="1" x14ac:dyDescent="0.25"/>
    <row r="2767" hidden="1" x14ac:dyDescent="0.25"/>
    <row r="2768" hidden="1" x14ac:dyDescent="0.25"/>
    <row r="2769" hidden="1" x14ac:dyDescent="0.25"/>
    <row r="2770" hidden="1" x14ac:dyDescent="0.25"/>
    <row r="2771" hidden="1" x14ac:dyDescent="0.25"/>
    <row r="2772" hidden="1" x14ac:dyDescent="0.25"/>
    <row r="2773" hidden="1" x14ac:dyDescent="0.25"/>
    <row r="2774" hidden="1" x14ac:dyDescent="0.25"/>
    <row r="2775" hidden="1" x14ac:dyDescent="0.25"/>
    <row r="2776" hidden="1" x14ac:dyDescent="0.25"/>
    <row r="2777" hidden="1" x14ac:dyDescent="0.25"/>
    <row r="2778" hidden="1" x14ac:dyDescent="0.25"/>
    <row r="2779" hidden="1" x14ac:dyDescent="0.25"/>
    <row r="2780" hidden="1" x14ac:dyDescent="0.25"/>
    <row r="2781" hidden="1" x14ac:dyDescent="0.25"/>
    <row r="2782" hidden="1" x14ac:dyDescent="0.25"/>
    <row r="2783" hidden="1" x14ac:dyDescent="0.25"/>
    <row r="2784" hidden="1" x14ac:dyDescent="0.25"/>
    <row r="2785" hidden="1" x14ac:dyDescent="0.25"/>
    <row r="2786" hidden="1" x14ac:dyDescent="0.25"/>
    <row r="2787" hidden="1" x14ac:dyDescent="0.25"/>
    <row r="2788" hidden="1" x14ac:dyDescent="0.25"/>
    <row r="2789" hidden="1" x14ac:dyDescent="0.25"/>
    <row r="2790" hidden="1" x14ac:dyDescent="0.25"/>
    <row r="2791" hidden="1" x14ac:dyDescent="0.25"/>
    <row r="2792" hidden="1" x14ac:dyDescent="0.25"/>
    <row r="2793" hidden="1" x14ac:dyDescent="0.25"/>
    <row r="2794" hidden="1" x14ac:dyDescent="0.25"/>
    <row r="2795" hidden="1" x14ac:dyDescent="0.25"/>
    <row r="2796" hidden="1" x14ac:dyDescent="0.25"/>
    <row r="2797" hidden="1" x14ac:dyDescent="0.25"/>
    <row r="2798" hidden="1" x14ac:dyDescent="0.25"/>
    <row r="2799" hidden="1" x14ac:dyDescent="0.25"/>
    <row r="2800" hidden="1" x14ac:dyDescent="0.25"/>
    <row r="2801" hidden="1" x14ac:dyDescent="0.25"/>
    <row r="2802" hidden="1" x14ac:dyDescent="0.25"/>
    <row r="2803" hidden="1" x14ac:dyDescent="0.25"/>
    <row r="2804" hidden="1" x14ac:dyDescent="0.25"/>
    <row r="2805" hidden="1" x14ac:dyDescent="0.25"/>
    <row r="2806" hidden="1" x14ac:dyDescent="0.25"/>
    <row r="2807" hidden="1" x14ac:dyDescent="0.25"/>
    <row r="2808" hidden="1" x14ac:dyDescent="0.25"/>
    <row r="2809" hidden="1" x14ac:dyDescent="0.25"/>
    <row r="2810" hidden="1" x14ac:dyDescent="0.25"/>
    <row r="2811" hidden="1" x14ac:dyDescent="0.25"/>
    <row r="2812" hidden="1" x14ac:dyDescent="0.25"/>
    <row r="2813" hidden="1" x14ac:dyDescent="0.25"/>
    <row r="2814" hidden="1" x14ac:dyDescent="0.25"/>
    <row r="2815" hidden="1" x14ac:dyDescent="0.25"/>
    <row r="2816" hidden="1" x14ac:dyDescent="0.25"/>
    <row r="2817" hidden="1" x14ac:dyDescent="0.25"/>
    <row r="2818" hidden="1" x14ac:dyDescent="0.25"/>
    <row r="2819" hidden="1" x14ac:dyDescent="0.25"/>
    <row r="2820" hidden="1" x14ac:dyDescent="0.25"/>
    <row r="2821" hidden="1" x14ac:dyDescent="0.25"/>
    <row r="2822" hidden="1" x14ac:dyDescent="0.25"/>
    <row r="2823" hidden="1" x14ac:dyDescent="0.25"/>
    <row r="2824" hidden="1" x14ac:dyDescent="0.25"/>
    <row r="2825" hidden="1" x14ac:dyDescent="0.25"/>
    <row r="2826" hidden="1" x14ac:dyDescent="0.25"/>
    <row r="2827" hidden="1" x14ac:dyDescent="0.25"/>
    <row r="2828" hidden="1" x14ac:dyDescent="0.25"/>
    <row r="2829" hidden="1" x14ac:dyDescent="0.25"/>
    <row r="2830" hidden="1" x14ac:dyDescent="0.25"/>
    <row r="2831" hidden="1" x14ac:dyDescent="0.25"/>
    <row r="2832" hidden="1" x14ac:dyDescent="0.25"/>
    <row r="2833" hidden="1" x14ac:dyDescent="0.25"/>
    <row r="2834" hidden="1" x14ac:dyDescent="0.25"/>
    <row r="2835" hidden="1" x14ac:dyDescent="0.25"/>
    <row r="2836" hidden="1" x14ac:dyDescent="0.25"/>
    <row r="2837" hidden="1" x14ac:dyDescent="0.25"/>
    <row r="2838" hidden="1" x14ac:dyDescent="0.25"/>
    <row r="2839" hidden="1" x14ac:dyDescent="0.25"/>
    <row r="2840" hidden="1" x14ac:dyDescent="0.25"/>
    <row r="2841" hidden="1" x14ac:dyDescent="0.25"/>
    <row r="2842" hidden="1" x14ac:dyDescent="0.25"/>
    <row r="2843" hidden="1" x14ac:dyDescent="0.25"/>
    <row r="2844" hidden="1" x14ac:dyDescent="0.25"/>
    <row r="2845" hidden="1" x14ac:dyDescent="0.25"/>
    <row r="2846" hidden="1" x14ac:dyDescent="0.25"/>
    <row r="2847" hidden="1" x14ac:dyDescent="0.25"/>
    <row r="2848" hidden="1" x14ac:dyDescent="0.25"/>
    <row r="2849" hidden="1" x14ac:dyDescent="0.25"/>
    <row r="2850" hidden="1" x14ac:dyDescent="0.25"/>
    <row r="2851" hidden="1" x14ac:dyDescent="0.25"/>
    <row r="2852" hidden="1" x14ac:dyDescent="0.25"/>
    <row r="2853" hidden="1" x14ac:dyDescent="0.25"/>
    <row r="2854" hidden="1" x14ac:dyDescent="0.25"/>
    <row r="2855" hidden="1" x14ac:dyDescent="0.25"/>
    <row r="2856" hidden="1" x14ac:dyDescent="0.25"/>
    <row r="2857" hidden="1" x14ac:dyDescent="0.25"/>
    <row r="2858" hidden="1" x14ac:dyDescent="0.25"/>
    <row r="2859" hidden="1" x14ac:dyDescent="0.25"/>
    <row r="2860" hidden="1" x14ac:dyDescent="0.25"/>
    <row r="2861" hidden="1" x14ac:dyDescent="0.25"/>
    <row r="2862" hidden="1" x14ac:dyDescent="0.25"/>
    <row r="2863" hidden="1" x14ac:dyDescent="0.25"/>
    <row r="2864" hidden="1" x14ac:dyDescent="0.25"/>
    <row r="2865" hidden="1" x14ac:dyDescent="0.25"/>
    <row r="2866" hidden="1" x14ac:dyDescent="0.25"/>
    <row r="2867" hidden="1" x14ac:dyDescent="0.25"/>
    <row r="2868" hidden="1" x14ac:dyDescent="0.25"/>
    <row r="2869" hidden="1" x14ac:dyDescent="0.25"/>
    <row r="2870" hidden="1" x14ac:dyDescent="0.25"/>
    <row r="2871" hidden="1" x14ac:dyDescent="0.25"/>
    <row r="2872" hidden="1" x14ac:dyDescent="0.25"/>
    <row r="2873" hidden="1" x14ac:dyDescent="0.25"/>
    <row r="2874" hidden="1" x14ac:dyDescent="0.25"/>
    <row r="2875" hidden="1" x14ac:dyDescent="0.25"/>
    <row r="2876" hidden="1" x14ac:dyDescent="0.25"/>
    <row r="2877" hidden="1" x14ac:dyDescent="0.25"/>
    <row r="2878" hidden="1" x14ac:dyDescent="0.25"/>
    <row r="2879" hidden="1" x14ac:dyDescent="0.25"/>
    <row r="2880" hidden="1" x14ac:dyDescent="0.25"/>
    <row r="2881" hidden="1" x14ac:dyDescent="0.25"/>
    <row r="2882" hidden="1" x14ac:dyDescent="0.25"/>
    <row r="2883" hidden="1" x14ac:dyDescent="0.25"/>
    <row r="2884" hidden="1" x14ac:dyDescent="0.25"/>
    <row r="2885" hidden="1" x14ac:dyDescent="0.25"/>
    <row r="2886" hidden="1" x14ac:dyDescent="0.25"/>
    <row r="2887" hidden="1" x14ac:dyDescent="0.25"/>
    <row r="2888" hidden="1" x14ac:dyDescent="0.25"/>
    <row r="2889" hidden="1" x14ac:dyDescent="0.25"/>
    <row r="2890" hidden="1" x14ac:dyDescent="0.25"/>
    <row r="2891" hidden="1" x14ac:dyDescent="0.25"/>
    <row r="2892" hidden="1" x14ac:dyDescent="0.25"/>
    <row r="2893" hidden="1" x14ac:dyDescent="0.25"/>
    <row r="2894" hidden="1" x14ac:dyDescent="0.25"/>
    <row r="2895" hidden="1" x14ac:dyDescent="0.25"/>
    <row r="2896" hidden="1" x14ac:dyDescent="0.25"/>
    <row r="2897" hidden="1" x14ac:dyDescent="0.25"/>
    <row r="2898" hidden="1" x14ac:dyDescent="0.25"/>
    <row r="2899" hidden="1" x14ac:dyDescent="0.25"/>
    <row r="2900" hidden="1" x14ac:dyDescent="0.25"/>
    <row r="2901" hidden="1" x14ac:dyDescent="0.25"/>
    <row r="2902" hidden="1" x14ac:dyDescent="0.25"/>
    <row r="2903" hidden="1" x14ac:dyDescent="0.25"/>
    <row r="2904" hidden="1" x14ac:dyDescent="0.25"/>
    <row r="2905" hidden="1" x14ac:dyDescent="0.25"/>
    <row r="2906" hidden="1" x14ac:dyDescent="0.25"/>
    <row r="2907" hidden="1" x14ac:dyDescent="0.25"/>
    <row r="2908" hidden="1" x14ac:dyDescent="0.25"/>
    <row r="2909" hidden="1" x14ac:dyDescent="0.25"/>
    <row r="2910" hidden="1" x14ac:dyDescent="0.25"/>
    <row r="2911" hidden="1" x14ac:dyDescent="0.25"/>
    <row r="2912" hidden="1" x14ac:dyDescent="0.25"/>
    <row r="2913" hidden="1" x14ac:dyDescent="0.25"/>
    <row r="2914" hidden="1" x14ac:dyDescent="0.25"/>
    <row r="2915" hidden="1" x14ac:dyDescent="0.25"/>
    <row r="2916" hidden="1" x14ac:dyDescent="0.25"/>
    <row r="2917" hidden="1" x14ac:dyDescent="0.25"/>
    <row r="2918" hidden="1" x14ac:dyDescent="0.25"/>
    <row r="2919" hidden="1" x14ac:dyDescent="0.25"/>
    <row r="2920" hidden="1" x14ac:dyDescent="0.25"/>
    <row r="2921" hidden="1" x14ac:dyDescent="0.25"/>
    <row r="2922" hidden="1" x14ac:dyDescent="0.25"/>
    <row r="2923" hidden="1" x14ac:dyDescent="0.25"/>
    <row r="2924" hidden="1" x14ac:dyDescent="0.25"/>
    <row r="2925" hidden="1" x14ac:dyDescent="0.25"/>
    <row r="2926" hidden="1" x14ac:dyDescent="0.25"/>
    <row r="2927" hidden="1" x14ac:dyDescent="0.25"/>
    <row r="2928" hidden="1" x14ac:dyDescent="0.25"/>
    <row r="2929" hidden="1" x14ac:dyDescent="0.25"/>
    <row r="2930" hidden="1" x14ac:dyDescent="0.25"/>
    <row r="2931" hidden="1" x14ac:dyDescent="0.25"/>
    <row r="2932" hidden="1" x14ac:dyDescent="0.25"/>
    <row r="2933" hidden="1" x14ac:dyDescent="0.25"/>
    <row r="2934" hidden="1" x14ac:dyDescent="0.25"/>
    <row r="2935" hidden="1" x14ac:dyDescent="0.25"/>
    <row r="2936" hidden="1" x14ac:dyDescent="0.25"/>
    <row r="2937" hidden="1" x14ac:dyDescent="0.25"/>
    <row r="2938" hidden="1" x14ac:dyDescent="0.25"/>
    <row r="2939" hidden="1" x14ac:dyDescent="0.25"/>
    <row r="2940" hidden="1" x14ac:dyDescent="0.25"/>
    <row r="2941" hidden="1" x14ac:dyDescent="0.25"/>
    <row r="2942" hidden="1" x14ac:dyDescent="0.25"/>
    <row r="2943" hidden="1" x14ac:dyDescent="0.25"/>
    <row r="2944" hidden="1" x14ac:dyDescent="0.25"/>
    <row r="2945" hidden="1" x14ac:dyDescent="0.25"/>
    <row r="2946" hidden="1" x14ac:dyDescent="0.25"/>
    <row r="2947" hidden="1" x14ac:dyDescent="0.25"/>
    <row r="2948" hidden="1" x14ac:dyDescent="0.25"/>
    <row r="2949" hidden="1" x14ac:dyDescent="0.25"/>
    <row r="2950" hidden="1" x14ac:dyDescent="0.25"/>
    <row r="2951" hidden="1" x14ac:dyDescent="0.25"/>
    <row r="2952" hidden="1" x14ac:dyDescent="0.25"/>
    <row r="2953" hidden="1" x14ac:dyDescent="0.25"/>
    <row r="2954" hidden="1" x14ac:dyDescent="0.25"/>
    <row r="2955" hidden="1" x14ac:dyDescent="0.25"/>
    <row r="2956" hidden="1" x14ac:dyDescent="0.25"/>
    <row r="2957" hidden="1" x14ac:dyDescent="0.25"/>
    <row r="2958" hidden="1" x14ac:dyDescent="0.25"/>
    <row r="2959" hidden="1" x14ac:dyDescent="0.25"/>
    <row r="2960" hidden="1" x14ac:dyDescent="0.25"/>
    <row r="2961" hidden="1" x14ac:dyDescent="0.25"/>
    <row r="2962" hidden="1" x14ac:dyDescent="0.25"/>
    <row r="2963" hidden="1" x14ac:dyDescent="0.25"/>
    <row r="2964" hidden="1" x14ac:dyDescent="0.25"/>
    <row r="2965" hidden="1" x14ac:dyDescent="0.25"/>
    <row r="2966" hidden="1" x14ac:dyDescent="0.25"/>
    <row r="2967" hidden="1" x14ac:dyDescent="0.25"/>
    <row r="2968" hidden="1" x14ac:dyDescent="0.25"/>
    <row r="2969" hidden="1" x14ac:dyDescent="0.25"/>
    <row r="2970" hidden="1" x14ac:dyDescent="0.25"/>
    <row r="2971" hidden="1" x14ac:dyDescent="0.25"/>
    <row r="2972" hidden="1" x14ac:dyDescent="0.25"/>
    <row r="2973" hidden="1" x14ac:dyDescent="0.25"/>
    <row r="2974" hidden="1" x14ac:dyDescent="0.25"/>
    <row r="2975" hidden="1" x14ac:dyDescent="0.25"/>
    <row r="2976" hidden="1" x14ac:dyDescent="0.25"/>
    <row r="2977" hidden="1" x14ac:dyDescent="0.25"/>
    <row r="2978" hidden="1" x14ac:dyDescent="0.25"/>
    <row r="2979" hidden="1" x14ac:dyDescent="0.25"/>
    <row r="2980" hidden="1" x14ac:dyDescent="0.25"/>
    <row r="2981" hidden="1" x14ac:dyDescent="0.25"/>
    <row r="2982" hidden="1" x14ac:dyDescent="0.25"/>
    <row r="2983" hidden="1" x14ac:dyDescent="0.25"/>
    <row r="2984" hidden="1" x14ac:dyDescent="0.25"/>
    <row r="2985" hidden="1" x14ac:dyDescent="0.25"/>
    <row r="2986" hidden="1" x14ac:dyDescent="0.25"/>
    <row r="2987" hidden="1" x14ac:dyDescent="0.25"/>
    <row r="2988" hidden="1" x14ac:dyDescent="0.25"/>
    <row r="2989" hidden="1" x14ac:dyDescent="0.25"/>
    <row r="2990" hidden="1" x14ac:dyDescent="0.25"/>
    <row r="2991" hidden="1" x14ac:dyDescent="0.25"/>
    <row r="2992" hidden="1" x14ac:dyDescent="0.25"/>
    <row r="2993" hidden="1" x14ac:dyDescent="0.25"/>
    <row r="2994" hidden="1" x14ac:dyDescent="0.25"/>
    <row r="2995" hidden="1" x14ac:dyDescent="0.25"/>
    <row r="2996" hidden="1" x14ac:dyDescent="0.25"/>
    <row r="2997" hidden="1" x14ac:dyDescent="0.25"/>
    <row r="2998" hidden="1" x14ac:dyDescent="0.25"/>
    <row r="2999" hidden="1" x14ac:dyDescent="0.25"/>
    <row r="3000" hidden="1" x14ac:dyDescent="0.25"/>
    <row r="3001" hidden="1" x14ac:dyDescent="0.25"/>
    <row r="3002" hidden="1" x14ac:dyDescent="0.25"/>
    <row r="3003" hidden="1" x14ac:dyDescent="0.25"/>
    <row r="3004" hidden="1" x14ac:dyDescent="0.25"/>
    <row r="3005" hidden="1" x14ac:dyDescent="0.25"/>
    <row r="3006" hidden="1" x14ac:dyDescent="0.25"/>
    <row r="3007" hidden="1" x14ac:dyDescent="0.25"/>
    <row r="3008" hidden="1" x14ac:dyDescent="0.25"/>
    <row r="3009" hidden="1" x14ac:dyDescent="0.25"/>
    <row r="3010" hidden="1" x14ac:dyDescent="0.25"/>
    <row r="3011" hidden="1" x14ac:dyDescent="0.25"/>
    <row r="3012" hidden="1" x14ac:dyDescent="0.25"/>
    <row r="3013" hidden="1" x14ac:dyDescent="0.25"/>
    <row r="3014" hidden="1" x14ac:dyDescent="0.25"/>
    <row r="3015" hidden="1" x14ac:dyDescent="0.25"/>
    <row r="3016" hidden="1" x14ac:dyDescent="0.25"/>
    <row r="3017" hidden="1" x14ac:dyDescent="0.25"/>
    <row r="3018" hidden="1" x14ac:dyDescent="0.25"/>
    <row r="3019" hidden="1" x14ac:dyDescent="0.25"/>
    <row r="3020" hidden="1" x14ac:dyDescent="0.25"/>
    <row r="3021" hidden="1" x14ac:dyDescent="0.25"/>
    <row r="3022" hidden="1" x14ac:dyDescent="0.25"/>
    <row r="3023" hidden="1" x14ac:dyDescent="0.25"/>
    <row r="3024" hidden="1" x14ac:dyDescent="0.25"/>
    <row r="3025" hidden="1" x14ac:dyDescent="0.25"/>
    <row r="3026" hidden="1" x14ac:dyDescent="0.25"/>
    <row r="3027" hidden="1" x14ac:dyDescent="0.25"/>
    <row r="3028" hidden="1" x14ac:dyDescent="0.25"/>
    <row r="3029" hidden="1" x14ac:dyDescent="0.25"/>
    <row r="3030" hidden="1" x14ac:dyDescent="0.25"/>
    <row r="3031" hidden="1" x14ac:dyDescent="0.25"/>
    <row r="3032" hidden="1" x14ac:dyDescent="0.25"/>
    <row r="3033" hidden="1" x14ac:dyDescent="0.25"/>
    <row r="3034" hidden="1" x14ac:dyDescent="0.25"/>
    <row r="3035" hidden="1" x14ac:dyDescent="0.25"/>
    <row r="3036" hidden="1" x14ac:dyDescent="0.25"/>
    <row r="3037" hidden="1" x14ac:dyDescent="0.25"/>
    <row r="3038" hidden="1" x14ac:dyDescent="0.25"/>
    <row r="3039" hidden="1" x14ac:dyDescent="0.25"/>
    <row r="3040" hidden="1" x14ac:dyDescent="0.25"/>
    <row r="3041" hidden="1" x14ac:dyDescent="0.25"/>
    <row r="3042" hidden="1" x14ac:dyDescent="0.25"/>
    <row r="3043" hidden="1" x14ac:dyDescent="0.25"/>
    <row r="3044" hidden="1" x14ac:dyDescent="0.25"/>
    <row r="3045" hidden="1" x14ac:dyDescent="0.25"/>
    <row r="3046" hidden="1" x14ac:dyDescent="0.25"/>
    <row r="3047" hidden="1" x14ac:dyDescent="0.25"/>
    <row r="3048" hidden="1" x14ac:dyDescent="0.25"/>
    <row r="3049" hidden="1" x14ac:dyDescent="0.25"/>
    <row r="3050" hidden="1" x14ac:dyDescent="0.25"/>
    <row r="3051" hidden="1" x14ac:dyDescent="0.25"/>
    <row r="3052" hidden="1" x14ac:dyDescent="0.25"/>
    <row r="3053" hidden="1" x14ac:dyDescent="0.25"/>
    <row r="3054" hidden="1" x14ac:dyDescent="0.25"/>
    <row r="3055" hidden="1" x14ac:dyDescent="0.25"/>
    <row r="3056" hidden="1" x14ac:dyDescent="0.25"/>
    <row r="3057" hidden="1" x14ac:dyDescent="0.25"/>
    <row r="3058" hidden="1" x14ac:dyDescent="0.25"/>
    <row r="3059" hidden="1" x14ac:dyDescent="0.25"/>
    <row r="3060" hidden="1" x14ac:dyDescent="0.25"/>
    <row r="3061" hidden="1" x14ac:dyDescent="0.25"/>
    <row r="3062" hidden="1" x14ac:dyDescent="0.25"/>
    <row r="3063" hidden="1" x14ac:dyDescent="0.25"/>
    <row r="3064" hidden="1" x14ac:dyDescent="0.25"/>
    <row r="3065" hidden="1" x14ac:dyDescent="0.25"/>
    <row r="3066" hidden="1" x14ac:dyDescent="0.25"/>
    <row r="3067" hidden="1" x14ac:dyDescent="0.25"/>
    <row r="3068" hidden="1" x14ac:dyDescent="0.25"/>
    <row r="3069" hidden="1" x14ac:dyDescent="0.25"/>
    <row r="3070" hidden="1" x14ac:dyDescent="0.25"/>
    <row r="3071" hidden="1" x14ac:dyDescent="0.25"/>
    <row r="3072" hidden="1" x14ac:dyDescent="0.25"/>
    <row r="3073" hidden="1" x14ac:dyDescent="0.25"/>
    <row r="3074" hidden="1" x14ac:dyDescent="0.25"/>
    <row r="3075" hidden="1" x14ac:dyDescent="0.25"/>
    <row r="3076" hidden="1" x14ac:dyDescent="0.25"/>
    <row r="3077" hidden="1" x14ac:dyDescent="0.25"/>
    <row r="3078" hidden="1" x14ac:dyDescent="0.25"/>
    <row r="3079" hidden="1" x14ac:dyDescent="0.25"/>
    <row r="3080" hidden="1" x14ac:dyDescent="0.25"/>
    <row r="3081" hidden="1" x14ac:dyDescent="0.25"/>
    <row r="3082" hidden="1" x14ac:dyDescent="0.25"/>
    <row r="3083" hidden="1" x14ac:dyDescent="0.25"/>
    <row r="3084" hidden="1" x14ac:dyDescent="0.25"/>
    <row r="3085" hidden="1" x14ac:dyDescent="0.25"/>
    <row r="3086" hidden="1" x14ac:dyDescent="0.25"/>
    <row r="3087" hidden="1" x14ac:dyDescent="0.25"/>
    <row r="3088" hidden="1" x14ac:dyDescent="0.25"/>
    <row r="3089" hidden="1" x14ac:dyDescent="0.25"/>
    <row r="3090" hidden="1" x14ac:dyDescent="0.25"/>
    <row r="3091" hidden="1" x14ac:dyDescent="0.25"/>
    <row r="3092" hidden="1" x14ac:dyDescent="0.25"/>
    <row r="3093" hidden="1" x14ac:dyDescent="0.25"/>
    <row r="3094" hidden="1" x14ac:dyDescent="0.25"/>
    <row r="3095" hidden="1" x14ac:dyDescent="0.25"/>
    <row r="3096" hidden="1" x14ac:dyDescent="0.25"/>
    <row r="3097" hidden="1" x14ac:dyDescent="0.25"/>
    <row r="3098" hidden="1" x14ac:dyDescent="0.25"/>
    <row r="3099" hidden="1" x14ac:dyDescent="0.25"/>
    <row r="3100" hidden="1" x14ac:dyDescent="0.25"/>
    <row r="3101" hidden="1" x14ac:dyDescent="0.25"/>
    <row r="3102" hidden="1" x14ac:dyDescent="0.25"/>
    <row r="3103" hidden="1" x14ac:dyDescent="0.25"/>
    <row r="3104" hidden="1" x14ac:dyDescent="0.25"/>
    <row r="3105" hidden="1" x14ac:dyDescent="0.25"/>
    <row r="3106" hidden="1" x14ac:dyDescent="0.25"/>
    <row r="3107" hidden="1" x14ac:dyDescent="0.25"/>
    <row r="3108" hidden="1" x14ac:dyDescent="0.25"/>
    <row r="3109" hidden="1" x14ac:dyDescent="0.25"/>
    <row r="3110" hidden="1" x14ac:dyDescent="0.25"/>
    <row r="3111" hidden="1" x14ac:dyDescent="0.25"/>
    <row r="3112" hidden="1" x14ac:dyDescent="0.25"/>
    <row r="3113" hidden="1" x14ac:dyDescent="0.25"/>
    <row r="3114" hidden="1" x14ac:dyDescent="0.25"/>
    <row r="3115" hidden="1" x14ac:dyDescent="0.25"/>
    <row r="3116" hidden="1" x14ac:dyDescent="0.25"/>
    <row r="3117" hidden="1" x14ac:dyDescent="0.25"/>
    <row r="3118" hidden="1" x14ac:dyDescent="0.25"/>
    <row r="3119" hidden="1" x14ac:dyDescent="0.25"/>
    <row r="3120" hidden="1" x14ac:dyDescent="0.25"/>
    <row r="3121" hidden="1" x14ac:dyDescent="0.25"/>
    <row r="3122" hidden="1" x14ac:dyDescent="0.25"/>
    <row r="3123" hidden="1" x14ac:dyDescent="0.25"/>
    <row r="3124" hidden="1" x14ac:dyDescent="0.25"/>
    <row r="3125" hidden="1" x14ac:dyDescent="0.25"/>
    <row r="3126" hidden="1" x14ac:dyDescent="0.25"/>
    <row r="3127" hidden="1" x14ac:dyDescent="0.25"/>
    <row r="3128" hidden="1" x14ac:dyDescent="0.25"/>
    <row r="3129" hidden="1" x14ac:dyDescent="0.25"/>
    <row r="3130" hidden="1" x14ac:dyDescent="0.25"/>
    <row r="3131" hidden="1" x14ac:dyDescent="0.25"/>
    <row r="3132" hidden="1" x14ac:dyDescent="0.25"/>
    <row r="3133" hidden="1" x14ac:dyDescent="0.25"/>
    <row r="3134" hidden="1" x14ac:dyDescent="0.25"/>
    <row r="3135" hidden="1" x14ac:dyDescent="0.25"/>
    <row r="3136" hidden="1" x14ac:dyDescent="0.25"/>
    <row r="3137" hidden="1" x14ac:dyDescent="0.25"/>
    <row r="3138" hidden="1" x14ac:dyDescent="0.25"/>
    <row r="3139" hidden="1" x14ac:dyDescent="0.25"/>
    <row r="3140" hidden="1" x14ac:dyDescent="0.25"/>
    <row r="3141" hidden="1" x14ac:dyDescent="0.25"/>
    <row r="3142" hidden="1" x14ac:dyDescent="0.25"/>
    <row r="3143" hidden="1" x14ac:dyDescent="0.25"/>
    <row r="3144" hidden="1" x14ac:dyDescent="0.25"/>
    <row r="3145" hidden="1" x14ac:dyDescent="0.25"/>
    <row r="3146" hidden="1" x14ac:dyDescent="0.25"/>
    <row r="3147" hidden="1" x14ac:dyDescent="0.25"/>
    <row r="3148" hidden="1" x14ac:dyDescent="0.25"/>
    <row r="3149" hidden="1" x14ac:dyDescent="0.25"/>
    <row r="3150" hidden="1" x14ac:dyDescent="0.25"/>
    <row r="3151" hidden="1" x14ac:dyDescent="0.25"/>
    <row r="3152" hidden="1" x14ac:dyDescent="0.25"/>
    <row r="3153" hidden="1" x14ac:dyDescent="0.25"/>
    <row r="3154" hidden="1" x14ac:dyDescent="0.25"/>
    <row r="3155" hidden="1" x14ac:dyDescent="0.25"/>
    <row r="3156" hidden="1" x14ac:dyDescent="0.25"/>
    <row r="3157" hidden="1" x14ac:dyDescent="0.25"/>
    <row r="3158" hidden="1" x14ac:dyDescent="0.25"/>
    <row r="3159" hidden="1" x14ac:dyDescent="0.25"/>
    <row r="3160" hidden="1" x14ac:dyDescent="0.25"/>
    <row r="3161" hidden="1" x14ac:dyDescent="0.25"/>
    <row r="3162" hidden="1" x14ac:dyDescent="0.25"/>
    <row r="3163" hidden="1" x14ac:dyDescent="0.25"/>
    <row r="3164" hidden="1" x14ac:dyDescent="0.25"/>
    <row r="3165" hidden="1" x14ac:dyDescent="0.25"/>
    <row r="3166" hidden="1" x14ac:dyDescent="0.25"/>
    <row r="3167" hidden="1" x14ac:dyDescent="0.25"/>
    <row r="3168" hidden="1" x14ac:dyDescent="0.25"/>
    <row r="3169" hidden="1" x14ac:dyDescent="0.25"/>
    <row r="3170" hidden="1" x14ac:dyDescent="0.25"/>
    <row r="3171" hidden="1" x14ac:dyDescent="0.25"/>
    <row r="3172" hidden="1" x14ac:dyDescent="0.25"/>
    <row r="3173" hidden="1" x14ac:dyDescent="0.25"/>
    <row r="3174" hidden="1" x14ac:dyDescent="0.25"/>
    <row r="3175" hidden="1" x14ac:dyDescent="0.25"/>
    <row r="3176" hidden="1" x14ac:dyDescent="0.25"/>
    <row r="3177" hidden="1" x14ac:dyDescent="0.25"/>
    <row r="3178" hidden="1" x14ac:dyDescent="0.25"/>
    <row r="3179" hidden="1" x14ac:dyDescent="0.25"/>
    <row r="3180" hidden="1" x14ac:dyDescent="0.25"/>
    <row r="3181" hidden="1" x14ac:dyDescent="0.25"/>
    <row r="3182" hidden="1" x14ac:dyDescent="0.25"/>
    <row r="3183" hidden="1" x14ac:dyDescent="0.25"/>
    <row r="3184" hidden="1" x14ac:dyDescent="0.25"/>
    <row r="3185" hidden="1" x14ac:dyDescent="0.25"/>
    <row r="3186" hidden="1" x14ac:dyDescent="0.25"/>
    <row r="3187" hidden="1" x14ac:dyDescent="0.25"/>
    <row r="3188" hidden="1" x14ac:dyDescent="0.25"/>
    <row r="3189" hidden="1" x14ac:dyDescent="0.25"/>
    <row r="3190" hidden="1" x14ac:dyDescent="0.25"/>
    <row r="3191" hidden="1" x14ac:dyDescent="0.25"/>
    <row r="3192" hidden="1" x14ac:dyDescent="0.25"/>
    <row r="3193" hidden="1" x14ac:dyDescent="0.25"/>
    <row r="3194" hidden="1" x14ac:dyDescent="0.25"/>
    <row r="3195" hidden="1" x14ac:dyDescent="0.25"/>
    <row r="3196" hidden="1" x14ac:dyDescent="0.25"/>
    <row r="3197" hidden="1" x14ac:dyDescent="0.25"/>
    <row r="3198" hidden="1" x14ac:dyDescent="0.25"/>
    <row r="3199" hidden="1" x14ac:dyDescent="0.25"/>
    <row r="3200" hidden="1" x14ac:dyDescent="0.25"/>
    <row r="3201" hidden="1" x14ac:dyDescent="0.25"/>
    <row r="3202" hidden="1" x14ac:dyDescent="0.25"/>
    <row r="3203" hidden="1" x14ac:dyDescent="0.25"/>
    <row r="3204" hidden="1" x14ac:dyDescent="0.25"/>
    <row r="3205" hidden="1" x14ac:dyDescent="0.25"/>
    <row r="3206" hidden="1" x14ac:dyDescent="0.25"/>
    <row r="3207" hidden="1" x14ac:dyDescent="0.25"/>
    <row r="3208" hidden="1" x14ac:dyDescent="0.25"/>
    <row r="3209" hidden="1" x14ac:dyDescent="0.25"/>
    <row r="3210" hidden="1" x14ac:dyDescent="0.25"/>
    <row r="3211" hidden="1" x14ac:dyDescent="0.25"/>
    <row r="3212" hidden="1" x14ac:dyDescent="0.25"/>
    <row r="3213" hidden="1" x14ac:dyDescent="0.25"/>
    <row r="3214" hidden="1" x14ac:dyDescent="0.25"/>
    <row r="3215" hidden="1" x14ac:dyDescent="0.25"/>
    <row r="3216" hidden="1" x14ac:dyDescent="0.25"/>
    <row r="3217" hidden="1" x14ac:dyDescent="0.25"/>
    <row r="3218" hidden="1" x14ac:dyDescent="0.25"/>
    <row r="3219" hidden="1" x14ac:dyDescent="0.25"/>
    <row r="3220" hidden="1" x14ac:dyDescent="0.25"/>
    <row r="3221" hidden="1" x14ac:dyDescent="0.25"/>
    <row r="3222" hidden="1" x14ac:dyDescent="0.25"/>
    <row r="3223" hidden="1" x14ac:dyDescent="0.25"/>
    <row r="3224" hidden="1" x14ac:dyDescent="0.25"/>
    <row r="3225" hidden="1" x14ac:dyDescent="0.25"/>
    <row r="3226" hidden="1" x14ac:dyDescent="0.25"/>
    <row r="3227" hidden="1" x14ac:dyDescent="0.25"/>
    <row r="3228" hidden="1" x14ac:dyDescent="0.25"/>
    <row r="3229" hidden="1" x14ac:dyDescent="0.25"/>
    <row r="3230" hidden="1" x14ac:dyDescent="0.25"/>
    <row r="3231" hidden="1" x14ac:dyDescent="0.25"/>
    <row r="3232" hidden="1" x14ac:dyDescent="0.25"/>
    <row r="3233" hidden="1" x14ac:dyDescent="0.25"/>
    <row r="3234" hidden="1" x14ac:dyDescent="0.25"/>
    <row r="3235" hidden="1" x14ac:dyDescent="0.25"/>
    <row r="3236" hidden="1" x14ac:dyDescent="0.25"/>
    <row r="3237" hidden="1" x14ac:dyDescent="0.25"/>
    <row r="3238" hidden="1" x14ac:dyDescent="0.25"/>
    <row r="3239" hidden="1" x14ac:dyDescent="0.25"/>
    <row r="3240" hidden="1" x14ac:dyDescent="0.25"/>
    <row r="3241" hidden="1" x14ac:dyDescent="0.25"/>
    <row r="3242" hidden="1" x14ac:dyDescent="0.25"/>
    <row r="3243" hidden="1" x14ac:dyDescent="0.25"/>
    <row r="3244" hidden="1" x14ac:dyDescent="0.25"/>
    <row r="3245" hidden="1" x14ac:dyDescent="0.25"/>
    <row r="3246" hidden="1" x14ac:dyDescent="0.25"/>
    <row r="3247" hidden="1" x14ac:dyDescent="0.25"/>
    <row r="3248" hidden="1" x14ac:dyDescent="0.25"/>
    <row r="3249" hidden="1" x14ac:dyDescent="0.25"/>
    <row r="3250" hidden="1" x14ac:dyDescent="0.25"/>
    <row r="3251" hidden="1" x14ac:dyDescent="0.25"/>
    <row r="3252" hidden="1" x14ac:dyDescent="0.25"/>
    <row r="3253" hidden="1" x14ac:dyDescent="0.25"/>
    <row r="3254" hidden="1" x14ac:dyDescent="0.25"/>
    <row r="3255" hidden="1" x14ac:dyDescent="0.25"/>
    <row r="3256" hidden="1" x14ac:dyDescent="0.25"/>
    <row r="3257" hidden="1" x14ac:dyDescent="0.25"/>
    <row r="3258" hidden="1" x14ac:dyDescent="0.25"/>
    <row r="3259" hidden="1" x14ac:dyDescent="0.25"/>
    <row r="3260" hidden="1" x14ac:dyDescent="0.25"/>
    <row r="3261" hidden="1" x14ac:dyDescent="0.25"/>
    <row r="3262" hidden="1" x14ac:dyDescent="0.25"/>
    <row r="3263" hidden="1" x14ac:dyDescent="0.25"/>
    <row r="3264" hidden="1" x14ac:dyDescent="0.25"/>
    <row r="3265" hidden="1" x14ac:dyDescent="0.25"/>
    <row r="3266" hidden="1" x14ac:dyDescent="0.25"/>
    <row r="3267" hidden="1" x14ac:dyDescent="0.25"/>
    <row r="3268" hidden="1" x14ac:dyDescent="0.25"/>
    <row r="3269" hidden="1" x14ac:dyDescent="0.25"/>
    <row r="3270" hidden="1" x14ac:dyDescent="0.25"/>
    <row r="3271" hidden="1" x14ac:dyDescent="0.25"/>
    <row r="3272" hidden="1" x14ac:dyDescent="0.25"/>
    <row r="3273" hidden="1" x14ac:dyDescent="0.25"/>
    <row r="3274" hidden="1" x14ac:dyDescent="0.25"/>
    <row r="3275" hidden="1" x14ac:dyDescent="0.25"/>
    <row r="3276" hidden="1" x14ac:dyDescent="0.25"/>
    <row r="3277" hidden="1" x14ac:dyDescent="0.25"/>
    <row r="3278" hidden="1" x14ac:dyDescent="0.25"/>
    <row r="3279" hidden="1" x14ac:dyDescent="0.25"/>
    <row r="3280" hidden="1" x14ac:dyDescent="0.25"/>
    <row r="3281" hidden="1" x14ac:dyDescent="0.25"/>
    <row r="3282" hidden="1" x14ac:dyDescent="0.25"/>
    <row r="3283" hidden="1" x14ac:dyDescent="0.25"/>
    <row r="3284" hidden="1" x14ac:dyDescent="0.25"/>
    <row r="3285" hidden="1" x14ac:dyDescent="0.25"/>
    <row r="3286" hidden="1" x14ac:dyDescent="0.25"/>
    <row r="3287" hidden="1" x14ac:dyDescent="0.25"/>
    <row r="3288" hidden="1" x14ac:dyDescent="0.25"/>
    <row r="3289" hidden="1" x14ac:dyDescent="0.25"/>
    <row r="3290" hidden="1" x14ac:dyDescent="0.25"/>
    <row r="3291" hidden="1" x14ac:dyDescent="0.25"/>
    <row r="3292" hidden="1" x14ac:dyDescent="0.25"/>
    <row r="3293" hidden="1" x14ac:dyDescent="0.25"/>
    <row r="3294" hidden="1" x14ac:dyDescent="0.25"/>
    <row r="3295" hidden="1" x14ac:dyDescent="0.25"/>
    <row r="3296" hidden="1" x14ac:dyDescent="0.25"/>
    <row r="3297" hidden="1" x14ac:dyDescent="0.25"/>
    <row r="3298" hidden="1" x14ac:dyDescent="0.25"/>
    <row r="3299" hidden="1" x14ac:dyDescent="0.25"/>
    <row r="3300" hidden="1" x14ac:dyDescent="0.25"/>
    <row r="3301" hidden="1" x14ac:dyDescent="0.25"/>
    <row r="3302" hidden="1" x14ac:dyDescent="0.25"/>
    <row r="3303" hidden="1" x14ac:dyDescent="0.25"/>
    <row r="3304" hidden="1" x14ac:dyDescent="0.25"/>
    <row r="3305" hidden="1" x14ac:dyDescent="0.25"/>
    <row r="3306" hidden="1" x14ac:dyDescent="0.25"/>
    <row r="3307" hidden="1" x14ac:dyDescent="0.25"/>
    <row r="3308" hidden="1" x14ac:dyDescent="0.25"/>
    <row r="3309" hidden="1" x14ac:dyDescent="0.25"/>
    <row r="3310" hidden="1" x14ac:dyDescent="0.25"/>
    <row r="3311" hidden="1" x14ac:dyDescent="0.25"/>
    <row r="3312" hidden="1" x14ac:dyDescent="0.25"/>
    <row r="3313" hidden="1" x14ac:dyDescent="0.25"/>
    <row r="3314" hidden="1" x14ac:dyDescent="0.25"/>
    <row r="3315" hidden="1" x14ac:dyDescent="0.25"/>
    <row r="3316" hidden="1" x14ac:dyDescent="0.25"/>
    <row r="3317" hidden="1" x14ac:dyDescent="0.25"/>
    <row r="3318" hidden="1" x14ac:dyDescent="0.25"/>
    <row r="3319" hidden="1" x14ac:dyDescent="0.25"/>
    <row r="3320" hidden="1" x14ac:dyDescent="0.25"/>
    <row r="3321" hidden="1" x14ac:dyDescent="0.25"/>
    <row r="3322" hidden="1" x14ac:dyDescent="0.25"/>
    <row r="3323" hidden="1" x14ac:dyDescent="0.25"/>
    <row r="3324" hidden="1" x14ac:dyDescent="0.25"/>
    <row r="3325" hidden="1" x14ac:dyDescent="0.25"/>
    <row r="3326" hidden="1" x14ac:dyDescent="0.25"/>
    <row r="3327" hidden="1" x14ac:dyDescent="0.25"/>
    <row r="3328" hidden="1" x14ac:dyDescent="0.25"/>
    <row r="3329" hidden="1" x14ac:dyDescent="0.25"/>
    <row r="3330" hidden="1" x14ac:dyDescent="0.25"/>
    <row r="3331" hidden="1" x14ac:dyDescent="0.25"/>
    <row r="3332" hidden="1" x14ac:dyDescent="0.25"/>
    <row r="3333" hidden="1" x14ac:dyDescent="0.25"/>
    <row r="3334" hidden="1" x14ac:dyDescent="0.25"/>
    <row r="3335" hidden="1" x14ac:dyDescent="0.25"/>
    <row r="3336" hidden="1" x14ac:dyDescent="0.25"/>
    <row r="3337" hidden="1" x14ac:dyDescent="0.25"/>
    <row r="3338" hidden="1" x14ac:dyDescent="0.25"/>
    <row r="3339" hidden="1" x14ac:dyDescent="0.25"/>
    <row r="3340" hidden="1" x14ac:dyDescent="0.25"/>
    <row r="3341" hidden="1" x14ac:dyDescent="0.25"/>
    <row r="3342" hidden="1" x14ac:dyDescent="0.25"/>
    <row r="3343" hidden="1" x14ac:dyDescent="0.25"/>
    <row r="3344" hidden="1" x14ac:dyDescent="0.25"/>
    <row r="3345" hidden="1" x14ac:dyDescent="0.25"/>
    <row r="3346" hidden="1" x14ac:dyDescent="0.25"/>
    <row r="3347" hidden="1" x14ac:dyDescent="0.25"/>
    <row r="3348" hidden="1" x14ac:dyDescent="0.25"/>
    <row r="3349" hidden="1" x14ac:dyDescent="0.25"/>
    <row r="3350" hidden="1" x14ac:dyDescent="0.25"/>
    <row r="3351" hidden="1" x14ac:dyDescent="0.25"/>
    <row r="3352" hidden="1" x14ac:dyDescent="0.25"/>
    <row r="3353" hidden="1" x14ac:dyDescent="0.25"/>
    <row r="3354" hidden="1" x14ac:dyDescent="0.25"/>
    <row r="3355" hidden="1" x14ac:dyDescent="0.25"/>
    <row r="3356" hidden="1" x14ac:dyDescent="0.25"/>
    <row r="3357" hidden="1" x14ac:dyDescent="0.25"/>
    <row r="3358" hidden="1" x14ac:dyDescent="0.25"/>
    <row r="3359" hidden="1" x14ac:dyDescent="0.25"/>
    <row r="3360" hidden="1" x14ac:dyDescent="0.25"/>
    <row r="3361" hidden="1" x14ac:dyDescent="0.25"/>
    <row r="3362" hidden="1" x14ac:dyDescent="0.25"/>
    <row r="3363" hidden="1" x14ac:dyDescent="0.25"/>
    <row r="3364" hidden="1" x14ac:dyDescent="0.25"/>
    <row r="3365" hidden="1" x14ac:dyDescent="0.25"/>
    <row r="3366" hidden="1" x14ac:dyDescent="0.25"/>
    <row r="3367" hidden="1" x14ac:dyDescent="0.25"/>
    <row r="3368" hidden="1" x14ac:dyDescent="0.25"/>
    <row r="3369" hidden="1" x14ac:dyDescent="0.25"/>
    <row r="3370" hidden="1" x14ac:dyDescent="0.25"/>
    <row r="3371" hidden="1" x14ac:dyDescent="0.25"/>
    <row r="3372" hidden="1" x14ac:dyDescent="0.25"/>
    <row r="3373" hidden="1" x14ac:dyDescent="0.25"/>
    <row r="3374" hidden="1" x14ac:dyDescent="0.25"/>
    <row r="3375" hidden="1" x14ac:dyDescent="0.25"/>
    <row r="3376" hidden="1" x14ac:dyDescent="0.25"/>
    <row r="3377" hidden="1" x14ac:dyDescent="0.25"/>
    <row r="3378" hidden="1" x14ac:dyDescent="0.25"/>
    <row r="3379" hidden="1" x14ac:dyDescent="0.25"/>
    <row r="3380" hidden="1" x14ac:dyDescent="0.25"/>
    <row r="3381" hidden="1" x14ac:dyDescent="0.25"/>
    <row r="3382" hidden="1" x14ac:dyDescent="0.25"/>
    <row r="3383" hidden="1" x14ac:dyDescent="0.25"/>
    <row r="3384" hidden="1" x14ac:dyDescent="0.25"/>
    <row r="3385" hidden="1" x14ac:dyDescent="0.25"/>
    <row r="3386" hidden="1" x14ac:dyDescent="0.25"/>
    <row r="3387" hidden="1" x14ac:dyDescent="0.25"/>
    <row r="3388" hidden="1" x14ac:dyDescent="0.25"/>
    <row r="3389" hidden="1" x14ac:dyDescent="0.25"/>
    <row r="3390" hidden="1" x14ac:dyDescent="0.25"/>
    <row r="3391" hidden="1" x14ac:dyDescent="0.25"/>
    <row r="3392" hidden="1" x14ac:dyDescent="0.25"/>
    <row r="3393" hidden="1" x14ac:dyDescent="0.25"/>
    <row r="3394" hidden="1" x14ac:dyDescent="0.25"/>
    <row r="3395" hidden="1" x14ac:dyDescent="0.25"/>
    <row r="3396" hidden="1" x14ac:dyDescent="0.25"/>
    <row r="3397" hidden="1" x14ac:dyDescent="0.25"/>
    <row r="3398" hidden="1" x14ac:dyDescent="0.25"/>
    <row r="3399" hidden="1" x14ac:dyDescent="0.25"/>
    <row r="3400" hidden="1" x14ac:dyDescent="0.25"/>
    <row r="3401" hidden="1" x14ac:dyDescent="0.25"/>
    <row r="3402" hidden="1" x14ac:dyDescent="0.25"/>
    <row r="3403" hidden="1" x14ac:dyDescent="0.25"/>
    <row r="3404" hidden="1" x14ac:dyDescent="0.25"/>
    <row r="3405" hidden="1" x14ac:dyDescent="0.25"/>
    <row r="3406" hidden="1" x14ac:dyDescent="0.25"/>
    <row r="3407" hidden="1" x14ac:dyDescent="0.25"/>
    <row r="3408" hidden="1" x14ac:dyDescent="0.25"/>
    <row r="3409" hidden="1" x14ac:dyDescent="0.25"/>
    <row r="3410" hidden="1" x14ac:dyDescent="0.25"/>
    <row r="3411" hidden="1" x14ac:dyDescent="0.25"/>
    <row r="3412" hidden="1" x14ac:dyDescent="0.25"/>
    <row r="3413" hidden="1" x14ac:dyDescent="0.25"/>
    <row r="3414" hidden="1" x14ac:dyDescent="0.25"/>
    <row r="3415" hidden="1" x14ac:dyDescent="0.25"/>
    <row r="3416" hidden="1" x14ac:dyDescent="0.25"/>
    <row r="3417" hidden="1" x14ac:dyDescent="0.25"/>
    <row r="3418" hidden="1" x14ac:dyDescent="0.25"/>
    <row r="3419" hidden="1" x14ac:dyDescent="0.25"/>
    <row r="3420" hidden="1" x14ac:dyDescent="0.25"/>
    <row r="3421" hidden="1" x14ac:dyDescent="0.25"/>
    <row r="3422" hidden="1" x14ac:dyDescent="0.25"/>
    <row r="3423" hidden="1" x14ac:dyDescent="0.25"/>
    <row r="3424" hidden="1" x14ac:dyDescent="0.25"/>
    <row r="3425" hidden="1" x14ac:dyDescent="0.25"/>
    <row r="3426" hidden="1" x14ac:dyDescent="0.25"/>
    <row r="3427" hidden="1" x14ac:dyDescent="0.25"/>
    <row r="3428" hidden="1" x14ac:dyDescent="0.25"/>
    <row r="3429" hidden="1" x14ac:dyDescent="0.25"/>
    <row r="3430" hidden="1" x14ac:dyDescent="0.25"/>
    <row r="3431" hidden="1" x14ac:dyDescent="0.25"/>
    <row r="3432" hidden="1" x14ac:dyDescent="0.25"/>
    <row r="3433" hidden="1" x14ac:dyDescent="0.25"/>
    <row r="3434" hidden="1" x14ac:dyDescent="0.25"/>
    <row r="3435" hidden="1" x14ac:dyDescent="0.25"/>
    <row r="3436" hidden="1" x14ac:dyDescent="0.25"/>
    <row r="3437" hidden="1" x14ac:dyDescent="0.25"/>
    <row r="3438" hidden="1" x14ac:dyDescent="0.25"/>
    <row r="3439" hidden="1" x14ac:dyDescent="0.25"/>
    <row r="3440" hidden="1" x14ac:dyDescent="0.25"/>
    <row r="3441" hidden="1" x14ac:dyDescent="0.25"/>
    <row r="3442" hidden="1" x14ac:dyDescent="0.25"/>
    <row r="3443" hidden="1" x14ac:dyDescent="0.25"/>
    <row r="3444" hidden="1" x14ac:dyDescent="0.25"/>
    <row r="3445" hidden="1" x14ac:dyDescent="0.25"/>
    <row r="3446" hidden="1" x14ac:dyDescent="0.25"/>
    <row r="3447" hidden="1" x14ac:dyDescent="0.25"/>
    <row r="3448" hidden="1" x14ac:dyDescent="0.25"/>
    <row r="3449" hidden="1" x14ac:dyDescent="0.25"/>
    <row r="3450" hidden="1" x14ac:dyDescent="0.25"/>
    <row r="3451" hidden="1" x14ac:dyDescent="0.25"/>
    <row r="3452" hidden="1" x14ac:dyDescent="0.25"/>
    <row r="3453" hidden="1" x14ac:dyDescent="0.25"/>
    <row r="3454" hidden="1" x14ac:dyDescent="0.25"/>
    <row r="3455" hidden="1" x14ac:dyDescent="0.25"/>
    <row r="3456" hidden="1" x14ac:dyDescent="0.25"/>
    <row r="3457" hidden="1" x14ac:dyDescent="0.25"/>
    <row r="3458" hidden="1" x14ac:dyDescent="0.25"/>
    <row r="3459" hidden="1" x14ac:dyDescent="0.25"/>
    <row r="3460" hidden="1" x14ac:dyDescent="0.25"/>
    <row r="3461" hidden="1" x14ac:dyDescent="0.25"/>
    <row r="3462" hidden="1" x14ac:dyDescent="0.25"/>
    <row r="3463" hidden="1" x14ac:dyDescent="0.25"/>
    <row r="3464" hidden="1" x14ac:dyDescent="0.25"/>
    <row r="3465" hidden="1" x14ac:dyDescent="0.25"/>
    <row r="3466" hidden="1" x14ac:dyDescent="0.25"/>
    <row r="3467" hidden="1" x14ac:dyDescent="0.25"/>
    <row r="3468" hidden="1" x14ac:dyDescent="0.25"/>
    <row r="3469" hidden="1" x14ac:dyDescent="0.25"/>
    <row r="3470" hidden="1" x14ac:dyDescent="0.25"/>
    <row r="3471" hidden="1" x14ac:dyDescent="0.25"/>
    <row r="3472" hidden="1" x14ac:dyDescent="0.25"/>
    <row r="3473" hidden="1" x14ac:dyDescent="0.25"/>
    <row r="3474" hidden="1" x14ac:dyDescent="0.25"/>
    <row r="3475" hidden="1" x14ac:dyDescent="0.25"/>
    <row r="3476" hidden="1" x14ac:dyDescent="0.25"/>
    <row r="3477" hidden="1" x14ac:dyDescent="0.25"/>
    <row r="3478" hidden="1" x14ac:dyDescent="0.25"/>
    <row r="3479" hidden="1" x14ac:dyDescent="0.25"/>
    <row r="3480" hidden="1" x14ac:dyDescent="0.25"/>
    <row r="3481" hidden="1" x14ac:dyDescent="0.25"/>
    <row r="3482" hidden="1" x14ac:dyDescent="0.25"/>
    <row r="3483" hidden="1" x14ac:dyDescent="0.25"/>
    <row r="3484" hidden="1" x14ac:dyDescent="0.25"/>
    <row r="3485" hidden="1" x14ac:dyDescent="0.25"/>
    <row r="3486" hidden="1" x14ac:dyDescent="0.25"/>
    <row r="3487" hidden="1" x14ac:dyDescent="0.25"/>
    <row r="3488" hidden="1" x14ac:dyDescent="0.25"/>
    <row r="3489" hidden="1" x14ac:dyDescent="0.25"/>
    <row r="3490" hidden="1" x14ac:dyDescent="0.25"/>
    <row r="3491" hidden="1" x14ac:dyDescent="0.25"/>
    <row r="3492" hidden="1" x14ac:dyDescent="0.25"/>
    <row r="3493" hidden="1" x14ac:dyDescent="0.25"/>
    <row r="3494" hidden="1" x14ac:dyDescent="0.25"/>
    <row r="3495" hidden="1" x14ac:dyDescent="0.25"/>
    <row r="3496" hidden="1" x14ac:dyDescent="0.25"/>
    <row r="3497" hidden="1" x14ac:dyDescent="0.25"/>
    <row r="3498" hidden="1" x14ac:dyDescent="0.25"/>
    <row r="3499" hidden="1" x14ac:dyDescent="0.25"/>
    <row r="3500" hidden="1" x14ac:dyDescent="0.25"/>
    <row r="3501" hidden="1" x14ac:dyDescent="0.25"/>
    <row r="3502" hidden="1" x14ac:dyDescent="0.25"/>
    <row r="3503" hidden="1" x14ac:dyDescent="0.25"/>
    <row r="3504" hidden="1" x14ac:dyDescent="0.25"/>
    <row r="3505" hidden="1" x14ac:dyDescent="0.25"/>
    <row r="3506" hidden="1" x14ac:dyDescent="0.25"/>
    <row r="3507" hidden="1" x14ac:dyDescent="0.25"/>
    <row r="3508" hidden="1" x14ac:dyDescent="0.25"/>
    <row r="3509" hidden="1" x14ac:dyDescent="0.25"/>
    <row r="3510" hidden="1" x14ac:dyDescent="0.25"/>
    <row r="3511" hidden="1" x14ac:dyDescent="0.25"/>
    <row r="3512" hidden="1" x14ac:dyDescent="0.25"/>
    <row r="3513" hidden="1" x14ac:dyDescent="0.25"/>
    <row r="3514" hidden="1" x14ac:dyDescent="0.25"/>
    <row r="3515" hidden="1" x14ac:dyDescent="0.25"/>
    <row r="3516" hidden="1" x14ac:dyDescent="0.25"/>
    <row r="3517" hidden="1" x14ac:dyDescent="0.25"/>
    <row r="3518" hidden="1" x14ac:dyDescent="0.25"/>
    <row r="3519" hidden="1" x14ac:dyDescent="0.25"/>
    <row r="3520" hidden="1" x14ac:dyDescent="0.25"/>
    <row r="3521" hidden="1" x14ac:dyDescent="0.25"/>
    <row r="3522" hidden="1" x14ac:dyDescent="0.25"/>
    <row r="3523" hidden="1" x14ac:dyDescent="0.25"/>
    <row r="3524" hidden="1" x14ac:dyDescent="0.25"/>
    <row r="3525" hidden="1" x14ac:dyDescent="0.25"/>
    <row r="3526" hidden="1" x14ac:dyDescent="0.25"/>
    <row r="3527" hidden="1" x14ac:dyDescent="0.25"/>
    <row r="3528" hidden="1" x14ac:dyDescent="0.25"/>
    <row r="3529" hidden="1" x14ac:dyDescent="0.25"/>
    <row r="3530" hidden="1" x14ac:dyDescent="0.25"/>
    <row r="3531" hidden="1" x14ac:dyDescent="0.25"/>
    <row r="3532" hidden="1" x14ac:dyDescent="0.25"/>
    <row r="3533" hidden="1" x14ac:dyDescent="0.25"/>
    <row r="3534" hidden="1" x14ac:dyDescent="0.25"/>
    <row r="3535" hidden="1" x14ac:dyDescent="0.25"/>
    <row r="3536" hidden="1" x14ac:dyDescent="0.25"/>
    <row r="3537" hidden="1" x14ac:dyDescent="0.25"/>
    <row r="3538" hidden="1" x14ac:dyDescent="0.25"/>
    <row r="3539" hidden="1" x14ac:dyDescent="0.25"/>
    <row r="3540" hidden="1" x14ac:dyDescent="0.25"/>
    <row r="3541" hidden="1" x14ac:dyDescent="0.25"/>
    <row r="3542" hidden="1" x14ac:dyDescent="0.25"/>
    <row r="3543" hidden="1" x14ac:dyDescent="0.25"/>
    <row r="3544" hidden="1" x14ac:dyDescent="0.25"/>
    <row r="3545" hidden="1" x14ac:dyDescent="0.25"/>
    <row r="3546" hidden="1" x14ac:dyDescent="0.25"/>
    <row r="3547" hidden="1" x14ac:dyDescent="0.25"/>
    <row r="3548" hidden="1" x14ac:dyDescent="0.25"/>
    <row r="3549" hidden="1" x14ac:dyDescent="0.25"/>
    <row r="3550" hidden="1" x14ac:dyDescent="0.25"/>
    <row r="3551" hidden="1" x14ac:dyDescent="0.25"/>
    <row r="3552" hidden="1" x14ac:dyDescent="0.25"/>
    <row r="3553" hidden="1" x14ac:dyDescent="0.25"/>
    <row r="3554" hidden="1" x14ac:dyDescent="0.25"/>
    <row r="3555" hidden="1" x14ac:dyDescent="0.25"/>
    <row r="3556" hidden="1" x14ac:dyDescent="0.25"/>
    <row r="3557" hidden="1" x14ac:dyDescent="0.25"/>
    <row r="3558" hidden="1" x14ac:dyDescent="0.25"/>
    <row r="3559" hidden="1" x14ac:dyDescent="0.25"/>
    <row r="3560" hidden="1" x14ac:dyDescent="0.25"/>
    <row r="3561" hidden="1" x14ac:dyDescent="0.25"/>
    <row r="3562" hidden="1" x14ac:dyDescent="0.25"/>
    <row r="3563" hidden="1" x14ac:dyDescent="0.25"/>
    <row r="3564" hidden="1" x14ac:dyDescent="0.25"/>
    <row r="3565" hidden="1" x14ac:dyDescent="0.25"/>
    <row r="3566" hidden="1" x14ac:dyDescent="0.25"/>
    <row r="3567" hidden="1" x14ac:dyDescent="0.25"/>
    <row r="3568" hidden="1" x14ac:dyDescent="0.25"/>
    <row r="3569" hidden="1" x14ac:dyDescent="0.25"/>
    <row r="3570" hidden="1" x14ac:dyDescent="0.25"/>
    <row r="3571" hidden="1" x14ac:dyDescent="0.25"/>
    <row r="3572" hidden="1" x14ac:dyDescent="0.25"/>
    <row r="3573" hidden="1" x14ac:dyDescent="0.25"/>
    <row r="3574" hidden="1" x14ac:dyDescent="0.25"/>
    <row r="3575" hidden="1" x14ac:dyDescent="0.25"/>
    <row r="3576" hidden="1" x14ac:dyDescent="0.25"/>
    <row r="3577" hidden="1" x14ac:dyDescent="0.25"/>
    <row r="3578" hidden="1" x14ac:dyDescent="0.25"/>
    <row r="3579" hidden="1" x14ac:dyDescent="0.25"/>
    <row r="3580" hidden="1" x14ac:dyDescent="0.25"/>
    <row r="3581" hidden="1" x14ac:dyDescent="0.25"/>
    <row r="3582" hidden="1" x14ac:dyDescent="0.25"/>
    <row r="3583" hidden="1" x14ac:dyDescent="0.25"/>
    <row r="3584" hidden="1" x14ac:dyDescent="0.25"/>
    <row r="3585" hidden="1" x14ac:dyDescent="0.25"/>
    <row r="3586" hidden="1" x14ac:dyDescent="0.25"/>
    <row r="3587" hidden="1" x14ac:dyDescent="0.25"/>
    <row r="3588" hidden="1" x14ac:dyDescent="0.25"/>
    <row r="3589" hidden="1" x14ac:dyDescent="0.25"/>
    <row r="3590" hidden="1" x14ac:dyDescent="0.25"/>
    <row r="3591" hidden="1" x14ac:dyDescent="0.25"/>
    <row r="3592" hidden="1" x14ac:dyDescent="0.25"/>
    <row r="3593" hidden="1" x14ac:dyDescent="0.25"/>
    <row r="3594" hidden="1" x14ac:dyDescent="0.25"/>
    <row r="3595" hidden="1" x14ac:dyDescent="0.25"/>
    <row r="3596" hidden="1" x14ac:dyDescent="0.25"/>
    <row r="3597" hidden="1" x14ac:dyDescent="0.25"/>
    <row r="3598" hidden="1" x14ac:dyDescent="0.25"/>
    <row r="3599" hidden="1" x14ac:dyDescent="0.25"/>
    <row r="3600" hidden="1" x14ac:dyDescent="0.25"/>
    <row r="3601" hidden="1" x14ac:dyDescent="0.25"/>
    <row r="3602" hidden="1" x14ac:dyDescent="0.25"/>
    <row r="3603" hidden="1" x14ac:dyDescent="0.25"/>
    <row r="3604" hidden="1" x14ac:dyDescent="0.25"/>
    <row r="3605" hidden="1" x14ac:dyDescent="0.25"/>
    <row r="3606" hidden="1" x14ac:dyDescent="0.25"/>
    <row r="3607" hidden="1" x14ac:dyDescent="0.25"/>
    <row r="3608" hidden="1" x14ac:dyDescent="0.25"/>
    <row r="3609" hidden="1" x14ac:dyDescent="0.25"/>
    <row r="3610" hidden="1" x14ac:dyDescent="0.25"/>
    <row r="3611" hidden="1" x14ac:dyDescent="0.25"/>
    <row r="3612" hidden="1" x14ac:dyDescent="0.25"/>
    <row r="3613" hidden="1" x14ac:dyDescent="0.25"/>
    <row r="3614" hidden="1" x14ac:dyDescent="0.25"/>
    <row r="3615" hidden="1" x14ac:dyDescent="0.25"/>
    <row r="3616" hidden="1" x14ac:dyDescent="0.25"/>
    <row r="3617" hidden="1" x14ac:dyDescent="0.25"/>
    <row r="3618" hidden="1" x14ac:dyDescent="0.25"/>
    <row r="3619" hidden="1" x14ac:dyDescent="0.25"/>
    <row r="3620" hidden="1" x14ac:dyDescent="0.25"/>
    <row r="3621" hidden="1" x14ac:dyDescent="0.25"/>
    <row r="3622" hidden="1" x14ac:dyDescent="0.25"/>
    <row r="3623" hidden="1" x14ac:dyDescent="0.25"/>
    <row r="3624" hidden="1" x14ac:dyDescent="0.25"/>
    <row r="3625" hidden="1" x14ac:dyDescent="0.25"/>
    <row r="3626" hidden="1" x14ac:dyDescent="0.25"/>
    <row r="3627" hidden="1" x14ac:dyDescent="0.25"/>
    <row r="3628" hidden="1" x14ac:dyDescent="0.25"/>
    <row r="3629" hidden="1" x14ac:dyDescent="0.25"/>
    <row r="3630" hidden="1" x14ac:dyDescent="0.25"/>
    <row r="3631" hidden="1" x14ac:dyDescent="0.25"/>
    <row r="3632" hidden="1" x14ac:dyDescent="0.25"/>
    <row r="3633" hidden="1" x14ac:dyDescent="0.25"/>
    <row r="3634" hidden="1" x14ac:dyDescent="0.25"/>
    <row r="3635" hidden="1" x14ac:dyDescent="0.25"/>
    <row r="3636" hidden="1" x14ac:dyDescent="0.25"/>
    <row r="3637" hidden="1" x14ac:dyDescent="0.25"/>
    <row r="3638" hidden="1" x14ac:dyDescent="0.25"/>
    <row r="3639" hidden="1" x14ac:dyDescent="0.25"/>
    <row r="3640" hidden="1" x14ac:dyDescent="0.25"/>
    <row r="3641" hidden="1" x14ac:dyDescent="0.25"/>
    <row r="3642" hidden="1" x14ac:dyDescent="0.25"/>
    <row r="3643" hidden="1" x14ac:dyDescent="0.25"/>
    <row r="3644" hidden="1" x14ac:dyDescent="0.25"/>
    <row r="3645" hidden="1" x14ac:dyDescent="0.25"/>
    <row r="3646" hidden="1" x14ac:dyDescent="0.25"/>
    <row r="3647" hidden="1" x14ac:dyDescent="0.25"/>
    <row r="3648" hidden="1" x14ac:dyDescent="0.25"/>
    <row r="3649" hidden="1" x14ac:dyDescent="0.25"/>
    <row r="3650" hidden="1" x14ac:dyDescent="0.25"/>
    <row r="3651" hidden="1" x14ac:dyDescent="0.25"/>
    <row r="3652" hidden="1" x14ac:dyDescent="0.25"/>
    <row r="3653" hidden="1" x14ac:dyDescent="0.25"/>
    <row r="3654" hidden="1" x14ac:dyDescent="0.25"/>
    <row r="3655" hidden="1" x14ac:dyDescent="0.25"/>
    <row r="3656" hidden="1" x14ac:dyDescent="0.25"/>
    <row r="3657" hidden="1" x14ac:dyDescent="0.25"/>
    <row r="3658" hidden="1" x14ac:dyDescent="0.25"/>
    <row r="3659" hidden="1" x14ac:dyDescent="0.25"/>
    <row r="3660" hidden="1" x14ac:dyDescent="0.25"/>
    <row r="3661" hidden="1" x14ac:dyDescent="0.25"/>
    <row r="3662" hidden="1" x14ac:dyDescent="0.25"/>
    <row r="3663" hidden="1" x14ac:dyDescent="0.25"/>
    <row r="3664" hidden="1" x14ac:dyDescent="0.25"/>
    <row r="3665" hidden="1" x14ac:dyDescent="0.25"/>
    <row r="3666" hidden="1" x14ac:dyDescent="0.25"/>
    <row r="3667" hidden="1" x14ac:dyDescent="0.25"/>
    <row r="3668" hidden="1" x14ac:dyDescent="0.25"/>
    <row r="3669" hidden="1" x14ac:dyDescent="0.25"/>
    <row r="3670" hidden="1" x14ac:dyDescent="0.25"/>
    <row r="3671" hidden="1" x14ac:dyDescent="0.25"/>
    <row r="3672" hidden="1" x14ac:dyDescent="0.25"/>
    <row r="3673" hidden="1" x14ac:dyDescent="0.25"/>
    <row r="3674" hidden="1" x14ac:dyDescent="0.25"/>
    <row r="3675" hidden="1" x14ac:dyDescent="0.25"/>
    <row r="3676" hidden="1" x14ac:dyDescent="0.25"/>
    <row r="3677" hidden="1" x14ac:dyDescent="0.25"/>
    <row r="3678" hidden="1" x14ac:dyDescent="0.25"/>
    <row r="3679" hidden="1" x14ac:dyDescent="0.25"/>
    <row r="3680" hidden="1" x14ac:dyDescent="0.25"/>
    <row r="3681" hidden="1" x14ac:dyDescent="0.25"/>
    <row r="3682" hidden="1" x14ac:dyDescent="0.25"/>
    <row r="3683" hidden="1" x14ac:dyDescent="0.25"/>
    <row r="3684" hidden="1" x14ac:dyDescent="0.25"/>
    <row r="3685" hidden="1" x14ac:dyDescent="0.25"/>
    <row r="3686" hidden="1" x14ac:dyDescent="0.25"/>
    <row r="3687" hidden="1" x14ac:dyDescent="0.25"/>
    <row r="3688" hidden="1" x14ac:dyDescent="0.25"/>
    <row r="3689" hidden="1" x14ac:dyDescent="0.25"/>
    <row r="3690" hidden="1" x14ac:dyDescent="0.25"/>
    <row r="3691" hidden="1" x14ac:dyDescent="0.25"/>
    <row r="3692" hidden="1" x14ac:dyDescent="0.25"/>
    <row r="3693" hidden="1" x14ac:dyDescent="0.25"/>
    <row r="3694" hidden="1" x14ac:dyDescent="0.25"/>
    <row r="3695" hidden="1" x14ac:dyDescent="0.25"/>
    <row r="3696" hidden="1" x14ac:dyDescent="0.25"/>
    <row r="3697" hidden="1" x14ac:dyDescent="0.25"/>
    <row r="3698" hidden="1" x14ac:dyDescent="0.25"/>
    <row r="3699" hidden="1" x14ac:dyDescent="0.25"/>
    <row r="3700" hidden="1" x14ac:dyDescent="0.25"/>
    <row r="3701" hidden="1" x14ac:dyDescent="0.25"/>
    <row r="3702" hidden="1" x14ac:dyDescent="0.25"/>
    <row r="3703" hidden="1" x14ac:dyDescent="0.25"/>
    <row r="3704" hidden="1" x14ac:dyDescent="0.25"/>
    <row r="3705" hidden="1" x14ac:dyDescent="0.25"/>
    <row r="3706" hidden="1" x14ac:dyDescent="0.25"/>
    <row r="3707" hidden="1" x14ac:dyDescent="0.25"/>
    <row r="3708" hidden="1" x14ac:dyDescent="0.25"/>
    <row r="3709" hidden="1" x14ac:dyDescent="0.25"/>
    <row r="3710" hidden="1" x14ac:dyDescent="0.25"/>
    <row r="3711" hidden="1" x14ac:dyDescent="0.25"/>
    <row r="3712" hidden="1" x14ac:dyDescent="0.25"/>
    <row r="3713" hidden="1" x14ac:dyDescent="0.25"/>
    <row r="3714" hidden="1" x14ac:dyDescent="0.25"/>
    <row r="3715" hidden="1" x14ac:dyDescent="0.25"/>
    <row r="3716" hidden="1" x14ac:dyDescent="0.25"/>
    <row r="3717" hidden="1" x14ac:dyDescent="0.25"/>
    <row r="3718" hidden="1" x14ac:dyDescent="0.25"/>
    <row r="3719" hidden="1" x14ac:dyDescent="0.25"/>
    <row r="3720" hidden="1" x14ac:dyDescent="0.25"/>
    <row r="3721" hidden="1" x14ac:dyDescent="0.25"/>
    <row r="3722" hidden="1" x14ac:dyDescent="0.25"/>
    <row r="3723" hidden="1" x14ac:dyDescent="0.25"/>
    <row r="3724" hidden="1" x14ac:dyDescent="0.25"/>
    <row r="3725" hidden="1" x14ac:dyDescent="0.25"/>
    <row r="3726" hidden="1" x14ac:dyDescent="0.25"/>
    <row r="3727" hidden="1" x14ac:dyDescent="0.25"/>
    <row r="3728" hidden="1" x14ac:dyDescent="0.25"/>
    <row r="3729" hidden="1" x14ac:dyDescent="0.25"/>
    <row r="3730" hidden="1" x14ac:dyDescent="0.25"/>
    <row r="3731" hidden="1" x14ac:dyDescent="0.25"/>
    <row r="3732" hidden="1" x14ac:dyDescent="0.25"/>
    <row r="3733" hidden="1" x14ac:dyDescent="0.25"/>
    <row r="3734" hidden="1" x14ac:dyDescent="0.25"/>
    <row r="3735" hidden="1" x14ac:dyDescent="0.25"/>
    <row r="3736" hidden="1" x14ac:dyDescent="0.25"/>
    <row r="3737" hidden="1" x14ac:dyDescent="0.25"/>
    <row r="3738" hidden="1" x14ac:dyDescent="0.25"/>
    <row r="3739" hidden="1" x14ac:dyDescent="0.25"/>
    <row r="3740" hidden="1" x14ac:dyDescent="0.25"/>
    <row r="3741" hidden="1" x14ac:dyDescent="0.25"/>
    <row r="3742" hidden="1" x14ac:dyDescent="0.25"/>
    <row r="3743" hidden="1" x14ac:dyDescent="0.25"/>
    <row r="3744" hidden="1" x14ac:dyDescent="0.25"/>
    <row r="3745" hidden="1" x14ac:dyDescent="0.25"/>
    <row r="3746" hidden="1" x14ac:dyDescent="0.25"/>
    <row r="3747" hidden="1" x14ac:dyDescent="0.25"/>
    <row r="3748" hidden="1" x14ac:dyDescent="0.25"/>
    <row r="3749" hidden="1" x14ac:dyDescent="0.25"/>
    <row r="3750" hidden="1" x14ac:dyDescent="0.25"/>
    <row r="3751" hidden="1" x14ac:dyDescent="0.25"/>
    <row r="3752" hidden="1" x14ac:dyDescent="0.25"/>
    <row r="3753" hidden="1" x14ac:dyDescent="0.25"/>
    <row r="3754" hidden="1" x14ac:dyDescent="0.25"/>
    <row r="3755" hidden="1" x14ac:dyDescent="0.25"/>
    <row r="3756" hidden="1" x14ac:dyDescent="0.25"/>
    <row r="3757" hidden="1" x14ac:dyDescent="0.25"/>
    <row r="3758" hidden="1" x14ac:dyDescent="0.25"/>
    <row r="3759" hidden="1" x14ac:dyDescent="0.25"/>
    <row r="3760" hidden="1" x14ac:dyDescent="0.25"/>
    <row r="3761" hidden="1" x14ac:dyDescent="0.25"/>
    <row r="3762" hidden="1" x14ac:dyDescent="0.25"/>
    <row r="3763" hidden="1" x14ac:dyDescent="0.25"/>
    <row r="3764" hidden="1" x14ac:dyDescent="0.25"/>
    <row r="3765" hidden="1" x14ac:dyDescent="0.25"/>
    <row r="3766" hidden="1" x14ac:dyDescent="0.25"/>
    <row r="3767" hidden="1" x14ac:dyDescent="0.25"/>
    <row r="3768" hidden="1" x14ac:dyDescent="0.25"/>
    <row r="3769" hidden="1" x14ac:dyDescent="0.25"/>
    <row r="3770" hidden="1" x14ac:dyDescent="0.25"/>
    <row r="3771" hidden="1" x14ac:dyDescent="0.25"/>
    <row r="3772" hidden="1" x14ac:dyDescent="0.25"/>
    <row r="3773" hidden="1" x14ac:dyDescent="0.25"/>
    <row r="3774" hidden="1" x14ac:dyDescent="0.25"/>
    <row r="3775" hidden="1" x14ac:dyDescent="0.25"/>
    <row r="3776" hidden="1" x14ac:dyDescent="0.25"/>
    <row r="3777" hidden="1" x14ac:dyDescent="0.25"/>
    <row r="3778" hidden="1" x14ac:dyDescent="0.25"/>
    <row r="3779" hidden="1" x14ac:dyDescent="0.25"/>
    <row r="3780" hidden="1" x14ac:dyDescent="0.25"/>
    <row r="3781" hidden="1" x14ac:dyDescent="0.25"/>
    <row r="3782" hidden="1" x14ac:dyDescent="0.25"/>
    <row r="3783" hidden="1" x14ac:dyDescent="0.25"/>
    <row r="3784" hidden="1" x14ac:dyDescent="0.25"/>
    <row r="3785" hidden="1" x14ac:dyDescent="0.25"/>
    <row r="3786" hidden="1" x14ac:dyDescent="0.25"/>
    <row r="3787" hidden="1" x14ac:dyDescent="0.25"/>
    <row r="3788" hidden="1" x14ac:dyDescent="0.25"/>
    <row r="3789" hidden="1" x14ac:dyDescent="0.25"/>
    <row r="3790" hidden="1" x14ac:dyDescent="0.25"/>
    <row r="3791" hidden="1" x14ac:dyDescent="0.25"/>
    <row r="3792" hidden="1" x14ac:dyDescent="0.25"/>
    <row r="3793" hidden="1" x14ac:dyDescent="0.25"/>
    <row r="3794" hidden="1" x14ac:dyDescent="0.25"/>
    <row r="3795" hidden="1" x14ac:dyDescent="0.25"/>
    <row r="3796" hidden="1" x14ac:dyDescent="0.25"/>
    <row r="3797" hidden="1" x14ac:dyDescent="0.25"/>
    <row r="3798" hidden="1" x14ac:dyDescent="0.25"/>
    <row r="3799" hidden="1" x14ac:dyDescent="0.25"/>
    <row r="3800" hidden="1" x14ac:dyDescent="0.25"/>
    <row r="3801" hidden="1" x14ac:dyDescent="0.25"/>
    <row r="3802" hidden="1" x14ac:dyDescent="0.25"/>
    <row r="3803" hidden="1" x14ac:dyDescent="0.25"/>
    <row r="3804" hidden="1" x14ac:dyDescent="0.25"/>
    <row r="3805" hidden="1" x14ac:dyDescent="0.25"/>
    <row r="3806" hidden="1" x14ac:dyDescent="0.25"/>
    <row r="3807" hidden="1" x14ac:dyDescent="0.25"/>
    <row r="3808" hidden="1" x14ac:dyDescent="0.25"/>
    <row r="3809" hidden="1" x14ac:dyDescent="0.25"/>
    <row r="3810" hidden="1" x14ac:dyDescent="0.25"/>
    <row r="3811" hidden="1" x14ac:dyDescent="0.25"/>
    <row r="3812" hidden="1" x14ac:dyDescent="0.25"/>
    <row r="3813" hidden="1" x14ac:dyDescent="0.25"/>
    <row r="3814" hidden="1" x14ac:dyDescent="0.25"/>
    <row r="3815" hidden="1" x14ac:dyDescent="0.25"/>
    <row r="3816" hidden="1" x14ac:dyDescent="0.25"/>
    <row r="3817" hidden="1" x14ac:dyDescent="0.25"/>
    <row r="3818" hidden="1" x14ac:dyDescent="0.25"/>
    <row r="3819" hidden="1" x14ac:dyDescent="0.25"/>
    <row r="3820" hidden="1" x14ac:dyDescent="0.25"/>
    <row r="3821" hidden="1" x14ac:dyDescent="0.25"/>
    <row r="3822" hidden="1" x14ac:dyDescent="0.25"/>
    <row r="3823" hidden="1" x14ac:dyDescent="0.25"/>
    <row r="3824" hidden="1" x14ac:dyDescent="0.25"/>
    <row r="3825" hidden="1" x14ac:dyDescent="0.25"/>
    <row r="3826" hidden="1" x14ac:dyDescent="0.25"/>
    <row r="3827" hidden="1" x14ac:dyDescent="0.25"/>
    <row r="3828" hidden="1" x14ac:dyDescent="0.25"/>
    <row r="3829" hidden="1" x14ac:dyDescent="0.25"/>
    <row r="3830" hidden="1" x14ac:dyDescent="0.25"/>
    <row r="3831" hidden="1" x14ac:dyDescent="0.25"/>
    <row r="3832" hidden="1" x14ac:dyDescent="0.25"/>
    <row r="3833" hidden="1" x14ac:dyDescent="0.25"/>
    <row r="3834" hidden="1" x14ac:dyDescent="0.25"/>
    <row r="3835" hidden="1" x14ac:dyDescent="0.25"/>
    <row r="3836" hidden="1" x14ac:dyDescent="0.25"/>
    <row r="3837" hidden="1" x14ac:dyDescent="0.25"/>
    <row r="3838" hidden="1" x14ac:dyDescent="0.25"/>
    <row r="3839" hidden="1" x14ac:dyDescent="0.25"/>
    <row r="3840" hidden="1" x14ac:dyDescent="0.25"/>
    <row r="3841" hidden="1" x14ac:dyDescent="0.25"/>
    <row r="3842" hidden="1" x14ac:dyDescent="0.25"/>
    <row r="3843" hidden="1" x14ac:dyDescent="0.25"/>
    <row r="3844" hidden="1" x14ac:dyDescent="0.25"/>
    <row r="3845" hidden="1" x14ac:dyDescent="0.25"/>
    <row r="3846" hidden="1" x14ac:dyDescent="0.25"/>
    <row r="3847" hidden="1" x14ac:dyDescent="0.25"/>
    <row r="3848" hidden="1" x14ac:dyDescent="0.25"/>
    <row r="3849" hidden="1" x14ac:dyDescent="0.25"/>
    <row r="3850" hidden="1" x14ac:dyDescent="0.25"/>
    <row r="3851" hidden="1" x14ac:dyDescent="0.25"/>
    <row r="3852" hidden="1" x14ac:dyDescent="0.25"/>
    <row r="3853" hidden="1" x14ac:dyDescent="0.25"/>
    <row r="3854" hidden="1" x14ac:dyDescent="0.25"/>
    <row r="3855" hidden="1" x14ac:dyDescent="0.25"/>
    <row r="3856" hidden="1" x14ac:dyDescent="0.25"/>
    <row r="3857" hidden="1" x14ac:dyDescent="0.25"/>
    <row r="3858" hidden="1" x14ac:dyDescent="0.25"/>
    <row r="3859" hidden="1" x14ac:dyDescent="0.25"/>
    <row r="3860" hidden="1" x14ac:dyDescent="0.25"/>
    <row r="3861" hidden="1" x14ac:dyDescent="0.25"/>
    <row r="3862" hidden="1" x14ac:dyDescent="0.25"/>
    <row r="3863" hidden="1" x14ac:dyDescent="0.25"/>
    <row r="3864" hidden="1" x14ac:dyDescent="0.25"/>
    <row r="3865" hidden="1" x14ac:dyDescent="0.25"/>
    <row r="3866" hidden="1" x14ac:dyDescent="0.25"/>
    <row r="3867" hidden="1" x14ac:dyDescent="0.25"/>
    <row r="3868" hidden="1" x14ac:dyDescent="0.25"/>
    <row r="3869" hidden="1" x14ac:dyDescent="0.25"/>
    <row r="3870" hidden="1" x14ac:dyDescent="0.25"/>
    <row r="3871" hidden="1" x14ac:dyDescent="0.25"/>
    <row r="3872" hidden="1" x14ac:dyDescent="0.25"/>
    <row r="3873" hidden="1" x14ac:dyDescent="0.25"/>
    <row r="3874" hidden="1" x14ac:dyDescent="0.25"/>
    <row r="3875" hidden="1" x14ac:dyDescent="0.25"/>
    <row r="3876" hidden="1" x14ac:dyDescent="0.25"/>
    <row r="3877" hidden="1" x14ac:dyDescent="0.25"/>
    <row r="3878" hidden="1" x14ac:dyDescent="0.25"/>
    <row r="3879" hidden="1" x14ac:dyDescent="0.25"/>
    <row r="3880" hidden="1" x14ac:dyDescent="0.25"/>
    <row r="3881" hidden="1" x14ac:dyDescent="0.25"/>
    <row r="3882" hidden="1" x14ac:dyDescent="0.25"/>
    <row r="3883" hidden="1" x14ac:dyDescent="0.25"/>
    <row r="3884" hidden="1" x14ac:dyDescent="0.25"/>
    <row r="3885" hidden="1" x14ac:dyDescent="0.25"/>
    <row r="3886" hidden="1" x14ac:dyDescent="0.25"/>
    <row r="3887" hidden="1" x14ac:dyDescent="0.25"/>
    <row r="3888" hidden="1" x14ac:dyDescent="0.25"/>
    <row r="3889" hidden="1" x14ac:dyDescent="0.25"/>
    <row r="3890" hidden="1" x14ac:dyDescent="0.25"/>
    <row r="3891" hidden="1" x14ac:dyDescent="0.25"/>
    <row r="3892" hidden="1" x14ac:dyDescent="0.25"/>
    <row r="3893" hidden="1" x14ac:dyDescent="0.25"/>
    <row r="3894" hidden="1" x14ac:dyDescent="0.25"/>
    <row r="3895" hidden="1" x14ac:dyDescent="0.25"/>
    <row r="3896" hidden="1" x14ac:dyDescent="0.25"/>
    <row r="3897" hidden="1" x14ac:dyDescent="0.25"/>
    <row r="3898" hidden="1" x14ac:dyDescent="0.25"/>
    <row r="3899" hidden="1" x14ac:dyDescent="0.25"/>
    <row r="3900" hidden="1" x14ac:dyDescent="0.25"/>
    <row r="3901" hidden="1" x14ac:dyDescent="0.25"/>
    <row r="3902" hidden="1" x14ac:dyDescent="0.25"/>
    <row r="3903" hidden="1" x14ac:dyDescent="0.25"/>
    <row r="3904" hidden="1" x14ac:dyDescent="0.25"/>
    <row r="3905" hidden="1" x14ac:dyDescent="0.25"/>
    <row r="3906" hidden="1" x14ac:dyDescent="0.25"/>
    <row r="3907" hidden="1" x14ac:dyDescent="0.25"/>
    <row r="3908" hidden="1" x14ac:dyDescent="0.25"/>
    <row r="3909" hidden="1" x14ac:dyDescent="0.25"/>
    <row r="3910" hidden="1" x14ac:dyDescent="0.25"/>
    <row r="3911" hidden="1" x14ac:dyDescent="0.25"/>
    <row r="3912" hidden="1" x14ac:dyDescent="0.25"/>
    <row r="3913" hidden="1" x14ac:dyDescent="0.25"/>
    <row r="3914" hidden="1" x14ac:dyDescent="0.25"/>
    <row r="3915" hidden="1" x14ac:dyDescent="0.25"/>
    <row r="3916" hidden="1" x14ac:dyDescent="0.25"/>
    <row r="3917" hidden="1" x14ac:dyDescent="0.25"/>
    <row r="3918" hidden="1" x14ac:dyDescent="0.25"/>
    <row r="3919" hidden="1" x14ac:dyDescent="0.25"/>
    <row r="3920" hidden="1" x14ac:dyDescent="0.25"/>
    <row r="3921" hidden="1" x14ac:dyDescent="0.25"/>
    <row r="3922" hidden="1" x14ac:dyDescent="0.25"/>
    <row r="3923" hidden="1" x14ac:dyDescent="0.25"/>
    <row r="3924" hidden="1" x14ac:dyDescent="0.25"/>
    <row r="3925" hidden="1" x14ac:dyDescent="0.25"/>
    <row r="3926" hidden="1" x14ac:dyDescent="0.25"/>
    <row r="3927" hidden="1" x14ac:dyDescent="0.25"/>
    <row r="3928" hidden="1" x14ac:dyDescent="0.25"/>
    <row r="3929" hidden="1" x14ac:dyDescent="0.25"/>
    <row r="3930" hidden="1" x14ac:dyDescent="0.25"/>
    <row r="3931" hidden="1" x14ac:dyDescent="0.25"/>
    <row r="3932" hidden="1" x14ac:dyDescent="0.25"/>
    <row r="3933" hidden="1" x14ac:dyDescent="0.25"/>
    <row r="3934" hidden="1" x14ac:dyDescent="0.25"/>
    <row r="3935" hidden="1" x14ac:dyDescent="0.25"/>
    <row r="3936" hidden="1" x14ac:dyDescent="0.25"/>
    <row r="3937" hidden="1" x14ac:dyDescent="0.25"/>
    <row r="3938" hidden="1" x14ac:dyDescent="0.25"/>
    <row r="3939" hidden="1" x14ac:dyDescent="0.25"/>
    <row r="3940" hidden="1" x14ac:dyDescent="0.25"/>
    <row r="3941" hidden="1" x14ac:dyDescent="0.25"/>
    <row r="3942" hidden="1" x14ac:dyDescent="0.25"/>
    <row r="3943" hidden="1" x14ac:dyDescent="0.25"/>
    <row r="3944" hidden="1" x14ac:dyDescent="0.25"/>
    <row r="3945" hidden="1" x14ac:dyDescent="0.25"/>
    <row r="3946" hidden="1" x14ac:dyDescent="0.25"/>
    <row r="3947" hidden="1" x14ac:dyDescent="0.25"/>
    <row r="3948" hidden="1" x14ac:dyDescent="0.25"/>
    <row r="3949" hidden="1" x14ac:dyDescent="0.25"/>
    <row r="3950" hidden="1" x14ac:dyDescent="0.25"/>
    <row r="3951" hidden="1" x14ac:dyDescent="0.25"/>
    <row r="3952" hidden="1" x14ac:dyDescent="0.25"/>
    <row r="3953" hidden="1" x14ac:dyDescent="0.25"/>
    <row r="3954" hidden="1" x14ac:dyDescent="0.25"/>
    <row r="3955" hidden="1" x14ac:dyDescent="0.25"/>
    <row r="3956" hidden="1" x14ac:dyDescent="0.25"/>
    <row r="3957" hidden="1" x14ac:dyDescent="0.25"/>
    <row r="3958" hidden="1" x14ac:dyDescent="0.25"/>
    <row r="3959" hidden="1" x14ac:dyDescent="0.25"/>
    <row r="3960" hidden="1" x14ac:dyDescent="0.25"/>
    <row r="3961" hidden="1" x14ac:dyDescent="0.25"/>
    <row r="3962" hidden="1" x14ac:dyDescent="0.25"/>
    <row r="3963" hidden="1" x14ac:dyDescent="0.25"/>
    <row r="3964" hidden="1" x14ac:dyDescent="0.25"/>
    <row r="3965" hidden="1" x14ac:dyDescent="0.25"/>
    <row r="3966" hidden="1" x14ac:dyDescent="0.25"/>
    <row r="3967" hidden="1" x14ac:dyDescent="0.25"/>
    <row r="3968" hidden="1" x14ac:dyDescent="0.25"/>
    <row r="3969" hidden="1" x14ac:dyDescent="0.25"/>
    <row r="3970" hidden="1" x14ac:dyDescent="0.25"/>
    <row r="3971" hidden="1" x14ac:dyDescent="0.25"/>
    <row r="3972" hidden="1" x14ac:dyDescent="0.25"/>
    <row r="3973" hidden="1" x14ac:dyDescent="0.25"/>
    <row r="3974" hidden="1" x14ac:dyDescent="0.25"/>
    <row r="3975" hidden="1" x14ac:dyDescent="0.25"/>
    <row r="3976" hidden="1" x14ac:dyDescent="0.25"/>
    <row r="3977" hidden="1" x14ac:dyDescent="0.25"/>
    <row r="3978" hidden="1" x14ac:dyDescent="0.25"/>
    <row r="3979" hidden="1" x14ac:dyDescent="0.25"/>
    <row r="3980" hidden="1" x14ac:dyDescent="0.25"/>
    <row r="3981" hidden="1" x14ac:dyDescent="0.25"/>
    <row r="3982" hidden="1" x14ac:dyDescent="0.25"/>
    <row r="3983" hidden="1" x14ac:dyDescent="0.25"/>
    <row r="3984" hidden="1" x14ac:dyDescent="0.25"/>
    <row r="3985" hidden="1" x14ac:dyDescent="0.25"/>
    <row r="3986" hidden="1" x14ac:dyDescent="0.25"/>
    <row r="3987" hidden="1" x14ac:dyDescent="0.25"/>
    <row r="3988" hidden="1" x14ac:dyDescent="0.25"/>
    <row r="3989" hidden="1" x14ac:dyDescent="0.25"/>
    <row r="3990" hidden="1" x14ac:dyDescent="0.25"/>
    <row r="3991" hidden="1" x14ac:dyDescent="0.25"/>
    <row r="3992" hidden="1" x14ac:dyDescent="0.25"/>
    <row r="3993" hidden="1" x14ac:dyDescent="0.25"/>
    <row r="3994" hidden="1" x14ac:dyDescent="0.25"/>
    <row r="3995" hidden="1" x14ac:dyDescent="0.25"/>
    <row r="3996" hidden="1" x14ac:dyDescent="0.25"/>
    <row r="3997" hidden="1" x14ac:dyDescent="0.25"/>
    <row r="3998" hidden="1" x14ac:dyDescent="0.25"/>
    <row r="3999" hidden="1" x14ac:dyDescent="0.25"/>
    <row r="4000" hidden="1" x14ac:dyDescent="0.25"/>
    <row r="4001" hidden="1" x14ac:dyDescent="0.25"/>
    <row r="4002" hidden="1" x14ac:dyDescent="0.25"/>
    <row r="4003" hidden="1" x14ac:dyDescent="0.25"/>
    <row r="4004" hidden="1" x14ac:dyDescent="0.25"/>
    <row r="4005" hidden="1" x14ac:dyDescent="0.25"/>
    <row r="4006" hidden="1" x14ac:dyDescent="0.25"/>
    <row r="4007" hidden="1" x14ac:dyDescent="0.25"/>
    <row r="4008" hidden="1" x14ac:dyDescent="0.25"/>
    <row r="4009" hidden="1" x14ac:dyDescent="0.25"/>
    <row r="4010" hidden="1" x14ac:dyDescent="0.25"/>
    <row r="4011" hidden="1" x14ac:dyDescent="0.25"/>
    <row r="4012" hidden="1" x14ac:dyDescent="0.25"/>
    <row r="4013" hidden="1" x14ac:dyDescent="0.25"/>
    <row r="4014" hidden="1" x14ac:dyDescent="0.25"/>
    <row r="4015" hidden="1" x14ac:dyDescent="0.25"/>
    <row r="4016" hidden="1" x14ac:dyDescent="0.25"/>
    <row r="4017" hidden="1" x14ac:dyDescent="0.25"/>
    <row r="4018" hidden="1" x14ac:dyDescent="0.25"/>
    <row r="4019" hidden="1" x14ac:dyDescent="0.25"/>
    <row r="4020" hidden="1" x14ac:dyDescent="0.25"/>
    <row r="4021" hidden="1" x14ac:dyDescent="0.25"/>
    <row r="4022" hidden="1" x14ac:dyDescent="0.25"/>
    <row r="4023" hidden="1" x14ac:dyDescent="0.25"/>
    <row r="4024" hidden="1" x14ac:dyDescent="0.25"/>
    <row r="4025" hidden="1" x14ac:dyDescent="0.25"/>
    <row r="4026" hidden="1" x14ac:dyDescent="0.25"/>
    <row r="4027" hidden="1" x14ac:dyDescent="0.25"/>
    <row r="4028" hidden="1" x14ac:dyDescent="0.25"/>
    <row r="4029" hidden="1" x14ac:dyDescent="0.25"/>
    <row r="4030" hidden="1" x14ac:dyDescent="0.25"/>
    <row r="4031" hidden="1" x14ac:dyDescent="0.25"/>
    <row r="4032" hidden="1" x14ac:dyDescent="0.25"/>
    <row r="4033" hidden="1" x14ac:dyDescent="0.25"/>
    <row r="4034" hidden="1" x14ac:dyDescent="0.25"/>
    <row r="4035" hidden="1" x14ac:dyDescent="0.25"/>
    <row r="4036" hidden="1" x14ac:dyDescent="0.25"/>
    <row r="4037" hidden="1" x14ac:dyDescent="0.25"/>
    <row r="4038" hidden="1" x14ac:dyDescent="0.25"/>
    <row r="4039" hidden="1" x14ac:dyDescent="0.25"/>
    <row r="4040" hidden="1" x14ac:dyDescent="0.25"/>
    <row r="4041" hidden="1" x14ac:dyDescent="0.25"/>
    <row r="4042" hidden="1" x14ac:dyDescent="0.25"/>
    <row r="4043" hidden="1" x14ac:dyDescent="0.25"/>
    <row r="4044" hidden="1" x14ac:dyDescent="0.25"/>
    <row r="4045" hidden="1" x14ac:dyDescent="0.25"/>
    <row r="4046" hidden="1" x14ac:dyDescent="0.25"/>
    <row r="4047" hidden="1" x14ac:dyDescent="0.25"/>
    <row r="4048" hidden="1" x14ac:dyDescent="0.25"/>
    <row r="4049" hidden="1" x14ac:dyDescent="0.25"/>
    <row r="4050" hidden="1" x14ac:dyDescent="0.25"/>
    <row r="4051" hidden="1" x14ac:dyDescent="0.25"/>
    <row r="4052" hidden="1" x14ac:dyDescent="0.25"/>
    <row r="4053" hidden="1" x14ac:dyDescent="0.25"/>
    <row r="4054" hidden="1" x14ac:dyDescent="0.25"/>
    <row r="4055" hidden="1" x14ac:dyDescent="0.25"/>
    <row r="4056" hidden="1" x14ac:dyDescent="0.25"/>
    <row r="4057" hidden="1" x14ac:dyDescent="0.25"/>
    <row r="4058" hidden="1" x14ac:dyDescent="0.25"/>
    <row r="4059" hidden="1" x14ac:dyDescent="0.25"/>
    <row r="4060" hidden="1" x14ac:dyDescent="0.25"/>
    <row r="4061" hidden="1" x14ac:dyDescent="0.25"/>
    <row r="4062" hidden="1" x14ac:dyDescent="0.25"/>
    <row r="4063" hidden="1" x14ac:dyDescent="0.25"/>
    <row r="4064" hidden="1" x14ac:dyDescent="0.25"/>
    <row r="4065" hidden="1" x14ac:dyDescent="0.25"/>
    <row r="4066" hidden="1" x14ac:dyDescent="0.25"/>
    <row r="4067" hidden="1" x14ac:dyDescent="0.25"/>
    <row r="4068" hidden="1" x14ac:dyDescent="0.25"/>
    <row r="4069" hidden="1" x14ac:dyDescent="0.25"/>
    <row r="4070" hidden="1" x14ac:dyDescent="0.25"/>
    <row r="4071" hidden="1" x14ac:dyDescent="0.25"/>
    <row r="4072" hidden="1" x14ac:dyDescent="0.25"/>
    <row r="4073" hidden="1" x14ac:dyDescent="0.25"/>
    <row r="4074" hidden="1" x14ac:dyDescent="0.25"/>
    <row r="4075" hidden="1" x14ac:dyDescent="0.25"/>
    <row r="4076" hidden="1" x14ac:dyDescent="0.25"/>
    <row r="4077" hidden="1" x14ac:dyDescent="0.25"/>
    <row r="4078" hidden="1" x14ac:dyDescent="0.25"/>
    <row r="4079" hidden="1" x14ac:dyDescent="0.25"/>
    <row r="4080" hidden="1" x14ac:dyDescent="0.25"/>
    <row r="4081" hidden="1" x14ac:dyDescent="0.25"/>
    <row r="4082" hidden="1" x14ac:dyDescent="0.25"/>
    <row r="4083" hidden="1" x14ac:dyDescent="0.25"/>
    <row r="4084" hidden="1" x14ac:dyDescent="0.25"/>
    <row r="4085" hidden="1" x14ac:dyDescent="0.25"/>
    <row r="4086" hidden="1" x14ac:dyDescent="0.25"/>
    <row r="4087" hidden="1" x14ac:dyDescent="0.25"/>
    <row r="4088" hidden="1" x14ac:dyDescent="0.25"/>
    <row r="4089" hidden="1" x14ac:dyDescent="0.25"/>
    <row r="4090" hidden="1" x14ac:dyDescent="0.25"/>
    <row r="4091" hidden="1" x14ac:dyDescent="0.25"/>
    <row r="4092" hidden="1" x14ac:dyDescent="0.25"/>
    <row r="4093" hidden="1" x14ac:dyDescent="0.25"/>
    <row r="4094" hidden="1" x14ac:dyDescent="0.25"/>
    <row r="4095" hidden="1" x14ac:dyDescent="0.25"/>
    <row r="4096" hidden="1" x14ac:dyDescent="0.25"/>
    <row r="4097" hidden="1" x14ac:dyDescent="0.25"/>
    <row r="4098" hidden="1" x14ac:dyDescent="0.25"/>
    <row r="4099" hidden="1" x14ac:dyDescent="0.25"/>
    <row r="4100" hidden="1" x14ac:dyDescent="0.25"/>
    <row r="4101" hidden="1" x14ac:dyDescent="0.25"/>
    <row r="4102" hidden="1" x14ac:dyDescent="0.25"/>
    <row r="4103" hidden="1" x14ac:dyDescent="0.25"/>
    <row r="4104" hidden="1" x14ac:dyDescent="0.25"/>
    <row r="4105" hidden="1" x14ac:dyDescent="0.25"/>
    <row r="4106" hidden="1" x14ac:dyDescent="0.25"/>
    <row r="4107" hidden="1" x14ac:dyDescent="0.25"/>
    <row r="4108" hidden="1" x14ac:dyDescent="0.25"/>
    <row r="4109" hidden="1" x14ac:dyDescent="0.25"/>
    <row r="4110" hidden="1" x14ac:dyDescent="0.25"/>
    <row r="4111" hidden="1" x14ac:dyDescent="0.25"/>
    <row r="4112" hidden="1" x14ac:dyDescent="0.25"/>
    <row r="4113" hidden="1" x14ac:dyDescent="0.25"/>
    <row r="4114" hidden="1" x14ac:dyDescent="0.25"/>
    <row r="4115" hidden="1" x14ac:dyDescent="0.25"/>
    <row r="4116" hidden="1" x14ac:dyDescent="0.25"/>
    <row r="4117" hidden="1" x14ac:dyDescent="0.25"/>
    <row r="4118" hidden="1" x14ac:dyDescent="0.25"/>
    <row r="4119" hidden="1" x14ac:dyDescent="0.25"/>
    <row r="4120" hidden="1" x14ac:dyDescent="0.25"/>
    <row r="4121" hidden="1" x14ac:dyDescent="0.25"/>
    <row r="4122" hidden="1" x14ac:dyDescent="0.25"/>
    <row r="4123" hidden="1" x14ac:dyDescent="0.25"/>
    <row r="4124" hidden="1" x14ac:dyDescent="0.25"/>
    <row r="4125" hidden="1" x14ac:dyDescent="0.25"/>
    <row r="4126" hidden="1" x14ac:dyDescent="0.25"/>
    <row r="4127" hidden="1" x14ac:dyDescent="0.25"/>
    <row r="4128" hidden="1" x14ac:dyDescent="0.25"/>
    <row r="4129" hidden="1" x14ac:dyDescent="0.25"/>
    <row r="4130" hidden="1" x14ac:dyDescent="0.25"/>
    <row r="4131" hidden="1" x14ac:dyDescent="0.25"/>
    <row r="4132" hidden="1" x14ac:dyDescent="0.25"/>
    <row r="4133" hidden="1" x14ac:dyDescent="0.25"/>
    <row r="4134" hidden="1" x14ac:dyDescent="0.25"/>
    <row r="4135" hidden="1" x14ac:dyDescent="0.25"/>
    <row r="4136" hidden="1" x14ac:dyDescent="0.25"/>
    <row r="4137" hidden="1" x14ac:dyDescent="0.25"/>
    <row r="4138" hidden="1" x14ac:dyDescent="0.25"/>
    <row r="4139" hidden="1" x14ac:dyDescent="0.25"/>
    <row r="4140" hidden="1" x14ac:dyDescent="0.25"/>
    <row r="4141" hidden="1" x14ac:dyDescent="0.25"/>
    <row r="4142" hidden="1" x14ac:dyDescent="0.25"/>
    <row r="4143" hidden="1" x14ac:dyDescent="0.25"/>
    <row r="4144" hidden="1" x14ac:dyDescent="0.25"/>
    <row r="4145" hidden="1" x14ac:dyDescent="0.25"/>
    <row r="4146" hidden="1" x14ac:dyDescent="0.25"/>
    <row r="4147" hidden="1" x14ac:dyDescent="0.25"/>
    <row r="4148" hidden="1" x14ac:dyDescent="0.25"/>
    <row r="4149" hidden="1" x14ac:dyDescent="0.25"/>
    <row r="4150" hidden="1" x14ac:dyDescent="0.25"/>
    <row r="4151" hidden="1" x14ac:dyDescent="0.25"/>
    <row r="4152" hidden="1" x14ac:dyDescent="0.25"/>
    <row r="4153" hidden="1" x14ac:dyDescent="0.25"/>
    <row r="4154" hidden="1" x14ac:dyDescent="0.25"/>
    <row r="4155" hidden="1" x14ac:dyDescent="0.25"/>
    <row r="4156" hidden="1" x14ac:dyDescent="0.25"/>
    <row r="4157" hidden="1" x14ac:dyDescent="0.25"/>
    <row r="4158" hidden="1" x14ac:dyDescent="0.25"/>
    <row r="4159" hidden="1" x14ac:dyDescent="0.25"/>
    <row r="4160" hidden="1" x14ac:dyDescent="0.25"/>
    <row r="4161" hidden="1" x14ac:dyDescent="0.25"/>
    <row r="4162" hidden="1" x14ac:dyDescent="0.25"/>
    <row r="4163" hidden="1" x14ac:dyDescent="0.25"/>
    <row r="4164" hidden="1" x14ac:dyDescent="0.25"/>
    <row r="4165" hidden="1" x14ac:dyDescent="0.25"/>
    <row r="4166" hidden="1" x14ac:dyDescent="0.25"/>
    <row r="4167" hidden="1" x14ac:dyDescent="0.25"/>
    <row r="4168" hidden="1" x14ac:dyDescent="0.25"/>
    <row r="4169" hidden="1" x14ac:dyDescent="0.25"/>
    <row r="4170" hidden="1" x14ac:dyDescent="0.25"/>
    <row r="4171" hidden="1" x14ac:dyDescent="0.25"/>
    <row r="4172" hidden="1" x14ac:dyDescent="0.25"/>
    <row r="4173" hidden="1" x14ac:dyDescent="0.25"/>
    <row r="4174" hidden="1" x14ac:dyDescent="0.25"/>
    <row r="4175" hidden="1" x14ac:dyDescent="0.25"/>
    <row r="4176" hidden="1" x14ac:dyDescent="0.25"/>
    <row r="4177" hidden="1" x14ac:dyDescent="0.25"/>
    <row r="4178" hidden="1" x14ac:dyDescent="0.25"/>
    <row r="4179" hidden="1" x14ac:dyDescent="0.25"/>
    <row r="4180" hidden="1" x14ac:dyDescent="0.25"/>
    <row r="4181" hidden="1" x14ac:dyDescent="0.25"/>
    <row r="4182" hidden="1" x14ac:dyDescent="0.25"/>
    <row r="4183" hidden="1" x14ac:dyDescent="0.25"/>
    <row r="4184" hidden="1" x14ac:dyDescent="0.25"/>
    <row r="4185" hidden="1" x14ac:dyDescent="0.25"/>
    <row r="4186" hidden="1" x14ac:dyDescent="0.25"/>
    <row r="4187" hidden="1" x14ac:dyDescent="0.25"/>
    <row r="4188" hidden="1" x14ac:dyDescent="0.25"/>
    <row r="4189" hidden="1" x14ac:dyDescent="0.25"/>
    <row r="4190" hidden="1" x14ac:dyDescent="0.25"/>
    <row r="4191" hidden="1" x14ac:dyDescent="0.25"/>
    <row r="4192" hidden="1" x14ac:dyDescent="0.25"/>
    <row r="4193" hidden="1" x14ac:dyDescent="0.25"/>
    <row r="4194" hidden="1" x14ac:dyDescent="0.25"/>
    <row r="4195" hidden="1" x14ac:dyDescent="0.25"/>
    <row r="4196" hidden="1" x14ac:dyDescent="0.25"/>
    <row r="4197" hidden="1" x14ac:dyDescent="0.25"/>
    <row r="4198" hidden="1" x14ac:dyDescent="0.25"/>
    <row r="4199" hidden="1" x14ac:dyDescent="0.25"/>
    <row r="4200" hidden="1" x14ac:dyDescent="0.25"/>
    <row r="4201" hidden="1" x14ac:dyDescent="0.25"/>
    <row r="4202" hidden="1" x14ac:dyDescent="0.25"/>
    <row r="4203" hidden="1" x14ac:dyDescent="0.25"/>
    <row r="4204" hidden="1" x14ac:dyDescent="0.25"/>
    <row r="4205" hidden="1" x14ac:dyDescent="0.25"/>
    <row r="4206" hidden="1" x14ac:dyDescent="0.25"/>
    <row r="4207" hidden="1" x14ac:dyDescent="0.25"/>
    <row r="4208" hidden="1" x14ac:dyDescent="0.25"/>
    <row r="4209" hidden="1" x14ac:dyDescent="0.25"/>
    <row r="4210" hidden="1" x14ac:dyDescent="0.25"/>
    <row r="4211" hidden="1" x14ac:dyDescent="0.25"/>
    <row r="4212" hidden="1" x14ac:dyDescent="0.25"/>
    <row r="4213" hidden="1" x14ac:dyDescent="0.25"/>
    <row r="4214" hidden="1" x14ac:dyDescent="0.25"/>
    <row r="4215" hidden="1" x14ac:dyDescent="0.25"/>
    <row r="4216" hidden="1" x14ac:dyDescent="0.25"/>
    <row r="4217" hidden="1" x14ac:dyDescent="0.25"/>
    <row r="4218" hidden="1" x14ac:dyDescent="0.25"/>
    <row r="4219" hidden="1" x14ac:dyDescent="0.25"/>
    <row r="4220" hidden="1" x14ac:dyDescent="0.25"/>
    <row r="4221" hidden="1" x14ac:dyDescent="0.25"/>
    <row r="4222" hidden="1" x14ac:dyDescent="0.25"/>
    <row r="4223" hidden="1" x14ac:dyDescent="0.25"/>
    <row r="4224" hidden="1" x14ac:dyDescent="0.25"/>
    <row r="4225" hidden="1" x14ac:dyDescent="0.25"/>
    <row r="4226" hidden="1" x14ac:dyDescent="0.25"/>
    <row r="4227" hidden="1" x14ac:dyDescent="0.25"/>
    <row r="4228" hidden="1" x14ac:dyDescent="0.25"/>
    <row r="4229" hidden="1" x14ac:dyDescent="0.25"/>
    <row r="4230" hidden="1" x14ac:dyDescent="0.25"/>
    <row r="4231" hidden="1" x14ac:dyDescent="0.25"/>
    <row r="4232" hidden="1" x14ac:dyDescent="0.25"/>
    <row r="4233" hidden="1" x14ac:dyDescent="0.25"/>
    <row r="4234" hidden="1" x14ac:dyDescent="0.25"/>
    <row r="4235" hidden="1" x14ac:dyDescent="0.25"/>
    <row r="4236" hidden="1" x14ac:dyDescent="0.25"/>
    <row r="4237" hidden="1" x14ac:dyDescent="0.25"/>
    <row r="4238" hidden="1" x14ac:dyDescent="0.25"/>
    <row r="4239" hidden="1" x14ac:dyDescent="0.25"/>
    <row r="4240" hidden="1" x14ac:dyDescent="0.25"/>
    <row r="4241" hidden="1" x14ac:dyDescent="0.25"/>
    <row r="4242" hidden="1" x14ac:dyDescent="0.25"/>
    <row r="4243" hidden="1" x14ac:dyDescent="0.25"/>
    <row r="4244" hidden="1" x14ac:dyDescent="0.25"/>
    <row r="4245" hidden="1" x14ac:dyDescent="0.25"/>
    <row r="4246" hidden="1" x14ac:dyDescent="0.25"/>
    <row r="4247" hidden="1" x14ac:dyDescent="0.25"/>
    <row r="4248" hidden="1" x14ac:dyDescent="0.25"/>
    <row r="4249" hidden="1" x14ac:dyDescent="0.25"/>
    <row r="4250" hidden="1" x14ac:dyDescent="0.25"/>
    <row r="4251" hidden="1" x14ac:dyDescent="0.25"/>
    <row r="4252" hidden="1" x14ac:dyDescent="0.25"/>
    <row r="4253" hidden="1" x14ac:dyDescent="0.25"/>
    <row r="4254" hidden="1" x14ac:dyDescent="0.25"/>
    <row r="4255" hidden="1" x14ac:dyDescent="0.25"/>
    <row r="4256" hidden="1" x14ac:dyDescent="0.25"/>
    <row r="4257" hidden="1" x14ac:dyDescent="0.25"/>
    <row r="4258" hidden="1" x14ac:dyDescent="0.25"/>
    <row r="4259" hidden="1" x14ac:dyDescent="0.25"/>
    <row r="4260" hidden="1" x14ac:dyDescent="0.25"/>
    <row r="4261" hidden="1" x14ac:dyDescent="0.25"/>
    <row r="4262" hidden="1" x14ac:dyDescent="0.25"/>
    <row r="4263" hidden="1" x14ac:dyDescent="0.25"/>
    <row r="4264" hidden="1" x14ac:dyDescent="0.25"/>
    <row r="4265" hidden="1" x14ac:dyDescent="0.25"/>
    <row r="4266" hidden="1" x14ac:dyDescent="0.25"/>
    <row r="4267" hidden="1" x14ac:dyDescent="0.25"/>
    <row r="4268" hidden="1" x14ac:dyDescent="0.25"/>
    <row r="4269" hidden="1" x14ac:dyDescent="0.25"/>
    <row r="4270" hidden="1" x14ac:dyDescent="0.25"/>
    <row r="4271" hidden="1" x14ac:dyDescent="0.25"/>
    <row r="4272" hidden="1" x14ac:dyDescent="0.25"/>
    <row r="4273" hidden="1" x14ac:dyDescent="0.25"/>
    <row r="4274" hidden="1" x14ac:dyDescent="0.25"/>
    <row r="4275" hidden="1" x14ac:dyDescent="0.25"/>
    <row r="4276" hidden="1" x14ac:dyDescent="0.25"/>
    <row r="4277" hidden="1" x14ac:dyDescent="0.25"/>
    <row r="4278" hidden="1" x14ac:dyDescent="0.25"/>
    <row r="4279" hidden="1" x14ac:dyDescent="0.25"/>
    <row r="4280" hidden="1" x14ac:dyDescent="0.25"/>
    <row r="4281" hidden="1" x14ac:dyDescent="0.25"/>
    <row r="4282" hidden="1" x14ac:dyDescent="0.25"/>
    <row r="4283" hidden="1" x14ac:dyDescent="0.25"/>
    <row r="4284" hidden="1" x14ac:dyDescent="0.25"/>
    <row r="4285" hidden="1" x14ac:dyDescent="0.25"/>
    <row r="4286" hidden="1" x14ac:dyDescent="0.25"/>
    <row r="4287" hidden="1" x14ac:dyDescent="0.25"/>
    <row r="4288" hidden="1" x14ac:dyDescent="0.25"/>
    <row r="4289" hidden="1" x14ac:dyDescent="0.25"/>
    <row r="4290" hidden="1" x14ac:dyDescent="0.25"/>
    <row r="4291" hidden="1" x14ac:dyDescent="0.25"/>
    <row r="4292" hidden="1" x14ac:dyDescent="0.25"/>
    <row r="4293" hidden="1" x14ac:dyDescent="0.25"/>
    <row r="4294" hidden="1" x14ac:dyDescent="0.25"/>
    <row r="4295" hidden="1" x14ac:dyDescent="0.25"/>
    <row r="4296" hidden="1" x14ac:dyDescent="0.25"/>
    <row r="4297" hidden="1" x14ac:dyDescent="0.25"/>
    <row r="4298" hidden="1" x14ac:dyDescent="0.25"/>
    <row r="4299" hidden="1" x14ac:dyDescent="0.25"/>
    <row r="4300" hidden="1" x14ac:dyDescent="0.25"/>
    <row r="4301" hidden="1" x14ac:dyDescent="0.25"/>
    <row r="4302" hidden="1" x14ac:dyDescent="0.25"/>
    <row r="4303" hidden="1" x14ac:dyDescent="0.25"/>
    <row r="4304" hidden="1" x14ac:dyDescent="0.25"/>
    <row r="4305" hidden="1" x14ac:dyDescent="0.25"/>
    <row r="4306" hidden="1" x14ac:dyDescent="0.25"/>
    <row r="4307" hidden="1" x14ac:dyDescent="0.25"/>
    <row r="4308" hidden="1" x14ac:dyDescent="0.25"/>
    <row r="4309" hidden="1" x14ac:dyDescent="0.25"/>
    <row r="4310" hidden="1" x14ac:dyDescent="0.25"/>
    <row r="4311" hidden="1" x14ac:dyDescent="0.25"/>
    <row r="4312" hidden="1" x14ac:dyDescent="0.25"/>
    <row r="4313" hidden="1" x14ac:dyDescent="0.25"/>
    <row r="4314" hidden="1" x14ac:dyDescent="0.25"/>
    <row r="4315" hidden="1" x14ac:dyDescent="0.25"/>
    <row r="4316" hidden="1" x14ac:dyDescent="0.25"/>
    <row r="4317" hidden="1" x14ac:dyDescent="0.25"/>
    <row r="4318" hidden="1" x14ac:dyDescent="0.25"/>
    <row r="4319" hidden="1" x14ac:dyDescent="0.25"/>
    <row r="4320" hidden="1" x14ac:dyDescent="0.25"/>
    <row r="4321" hidden="1" x14ac:dyDescent="0.25"/>
    <row r="4322" hidden="1" x14ac:dyDescent="0.25"/>
    <row r="4323" hidden="1" x14ac:dyDescent="0.25"/>
    <row r="4324" hidden="1" x14ac:dyDescent="0.25"/>
    <row r="4325" hidden="1" x14ac:dyDescent="0.25"/>
    <row r="4326" hidden="1" x14ac:dyDescent="0.25"/>
    <row r="4327" hidden="1" x14ac:dyDescent="0.25"/>
    <row r="4328" hidden="1" x14ac:dyDescent="0.25"/>
    <row r="4329" hidden="1" x14ac:dyDescent="0.25"/>
    <row r="4330" hidden="1" x14ac:dyDescent="0.25"/>
    <row r="4331" hidden="1" x14ac:dyDescent="0.25"/>
    <row r="4332" hidden="1" x14ac:dyDescent="0.25"/>
    <row r="4333" hidden="1" x14ac:dyDescent="0.25"/>
    <row r="4334" hidden="1" x14ac:dyDescent="0.25"/>
    <row r="4335" hidden="1" x14ac:dyDescent="0.25"/>
    <row r="4336" hidden="1" x14ac:dyDescent="0.25"/>
    <row r="4337" hidden="1" x14ac:dyDescent="0.25"/>
    <row r="4338" hidden="1" x14ac:dyDescent="0.25"/>
    <row r="4339" hidden="1" x14ac:dyDescent="0.25"/>
    <row r="4340" hidden="1" x14ac:dyDescent="0.25"/>
    <row r="4341" hidden="1" x14ac:dyDescent="0.25"/>
    <row r="4342" hidden="1" x14ac:dyDescent="0.25"/>
    <row r="4343" hidden="1" x14ac:dyDescent="0.25"/>
    <row r="4344" hidden="1" x14ac:dyDescent="0.25"/>
    <row r="4345" hidden="1" x14ac:dyDescent="0.25"/>
    <row r="4346" hidden="1" x14ac:dyDescent="0.25"/>
    <row r="4347" hidden="1" x14ac:dyDescent="0.25"/>
    <row r="4348" hidden="1" x14ac:dyDescent="0.25"/>
    <row r="4349" hidden="1" x14ac:dyDescent="0.25"/>
    <row r="4350" hidden="1" x14ac:dyDescent="0.25"/>
    <row r="4351" hidden="1" x14ac:dyDescent="0.25"/>
    <row r="4352" hidden="1" x14ac:dyDescent="0.25"/>
    <row r="4353" hidden="1" x14ac:dyDescent="0.25"/>
    <row r="4354" hidden="1" x14ac:dyDescent="0.25"/>
    <row r="4355" hidden="1" x14ac:dyDescent="0.25"/>
    <row r="4356" hidden="1" x14ac:dyDescent="0.25"/>
    <row r="4357" hidden="1" x14ac:dyDescent="0.25"/>
    <row r="4358" hidden="1" x14ac:dyDescent="0.25"/>
    <row r="4359" hidden="1" x14ac:dyDescent="0.25"/>
    <row r="4360" hidden="1" x14ac:dyDescent="0.25"/>
    <row r="4361" hidden="1" x14ac:dyDescent="0.25"/>
    <row r="4362" hidden="1" x14ac:dyDescent="0.25"/>
    <row r="4363" hidden="1" x14ac:dyDescent="0.25"/>
    <row r="4364" hidden="1" x14ac:dyDescent="0.25"/>
    <row r="4365" hidden="1" x14ac:dyDescent="0.25"/>
    <row r="4366" hidden="1" x14ac:dyDescent="0.25"/>
    <row r="4367" hidden="1" x14ac:dyDescent="0.25"/>
    <row r="4368" hidden="1" x14ac:dyDescent="0.25"/>
    <row r="4369" hidden="1" x14ac:dyDescent="0.25"/>
    <row r="4370" hidden="1" x14ac:dyDescent="0.25"/>
    <row r="4371" hidden="1" x14ac:dyDescent="0.25"/>
    <row r="4372" hidden="1" x14ac:dyDescent="0.25"/>
    <row r="4373" hidden="1" x14ac:dyDescent="0.25"/>
    <row r="4374" hidden="1" x14ac:dyDescent="0.25"/>
    <row r="4375" hidden="1" x14ac:dyDescent="0.25"/>
    <row r="4376" hidden="1" x14ac:dyDescent="0.25"/>
    <row r="4377" hidden="1" x14ac:dyDescent="0.25"/>
    <row r="4378" hidden="1" x14ac:dyDescent="0.25"/>
    <row r="4379" hidden="1" x14ac:dyDescent="0.25"/>
    <row r="4380" hidden="1" x14ac:dyDescent="0.25"/>
    <row r="4381" hidden="1" x14ac:dyDescent="0.25"/>
    <row r="4382" hidden="1" x14ac:dyDescent="0.25"/>
    <row r="4383" hidden="1" x14ac:dyDescent="0.25"/>
    <row r="4384" hidden="1" x14ac:dyDescent="0.25"/>
    <row r="4385" hidden="1" x14ac:dyDescent="0.25"/>
    <row r="4386" hidden="1" x14ac:dyDescent="0.25"/>
    <row r="4387" hidden="1" x14ac:dyDescent="0.25"/>
    <row r="4388" hidden="1" x14ac:dyDescent="0.25"/>
    <row r="4389" hidden="1" x14ac:dyDescent="0.25"/>
    <row r="4390" hidden="1" x14ac:dyDescent="0.25"/>
    <row r="4391" hidden="1" x14ac:dyDescent="0.25"/>
    <row r="4392" hidden="1" x14ac:dyDescent="0.25"/>
    <row r="4393" hidden="1" x14ac:dyDescent="0.25"/>
    <row r="4394" hidden="1" x14ac:dyDescent="0.25"/>
    <row r="4395" hidden="1" x14ac:dyDescent="0.25"/>
    <row r="4396" hidden="1" x14ac:dyDescent="0.25"/>
    <row r="4397" hidden="1" x14ac:dyDescent="0.25"/>
    <row r="4398" hidden="1" x14ac:dyDescent="0.25"/>
    <row r="4399" hidden="1" x14ac:dyDescent="0.25"/>
    <row r="4400" hidden="1" x14ac:dyDescent="0.25"/>
    <row r="4401" hidden="1" x14ac:dyDescent="0.25"/>
    <row r="4402" hidden="1" x14ac:dyDescent="0.25"/>
    <row r="4403" hidden="1" x14ac:dyDescent="0.25"/>
    <row r="4404" hidden="1" x14ac:dyDescent="0.25"/>
    <row r="4405" hidden="1" x14ac:dyDescent="0.25"/>
    <row r="4406" hidden="1" x14ac:dyDescent="0.25"/>
    <row r="4407" hidden="1" x14ac:dyDescent="0.25"/>
    <row r="4408" hidden="1" x14ac:dyDescent="0.25"/>
    <row r="4409" hidden="1" x14ac:dyDescent="0.25"/>
    <row r="4410" hidden="1" x14ac:dyDescent="0.25"/>
    <row r="4411" hidden="1" x14ac:dyDescent="0.25"/>
    <row r="4412" hidden="1" x14ac:dyDescent="0.25"/>
    <row r="4413" hidden="1" x14ac:dyDescent="0.25"/>
    <row r="4414" hidden="1" x14ac:dyDescent="0.25"/>
    <row r="4415" hidden="1" x14ac:dyDescent="0.25"/>
    <row r="4416" hidden="1" x14ac:dyDescent="0.25"/>
    <row r="4417" hidden="1" x14ac:dyDescent="0.25"/>
    <row r="4418" hidden="1" x14ac:dyDescent="0.25"/>
    <row r="4419" hidden="1" x14ac:dyDescent="0.25"/>
    <row r="4420" hidden="1" x14ac:dyDescent="0.25"/>
    <row r="4421" hidden="1" x14ac:dyDescent="0.25"/>
    <row r="4422" hidden="1" x14ac:dyDescent="0.25"/>
    <row r="4423" hidden="1" x14ac:dyDescent="0.25"/>
    <row r="4424" hidden="1" x14ac:dyDescent="0.25"/>
    <row r="4425" hidden="1" x14ac:dyDescent="0.25"/>
    <row r="4426" hidden="1" x14ac:dyDescent="0.25"/>
    <row r="4427" hidden="1" x14ac:dyDescent="0.25"/>
    <row r="4428" hidden="1" x14ac:dyDescent="0.25"/>
    <row r="4429" hidden="1" x14ac:dyDescent="0.25"/>
    <row r="4430" hidden="1" x14ac:dyDescent="0.25"/>
    <row r="4431" hidden="1" x14ac:dyDescent="0.25"/>
    <row r="4432" hidden="1" x14ac:dyDescent="0.25"/>
    <row r="4433" hidden="1" x14ac:dyDescent="0.25"/>
    <row r="4434" hidden="1" x14ac:dyDescent="0.25"/>
    <row r="4435" hidden="1" x14ac:dyDescent="0.25"/>
    <row r="4436" hidden="1" x14ac:dyDescent="0.25"/>
    <row r="4437" hidden="1" x14ac:dyDescent="0.25"/>
    <row r="4438" hidden="1" x14ac:dyDescent="0.25"/>
    <row r="4439" hidden="1" x14ac:dyDescent="0.25"/>
    <row r="4440" hidden="1" x14ac:dyDescent="0.25"/>
    <row r="4441" hidden="1" x14ac:dyDescent="0.25"/>
    <row r="4442" hidden="1" x14ac:dyDescent="0.25"/>
    <row r="4443" hidden="1" x14ac:dyDescent="0.25"/>
    <row r="4444" hidden="1" x14ac:dyDescent="0.25"/>
    <row r="4445" hidden="1" x14ac:dyDescent="0.25"/>
    <row r="4446" hidden="1" x14ac:dyDescent="0.25"/>
    <row r="4447" hidden="1" x14ac:dyDescent="0.25"/>
    <row r="4448" hidden="1" x14ac:dyDescent="0.25"/>
    <row r="4449" hidden="1" x14ac:dyDescent="0.25"/>
    <row r="4450" hidden="1" x14ac:dyDescent="0.25"/>
    <row r="4451" hidden="1" x14ac:dyDescent="0.25"/>
    <row r="4452" hidden="1" x14ac:dyDescent="0.25"/>
    <row r="4453" hidden="1" x14ac:dyDescent="0.25"/>
    <row r="4454" hidden="1" x14ac:dyDescent="0.25"/>
    <row r="4455" hidden="1" x14ac:dyDescent="0.25"/>
    <row r="4456" hidden="1" x14ac:dyDescent="0.25"/>
    <row r="4457" hidden="1" x14ac:dyDescent="0.25"/>
    <row r="4458" hidden="1" x14ac:dyDescent="0.25"/>
    <row r="4459" hidden="1" x14ac:dyDescent="0.25"/>
    <row r="4460" hidden="1" x14ac:dyDescent="0.25"/>
    <row r="4461" hidden="1" x14ac:dyDescent="0.25"/>
    <row r="4462" hidden="1" x14ac:dyDescent="0.25"/>
    <row r="4463" hidden="1" x14ac:dyDescent="0.25"/>
    <row r="4464" hidden="1" x14ac:dyDescent="0.25"/>
    <row r="4465" hidden="1" x14ac:dyDescent="0.25"/>
    <row r="4466" hidden="1" x14ac:dyDescent="0.25"/>
    <row r="4467" hidden="1" x14ac:dyDescent="0.25"/>
    <row r="4468" hidden="1" x14ac:dyDescent="0.25"/>
    <row r="4469" hidden="1" x14ac:dyDescent="0.25"/>
    <row r="4470" hidden="1" x14ac:dyDescent="0.25"/>
    <row r="4471" hidden="1" x14ac:dyDescent="0.25"/>
    <row r="4472" hidden="1" x14ac:dyDescent="0.25"/>
    <row r="4473" hidden="1" x14ac:dyDescent="0.25"/>
    <row r="4474" hidden="1" x14ac:dyDescent="0.25"/>
    <row r="4475" hidden="1" x14ac:dyDescent="0.25"/>
    <row r="4476" hidden="1" x14ac:dyDescent="0.25"/>
    <row r="4477" hidden="1" x14ac:dyDescent="0.25"/>
    <row r="4478" hidden="1" x14ac:dyDescent="0.25"/>
    <row r="4479" hidden="1" x14ac:dyDescent="0.25"/>
    <row r="4480" hidden="1" x14ac:dyDescent="0.25"/>
    <row r="4481" hidden="1" x14ac:dyDescent="0.25"/>
    <row r="4482" hidden="1" x14ac:dyDescent="0.25"/>
    <row r="4483" hidden="1" x14ac:dyDescent="0.25"/>
    <row r="4484" hidden="1" x14ac:dyDescent="0.25"/>
    <row r="4485" hidden="1" x14ac:dyDescent="0.25"/>
    <row r="4486" hidden="1" x14ac:dyDescent="0.25"/>
    <row r="4487" hidden="1" x14ac:dyDescent="0.25"/>
    <row r="4488" hidden="1" x14ac:dyDescent="0.25"/>
    <row r="4489" hidden="1" x14ac:dyDescent="0.25"/>
    <row r="4490" hidden="1" x14ac:dyDescent="0.25"/>
    <row r="4491" hidden="1" x14ac:dyDescent="0.25"/>
    <row r="4492" hidden="1" x14ac:dyDescent="0.25"/>
    <row r="4493" hidden="1" x14ac:dyDescent="0.25"/>
    <row r="4494" hidden="1" x14ac:dyDescent="0.25"/>
    <row r="4495" hidden="1" x14ac:dyDescent="0.25"/>
    <row r="4496" hidden="1" x14ac:dyDescent="0.25"/>
    <row r="4497" hidden="1" x14ac:dyDescent="0.25"/>
    <row r="4498" hidden="1" x14ac:dyDescent="0.25"/>
    <row r="4499" hidden="1" x14ac:dyDescent="0.25"/>
    <row r="4500" hidden="1" x14ac:dyDescent="0.25"/>
    <row r="4501" hidden="1" x14ac:dyDescent="0.25"/>
    <row r="4502" hidden="1" x14ac:dyDescent="0.25"/>
    <row r="4503" hidden="1" x14ac:dyDescent="0.25"/>
    <row r="4504" hidden="1" x14ac:dyDescent="0.25"/>
    <row r="4505" hidden="1" x14ac:dyDescent="0.25"/>
    <row r="4506" hidden="1" x14ac:dyDescent="0.25"/>
    <row r="4507" hidden="1" x14ac:dyDescent="0.25"/>
    <row r="4508" hidden="1" x14ac:dyDescent="0.25"/>
    <row r="4509" hidden="1" x14ac:dyDescent="0.25"/>
    <row r="4510" hidden="1" x14ac:dyDescent="0.25"/>
    <row r="4511" hidden="1" x14ac:dyDescent="0.25"/>
    <row r="4512" hidden="1" x14ac:dyDescent="0.25"/>
    <row r="4513" hidden="1" x14ac:dyDescent="0.25"/>
    <row r="4514" hidden="1" x14ac:dyDescent="0.25"/>
    <row r="4515" hidden="1" x14ac:dyDescent="0.25"/>
    <row r="4516" hidden="1" x14ac:dyDescent="0.25"/>
    <row r="4517" hidden="1" x14ac:dyDescent="0.25"/>
    <row r="4518" hidden="1" x14ac:dyDescent="0.25"/>
    <row r="4519" hidden="1" x14ac:dyDescent="0.25"/>
    <row r="4520" hidden="1" x14ac:dyDescent="0.25"/>
    <row r="4521" hidden="1" x14ac:dyDescent="0.25"/>
    <row r="4522" hidden="1" x14ac:dyDescent="0.25"/>
    <row r="4523" hidden="1" x14ac:dyDescent="0.25"/>
    <row r="4524" hidden="1" x14ac:dyDescent="0.25"/>
    <row r="4525" hidden="1" x14ac:dyDescent="0.25"/>
    <row r="4526" hidden="1" x14ac:dyDescent="0.25"/>
    <row r="4527" hidden="1" x14ac:dyDescent="0.25"/>
    <row r="4528" hidden="1" x14ac:dyDescent="0.25"/>
    <row r="4529" hidden="1" x14ac:dyDescent="0.25"/>
    <row r="4530" hidden="1" x14ac:dyDescent="0.25"/>
    <row r="4531" hidden="1" x14ac:dyDescent="0.25"/>
    <row r="4532" hidden="1" x14ac:dyDescent="0.25"/>
    <row r="4533" hidden="1" x14ac:dyDescent="0.25"/>
    <row r="4534" hidden="1" x14ac:dyDescent="0.25"/>
    <row r="4535" hidden="1" x14ac:dyDescent="0.25"/>
    <row r="4536" hidden="1" x14ac:dyDescent="0.25"/>
    <row r="4537" hidden="1" x14ac:dyDescent="0.25"/>
    <row r="4538" hidden="1" x14ac:dyDescent="0.25"/>
    <row r="4539" hidden="1" x14ac:dyDescent="0.25"/>
    <row r="4540" hidden="1" x14ac:dyDescent="0.25"/>
    <row r="4541" hidden="1" x14ac:dyDescent="0.25"/>
    <row r="4542" hidden="1" x14ac:dyDescent="0.25"/>
    <row r="4543" hidden="1" x14ac:dyDescent="0.25"/>
    <row r="4544" hidden="1" x14ac:dyDescent="0.25"/>
    <row r="4545" hidden="1" x14ac:dyDescent="0.25"/>
    <row r="4546" hidden="1" x14ac:dyDescent="0.25"/>
    <row r="4547" hidden="1" x14ac:dyDescent="0.25"/>
    <row r="4548" hidden="1" x14ac:dyDescent="0.25"/>
    <row r="4549" hidden="1" x14ac:dyDescent="0.25"/>
    <row r="4550" hidden="1" x14ac:dyDescent="0.25"/>
    <row r="4551" hidden="1" x14ac:dyDescent="0.25"/>
    <row r="4552" hidden="1" x14ac:dyDescent="0.25"/>
    <row r="4553" hidden="1" x14ac:dyDescent="0.25"/>
    <row r="4554" hidden="1" x14ac:dyDescent="0.25"/>
    <row r="4555" hidden="1" x14ac:dyDescent="0.25"/>
    <row r="4556" hidden="1" x14ac:dyDescent="0.25"/>
    <row r="4557" hidden="1" x14ac:dyDescent="0.25"/>
    <row r="4558" hidden="1" x14ac:dyDescent="0.25"/>
    <row r="4559" hidden="1" x14ac:dyDescent="0.25"/>
    <row r="4560" hidden="1" x14ac:dyDescent="0.25"/>
    <row r="4561" hidden="1" x14ac:dyDescent="0.25"/>
    <row r="4562" hidden="1" x14ac:dyDescent="0.25"/>
    <row r="4563" hidden="1" x14ac:dyDescent="0.25"/>
    <row r="4564" hidden="1" x14ac:dyDescent="0.25"/>
    <row r="4565" hidden="1" x14ac:dyDescent="0.25"/>
    <row r="4566" hidden="1" x14ac:dyDescent="0.25"/>
    <row r="4567" hidden="1" x14ac:dyDescent="0.25"/>
    <row r="4568" hidden="1" x14ac:dyDescent="0.25"/>
    <row r="4569" hidden="1" x14ac:dyDescent="0.25"/>
    <row r="4570" hidden="1" x14ac:dyDescent="0.25"/>
    <row r="4571" hidden="1" x14ac:dyDescent="0.25"/>
    <row r="4572" hidden="1" x14ac:dyDescent="0.25"/>
    <row r="4573" hidden="1" x14ac:dyDescent="0.25"/>
    <row r="4574" hidden="1" x14ac:dyDescent="0.25"/>
    <row r="4575" hidden="1" x14ac:dyDescent="0.25"/>
    <row r="4576" hidden="1" x14ac:dyDescent="0.25"/>
    <row r="4577" hidden="1" x14ac:dyDescent="0.25"/>
    <row r="4578" hidden="1" x14ac:dyDescent="0.25"/>
    <row r="4579" hidden="1" x14ac:dyDescent="0.25"/>
    <row r="4580" hidden="1" x14ac:dyDescent="0.25"/>
    <row r="4581" hidden="1" x14ac:dyDescent="0.25"/>
    <row r="4582" hidden="1" x14ac:dyDescent="0.25"/>
    <row r="4583" hidden="1" x14ac:dyDescent="0.25"/>
    <row r="4584" hidden="1" x14ac:dyDescent="0.25"/>
    <row r="4585" hidden="1" x14ac:dyDescent="0.25"/>
    <row r="4586" hidden="1" x14ac:dyDescent="0.25"/>
    <row r="4587" hidden="1" x14ac:dyDescent="0.25"/>
    <row r="4588" hidden="1" x14ac:dyDescent="0.25"/>
    <row r="4589" hidden="1" x14ac:dyDescent="0.25"/>
    <row r="4590" hidden="1" x14ac:dyDescent="0.25"/>
    <row r="4591" hidden="1" x14ac:dyDescent="0.25"/>
    <row r="4592" hidden="1" x14ac:dyDescent="0.25"/>
    <row r="4593" hidden="1" x14ac:dyDescent="0.25"/>
    <row r="4594" hidden="1" x14ac:dyDescent="0.25"/>
    <row r="4595" hidden="1" x14ac:dyDescent="0.25"/>
    <row r="4596" hidden="1" x14ac:dyDescent="0.25"/>
    <row r="4597" hidden="1" x14ac:dyDescent="0.25"/>
    <row r="4598" hidden="1" x14ac:dyDescent="0.25"/>
    <row r="4599" hidden="1" x14ac:dyDescent="0.25"/>
    <row r="4600" hidden="1" x14ac:dyDescent="0.25"/>
    <row r="4601" hidden="1" x14ac:dyDescent="0.25"/>
    <row r="4602" hidden="1" x14ac:dyDescent="0.25"/>
    <row r="4603" hidden="1" x14ac:dyDescent="0.25"/>
    <row r="4604" hidden="1" x14ac:dyDescent="0.25"/>
    <row r="4605" hidden="1" x14ac:dyDescent="0.25"/>
    <row r="4606" hidden="1" x14ac:dyDescent="0.25"/>
    <row r="4607" hidden="1" x14ac:dyDescent="0.25"/>
    <row r="4608" hidden="1" x14ac:dyDescent="0.25"/>
    <row r="4609" hidden="1" x14ac:dyDescent="0.25"/>
    <row r="4610" hidden="1" x14ac:dyDescent="0.25"/>
    <row r="4611" hidden="1" x14ac:dyDescent="0.25"/>
    <row r="4612" hidden="1" x14ac:dyDescent="0.25"/>
    <row r="4613" hidden="1" x14ac:dyDescent="0.25"/>
    <row r="4614" hidden="1" x14ac:dyDescent="0.25"/>
    <row r="4615" hidden="1" x14ac:dyDescent="0.25"/>
    <row r="4616" hidden="1" x14ac:dyDescent="0.25"/>
    <row r="4617" hidden="1" x14ac:dyDescent="0.25"/>
    <row r="4618" hidden="1" x14ac:dyDescent="0.25"/>
    <row r="4619" hidden="1" x14ac:dyDescent="0.25"/>
    <row r="4620" hidden="1" x14ac:dyDescent="0.25"/>
    <row r="4621" hidden="1" x14ac:dyDescent="0.25"/>
    <row r="4622" hidden="1" x14ac:dyDescent="0.25"/>
    <row r="4623" hidden="1" x14ac:dyDescent="0.25"/>
    <row r="4624" hidden="1" x14ac:dyDescent="0.25"/>
    <row r="4625" hidden="1" x14ac:dyDescent="0.25"/>
    <row r="4626" hidden="1" x14ac:dyDescent="0.25"/>
    <row r="4627" hidden="1" x14ac:dyDescent="0.25"/>
    <row r="4628" hidden="1" x14ac:dyDescent="0.25"/>
    <row r="4629" hidden="1" x14ac:dyDescent="0.25"/>
    <row r="4630" hidden="1" x14ac:dyDescent="0.25"/>
    <row r="4631" hidden="1" x14ac:dyDescent="0.25"/>
    <row r="4632" hidden="1" x14ac:dyDescent="0.25"/>
    <row r="4633" hidden="1" x14ac:dyDescent="0.25"/>
    <row r="4634" hidden="1" x14ac:dyDescent="0.25"/>
    <row r="4635" hidden="1" x14ac:dyDescent="0.25"/>
    <row r="4636" hidden="1" x14ac:dyDescent="0.25"/>
    <row r="4637" hidden="1" x14ac:dyDescent="0.25"/>
    <row r="4638" hidden="1" x14ac:dyDescent="0.25"/>
    <row r="4639" hidden="1" x14ac:dyDescent="0.25"/>
    <row r="4640" hidden="1" x14ac:dyDescent="0.25"/>
    <row r="4641" hidden="1" x14ac:dyDescent="0.25"/>
    <row r="4642" hidden="1" x14ac:dyDescent="0.25"/>
    <row r="4643" hidden="1" x14ac:dyDescent="0.25"/>
    <row r="4644" hidden="1" x14ac:dyDescent="0.25"/>
    <row r="4645" hidden="1" x14ac:dyDescent="0.25"/>
    <row r="4646" hidden="1" x14ac:dyDescent="0.25"/>
    <row r="4647" hidden="1" x14ac:dyDescent="0.25"/>
    <row r="4648" hidden="1" x14ac:dyDescent="0.25"/>
    <row r="4649" hidden="1" x14ac:dyDescent="0.25"/>
    <row r="4650" hidden="1" x14ac:dyDescent="0.25"/>
    <row r="4651" hidden="1" x14ac:dyDescent="0.25"/>
    <row r="4652" hidden="1" x14ac:dyDescent="0.25"/>
    <row r="4653" hidden="1" x14ac:dyDescent="0.25"/>
    <row r="4654" hidden="1" x14ac:dyDescent="0.25"/>
    <row r="4655" hidden="1" x14ac:dyDescent="0.25"/>
    <row r="4656" hidden="1" x14ac:dyDescent="0.25"/>
    <row r="4657" hidden="1" x14ac:dyDescent="0.25"/>
    <row r="4658" hidden="1" x14ac:dyDescent="0.25"/>
    <row r="4659" hidden="1" x14ac:dyDescent="0.25"/>
    <row r="4660" hidden="1" x14ac:dyDescent="0.25"/>
    <row r="4661" hidden="1" x14ac:dyDescent="0.25"/>
    <row r="4662" hidden="1" x14ac:dyDescent="0.25"/>
    <row r="4663" hidden="1" x14ac:dyDescent="0.25"/>
    <row r="4664" hidden="1" x14ac:dyDescent="0.25"/>
    <row r="4665" hidden="1" x14ac:dyDescent="0.25"/>
    <row r="4666" hidden="1" x14ac:dyDescent="0.25"/>
    <row r="4667" hidden="1" x14ac:dyDescent="0.25"/>
    <row r="4668" hidden="1" x14ac:dyDescent="0.25"/>
    <row r="4669" hidden="1" x14ac:dyDescent="0.25"/>
    <row r="4670" hidden="1" x14ac:dyDescent="0.25"/>
    <row r="4671" hidden="1" x14ac:dyDescent="0.25"/>
    <row r="4672" hidden="1" x14ac:dyDescent="0.25"/>
    <row r="4673" hidden="1" x14ac:dyDescent="0.25"/>
    <row r="4674" hidden="1" x14ac:dyDescent="0.25"/>
    <row r="4675" hidden="1" x14ac:dyDescent="0.25"/>
    <row r="4676" hidden="1" x14ac:dyDescent="0.25"/>
    <row r="4677" hidden="1" x14ac:dyDescent="0.25"/>
    <row r="4678" hidden="1" x14ac:dyDescent="0.25"/>
    <row r="4679" hidden="1" x14ac:dyDescent="0.25"/>
    <row r="4680" hidden="1" x14ac:dyDescent="0.25"/>
    <row r="4681" hidden="1" x14ac:dyDescent="0.25"/>
    <row r="4682" hidden="1" x14ac:dyDescent="0.25"/>
    <row r="4683" hidden="1" x14ac:dyDescent="0.25"/>
    <row r="4684" hidden="1" x14ac:dyDescent="0.25"/>
    <row r="4685" hidden="1" x14ac:dyDescent="0.25"/>
    <row r="4686" hidden="1" x14ac:dyDescent="0.25"/>
    <row r="4687" hidden="1" x14ac:dyDescent="0.25"/>
    <row r="4688" hidden="1" x14ac:dyDescent="0.25"/>
    <row r="4689" hidden="1" x14ac:dyDescent="0.25"/>
    <row r="4690" hidden="1" x14ac:dyDescent="0.25"/>
    <row r="4691" hidden="1" x14ac:dyDescent="0.25"/>
    <row r="4692" hidden="1" x14ac:dyDescent="0.25"/>
    <row r="4693" hidden="1" x14ac:dyDescent="0.25"/>
    <row r="4694" hidden="1" x14ac:dyDescent="0.25"/>
    <row r="4695" hidden="1" x14ac:dyDescent="0.25"/>
    <row r="4696" hidden="1" x14ac:dyDescent="0.25"/>
    <row r="4697" hidden="1" x14ac:dyDescent="0.25"/>
    <row r="4698" hidden="1" x14ac:dyDescent="0.25"/>
    <row r="4699" hidden="1" x14ac:dyDescent="0.25"/>
    <row r="4700" hidden="1" x14ac:dyDescent="0.25"/>
    <row r="4701" hidden="1" x14ac:dyDescent="0.25"/>
    <row r="4702" hidden="1" x14ac:dyDescent="0.25"/>
    <row r="4703" hidden="1" x14ac:dyDescent="0.25"/>
    <row r="4704" hidden="1" x14ac:dyDescent="0.25"/>
    <row r="4705" hidden="1" x14ac:dyDescent="0.25"/>
    <row r="4706" hidden="1" x14ac:dyDescent="0.25"/>
    <row r="4707" hidden="1" x14ac:dyDescent="0.25"/>
    <row r="4708" hidden="1" x14ac:dyDescent="0.25"/>
    <row r="4709" hidden="1" x14ac:dyDescent="0.25"/>
    <row r="4710" hidden="1" x14ac:dyDescent="0.25"/>
    <row r="4711" hidden="1" x14ac:dyDescent="0.25"/>
    <row r="4712" hidden="1" x14ac:dyDescent="0.25"/>
    <row r="4713" hidden="1" x14ac:dyDescent="0.25"/>
    <row r="4714" hidden="1" x14ac:dyDescent="0.25"/>
    <row r="4715" hidden="1" x14ac:dyDescent="0.25"/>
    <row r="4716" hidden="1" x14ac:dyDescent="0.25"/>
    <row r="4717" hidden="1" x14ac:dyDescent="0.25"/>
    <row r="4718" hidden="1" x14ac:dyDescent="0.25"/>
    <row r="4719" hidden="1" x14ac:dyDescent="0.25"/>
    <row r="4720" hidden="1" x14ac:dyDescent="0.25"/>
    <row r="4721" hidden="1" x14ac:dyDescent="0.25"/>
    <row r="4722" hidden="1" x14ac:dyDescent="0.25"/>
    <row r="4723" hidden="1" x14ac:dyDescent="0.25"/>
    <row r="4724" hidden="1" x14ac:dyDescent="0.25"/>
    <row r="4725" hidden="1" x14ac:dyDescent="0.25"/>
    <row r="4726" hidden="1" x14ac:dyDescent="0.25"/>
    <row r="4727" hidden="1" x14ac:dyDescent="0.25"/>
    <row r="4728" hidden="1" x14ac:dyDescent="0.25"/>
    <row r="4729" hidden="1" x14ac:dyDescent="0.25"/>
    <row r="4730" hidden="1" x14ac:dyDescent="0.25"/>
    <row r="4731" hidden="1" x14ac:dyDescent="0.25"/>
    <row r="4732" hidden="1" x14ac:dyDescent="0.25"/>
    <row r="4733" hidden="1" x14ac:dyDescent="0.25"/>
    <row r="4734" hidden="1" x14ac:dyDescent="0.25"/>
    <row r="4735" hidden="1" x14ac:dyDescent="0.25"/>
    <row r="4736" hidden="1" x14ac:dyDescent="0.25"/>
    <row r="4737" hidden="1" x14ac:dyDescent="0.25"/>
    <row r="4738" hidden="1" x14ac:dyDescent="0.25"/>
    <row r="4739" hidden="1" x14ac:dyDescent="0.25"/>
    <row r="4740" hidden="1" x14ac:dyDescent="0.25"/>
    <row r="4741" hidden="1" x14ac:dyDescent="0.25"/>
    <row r="4742" hidden="1" x14ac:dyDescent="0.25"/>
    <row r="4743" hidden="1" x14ac:dyDescent="0.25"/>
    <row r="4744" hidden="1" x14ac:dyDescent="0.25"/>
    <row r="4745" hidden="1" x14ac:dyDescent="0.25"/>
    <row r="4746" hidden="1" x14ac:dyDescent="0.25"/>
    <row r="4747" hidden="1" x14ac:dyDescent="0.25"/>
    <row r="4748" hidden="1" x14ac:dyDescent="0.25"/>
    <row r="4749" hidden="1" x14ac:dyDescent="0.25"/>
    <row r="4750" hidden="1" x14ac:dyDescent="0.25"/>
    <row r="4751" hidden="1" x14ac:dyDescent="0.25"/>
    <row r="4752" hidden="1" x14ac:dyDescent="0.25"/>
    <row r="4753" hidden="1" x14ac:dyDescent="0.25"/>
    <row r="4754" hidden="1" x14ac:dyDescent="0.25"/>
    <row r="4755" hidden="1" x14ac:dyDescent="0.25"/>
    <row r="4756" hidden="1" x14ac:dyDescent="0.25"/>
    <row r="4757" hidden="1" x14ac:dyDescent="0.25"/>
    <row r="4758" hidden="1" x14ac:dyDescent="0.25"/>
    <row r="4759" hidden="1" x14ac:dyDescent="0.25"/>
    <row r="4760" hidden="1" x14ac:dyDescent="0.25"/>
    <row r="4761" hidden="1" x14ac:dyDescent="0.25"/>
    <row r="4762" hidden="1" x14ac:dyDescent="0.25"/>
    <row r="4763" hidden="1" x14ac:dyDescent="0.25"/>
    <row r="4764" hidden="1" x14ac:dyDescent="0.25"/>
    <row r="4765" hidden="1" x14ac:dyDescent="0.25"/>
    <row r="4766" hidden="1" x14ac:dyDescent="0.25"/>
    <row r="4767" hidden="1" x14ac:dyDescent="0.25"/>
    <row r="4768" hidden="1" x14ac:dyDescent="0.25"/>
    <row r="4769" hidden="1" x14ac:dyDescent="0.25"/>
    <row r="4770" hidden="1" x14ac:dyDescent="0.25"/>
    <row r="4771" hidden="1" x14ac:dyDescent="0.25"/>
    <row r="4772" hidden="1" x14ac:dyDescent="0.25"/>
    <row r="4773" hidden="1" x14ac:dyDescent="0.25"/>
    <row r="4774" hidden="1" x14ac:dyDescent="0.25"/>
    <row r="4775" hidden="1" x14ac:dyDescent="0.25"/>
    <row r="4776" hidden="1" x14ac:dyDescent="0.25"/>
    <row r="4777" hidden="1" x14ac:dyDescent="0.25"/>
    <row r="4778" hidden="1" x14ac:dyDescent="0.25"/>
    <row r="4779" hidden="1" x14ac:dyDescent="0.25"/>
    <row r="4780" hidden="1" x14ac:dyDescent="0.25"/>
    <row r="4781" hidden="1" x14ac:dyDescent="0.25"/>
    <row r="4782" hidden="1" x14ac:dyDescent="0.25"/>
    <row r="4783" hidden="1" x14ac:dyDescent="0.25"/>
    <row r="4784" hidden="1" x14ac:dyDescent="0.25"/>
    <row r="4785" hidden="1" x14ac:dyDescent="0.25"/>
    <row r="4786" hidden="1" x14ac:dyDescent="0.25"/>
    <row r="4787" hidden="1" x14ac:dyDescent="0.25"/>
    <row r="4788" hidden="1" x14ac:dyDescent="0.25"/>
    <row r="4789" hidden="1" x14ac:dyDescent="0.25"/>
    <row r="4790" hidden="1" x14ac:dyDescent="0.25"/>
    <row r="4791" hidden="1" x14ac:dyDescent="0.25"/>
    <row r="4792" hidden="1" x14ac:dyDescent="0.25"/>
    <row r="4793" hidden="1" x14ac:dyDescent="0.25"/>
    <row r="4794" hidden="1" x14ac:dyDescent="0.25"/>
    <row r="4795" hidden="1" x14ac:dyDescent="0.25"/>
    <row r="4796" hidden="1" x14ac:dyDescent="0.25"/>
    <row r="4797" hidden="1" x14ac:dyDescent="0.25"/>
    <row r="4798" hidden="1" x14ac:dyDescent="0.25"/>
    <row r="4799" hidden="1" x14ac:dyDescent="0.25"/>
    <row r="4800" hidden="1" x14ac:dyDescent="0.25"/>
    <row r="4801" hidden="1" x14ac:dyDescent="0.25"/>
    <row r="4802" hidden="1" x14ac:dyDescent="0.25"/>
    <row r="4803" hidden="1" x14ac:dyDescent="0.25"/>
    <row r="4804" hidden="1" x14ac:dyDescent="0.25"/>
    <row r="4805" hidden="1" x14ac:dyDescent="0.25"/>
    <row r="4806" hidden="1" x14ac:dyDescent="0.25"/>
    <row r="4807" hidden="1" x14ac:dyDescent="0.25"/>
    <row r="4808" hidden="1" x14ac:dyDescent="0.25"/>
    <row r="4809" hidden="1" x14ac:dyDescent="0.25"/>
    <row r="4810" hidden="1" x14ac:dyDescent="0.25"/>
    <row r="4811" hidden="1" x14ac:dyDescent="0.25"/>
    <row r="4812" hidden="1" x14ac:dyDescent="0.25"/>
    <row r="4813" hidden="1" x14ac:dyDescent="0.25"/>
    <row r="4814" hidden="1" x14ac:dyDescent="0.25"/>
    <row r="4815" hidden="1" x14ac:dyDescent="0.25"/>
    <row r="4816" hidden="1" x14ac:dyDescent="0.25"/>
    <row r="4817" hidden="1" x14ac:dyDescent="0.25"/>
    <row r="4818" hidden="1" x14ac:dyDescent="0.25"/>
    <row r="4819" hidden="1" x14ac:dyDescent="0.25"/>
    <row r="4820" hidden="1" x14ac:dyDescent="0.25"/>
    <row r="4821" hidden="1" x14ac:dyDescent="0.25"/>
    <row r="4822" hidden="1" x14ac:dyDescent="0.25"/>
    <row r="4823" hidden="1" x14ac:dyDescent="0.25"/>
    <row r="4824" hidden="1" x14ac:dyDescent="0.25"/>
    <row r="4825" hidden="1" x14ac:dyDescent="0.25"/>
    <row r="4826" hidden="1" x14ac:dyDescent="0.25"/>
    <row r="4827" hidden="1" x14ac:dyDescent="0.25"/>
    <row r="4828" hidden="1" x14ac:dyDescent="0.25"/>
    <row r="4829" hidden="1" x14ac:dyDescent="0.25"/>
    <row r="4830" hidden="1" x14ac:dyDescent="0.25"/>
    <row r="4831" hidden="1" x14ac:dyDescent="0.25"/>
    <row r="4832" hidden="1" x14ac:dyDescent="0.25"/>
    <row r="4833" hidden="1" x14ac:dyDescent="0.25"/>
    <row r="4834" hidden="1" x14ac:dyDescent="0.25"/>
    <row r="4835" hidden="1" x14ac:dyDescent="0.25"/>
    <row r="4836" hidden="1" x14ac:dyDescent="0.25"/>
    <row r="4837" hidden="1" x14ac:dyDescent="0.25"/>
    <row r="4838" hidden="1" x14ac:dyDescent="0.25"/>
    <row r="4839" hidden="1" x14ac:dyDescent="0.25"/>
    <row r="4840" hidden="1" x14ac:dyDescent="0.25"/>
    <row r="4841" hidden="1" x14ac:dyDescent="0.25"/>
    <row r="4842" hidden="1" x14ac:dyDescent="0.25"/>
    <row r="4843" hidden="1" x14ac:dyDescent="0.25"/>
    <row r="4844" hidden="1" x14ac:dyDescent="0.25"/>
    <row r="4845" hidden="1" x14ac:dyDescent="0.25"/>
    <row r="4846" hidden="1" x14ac:dyDescent="0.25"/>
    <row r="4847" hidden="1" x14ac:dyDescent="0.25"/>
    <row r="4848" hidden="1" x14ac:dyDescent="0.25"/>
    <row r="4849" hidden="1" x14ac:dyDescent="0.25"/>
    <row r="4850" hidden="1" x14ac:dyDescent="0.25"/>
    <row r="4851" hidden="1" x14ac:dyDescent="0.25"/>
    <row r="4852" hidden="1" x14ac:dyDescent="0.25"/>
    <row r="4853" hidden="1" x14ac:dyDescent="0.25"/>
    <row r="4854" hidden="1" x14ac:dyDescent="0.25"/>
    <row r="4855" hidden="1" x14ac:dyDescent="0.25"/>
    <row r="4856" hidden="1" x14ac:dyDescent="0.25"/>
    <row r="4857" hidden="1" x14ac:dyDescent="0.25"/>
    <row r="4858" hidden="1" x14ac:dyDescent="0.25"/>
    <row r="4859" hidden="1" x14ac:dyDescent="0.25"/>
    <row r="4860" hidden="1" x14ac:dyDescent="0.25"/>
    <row r="4861" hidden="1" x14ac:dyDescent="0.25"/>
    <row r="4862" hidden="1" x14ac:dyDescent="0.25"/>
    <row r="4863" hidden="1" x14ac:dyDescent="0.25"/>
    <row r="4864" hidden="1" x14ac:dyDescent="0.25"/>
    <row r="4865" hidden="1" x14ac:dyDescent="0.25"/>
    <row r="4866" hidden="1" x14ac:dyDescent="0.25"/>
    <row r="4867" hidden="1" x14ac:dyDescent="0.25"/>
    <row r="4868" hidden="1" x14ac:dyDescent="0.25"/>
    <row r="4869" hidden="1" x14ac:dyDescent="0.25"/>
    <row r="4870" hidden="1" x14ac:dyDescent="0.25"/>
    <row r="4871" hidden="1" x14ac:dyDescent="0.25"/>
    <row r="4872" hidden="1" x14ac:dyDescent="0.25"/>
    <row r="4873" hidden="1" x14ac:dyDescent="0.25"/>
    <row r="4874" hidden="1" x14ac:dyDescent="0.25"/>
    <row r="4875" hidden="1" x14ac:dyDescent="0.25"/>
    <row r="4876" hidden="1" x14ac:dyDescent="0.25"/>
    <row r="4877" hidden="1" x14ac:dyDescent="0.25"/>
    <row r="4878" hidden="1" x14ac:dyDescent="0.25"/>
    <row r="4879" hidden="1" x14ac:dyDescent="0.25"/>
    <row r="4880" hidden="1" x14ac:dyDescent="0.25"/>
    <row r="4881" hidden="1" x14ac:dyDescent="0.25"/>
    <row r="4882" hidden="1" x14ac:dyDescent="0.25"/>
    <row r="4883" hidden="1" x14ac:dyDescent="0.25"/>
    <row r="4884" hidden="1" x14ac:dyDescent="0.25"/>
    <row r="4885" hidden="1" x14ac:dyDescent="0.25"/>
    <row r="4886" hidden="1" x14ac:dyDescent="0.25"/>
    <row r="4887" hidden="1" x14ac:dyDescent="0.25"/>
    <row r="4888" hidden="1" x14ac:dyDescent="0.25"/>
    <row r="4889" hidden="1" x14ac:dyDescent="0.25"/>
    <row r="4890" hidden="1" x14ac:dyDescent="0.25"/>
    <row r="4891" hidden="1" x14ac:dyDescent="0.25"/>
    <row r="4892" hidden="1" x14ac:dyDescent="0.25"/>
    <row r="4893" hidden="1" x14ac:dyDescent="0.25"/>
    <row r="4894" hidden="1" x14ac:dyDescent="0.25"/>
    <row r="4895" hidden="1" x14ac:dyDescent="0.25"/>
    <row r="4896" hidden="1" x14ac:dyDescent="0.25"/>
    <row r="4897" hidden="1" x14ac:dyDescent="0.25"/>
    <row r="4898" hidden="1" x14ac:dyDescent="0.25"/>
    <row r="4899" hidden="1" x14ac:dyDescent="0.25"/>
    <row r="4900" hidden="1" x14ac:dyDescent="0.25"/>
    <row r="4901" hidden="1" x14ac:dyDescent="0.25"/>
    <row r="4902" hidden="1" x14ac:dyDescent="0.25"/>
    <row r="4903" hidden="1" x14ac:dyDescent="0.25"/>
    <row r="4904" hidden="1" x14ac:dyDescent="0.25"/>
    <row r="4905" hidden="1" x14ac:dyDescent="0.25"/>
    <row r="4906" hidden="1" x14ac:dyDescent="0.25"/>
    <row r="4907" hidden="1" x14ac:dyDescent="0.25"/>
    <row r="4908" hidden="1" x14ac:dyDescent="0.25"/>
    <row r="4909" hidden="1" x14ac:dyDescent="0.25"/>
    <row r="4910" hidden="1" x14ac:dyDescent="0.25"/>
    <row r="4911" hidden="1" x14ac:dyDescent="0.25"/>
    <row r="4912" hidden="1" x14ac:dyDescent="0.25"/>
    <row r="4913" hidden="1" x14ac:dyDescent="0.25"/>
    <row r="4914" hidden="1" x14ac:dyDescent="0.25"/>
    <row r="4915" hidden="1" x14ac:dyDescent="0.25"/>
    <row r="4916" hidden="1" x14ac:dyDescent="0.25"/>
    <row r="4917" hidden="1" x14ac:dyDescent="0.25"/>
    <row r="4918" hidden="1" x14ac:dyDescent="0.25"/>
    <row r="4919" hidden="1" x14ac:dyDescent="0.25"/>
    <row r="4920" hidden="1" x14ac:dyDescent="0.25"/>
    <row r="4921" hidden="1" x14ac:dyDescent="0.25"/>
    <row r="4922" hidden="1" x14ac:dyDescent="0.25"/>
    <row r="4923" hidden="1" x14ac:dyDescent="0.25"/>
    <row r="4924" hidden="1" x14ac:dyDescent="0.25"/>
    <row r="4925" hidden="1" x14ac:dyDescent="0.25"/>
    <row r="4926" hidden="1" x14ac:dyDescent="0.25"/>
    <row r="4927" hidden="1" x14ac:dyDescent="0.25"/>
    <row r="4928" hidden="1" x14ac:dyDescent="0.25"/>
    <row r="4929" hidden="1" x14ac:dyDescent="0.25"/>
    <row r="4930" hidden="1" x14ac:dyDescent="0.25"/>
    <row r="4931" hidden="1" x14ac:dyDescent="0.25"/>
    <row r="4932" hidden="1" x14ac:dyDescent="0.25"/>
    <row r="4933" hidden="1" x14ac:dyDescent="0.25"/>
    <row r="4934" hidden="1" x14ac:dyDescent="0.25"/>
    <row r="4935" hidden="1" x14ac:dyDescent="0.25"/>
    <row r="4936" hidden="1" x14ac:dyDescent="0.25"/>
    <row r="4937" hidden="1" x14ac:dyDescent="0.25"/>
    <row r="4938" hidden="1" x14ac:dyDescent="0.25"/>
    <row r="4939" hidden="1" x14ac:dyDescent="0.25"/>
    <row r="4940" hidden="1" x14ac:dyDescent="0.25"/>
    <row r="4941" hidden="1" x14ac:dyDescent="0.25"/>
    <row r="4942" hidden="1" x14ac:dyDescent="0.25"/>
    <row r="4943" hidden="1" x14ac:dyDescent="0.25"/>
    <row r="4944" hidden="1" x14ac:dyDescent="0.25"/>
    <row r="4945" hidden="1" x14ac:dyDescent="0.25"/>
    <row r="4946" hidden="1" x14ac:dyDescent="0.25"/>
    <row r="4947" hidden="1" x14ac:dyDescent="0.25"/>
    <row r="4948" hidden="1" x14ac:dyDescent="0.25"/>
    <row r="4949" hidden="1" x14ac:dyDescent="0.25"/>
    <row r="4950" hidden="1" x14ac:dyDescent="0.25"/>
    <row r="4951" hidden="1" x14ac:dyDescent="0.25"/>
    <row r="4952" hidden="1" x14ac:dyDescent="0.25"/>
    <row r="4953" hidden="1" x14ac:dyDescent="0.25"/>
    <row r="4954" hidden="1" x14ac:dyDescent="0.25"/>
    <row r="4955" hidden="1" x14ac:dyDescent="0.25"/>
    <row r="4956" hidden="1" x14ac:dyDescent="0.25"/>
    <row r="4957" hidden="1" x14ac:dyDescent="0.25"/>
    <row r="4958" hidden="1" x14ac:dyDescent="0.25"/>
    <row r="4959" hidden="1" x14ac:dyDescent="0.25"/>
    <row r="4960" hidden="1" x14ac:dyDescent="0.25"/>
    <row r="4961" hidden="1" x14ac:dyDescent="0.25"/>
    <row r="4962" hidden="1" x14ac:dyDescent="0.25"/>
    <row r="4963" hidden="1" x14ac:dyDescent="0.25"/>
    <row r="4964" hidden="1" x14ac:dyDescent="0.25"/>
    <row r="4965" hidden="1" x14ac:dyDescent="0.25"/>
    <row r="4966" hidden="1" x14ac:dyDescent="0.25"/>
    <row r="4967" hidden="1" x14ac:dyDescent="0.25"/>
    <row r="4968" hidden="1" x14ac:dyDescent="0.25"/>
    <row r="4969" hidden="1" x14ac:dyDescent="0.25"/>
    <row r="4970" hidden="1" x14ac:dyDescent="0.25"/>
    <row r="4971" hidden="1" x14ac:dyDescent="0.25"/>
    <row r="4972" hidden="1" x14ac:dyDescent="0.25"/>
    <row r="4973" hidden="1" x14ac:dyDescent="0.25"/>
    <row r="4974" hidden="1" x14ac:dyDescent="0.25"/>
    <row r="4975" hidden="1" x14ac:dyDescent="0.25"/>
    <row r="4976" hidden="1" x14ac:dyDescent="0.25"/>
    <row r="4977" hidden="1" x14ac:dyDescent="0.25"/>
    <row r="4978" hidden="1" x14ac:dyDescent="0.25"/>
    <row r="4979" hidden="1" x14ac:dyDescent="0.25"/>
    <row r="4980" hidden="1" x14ac:dyDescent="0.25"/>
    <row r="4981" hidden="1" x14ac:dyDescent="0.25"/>
    <row r="4982" hidden="1" x14ac:dyDescent="0.25"/>
    <row r="4983" hidden="1" x14ac:dyDescent="0.25"/>
    <row r="4984" hidden="1" x14ac:dyDescent="0.25"/>
    <row r="4985" hidden="1" x14ac:dyDescent="0.25"/>
    <row r="4986" hidden="1" x14ac:dyDescent="0.25"/>
    <row r="4987" hidden="1" x14ac:dyDescent="0.25"/>
    <row r="4988" hidden="1" x14ac:dyDescent="0.25"/>
    <row r="4989" hidden="1" x14ac:dyDescent="0.25"/>
    <row r="4990" hidden="1" x14ac:dyDescent="0.25"/>
    <row r="4991" hidden="1" x14ac:dyDescent="0.25"/>
    <row r="4992" hidden="1" x14ac:dyDescent="0.25"/>
    <row r="4993" hidden="1" x14ac:dyDescent="0.25"/>
    <row r="4994" hidden="1" x14ac:dyDescent="0.25"/>
    <row r="4995" hidden="1" x14ac:dyDescent="0.25"/>
    <row r="4996" hidden="1" x14ac:dyDescent="0.25"/>
    <row r="4997" hidden="1" x14ac:dyDescent="0.25"/>
    <row r="4998" hidden="1" x14ac:dyDescent="0.25"/>
    <row r="4999" hidden="1" x14ac:dyDescent="0.25"/>
    <row r="5000" hidden="1" x14ac:dyDescent="0.25"/>
    <row r="5001" hidden="1" x14ac:dyDescent="0.25"/>
    <row r="5002" hidden="1" x14ac:dyDescent="0.25"/>
    <row r="5003" hidden="1" x14ac:dyDescent="0.25"/>
    <row r="5004" hidden="1" x14ac:dyDescent="0.25"/>
    <row r="5005" hidden="1" x14ac:dyDescent="0.25"/>
    <row r="5006" hidden="1" x14ac:dyDescent="0.25"/>
    <row r="5007" hidden="1" x14ac:dyDescent="0.25"/>
    <row r="5008" hidden="1" x14ac:dyDescent="0.25"/>
    <row r="5009" hidden="1" x14ac:dyDescent="0.25"/>
    <row r="5010" hidden="1" x14ac:dyDescent="0.25"/>
    <row r="5011" hidden="1" x14ac:dyDescent="0.25"/>
    <row r="5012" hidden="1" x14ac:dyDescent="0.25"/>
    <row r="5013" hidden="1" x14ac:dyDescent="0.25"/>
    <row r="5014" hidden="1" x14ac:dyDescent="0.25"/>
    <row r="5015" hidden="1" x14ac:dyDescent="0.25"/>
    <row r="5016" hidden="1" x14ac:dyDescent="0.25"/>
    <row r="5017" hidden="1" x14ac:dyDescent="0.25"/>
    <row r="5018" hidden="1" x14ac:dyDescent="0.25"/>
    <row r="5019" hidden="1" x14ac:dyDescent="0.25"/>
    <row r="5020" hidden="1" x14ac:dyDescent="0.25"/>
    <row r="5021" hidden="1" x14ac:dyDescent="0.25"/>
    <row r="5022" hidden="1" x14ac:dyDescent="0.25"/>
    <row r="5023" hidden="1" x14ac:dyDescent="0.25"/>
    <row r="5024" hidden="1" x14ac:dyDescent="0.25"/>
    <row r="5025" hidden="1" x14ac:dyDescent="0.25"/>
    <row r="5026" hidden="1" x14ac:dyDescent="0.25"/>
    <row r="5027" hidden="1" x14ac:dyDescent="0.25"/>
    <row r="5028" hidden="1" x14ac:dyDescent="0.25"/>
    <row r="5029" hidden="1" x14ac:dyDescent="0.25"/>
    <row r="5030" hidden="1" x14ac:dyDescent="0.25"/>
    <row r="5031" hidden="1" x14ac:dyDescent="0.25"/>
    <row r="5032" hidden="1" x14ac:dyDescent="0.25"/>
    <row r="5033" hidden="1" x14ac:dyDescent="0.25"/>
    <row r="5034" hidden="1" x14ac:dyDescent="0.25"/>
    <row r="5035" hidden="1" x14ac:dyDescent="0.25"/>
    <row r="5036" hidden="1" x14ac:dyDescent="0.25"/>
    <row r="5037" hidden="1" x14ac:dyDescent="0.25"/>
    <row r="5038" hidden="1" x14ac:dyDescent="0.25"/>
    <row r="5039" hidden="1" x14ac:dyDescent="0.25"/>
    <row r="5040" hidden="1" x14ac:dyDescent="0.25"/>
    <row r="5041" hidden="1" x14ac:dyDescent="0.25"/>
    <row r="5042" hidden="1" x14ac:dyDescent="0.25"/>
    <row r="5043" hidden="1" x14ac:dyDescent="0.25"/>
    <row r="5044" hidden="1" x14ac:dyDescent="0.25"/>
    <row r="5045" hidden="1" x14ac:dyDescent="0.25"/>
    <row r="5046" hidden="1" x14ac:dyDescent="0.25"/>
    <row r="5047" hidden="1" x14ac:dyDescent="0.25"/>
    <row r="5048" hidden="1" x14ac:dyDescent="0.25"/>
    <row r="5049" hidden="1" x14ac:dyDescent="0.25"/>
    <row r="5050" hidden="1" x14ac:dyDescent="0.25"/>
    <row r="5051" hidden="1" x14ac:dyDescent="0.25"/>
    <row r="5052" hidden="1" x14ac:dyDescent="0.25"/>
    <row r="5053" hidden="1" x14ac:dyDescent="0.25"/>
    <row r="5054" hidden="1" x14ac:dyDescent="0.25"/>
    <row r="5055" hidden="1" x14ac:dyDescent="0.25"/>
    <row r="5056" hidden="1" x14ac:dyDescent="0.25"/>
    <row r="5057" hidden="1" x14ac:dyDescent="0.25"/>
    <row r="5058" hidden="1" x14ac:dyDescent="0.25"/>
    <row r="5059" hidden="1" x14ac:dyDescent="0.25"/>
    <row r="5060" hidden="1" x14ac:dyDescent="0.25"/>
    <row r="5061" hidden="1" x14ac:dyDescent="0.25"/>
    <row r="5062" hidden="1" x14ac:dyDescent="0.25"/>
    <row r="5063" hidden="1" x14ac:dyDescent="0.25"/>
    <row r="5064" hidden="1" x14ac:dyDescent="0.25"/>
    <row r="5065" hidden="1" x14ac:dyDescent="0.25"/>
    <row r="5066" hidden="1" x14ac:dyDescent="0.25"/>
    <row r="5067" hidden="1" x14ac:dyDescent="0.25"/>
    <row r="5068" hidden="1" x14ac:dyDescent="0.25"/>
    <row r="5069" hidden="1" x14ac:dyDescent="0.25"/>
    <row r="5070" hidden="1" x14ac:dyDescent="0.25"/>
    <row r="5071" hidden="1" x14ac:dyDescent="0.25"/>
    <row r="5072" hidden="1" x14ac:dyDescent="0.25"/>
    <row r="5073" hidden="1" x14ac:dyDescent="0.25"/>
    <row r="5074" hidden="1" x14ac:dyDescent="0.25"/>
    <row r="5075" hidden="1" x14ac:dyDescent="0.25"/>
    <row r="5076" hidden="1" x14ac:dyDescent="0.25"/>
    <row r="5077" hidden="1" x14ac:dyDescent="0.25"/>
    <row r="5078" hidden="1" x14ac:dyDescent="0.25"/>
    <row r="5079" hidden="1" x14ac:dyDescent="0.25"/>
    <row r="5080" hidden="1" x14ac:dyDescent="0.25"/>
    <row r="5081" hidden="1" x14ac:dyDescent="0.25"/>
    <row r="5082" hidden="1" x14ac:dyDescent="0.25"/>
    <row r="5083" hidden="1" x14ac:dyDescent="0.25"/>
    <row r="5084" hidden="1" x14ac:dyDescent="0.25"/>
    <row r="5085" hidden="1" x14ac:dyDescent="0.25"/>
    <row r="5086" hidden="1" x14ac:dyDescent="0.25"/>
    <row r="5087" hidden="1" x14ac:dyDescent="0.25"/>
    <row r="5088" hidden="1" x14ac:dyDescent="0.25"/>
    <row r="5089" hidden="1" x14ac:dyDescent="0.25"/>
    <row r="5090" hidden="1" x14ac:dyDescent="0.25"/>
    <row r="5091" hidden="1" x14ac:dyDescent="0.25"/>
    <row r="5092" hidden="1" x14ac:dyDescent="0.25"/>
    <row r="5093" hidden="1" x14ac:dyDescent="0.25"/>
    <row r="5094" hidden="1" x14ac:dyDescent="0.25"/>
    <row r="5095" hidden="1" x14ac:dyDescent="0.25"/>
    <row r="5096" hidden="1" x14ac:dyDescent="0.25"/>
    <row r="5097" hidden="1" x14ac:dyDescent="0.25"/>
    <row r="5098" hidden="1" x14ac:dyDescent="0.25"/>
    <row r="5099" hidden="1" x14ac:dyDescent="0.25"/>
    <row r="5100" hidden="1" x14ac:dyDescent="0.25"/>
    <row r="5101" hidden="1" x14ac:dyDescent="0.25"/>
    <row r="5102" hidden="1" x14ac:dyDescent="0.25"/>
    <row r="5103" hidden="1" x14ac:dyDescent="0.25"/>
    <row r="5104" hidden="1" x14ac:dyDescent="0.25"/>
    <row r="5105" hidden="1" x14ac:dyDescent="0.25"/>
    <row r="5106" hidden="1" x14ac:dyDescent="0.25"/>
    <row r="5107" hidden="1" x14ac:dyDescent="0.25"/>
    <row r="5108" hidden="1" x14ac:dyDescent="0.25"/>
    <row r="5109" hidden="1" x14ac:dyDescent="0.25"/>
    <row r="5110" hidden="1" x14ac:dyDescent="0.25"/>
    <row r="5111" hidden="1" x14ac:dyDescent="0.25"/>
    <row r="5112" hidden="1" x14ac:dyDescent="0.25"/>
    <row r="5113" hidden="1" x14ac:dyDescent="0.25"/>
    <row r="5114" hidden="1" x14ac:dyDescent="0.25"/>
    <row r="5115" hidden="1" x14ac:dyDescent="0.25"/>
    <row r="5116" hidden="1" x14ac:dyDescent="0.25"/>
    <row r="5117" hidden="1" x14ac:dyDescent="0.25"/>
    <row r="5118" hidden="1" x14ac:dyDescent="0.25"/>
    <row r="5119" hidden="1" x14ac:dyDescent="0.25"/>
    <row r="5120" hidden="1" x14ac:dyDescent="0.25"/>
    <row r="5121" hidden="1" x14ac:dyDescent="0.25"/>
    <row r="5122" hidden="1" x14ac:dyDescent="0.25"/>
    <row r="5123" hidden="1" x14ac:dyDescent="0.25"/>
    <row r="5124" hidden="1" x14ac:dyDescent="0.25"/>
    <row r="5125" hidden="1" x14ac:dyDescent="0.25"/>
    <row r="5126" hidden="1" x14ac:dyDescent="0.25"/>
    <row r="5127" hidden="1" x14ac:dyDescent="0.25"/>
    <row r="5128" hidden="1" x14ac:dyDescent="0.25"/>
    <row r="5129" hidden="1" x14ac:dyDescent="0.25"/>
    <row r="5130" hidden="1" x14ac:dyDescent="0.25"/>
    <row r="5131" hidden="1" x14ac:dyDescent="0.25"/>
    <row r="5132" hidden="1" x14ac:dyDescent="0.25"/>
    <row r="5133" hidden="1" x14ac:dyDescent="0.25"/>
    <row r="5134" hidden="1" x14ac:dyDescent="0.25"/>
    <row r="5135" hidden="1" x14ac:dyDescent="0.25"/>
    <row r="5136" hidden="1" x14ac:dyDescent="0.25"/>
    <row r="5137" hidden="1" x14ac:dyDescent="0.25"/>
    <row r="5138" hidden="1" x14ac:dyDescent="0.25"/>
    <row r="5139" hidden="1" x14ac:dyDescent="0.25"/>
    <row r="5140" hidden="1" x14ac:dyDescent="0.25"/>
    <row r="5141" hidden="1" x14ac:dyDescent="0.25"/>
    <row r="5142" hidden="1" x14ac:dyDescent="0.25"/>
    <row r="5143" hidden="1" x14ac:dyDescent="0.25"/>
    <row r="5144" hidden="1" x14ac:dyDescent="0.25"/>
    <row r="5145" hidden="1" x14ac:dyDescent="0.25"/>
    <row r="5146" hidden="1" x14ac:dyDescent="0.25"/>
    <row r="5147" hidden="1" x14ac:dyDescent="0.25"/>
    <row r="5148" hidden="1" x14ac:dyDescent="0.25"/>
    <row r="5149" hidden="1" x14ac:dyDescent="0.25"/>
    <row r="5150" hidden="1" x14ac:dyDescent="0.25"/>
    <row r="5151" hidden="1" x14ac:dyDescent="0.25"/>
    <row r="5152" hidden="1" x14ac:dyDescent="0.25"/>
    <row r="5153" hidden="1" x14ac:dyDescent="0.25"/>
    <row r="5154" hidden="1" x14ac:dyDescent="0.25"/>
    <row r="5155" hidden="1" x14ac:dyDescent="0.25"/>
    <row r="5156" hidden="1" x14ac:dyDescent="0.25"/>
    <row r="5157" hidden="1" x14ac:dyDescent="0.25"/>
    <row r="5158" hidden="1" x14ac:dyDescent="0.25"/>
    <row r="5159" hidden="1" x14ac:dyDescent="0.25"/>
    <row r="5160" hidden="1" x14ac:dyDescent="0.25"/>
    <row r="5161" hidden="1" x14ac:dyDescent="0.25"/>
    <row r="5162" hidden="1" x14ac:dyDescent="0.25"/>
    <row r="5163" hidden="1" x14ac:dyDescent="0.25"/>
    <row r="5164" hidden="1" x14ac:dyDescent="0.25"/>
    <row r="5165" hidden="1" x14ac:dyDescent="0.25"/>
    <row r="5166" hidden="1" x14ac:dyDescent="0.25"/>
    <row r="5167" hidden="1" x14ac:dyDescent="0.25"/>
    <row r="5168" hidden="1" x14ac:dyDescent="0.25"/>
    <row r="5169" hidden="1" x14ac:dyDescent="0.25"/>
    <row r="5170" hidden="1" x14ac:dyDescent="0.25"/>
    <row r="5171" hidden="1" x14ac:dyDescent="0.25"/>
    <row r="5172" hidden="1" x14ac:dyDescent="0.25"/>
    <row r="5173" hidden="1" x14ac:dyDescent="0.25"/>
    <row r="5174" hidden="1" x14ac:dyDescent="0.25"/>
    <row r="5175" hidden="1" x14ac:dyDescent="0.25"/>
    <row r="5176" hidden="1" x14ac:dyDescent="0.25"/>
    <row r="5177" hidden="1" x14ac:dyDescent="0.25"/>
    <row r="5178" hidden="1" x14ac:dyDescent="0.25"/>
    <row r="5179" hidden="1" x14ac:dyDescent="0.25"/>
    <row r="5180" hidden="1" x14ac:dyDescent="0.25"/>
    <row r="5181" hidden="1" x14ac:dyDescent="0.25"/>
    <row r="5182" hidden="1" x14ac:dyDescent="0.25"/>
    <row r="5183" hidden="1" x14ac:dyDescent="0.25"/>
    <row r="5184" hidden="1" x14ac:dyDescent="0.25"/>
    <row r="5185" hidden="1" x14ac:dyDescent="0.25"/>
    <row r="5186" hidden="1" x14ac:dyDescent="0.25"/>
    <row r="5187" hidden="1" x14ac:dyDescent="0.25"/>
    <row r="5188" hidden="1" x14ac:dyDescent="0.25"/>
    <row r="5189" hidden="1" x14ac:dyDescent="0.25"/>
    <row r="5190" hidden="1" x14ac:dyDescent="0.25"/>
    <row r="5191" hidden="1" x14ac:dyDescent="0.25"/>
    <row r="5192" hidden="1" x14ac:dyDescent="0.25"/>
    <row r="5193" hidden="1" x14ac:dyDescent="0.25"/>
    <row r="5194" hidden="1" x14ac:dyDescent="0.25"/>
    <row r="5195" hidden="1" x14ac:dyDescent="0.25"/>
    <row r="5196" hidden="1" x14ac:dyDescent="0.25"/>
    <row r="5197" hidden="1" x14ac:dyDescent="0.25"/>
    <row r="5198" hidden="1" x14ac:dyDescent="0.25"/>
    <row r="5199" hidden="1" x14ac:dyDescent="0.25"/>
    <row r="5200" hidden="1" x14ac:dyDescent="0.25"/>
    <row r="5201" hidden="1" x14ac:dyDescent="0.25"/>
    <row r="5202" hidden="1" x14ac:dyDescent="0.25"/>
    <row r="5203" hidden="1" x14ac:dyDescent="0.25"/>
    <row r="5204" hidden="1" x14ac:dyDescent="0.25"/>
    <row r="5205" hidden="1" x14ac:dyDescent="0.25"/>
    <row r="5206" hidden="1" x14ac:dyDescent="0.25"/>
    <row r="5207" hidden="1" x14ac:dyDescent="0.25"/>
    <row r="5208" hidden="1" x14ac:dyDescent="0.25"/>
    <row r="5209" hidden="1" x14ac:dyDescent="0.25"/>
    <row r="5210" hidden="1" x14ac:dyDescent="0.25"/>
    <row r="5211" hidden="1" x14ac:dyDescent="0.25"/>
    <row r="5212" hidden="1" x14ac:dyDescent="0.25"/>
    <row r="5213" hidden="1" x14ac:dyDescent="0.25"/>
    <row r="5214" hidden="1" x14ac:dyDescent="0.25"/>
    <row r="5215" hidden="1" x14ac:dyDescent="0.25"/>
    <row r="5216" hidden="1" x14ac:dyDescent="0.25"/>
    <row r="5217" hidden="1" x14ac:dyDescent="0.25"/>
    <row r="5218" hidden="1" x14ac:dyDescent="0.25"/>
    <row r="5219" hidden="1" x14ac:dyDescent="0.25"/>
    <row r="5220" hidden="1" x14ac:dyDescent="0.25"/>
    <row r="5221" hidden="1" x14ac:dyDescent="0.25"/>
    <row r="5222" hidden="1" x14ac:dyDescent="0.25"/>
    <row r="5223" hidden="1" x14ac:dyDescent="0.25"/>
    <row r="5224" hidden="1" x14ac:dyDescent="0.25"/>
    <row r="5225" hidden="1" x14ac:dyDescent="0.25"/>
    <row r="5226" hidden="1" x14ac:dyDescent="0.25"/>
    <row r="5227" hidden="1" x14ac:dyDescent="0.25"/>
    <row r="5228" hidden="1" x14ac:dyDescent="0.25"/>
    <row r="5229" hidden="1" x14ac:dyDescent="0.25"/>
    <row r="5230" hidden="1" x14ac:dyDescent="0.25"/>
    <row r="5231" hidden="1" x14ac:dyDescent="0.25"/>
    <row r="5232" hidden="1" x14ac:dyDescent="0.25"/>
    <row r="5233" hidden="1" x14ac:dyDescent="0.25"/>
    <row r="5234" hidden="1" x14ac:dyDescent="0.25"/>
    <row r="5235" hidden="1" x14ac:dyDescent="0.25"/>
    <row r="5236" hidden="1" x14ac:dyDescent="0.25"/>
    <row r="5237" hidden="1" x14ac:dyDescent="0.25"/>
    <row r="5238" hidden="1" x14ac:dyDescent="0.25"/>
    <row r="5239" hidden="1" x14ac:dyDescent="0.25"/>
    <row r="5240" hidden="1" x14ac:dyDescent="0.25"/>
    <row r="5241" hidden="1" x14ac:dyDescent="0.25"/>
    <row r="5242" hidden="1" x14ac:dyDescent="0.25"/>
    <row r="5243" hidden="1" x14ac:dyDescent="0.25"/>
    <row r="5244" hidden="1" x14ac:dyDescent="0.25"/>
    <row r="5245" hidden="1" x14ac:dyDescent="0.25"/>
    <row r="5246" hidden="1" x14ac:dyDescent="0.25"/>
    <row r="5247" hidden="1" x14ac:dyDescent="0.25"/>
    <row r="5248" hidden="1" x14ac:dyDescent="0.25"/>
    <row r="5249" hidden="1" x14ac:dyDescent="0.25"/>
    <row r="5250" hidden="1" x14ac:dyDescent="0.25"/>
    <row r="5251" hidden="1" x14ac:dyDescent="0.25"/>
    <row r="5252" hidden="1" x14ac:dyDescent="0.25"/>
    <row r="5253" hidden="1" x14ac:dyDescent="0.25"/>
    <row r="5254" hidden="1" x14ac:dyDescent="0.25"/>
    <row r="5255" hidden="1" x14ac:dyDescent="0.25"/>
    <row r="5256" hidden="1" x14ac:dyDescent="0.25"/>
    <row r="5257" hidden="1" x14ac:dyDescent="0.25"/>
    <row r="5258" hidden="1" x14ac:dyDescent="0.25"/>
    <row r="5259" hidden="1" x14ac:dyDescent="0.25"/>
    <row r="5260" hidden="1" x14ac:dyDescent="0.25"/>
    <row r="5261" hidden="1" x14ac:dyDescent="0.25"/>
    <row r="5262" hidden="1" x14ac:dyDescent="0.25"/>
    <row r="5263" hidden="1" x14ac:dyDescent="0.25"/>
    <row r="5264" hidden="1" x14ac:dyDescent="0.25"/>
    <row r="5265" hidden="1" x14ac:dyDescent="0.25"/>
    <row r="5266" hidden="1" x14ac:dyDescent="0.25"/>
    <row r="5267" hidden="1" x14ac:dyDescent="0.25"/>
    <row r="5268" hidden="1" x14ac:dyDescent="0.25"/>
    <row r="5269" hidden="1" x14ac:dyDescent="0.25"/>
    <row r="5270" hidden="1" x14ac:dyDescent="0.25"/>
    <row r="5271" hidden="1" x14ac:dyDescent="0.25"/>
    <row r="5272" hidden="1" x14ac:dyDescent="0.25"/>
    <row r="5273" hidden="1" x14ac:dyDescent="0.25"/>
    <row r="5274" hidden="1" x14ac:dyDescent="0.25"/>
    <row r="5275" hidden="1" x14ac:dyDescent="0.25"/>
    <row r="5276" hidden="1" x14ac:dyDescent="0.25"/>
    <row r="5277" hidden="1" x14ac:dyDescent="0.25"/>
    <row r="5278" hidden="1" x14ac:dyDescent="0.25"/>
    <row r="5279" hidden="1" x14ac:dyDescent="0.25"/>
    <row r="5280" hidden="1" x14ac:dyDescent="0.25"/>
    <row r="5281" hidden="1" x14ac:dyDescent="0.25"/>
    <row r="5282" hidden="1" x14ac:dyDescent="0.25"/>
    <row r="5283" hidden="1" x14ac:dyDescent="0.25"/>
    <row r="5284" hidden="1" x14ac:dyDescent="0.25"/>
    <row r="5285" hidden="1" x14ac:dyDescent="0.25"/>
    <row r="5286" hidden="1" x14ac:dyDescent="0.25"/>
    <row r="5287" hidden="1" x14ac:dyDescent="0.25"/>
    <row r="5288" hidden="1" x14ac:dyDescent="0.25"/>
    <row r="5289" hidden="1" x14ac:dyDescent="0.25"/>
    <row r="5290" hidden="1" x14ac:dyDescent="0.25"/>
    <row r="5291" hidden="1" x14ac:dyDescent="0.25"/>
    <row r="5292" hidden="1" x14ac:dyDescent="0.25"/>
    <row r="5293" hidden="1" x14ac:dyDescent="0.25"/>
    <row r="5294" hidden="1" x14ac:dyDescent="0.25"/>
    <row r="5295" hidden="1" x14ac:dyDescent="0.25"/>
    <row r="5296" hidden="1" x14ac:dyDescent="0.25"/>
    <row r="5297" hidden="1" x14ac:dyDescent="0.25"/>
    <row r="5298" hidden="1" x14ac:dyDescent="0.25"/>
    <row r="5299" hidden="1" x14ac:dyDescent="0.25"/>
    <row r="5300" hidden="1" x14ac:dyDescent="0.25"/>
    <row r="5301" hidden="1" x14ac:dyDescent="0.25"/>
    <row r="5302" hidden="1" x14ac:dyDescent="0.25"/>
    <row r="5303" hidden="1" x14ac:dyDescent="0.25"/>
    <row r="5304" hidden="1" x14ac:dyDescent="0.25"/>
    <row r="5305" hidden="1" x14ac:dyDescent="0.25"/>
    <row r="5306" hidden="1" x14ac:dyDescent="0.25"/>
    <row r="5307" hidden="1" x14ac:dyDescent="0.25"/>
    <row r="5308" hidden="1" x14ac:dyDescent="0.25"/>
    <row r="5309" hidden="1" x14ac:dyDescent="0.25"/>
    <row r="5310" hidden="1" x14ac:dyDescent="0.25"/>
    <row r="5311" hidden="1" x14ac:dyDescent="0.25"/>
    <row r="5312" hidden="1" x14ac:dyDescent="0.25"/>
    <row r="5313" hidden="1" x14ac:dyDescent="0.25"/>
    <row r="5314" hidden="1" x14ac:dyDescent="0.25"/>
    <row r="5315" hidden="1" x14ac:dyDescent="0.25"/>
    <row r="5316" hidden="1" x14ac:dyDescent="0.25"/>
    <row r="5317" hidden="1" x14ac:dyDescent="0.25"/>
    <row r="5318" hidden="1" x14ac:dyDescent="0.25"/>
    <row r="5319" hidden="1" x14ac:dyDescent="0.25"/>
    <row r="5320" hidden="1" x14ac:dyDescent="0.25"/>
    <row r="5321" hidden="1" x14ac:dyDescent="0.25"/>
    <row r="5322" hidden="1" x14ac:dyDescent="0.25"/>
    <row r="5323" hidden="1" x14ac:dyDescent="0.25"/>
    <row r="5324" hidden="1" x14ac:dyDescent="0.25"/>
    <row r="5325" hidden="1" x14ac:dyDescent="0.25"/>
    <row r="5326" hidden="1" x14ac:dyDescent="0.25"/>
    <row r="5327" hidden="1" x14ac:dyDescent="0.25"/>
    <row r="5328" hidden="1" x14ac:dyDescent="0.25"/>
    <row r="5329" hidden="1" x14ac:dyDescent="0.25"/>
    <row r="5330" hidden="1" x14ac:dyDescent="0.25"/>
    <row r="5331" hidden="1" x14ac:dyDescent="0.25"/>
    <row r="5332" hidden="1" x14ac:dyDescent="0.25"/>
    <row r="5333" hidden="1" x14ac:dyDescent="0.25"/>
    <row r="5334" hidden="1" x14ac:dyDescent="0.25"/>
    <row r="5335" hidden="1" x14ac:dyDescent="0.25"/>
    <row r="5336" hidden="1" x14ac:dyDescent="0.25"/>
    <row r="5337" hidden="1" x14ac:dyDescent="0.25"/>
    <row r="5338" hidden="1" x14ac:dyDescent="0.25"/>
    <row r="5339" hidden="1" x14ac:dyDescent="0.25"/>
    <row r="5340" hidden="1" x14ac:dyDescent="0.25"/>
    <row r="5341" hidden="1" x14ac:dyDescent="0.25"/>
    <row r="5342" hidden="1" x14ac:dyDescent="0.25"/>
    <row r="5343" hidden="1" x14ac:dyDescent="0.25"/>
    <row r="5344" hidden="1" x14ac:dyDescent="0.25"/>
    <row r="5345" hidden="1" x14ac:dyDescent="0.25"/>
    <row r="5346" hidden="1" x14ac:dyDescent="0.25"/>
    <row r="5347" hidden="1" x14ac:dyDescent="0.25"/>
    <row r="5348" hidden="1" x14ac:dyDescent="0.25"/>
    <row r="5349" hidden="1" x14ac:dyDescent="0.25"/>
    <row r="5350" hidden="1" x14ac:dyDescent="0.25"/>
    <row r="5351" hidden="1" x14ac:dyDescent="0.25"/>
    <row r="5352" hidden="1" x14ac:dyDescent="0.25"/>
    <row r="5353" hidden="1" x14ac:dyDescent="0.25"/>
    <row r="5354" hidden="1" x14ac:dyDescent="0.25"/>
    <row r="5355" hidden="1" x14ac:dyDescent="0.25"/>
    <row r="5356" hidden="1" x14ac:dyDescent="0.25"/>
    <row r="5357" hidden="1" x14ac:dyDescent="0.25"/>
    <row r="5358" hidden="1" x14ac:dyDescent="0.25"/>
    <row r="5359" hidden="1" x14ac:dyDescent="0.25"/>
    <row r="5360" hidden="1" x14ac:dyDescent="0.25"/>
    <row r="5361" hidden="1" x14ac:dyDescent="0.25"/>
    <row r="5362" hidden="1" x14ac:dyDescent="0.25"/>
    <row r="5363" hidden="1" x14ac:dyDescent="0.25"/>
    <row r="5364" hidden="1" x14ac:dyDescent="0.25"/>
    <row r="5365" hidden="1" x14ac:dyDescent="0.25"/>
    <row r="5366" hidden="1" x14ac:dyDescent="0.25"/>
    <row r="5367" hidden="1" x14ac:dyDescent="0.25"/>
    <row r="5368" hidden="1" x14ac:dyDescent="0.25"/>
    <row r="5369" hidden="1" x14ac:dyDescent="0.25"/>
    <row r="5370" hidden="1" x14ac:dyDescent="0.25"/>
    <row r="5371" hidden="1" x14ac:dyDescent="0.25"/>
    <row r="5372" hidden="1" x14ac:dyDescent="0.25"/>
    <row r="5373" hidden="1" x14ac:dyDescent="0.25"/>
    <row r="5374" hidden="1" x14ac:dyDescent="0.25"/>
    <row r="5375" hidden="1" x14ac:dyDescent="0.25"/>
  </sheetData>
  <mergeCells count="1">
    <mergeCell ref="F22:G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r:id="rId5">
            <anchor moveWithCells="1">
              <from>
                <xdr:col>5</xdr:col>
                <xdr:colOff>28575</xdr:colOff>
                <xdr:row>16</xdr:row>
                <xdr:rowOff>76200</xdr:rowOff>
              </from>
              <to>
                <xdr:col>6</xdr:col>
                <xdr:colOff>285750</xdr:colOff>
                <xdr:row>18</xdr:row>
                <xdr:rowOff>66675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2:B50"/>
  <sheetViews>
    <sheetView workbookViewId="0"/>
  </sheetViews>
  <sheetFormatPr defaultColWidth="11.42578125" defaultRowHeight="15" x14ac:dyDescent="0.25"/>
  <sheetData>
    <row r="22" spans="2:2" x14ac:dyDescent="0.25">
      <c r="B22" t="s">
        <v>8</v>
      </c>
    </row>
    <row r="23" spans="2:2" x14ac:dyDescent="0.25">
      <c r="B23" t="s">
        <v>9</v>
      </c>
    </row>
    <row r="24" spans="2:2" x14ac:dyDescent="0.25">
      <c r="B24" t="s">
        <v>10</v>
      </c>
    </row>
    <row r="25" spans="2:2" x14ac:dyDescent="0.25">
      <c r="B25" t="s">
        <v>11</v>
      </c>
    </row>
    <row r="26" spans="2:2" x14ac:dyDescent="0.25">
      <c r="B26" t="s">
        <v>12</v>
      </c>
    </row>
    <row r="27" spans="2:2" x14ac:dyDescent="0.25">
      <c r="B27" t="s">
        <v>13</v>
      </c>
    </row>
    <row r="28" spans="2:2" x14ac:dyDescent="0.25">
      <c r="B28" t="s">
        <v>14</v>
      </c>
    </row>
    <row r="29" spans="2:2" x14ac:dyDescent="0.25">
      <c r="B29" t="s">
        <v>15</v>
      </c>
    </row>
    <row r="30" spans="2:2" x14ac:dyDescent="0.25">
      <c r="B30" t="s">
        <v>16</v>
      </c>
    </row>
    <row r="31" spans="2:2" x14ac:dyDescent="0.25">
      <c r="B31" t="s">
        <v>17</v>
      </c>
    </row>
    <row r="32" spans="2:2" x14ac:dyDescent="0.25">
      <c r="B32" t="s">
        <v>18</v>
      </c>
    </row>
    <row r="33" spans="2:2" x14ac:dyDescent="0.25">
      <c r="B33" t="s">
        <v>19</v>
      </c>
    </row>
    <row r="34" spans="2:2" x14ac:dyDescent="0.25">
      <c r="B34" t="s">
        <v>20</v>
      </c>
    </row>
    <row r="35" spans="2:2" x14ac:dyDescent="0.25">
      <c r="B35" t="s">
        <v>21</v>
      </c>
    </row>
    <row r="36" spans="2:2" x14ac:dyDescent="0.25">
      <c r="B36" t="s">
        <v>22</v>
      </c>
    </row>
    <row r="37" spans="2:2" x14ac:dyDescent="0.25">
      <c r="B37" t="s">
        <v>23</v>
      </c>
    </row>
    <row r="38" spans="2:2" x14ac:dyDescent="0.25">
      <c r="B38" t="s">
        <v>24</v>
      </c>
    </row>
    <row r="39" spans="2:2" x14ac:dyDescent="0.25">
      <c r="B39" t="s">
        <v>25</v>
      </c>
    </row>
    <row r="40" spans="2:2" x14ac:dyDescent="0.25">
      <c r="B40" t="s">
        <v>26</v>
      </c>
    </row>
    <row r="41" spans="2:2" x14ac:dyDescent="0.25">
      <c r="B41" t="s">
        <v>27</v>
      </c>
    </row>
    <row r="42" spans="2:2" x14ac:dyDescent="0.25">
      <c r="B42" t="s">
        <v>28</v>
      </c>
    </row>
    <row r="43" spans="2:2" x14ac:dyDescent="0.25">
      <c r="B43" t="s">
        <v>29</v>
      </c>
    </row>
    <row r="44" spans="2:2" x14ac:dyDescent="0.25">
      <c r="B44" t="s">
        <v>30</v>
      </c>
    </row>
    <row r="45" spans="2:2" x14ac:dyDescent="0.25">
      <c r="B45" t="s">
        <v>31</v>
      </c>
    </row>
    <row r="46" spans="2:2" x14ac:dyDescent="0.25">
      <c r="B46" t="s">
        <v>32</v>
      </c>
    </row>
    <row r="47" spans="2:2" x14ac:dyDescent="0.25">
      <c r="B47" t="s">
        <v>33</v>
      </c>
    </row>
    <row r="48" spans="2:2" x14ac:dyDescent="0.25">
      <c r="B48" t="s">
        <v>34</v>
      </c>
    </row>
    <row r="49" spans="2:2" x14ac:dyDescent="0.25">
      <c r="B49" t="s">
        <v>35</v>
      </c>
    </row>
    <row r="50" spans="2:2" x14ac:dyDescent="0.25">
      <c r="B5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Feuil1</vt:lpstr>
      <vt:lpstr>{AR}01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2017-04-26T15:20:02Z</dcterms:created>
  <dcterms:modified xsi:type="dcterms:W3CDTF">2022-06-07T12:13:51Z</dcterms:modified>
</cp:coreProperties>
</file>