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2.bin" ContentType="application/vnd.ms-office.activeX"/>
  <Override PartName="/xl/activeX/activeX5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480" yWindow="105" windowWidth="17715" windowHeight="7740" firstSheet="1" activeTab="1"/>
  </bookViews>
  <sheets>
    <sheet name="Cognos_Office_Connection_Cache" sheetId="5" state="veryHidden" r:id="rId1"/>
    <sheet name="Adjustment by Account Group" sheetId="4" r:id="rId2"/>
  </sheets>
  <definedNames>
    <definedName name="accgroup_alloc">'Adjustment by Account Group'!$B$12</definedName>
    <definedName name="budget_actuality_alloc">'Adjustment by Account Group'!$B$1</definedName>
    <definedName name="chart_account">'Adjustment by Account Group'!$C$12</definedName>
    <definedName name="company_alloc">'Adjustment by Account Group'!$B$2</definedName>
    <definedName name="destination_acc">#REF!</definedName>
    <definedName name="destination_alloc">'Adjustment by Account Group'!$B$13</definedName>
    <definedName name="ID" localSheetId="1" hidden="1">"454e5937-946d-4e4b-aee5-4e0c50af5b10"</definedName>
    <definedName name="pcorrection">'Adjustment by Account Group'!$B$25</definedName>
    <definedName name="Percentage_Type">'Adjustment by Account Group'!$B$21</definedName>
    <definedName name="pmonthfrom">'Adjustment by Account Group'!$B$2</definedName>
    <definedName name="pmonthto">'Adjustment by Account Group'!$D$2</definedName>
    <definedName name="reference_actuality_alloc">'Adjustment by Account Group'!$B$3</definedName>
    <definedName name="TM1REBUILDOPTION">1</definedName>
    <definedName name="TM1RPTDATARNGARPT1" localSheetId="1">'Adjustment by Account Group'!#REF!</definedName>
    <definedName name="TM1RPTFMTIDCOL" localSheetId="1">'Adjustment by Account Group'!#REF!</definedName>
    <definedName name="TM1RPTFMTRNG" localSheetId="1">'Adjustment by Account Group'!#REF!</definedName>
    <definedName name="variance_alloc">'Adjustment by Account Group'!$B$22</definedName>
  </definedNames>
  <calcPr calcId="162913" concurrentCalc="0"/>
</workbook>
</file>

<file path=xl/calcChain.xml><?xml version="1.0" encoding="utf-8"?>
<calcChain xmlns="http://schemas.openxmlformats.org/spreadsheetml/2006/main">
  <c r="B3" i="4" l="1"/>
  <c r="B13" i="4"/>
  <c r="B12" i="4"/>
  <c r="B1" i="4"/>
  <c r="B2" i="4"/>
  <c r="G18" i="4"/>
  <c r="G23" i="4"/>
  <c r="B21" i="4"/>
  <c r="G17" i="4"/>
  <c r="C12" i="4"/>
  <c r="D12" i="4"/>
</calcChain>
</file>

<file path=xl/sharedStrings.xml><?xml version="1.0" encoding="utf-8"?>
<sst xmlns="http://schemas.openxmlformats.org/spreadsheetml/2006/main" count="20" uniqueCount="20">
  <si>
    <t>Account Group</t>
  </si>
  <si>
    <t>Allocation</t>
  </si>
  <si>
    <t>%</t>
  </si>
  <si>
    <t>% increase/decrease</t>
  </si>
  <si>
    <t>Reference Actuality</t>
  </si>
  <si>
    <t>Company</t>
  </si>
  <si>
    <t>Budget Actuality</t>
  </si>
  <si>
    <t>Current expenses</t>
  </si>
  <si>
    <t>Expected expenses</t>
  </si>
  <si>
    <t>(select always the WK actuality corresponding to the year to be updated)</t>
  </si>
  <si>
    <t>(select your company)</t>
  </si>
  <si>
    <t>(select the reference actuality on which the budget proposal have to be calculated)</t>
  </si>
  <si>
    <t>(click on "remove adjustments" to delete previous ones)</t>
  </si>
  <si>
    <t xml:space="preserve">  increase/decrease %</t>
  </si>
  <si>
    <t>(select the level of Account Group on which adjustments have to be put)</t>
  </si>
  <si>
    <t>(select the level of Costs Centers / groups on which adjustments have to be put)</t>
  </si>
  <si>
    <t>Calculator to determine the Costs increase/decrease %</t>
  </si>
  <si>
    <t>(click on "Create budget basis" to generate a P&amp;L with costs based on UO and % Fix)</t>
  </si>
  <si>
    <t>Percentage Type</t>
  </si>
  <si>
    <t>Calculation Basis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</si>
</sst>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;;;"/>
    <numFmt numFmtId="165" formatCode="_(* #,##0.00_);_(* \(#,##0.00\);_(* &quot;-&quot;??_);_(@_)"/>
    <numFmt numFmtId="166" formatCode="0.0000%"/>
    <numFmt numFmtId="167" formatCode="#,##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Helv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3">
    <xf numFmtId="0" fontId="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15" fillId="0" borderId="9" applyNumberFormat="0" applyFill="0" applyProtection="0">
      <alignment horizontal="center" vertical="center"/>
    </xf>
    <xf numFmtId="3" fontId="16" fillId="0" borderId="10" applyFont="0" applyFill="0" applyAlignment="0" applyProtection="0"/>
    <xf numFmtId="3" fontId="16" fillId="0" borderId="10" applyFont="0" applyFill="0" applyAlignment="0" applyProtection="0"/>
    <xf numFmtId="3" fontId="16" fillId="0" borderId="10" applyFont="0" applyFill="0" applyAlignment="0" applyProtection="0"/>
    <xf numFmtId="3" fontId="16" fillId="0" borderId="10" applyFont="0" applyFill="0" applyAlignment="0" applyProtection="0"/>
    <xf numFmtId="3" fontId="16" fillId="0" borderId="10" applyFont="0" applyFill="0" applyAlignment="0" applyProtection="0"/>
    <xf numFmtId="3" fontId="16" fillId="0" borderId="10" applyFont="0" applyFill="0" applyAlignment="0" applyProtection="0"/>
    <xf numFmtId="3" fontId="16" fillId="0" borderId="10" applyFont="0" applyFill="0" applyAlignment="0" applyProtection="0"/>
    <xf numFmtId="3" fontId="16" fillId="0" borderId="10" applyFont="0" applyFill="0" applyAlignment="0" applyProtection="0"/>
    <xf numFmtId="3" fontId="15" fillId="0" borderId="9" applyNumberFormat="0" applyFill="0" applyAlignment="0" applyProtection="0"/>
    <xf numFmtId="0" fontId="15" fillId="0" borderId="9" applyNumberFormat="0" applyFill="0" applyAlignment="0" applyProtection="0"/>
    <xf numFmtId="3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3" fontId="16" fillId="0" borderId="0" applyNumberFormat="0" applyBorder="0" applyAlignment="0" applyProtection="0"/>
    <xf numFmtId="3" fontId="16" fillId="0" borderId="0" applyNumberFormat="0" applyBorder="0" applyAlignment="0" applyProtection="0"/>
    <xf numFmtId="3" fontId="16" fillId="0" borderId="0" applyNumberFormat="0" applyBorder="0" applyAlignment="0" applyProtection="0"/>
    <xf numFmtId="3" fontId="16" fillId="0" borderId="0" applyNumberFormat="0" applyBorder="0" applyAlignment="0" applyProtection="0"/>
    <xf numFmtId="3" fontId="16" fillId="0" borderId="0" applyNumberFormat="0" applyBorder="0" applyAlignment="0" applyProtection="0"/>
    <xf numFmtId="3" fontId="16" fillId="0" borderId="10" applyNumberFormat="0" applyBorder="0" applyAlignment="0" applyProtection="0"/>
    <xf numFmtId="3" fontId="16" fillId="0" borderId="10" applyNumberFormat="0" applyBorder="0" applyAlignment="0" applyProtection="0"/>
    <xf numFmtId="3" fontId="16" fillId="0" borderId="10" applyNumberFormat="0" applyBorder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>
      <alignment horizontal="right" vertical="center"/>
    </xf>
    <xf numFmtId="3" fontId="16" fillId="7" borderId="10">
      <alignment horizontal="center" vertical="center"/>
    </xf>
    <xf numFmtId="0" fontId="16" fillId="7" borderId="10">
      <alignment horizontal="right" vertical="center"/>
    </xf>
    <xf numFmtId="0" fontId="15" fillId="0" borderId="11">
      <alignment horizontal="left" vertical="center"/>
    </xf>
    <xf numFmtId="0" fontId="15" fillId="0" borderId="12">
      <alignment horizontal="center" vertical="center"/>
    </xf>
    <xf numFmtId="0" fontId="17" fillId="0" borderId="13">
      <alignment horizontal="center" vertical="center"/>
    </xf>
    <xf numFmtId="0" fontId="16" fillId="8" borderId="10"/>
    <xf numFmtId="3" fontId="18" fillId="0" borderId="10"/>
    <xf numFmtId="3" fontId="19" fillId="0" borderId="10"/>
    <xf numFmtId="0" fontId="15" fillId="0" borderId="12">
      <alignment horizontal="left" vertical="top"/>
    </xf>
    <xf numFmtId="0" fontId="20" fillId="0" borderId="10"/>
    <xf numFmtId="0" fontId="15" fillId="0" borderId="12">
      <alignment horizontal="left" vertical="center"/>
    </xf>
    <xf numFmtId="0" fontId="16" fillId="7" borderId="14"/>
    <xf numFmtId="3" fontId="16" fillId="0" borderId="10">
      <alignment horizontal="right" vertical="center"/>
    </xf>
    <xf numFmtId="0" fontId="15" fillId="0" borderId="12">
      <alignment horizontal="right" vertical="center"/>
    </xf>
    <xf numFmtId="0" fontId="16" fillId="0" borderId="13">
      <alignment horizontal="center" vertical="center"/>
    </xf>
    <xf numFmtId="3" fontId="16" fillId="0" borderId="10"/>
    <xf numFmtId="3" fontId="16" fillId="0" borderId="10"/>
    <xf numFmtId="0" fontId="16" fillId="0" borderId="13">
      <alignment horizontal="center" vertical="center" wrapText="1"/>
    </xf>
    <xf numFmtId="0" fontId="21" fillId="0" borderId="13">
      <alignment horizontal="left" vertical="center" indent="1"/>
    </xf>
    <xf numFmtId="0" fontId="22" fillId="0" borderId="10"/>
    <xf numFmtId="0" fontId="15" fillId="0" borderId="11">
      <alignment horizontal="left" vertical="center"/>
    </xf>
    <xf numFmtId="3" fontId="16" fillId="0" borderId="10">
      <alignment horizontal="center" vertical="center"/>
    </xf>
    <xf numFmtId="0" fontId="15" fillId="0" borderId="12">
      <alignment horizontal="center" vertical="center"/>
    </xf>
    <xf numFmtId="0" fontId="15" fillId="0" borderId="12">
      <alignment horizontal="center" vertical="center"/>
    </xf>
    <xf numFmtId="0" fontId="15" fillId="0" borderId="11">
      <alignment horizontal="left" vertical="center"/>
    </xf>
    <xf numFmtId="0" fontId="15" fillId="0" borderId="11">
      <alignment horizontal="left" vertical="center"/>
    </xf>
    <xf numFmtId="0" fontId="23" fillId="0" borderId="10"/>
  </cellStyleXfs>
  <cellXfs count="74">
    <xf numFmtId="0" fontId="0" fillId="0" borderId="0" xfId="0"/>
    <xf numFmtId="0" fontId="1" fillId="2" borderId="7" xfId="0" applyFont="1" applyFill="1" applyBorder="1" applyAlignment="1">
      <alignment horizontal="center"/>
    </xf>
    <xf numFmtId="0" fontId="5" fillId="2" borderId="6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1" fillId="2" borderId="4" xfId="0" applyFont="1" applyFill="1" applyBorder="1" applyAlignment="1">
      <alignment horizontal="center"/>
    </xf>
    <xf numFmtId="0" fontId="5" fillId="2" borderId="0" xfId="0" applyFont="1" applyFill="1" applyBorder="1"/>
    <xf numFmtId="0" fontId="0" fillId="2" borderId="0" xfId="0" applyFill="1" applyBorder="1"/>
    <xf numFmtId="0" fontId="0" fillId="2" borderId="3" xfId="0" applyFill="1" applyBorder="1"/>
    <xf numFmtId="164" fontId="0" fillId="2" borderId="8" xfId="0" applyNumberFormat="1" applyFill="1" applyBorder="1"/>
    <xf numFmtId="164" fontId="0" fillId="2" borderId="2" xfId="0" applyNumberFormat="1" applyFill="1" applyBorder="1"/>
    <xf numFmtId="164" fontId="0" fillId="2" borderId="1" xfId="0" applyNumberFormat="1" applyFill="1" applyBorder="1"/>
    <xf numFmtId="164" fontId="0" fillId="3" borderId="6" xfId="0" applyNumberFormat="1" applyFill="1" applyBorder="1"/>
    <xf numFmtId="0" fontId="0" fillId="3" borderId="0" xfId="0" applyFill="1" applyBorder="1"/>
    <xf numFmtId="0" fontId="0" fillId="3" borderId="2" xfId="0" applyFill="1" applyBorder="1"/>
    <xf numFmtId="0" fontId="2" fillId="3" borderId="7" xfId="0" applyNumberFormat="1" applyFont="1" applyFill="1" applyBorder="1"/>
    <xf numFmtId="164" fontId="0" fillId="3" borderId="5" xfId="0" applyNumberFormat="1" applyFill="1" applyBorder="1"/>
    <xf numFmtId="0" fontId="1" fillId="3" borderId="4" xfId="0" applyFont="1" applyFill="1" applyBorder="1" applyAlignment="1">
      <alignment horizontal="center"/>
    </xf>
    <xf numFmtId="164" fontId="0" fillId="3" borderId="0" xfId="0" applyNumberFormat="1" applyFill="1" applyBorder="1"/>
    <xf numFmtId="164" fontId="0" fillId="3" borderId="3" xfId="0" applyNumberFormat="1" applyFill="1" applyBorder="1"/>
    <xf numFmtId="0" fontId="0" fillId="3" borderId="1" xfId="0" applyFill="1" applyBorder="1"/>
    <xf numFmtId="0" fontId="1" fillId="2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3" borderId="6" xfId="0" applyNumberFormat="1" applyFont="1" applyFill="1" applyBorder="1"/>
    <xf numFmtId="0" fontId="1" fillId="3" borderId="2" xfId="0" applyFont="1" applyFill="1" applyBorder="1" applyAlignment="1">
      <alignment horizontal="center"/>
    </xf>
    <xf numFmtId="0" fontId="0" fillId="4" borderId="0" xfId="0" applyFill="1"/>
    <xf numFmtId="3" fontId="5" fillId="5" borderId="0" xfId="0" applyNumberFormat="1" applyFont="1" applyFill="1" applyBorder="1" applyAlignment="1">
      <alignment vertical="center"/>
    </xf>
    <xf numFmtId="3" fontId="0" fillId="2" borderId="0" xfId="0" applyNumberFormat="1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/>
    </xf>
    <xf numFmtId="0" fontId="1" fillId="3" borderId="0" xfId="0" applyFont="1" applyFill="1" applyBorder="1" applyAlignment="1">
      <alignment horizontal="center"/>
    </xf>
    <xf numFmtId="0" fontId="7" fillId="3" borderId="0" xfId="0" applyFont="1" applyFill="1" applyBorder="1" applyAlignment="1"/>
    <xf numFmtId="0" fontId="0" fillId="3" borderId="0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2" xfId="0" applyFill="1" applyBorder="1"/>
    <xf numFmtId="0" fontId="0" fillId="2" borderId="2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3" fontId="0" fillId="3" borderId="0" xfId="0" applyNumberFormat="1" applyFill="1" applyBorder="1" applyAlignment="1">
      <alignment vertical="center"/>
    </xf>
    <xf numFmtId="0" fontId="0" fillId="0" borderId="0" xfId="0" applyFill="1"/>
    <xf numFmtId="164" fontId="0" fillId="2" borderId="3" xfId="0" applyNumberFormat="1" applyFill="1" applyBorder="1"/>
    <xf numFmtId="3" fontId="0" fillId="2" borderId="6" xfId="0" applyNumberFormat="1" applyFill="1" applyBorder="1" applyAlignment="1">
      <alignment vertical="center"/>
    </xf>
    <xf numFmtId="164" fontId="0" fillId="2" borderId="5" xfId="0" applyNumberFormat="1" applyFill="1" applyBorder="1"/>
    <xf numFmtId="3" fontId="0" fillId="2" borderId="2" xfId="0" applyNumberFormat="1" applyFill="1" applyBorder="1" applyAlignment="1">
      <alignment vertical="center"/>
    </xf>
    <xf numFmtId="0" fontId="0" fillId="2" borderId="6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166" fontId="11" fillId="5" borderId="0" xfId="0" applyNumberFormat="1" applyFont="1" applyFill="1" applyBorder="1" applyAlignment="1">
      <alignment vertical="center"/>
    </xf>
    <xf numFmtId="3" fontId="9" fillId="2" borderId="6" xfId="0" applyNumberFormat="1" applyFont="1" applyFill="1" applyBorder="1"/>
    <xf numFmtId="3" fontId="9" fillId="2" borderId="0" xfId="0" applyNumberFormat="1" applyFont="1" applyFill="1" applyBorder="1"/>
    <xf numFmtId="3" fontId="9" fillId="2" borderId="0" xfId="0" applyNumberFormat="1" applyFont="1" applyFill="1" applyBorder="1" applyAlignment="1">
      <alignment vertical="top"/>
    </xf>
    <xf numFmtId="3" fontId="0" fillId="2" borderId="0" xfId="0" applyNumberFormat="1" applyFill="1" applyBorder="1"/>
    <xf numFmtId="3" fontId="10" fillId="2" borderId="0" xfId="0" applyNumberFormat="1" applyFont="1" applyFill="1" applyBorder="1" applyAlignment="1">
      <alignment horizontal="left" vertical="center"/>
    </xf>
    <xf numFmtId="3" fontId="0" fillId="2" borderId="2" xfId="0" applyNumberFormat="1" applyFill="1" applyBorder="1"/>
    <xf numFmtId="3" fontId="0" fillId="3" borderId="6" xfId="0" applyNumberFormat="1" applyFill="1" applyBorder="1"/>
    <xf numFmtId="3" fontId="8" fillId="3" borderId="0" xfId="0" applyNumberFormat="1" applyFont="1" applyFill="1" applyBorder="1"/>
    <xf numFmtId="3" fontId="0" fillId="3" borderId="0" xfId="0" applyNumberFormat="1" applyFill="1" applyBorder="1"/>
    <xf numFmtId="3" fontId="10" fillId="3" borderId="0" xfId="0" applyNumberFormat="1" applyFont="1" applyFill="1" applyBorder="1" applyAlignment="1">
      <alignment horizontal="left" vertical="center"/>
    </xf>
    <xf numFmtId="3" fontId="13" fillId="2" borderId="7" xfId="0" applyNumberFormat="1" applyFont="1" applyFill="1" applyBorder="1"/>
    <xf numFmtId="3" fontId="0" fillId="2" borderId="4" xfId="0" applyNumberFormat="1" applyFill="1" applyBorder="1" applyAlignment="1">
      <alignment vertical="center"/>
    </xf>
    <xf numFmtId="3" fontId="0" fillId="2" borderId="4" xfId="0" applyNumberFormat="1" applyFill="1" applyBorder="1"/>
    <xf numFmtId="3" fontId="12" fillId="3" borderId="0" xfId="0" applyNumberFormat="1" applyFont="1" applyFill="1" applyBorder="1"/>
    <xf numFmtId="3" fontId="6" fillId="3" borderId="0" xfId="0" applyNumberFormat="1" applyFont="1" applyFill="1" applyBorder="1"/>
    <xf numFmtId="3" fontId="0" fillId="2" borderId="4" xfId="0" applyNumberFormat="1" applyFill="1" applyBorder="1" applyAlignment="1">
      <alignment horizontal="left" vertical="center"/>
    </xf>
    <xf numFmtId="3" fontId="0" fillId="2" borderId="8" xfId="0" applyNumberFormat="1" applyFill="1" applyBorder="1"/>
    <xf numFmtId="3" fontId="6" fillId="3" borderId="2" xfId="0" applyNumberFormat="1" applyFont="1" applyFill="1" applyBorder="1"/>
    <xf numFmtId="3" fontId="0" fillId="3" borderId="2" xfId="0" applyNumberFormat="1" applyFill="1" applyBorder="1"/>
    <xf numFmtId="3" fontId="0" fillId="0" borderId="0" xfId="0" applyNumberFormat="1"/>
    <xf numFmtId="3" fontId="5" fillId="2" borderId="6" xfId="0" applyNumberFormat="1" applyFont="1" applyFill="1" applyBorder="1"/>
    <xf numFmtId="3" fontId="5" fillId="2" borderId="0" xfId="0" applyNumberFormat="1" applyFont="1" applyFill="1" applyBorder="1"/>
    <xf numFmtId="3" fontId="5" fillId="3" borderId="6" xfId="0" applyNumberFormat="1" applyFont="1" applyFill="1" applyBorder="1"/>
    <xf numFmtId="3" fontId="5" fillId="3" borderId="0" xfId="0" applyNumberFormat="1" applyFont="1" applyFill="1" applyBorder="1"/>
    <xf numFmtId="3" fontId="5" fillId="3" borderId="2" xfId="0" applyNumberFormat="1" applyFont="1" applyFill="1" applyBorder="1"/>
    <xf numFmtId="167" fontId="12" fillId="6" borderId="0" xfId="0" applyNumberFormat="1" applyFont="1" applyFill="1" applyBorder="1" applyAlignment="1">
      <alignment horizontal="center"/>
    </xf>
    <xf numFmtId="3" fontId="14" fillId="2" borderId="4" xfId="0" applyNumberFormat="1" applyFont="1" applyFill="1" applyBorder="1" applyAlignment="1">
      <alignment vertical="center"/>
    </xf>
    <xf numFmtId="3" fontId="14" fillId="2" borderId="0" xfId="0" applyNumberFormat="1" applyFont="1" applyFill="1" applyBorder="1" applyAlignment="1">
      <alignment vertical="center"/>
    </xf>
  </cellXfs>
  <cellStyles count="63">
    <cellStyle name="AF Column - IBM Cognos" xfId="8"/>
    <cellStyle name="AF Data - IBM Cognos" xfId="9"/>
    <cellStyle name="AF Data 0 - IBM Cognos" xfId="10"/>
    <cellStyle name="AF Data 1 - IBM Cognos" xfId="11"/>
    <cellStyle name="AF Data 2 - IBM Cognos" xfId="12"/>
    <cellStyle name="AF Data 3 - IBM Cognos" xfId="13"/>
    <cellStyle name="AF Data 4 - IBM Cognos" xfId="14"/>
    <cellStyle name="AF Data 5 - IBM Cognos" xfId="15"/>
    <cellStyle name="AF Data Leaf - IBM Cognos" xfId="16"/>
    <cellStyle name="AF Header - IBM Cognos" xfId="17"/>
    <cellStyle name="AF Header 0 - IBM Cognos" xfId="18"/>
    <cellStyle name="AF Header 1 - IBM Cognos" xfId="19"/>
    <cellStyle name="AF Header 2 - IBM Cognos" xfId="20"/>
    <cellStyle name="AF Header 3 - IBM Cognos" xfId="21"/>
    <cellStyle name="AF Header 4 - IBM Cognos" xfId="22"/>
    <cellStyle name="AF Header 5 - IBM Cognos" xfId="23"/>
    <cellStyle name="AF Header Leaf - IBM Cognos" xfId="24"/>
    <cellStyle name="AF Row - IBM Cognos" xfId="25"/>
    <cellStyle name="AF Row 0 - IBM Cognos" xfId="26"/>
    <cellStyle name="AF Row 1 - IBM Cognos" xfId="27"/>
    <cellStyle name="AF Row 2 - IBM Cognos" xfId="28"/>
    <cellStyle name="AF Row 3 - IBM Cognos" xfId="29"/>
    <cellStyle name="AF Row 4 - IBM Cognos" xfId="30"/>
    <cellStyle name="AF Row 5 - IBM Cognos" xfId="31"/>
    <cellStyle name="AF Row Leaf - IBM Cognos" xfId="32"/>
    <cellStyle name="AF Subnm - IBM Cognos" xfId="33"/>
    <cellStyle name="AF Title - IBM Cognos" xfId="34"/>
    <cellStyle name="Calculated Column - IBM Cognos" xfId="35"/>
    <cellStyle name="Calculated Column Name - IBM Cognos" xfId="36"/>
    <cellStyle name="Calculated Row - IBM Cognos" xfId="37"/>
    <cellStyle name="Calculated Row Name - IBM Cognos" xfId="38"/>
    <cellStyle name="Column Name - IBM Cognos" xfId="39"/>
    <cellStyle name="Column Template - IBM Cognos" xfId="40"/>
    <cellStyle name="Differs From Base - IBM Cognos" xfId="41"/>
    <cellStyle name="Edit - IBM Cognos" xfId="42"/>
    <cellStyle name="Formula - IBM Cognos" xfId="43"/>
    <cellStyle name="Group Name - IBM Cognos" xfId="44"/>
    <cellStyle name="Hold Values - IBM Cognos" xfId="45"/>
    <cellStyle name="List Name - IBM Cognos" xfId="46"/>
    <cellStyle name="Locked - IBM Cognos" xfId="47"/>
    <cellStyle name="Measure - IBM Cognos" xfId="48"/>
    <cellStyle name="Measure Header - IBM Cognos" xfId="49"/>
    <cellStyle name="Measure Name - IBM Cognos" xfId="50"/>
    <cellStyle name="Measure Summary - IBM Cognos" xfId="51"/>
    <cellStyle name="Measure Summary TM1 - IBM Cognos" xfId="52"/>
    <cellStyle name="Measure Template - IBM Cognos" xfId="53"/>
    <cellStyle name="Milliers 2" xfId="1"/>
    <cellStyle name="Milliers 3" xfId="2"/>
    <cellStyle name="More - IBM Cognos" xfId="54"/>
    <cellStyle name="Normal" xfId="0" builtinId="0"/>
    <cellStyle name="Normal 2" xfId="3"/>
    <cellStyle name="Normal 3" xfId="4"/>
    <cellStyle name="Pending Change - IBM Cognos" xfId="55"/>
    <cellStyle name="Pourcentage 2" xfId="5"/>
    <cellStyle name="Pourcentage 3" xfId="6"/>
    <cellStyle name="Row Name - IBM Cognos" xfId="56"/>
    <cellStyle name="Row Template - IBM Cognos" xfId="57"/>
    <cellStyle name="Standard_Formset-e" xfId="7"/>
    <cellStyle name="Summary Column Name - IBM Cognos" xfId="58"/>
    <cellStyle name="Summary Column Name TM1 - IBM Cognos" xfId="59"/>
    <cellStyle name="Summary Row Name - IBM Cognos" xfId="60"/>
    <cellStyle name="Summary Row Name TM1 - IBM Cognos" xfId="61"/>
    <cellStyle name="Unsaved Change - IBM Cognos" xfId="62"/>
  </cellStyles>
  <dxfs count="0"/>
  <tableStyles count="0" defaultTableStyle="TableStyleMedium2" defaultPivotStyle="PivotStyleLight16"/>
  <colors>
    <mruColors>
      <color rgb="FFFFFFCC"/>
      <color rgb="FFA6A6A6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160"/>
  <ax:ocxPr ax:name="_ExtentY" ax:value="285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466"/>
  <ax:ocxPr ax:name="_ExtentY" ax:value="900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3181350</xdr:colOff>
          <xdr:row>6</xdr:row>
          <xdr:rowOff>142875</xdr:rowOff>
        </xdr:from>
        <xdr:to>
          <xdr:col>1</xdr:col>
          <xdr:colOff>1524000</xdr:colOff>
          <xdr:row>8</xdr:row>
          <xdr:rowOff>152400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0000" mc:Ignorable="a14" a14:legacySpreadsheetColorIndex="1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</xdr:colOff>
          <xdr:row>20</xdr:row>
          <xdr:rowOff>38100</xdr:rowOff>
        </xdr:from>
        <xdr:to>
          <xdr:col>6</xdr:col>
          <xdr:colOff>1257300</xdr:colOff>
          <xdr:row>21</xdr:row>
          <xdr:rowOff>171450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23131" cy="0"/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90725"/>
          <a:ext cx="23131" cy="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22</xdr:row>
          <xdr:rowOff>142875</xdr:rowOff>
        </xdr:from>
        <xdr:to>
          <xdr:col>1</xdr:col>
          <xdr:colOff>1485900</xdr:colOff>
          <xdr:row>24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0000" mc:Ignorable="a14" a14:legacySpreadsheetColorIndex="1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3200400</xdr:colOff>
          <xdr:row>3</xdr:row>
          <xdr:rowOff>161925</xdr:rowOff>
        </xdr:from>
        <xdr:to>
          <xdr:col>1</xdr:col>
          <xdr:colOff>1333500</xdr:colOff>
          <xdr:row>5</xdr:row>
          <xdr:rowOff>104775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</xdr:row>
          <xdr:rowOff>133350</xdr:rowOff>
        </xdr:from>
        <xdr:to>
          <xdr:col>1</xdr:col>
          <xdr:colOff>1457325</xdr:colOff>
          <xdr:row>17</xdr:row>
          <xdr:rowOff>152400</xdr:rowOff>
        </xdr:to>
        <xdr:sp macro="" textlink="">
          <xdr:nvSpPr>
            <xdr:cNvPr id="1030" name="TIButton4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tabColor theme="9" tint="0.59999389629810485"/>
  </sheetPr>
  <dimension ref="A1:K71"/>
  <sheetViews>
    <sheetView showGridLines="0" tabSelected="1" zoomScale="90" zoomScaleNormal="90" workbookViewId="0">
      <selection activeCell="B1" sqref="B1"/>
    </sheetView>
  </sheetViews>
  <sheetFormatPr defaultColWidth="0" defaultRowHeight="15" zeroHeight="1" x14ac:dyDescent="0.25"/>
  <cols>
    <col min="1" max="1" width="48.140625" customWidth="1"/>
    <col min="2" max="2" width="35.140625" style="65" customWidth="1"/>
    <col min="3" max="3" width="10.28515625" style="65" bestFit="1" customWidth="1"/>
    <col min="4" max="4" width="16.42578125" style="65" customWidth="1"/>
    <col min="5" max="5" width="22.28515625" style="65" customWidth="1"/>
    <col min="6" max="6" width="3.7109375" customWidth="1"/>
    <col min="7" max="8" width="19" customWidth="1"/>
    <col min="9" max="9" width="2.5703125" customWidth="1"/>
    <col min="10" max="10" width="9.85546875" customWidth="1"/>
    <col min="11" max="11" width="10.42578125" style="38" hidden="1" customWidth="1"/>
    <col min="12" max="16384" width="11.42578125" style="38" hidden="1"/>
  </cols>
  <sheetData>
    <row r="1" spans="1:10" x14ac:dyDescent="0.25">
      <c r="A1" s="1" t="s">
        <v>6</v>
      </c>
      <c r="B1" s="66" t="str">
        <f ca="1">_xll.SUBNM("CXMD:Actuality","Actuality","WK2","Description EN")</f>
        <v>WK2 - 2025</v>
      </c>
      <c r="C1" s="46"/>
      <c r="D1" s="46" t="s">
        <v>9</v>
      </c>
      <c r="E1" s="46"/>
      <c r="F1" s="3"/>
      <c r="G1" s="21"/>
      <c r="H1" s="2"/>
      <c r="I1" s="3"/>
      <c r="J1" s="4"/>
    </row>
    <row r="2" spans="1:10" x14ac:dyDescent="0.25">
      <c r="A2" s="5" t="s">
        <v>5</v>
      </c>
      <c r="B2" s="67" t="str">
        <f ca="1">_xll.SUBNM("CXMD:DIM_Origin_Company","","K","Name EN")</f>
        <v>KUHN</v>
      </c>
      <c r="C2" s="47"/>
      <c r="D2" s="47" t="s">
        <v>10</v>
      </c>
      <c r="E2" s="47"/>
      <c r="F2" s="7"/>
      <c r="G2" s="22"/>
      <c r="H2" s="6"/>
      <c r="I2" s="7"/>
      <c r="J2" s="8"/>
    </row>
    <row r="3" spans="1:10" x14ac:dyDescent="0.25">
      <c r="A3" s="5" t="s">
        <v>4</v>
      </c>
      <c r="B3" s="67" t="str">
        <f ca="1">_xll.SUBNM("CXMD:Actuality","","AC2016","Description EN")</f>
        <v>AC2016</v>
      </c>
      <c r="C3" s="48"/>
      <c r="D3" s="48" t="s">
        <v>11</v>
      </c>
      <c r="E3" s="48"/>
      <c r="F3" s="7"/>
      <c r="G3" s="22"/>
      <c r="H3" s="6"/>
      <c r="I3" s="7"/>
      <c r="J3" s="8"/>
    </row>
    <row r="4" spans="1:10" x14ac:dyDescent="0.25">
      <c r="A4" s="5"/>
      <c r="B4" s="67"/>
      <c r="C4" s="48"/>
      <c r="D4" s="49"/>
      <c r="E4" s="49"/>
      <c r="F4" s="7"/>
      <c r="G4" s="22"/>
      <c r="H4" s="6"/>
      <c r="I4" s="7"/>
      <c r="J4" s="8"/>
    </row>
    <row r="5" spans="1:10" x14ac:dyDescent="0.25">
      <c r="A5" s="5"/>
      <c r="B5" s="67"/>
      <c r="C5" s="48"/>
      <c r="D5" s="50" t="s">
        <v>12</v>
      </c>
      <c r="E5" s="50"/>
      <c r="F5" s="7"/>
      <c r="G5" s="22"/>
      <c r="H5" s="6"/>
      <c r="I5" s="7"/>
      <c r="J5" s="8"/>
    </row>
    <row r="6" spans="1:10" x14ac:dyDescent="0.25">
      <c r="A6" s="5"/>
      <c r="B6" s="67"/>
      <c r="C6" s="48"/>
      <c r="D6" s="49"/>
      <c r="E6" s="49"/>
      <c r="F6" s="7"/>
      <c r="G6" s="22"/>
      <c r="H6" s="6"/>
      <c r="I6" s="7"/>
      <c r="J6" s="8"/>
    </row>
    <row r="7" spans="1:10" x14ac:dyDescent="0.25">
      <c r="A7" s="5"/>
      <c r="B7" s="67"/>
      <c r="C7" s="48"/>
      <c r="D7" s="49"/>
      <c r="E7" s="49"/>
      <c r="F7" s="7"/>
      <c r="G7" s="22"/>
      <c r="H7" s="6"/>
      <c r="I7" s="7"/>
      <c r="J7" s="8"/>
    </row>
    <row r="8" spans="1:10" x14ac:dyDescent="0.25">
      <c r="A8" s="5"/>
      <c r="B8" s="67"/>
      <c r="C8" s="48"/>
      <c r="D8" s="47" t="s">
        <v>17</v>
      </c>
      <c r="E8" s="47"/>
      <c r="F8" s="7"/>
      <c r="G8" s="22"/>
      <c r="H8" s="6"/>
      <c r="I8" s="7"/>
      <c r="J8" s="8"/>
    </row>
    <row r="9" spans="1:10" x14ac:dyDescent="0.25">
      <c r="A9" s="5"/>
      <c r="B9" s="67"/>
      <c r="C9" s="48"/>
      <c r="D9" s="49"/>
      <c r="E9" s="49"/>
      <c r="F9" s="7"/>
      <c r="G9" s="22"/>
      <c r="H9" s="6"/>
      <c r="I9" s="7"/>
      <c r="J9" s="8"/>
    </row>
    <row r="10" spans="1:10" ht="6.75" customHeight="1" x14ac:dyDescent="0.25">
      <c r="A10" s="9"/>
      <c r="B10" s="51"/>
      <c r="C10" s="51"/>
      <c r="D10" s="51"/>
      <c r="E10" s="51"/>
      <c r="F10" s="10"/>
      <c r="G10" s="10"/>
      <c r="H10" s="10"/>
      <c r="I10" s="10"/>
      <c r="J10" s="11"/>
    </row>
    <row r="11" spans="1:10" ht="5.25" customHeight="1" x14ac:dyDescent="0.25">
      <c r="A11" s="15"/>
      <c r="B11" s="68"/>
      <c r="C11" s="52"/>
      <c r="D11" s="52"/>
      <c r="E11" s="52"/>
      <c r="F11" s="12"/>
      <c r="G11" s="25"/>
      <c r="H11" s="23"/>
      <c r="I11" s="12"/>
      <c r="J11" s="16"/>
    </row>
    <row r="12" spans="1:10" ht="18.75" x14ac:dyDescent="0.3">
      <c r="A12" s="17" t="s">
        <v>0</v>
      </c>
      <c r="B12" s="69" t="str">
        <f ca="1">_xll.SUBNM("CXMD:DIM_Chart_of_Account","","Profit and Loss","Description EN")</f>
        <v>Profit and Loss</v>
      </c>
      <c r="C12" s="53" t="str">
        <f ca="1">IF(accgroup_alloc="Total Account Group","TOTAL CHART OF ACCOUNT",IF(AND(MID(accgroup_alloc,1,3)&lt;&gt;"0-R",MID(accgroup_alloc,1,3)&lt;&gt;"0-N"),SUBSTITUTE(CONCATENATE("G-",accgroup_alloc)," - EN", ""),SUBSTITUTE(SUBSTITUTE(SUBSTITUTE(accgroup_alloc,"0-N-0","N-0-N-P",1),"0-R-0","R-0-R-P",1)," - EN", "")))</f>
        <v>G-Profit and Loss</v>
      </c>
      <c r="D12" s="54">
        <f ca="1">_xll.ELLEV(A12,accgroup_alloc)</f>
        <v>0</v>
      </c>
      <c r="E12" s="55" t="s">
        <v>14</v>
      </c>
      <c r="F12" s="18"/>
      <c r="G12" s="31"/>
      <c r="H12" s="31"/>
      <c r="I12" s="31"/>
      <c r="J12" s="19"/>
    </row>
    <row r="13" spans="1:10" ht="15" customHeight="1" x14ac:dyDescent="0.25">
      <c r="A13" s="17" t="s">
        <v>1</v>
      </c>
      <c r="B13" s="69" t="str">
        <f ca="1">_xll.SUBNM("CXMD:DIM_Allocation","","Total Allocation","Allocation EN")</f>
        <v>Total Allocation</v>
      </c>
      <c r="C13" s="54"/>
      <c r="D13" s="54"/>
      <c r="E13" s="55" t="s">
        <v>15</v>
      </c>
      <c r="F13" s="13"/>
      <c r="G13" s="32"/>
      <c r="H13" s="37"/>
      <c r="I13" s="36"/>
      <c r="J13" s="19"/>
    </row>
    <row r="14" spans="1:10" ht="3.75" customHeight="1" x14ac:dyDescent="0.25">
      <c r="A14" s="17"/>
      <c r="B14" s="69"/>
      <c r="C14" s="54"/>
      <c r="D14" s="54"/>
      <c r="E14" s="54"/>
      <c r="F14" s="13"/>
      <c r="G14" s="32"/>
      <c r="H14" s="37"/>
      <c r="I14" s="36"/>
      <c r="J14" s="19"/>
    </row>
    <row r="15" spans="1:10" ht="3.75" customHeight="1" x14ac:dyDescent="0.25">
      <c r="A15" s="17"/>
      <c r="B15" s="69"/>
      <c r="C15" s="54"/>
      <c r="D15" s="54"/>
      <c r="E15" s="54"/>
      <c r="F15" s="13"/>
      <c r="G15" s="32"/>
      <c r="H15" s="37"/>
      <c r="I15" s="36"/>
      <c r="J15" s="19"/>
    </row>
    <row r="16" spans="1:10" ht="15" customHeight="1" x14ac:dyDescent="0.25">
      <c r="A16" s="17"/>
      <c r="B16" s="69"/>
      <c r="C16" s="54"/>
      <c r="D16" s="54"/>
      <c r="E16" s="56" t="s">
        <v>16</v>
      </c>
      <c r="F16" s="3"/>
      <c r="G16" s="33"/>
      <c r="H16" s="40"/>
      <c r="I16" s="43"/>
      <c r="J16" s="41"/>
    </row>
    <row r="17" spans="1:10" x14ac:dyDescent="0.25">
      <c r="A17" s="17"/>
      <c r="B17" s="69"/>
      <c r="C17" s="54"/>
      <c r="D17" s="54"/>
      <c r="E17" s="72" t="s">
        <v>7</v>
      </c>
      <c r="F17" s="7"/>
      <c r="G17" s="73">
        <f ca="1">_xll.DBR("CXMD:FTM_DATA_BALANCE_SHEET","Total_Customer_Supplier","Total_Month",$B$1,company_alloc,"TOTAL PRODUCT",$B$12,$B$13,"proposal")</f>
        <v>202713798.83800167</v>
      </c>
      <c r="H17" s="27"/>
      <c r="I17" s="28"/>
      <c r="J17" s="39"/>
    </row>
    <row r="18" spans="1:10" x14ac:dyDescent="0.25">
      <c r="A18" s="17"/>
      <c r="B18" s="69"/>
      <c r="C18" s="54"/>
      <c r="D18" s="54"/>
      <c r="E18" s="57" t="s">
        <v>19</v>
      </c>
      <c r="F18" s="7"/>
      <c r="G18" s="27">
        <f ca="1">_xll.DBR("CXMD:FTM_DATA_BALANCE_SHEET","Total_Customer_Supplier","Total_Month",$B$1,company_alloc,"TOTAL PRODUCT",$B$12,$B$13,"Amount_Basis_Calculation")</f>
        <v>665606819.84715986</v>
      </c>
      <c r="H18" s="27"/>
      <c r="I18" s="28"/>
      <c r="J18" s="39"/>
    </row>
    <row r="19" spans="1:10" ht="7.5" customHeight="1" x14ac:dyDescent="0.25">
      <c r="A19" s="17"/>
      <c r="B19" s="69"/>
      <c r="C19" s="54"/>
      <c r="D19" s="54"/>
      <c r="E19" s="27"/>
      <c r="F19" s="27"/>
      <c r="G19" s="27"/>
      <c r="H19" s="27"/>
      <c r="I19" s="28"/>
      <c r="J19" s="39"/>
    </row>
    <row r="20" spans="1:10" x14ac:dyDescent="0.25">
      <c r="A20" s="17"/>
      <c r="B20" s="69"/>
      <c r="C20" s="54"/>
      <c r="D20" s="54"/>
      <c r="E20" s="57" t="s">
        <v>8</v>
      </c>
      <c r="F20" s="7"/>
      <c r="G20" s="26">
        <v>0</v>
      </c>
      <c r="H20" s="29"/>
      <c r="I20" s="28"/>
      <c r="J20" s="39"/>
    </row>
    <row r="21" spans="1:10" x14ac:dyDescent="0.25">
      <c r="A21" s="17" t="s">
        <v>18</v>
      </c>
      <c r="B21" s="69" t="str">
        <f ca="1">_xll.SUBNM("CXMD:Amount_Prev_Balance_Sheet","Percentage_Type","increase%","")</f>
        <v>increase%</v>
      </c>
      <c r="C21" s="54"/>
      <c r="D21" s="54"/>
      <c r="E21" s="58"/>
      <c r="F21" s="7"/>
      <c r="G21" s="29"/>
      <c r="H21" s="27"/>
      <c r="I21" s="28"/>
      <c r="J21" s="39"/>
    </row>
    <row r="22" spans="1:10" ht="15" customHeight="1" x14ac:dyDescent="0.25">
      <c r="A22" s="17" t="s">
        <v>3</v>
      </c>
      <c r="B22" s="71">
        <v>0</v>
      </c>
      <c r="C22" s="59" t="s">
        <v>2</v>
      </c>
      <c r="D22" s="54"/>
      <c r="E22" s="58"/>
      <c r="F22" s="7"/>
      <c r="G22" s="29"/>
      <c r="H22" s="27"/>
      <c r="I22" s="28"/>
      <c r="J22" s="39"/>
    </row>
    <row r="23" spans="1:10" ht="18.75" customHeight="1" x14ac:dyDescent="0.25">
      <c r="A23" s="30"/>
      <c r="B23" s="69"/>
      <c r="C23" s="60"/>
      <c r="D23" s="54"/>
      <c r="E23" s="61" t="s">
        <v>13</v>
      </c>
      <c r="F23" s="7"/>
      <c r="G23" s="45">
        <f ca="1">IF(AND(G20&lt;&gt;0,G18&lt;&gt;0),((G20/G18)-1),0)</f>
        <v>0</v>
      </c>
      <c r="H23" s="27"/>
      <c r="I23" s="28"/>
      <c r="J23" s="39"/>
    </row>
    <row r="24" spans="1:10" ht="12" customHeight="1" x14ac:dyDescent="0.25">
      <c r="A24" s="30"/>
      <c r="B24" s="69"/>
      <c r="C24" s="60"/>
      <c r="D24" s="54"/>
      <c r="E24" s="62"/>
      <c r="F24" s="34"/>
      <c r="G24" s="35"/>
      <c r="H24" s="42"/>
      <c r="I24" s="44"/>
      <c r="J24" s="11"/>
    </row>
    <row r="25" spans="1:10" ht="21" customHeight="1" x14ac:dyDescent="0.25">
      <c r="A25" s="24"/>
      <c r="B25" s="70"/>
      <c r="C25" s="63"/>
      <c r="D25" s="64"/>
      <c r="E25" s="64"/>
      <c r="F25" s="14"/>
      <c r="G25" s="14"/>
      <c r="H25" s="14"/>
      <c r="I25" s="14"/>
      <c r="J25" s="20"/>
    </row>
    <row r="26" spans="1:10" hidden="1" x14ac:dyDescent="0.25"/>
    <row r="27" spans="1:10" hidden="1" x14ac:dyDescent="0.25"/>
    <row r="28" spans="1:10" hidden="1" x14ac:dyDescent="0.25"/>
    <row r="29" spans="1:10" hidden="1" x14ac:dyDescent="0.25"/>
    <row r="30" spans="1:10" hidden="1" x14ac:dyDescent="0.25"/>
    <row r="31" spans="1:10" hidden="1" x14ac:dyDescent="0.25"/>
    <row r="32" spans="1:10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TIButton4">
          <controlPr defaultSize="0" print="0" autoLine="0" autoPict="0" r:id="rId5">
            <anchor moveWithCells="1">
              <from>
                <xdr:col>1</xdr:col>
                <xdr:colOff>38100</xdr:colOff>
                <xdr:row>15</xdr:row>
                <xdr:rowOff>133350</xdr:rowOff>
              </from>
              <to>
                <xdr:col>1</xdr:col>
                <xdr:colOff>1457325</xdr:colOff>
                <xdr:row>17</xdr:row>
                <xdr:rowOff>152400</xdr:rowOff>
              </to>
            </anchor>
          </controlPr>
        </control>
      </mc:Choice>
      <mc:Fallback>
        <control shapeId="1030" r:id="rId4" name="TIButton4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r:id="rId7">
            <anchor moveWithCells="1" sizeWithCells="1">
              <from>
                <xdr:col>0</xdr:col>
                <xdr:colOff>3181350</xdr:colOff>
                <xdr:row>6</xdr:row>
                <xdr:rowOff>142875</xdr:rowOff>
              </from>
              <to>
                <xdr:col>1</xdr:col>
                <xdr:colOff>1524000</xdr:colOff>
                <xdr:row>8</xdr:row>
                <xdr:rowOff>152400</xdr:rowOff>
              </to>
            </anchor>
          </controlPr>
        </control>
      </mc:Choice>
      <mc:Fallback>
        <control shapeId="1025" r:id="rId6" name="TIButton1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autoPict="0" r:id="rId9">
            <anchor moveWithCells="1" sizeWithCells="1">
              <from>
                <xdr:col>6</xdr:col>
                <xdr:colOff>9525</xdr:colOff>
                <xdr:row>20</xdr:row>
                <xdr:rowOff>38100</xdr:rowOff>
              </from>
              <to>
                <xdr:col>6</xdr:col>
                <xdr:colOff>1257300</xdr:colOff>
                <xdr:row>21</xdr:row>
                <xdr:rowOff>171450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autoPict="0" r:id="rId11">
            <anchor moveWithCells="1" sizeWithCells="1">
              <from>
                <xdr:col>1</xdr:col>
                <xdr:colOff>0</xdr:colOff>
                <xdr:row>22</xdr:row>
                <xdr:rowOff>142875</xdr:rowOff>
              </from>
              <to>
                <xdr:col>1</xdr:col>
                <xdr:colOff>1485900</xdr:colOff>
                <xdr:row>24</xdr:row>
                <xdr:rowOff>114300</xdr:rowOff>
              </to>
            </anchor>
          </controlPr>
        </control>
      </mc:Choice>
      <mc:Fallback>
        <control shapeId="1027" r:id="rId10" name="TIButton3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autoPict="0" r:id="rId13">
            <anchor moveWithCells="1">
              <from>
                <xdr:col>0</xdr:col>
                <xdr:colOff>3200400</xdr:colOff>
                <xdr:row>3</xdr:row>
                <xdr:rowOff>161925</xdr:rowOff>
              </from>
              <to>
                <xdr:col>1</xdr:col>
                <xdr:colOff>1333500</xdr:colOff>
                <xdr:row>5</xdr:row>
                <xdr:rowOff>104775</xdr:rowOff>
              </to>
            </anchor>
          </controlPr>
        </control>
      </mc:Choice>
      <mc:Fallback>
        <control shapeId="1029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Adjustment by Account Group</vt:lpstr>
      <vt:lpstr>accgroup_alloc</vt:lpstr>
      <vt:lpstr>budget_actuality_alloc</vt:lpstr>
      <vt:lpstr>chart_account</vt:lpstr>
      <vt:lpstr>company_alloc</vt:lpstr>
      <vt:lpstr>destination_alloc</vt:lpstr>
      <vt:lpstr>pcorrection</vt:lpstr>
      <vt:lpstr>Percentage_Type</vt:lpstr>
      <vt:lpstr>pmonthfrom</vt:lpstr>
      <vt:lpstr>pmonthto</vt:lpstr>
      <vt:lpstr>reference_actuality_alloc</vt:lpstr>
      <vt:lpstr>variance_alloc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2014-05-14T08:37:20Z</dcterms:created>
  <dcterms:modified xsi:type="dcterms:W3CDTF">2024-09-23T12:04:35Z</dcterms:modified>
</cp:coreProperties>
</file>