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46\"/>
    </mc:Choice>
  </mc:AlternateContent>
  <bookViews>
    <workbookView xWindow="120" yWindow="390" windowWidth="11880" windowHeight="5385"/>
  </bookViews>
  <sheets>
    <sheet name="P&amp;L " sheetId="2" r:id="rId1"/>
  </sheets>
  <definedNames>
    <definedName name="budget_actuality">'P&amp;L '!$D$8</definedName>
    <definedName name="company">'P&amp;L '!$D$6</definedName>
    <definedName name="ID" localSheetId="0" hidden="1">"5fe050a2-7ef3-4d52-b027-9f37b19b3189"</definedName>
    <definedName name="ori">'P&amp;L '!$D$7</definedName>
    <definedName name="reference_actuality">'P&amp;L '!$E$8</definedName>
    <definedName name="TM1REBUILDOPTION">1</definedName>
  </definedNames>
  <calcPr calcId="162913" calcMode="manual" concurrentCalc="0"/>
</workbook>
</file>

<file path=xl/calcChain.xml><?xml version="1.0" encoding="utf-8"?>
<calcChain xmlns="http://schemas.openxmlformats.org/spreadsheetml/2006/main">
  <c r="D7" i="2" l="1"/>
  <c r="E8" i="2"/>
  <c r="E16" i="2"/>
  <c r="D8" i="2"/>
  <c r="D16" i="2"/>
  <c r="D9" i="2"/>
  <c r="D10" i="2"/>
  <c r="D11" i="2"/>
  <c r="D12" i="2"/>
  <c r="D14" i="2"/>
  <c r="D20" i="2"/>
  <c r="D22" i="2"/>
  <c r="D24" i="2"/>
  <c r="D15" i="2"/>
  <c r="D25" i="2"/>
  <c r="D26" i="2"/>
  <c r="D28" i="2"/>
  <c r="D29" i="2"/>
  <c r="D30" i="2"/>
  <c r="D27" i="2"/>
  <c r="E9" i="2"/>
  <c r="E10" i="2"/>
  <c r="E11" i="2"/>
  <c r="E12" i="2"/>
  <c r="E14" i="2"/>
  <c r="E20" i="2"/>
  <c r="E22" i="2"/>
  <c r="E24" i="2"/>
  <c r="E15" i="2"/>
  <c r="E25" i="2"/>
  <c r="E26" i="2"/>
  <c r="E28" i="2"/>
  <c r="E29" i="2"/>
  <c r="E30" i="2"/>
  <c r="E27" i="2"/>
  <c r="D23" i="2"/>
  <c r="E23" i="2"/>
  <c r="E21" i="2"/>
  <c r="D21" i="2"/>
  <c r="E18" i="2"/>
  <c r="E19" i="2"/>
  <c r="D18" i="2"/>
  <c r="D19" i="2"/>
  <c r="E17" i="2"/>
  <c r="D17" i="2"/>
</calcChain>
</file>

<file path=xl/sharedStrings.xml><?xml version="1.0" encoding="utf-8"?>
<sst xmlns="http://schemas.openxmlformats.org/spreadsheetml/2006/main" count="23" uniqueCount="19">
  <si>
    <t>G - 309000 - NET SALES</t>
  </si>
  <si>
    <t>G - 319000 - NET VARIATION OF STOCK</t>
  </si>
  <si>
    <t>G - 339000 - OPERATING INCOME</t>
  </si>
  <si>
    <t>G - 415000 - MATERIAL &amp; OUTSIDE COSTS</t>
  </si>
  <si>
    <t>G - 439000 - PERSONNEL COSTS</t>
  </si>
  <si>
    <t>G - 459000 - OTHER EXPENSES</t>
  </si>
  <si>
    <t>G - 479000 - DEPREC. PROV.</t>
  </si>
  <si>
    <t>Ebit without Managment fees</t>
  </si>
  <si>
    <t>G - 429999 - GROSS MARGIN</t>
  </si>
  <si>
    <t>Local Currency</t>
  </si>
  <si>
    <t>in % of corporate output</t>
  </si>
  <si>
    <t>REVENUE</t>
  </si>
  <si>
    <t>G - 453900 - FX GAIN/LOSS</t>
  </si>
  <si>
    <t>G - 452000 - VARIATION OF PROVISIONS</t>
  </si>
  <si>
    <t>G-329000 Corporate output</t>
  </si>
  <si>
    <t>Origin Company</t>
  </si>
  <si>
    <t>G - 569199 - OTHER INCOME/EXPENSES</t>
  </si>
  <si>
    <t>Ebit including Managment fees</t>
  </si>
  <si>
    <t>% of 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</si>
</sst>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indexed="8"/>
      <name val="Helv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FF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</cellStyleXfs>
  <cellXfs count="57">
    <xf numFmtId="0" fontId="0" fillId="0" borderId="0" xfId="0"/>
    <xf numFmtId="0" fontId="0" fillId="7" borderId="0" xfId="0" applyFill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1" xfId="0" quotePrefix="1" applyFill="1" applyBorder="1"/>
    <xf numFmtId="0" fontId="1" fillId="6" borderId="1" xfId="0" applyFont="1" applyFill="1" applyBorder="1"/>
    <xf numFmtId="0" fontId="0" fillId="7" borderId="2" xfId="0" applyFill="1" applyBorder="1"/>
    <xf numFmtId="0" fontId="0" fillId="7" borderId="9" xfId="0" applyFill="1" applyBorder="1"/>
    <xf numFmtId="0" fontId="0" fillId="7" borderId="5" xfId="0" applyFill="1" applyBorder="1"/>
    <xf numFmtId="0" fontId="0" fillId="7" borderId="3" xfId="0" applyFill="1" applyBorder="1"/>
    <xf numFmtId="0" fontId="0" fillId="7" borderId="0" xfId="0" applyFill="1" applyBorder="1"/>
    <xf numFmtId="0" fontId="0" fillId="7" borderId="6" xfId="0" applyFill="1" applyBorder="1"/>
    <xf numFmtId="0" fontId="0" fillId="7" borderId="4" xfId="0" applyFill="1" applyBorder="1"/>
    <xf numFmtId="0" fontId="0" fillId="7" borderId="10" xfId="0" applyFill="1" applyBorder="1"/>
    <xf numFmtId="0" fontId="0" fillId="7" borderId="11" xfId="0" applyFill="1" applyBorder="1"/>
    <xf numFmtId="0" fontId="7" fillId="7" borderId="0" xfId="0" applyFont="1" applyFill="1"/>
    <xf numFmtId="0" fontId="8" fillId="2" borderId="1" xfId="0" applyFont="1" applyFill="1" applyBorder="1"/>
    <xf numFmtId="0" fontId="7" fillId="0" borderId="0" xfId="0" applyFont="1"/>
    <xf numFmtId="0" fontId="1" fillId="2" borderId="1" xfId="0" applyFont="1" applyFill="1" applyBorder="1" applyAlignment="1">
      <alignment horizontal="center"/>
    </xf>
    <xf numFmtId="0" fontId="0" fillId="8" borderId="2" xfId="0" applyFill="1" applyBorder="1"/>
    <xf numFmtId="0" fontId="0" fillId="8" borderId="9" xfId="0" applyFill="1" applyBorder="1"/>
    <xf numFmtId="0" fontId="0" fillId="0" borderId="9" xfId="0" applyBorder="1"/>
    <xf numFmtId="3" fontId="8" fillId="2" borderId="3" xfId="0" applyNumberFormat="1" applyFont="1" applyFill="1" applyBorder="1"/>
    <xf numFmtId="3" fontId="1" fillId="2" borderId="3" xfId="0" applyNumberFormat="1" applyFont="1" applyFill="1" applyBorder="1"/>
    <xf numFmtId="165" fontId="0" fillId="3" borderId="3" xfId="1" applyNumberFormat="1" applyFont="1" applyFill="1" applyBorder="1"/>
    <xf numFmtId="3" fontId="1" fillId="6" borderId="3" xfId="0" applyNumberFormat="1" applyFont="1" applyFill="1" applyBorder="1"/>
    <xf numFmtId="165" fontId="0" fillId="6" borderId="3" xfId="1" applyNumberFormat="1" applyFont="1" applyFill="1" applyBorder="1"/>
    <xf numFmtId="165" fontId="0" fillId="4" borderId="3" xfId="0" applyNumberFormat="1" applyFill="1" applyBorder="1"/>
    <xf numFmtId="165" fontId="0" fillId="5" borderId="3" xfId="1" applyNumberFormat="1" applyFont="1" applyFill="1" applyBorder="1"/>
    <xf numFmtId="0" fontId="6" fillId="9" borderId="3" xfId="0" applyFont="1" applyFill="1" applyBorder="1"/>
    <xf numFmtId="0" fontId="6" fillId="9" borderId="4" xfId="0" applyFont="1" applyFill="1" applyBorder="1"/>
    <xf numFmtId="0" fontId="0" fillId="9" borderId="10" xfId="0" applyFill="1" applyBorder="1"/>
    <xf numFmtId="0" fontId="10" fillId="9" borderId="0" xfId="0" applyFont="1" applyFill="1" applyBorder="1"/>
    <xf numFmtId="3" fontId="11" fillId="3" borderId="3" xfId="0" applyNumberFormat="1" applyFont="1" applyFill="1" applyBorder="1"/>
    <xf numFmtId="3" fontId="11" fillId="4" borderId="3" xfId="0" applyNumberFormat="1" applyFont="1" applyFill="1" applyBorder="1"/>
    <xf numFmtId="3" fontId="11" fillId="5" borderId="3" xfId="0" applyNumberFormat="1" applyFont="1" applyFill="1" applyBorder="1"/>
    <xf numFmtId="0" fontId="11" fillId="4" borderId="1" xfId="0" applyFont="1" applyFill="1" applyBorder="1"/>
    <xf numFmtId="0" fontId="11" fillId="3" borderId="1" xfId="0" applyFont="1" applyFill="1" applyBorder="1"/>
    <xf numFmtId="0" fontId="11" fillId="5" borderId="1" xfId="0" applyFont="1" applyFill="1" applyBorder="1"/>
    <xf numFmtId="0" fontId="9" fillId="9" borderId="0" xfId="0" applyFont="1" applyFill="1" applyBorder="1" applyAlignment="1">
      <alignment horizontal="left"/>
    </xf>
    <xf numFmtId="0" fontId="0" fillId="10" borderId="1" xfId="0" applyFill="1" applyBorder="1"/>
    <xf numFmtId="3" fontId="0" fillId="10" borderId="13" xfId="0" applyNumberFormat="1" applyFill="1" applyBorder="1"/>
    <xf numFmtId="3" fontId="0" fillId="10" borderId="3" xfId="0" applyNumberFormat="1" applyFill="1" applyBorder="1"/>
    <xf numFmtId="0" fontId="1" fillId="10" borderId="1" xfId="0" applyFont="1" applyFill="1" applyBorder="1" applyAlignment="1">
      <alignment horizontal="left"/>
    </xf>
    <xf numFmtId="3" fontId="1" fillId="10" borderId="3" xfId="0" applyNumberFormat="1" applyFont="1" applyFill="1" applyBorder="1"/>
    <xf numFmtId="3" fontId="11" fillId="10" borderId="3" xfId="0" applyNumberFormat="1" applyFont="1" applyFill="1" applyBorder="1"/>
    <xf numFmtId="0" fontId="12" fillId="9" borderId="7" xfId="0" applyFont="1" applyFill="1" applyBorder="1"/>
    <xf numFmtId="0" fontId="13" fillId="9" borderId="12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1" fillId="10" borderId="1" xfId="0" applyFont="1" applyFill="1" applyBorder="1"/>
    <xf numFmtId="0" fontId="4" fillId="11" borderId="1" xfId="2" applyFont="1" applyFill="1" applyBorder="1" applyProtection="1">
      <protection hidden="1"/>
    </xf>
    <xf numFmtId="0" fontId="4" fillId="11" borderId="4" xfId="2" applyFont="1" applyFill="1" applyBorder="1" applyProtection="1">
      <protection hidden="1"/>
    </xf>
    <xf numFmtId="3" fontId="4" fillId="11" borderId="3" xfId="2" applyNumberFormat="1" applyFont="1" applyFill="1" applyBorder="1" applyProtection="1">
      <protection hidden="1"/>
    </xf>
    <xf numFmtId="165" fontId="4" fillId="11" borderId="3" xfId="2" applyNumberFormat="1" applyFont="1" applyFill="1" applyBorder="1" applyProtection="1">
      <protection hidden="1"/>
    </xf>
    <xf numFmtId="165" fontId="4" fillId="11" borderId="4" xfId="2" applyNumberFormat="1" applyFont="1" applyFill="1" applyBorder="1" applyProtection="1">
      <protection hidden="1"/>
    </xf>
    <xf numFmtId="0" fontId="14" fillId="9" borderId="10" xfId="0" applyFont="1" applyFill="1" applyBorder="1" applyAlignment="1">
      <alignment horizontal="left"/>
    </xf>
  </cellXfs>
  <cellStyles count="9">
    <cellStyle name="Milliers 2" xfId="4"/>
    <cellStyle name="Milliers 3" xfId="3"/>
    <cellStyle name="Normal" xfId="0" builtinId="0"/>
    <cellStyle name="Normal 2" xfId="5"/>
    <cellStyle name="Normal 3" xfId="2"/>
    <cellStyle name="Percent" xfId="1" builtinId="5"/>
    <cellStyle name="Pourcentage 2" xfId="6"/>
    <cellStyle name="Pourcentage 3" xfId="7"/>
    <cellStyle name="Standard_Formset-e" xfId="8"/>
  </cellStyles>
  <dxfs count="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99"/>
      <color rgb="FF99CCFF"/>
      <color rgb="FF00FF00"/>
      <color rgb="FF66FF33"/>
      <color rgb="FFCCFF99"/>
      <color rgb="FFFFFF99"/>
      <color rgb="FFCCFFFF"/>
      <color rgb="FFFFCC99"/>
      <color rgb="FFCCFFCC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theme="9" tint="0.59999389629810485"/>
  </sheetPr>
  <dimension ref="A1:J32"/>
  <sheetViews>
    <sheetView showGridLines="0" tabSelected="1" topLeftCell="C6" zoomScale="90" zoomScaleNormal="90" workbookViewId="0">
      <selection activeCell="D7" sqref="D7"/>
    </sheetView>
  </sheetViews>
  <sheetFormatPr defaultColWidth="0" defaultRowHeight="15" zeroHeight="1" x14ac:dyDescent="0.25"/>
  <cols>
    <col min="1" max="2" width="11.42578125" style="1" hidden="1" customWidth="1"/>
    <col min="3" max="3" width="57.85546875" customWidth="1"/>
    <col min="4" max="5" width="31.7109375" customWidth="1"/>
    <col min="6" max="6" width="11" hidden="1" customWidth="1"/>
    <col min="7" max="8" width="0" hidden="1" customWidth="1"/>
    <col min="9" max="9" width="11" hidden="1" customWidth="1"/>
    <col min="10" max="10" width="0" hidden="1" customWidth="1"/>
    <col min="11" max="16384" width="11.42578125" hidden="1"/>
  </cols>
  <sheetData>
    <row r="1" spans="1:5" hidden="1" x14ac:dyDescent="0.25">
      <c r="C1" s="7"/>
      <c r="D1" s="8"/>
      <c r="E1" s="8"/>
    </row>
    <row r="2" spans="1:5" hidden="1" x14ac:dyDescent="0.25">
      <c r="C2" s="7"/>
      <c r="D2" s="22"/>
      <c r="E2" s="9"/>
    </row>
    <row r="3" spans="1:5" hidden="1" x14ac:dyDescent="0.25">
      <c r="C3" s="10"/>
      <c r="D3" s="11"/>
      <c r="E3" s="12"/>
    </row>
    <row r="4" spans="1:5" hidden="1" x14ac:dyDescent="0.25">
      <c r="C4" s="13"/>
      <c r="D4" s="14"/>
      <c r="E4" s="15"/>
    </row>
    <row r="5" spans="1:5" hidden="1" x14ac:dyDescent="0.25">
      <c r="C5" s="20"/>
      <c r="D5" s="21"/>
      <c r="E5" s="21"/>
    </row>
    <row r="6" spans="1:5" ht="21" x14ac:dyDescent="0.35">
      <c r="C6" s="30"/>
      <c r="D6" s="40"/>
      <c r="E6" s="33"/>
    </row>
    <row r="7" spans="1:5" ht="21" x14ac:dyDescent="0.35">
      <c r="C7" s="31" t="s">
        <v>15</v>
      </c>
      <c r="D7" s="56" t="str">
        <f ca="1">_xll.SUBNM("CXMD:DIM_Origin_Company","","Y","Name EN")</f>
        <v>SILVA</v>
      </c>
      <c r="E7" s="32"/>
    </row>
    <row r="8" spans="1:5" ht="24" thickBot="1" x14ac:dyDescent="0.3">
      <c r="C8" s="47" t="s">
        <v>9</v>
      </c>
      <c r="D8" s="48" t="str">
        <f ca="1">_xll.SUBNM("CXMD:Actuality","","AC2022","Description EN")</f>
        <v>AC2022</v>
      </c>
      <c r="E8" s="49" t="str">
        <f ca="1">_xll.SUBNM("CXMD:Actuality","","AC2023","Description EN")</f>
        <v>AC2023</v>
      </c>
    </row>
    <row r="9" spans="1:5" x14ac:dyDescent="0.25">
      <c r="C9" s="41" t="s">
        <v>0</v>
      </c>
      <c r="D9" s="42">
        <f ca="1">(_xll.DBR("CXMD:FTM_DATA_BALANCE_SHEET","Total_Customer_Supplier","Total_Month",D8,ori,"TOTAL PRODUCT","B-300010","Total Allocation","Amount_BS")*-1)/1000</f>
        <v>0</v>
      </c>
      <c r="E9" s="42">
        <f ca="1">(_xll.DBR("CXMD:FTM_DATA_BALANCE_SHEET","Total_Customer_Supplier","Total_Month",E8,ori,"TOTAL PRODUCT","B-300010","Total Allocation","Amount_BS")*-1)/1000</f>
        <v>0</v>
      </c>
    </row>
    <row r="10" spans="1:5" x14ac:dyDescent="0.25">
      <c r="C10" s="41" t="s">
        <v>1</v>
      </c>
      <c r="D10" s="43">
        <f ca="1">(_xll.DBR("CXMD:FTM_DATA_BALANCE_SHEET","Total_Customer_Supplier","Total_Month",D8,ori,"TOTAL PRODUCT","B-310010","Total Allocation","Amount_BS")*-1)/1000</f>
        <v>0</v>
      </c>
      <c r="E10" s="43">
        <f ca="1">(_xll.DBR("CXMD:FTM_DATA_BALANCE_SHEET","Total_Customer_Supplier","Total_Month",E8,ori,"TOTAL PRODUCT","B-310010","Total Allocation","Amount_BS")*-1)/1000</f>
        <v>0</v>
      </c>
    </row>
    <row r="11" spans="1:5" s="18" customFormat="1" ht="18.75" x14ac:dyDescent="0.3">
      <c r="A11" s="16"/>
      <c r="B11" s="16"/>
      <c r="C11" s="17" t="s">
        <v>14</v>
      </c>
      <c r="D11" s="23">
        <f ca="1">D10+D9</f>
        <v>0</v>
      </c>
      <c r="E11" s="23">
        <f ca="1">E10+E9</f>
        <v>0</v>
      </c>
    </row>
    <row r="12" spans="1:5" x14ac:dyDescent="0.25">
      <c r="C12" s="41" t="s">
        <v>2</v>
      </c>
      <c r="D12" s="43">
        <f ca="1">(_xll.DBR("CXMD:FTM_DATA_BALANCE_SHEET","Total_Customer_Supplier","Total_Month",D8,ori,"TOTAL PRODUCT","B-330010","Total Allocation","Amount_BS")*-1)/1000</f>
        <v>30</v>
      </c>
      <c r="E12" s="43">
        <f ca="1">(_xll.DBR("CXMD:FTM_DATA_BALANCE_SHEET","Total_Customer_Supplier","Total_Month",E8,ori,"TOTAL PRODUCT","B-330010","Total Allocation","Amount_BS")*-1)/1000</f>
        <v>30</v>
      </c>
    </row>
    <row r="13" spans="1:5" x14ac:dyDescent="0.25">
      <c r="C13" s="41"/>
      <c r="D13" s="43"/>
      <c r="E13" s="43"/>
    </row>
    <row r="14" spans="1:5" x14ac:dyDescent="0.25">
      <c r="C14" s="19" t="s">
        <v>11</v>
      </c>
      <c r="D14" s="24">
        <f ca="1">D11+D12</f>
        <v>30</v>
      </c>
      <c r="E14" s="24">
        <f ca="1">E11+E12</f>
        <v>30</v>
      </c>
    </row>
    <row r="15" spans="1:5" x14ac:dyDescent="0.25">
      <c r="C15" s="44" t="s">
        <v>13</v>
      </c>
      <c r="D15" s="45">
        <f ca="1">((_xll.DBR("CXMD:FTM_DATA_BALANCE_SHEET","Total_Customer_Supplier","Total_Month",D8,ori,"TOTAL PRODUCT","B-452010","Total Allocation","Amount_BS")+_xll.DBR("CXMD:FTM_DATA_BALANCE_SHEET","Total_Customer_Supplier","Total_Month",D8,ori,"TOTAL PRODUCT","B-452210","Total Allocation","Amount_BS")))/1000</f>
        <v>0</v>
      </c>
      <c r="E15" s="45">
        <f ca="1">((_xll.DBR("CXMD:FTM_DATA_BALANCE_SHEET","Total_Customer_Supplier","Total_Month",E8,ori,"TOTAL PRODUCT","B-452010","Total Allocation","Amount_BS")+_xll.DBR("CXMD:FTM_DATA_BALANCE_SHEET","Total_Customer_Supplier","Total_Month",E8,ori,"TOTAL PRODUCT","B-452210","Total Allocation","Amount_BS")))/1000</f>
        <v>0</v>
      </c>
    </row>
    <row r="16" spans="1:5" x14ac:dyDescent="0.25">
      <c r="C16" s="38" t="s">
        <v>3</v>
      </c>
      <c r="D16" s="34">
        <f ca="1">(_xll.DBR("CXMD:FTM_DATA_BALANCE_SHEET","Total_Customer_Supplier","Total_Month",D8,ori,"TOTAL PRODUCT","B-401010","Total Allocation","Amount_BS")+_xll.DBR("CXMD:FTM_DATA_BALANCE_SHEET","Total_Customer_Supplier","Total_Month",D8,ori,"TOTAL PRODUCT","B-402110","Total Allocation","Amount_BS")+_xll.DBR("CXMD:FTM_DATA_BALANCE_SHEET","Total_Customer_Supplier","Total_Month",D8,ori,"TOTAL PRODUCT","B-402111","Total Allocation","Amount_BS")+_xll.DBR("CXMD:FTM_DATA_BALANCE_SHEET","Total_Customer_Supplier","Total_Month",D8,ori,"TOTAL PRODUCT","B-407010","Total Allocation","Amount_BS"))/1000</f>
        <v>0</v>
      </c>
      <c r="E16" s="34">
        <f ca="1">(_xll.DBR("CXMD:FTM_DATA_BALANCE_SHEET","Total_Customer_Supplier","Total_Month",E8,ori,"TOTAL PRODUCT","B-401010","Total Allocation","Amount_BS")+_xll.DBR("CXMD:FTM_DATA_BALANCE_SHEET","Total_Customer_Supplier","Total_Month",E8,ori,"TOTAL PRODUCT","B-402110","Total Allocation","Amount_BS")+_xll.DBR("CXMD:FTM_DATA_BALANCE_SHEET","Total_Customer_Supplier","Total_Month",E8,ori,"TOTAL PRODUCT","B-402111","Total Allocation","Amount_BS")+_xll.DBR("CXMD:FTM_DATA_BALANCE_SHEET","Total_Customer_Supplier","Total_Month",E8,ori,"TOTAL PRODUCT","B-407010","Total Allocation","Amount_BS"))/1000</f>
        <v>0</v>
      </c>
    </row>
    <row r="17" spans="3:5" x14ac:dyDescent="0.25">
      <c r="C17" s="5" t="s">
        <v>10</v>
      </c>
      <c r="D17" s="25">
        <f ca="1">IF($D$11=0,0,D16/$D$11)</f>
        <v>0</v>
      </c>
      <c r="E17" s="25">
        <f ca="1">IF($D$11=0,0,E16/$D$11)</f>
        <v>0</v>
      </c>
    </row>
    <row r="18" spans="3:5" x14ac:dyDescent="0.25">
      <c r="C18" s="6" t="s">
        <v>8</v>
      </c>
      <c r="D18" s="26">
        <f ca="1">D14-D16</f>
        <v>30</v>
      </c>
      <c r="E18" s="26">
        <f ca="1">E14-E16</f>
        <v>30</v>
      </c>
    </row>
    <row r="19" spans="3:5" x14ac:dyDescent="0.25">
      <c r="C19" s="2" t="s">
        <v>10</v>
      </c>
      <c r="D19" s="27">
        <f ca="1">IF($D$11=0,0,D18/$D$11)</f>
        <v>0</v>
      </c>
      <c r="E19" s="27">
        <f ca="1">IF($D$11=0,0,E18/$D$11)</f>
        <v>0</v>
      </c>
    </row>
    <row r="20" spans="3:5" x14ac:dyDescent="0.25">
      <c r="C20" s="37" t="s">
        <v>4</v>
      </c>
      <c r="D20" s="35">
        <f ca="1">(_xll.DBR("CXMD:FTM_DATA_BALANCE_SHEET","Total_Customer_Supplier","Total_Month",D8,ori,"TOTAL PRODUCT","B-430010","Total Allocation","Amount_BS")+_xll.DBR("CXMD:FTM_DATA_BALANCE_SHEET","Total_Customer_Supplier","Total_Month",D8,ori,"TOTAL PRODUCT","B-430040","Total Allocation","Amount_BS")+_xll.DBR("CXMD:FTM_DATA_BALANCE_SHEET","Total_Customer_Supplier","Total_Month",D8,ori,"TOTAL PRODUCT","B-431040","Total Allocation","Amount_BS")+_xll.DBR("CXMD:FTM_DATA_BALANCE_SHEET","Total_Customer_Supplier","Total_Month",D8,ori,"TOTAL PRODUCT","B-437010","Total Allocation","Amount_BS")+_xll.DBR("CXMD:FTM_DATA_BALANCE_SHEET","Total_Customer_Supplier","Total_Month",D8,ori,"TOTAL PRODUCT","B-438010","Total Allocation","Amount_BS"))/1000</f>
        <v>0</v>
      </c>
      <c r="E20" s="35">
        <f ca="1">(_xll.DBR("CXMD:FTM_DATA_BALANCE_SHEET","Total_Customer_Supplier","Total_Month",E8,ori,"TOTAL PRODUCT","B-430010","Total Allocation","Amount_BS")+_xll.DBR("CXMD:FTM_DATA_BALANCE_SHEET","Total_Customer_Supplier","Total_Month",E8,ori,"TOTAL PRODUCT","B-430040","Total Allocation","Amount_BS")+_xll.DBR("CXMD:FTM_DATA_BALANCE_SHEET","Total_Customer_Supplier","Total_Month",E8,ori,"TOTAL PRODUCT","B-431040","Total Allocation","Amount_BS")+_xll.DBR("CXMD:FTM_DATA_BALANCE_SHEET","Total_Customer_Supplier","Total_Month",E8,ori,"TOTAL PRODUCT","B-437010","Total Allocation","Amount_BS")+_xll.DBR("CXMD:FTM_DATA_BALANCE_SHEET","Total_Customer_Supplier","Total_Month",E8,ori,"TOTAL PRODUCT","B-438010","Total Allocation","Amount_BS"))/1000</f>
        <v>0</v>
      </c>
    </row>
    <row r="21" spans="3:5" x14ac:dyDescent="0.25">
      <c r="C21" s="3" t="s">
        <v>10</v>
      </c>
      <c r="D21" s="28">
        <f ca="1">IF($D$11=0,0,D20/$D$11)</f>
        <v>0</v>
      </c>
      <c r="E21" s="28">
        <f ca="1">IF($D$11=0,0,E20/$D$11)</f>
        <v>0</v>
      </c>
    </row>
    <row r="22" spans="3:5" x14ac:dyDescent="0.25">
      <c r="C22" s="39" t="s">
        <v>5</v>
      </c>
      <c r="D22" s="36">
        <f ca="1">(_xll.DBR("CXMD:FTM_DATA_BALANCE_SHEET","Total_Customer_Supplier","Total_Month",D8,ori,"TOTAL PRODUCT","B-451010","Total Allocation","Amount_BS")+_xll.DBR("CXMD:FTM_DATA_BALANCE_SHEET","Total_Customer_Supplier","Total_Month",D8,ori,"TOTAL PRODUCT","B-451020","Total Allocation","Amount_BS")+_xll.DBR("CXMD:FTM_DATA_BALANCE_SHEET","Total_Customer_Supplier","Total_Month",D8,ori,"TOTAL PRODUCT","B-451030","Total Allocation","Amount_BS")+_xll.DBR("CXMD:FTM_DATA_BALANCE_SHEET","Total_Customer_Supplier","Total_Month",D8,ori,"TOTAL PRODUCT","B-451110","Total Allocation","Amount_BS")+_xll.DBR("CXMD:FTM_DATA_BALANCE_SHEET","Total_Customer_Supplier","Total_Month",D8,ori,"TOTAL PRODUCT","B-451210","Total Allocation","Amount_BS")+_xll.DBR("CXMD:FTM_DATA_BALANCE_SHEET","Total_Customer_Supplier","Total_Month",D8,ori,"TOTAL PRODUCT","B-451220","Total Allocation","Amount_BS")+_xll.DBR("CXMD:FTM_DATA_BALANCE_SHEET","Total_Customer_Supplier","Total_Month",D8,ori,"TOTAL PRODUCT","B-451310","Total Allocation","Amount_BS")+_xll.DBR("CXMD:FTM_DATA_BALANCE_SHEET","Total_Customer_Supplier","Total_Month",D8,ori,"TOTAL PRODUCT","B-451450","Total Allocation","Amount_BS")+_xll.DBR("CXMD:FTM_DATA_BALANCE_SHEET","Total_Customer_Supplier","Total_Month",D8,ori,"TOTAL PRODUCT","B-451510","Total Allocation","Amount_BS")+_xll.DBR("CXMD:FTM_DATA_BALANCE_SHEET","Total_Customer_Supplier","Total_Month",D8,ori,"TOTAL PRODUCT","B-451610","Total Allocation","Amount_BS")+_xll.DBR("CXMD:FTM_DATA_BALANCE_SHEET","Total_Customer_Supplier","Total_Month",D8,ori,"TOTAL PRODUCT","B-451620","Total Allocation","Amount_BS"))/1000</f>
        <v>15.842739999999997</v>
      </c>
      <c r="E22" s="36">
        <f ca="1">(_xll.DBR("CXMD:FTM_DATA_BALANCE_SHEET","Total_Customer_Supplier","Total_Month",E8,ori,"TOTAL PRODUCT","B-451010","Total Allocation","Amount_BS")+_xll.DBR("CXMD:FTM_DATA_BALANCE_SHEET","Total_Customer_Supplier","Total_Month",E8,ori,"TOTAL PRODUCT","B-451020","Total Allocation","Amount_BS")+_xll.DBR("CXMD:FTM_DATA_BALANCE_SHEET","Total_Customer_Supplier","Total_Month",E8,ori,"TOTAL PRODUCT","B-451030","Total Allocation","Amount_BS")+_xll.DBR("CXMD:FTM_DATA_BALANCE_SHEET","Total_Customer_Supplier","Total_Month",E8,ori,"TOTAL PRODUCT","B-451110","Total Allocation","Amount_BS")+_xll.DBR("CXMD:FTM_DATA_BALANCE_SHEET","Total_Customer_Supplier","Total_Month",E8,ori,"TOTAL PRODUCT","B-451210","Total Allocation","Amount_BS")+_xll.DBR("CXMD:FTM_DATA_BALANCE_SHEET","Total_Customer_Supplier","Total_Month",E8,ori,"TOTAL PRODUCT","B-451220","Total Allocation","Amount_BS")+_xll.DBR("CXMD:FTM_DATA_BALANCE_SHEET","Total_Customer_Supplier","Total_Month",E8,ori,"TOTAL PRODUCT","B-451310","Total Allocation","Amount_BS")+_xll.DBR("CXMD:FTM_DATA_BALANCE_SHEET","Total_Customer_Supplier","Total_Month",E8,ori,"TOTAL PRODUCT","B-451450","Total Allocation","Amount_BS")+_xll.DBR("CXMD:FTM_DATA_BALANCE_SHEET","Total_Customer_Supplier","Total_Month",E8,ori,"TOTAL PRODUCT","B-451510","Total Allocation","Amount_BS")+_xll.DBR("CXMD:FTM_DATA_BALANCE_SHEET","Total_Customer_Supplier","Total_Month",E8,ori,"TOTAL PRODUCT","B-451610","Total Allocation","Amount_BS")+_xll.DBR("CXMD:FTM_DATA_BALANCE_SHEET","Total_Customer_Supplier","Total_Month",E8,ori,"TOTAL PRODUCT","B-451620","Total Allocation","Amount_BS"))/1000</f>
        <v>16.186810000000001</v>
      </c>
    </row>
    <row r="23" spans="3:5" x14ac:dyDescent="0.25">
      <c r="C23" s="4" t="s">
        <v>10</v>
      </c>
      <c r="D23" s="29">
        <f ca="1">IF($D$11=0,0,D22/$D$11)</f>
        <v>0</v>
      </c>
      <c r="E23" s="29">
        <f ca="1">IF($D$11=0,0,E22/$D$11)</f>
        <v>0</v>
      </c>
    </row>
    <row r="24" spans="3:5" x14ac:dyDescent="0.25">
      <c r="C24" s="50" t="s">
        <v>6</v>
      </c>
      <c r="D24" s="46">
        <f ca="1">(_xll.DBR("CXMD:FTM_DATA_BALANCE_SHEET","Total_Customer_Supplier","Total_Month",D8,ori,"TOTAL PRODUCT","B-470010","Total Allocation","Amount_BS")+_xll.DBR("CXMD:FTM_DATA_BALANCE_SHEET","Total_Customer_Supplier","Total_Month",D8,ori,"TOTAL PRODUCT","B-475010","Total Allocation","Amount_BS"))/1000</f>
        <v>0</v>
      </c>
      <c r="E24" s="46">
        <f ca="1">(_xll.DBR("CXMD:FTM_DATA_BALANCE_SHEET","Total_Customer_Supplier","Total_Month",E8,ori,"TOTAL PRODUCT","B-470010","Total Allocation","Amount_BS")+_xll.DBR("CXMD:FTM_DATA_BALANCE_SHEET","Total_Customer_Supplier","Total_Month",E8,ori,"TOTAL PRODUCT","B-475010","Total Allocation","Amount_BS"))/1000</f>
        <v>0</v>
      </c>
    </row>
    <row r="25" spans="3:5" x14ac:dyDescent="0.25">
      <c r="C25" s="50" t="s">
        <v>12</v>
      </c>
      <c r="D25" s="46">
        <f ca="1">_xll.DBR("CXMD:FTM_DATA_BALANCE_SHEET","Total_Customer_Supplier","Total_Month",D8,ori,"TOTAL PRODUCT","B-453010","Total Allocation","Amount_BS")/1000</f>
        <v>0</v>
      </c>
      <c r="E25" s="46">
        <f ca="1">_xll.DBR("CXMD:FTM_DATA_BALANCE_SHEET","Total_Customer_Supplier","Total_Month",E8,ori,"TOTAL PRODUCT","B-453010","Total Allocation","Amount_BS")/1000</f>
        <v>0</v>
      </c>
    </row>
    <row r="26" spans="3:5" x14ac:dyDescent="0.25">
      <c r="C26" s="51" t="s">
        <v>7</v>
      </c>
      <c r="D26" s="53">
        <f ca="1">D14-D16-D20-D22-D24-D15-D25</f>
        <v>14.157260000000003</v>
      </c>
      <c r="E26" s="53">
        <f ca="1">E14-E16-E20-E22-E24-E15-E25</f>
        <v>13.813189999999999</v>
      </c>
    </row>
    <row r="27" spans="3:5" x14ac:dyDescent="0.25">
      <c r="C27" s="51" t="s">
        <v>18</v>
      </c>
      <c r="D27" s="54">
        <f ca="1">IF(D9&lt;&gt;0,D26/D9,0)</f>
        <v>0</v>
      </c>
      <c r="E27" s="54">
        <f ca="1">IF(E9&lt;&gt;0,E26/E9,0)</f>
        <v>0</v>
      </c>
    </row>
    <row r="28" spans="3:5" x14ac:dyDescent="0.25">
      <c r="C28" s="50" t="s">
        <v>16</v>
      </c>
      <c r="D28" s="46">
        <f ca="1">(_xll.DBR("CXMD:FTM_DATA_BALANCE_SHEET","Total_Customer_Supplier","Total_Month",D8,ori,"TOTAL PRODUCT","B-560020","Total Allocation","Amount_BS")+_xll.DBR("CXMD:FTM_DATA_BALANCE_SHEET","Total_Customer_Supplier","Total_Month",D8,ori,"TOTAL PRODUCT","B-561010","Total Allocation","Amount_BS"))/1000</f>
        <v>0</v>
      </c>
      <c r="E28" s="46">
        <f ca="1">(_xll.DBR("CXMD:FTM_DATA_BALANCE_SHEET","Total_Customer_Supplier","Total_Month",E8,ori,"TOTAL PRODUCT","B-560020","Total Allocation","Amount_BS")+_xll.DBR("CXMD:FTM_DATA_BALANCE_SHEET","Total_Customer_Supplier","Total_Month",E8,ori,"TOTAL PRODUCT","B-561010","Total Allocation","Amount_BS"))/1000</f>
        <v>0</v>
      </c>
    </row>
    <row r="29" spans="3:5" x14ac:dyDescent="0.25">
      <c r="C29" s="51" t="s">
        <v>17</v>
      </c>
      <c r="D29" s="53">
        <f ca="1">D26-D28</f>
        <v>14.157260000000003</v>
      </c>
      <c r="E29" s="53">
        <f ca="1">E26-E28</f>
        <v>13.813189999999999</v>
      </c>
    </row>
    <row r="30" spans="3:5" x14ac:dyDescent="0.25">
      <c r="C30" s="52" t="s">
        <v>18</v>
      </c>
      <c r="D30" s="55">
        <f ca="1">IF(D9&lt;&gt;0,D29/D9,0)</f>
        <v>0</v>
      </c>
      <c r="E30" s="55">
        <f ca="1">IF(E9&lt;&gt;0,E29/E9,0)</f>
        <v>0</v>
      </c>
    </row>
    <row r="31" spans="3:5" hidden="1" x14ac:dyDescent="0.25"/>
    <row r="32" spans="3:5" hidden="1" x14ac:dyDescent="0.25"/>
  </sheetData>
  <conditionalFormatting sqref="D26:E27">
    <cfRule type="cellIs" dxfId="1" priority="9" operator="lessThan">
      <formula>0</formula>
    </cfRule>
  </conditionalFormatting>
  <conditionalFormatting sqref="D29:E30">
    <cfRule type="cellIs" dxfId="0" priority="7" operator="lessThan">
      <formula>0</formula>
    </cfRule>
  </conditionalFormatting>
  <pageMargins left="0.7" right="0.7" top="0.75" bottom="0.75" header="0.3" footer="0.3"/>
  <pageSetup paperSize="9" orientation="portrait" verticalDpi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P&amp;L </vt:lpstr>
      <vt:lpstr>budget_actuality</vt:lpstr>
      <vt:lpstr>company</vt:lpstr>
      <vt:lpstr>ori</vt:lpstr>
      <vt:lpstr>reference_actuality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dcterms:created xsi:type="dcterms:W3CDTF">2013-09-04T10:05:45Z</dcterms:created>
  <dcterms:modified xsi:type="dcterms:W3CDTF">2024-03-21T13:44:33Z</dcterms:modified>
</cp:coreProperties>
</file>