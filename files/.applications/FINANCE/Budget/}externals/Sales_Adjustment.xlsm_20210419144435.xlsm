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6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rv191\AppData\Local\Temp\36\"/>
    </mc:Choice>
  </mc:AlternateContent>
  <bookViews>
    <workbookView xWindow="-2085" yWindow="405" windowWidth="20730" windowHeight="9165"/>
  </bookViews>
  <sheets>
    <sheet name="Sales adjustment" sheetId="2" r:id="rId1"/>
    <sheet name="Sales_Adjustment_Check" sheetId="3" r:id="rId2"/>
    <sheet name="{AR}01" sheetId="4" state="hidden" r:id="rId3"/>
    <sheet name="{AR}11" sheetId="5" state="hidden" r:id="rId4"/>
  </sheets>
  <definedNames>
    <definedName name="AdjToEnter">'Sales adjustment'!$C$40</definedName>
    <definedName name="budget">'Sales adjustment'!$C$47</definedName>
    <definedName name="choix_cie">'Sales adjustment'!#REF!</definedName>
    <definedName name="choix_config">'Sales adjustment'!$C$27</definedName>
    <definedName name="hierarchie">'Sales adjustment'!#REF!</definedName>
    <definedName name="pactuality">'Sales adjustment'!$C$17</definedName>
    <definedName name="pallocation">'Sales adjustment'!$C$26</definedName>
    <definedName name="parm_actuality">#REF!</definedName>
    <definedName name="parm_alloc">#REF!</definedName>
    <definedName name="parm_group_from">#REF!</definedName>
    <definedName name="parm_group_to">#REF!</definedName>
    <definedName name="parm_org_company">#REF!</definedName>
    <definedName name="Pcopyactuality">'Sales adjustment'!$G$26</definedName>
    <definedName name="pcurrency">'Sales adjustment'!$C$15</definedName>
    <definedName name="pmois">#REF!</definedName>
    <definedName name="pmonthfrom">'Sales adjustment'!$C$18</definedName>
    <definedName name="pmonthto">'Sales adjustment'!$C$19</definedName>
    <definedName name="SOCIETE">'Sales adjustment'!$C$16</definedName>
    <definedName name="tarif">'Sales adjustment'!$C$48</definedName>
    <definedName name="TM1REBUILDOPTION">1</definedName>
    <definedName name="TM1RPTDATARNGARPT1" localSheetId="0">'Sales adjustment'!#REF!</definedName>
    <definedName name="TM1RPTDATARNGARPT1" localSheetId="1">Sales_Adjustment_Check!$20:$20</definedName>
    <definedName name="TM1RPTFMTIDCOL" localSheetId="0">'Sales adjustment'!$A$1:$A$8</definedName>
    <definedName name="TM1RPTFMTIDCOL" localSheetId="1">Sales_Adjustment_Check!$A$1:$A$8</definedName>
    <definedName name="TM1RPTFMTRNG" localSheetId="0">'Sales adjustment'!$B$1:$Q$8</definedName>
    <definedName name="TM1RPTFMTRNG" localSheetId="1">Sales_Adjustment_Check!$B$1:$I$8</definedName>
  </definedNames>
  <calcPr calcId="162913" calcMode="manual" concurrentCalc="0"/>
</workbook>
</file>

<file path=xl/calcChain.xml><?xml version="1.0" encoding="utf-8"?>
<calcChain xmlns="http://schemas.openxmlformats.org/spreadsheetml/2006/main">
  <c r="C17" i="2" l="1"/>
  <c r="C12" i="3"/>
  <c r="C16" i="2"/>
  <c r="C11" i="3"/>
  <c r="C14" i="3"/>
  <c r="B9" i="3"/>
  <c r="C13" i="3"/>
  <c r="C20" i="3"/>
  <c r="B20" i="3"/>
  <c r="I20" i="3"/>
  <c r="G20" i="3"/>
  <c r="H20" i="3"/>
  <c r="F20" i="3"/>
  <c r="D20" i="3"/>
  <c r="E20" i="3"/>
  <c r="C15" i="3"/>
  <c r="C16" i="3"/>
  <c r="A20" i="3"/>
  <c r="A5" i="3"/>
  <c r="A4" i="3"/>
  <c r="A3" i="3"/>
  <c r="A2" i="3"/>
  <c r="C47" i="2"/>
  <c r="C18" i="2"/>
  <c r="C19" i="2"/>
  <c r="C26" i="2"/>
  <c r="C27" i="2"/>
  <c r="Q10" i="2"/>
  <c r="Q11" i="2"/>
  <c r="Q12" i="2"/>
  <c r="Q13" i="2"/>
  <c r="Q14" i="2"/>
  <c r="Q15" i="2"/>
  <c r="Q16" i="2"/>
  <c r="Q17" i="2"/>
  <c r="Q18" i="2"/>
  <c r="Q28" i="2"/>
  <c r="Q48" i="2"/>
  <c r="Q49" i="2"/>
  <c r="F48" i="2"/>
  <c r="F50" i="2"/>
  <c r="G26" i="2"/>
  <c r="P49" i="2"/>
  <c r="P48" i="2"/>
  <c r="P28" i="2"/>
  <c r="P11" i="2"/>
  <c r="P12" i="2"/>
  <c r="P13" i="2"/>
  <c r="P14" i="2"/>
  <c r="P15" i="2"/>
  <c r="P16" i="2"/>
  <c r="P17" i="2"/>
  <c r="P18" i="2"/>
  <c r="P10" i="2"/>
  <c r="F39" i="2"/>
  <c r="F54" i="2"/>
  <c r="C38" i="2"/>
  <c r="F38" i="2"/>
  <c r="C40" i="2"/>
  <c r="B9" i="2"/>
  <c r="N10" i="2"/>
  <c r="N49" i="2"/>
  <c r="N11" i="2"/>
  <c r="N12" i="2"/>
  <c r="N13" i="2"/>
  <c r="N14" i="2"/>
  <c r="N15" i="2"/>
  <c r="N16" i="2"/>
  <c r="N17" i="2"/>
  <c r="N18" i="2"/>
  <c r="N28" i="2"/>
  <c r="N48" i="2"/>
  <c r="A5" i="2"/>
  <c r="A4" i="2"/>
  <c r="A3" i="2"/>
  <c r="A2" i="2"/>
</calcChain>
</file>

<file path=xl/sharedStrings.xml><?xml version="1.0" encoding="utf-8"?>
<sst xmlns="http://schemas.openxmlformats.org/spreadsheetml/2006/main" count="81" uniqueCount="69">
  <si>
    <t>Actuality</t>
  </si>
  <si>
    <t>Origin_Company</t>
  </si>
  <si>
    <t>D</t>
  </si>
  <si>
    <t>N</t>
  </si>
  <si>
    <t>[Begin Format Range]</t>
  </si>
  <si>
    <t>[End Format Range]</t>
  </si>
  <si>
    <t>Budget adjustment</t>
  </si>
  <si>
    <t>Configuration choice</t>
  </si>
  <si>
    <t>Y</t>
  </si>
  <si>
    <t>Allocation</t>
  </si>
  <si>
    <t>to</t>
  </si>
  <si>
    <t xml:space="preserve">Month from   </t>
  </si>
  <si>
    <t>Current Sales</t>
  </si>
  <si>
    <t>Current qty</t>
  </si>
  <si>
    <t>New unit price</t>
  </si>
  <si>
    <t xml:space="preserve">  %</t>
  </si>
  <si>
    <t>Sales adjustments</t>
  </si>
  <si>
    <t>Increase/decrease %</t>
  </si>
  <si>
    <t>(select your company)</t>
  </si>
  <si>
    <t>(select always the WK actuality corresponding to the year to be updated)</t>
  </si>
  <si>
    <t>(from January to December if you update a full year)</t>
  </si>
  <si>
    <t>(click on "remove adjustments" to delete previous ones)</t>
  </si>
  <si>
    <t>(select the reference actuality)</t>
  </si>
  <si>
    <t>(click on "Sales copy if no PIC")</t>
  </si>
  <si>
    <t>(display only simple element)</t>
  </si>
  <si>
    <t>(select your company's Sales level)</t>
  </si>
  <si>
    <t>Quantity adjustments</t>
  </si>
  <si>
    <t>Expected qty (total)</t>
  </si>
  <si>
    <t>Adjustments</t>
  </si>
  <si>
    <t xml:space="preserve">     (Sales amount will be automatically recalculated with the new qty and current Unit Price)</t>
  </si>
  <si>
    <t>Calculator to determine the Sales increase/decrease %</t>
  </si>
  <si>
    <t>Expected Sales (total)</t>
  </si>
  <si>
    <t>Current unit price</t>
  </si>
  <si>
    <t xml:space="preserve">     increase/decrease %</t>
  </si>
  <si>
    <t xml:space="preserve"> on a reference different from the PIC data :</t>
  </si>
  <si>
    <t xml:space="preserve">If you decide to base your adjustments </t>
  </si>
  <si>
    <t xml:space="preserve">     %</t>
  </si>
  <si>
    <t>(select the product level on which you want to apply adjustments)</t>
  </si>
  <si>
    <t xml:space="preserve">   </t>
  </si>
  <si>
    <t>x</t>
  </si>
  <si>
    <t>To upload PIC data, click here</t>
  </si>
  <si>
    <t>OR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</si>
  <si>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</si>
  <si>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</si>
  <si>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</si>
  <si>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</si>
  <si>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</si>
  <si>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</si>
  <si>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</si>
  <si>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</si>
  <si>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</si>
  <si>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</si>
  <si>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</si>
  <si>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</si>
  <si>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3.6983</t>
  </si>
  <si>
    <t>Month</t>
  </si>
  <si>
    <t>QTY_ERPK</t>
  </si>
  <si>
    <t>QTY</t>
  </si>
  <si>
    <t>SALES_ERPK</t>
  </si>
  <si>
    <t>SALES</t>
  </si>
  <si>
    <t>TOTAL PRODUCT</t>
  </si>
  <si>
    <t>Total Allocation</t>
  </si>
  <si>
    <t>FRUM_0</t>
  </si>
  <si>
    <t>Proposal</t>
  </si>
  <si>
    <t>Correction</t>
  </si>
  <si>
    <t>Total</t>
  </si>
  <si>
    <t>Origin Company</t>
  </si>
  <si>
    <t>Customer Supplier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</si>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</sst>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;;;"/>
    <numFmt numFmtId="165" formatCode="0.0000"/>
    <numFmt numFmtId="166" formatCode="&quot;+ &quot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8C8C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9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rgb="FFC8C8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8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0" fontId="0" fillId="3" borderId="0" xfId="0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2" fillId="0" borderId="0" xfId="0" applyNumberFormat="1" applyFont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0" fontId="3" fillId="4" borderId="0" xfId="0" applyFont="1" applyFill="1" applyBorder="1"/>
    <xf numFmtId="0" fontId="0" fillId="4" borderId="0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6" xfId="0" applyFill="1" applyBorder="1"/>
    <xf numFmtId="164" fontId="0" fillId="4" borderId="0" xfId="0" applyNumberFormat="1" applyFill="1"/>
    <xf numFmtId="0" fontId="1" fillId="5" borderId="2" xfId="0" applyFont="1" applyFill="1" applyBorder="1" applyAlignment="1">
      <alignment horizontal="center"/>
    </xf>
    <xf numFmtId="0" fontId="0" fillId="5" borderId="3" xfId="0" applyFill="1" applyBorder="1"/>
    <xf numFmtId="0" fontId="0" fillId="5" borderId="4" xfId="0" applyFill="1" applyBorder="1"/>
    <xf numFmtId="0" fontId="1" fillId="5" borderId="5" xfId="0" applyFont="1" applyFill="1" applyBorder="1" applyAlignment="1">
      <alignment horizontal="center"/>
    </xf>
    <xf numFmtId="0" fontId="0" fillId="5" borderId="0" xfId="0" applyFill="1" applyBorder="1"/>
    <xf numFmtId="0" fontId="0" fillId="5" borderId="6" xfId="0" applyFill="1" applyBorder="1"/>
    <xf numFmtId="0" fontId="1" fillId="5" borderId="0" xfId="0" applyFont="1" applyFill="1" applyBorder="1"/>
    <xf numFmtId="0" fontId="0" fillId="5" borderId="0" xfId="0" applyFill="1" applyBorder="1" applyAlignment="1">
      <alignment vertical="center"/>
    </xf>
    <xf numFmtId="0" fontId="0" fillId="5" borderId="8" xfId="0" applyFill="1" applyBorder="1"/>
    <xf numFmtId="0" fontId="0" fillId="5" borderId="0" xfId="0" applyFill="1"/>
    <xf numFmtId="0" fontId="5" fillId="5" borderId="0" xfId="0" applyFont="1" applyFill="1" applyBorder="1"/>
    <xf numFmtId="0" fontId="4" fillId="5" borderId="3" xfId="0" applyFont="1" applyFill="1" applyBorder="1" applyProtection="1">
      <protection locked="0"/>
    </xf>
    <xf numFmtId="0" fontId="4" fillId="5" borderId="0" xfId="0" applyFont="1" applyFill="1" applyBorder="1" applyProtection="1">
      <protection locked="0"/>
    </xf>
    <xf numFmtId="0" fontId="4" fillId="5" borderId="0" xfId="0" applyFont="1" applyFill="1" applyBorder="1"/>
    <xf numFmtId="49" fontId="6" fillId="4" borderId="0" xfId="0" applyNumberFormat="1" applyFont="1" applyFill="1"/>
    <xf numFmtId="1" fontId="6" fillId="4" borderId="0" xfId="0" applyNumberFormat="1" applyFont="1" applyFill="1"/>
    <xf numFmtId="0" fontId="0" fillId="5" borderId="0" xfId="0" applyFill="1" applyBorder="1" applyAlignment="1"/>
    <xf numFmtId="0" fontId="0" fillId="5" borderId="8" xfId="0" applyFill="1" applyBorder="1" applyAlignment="1">
      <alignment vertical="center"/>
    </xf>
    <xf numFmtId="3" fontId="0" fillId="5" borderId="8" xfId="0" applyNumberFormat="1" applyFill="1" applyBorder="1" applyAlignment="1">
      <alignment vertical="center"/>
    </xf>
    <xf numFmtId="0" fontId="0" fillId="5" borderId="0" xfId="0" applyFill="1" applyBorder="1" applyAlignment="1">
      <alignment horizontal="center"/>
    </xf>
    <xf numFmtId="3" fontId="0" fillId="5" borderId="0" xfId="0" applyNumberFormat="1" applyFill="1" applyBorder="1" applyAlignment="1">
      <alignment vertical="center"/>
    </xf>
    <xf numFmtId="3" fontId="8" fillId="5" borderId="0" xfId="0" applyNumberFormat="1" applyFont="1" applyFill="1" applyBorder="1" applyAlignment="1">
      <alignment vertical="center"/>
    </xf>
    <xf numFmtId="0" fontId="0" fillId="5" borderId="7" xfId="0" applyFill="1" applyBorder="1"/>
    <xf numFmtId="0" fontId="0" fillId="5" borderId="9" xfId="0" applyFill="1" applyBorder="1"/>
    <xf numFmtId="0" fontId="0" fillId="5" borderId="0" xfId="0" applyFill="1" applyBorder="1" applyAlignment="1">
      <alignment horizontal="center"/>
    </xf>
    <xf numFmtId="0" fontId="10" fillId="5" borderId="3" xfId="0" applyFont="1" applyFill="1" applyBorder="1"/>
    <xf numFmtId="0" fontId="10" fillId="5" borderId="0" xfId="0" applyFont="1" applyFill="1" applyBorder="1"/>
    <xf numFmtId="0" fontId="0" fillId="5" borderId="0" xfId="0" applyFont="1" applyFill="1" applyBorder="1"/>
    <xf numFmtId="0" fontId="11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 vertical="top" wrapText="1"/>
    </xf>
    <xf numFmtId="0" fontId="12" fillId="5" borderId="0" xfId="0" applyFont="1" applyFill="1" applyBorder="1"/>
    <xf numFmtId="0" fontId="0" fillId="5" borderId="5" xfId="0" applyFont="1" applyFill="1" applyBorder="1" applyAlignment="1">
      <alignment horizontal="center"/>
    </xf>
    <xf numFmtId="0" fontId="4" fillId="5" borderId="11" xfId="0" applyFont="1" applyFill="1" applyBorder="1"/>
    <xf numFmtId="0" fontId="1" fillId="5" borderId="11" xfId="0" applyFont="1" applyFill="1" applyBorder="1"/>
    <xf numFmtId="0" fontId="0" fillId="5" borderId="11" xfId="0" applyFill="1" applyBorder="1"/>
    <xf numFmtId="0" fontId="5" fillId="5" borderId="11" xfId="0" applyFont="1" applyFill="1" applyBorder="1"/>
    <xf numFmtId="0" fontId="0" fillId="5" borderId="12" xfId="0" applyFill="1" applyBorder="1"/>
    <xf numFmtId="0" fontId="0" fillId="5" borderId="13" xfId="0" applyFont="1" applyFill="1" applyBorder="1" applyAlignment="1">
      <alignment horizontal="center"/>
    </xf>
    <xf numFmtId="0" fontId="0" fillId="5" borderId="14" xfId="0" applyFill="1" applyBorder="1"/>
    <xf numFmtId="0" fontId="0" fillId="5" borderId="15" xfId="0" applyFont="1" applyFill="1" applyBorder="1" applyAlignment="1">
      <alignment horizontal="center"/>
    </xf>
    <xf numFmtId="0" fontId="5" fillId="5" borderId="16" xfId="0" applyFont="1" applyFill="1" applyBorder="1"/>
    <xf numFmtId="0" fontId="0" fillId="5" borderId="16" xfId="0" applyFont="1" applyFill="1" applyBorder="1"/>
    <xf numFmtId="0" fontId="4" fillId="5" borderId="16" xfId="0" applyFont="1" applyFill="1" applyBorder="1"/>
    <xf numFmtId="0" fontId="0" fillId="5" borderId="17" xfId="0" applyFill="1" applyBorder="1"/>
    <xf numFmtId="0" fontId="7" fillId="5" borderId="13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3" fontId="14" fillId="7" borderId="0" xfId="0" applyNumberFormat="1" applyFont="1" applyFill="1" applyBorder="1"/>
    <xf numFmtId="0" fontId="7" fillId="5" borderId="8" xfId="0" applyFont="1" applyFill="1" applyBorder="1"/>
    <xf numFmtId="0" fontId="0" fillId="5" borderId="10" xfId="0" applyFont="1" applyFill="1" applyBorder="1" applyAlignment="1">
      <alignment horizontal="center"/>
    </xf>
    <xf numFmtId="0" fontId="0" fillId="5" borderId="11" xfId="0" applyFont="1" applyFill="1" applyBorder="1"/>
    <xf numFmtId="0" fontId="3" fillId="5" borderId="13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0" fillId="5" borderId="16" xfId="0" applyFill="1" applyBorder="1" applyAlignment="1"/>
    <xf numFmtId="0" fontId="0" fillId="5" borderId="3" xfId="0" applyFont="1" applyFill="1" applyBorder="1"/>
    <xf numFmtId="3" fontId="14" fillId="6" borderId="0" xfId="0" applyNumberFormat="1" applyFont="1" applyFill="1" applyBorder="1"/>
    <xf numFmtId="0" fontId="13" fillId="5" borderId="0" xfId="0" applyFont="1" applyFill="1" applyBorder="1" applyAlignment="1">
      <alignment horizontal="center" vertical="top"/>
    </xf>
    <xf numFmtId="0" fontId="16" fillId="5" borderId="0" xfId="0" applyFont="1" applyFill="1" applyBorder="1" applyAlignment="1">
      <alignment horizontal="left"/>
    </xf>
    <xf numFmtId="0" fontId="5" fillId="5" borderId="4" xfId="0" applyFont="1" applyFill="1" applyBorder="1"/>
    <xf numFmtId="0" fontId="5" fillId="5" borderId="6" xfId="0" applyFont="1" applyFill="1" applyBorder="1"/>
    <xf numFmtId="0" fontId="0" fillId="5" borderId="6" xfId="0" applyFill="1" applyBorder="1" applyAlignment="1">
      <alignment vertical="center"/>
    </xf>
    <xf numFmtId="0" fontId="0" fillId="5" borderId="5" xfId="0" applyFill="1" applyBorder="1"/>
    <xf numFmtId="0" fontId="0" fillId="5" borderId="9" xfId="0" applyFill="1" applyBorder="1" applyAlignment="1">
      <alignment vertical="center"/>
    </xf>
    <xf numFmtId="0" fontId="4" fillId="5" borderId="5" xfId="0" applyFont="1" applyFill="1" applyBorder="1"/>
    <xf numFmtId="0" fontId="0" fillId="5" borderId="5" xfId="0" applyFill="1" applyBorder="1" applyAlignment="1">
      <alignment horizontal="left"/>
    </xf>
    <xf numFmtId="3" fontId="17" fillId="4" borderId="0" xfId="0" applyNumberFormat="1" applyFont="1" applyFill="1" applyAlignment="1">
      <alignment horizontal="center" vertical="center"/>
    </xf>
    <xf numFmtId="0" fontId="18" fillId="5" borderId="2" xfId="0" applyFont="1" applyFill="1" applyBorder="1"/>
    <xf numFmtId="0" fontId="12" fillId="5" borderId="6" xfId="0" applyFont="1" applyFill="1" applyBorder="1"/>
    <xf numFmtId="0" fontId="12" fillId="5" borderId="6" xfId="0" applyFont="1" applyFill="1" applyBorder="1" applyAlignment="1">
      <alignment vertical="center"/>
    </xf>
    <xf numFmtId="0" fontId="10" fillId="5" borderId="0" xfId="0" applyFont="1" applyFill="1" applyBorder="1" applyAlignment="1">
      <alignment vertical="center"/>
    </xf>
    <xf numFmtId="165" fontId="15" fillId="6" borderId="0" xfId="0" applyNumberFormat="1" applyFont="1" applyFill="1" applyBorder="1" applyAlignment="1">
      <alignment vertical="center"/>
    </xf>
    <xf numFmtId="164" fontId="14" fillId="4" borderId="0" xfId="0" applyNumberFormat="1" applyFont="1" applyFill="1"/>
    <xf numFmtId="164" fontId="8" fillId="4" borderId="0" xfId="0" applyNumberFormat="1" applyFont="1" applyFill="1"/>
    <xf numFmtId="2" fontId="14" fillId="7" borderId="0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center" vertical="center"/>
    </xf>
    <xf numFmtId="0" fontId="19" fillId="8" borderId="0" xfId="0" applyFont="1" applyFill="1" applyAlignment="1">
      <alignment horizontal="center"/>
    </xf>
    <xf numFmtId="3" fontId="2" fillId="2" borderId="0" xfId="0" applyNumberFormat="1" applyFont="1" applyFill="1"/>
    <xf numFmtId="3" fontId="2" fillId="3" borderId="0" xfId="0" applyNumberFormat="1" applyFont="1" applyFill="1"/>
    <xf numFmtId="3" fontId="2" fillId="0" borderId="0" xfId="0" applyNumberFormat="1" applyFont="1"/>
    <xf numFmtId="166" fontId="1" fillId="2" borderId="1" xfId="0" applyNumberFormat="1" applyFont="1" applyFill="1" applyBorder="1" applyAlignment="1"/>
    <xf numFmtId="166" fontId="0" fillId="2" borderId="0" xfId="0" applyNumberFormat="1" applyFill="1" applyAlignment="1"/>
    <xf numFmtId="0" fontId="1" fillId="5" borderId="0" xfId="0" applyFont="1" applyFill="1" applyBorder="1" applyAlignment="1">
      <alignment horizontal="center"/>
    </xf>
    <xf numFmtId="0" fontId="4" fillId="5" borderId="18" xfId="0" applyFont="1" applyFill="1" applyBorder="1" applyProtection="1">
      <protection locked="0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FF99"/>
      <color rgb="FF0000FF"/>
      <color rgb="FFC8C8C8"/>
      <color rgb="FF009900"/>
      <color rgb="FF00CC66"/>
      <color rgb="FF00CC00"/>
      <color rgb="FF66FF66"/>
      <color rgb="FF99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487"/>
  <ax:ocxPr ax:name="_ExtentY" ax:value="979"/>
  <ax:ocxPr ax:name="_StockProps" ax:value="0"/>
  <ax:ocxPr ax:name="ServerName" ax:value="CXMD"/>
  <ax:ocxPr ax:name="ProcessName" ax:value="--------BTN-------"/>
  <ax:ocxPr ax:name="Name" ax:value=""/>
  <ax:ocxPr ax:name="Type" ax:value=""/>
  <ax:ocxPr ax:name="Value" ax:value=""/>
  <ax:ocxPr ax:name="Prompt" ax:value=""/>
  <ax:ocxPr ax:name="BackColor" ax:value="15790320"/>
  <ax:ocxPr ax:name="ForeColor" ax:value="0"/>
  <ax:ocxPr ax:name="Font">
    <ax:font ax:persistence="persistPropertyBag">
      <ax:ocxPr ax:name="Name" ax:value="Britannic Bold"/>
      <ax:ocxPr ax:name="Size" ax:value="9,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Update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Voulez-vous vraiment exécuter ce processus ?"/>
  <ax:ocxPr ax:name="SuccessMessage" ax:value="Processus terminé avec succès."/>
  <ax:ocxPr ax:name="FailureMessage" ax:value="Echec du processus."/>
  <ax:ocxPr ax:name="ShowConfirmMessage" ax:value="0"/>
  <ax:ocxPr ax:name="ShowSuccessMessage" ax:value="-1"/>
  <ax:ocxPr ax:name="ShowFailureMessage" ax:value="-1"/>
  <ax:ocxPr ax:name="TargetWorkbookName" ax:value=""/>
  <ax:ocxPr ax:name="TargetWorksheetName" ax:value="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6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6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38100</xdr:rowOff>
        </xdr:from>
        <xdr:to>
          <xdr:col>6</xdr:col>
          <xdr:colOff>1428750</xdr:colOff>
          <xdr:row>27</xdr:row>
          <xdr:rowOff>123825</xdr:rowOff>
        </xdr:to>
        <xdr:sp macro="" textlink="">
          <xdr:nvSpPr>
            <xdr:cNvPr id="2056" name="TIButton3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1924050</xdr:colOff>
          <xdr:row>49</xdr:row>
          <xdr:rowOff>123825</xdr:rowOff>
        </xdr:from>
        <xdr:to>
          <xdr:col>3</xdr:col>
          <xdr:colOff>0</xdr:colOff>
          <xdr:row>53</xdr:row>
          <xdr:rowOff>152400</xdr:rowOff>
        </xdr:to>
        <xdr:sp macro="" textlink="">
          <xdr:nvSpPr>
            <xdr:cNvPr id="2057" name="TIButton4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40</xdr:row>
          <xdr:rowOff>57150</xdr:rowOff>
        </xdr:from>
        <xdr:to>
          <xdr:col>3</xdr:col>
          <xdr:colOff>0</xdr:colOff>
          <xdr:row>42</xdr:row>
          <xdr:rowOff>85725</xdr:rowOff>
        </xdr:to>
        <xdr:sp macro="" textlink="">
          <xdr:nvSpPr>
            <xdr:cNvPr id="2058" name="TIButton2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76200</xdr:rowOff>
        </xdr:from>
        <xdr:to>
          <xdr:col>2</xdr:col>
          <xdr:colOff>1590675</xdr:colOff>
          <xdr:row>22</xdr:row>
          <xdr:rowOff>114300</xdr:rowOff>
        </xdr:to>
        <xdr:sp macro="" textlink="">
          <xdr:nvSpPr>
            <xdr:cNvPr id="2061" name="TIButton5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95250</xdr:rowOff>
        </xdr:from>
        <xdr:to>
          <xdr:col>6</xdr:col>
          <xdr:colOff>28575</xdr:colOff>
          <xdr:row>52</xdr:row>
          <xdr:rowOff>0</xdr:rowOff>
        </xdr:to>
        <xdr:sp macro="" textlink="">
          <xdr:nvSpPr>
            <xdr:cNvPr id="2062" name="TIButton6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85725</xdr:rowOff>
        </xdr:from>
        <xdr:to>
          <xdr:col>6</xdr:col>
          <xdr:colOff>1371600</xdr:colOff>
          <xdr:row>17</xdr:row>
          <xdr:rowOff>180975</xdr:rowOff>
        </xdr:to>
        <xdr:sp macro="" textlink="">
          <xdr:nvSpPr>
            <xdr:cNvPr id="2065" name="TIButton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963083</xdr:colOff>
      <xdr:row>10</xdr:row>
      <xdr:rowOff>2517</xdr:rowOff>
    </xdr:to>
    <xdr:pic>
      <xdr:nvPicPr>
        <xdr:cNvPr id="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25833" cy="7168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XFC66"/>
  <sheetViews>
    <sheetView showGridLines="0" tabSelected="1" topLeftCell="B15" zoomScale="90" zoomScaleNormal="90" workbookViewId="0">
      <selection activeCell="C26" sqref="C26"/>
    </sheetView>
  </sheetViews>
  <sheetFormatPr defaultColWidth="0" defaultRowHeight="15" zeroHeight="1" x14ac:dyDescent="0.25"/>
  <cols>
    <col min="1" max="1" width="1" hidden="1" customWidth="1"/>
    <col min="2" max="2" width="28.85546875" customWidth="1"/>
    <col min="3" max="3" width="35.85546875" customWidth="1"/>
    <col min="4" max="4" width="19.85546875" customWidth="1"/>
    <col min="5" max="5" width="21.28515625" customWidth="1"/>
    <col min="6" max="6" width="14" customWidth="1"/>
    <col min="7" max="7" width="21.85546875" customWidth="1"/>
    <col min="8" max="8" width="31" customWidth="1"/>
    <col min="9" max="9" width="2.42578125" hidden="1" customWidth="1"/>
    <col min="10" max="10" width="4.85546875" hidden="1" customWidth="1"/>
    <col min="11" max="11" width="7.140625" hidden="1" customWidth="1"/>
    <col min="12" max="12" width="6.42578125" hidden="1" customWidth="1"/>
    <col min="13" max="13" width="0.5703125" hidden="1" customWidth="1"/>
    <col min="14" max="14" width="6.28515625" hidden="1" customWidth="1"/>
    <col min="15" max="15" width="4.5703125" hidden="1" customWidth="1"/>
    <col min="16" max="16" width="10" hidden="1" customWidth="1"/>
    <col min="17" max="17" width="14.85546875" hidden="1" customWidth="1"/>
    <col min="18" max="18" width="1.42578125" hidden="1" customWidth="1"/>
    <col min="19" max="16381" width="11.42578125" hidden="1" customWidth="1"/>
    <col min="16382" max="16382" width="2.42578125" hidden="1" customWidth="1"/>
    <col min="16383" max="16383" width="1.7109375" hidden="1" customWidth="1"/>
    <col min="16384" max="16384" width="0" hidden="1" customWidth="1"/>
  </cols>
  <sheetData>
    <row r="1" spans="1:17" hidden="1" x14ac:dyDescent="0.25">
      <c r="A1" t="s">
        <v>4</v>
      </c>
    </row>
    <row r="2" spans="1:17" hidden="1" x14ac:dyDescent="0.25">
      <c r="A2">
        <f>0</f>
        <v>0</v>
      </c>
      <c r="B2" s="2"/>
      <c r="C2" s="1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idden="1" x14ac:dyDescent="0.25">
      <c r="A3">
        <f>1</f>
        <v>1</v>
      </c>
      <c r="B3" s="3"/>
      <c r="C3" s="4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spans="1:17" hidden="1" x14ac:dyDescent="0.25">
      <c r="A4">
        <f>2</f>
        <v>2</v>
      </c>
      <c r="B4" s="3"/>
      <c r="C4" s="4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spans="1:17" hidden="1" x14ac:dyDescent="0.25">
      <c r="A5">
        <f>3</f>
        <v>3</v>
      </c>
      <c r="B5" s="3"/>
      <c r="C5" s="4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1:17" hidden="1" x14ac:dyDescent="0.25">
      <c r="A6" t="s">
        <v>2</v>
      </c>
      <c r="B6" s="3"/>
      <c r="C6" s="4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</row>
    <row r="7" spans="1:17" hidden="1" x14ac:dyDescent="0.25">
      <c r="A7" t="s">
        <v>3</v>
      </c>
      <c r="B7" s="3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hidden="1" x14ac:dyDescent="0.25">
      <c r="A8" t="s">
        <v>5</v>
      </c>
    </row>
    <row r="9" spans="1:17" hidden="1" x14ac:dyDescent="0.25">
      <c r="B9" t="str">
        <f ca="1">_xll.TM1RPTVIEW("CXMD:PREV_MARGIN_ENTRIES:ARPT1", 0, _xll.TM1RPTTITLE("CXMD:Currency",$C$15), _xll.TM1RPTTITLE("CXMD:Actuality",$C$17), _xll.TM1RPTTITLE("CXMD:Origin_Company",$C$16),TM1RPTFMTRNG,TM1RPTFMTIDCOL)</f>
        <v>CXMD:PREV_MARGIN_ENTRIES:ARPT1</v>
      </c>
    </row>
    <row r="10" spans="1:17" hidden="1" x14ac:dyDescent="0.25">
      <c r="B10" s="8"/>
      <c r="C10" s="9"/>
      <c r="D10" s="9"/>
      <c r="E10" s="9"/>
      <c r="F10" s="9"/>
      <c r="G10" s="10"/>
      <c r="H10" s="13"/>
      <c r="I10" s="16"/>
      <c r="J10" s="10"/>
      <c r="K10" s="10"/>
      <c r="L10" s="10"/>
      <c r="M10" s="10"/>
      <c r="N10" s="33" t="str">
        <f ca="1">(_xll.DBR("CXMD:PREV_MARGIN","1","1",pcurrency,pactuality,O10,SOCIETE,"Total_Company_Owner",pallocation,"Total_Customer_Supplier",choix_config,"QTY_ERPK"))</f>
        <v>*KEY_ERR</v>
      </c>
      <c r="O10" s="32" t="s">
        <v>42</v>
      </c>
      <c r="P10" s="89">
        <f ca="1">(_xll.DBR("CXMD:FTM_DATA_MARGIN",O10,pactuality,SOCIETE,pallocation,"Total_Customer_Supplier",choix_config,"QTY_ERPK"))</f>
        <v>2781.1877162963287</v>
      </c>
      <c r="Q10" s="90">
        <f ca="1">(_xll.DBR("CXMD:FTM_DATA_MARGIN",O10,pactuality,SOCIETE,pallocation,"Total_Customer_Supplier",choix_config,"SALES_BEFORE_CEO_MANUAL"))</f>
        <v>-38878811.274073422</v>
      </c>
    </row>
    <row r="11" spans="1:17" ht="15.75" hidden="1" x14ac:dyDescent="0.25">
      <c r="B11" s="11"/>
      <c r="C11" s="12"/>
      <c r="D11" s="13"/>
      <c r="E11" s="13"/>
      <c r="F11" s="13"/>
      <c r="G11" s="10"/>
      <c r="H11" s="13"/>
      <c r="I11" s="16"/>
      <c r="J11" s="10"/>
      <c r="K11" s="10"/>
      <c r="L11" s="10"/>
      <c r="M11" s="10"/>
      <c r="N11" s="33" t="str">
        <f ca="1">(_xll.DBR("CXMD:PREV_MARGIN","1","1",pcurrency,pactuality,O11,SOCIETE,"Total_Company_Owner",pallocation,"Total_Customer_Supplier",choix_config,"QTY_ERPK"))</f>
        <v>*KEY_ERR</v>
      </c>
      <c r="O11" s="32" t="s">
        <v>43</v>
      </c>
      <c r="P11" s="89">
        <f ca="1">(_xll.DBR("CXMD:FTM_DATA_MARGIN",O11,pactuality,SOCIETE,pallocation,"Total_Customer_Supplier",choix_config,"QTY_ERPK"))</f>
        <v>3109.7693410004886</v>
      </c>
      <c r="Q11" s="90">
        <f ca="1">(_xll.DBR("CXMD:FTM_DATA_MARGIN",O11,pactuality,SOCIETE,pallocation,"Total_Customer_Supplier",choix_config,"SALES_BEFORE_CEO_MANUAL"))</f>
        <v>-42674431.919990234</v>
      </c>
    </row>
    <row r="12" spans="1:17" hidden="1" x14ac:dyDescent="0.25">
      <c r="B12" s="11"/>
      <c r="C12" s="13"/>
      <c r="D12" s="13"/>
      <c r="E12" s="13"/>
      <c r="F12" s="13"/>
      <c r="G12" s="10"/>
      <c r="H12" s="13"/>
      <c r="I12" s="16"/>
      <c r="J12" s="10"/>
      <c r="K12" s="10"/>
      <c r="L12" s="10"/>
      <c r="M12" s="10"/>
      <c r="N12" s="33" t="str">
        <f ca="1">(_xll.DBR("CXMD:PREV_MARGIN","1","1",pcurrency,pactuality,O12,SOCIETE,"Total_Company_Owner",pallocation,"Total_Customer_Supplier",choix_config,"QTY_ERPK"))</f>
        <v>*KEY_ERR</v>
      </c>
      <c r="O12" s="32" t="s">
        <v>44</v>
      </c>
      <c r="P12" s="89">
        <f ca="1">(_xll.DBR("CXMD:FTM_DATA_MARGIN",O12,pactuality,SOCIETE,pallocation,"Total_Customer_Supplier",choix_config,"QTY_ERPK"))</f>
        <v>3849.5062648895782</v>
      </c>
      <c r="Q12" s="90">
        <f ca="1">(_xll.DBR("CXMD:FTM_DATA_MARGIN",O12,pactuality,SOCIETE,pallocation,"Total_Customer_Supplier",choix_config,"SALES_BEFORE_CEO_MANUAL"))</f>
        <v>-51555939.232208446</v>
      </c>
    </row>
    <row r="13" spans="1:17" ht="21.75" hidden="1" customHeight="1" x14ac:dyDescent="0.25">
      <c r="B13" s="11"/>
      <c r="C13" s="13"/>
      <c r="D13" s="83"/>
      <c r="E13" s="13"/>
      <c r="F13" s="13"/>
      <c r="G13" s="10"/>
      <c r="H13" s="13"/>
      <c r="I13" s="16"/>
      <c r="J13" s="10"/>
      <c r="K13" s="10"/>
      <c r="L13" s="10"/>
      <c r="M13" s="10"/>
      <c r="N13" s="33" t="str">
        <f ca="1">(_xll.DBR("CXMD:PREV_MARGIN","1","1",pcurrency,pactuality,O13,SOCIETE,"Total_Company_Owner",pallocation,"Total_Customer_Supplier",choix_config,"QTY_ERPK"))</f>
        <v>*KEY_ERR</v>
      </c>
      <c r="O13" s="32" t="s">
        <v>45</v>
      </c>
      <c r="P13" s="89">
        <f ca="1">(_xll.DBR("CXMD:FTM_DATA_MARGIN",O13,pactuality,SOCIETE,pallocation,"Total_Customer_Supplier",choix_config,"QTY_ERPK"))</f>
        <v>3532.8316541906556</v>
      </c>
      <c r="Q13" s="90">
        <f ca="1">(_xll.DBR("CXMD:FTM_DATA_MARGIN",O13,pactuality,SOCIETE,pallocation,"Total_Customer_Supplier",choix_config,"SALES_BEFORE_CEO_MANUAL"))</f>
        <v>-46406493.886186905</v>
      </c>
    </row>
    <row r="14" spans="1:17" ht="6" hidden="1" customHeight="1" x14ac:dyDescent="0.25">
      <c r="B14" s="14"/>
      <c r="C14" s="15"/>
      <c r="D14" s="15"/>
      <c r="E14" s="15"/>
      <c r="F14" s="15"/>
      <c r="G14" s="10"/>
      <c r="H14" s="15"/>
      <c r="I14" s="16"/>
      <c r="J14" s="10"/>
      <c r="K14" s="10"/>
      <c r="L14" s="10"/>
      <c r="M14" s="10"/>
      <c r="N14" s="33" t="str">
        <f ca="1">(_xll.DBR("CXMD:PREV_MARGIN","1","1",pcurrency,pactuality,O14,SOCIETE,"Total_Company_Owner",pallocation,"Total_Customer_Supplier",choix_config,"QTY_ERPK"))</f>
        <v>*KEY_ERR</v>
      </c>
      <c r="O14" s="32" t="s">
        <v>46</v>
      </c>
      <c r="P14" s="89">
        <f ca="1">(_xll.DBR("CXMD:FTM_DATA_MARGIN",O14,pactuality,SOCIETE,pallocation,"Total_Customer_Supplier",choix_config,"QTY_ERPK"))</f>
        <v>4260.2565218083246</v>
      </c>
      <c r="Q14" s="90">
        <f ca="1">(_xll.DBR("CXMD:FTM_DATA_MARGIN",O14,pactuality,SOCIETE,pallocation,"Total_Customer_Supplier",choix_config,"SALES_BEFORE_CEO_MANUAL"))</f>
        <v>-56265387.593833484</v>
      </c>
    </row>
    <row r="15" spans="1:17" x14ac:dyDescent="0.25">
      <c r="B15" s="18"/>
      <c r="C15" s="29"/>
      <c r="D15" s="43"/>
      <c r="E15" s="19"/>
      <c r="F15" s="43"/>
      <c r="G15" s="19"/>
      <c r="H15" s="19"/>
      <c r="I15" s="20"/>
      <c r="J15" s="10"/>
      <c r="K15" s="10"/>
      <c r="L15" s="10"/>
      <c r="M15" s="10"/>
      <c r="N15" s="33" t="str">
        <f ca="1">(_xll.DBR("CXMD:PREV_MARGIN","1","1",pcurrency,pactuality,O15,SOCIETE,"Total_Company_Owner",pallocation,"Total_Customer_Supplier",choix_config,"QTY_ERPK"))</f>
        <v>*KEY_ERR</v>
      </c>
      <c r="O15" s="32" t="s">
        <v>47</v>
      </c>
      <c r="P15" s="89">
        <f ca="1">(_xll.DBR("CXMD:FTM_DATA_MARGIN",O15,pactuality,SOCIETE,pallocation,"Total_Customer_Supplier",choix_config,"QTY_ERPK"))</f>
        <v>4213.9831737501418</v>
      </c>
      <c r="Q15" s="90">
        <f ca="1">(_xll.DBR("CXMD:FTM_DATA_MARGIN",O15,pactuality,SOCIETE,pallocation,"Total_Customer_Supplier",choix_config,"SALES_BEFORE_CEO_MANUAL"))</f>
        <v>-57245091.01499714</v>
      </c>
    </row>
    <row r="16" spans="1:17" x14ac:dyDescent="0.25">
      <c r="B16" s="21" t="s">
        <v>1</v>
      </c>
      <c r="C16" s="30" t="str">
        <f ca="1">_xll.SUBNM("CXMD:DIM_Origin_Company","","K","Name EN")</f>
        <v>KUHN</v>
      </c>
      <c r="D16" s="44" t="s">
        <v>18</v>
      </c>
      <c r="E16" s="22"/>
      <c r="F16" s="44"/>
      <c r="G16" s="31" t="s">
        <v>40</v>
      </c>
      <c r="H16" s="34"/>
      <c r="I16" s="23"/>
      <c r="J16" s="10"/>
      <c r="K16" s="10"/>
      <c r="L16" s="10"/>
      <c r="M16" s="10"/>
      <c r="N16" s="33" t="str">
        <f ca="1">(_xll.DBR("CXMD:PREV_MARGIN","1","1",pcurrency,pactuality,O16,SOCIETE,"Total_Company_Owner",pallocation,"Total_Customer_Supplier",choix_config,"QTY_ERPK"))</f>
        <v>*KEY_ERR</v>
      </c>
      <c r="O16" s="32" t="s">
        <v>48</v>
      </c>
      <c r="P16" s="89">
        <f ca="1">(_xll.DBR("CXMD:FTM_DATA_MARGIN",O16,pactuality,SOCIETE,pallocation,"Total_Customer_Supplier",choix_config,"QTY_ERPK"))</f>
        <v>2801.543760502439</v>
      </c>
      <c r="Q16" s="90">
        <f ca="1">(_xll.DBR("CXMD:FTM_DATA_MARGIN",O16,pactuality,SOCIETE,pallocation,"Total_Customer_Supplier",choix_config,"SALES_BEFORE_CEO_MANUAL"))</f>
        <v>-44115519.269951202</v>
      </c>
    </row>
    <row r="17" spans="2:17" x14ac:dyDescent="0.25">
      <c r="B17" s="21" t="s">
        <v>0</v>
      </c>
      <c r="C17" s="30" t="str">
        <f ca="1">_xll.SUBNM("CXMD:Actuality","","WK2","Description EN")</f>
        <v>WK2 - 2023</v>
      </c>
      <c r="D17" s="44" t="s">
        <v>19</v>
      </c>
      <c r="E17" s="22"/>
      <c r="F17" s="44"/>
      <c r="G17" s="22"/>
      <c r="H17" s="34"/>
      <c r="I17" s="23"/>
      <c r="J17" s="10"/>
      <c r="K17" s="10"/>
      <c r="L17" s="10"/>
      <c r="M17" s="10"/>
      <c r="N17" s="33" t="str">
        <f ca="1">(_xll.DBR("CXMD:PREV_MARGIN","1","1",pcurrency,pactuality,O17,SOCIETE,"Total_Company_Owner",pallocation,"Total_Customer_Supplier",choix_config,"QTY_ERPK"))</f>
        <v>*KEY_ERR</v>
      </c>
      <c r="O17" s="32" t="s">
        <v>49</v>
      </c>
      <c r="P17" s="89">
        <f ca="1">(_xll.DBR("CXMD:FTM_DATA_MARGIN",O17,pactuality,SOCIETE,pallocation,"Total_Customer_Supplier",choix_config,"QTY_ERPK"))</f>
        <v>1212.2784991380215</v>
      </c>
      <c r="Q17" s="90">
        <f ca="1">(_xll.DBR("CXMD:FTM_DATA_MARGIN",O17,pactuality,SOCIETE,pallocation,"Total_Customer_Supplier",choix_config,"SALES_BEFORE_CEO_MANUAL"))</f>
        <v>-24705014.667239569</v>
      </c>
    </row>
    <row r="18" spans="2:17" x14ac:dyDescent="0.25">
      <c r="B18" s="21" t="s">
        <v>11</v>
      </c>
      <c r="C18" s="30" t="str">
        <f ca="1">_xll.SUBNM("CXMD:Month","ChoixMois",2)</f>
        <v>01</v>
      </c>
      <c r="D18" s="44" t="s">
        <v>20</v>
      </c>
      <c r="E18" s="22"/>
      <c r="F18" s="44"/>
      <c r="G18" s="22"/>
      <c r="H18" s="22"/>
      <c r="I18" s="23"/>
      <c r="J18" s="10"/>
      <c r="K18" s="10"/>
      <c r="L18" s="10"/>
      <c r="M18" s="10"/>
      <c r="N18" s="33" t="str">
        <f ca="1">(_xll.DBR("CXMD:PREV_MARGIN","1","1",pcurrency,pactuality,O18,SOCIETE,"Total_Company_Owner",pallocation,"Total_Customer_Supplier",choix_config,"QTY_ERPK"))</f>
        <v>*KEY_ERR</v>
      </c>
      <c r="O18" s="32" t="s">
        <v>50</v>
      </c>
      <c r="P18" s="89">
        <f ca="1">(_xll.DBR("CXMD:FTM_DATA_MARGIN",O18,pactuality,SOCIETE,pallocation,"Total_Customer_Supplier",choix_config,"QTY_ERPK"))</f>
        <v>1837.9975050632422</v>
      </c>
      <c r="Q18" s="90">
        <f ca="1">(_xll.DBR("CXMD:FTM_DATA_MARGIN",O18,pactuality,SOCIETE,pallocation,"Total_Customer_Supplier",choix_config,"SALES_BEFORE_CEO_MANUAL"))</f>
        <v>-36663817.238735169</v>
      </c>
    </row>
    <row r="19" spans="2:17" x14ac:dyDescent="0.25">
      <c r="B19" s="21" t="s">
        <v>10</v>
      </c>
      <c r="C19" s="31" t="str">
        <f ca="1">_xll.SUBNM("CXMD:Month","ChoixMois",13)</f>
        <v>12</v>
      </c>
      <c r="D19" s="42"/>
      <c r="E19" s="31"/>
      <c r="F19" s="44"/>
      <c r="G19" s="93" t="s">
        <v>41</v>
      </c>
      <c r="H19" s="22"/>
      <c r="I19" s="23"/>
      <c r="J19" s="10"/>
      <c r="K19" s="10"/>
      <c r="L19" s="10"/>
      <c r="M19" s="10"/>
      <c r="N19" s="33"/>
      <c r="O19" s="32"/>
      <c r="P19" s="90"/>
      <c r="Q19" s="90"/>
    </row>
    <row r="20" spans="2:17" ht="4.5" customHeight="1" x14ac:dyDescent="0.25">
      <c r="B20" s="21"/>
      <c r="C20" s="30"/>
      <c r="D20" s="42"/>
      <c r="E20" s="31"/>
      <c r="F20" s="44"/>
      <c r="G20" s="93"/>
      <c r="H20" s="22"/>
      <c r="I20" s="23"/>
      <c r="J20" s="10"/>
      <c r="K20" s="10"/>
      <c r="L20" s="10"/>
      <c r="M20" s="10"/>
      <c r="N20" s="33"/>
      <c r="O20" s="32"/>
      <c r="P20" s="90"/>
      <c r="Q20" s="90"/>
    </row>
    <row r="21" spans="2:17" ht="13.5" customHeight="1" x14ac:dyDescent="0.25">
      <c r="B21" s="21"/>
      <c r="C21" s="30"/>
      <c r="D21" s="42"/>
      <c r="E21" s="31"/>
      <c r="F21" s="44"/>
      <c r="G21" s="93"/>
      <c r="H21" s="22"/>
      <c r="I21" s="23"/>
      <c r="J21" s="10"/>
      <c r="K21" s="10"/>
      <c r="L21" s="10"/>
      <c r="M21" s="10"/>
      <c r="N21" s="33"/>
      <c r="O21" s="32"/>
      <c r="P21" s="90"/>
      <c r="Q21" s="90"/>
    </row>
    <row r="22" spans="2:17" x14ac:dyDescent="0.25">
      <c r="B22" s="21"/>
      <c r="C22" s="30"/>
      <c r="D22" s="75" t="s">
        <v>21</v>
      </c>
      <c r="E22" s="31"/>
      <c r="F22" s="46"/>
      <c r="G22" s="31" t="s">
        <v>35</v>
      </c>
      <c r="H22" s="22"/>
      <c r="I22" s="23"/>
      <c r="J22" s="10"/>
      <c r="K22" s="10"/>
      <c r="L22" s="10"/>
      <c r="M22" s="10"/>
      <c r="N22" s="33"/>
      <c r="O22" s="32"/>
      <c r="P22" s="90"/>
      <c r="Q22" s="90"/>
    </row>
    <row r="23" spans="2:17" x14ac:dyDescent="0.25">
      <c r="B23" s="21"/>
      <c r="C23" s="30"/>
      <c r="D23" s="42"/>
      <c r="E23" s="31"/>
      <c r="F23" s="31"/>
      <c r="G23" s="31" t="s">
        <v>34</v>
      </c>
      <c r="H23" s="22"/>
      <c r="I23" s="23"/>
      <c r="J23" s="10"/>
      <c r="K23" s="10"/>
      <c r="L23" s="10"/>
      <c r="M23" s="10"/>
      <c r="N23" s="33"/>
      <c r="O23" s="32"/>
      <c r="P23" s="90"/>
      <c r="Q23" s="90"/>
    </row>
    <row r="24" spans="2:17" hidden="1" x14ac:dyDescent="0.25">
      <c r="B24" s="21"/>
      <c r="C24" s="30"/>
      <c r="D24" s="42"/>
      <c r="E24" s="31"/>
      <c r="F24" s="31"/>
      <c r="G24" s="31"/>
      <c r="H24" s="22"/>
      <c r="I24" s="23"/>
      <c r="J24" s="10"/>
      <c r="K24" s="10"/>
      <c r="L24" s="10"/>
      <c r="M24" s="10"/>
      <c r="N24" s="33"/>
      <c r="O24" s="32"/>
      <c r="P24" s="90"/>
      <c r="Q24" s="90"/>
    </row>
    <row r="25" spans="2:17" ht="6" customHeight="1" x14ac:dyDescent="0.25">
      <c r="B25" s="21"/>
      <c r="C25" s="30"/>
      <c r="D25" s="42"/>
      <c r="E25" s="31"/>
      <c r="F25" s="44"/>
      <c r="G25" s="22"/>
      <c r="H25" s="22"/>
      <c r="I25" s="23"/>
      <c r="J25" s="10"/>
      <c r="K25" s="10"/>
      <c r="L25" s="10"/>
      <c r="M25" s="10"/>
      <c r="N25" s="33"/>
      <c r="O25" s="32"/>
      <c r="P25" s="90"/>
      <c r="Q25" s="90"/>
    </row>
    <row r="26" spans="2:17" ht="15.75" x14ac:dyDescent="0.25">
      <c r="B26" s="21" t="s">
        <v>9</v>
      </c>
      <c r="C26" s="31" t="str">
        <f ca="1">_xll.SUBNM("CXMD:DIM_Allocation","Par défaut","Total Allocation")</f>
        <v>Total Allocation</v>
      </c>
      <c r="D26" s="44" t="s">
        <v>25</v>
      </c>
      <c r="E26" s="31"/>
      <c r="F26" s="44"/>
      <c r="G26" s="74" t="str">
        <f ca="1">_xll.SUBNM("CXMD:Actuality","","AC2020","Description EN")</f>
        <v>AC2020</v>
      </c>
      <c r="H26" s="87" t="s">
        <v>22</v>
      </c>
      <c r="I26" s="23"/>
      <c r="J26" s="10"/>
      <c r="K26" s="10"/>
      <c r="L26" s="10"/>
      <c r="M26" s="10"/>
      <c r="N26" s="33"/>
      <c r="O26" s="32"/>
      <c r="P26" s="90"/>
      <c r="Q26" s="90"/>
    </row>
    <row r="27" spans="2:17" x14ac:dyDescent="0.25">
      <c r="B27" s="21" t="s">
        <v>7</v>
      </c>
      <c r="C27" s="31" t="str">
        <f ca="1">_xll.SUBNM("CXMD:DIM_Configuration","Par défaut","TOTAL PRODUCT","Description EN")</f>
        <v>TOTAL PRODUCT</v>
      </c>
      <c r="D27" s="44" t="s">
        <v>37</v>
      </c>
      <c r="E27" s="31"/>
      <c r="F27" s="44"/>
      <c r="G27" s="22"/>
      <c r="H27" s="92" t="s">
        <v>23</v>
      </c>
      <c r="I27" s="23"/>
      <c r="J27" s="10"/>
      <c r="K27" s="10"/>
      <c r="L27" s="10"/>
      <c r="M27" s="10"/>
      <c r="N27" s="33"/>
      <c r="O27" s="32"/>
      <c r="P27" s="90"/>
      <c r="Q27" s="90"/>
    </row>
    <row r="28" spans="2:17" x14ac:dyDescent="0.25">
      <c r="B28" s="21"/>
      <c r="C28" s="31"/>
      <c r="D28" s="44" t="s">
        <v>24</v>
      </c>
      <c r="E28" s="48" t="s">
        <v>8</v>
      </c>
      <c r="F28" s="22"/>
      <c r="G28" s="28"/>
      <c r="H28" s="92"/>
      <c r="I28" s="23"/>
      <c r="J28" s="10"/>
      <c r="K28" s="10"/>
      <c r="L28" s="10"/>
      <c r="M28" s="10"/>
      <c r="N28" s="33" t="str">
        <f ca="1">(_xll.DBR("CXMD:PREV_MARGIN","1","1",pcurrency,pactuality,O28,SOCIETE,"Total_Company_Owner",pallocation,"Total_Customer_Supplier",choix_config,"QTY_ERPK"))</f>
        <v>*KEY_ERR</v>
      </c>
      <c r="O28" s="32" t="s">
        <v>51</v>
      </c>
      <c r="P28" s="89">
        <f ca="1">(_xll.DBR("CXMD:FTM_DATA_MARGIN",O28,pactuality,SOCIETE,pallocation,"Total_Customer_Supplier",choix_config,"QTY_ERPK"))</f>
        <v>2829.5978930292031</v>
      </c>
      <c r="Q28" s="90">
        <f ca="1">(_xll.DBR("CXMD:FTM_DATA_MARGIN",O28,pactuality,SOCIETE,pallocation,"Total_Customer_Supplier",choix_config,"SALES_BEFORE_CEO_MANUAL"))</f>
        <v>-45449572.729415908</v>
      </c>
    </row>
    <row r="29" spans="2:17" ht="12" hidden="1" customHeight="1" x14ac:dyDescent="0.25">
      <c r="B29" s="21"/>
      <c r="C29" s="31"/>
      <c r="D29" s="24"/>
      <c r="E29" s="22"/>
      <c r="F29" s="22"/>
      <c r="G29" s="47"/>
      <c r="H29" s="31"/>
      <c r="I29" s="23"/>
      <c r="J29" s="10"/>
      <c r="K29" s="10"/>
      <c r="L29" s="10"/>
      <c r="M29" s="10"/>
      <c r="N29" s="33"/>
      <c r="O29" s="32"/>
      <c r="P29" s="90"/>
      <c r="Q29" s="90"/>
    </row>
    <row r="30" spans="2:17" hidden="1" x14ac:dyDescent="0.25">
      <c r="B30" s="21"/>
      <c r="C30" s="31"/>
      <c r="D30" s="44"/>
      <c r="E30" s="22"/>
      <c r="F30" s="44"/>
      <c r="G30" s="28"/>
      <c r="H30" s="31"/>
      <c r="I30" s="23"/>
      <c r="J30" s="10"/>
      <c r="K30" s="10"/>
      <c r="L30" s="10"/>
      <c r="M30" s="10"/>
      <c r="N30" s="33"/>
      <c r="O30" s="32"/>
      <c r="P30" s="90"/>
      <c r="Q30" s="90"/>
    </row>
    <row r="31" spans="2:17" hidden="1" x14ac:dyDescent="0.25">
      <c r="B31" s="21"/>
      <c r="C31" s="31"/>
      <c r="D31" s="44"/>
      <c r="E31" s="22"/>
      <c r="F31" s="22"/>
      <c r="G31" s="28"/>
      <c r="H31" s="31"/>
      <c r="I31" s="23"/>
      <c r="J31" s="10"/>
      <c r="K31" s="10"/>
      <c r="L31" s="10"/>
      <c r="M31" s="10"/>
      <c r="N31" s="33"/>
      <c r="O31" s="32"/>
      <c r="P31" s="90"/>
      <c r="Q31" s="90"/>
    </row>
    <row r="32" spans="2:17" hidden="1" x14ac:dyDescent="0.25">
      <c r="B32" s="21"/>
      <c r="C32" s="31"/>
      <c r="D32" s="24"/>
      <c r="E32" s="22"/>
      <c r="F32" s="22"/>
      <c r="G32" s="28"/>
      <c r="H32" s="31"/>
      <c r="I32" s="23"/>
      <c r="J32" s="10"/>
      <c r="K32" s="10"/>
      <c r="L32" s="10"/>
      <c r="M32" s="10"/>
      <c r="N32" s="33"/>
      <c r="O32" s="32"/>
      <c r="P32" s="90"/>
      <c r="Q32" s="90"/>
    </row>
    <row r="33" spans="2:17" hidden="1" x14ac:dyDescent="0.25">
      <c r="B33" s="21"/>
      <c r="D33" s="24"/>
      <c r="E33" s="22"/>
      <c r="F33" s="22"/>
      <c r="G33" s="28"/>
      <c r="H33" s="31"/>
      <c r="I33" s="23"/>
      <c r="J33" s="10"/>
      <c r="K33" s="10"/>
      <c r="L33" s="10"/>
      <c r="M33" s="10"/>
      <c r="N33" s="33"/>
      <c r="O33" s="32"/>
      <c r="P33" s="90"/>
      <c r="Q33" s="90"/>
    </row>
    <row r="34" spans="2:17" hidden="1" x14ac:dyDescent="0.25">
      <c r="B34" s="21"/>
      <c r="C34" s="31"/>
      <c r="D34" s="24"/>
      <c r="E34" s="22"/>
      <c r="F34" s="22"/>
      <c r="G34" s="28"/>
      <c r="H34" s="31"/>
      <c r="I34" s="23"/>
      <c r="J34" s="10"/>
      <c r="K34" s="10"/>
      <c r="L34" s="10"/>
      <c r="M34" s="10"/>
      <c r="N34" s="33"/>
      <c r="O34" s="32"/>
      <c r="P34" s="90"/>
      <c r="Q34" s="90"/>
    </row>
    <row r="35" spans="2:17" ht="8.25" customHeight="1" thickBot="1" x14ac:dyDescent="0.3">
      <c r="B35" s="21"/>
      <c r="C35" s="31"/>
      <c r="D35" s="24"/>
      <c r="E35" s="22"/>
      <c r="F35" s="22"/>
      <c r="G35" s="28"/>
      <c r="H35" s="31"/>
      <c r="I35" s="23"/>
      <c r="J35" s="10"/>
      <c r="K35" s="10"/>
      <c r="L35" s="10"/>
      <c r="M35" s="10"/>
      <c r="N35" s="33"/>
      <c r="O35" s="32"/>
      <c r="P35" s="90"/>
      <c r="Q35" s="90"/>
    </row>
    <row r="36" spans="2:17" ht="15.75" x14ac:dyDescent="0.25">
      <c r="B36" s="63" t="s">
        <v>26</v>
      </c>
      <c r="C36" s="50"/>
      <c r="D36" s="51"/>
      <c r="E36" s="52"/>
      <c r="F36" s="52"/>
      <c r="G36" s="53"/>
      <c r="H36" s="50"/>
      <c r="I36" s="54"/>
      <c r="J36" s="10"/>
      <c r="K36" s="10"/>
      <c r="L36" s="10"/>
      <c r="M36" s="10"/>
      <c r="N36" s="33"/>
      <c r="O36" s="32"/>
      <c r="P36" s="90"/>
      <c r="Q36" s="90"/>
    </row>
    <row r="37" spans="2:17" ht="6.95" customHeight="1" x14ac:dyDescent="0.25">
      <c r="B37" s="62"/>
      <c r="C37" s="31"/>
      <c r="D37" s="24"/>
      <c r="E37" s="22"/>
      <c r="F37" s="22"/>
      <c r="G37" s="28"/>
      <c r="H37" s="31"/>
      <c r="I37" s="56"/>
      <c r="J37" s="10"/>
      <c r="K37" s="10"/>
      <c r="L37" s="10"/>
      <c r="M37" s="10"/>
      <c r="N37" s="33"/>
      <c r="O37" s="32"/>
      <c r="P37" s="90"/>
      <c r="Q37" s="90"/>
    </row>
    <row r="38" spans="2:17" x14ac:dyDescent="0.25">
      <c r="B38" s="55" t="s">
        <v>13</v>
      </c>
      <c r="C38" s="38">
        <f ca="1">IF(AND(VALUE(pmonthfrom)&lt;=VALUE(O10),VALUE(O10)&lt;=VALUE(pmonthto)),P10,0)+
IF(AND(VALUE(pmonthfrom)&lt;=VALUE(O11),VALUE(O11)&lt;=VALUE(pmonthto)),P11,0)+
IF(AND(VALUE(pmonthfrom)&lt;=VALUE(O12),VALUE(O12)&lt;=VALUE(pmonthto)),P12,0)+
IF(AND(VALUE(pmonthfrom)&lt;=VALUE(O13),VALUE(O13)&lt;=VALUE(pmonthto)),P13,0)+
IF(AND(VALUE(pmonthfrom)&lt;=VALUE(O14),VALUE(O14)&lt;=VALUE(pmonthto)),P14,0)+
IF(AND(VALUE(pmonthfrom)&lt;=VALUE(O15),VALUE(O15)&lt;=VALUE(pmonthto)),P15,0)+
IF(AND(VALUE(pmonthfrom)&lt;=VALUE(O16),VALUE(O16)&lt;=VALUE(pmonthto)),P16,0)+
IF(AND(VALUE(pmonthfrom)&lt;=VALUE(O17),VALUE(O17)&lt;=VALUE(pmonthto)),P17,0)+
IF(AND(VALUE(pmonthfrom)&lt;=VALUE(O18),VALUE(O18)&lt;=VALUE(pmonthto)),P18,0)+
IF(AND(VALUE(pmonthfrom)&lt;=VALUE(O28),VALUE(O28)&lt;=VALUE(pmonthto)),P28,0)+
IF(AND(VALUE(pmonthfrom)&lt;=VALUE(O48),VALUE(O48)&lt;=VALUE(pmonthto)),P48,0)+
IF(AND(VALUE(pmonthfrom)&lt;=VALUE(O49),VALUE(O49)&lt;=VALUE(pmonthto)),P49,0)</f>
        <v>37346.999999999993</v>
      </c>
      <c r="D38" s="45"/>
      <c r="E38" s="25" t="s">
        <v>32</v>
      </c>
      <c r="F38" s="38">
        <f ca="1">IF(C38&lt;&gt;0,F48/C38,0)</f>
        <v>-14452.763097973062</v>
      </c>
      <c r="G38" s="28"/>
      <c r="H38" s="31"/>
      <c r="I38" s="56"/>
      <c r="J38" s="10"/>
      <c r="K38" s="10"/>
      <c r="L38" s="10"/>
      <c r="M38" s="10"/>
      <c r="N38" s="33"/>
      <c r="O38" s="32"/>
      <c r="P38" s="90"/>
      <c r="Q38" s="90"/>
    </row>
    <row r="39" spans="2:17" x14ac:dyDescent="0.25">
      <c r="B39" s="55" t="s">
        <v>27</v>
      </c>
      <c r="C39" s="64">
        <v>28978</v>
      </c>
      <c r="D39" s="45"/>
      <c r="E39" s="25" t="s">
        <v>14</v>
      </c>
      <c r="F39" s="39">
        <f>IF(C39&lt;&gt;0,F49/C39,0)</f>
        <v>13458.485747808683</v>
      </c>
      <c r="G39" s="28"/>
      <c r="H39" s="31"/>
      <c r="I39" s="56"/>
      <c r="J39" s="10"/>
      <c r="K39" s="10"/>
      <c r="L39" s="10"/>
      <c r="M39" s="10"/>
      <c r="N39" s="33"/>
      <c r="O39" s="32"/>
      <c r="P39" s="90"/>
      <c r="Q39" s="90"/>
    </row>
    <row r="40" spans="2:17" x14ac:dyDescent="0.25">
      <c r="B40" s="55" t="s">
        <v>28</v>
      </c>
      <c r="C40" s="38">
        <f ca="1">C39-C38</f>
        <v>-8368.9999999999927</v>
      </c>
      <c r="D40" s="45"/>
      <c r="E40" s="45"/>
      <c r="F40" s="45"/>
      <c r="G40" s="28"/>
      <c r="H40" s="31"/>
      <c r="I40" s="56"/>
      <c r="J40" s="10"/>
      <c r="K40" s="10"/>
      <c r="L40" s="10"/>
      <c r="M40" s="10"/>
      <c r="N40" s="33"/>
      <c r="O40" s="32"/>
      <c r="P40" s="90"/>
      <c r="Q40" s="90"/>
    </row>
    <row r="41" spans="2:17" ht="6.75" customHeight="1" x14ac:dyDescent="0.25">
      <c r="B41" s="55"/>
      <c r="C41" s="28"/>
      <c r="D41" s="45"/>
      <c r="E41" s="45"/>
      <c r="F41" s="45"/>
      <c r="G41" s="28"/>
      <c r="H41" s="31"/>
      <c r="I41" s="56"/>
      <c r="J41" s="10"/>
      <c r="K41" s="10"/>
      <c r="L41" s="10"/>
      <c r="M41" s="10"/>
      <c r="N41" s="33"/>
      <c r="O41" s="32"/>
      <c r="P41" s="90"/>
      <c r="Q41" s="90"/>
    </row>
    <row r="42" spans="2:17" x14ac:dyDescent="0.25">
      <c r="B42" s="55"/>
      <c r="C42" s="28"/>
      <c r="D42" s="44" t="s">
        <v>29</v>
      </c>
      <c r="E42" s="45"/>
      <c r="F42" s="45"/>
      <c r="G42" s="28"/>
      <c r="H42" s="31"/>
      <c r="I42" s="56"/>
      <c r="J42" s="10"/>
      <c r="K42" s="10"/>
      <c r="L42" s="10"/>
      <c r="M42" s="10"/>
      <c r="N42" s="33"/>
      <c r="O42" s="32"/>
      <c r="P42" s="90"/>
      <c r="Q42" s="90"/>
    </row>
    <row r="43" spans="2:17" ht="15.75" thickBot="1" x14ac:dyDescent="0.3">
      <c r="B43" s="57"/>
      <c r="C43" s="58"/>
      <c r="D43" s="59"/>
      <c r="E43" s="59"/>
      <c r="F43" s="59"/>
      <c r="G43" s="58"/>
      <c r="H43" s="60"/>
      <c r="I43" s="61"/>
      <c r="J43" s="10"/>
      <c r="K43" s="10"/>
      <c r="L43" s="10"/>
      <c r="M43" s="10"/>
      <c r="N43" s="33"/>
      <c r="O43" s="32"/>
      <c r="P43" s="90"/>
      <c r="Q43" s="90"/>
    </row>
    <row r="44" spans="2:17" ht="6" customHeight="1" thickBot="1" x14ac:dyDescent="0.3">
      <c r="B44" s="49"/>
      <c r="C44" s="28"/>
      <c r="D44" s="45"/>
      <c r="E44" s="45"/>
      <c r="F44" s="45"/>
      <c r="G44" s="28"/>
      <c r="H44" s="31"/>
      <c r="I44" s="23"/>
      <c r="J44" s="10"/>
      <c r="K44" s="10"/>
      <c r="L44" s="10"/>
      <c r="M44" s="10"/>
      <c r="N44" s="33"/>
      <c r="O44" s="32"/>
      <c r="P44" s="90"/>
      <c r="Q44" s="90"/>
    </row>
    <row r="45" spans="2:17" ht="4.5" customHeight="1" x14ac:dyDescent="0.25">
      <c r="B45" s="66"/>
      <c r="C45" s="53"/>
      <c r="D45" s="67"/>
      <c r="E45" s="67"/>
      <c r="F45" s="67"/>
      <c r="G45" s="53"/>
      <c r="H45" s="50"/>
      <c r="I45" s="54"/>
      <c r="J45" s="10"/>
      <c r="K45" s="10"/>
      <c r="L45" s="10"/>
      <c r="M45" s="10"/>
      <c r="N45" s="33"/>
      <c r="O45" s="32"/>
      <c r="P45" s="90"/>
      <c r="Q45" s="90"/>
    </row>
    <row r="46" spans="2:17" ht="15.75" x14ac:dyDescent="0.25">
      <c r="B46" s="68" t="s">
        <v>16</v>
      </c>
      <c r="C46" s="28"/>
      <c r="D46" s="45"/>
      <c r="E46" s="84" t="s">
        <v>30</v>
      </c>
      <c r="F46" s="72"/>
      <c r="G46" s="76"/>
      <c r="H46" s="81"/>
      <c r="I46" s="56"/>
      <c r="J46" s="10"/>
      <c r="K46" s="10"/>
      <c r="L46" s="10"/>
      <c r="M46" s="10"/>
      <c r="N46" s="33"/>
      <c r="O46" s="32"/>
      <c r="P46" s="90"/>
      <c r="Q46" s="90"/>
    </row>
    <row r="47" spans="2:17" ht="15" customHeight="1" x14ac:dyDescent="0.25">
      <c r="B47" s="21" t="s">
        <v>6</v>
      </c>
      <c r="C47" s="31" t="str">
        <f ca="1">_xll.SUBNM("CXMD:Amount_Prev_Margin","Sales_Adjustment","Price_increase%","Description EN")</f>
        <v>Price_increase%</v>
      </c>
      <c r="D47" s="24"/>
      <c r="E47" s="49"/>
      <c r="F47" s="28"/>
      <c r="G47" s="77" t="s">
        <v>38</v>
      </c>
      <c r="H47" s="31"/>
      <c r="I47" s="56"/>
      <c r="J47" s="10"/>
      <c r="K47" s="10"/>
      <c r="L47" s="10"/>
      <c r="M47" s="10"/>
      <c r="N47" s="33"/>
      <c r="O47" s="32"/>
      <c r="P47" s="90"/>
      <c r="Q47" s="90"/>
    </row>
    <row r="48" spans="2:17" x14ac:dyDescent="0.25">
      <c r="B48" s="55" t="s">
        <v>17</v>
      </c>
      <c r="C48" s="91" t="s">
        <v>54</v>
      </c>
      <c r="D48" s="22" t="s">
        <v>15</v>
      </c>
      <c r="E48" s="49" t="s">
        <v>12</v>
      </c>
      <c r="F48" s="38">
        <f ca="1">IF(AND(VALUE(pmonthfrom)&lt;=VALUE(O10),VALUE(O10)&lt;=VALUE(pmonthto)),Q10,0)+
IF(AND(VALUE(pmonthfrom)&lt;=VALUE(O11),VALUE(O11)&lt;=VALUE(pmonthto)),Q11,0)+
IF(AND(VALUE(pmonthfrom)&lt;=VALUE(O12),VALUE(O12)&lt;=VALUE(pmonthto)),Q12,0)+
IF(AND(VALUE(pmonthfrom)&lt;=VALUE(O13),VALUE(O13)&lt;=VALUE(pmonthto)),Q13,0)+
IF(AND(VALUE(pmonthfrom)&lt;=VALUE(O14),VALUE(O14)&lt;=VALUE(pmonthto)),Q14,0)+
IF(AND(VALUE(pmonthfrom)&lt;=VALUE(O15),VALUE(O15)&lt;=VALUE(pmonthto)),Q15,0)+
IF(AND(VALUE(pmonthfrom)&lt;=VALUE(O16),VALUE(O16)&lt;=VALUE(pmonthto)),Q16,0)+
IF(AND(VALUE(pmonthfrom)&lt;=VALUE(O17),VALUE(O17)&lt;=VALUE(pmonthto)),Q17,0)+
IF(AND(VALUE(pmonthfrom)&lt;=VALUE(O18),VALUE(O18)&lt;=VALUE(pmonthto)),Q18,0)+
IF(AND(VALUE(pmonthfrom)&lt;=VALUE(O28),VALUE(O28)&lt;=VALUE(pmonthto)),Q28,0)+
IF(AND(VALUE(pmonthfrom)&lt;=VALUE(O48),VALUE(O48)&lt;=VALUE(pmonthto)),Q48,0)+
IF(AND(VALUE(pmonthfrom)&lt;=VALUE(O49),VALUE(O49)&lt;=VALUE(pmonthto)),Q49,0)</f>
        <v>-539767343.41999984</v>
      </c>
      <c r="G48" s="85" t="s">
        <v>39</v>
      </c>
      <c r="H48" s="31"/>
      <c r="I48" s="56"/>
      <c r="J48" s="10"/>
      <c r="K48" s="10"/>
      <c r="L48" s="10"/>
      <c r="M48" s="10"/>
      <c r="N48" s="33" t="str">
        <f ca="1">(_xll.DBR("CXMD:PREV_MARGIN","1","1",pcurrency,pactuality,O48,SOCIETE,"Total_Company_Owner",pallocation,"Total_Customer_Supplier",choix_config,"QTY_ERPK"))</f>
        <v>*KEY_ERR</v>
      </c>
      <c r="O48" s="32" t="s">
        <v>52</v>
      </c>
      <c r="P48" s="89">
        <f ca="1">(_xll.DBR("CXMD:FTM_DATA_MARGIN",O48,pactuality,SOCIETE,pallocation,"Total_Customer_Supplier",choix_config,"QTY_ERPK"))</f>
        <v>3683.726666704973</v>
      </c>
      <c r="Q48" s="90">
        <f ca="1">(_xll.DBR("CXMD:FTM_DATA_MARGIN",O48,pactuality,SOCIETE,pallocation,"Total_Customer_Supplier",choix_config,"SALES_BEFORE_CEO_MANUAL"))</f>
        <v>-53586301.295900539</v>
      </c>
    </row>
    <row r="49" spans="2:17" x14ac:dyDescent="0.25">
      <c r="B49" s="69"/>
      <c r="C49" s="31"/>
      <c r="D49" s="22"/>
      <c r="E49" s="49" t="s">
        <v>31</v>
      </c>
      <c r="F49" s="73">
        <v>390000000</v>
      </c>
      <c r="G49" s="85" t="s">
        <v>39</v>
      </c>
      <c r="H49" s="31"/>
      <c r="I49" s="56"/>
      <c r="J49" s="10"/>
      <c r="K49" s="10"/>
      <c r="L49" s="10"/>
      <c r="M49" s="10"/>
      <c r="N49" s="33" t="str">
        <f ca="1">(_xll.DBR("CXMD:PREV_MARGIN","1","1",pcurrency,pactuality,O49,SOCIETE,"Total_Company_Owner",pallocation,"Total_Customer_Supplier",choix_config,"QTY_ERPK"))</f>
        <v>*KEY_ERR</v>
      </c>
      <c r="O49" s="32" t="s">
        <v>53</v>
      </c>
      <c r="P49" s="89">
        <f ca="1">(_xll.DBR("CXMD:FTM_DATA_MARGIN",O49,pactuality,SOCIETE,pallocation,"Total_Customer_Supplier",choix_config,"QTY_ERPK"))</f>
        <v>3234.3210036266028</v>
      </c>
      <c r="Q49" s="90">
        <f ca="1">(_xll.DBR("CXMD:FTM_DATA_MARGIN",O49,pactuality,SOCIETE,pallocation,"Total_Customer_Supplier",choix_config,"SALES_BEFORE_CEO_MANUAL"))</f>
        <v>-42220963.29746794</v>
      </c>
    </row>
    <row r="50" spans="2:17" x14ac:dyDescent="0.25">
      <c r="B50" s="69"/>
      <c r="C50" s="31"/>
      <c r="D50" s="22"/>
      <c r="E50" s="49" t="s">
        <v>28</v>
      </c>
      <c r="F50" s="38">
        <f ca="1">F49-F48</f>
        <v>929767343.41999984</v>
      </c>
      <c r="G50" s="86" t="s">
        <v>39</v>
      </c>
      <c r="H50" s="25"/>
      <c r="I50" s="56"/>
      <c r="J50" s="10"/>
      <c r="K50" s="10"/>
      <c r="L50" s="10"/>
      <c r="M50" s="10"/>
      <c r="N50" s="33"/>
      <c r="O50" s="32"/>
      <c r="P50" s="90"/>
      <c r="Q50" s="90"/>
    </row>
    <row r="51" spans="2:17" x14ac:dyDescent="0.25">
      <c r="B51" s="69"/>
      <c r="C51" s="31"/>
      <c r="D51" s="22"/>
      <c r="E51" s="49"/>
      <c r="F51" s="38"/>
      <c r="G51" s="78"/>
      <c r="H51" s="25"/>
      <c r="I51" s="56"/>
      <c r="J51" s="10"/>
      <c r="K51" s="10"/>
      <c r="L51" s="10"/>
      <c r="M51" s="10"/>
      <c r="N51" s="33"/>
      <c r="O51" s="32"/>
      <c r="P51" s="33"/>
      <c r="Q51" s="33"/>
    </row>
    <row r="52" spans="2:17" x14ac:dyDescent="0.25">
      <c r="B52" s="69"/>
      <c r="C52" s="31"/>
      <c r="D52" s="22"/>
      <c r="E52" s="79"/>
      <c r="F52" s="25"/>
      <c r="G52" s="78"/>
      <c r="H52" s="25"/>
      <c r="I52" s="56"/>
      <c r="J52" s="10"/>
      <c r="K52" s="10"/>
      <c r="L52" s="10"/>
      <c r="M52" s="10"/>
      <c r="N52" s="33"/>
      <c r="O52" s="32"/>
      <c r="P52" s="33"/>
      <c r="Q52" s="33"/>
    </row>
    <row r="53" spans="2:17" ht="10.5" customHeight="1" x14ac:dyDescent="0.25">
      <c r="B53" s="69"/>
      <c r="C53" s="31"/>
      <c r="D53" s="22"/>
      <c r="E53" s="79"/>
      <c r="F53" s="38"/>
      <c r="G53" s="78"/>
      <c r="H53" s="25"/>
      <c r="I53" s="56"/>
      <c r="J53" s="10"/>
      <c r="K53" s="10"/>
      <c r="L53" s="10"/>
      <c r="M53" s="10"/>
      <c r="N53" s="33"/>
      <c r="O53" s="32"/>
      <c r="P53" s="33"/>
      <c r="Q53" s="33"/>
    </row>
    <row r="54" spans="2:17" ht="15" customHeight="1" x14ac:dyDescent="0.25">
      <c r="B54" s="69"/>
      <c r="C54" s="31"/>
      <c r="D54" s="34"/>
      <c r="E54" s="82" t="s">
        <v>33</v>
      </c>
      <c r="F54" s="88">
        <f ca="1">IF(AND(F49&lt;&gt;0,F48&lt;&gt;0),(((F49/F48)-1)*100),0)</f>
        <v>-172.25335225523938</v>
      </c>
      <c r="G54" s="78" t="s">
        <v>36</v>
      </c>
      <c r="H54" s="25"/>
      <c r="I54" s="56"/>
      <c r="J54" s="17"/>
      <c r="K54" s="10"/>
      <c r="L54" s="10"/>
      <c r="M54" s="10"/>
      <c r="N54" s="10"/>
      <c r="O54" s="10"/>
      <c r="P54" s="10"/>
      <c r="Q54" s="10"/>
    </row>
    <row r="55" spans="2:17" ht="6" customHeight="1" x14ac:dyDescent="0.25">
      <c r="B55" s="69"/>
      <c r="C55" s="31"/>
      <c r="D55" s="34"/>
      <c r="E55" s="40"/>
      <c r="F55" s="35"/>
      <c r="G55" s="80"/>
      <c r="H55" s="25"/>
      <c r="I55" s="56"/>
      <c r="J55" s="17"/>
      <c r="K55" s="10"/>
      <c r="L55" s="10"/>
      <c r="M55" s="10"/>
      <c r="N55" s="10"/>
      <c r="O55" s="10"/>
      <c r="P55" s="10"/>
      <c r="Q55" s="10"/>
    </row>
    <row r="56" spans="2:17" ht="7.5" customHeight="1" thickBot="1" x14ac:dyDescent="0.3">
      <c r="B56" s="70"/>
      <c r="C56" s="60"/>
      <c r="D56" s="71"/>
      <c r="E56" s="59"/>
      <c r="F56" s="59"/>
      <c r="G56" s="58"/>
      <c r="H56" s="60"/>
      <c r="I56" s="61"/>
      <c r="J56" s="17"/>
      <c r="K56" s="10"/>
      <c r="L56" s="10"/>
      <c r="M56" s="10"/>
      <c r="N56" s="10"/>
      <c r="O56" s="10"/>
      <c r="P56" s="10"/>
      <c r="Q56" s="10"/>
    </row>
    <row r="57" spans="2:17" ht="15" hidden="1" customHeight="1" x14ac:dyDescent="0.25">
      <c r="B57" s="21"/>
      <c r="C57" s="31"/>
      <c r="D57" s="34"/>
      <c r="E57" s="45"/>
      <c r="F57" s="45"/>
      <c r="G57" s="28"/>
      <c r="H57" s="31"/>
      <c r="I57" s="23"/>
      <c r="J57" s="17"/>
      <c r="K57" s="10"/>
      <c r="L57" s="10"/>
      <c r="M57" s="10"/>
      <c r="N57" s="10"/>
      <c r="O57" s="10"/>
      <c r="P57" s="10"/>
      <c r="Q57" s="10"/>
    </row>
    <row r="58" spans="2:17" ht="15" hidden="1" customHeight="1" x14ac:dyDescent="0.25">
      <c r="B58" s="21"/>
      <c r="C58" s="27"/>
      <c r="D58" s="34"/>
      <c r="E58" s="45"/>
      <c r="F58" s="45"/>
      <c r="G58" s="28"/>
      <c r="H58" s="31"/>
      <c r="I58" s="23"/>
      <c r="J58" s="17"/>
      <c r="K58" s="10"/>
      <c r="L58" s="10"/>
      <c r="M58" s="10"/>
      <c r="N58" s="10"/>
      <c r="O58" s="10"/>
      <c r="P58" s="10"/>
      <c r="Q58" s="10"/>
    </row>
    <row r="59" spans="2:17" ht="15" hidden="1" customHeight="1" x14ac:dyDescent="0.25">
      <c r="B59" s="21"/>
      <c r="C59" s="31"/>
      <c r="D59" s="34"/>
      <c r="E59" s="45"/>
      <c r="F59" s="45"/>
      <c r="G59" s="28"/>
      <c r="H59" s="31"/>
      <c r="I59" s="23"/>
      <c r="J59" s="17"/>
      <c r="K59" s="10"/>
      <c r="L59" s="10"/>
      <c r="M59" s="10"/>
      <c r="N59" s="10"/>
      <c r="O59" s="10"/>
      <c r="P59" s="10"/>
      <c r="Q59" s="10"/>
    </row>
    <row r="60" spans="2:17" ht="15" hidden="1" customHeight="1" x14ac:dyDescent="0.25">
      <c r="B60" s="21"/>
      <c r="C60" s="31"/>
      <c r="D60" s="37"/>
      <c r="E60" s="45"/>
      <c r="F60" s="45"/>
      <c r="G60" s="28"/>
      <c r="H60" s="31"/>
      <c r="I60" s="23"/>
      <c r="J60" s="17"/>
      <c r="K60" s="10"/>
      <c r="L60" s="10"/>
      <c r="M60" s="10"/>
      <c r="N60" s="10"/>
      <c r="O60" s="10"/>
      <c r="P60" s="10"/>
      <c r="Q60" s="10"/>
    </row>
    <row r="61" spans="2:17" ht="15" hidden="1" customHeight="1" x14ac:dyDescent="0.25">
      <c r="B61" s="21"/>
      <c r="C61" s="31"/>
      <c r="D61" s="22"/>
      <c r="E61" s="45"/>
      <c r="F61" s="45"/>
      <c r="G61" s="28"/>
      <c r="H61" s="31"/>
      <c r="I61" s="23"/>
      <c r="J61" s="17"/>
      <c r="K61" s="10"/>
      <c r="L61" s="10"/>
      <c r="M61" s="10"/>
      <c r="N61" s="10"/>
      <c r="O61" s="10"/>
      <c r="P61" s="10"/>
      <c r="Q61" s="10"/>
    </row>
    <row r="62" spans="2:17" ht="15" hidden="1" customHeight="1" x14ac:dyDescent="0.25">
      <c r="B62" s="21"/>
      <c r="C62" s="31"/>
      <c r="D62" s="22"/>
      <c r="E62" s="45"/>
      <c r="F62" s="45"/>
      <c r="G62" s="28"/>
      <c r="H62" s="31"/>
      <c r="I62" s="23"/>
      <c r="J62" s="17"/>
      <c r="K62" s="10"/>
      <c r="L62" s="10"/>
      <c r="M62" s="10"/>
      <c r="N62" s="10"/>
      <c r="O62" s="10"/>
      <c r="P62" s="10"/>
      <c r="Q62" s="10"/>
    </row>
    <row r="63" spans="2:17" hidden="1" x14ac:dyDescent="0.25">
      <c r="B63" s="21"/>
      <c r="C63" s="31"/>
      <c r="D63" s="22"/>
      <c r="E63" s="45"/>
      <c r="F63" s="45"/>
      <c r="G63" s="28"/>
      <c r="H63" s="31"/>
      <c r="I63" s="23"/>
      <c r="J63" s="17"/>
      <c r="K63" s="10"/>
      <c r="L63" s="10"/>
      <c r="M63" s="10"/>
      <c r="N63" s="10"/>
      <c r="O63" s="10"/>
      <c r="P63" s="10"/>
      <c r="Q63" s="10"/>
    </row>
    <row r="64" spans="2:17" ht="15.75" hidden="1" x14ac:dyDescent="0.25">
      <c r="B64" s="40"/>
      <c r="C64" s="26"/>
      <c r="D64" s="26"/>
      <c r="E64" s="65"/>
      <c r="F64" s="36"/>
      <c r="G64" s="35"/>
      <c r="H64" s="26"/>
      <c r="I64" s="41"/>
      <c r="J64" s="10"/>
      <c r="K64" s="10"/>
      <c r="L64" s="10"/>
      <c r="M64" s="10"/>
      <c r="N64" s="10"/>
      <c r="O64" s="10"/>
      <c r="P64" s="10"/>
      <c r="Q64" s="10"/>
    </row>
    <row r="65" spans="2:17" hidden="1" x14ac:dyDescent="0.25"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2:17" ht="21.95" hidden="1" customHeight="1" x14ac:dyDescent="0.25"/>
  </sheetData>
  <mergeCells count="2">
    <mergeCell ref="H27:H28"/>
    <mergeCell ref="G19:G21"/>
  </mergeCells>
  <pageMargins left="0.7" right="0.7" top="0.75" bottom="0.75" header="0.3" footer="0.3"/>
  <pageSetup paperSize="9" orientation="portrait" verticalDpi="2" r:id="rId1"/>
  <drawing r:id="rId2"/>
  <legacyDrawing r:id="rId3"/>
  <controls>
    <mc:AlternateContent xmlns:mc="http://schemas.openxmlformats.org/markup-compatibility/2006">
      <mc:Choice Requires="x14">
        <control shapeId="2058" r:id="rId4" name="TIButton2">
          <controlPr defaultSize="0" print="0" autoLine="0" autoPict="0" r:id="rId5">
            <anchor moveWithCells="1" sizeWithCells="1">
              <from>
                <xdr:col>2</xdr:col>
                <xdr:colOff>9525</xdr:colOff>
                <xdr:row>40</xdr:row>
                <xdr:rowOff>57150</xdr:rowOff>
              </from>
              <to>
                <xdr:col>3</xdr:col>
                <xdr:colOff>0</xdr:colOff>
                <xdr:row>42</xdr:row>
                <xdr:rowOff>85725</xdr:rowOff>
              </to>
            </anchor>
          </controlPr>
        </control>
      </mc:Choice>
      <mc:Fallback>
        <control shapeId="2058" r:id="rId4" name="TIButton2"/>
      </mc:Fallback>
    </mc:AlternateContent>
    <mc:AlternateContent xmlns:mc="http://schemas.openxmlformats.org/markup-compatibility/2006">
      <mc:Choice Requires="x14">
        <control shapeId="2057" r:id="rId6" name="TIButton4">
          <controlPr defaultSize="0" print="0" autoLine="0" autoPict="0" r:id="rId7">
            <anchor moveWithCells="1" sizeWithCells="1">
              <from>
                <xdr:col>1</xdr:col>
                <xdr:colOff>1924050</xdr:colOff>
                <xdr:row>49</xdr:row>
                <xdr:rowOff>123825</xdr:rowOff>
              </from>
              <to>
                <xdr:col>3</xdr:col>
                <xdr:colOff>0</xdr:colOff>
                <xdr:row>53</xdr:row>
                <xdr:rowOff>152400</xdr:rowOff>
              </to>
            </anchor>
          </controlPr>
        </control>
      </mc:Choice>
      <mc:Fallback>
        <control shapeId="2057" r:id="rId6" name="TIButton4"/>
      </mc:Fallback>
    </mc:AlternateContent>
    <mc:AlternateContent xmlns:mc="http://schemas.openxmlformats.org/markup-compatibility/2006">
      <mc:Choice Requires="x14">
        <control shapeId="2056" r:id="rId8" name="TIButton3">
          <controlPr defaultSize="0" print="0" autoLine="0" autoPict="0" r:id="rId9">
            <anchor moveWithCells="1" sizeWithCells="1">
              <from>
                <xdr:col>6</xdr:col>
                <xdr:colOff>9525</xdr:colOff>
                <xdr:row>26</xdr:row>
                <xdr:rowOff>38100</xdr:rowOff>
              </from>
              <to>
                <xdr:col>6</xdr:col>
                <xdr:colOff>1428750</xdr:colOff>
                <xdr:row>27</xdr:row>
                <xdr:rowOff>123825</xdr:rowOff>
              </to>
            </anchor>
          </controlPr>
        </control>
      </mc:Choice>
      <mc:Fallback>
        <control shapeId="2056" r:id="rId8" name="TIButton3"/>
      </mc:Fallback>
    </mc:AlternateContent>
    <mc:AlternateContent xmlns:mc="http://schemas.openxmlformats.org/markup-compatibility/2006">
      <mc:Choice Requires="x14">
        <control shapeId="2061" r:id="rId10" name="TIButton5">
          <controlPr defaultSize="0" print="0" autoLine="0" autoPict="0" r:id="rId11">
            <anchor moveWithCells="1">
              <from>
                <xdr:col>2</xdr:col>
                <xdr:colOff>9525</xdr:colOff>
                <xdr:row>20</xdr:row>
                <xdr:rowOff>76200</xdr:rowOff>
              </from>
              <to>
                <xdr:col>2</xdr:col>
                <xdr:colOff>1590675</xdr:colOff>
                <xdr:row>22</xdr:row>
                <xdr:rowOff>114300</xdr:rowOff>
              </to>
            </anchor>
          </controlPr>
        </control>
      </mc:Choice>
      <mc:Fallback>
        <control shapeId="2061" r:id="rId10" name="TIButton5"/>
      </mc:Fallback>
    </mc:AlternateContent>
    <mc:AlternateContent xmlns:mc="http://schemas.openxmlformats.org/markup-compatibility/2006">
      <mc:Choice Requires="x14">
        <control shapeId="2062" r:id="rId12" name="TIButton6">
          <controlPr defaultSize="0" print="0" autoLine="0" autoPict="0" r:id="rId13">
            <anchor moveWithCells="1">
              <from>
                <xdr:col>5</xdr:col>
                <xdr:colOff>0</xdr:colOff>
                <xdr:row>50</xdr:row>
                <xdr:rowOff>95250</xdr:rowOff>
              </from>
              <to>
                <xdr:col>6</xdr:col>
                <xdr:colOff>28575</xdr:colOff>
                <xdr:row>52</xdr:row>
                <xdr:rowOff>0</xdr:rowOff>
              </to>
            </anchor>
          </controlPr>
        </control>
      </mc:Choice>
      <mc:Fallback>
        <control shapeId="2062" r:id="rId12" name="TIButton6"/>
      </mc:Fallback>
    </mc:AlternateContent>
    <mc:AlternateContent xmlns:mc="http://schemas.openxmlformats.org/markup-compatibility/2006">
      <mc:Choice Requires="x14">
        <control shapeId="2065" r:id="rId14" name="TIButton7">
          <controlPr defaultSize="0" print="0" autoLine="0" autoPict="0" r:id="rId15">
            <anchor moveWithCells="1">
              <from>
                <xdr:col>6</xdr:col>
                <xdr:colOff>38100</xdr:colOff>
                <xdr:row>16</xdr:row>
                <xdr:rowOff>85725</xdr:rowOff>
              </from>
              <to>
                <xdr:col>6</xdr:col>
                <xdr:colOff>1371600</xdr:colOff>
                <xdr:row>17</xdr:row>
                <xdr:rowOff>180975</xdr:rowOff>
              </to>
            </anchor>
          </controlPr>
        </control>
      </mc:Choice>
      <mc:Fallback>
        <control shapeId="2065" r:id="rId14" name="TI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topLeftCell="B10" workbookViewId="0">
      <selection activeCell="C11" sqref="C11"/>
    </sheetView>
  </sheetViews>
  <sheetFormatPr defaultColWidth="0" defaultRowHeight="15" zeroHeight="1" x14ac:dyDescent="0.25"/>
  <cols>
    <col min="1" max="1" width="20.28515625" hidden="1" customWidth="1"/>
    <col min="2" max="3" width="50.7109375" customWidth="1"/>
    <col min="4" max="9" width="15.7109375" customWidth="1"/>
    <col min="11" max="16384" width="9.140625" hidden="1"/>
  </cols>
  <sheetData>
    <row r="1" spans="1:9" hidden="1" x14ac:dyDescent="0.25">
      <c r="A1" t="s">
        <v>4</v>
      </c>
    </row>
    <row r="2" spans="1:9" hidden="1" x14ac:dyDescent="0.25">
      <c r="A2">
        <f>0</f>
        <v>0</v>
      </c>
      <c r="B2" s="2"/>
      <c r="C2" s="1"/>
      <c r="D2" s="95"/>
      <c r="E2" s="95"/>
      <c r="F2" s="95"/>
      <c r="G2" s="95"/>
      <c r="H2" s="95"/>
      <c r="I2" s="95"/>
    </row>
    <row r="3" spans="1:9" hidden="1" x14ac:dyDescent="0.25">
      <c r="A3">
        <f>1</f>
        <v>1</v>
      </c>
      <c r="B3" s="3"/>
      <c r="C3" s="4"/>
      <c r="D3" s="96"/>
      <c r="E3" s="96"/>
      <c r="F3" s="96"/>
      <c r="G3" s="96"/>
      <c r="H3" s="96"/>
      <c r="I3" s="96"/>
    </row>
    <row r="4" spans="1:9" hidden="1" x14ac:dyDescent="0.25">
      <c r="A4">
        <f>2</f>
        <v>2</v>
      </c>
      <c r="B4" s="3"/>
      <c r="C4" s="4"/>
      <c r="D4" s="96"/>
      <c r="E4" s="96"/>
      <c r="F4" s="96"/>
      <c r="G4" s="96"/>
      <c r="H4" s="96"/>
      <c r="I4" s="96"/>
    </row>
    <row r="5" spans="1:9" hidden="1" x14ac:dyDescent="0.25">
      <c r="A5">
        <f>3</f>
        <v>3</v>
      </c>
      <c r="B5" s="3"/>
      <c r="C5" s="4"/>
      <c r="D5" s="96"/>
      <c r="E5" s="96"/>
      <c r="F5" s="96"/>
      <c r="G5" s="96"/>
      <c r="H5" s="96"/>
      <c r="I5" s="96"/>
    </row>
    <row r="6" spans="1:9" hidden="1" x14ac:dyDescent="0.25">
      <c r="A6" t="s">
        <v>2</v>
      </c>
      <c r="B6" s="3"/>
      <c r="C6" s="4"/>
      <c r="D6" s="96"/>
      <c r="E6" s="96"/>
      <c r="F6" s="96"/>
      <c r="G6" s="96"/>
      <c r="H6" s="96"/>
      <c r="I6" s="96"/>
    </row>
    <row r="7" spans="1:9" hidden="1" x14ac:dyDescent="0.25">
      <c r="A7" t="s">
        <v>3</v>
      </c>
      <c r="B7" s="3"/>
      <c r="D7" s="97"/>
      <c r="E7" s="97"/>
      <c r="F7" s="97"/>
      <c r="G7" s="97"/>
      <c r="H7" s="97"/>
      <c r="I7" s="97"/>
    </row>
    <row r="8" spans="1:9" hidden="1" x14ac:dyDescent="0.25">
      <c r="A8" t="s">
        <v>5</v>
      </c>
    </row>
    <row r="9" spans="1:9" hidden="1" x14ac:dyDescent="0.25">
      <c r="B9" t="str">
        <f ca="1">_xll.TM1RPTVIEW("CXMD:FTM_DATA_MARGIN:ARPT1", 0, _xll.TM1RPTTITLE("CXMD:Month",$C$13), _xll.TM1RPTTITLE("CXMD:Actuality",$C$12), _xll.TM1RPTTITLE("CXMD:DIM_Origin_Company",$C$11), _xll.TM1RPTTITLE("CXMD:DIM_Customer_Supplier",$C$14),TM1RPTFMTRNG,TM1RPTFMTIDCOL)</f>
        <v>CXMD:FTM_DATA_MARGIN:ARPT1</v>
      </c>
    </row>
    <row r="10" spans="1:9" ht="56.25" customHeight="1" x14ac:dyDescent="0.25">
      <c r="B10" s="100"/>
      <c r="C10" s="100"/>
      <c r="D10" s="100"/>
      <c r="E10" s="100"/>
      <c r="F10" s="100"/>
      <c r="G10" s="100"/>
      <c r="H10" s="100"/>
      <c r="I10" s="100"/>
    </row>
    <row r="11" spans="1:9" x14ac:dyDescent="0.25">
      <c r="B11" s="100" t="s">
        <v>66</v>
      </c>
      <c r="C11" s="30" t="str">
        <f ca="1">SOCIETE</f>
        <v>KUHN</v>
      </c>
      <c r="D11" s="100"/>
      <c r="E11" s="100"/>
      <c r="F11" s="100"/>
      <c r="G11" s="100"/>
      <c r="H11" s="100"/>
      <c r="I11" s="100"/>
    </row>
    <row r="12" spans="1:9" x14ac:dyDescent="0.25">
      <c r="B12" s="100" t="s">
        <v>0</v>
      </c>
      <c r="C12" s="30" t="str">
        <f ca="1">pactuality</f>
        <v>WK2 - 2023</v>
      </c>
      <c r="D12" s="100"/>
      <c r="E12" s="100"/>
      <c r="F12" s="100"/>
      <c r="G12" s="100"/>
      <c r="H12" s="100"/>
      <c r="I12" s="100"/>
    </row>
    <row r="13" spans="1:9" x14ac:dyDescent="0.25">
      <c r="B13" s="100" t="s">
        <v>55</v>
      </c>
      <c r="C13" s="30" t="str">
        <f ca="1">_xll.SUBNM("CXMD:Month","Par défaut","Total_Month","Description EN")</f>
        <v>Total_Month</v>
      </c>
      <c r="D13" s="100"/>
      <c r="E13" s="100"/>
      <c r="F13" s="100"/>
      <c r="G13" s="100"/>
      <c r="H13" s="100"/>
      <c r="I13" s="100"/>
    </row>
    <row r="14" spans="1:9" x14ac:dyDescent="0.25">
      <c r="B14" s="100" t="s">
        <v>67</v>
      </c>
      <c r="C14" s="30" t="str">
        <f ca="1">_xll.SUBNM("CXMD:DIM_Customer_Supplier","","Total_Customer_Supplier","Code-Name")</f>
        <v>Total_Customer_Supplier</v>
      </c>
      <c r="D14" s="100"/>
      <c r="E14" s="100"/>
      <c r="F14" s="100"/>
      <c r="G14" s="100"/>
      <c r="H14" s="100"/>
      <c r="I14" s="100"/>
    </row>
    <row r="15" spans="1:9" x14ac:dyDescent="0.25">
      <c r="B15" s="100" t="s">
        <v>9</v>
      </c>
      <c r="C15" s="30" t="str">
        <f ca="1">_xll.SUBNM("CXMD:DIM_Allocation","","Total Allocation","Allocation EN")</f>
        <v>Total Allocation</v>
      </c>
      <c r="D15" s="100"/>
      <c r="E15" s="100"/>
      <c r="F15" s="100"/>
      <c r="G15" s="100"/>
      <c r="H15" s="100"/>
      <c r="I15" s="100"/>
    </row>
    <row r="16" spans="1:9" x14ac:dyDescent="0.25">
      <c r="B16" s="100" t="s">
        <v>68</v>
      </c>
      <c r="C16" s="30" t="str">
        <f ca="1">_xll.SUBNM("CXMD:DIM_Configuration","","TOTAL PRODUCT","Description EN")</f>
        <v>TOTAL PRODUCT</v>
      </c>
      <c r="D16" s="100"/>
      <c r="E16" s="100"/>
      <c r="F16" s="100"/>
      <c r="G16" s="100"/>
      <c r="H16" s="100"/>
      <c r="I16" s="100"/>
    </row>
    <row r="17" spans="1:9" x14ac:dyDescent="0.25">
      <c r="B17" s="100"/>
      <c r="C17" s="100"/>
      <c r="D17" s="100"/>
      <c r="E17" s="100"/>
      <c r="F17" s="100"/>
      <c r="G17" s="100"/>
      <c r="H17" s="100"/>
      <c r="I17" s="100"/>
    </row>
    <row r="18" spans="1:9" x14ac:dyDescent="0.25">
      <c r="B18" s="102"/>
      <c r="C18" s="103"/>
      <c r="D18" s="101" t="s">
        <v>63</v>
      </c>
      <c r="E18" s="101" t="s">
        <v>64</v>
      </c>
      <c r="F18" s="101" t="s">
        <v>65</v>
      </c>
      <c r="G18" s="101" t="s">
        <v>63</v>
      </c>
      <c r="H18" s="101" t="s">
        <v>64</v>
      </c>
      <c r="I18" s="101" t="s">
        <v>65</v>
      </c>
    </row>
    <row r="19" spans="1:9" hidden="1" x14ac:dyDescent="0.25">
      <c r="B19" s="100"/>
      <c r="C19" s="100"/>
      <c r="D19" s="94" t="s">
        <v>56</v>
      </c>
      <c r="E19" s="94"/>
      <c r="F19" s="94" t="s">
        <v>57</v>
      </c>
      <c r="G19" s="94" t="s">
        <v>58</v>
      </c>
      <c r="H19" s="94"/>
      <c r="I19" s="94" t="s">
        <v>59</v>
      </c>
    </row>
    <row r="20" spans="1:9" x14ac:dyDescent="0.25">
      <c r="A20">
        <f ca="1">IF(_xll.TM1RPTELISCONSOLIDATED($C$20,$C20),IF(_xll.TM1RPTELLEV($C$20,$C20)&lt;=3,_xll.TM1RPTELLEV($C$20,$C20),"D"),"N")</f>
        <v>0</v>
      </c>
      <c r="B20" s="98" t="str">
        <f ca="1">_xll.TM1RPTROW($B$9,"CXMD:DIM_Configuration","",C16,"Description EN",0)</f>
        <v>TOTAL PRODUCT</v>
      </c>
      <c r="C20" s="99" t="str">
        <f ca="1">_xll.TM1RPTROW($B$9,"CXMD:DIM_Allocation","",C15,"Allocation EN",0)</f>
        <v>Total Allocation</v>
      </c>
      <c r="D20" s="95">
        <f ca="1">_xll.DBRW($B$9,$C$13,$C$12,$C$11,$C20,$C$14,$B20,D$19)</f>
        <v>37347</v>
      </c>
      <c r="E20" s="95">
        <f ca="1">F20-D20</f>
        <v>0</v>
      </c>
      <c r="F20" s="95">
        <f ca="1">_xll.DBRW($B$9,$C$13,$C$12,$C$11,$C20,$C$14,$B20,F$19)</f>
        <v>37347</v>
      </c>
      <c r="G20" s="95">
        <f ca="1">_xll.DBRW($B$9,$C$13,$C$12,$C$11,$C20,$C$14,$B20,G$19)</f>
        <v>-539767343.41999996</v>
      </c>
      <c r="H20" s="95">
        <f ca="1">I20-G20</f>
        <v>0</v>
      </c>
      <c r="I20" s="95">
        <f ca="1">_xll.DBRW($B$9,$C$13,$C$12,$C$11,$C20,$C$14,$B20,I$19)</f>
        <v>-539767343.41999996</v>
      </c>
    </row>
    <row r="21" spans="1:9" hidden="1" x14ac:dyDescent="0.25"/>
  </sheetData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8"/>
  <sheetViews>
    <sheetView workbookViewId="0"/>
  </sheetViews>
  <sheetFormatPr defaultRowHeight="15" x14ac:dyDescent="0.25"/>
  <sheetData>
    <row r="18" spans="2:2" x14ac:dyDescent="0.25">
      <c r="B18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8:C19"/>
  <sheetViews>
    <sheetView workbookViewId="0"/>
  </sheetViews>
  <sheetFormatPr defaultRowHeight="15" x14ac:dyDescent="0.25"/>
  <sheetData>
    <row r="18" spans="3:3" x14ac:dyDescent="0.25">
      <c r="C18" t="s">
        <v>61</v>
      </c>
    </row>
    <row r="19" spans="3:3" x14ac:dyDescent="0.25">
      <c r="C19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Sales adjustment</vt:lpstr>
      <vt:lpstr>Sales_Adjustment_Check</vt:lpstr>
      <vt:lpstr>{AR}01</vt:lpstr>
      <vt:lpstr>{AR}11</vt:lpstr>
      <vt:lpstr>AdjToEnter</vt:lpstr>
      <vt:lpstr>budget</vt:lpstr>
      <vt:lpstr>choix_config</vt:lpstr>
      <vt:lpstr>pactuality</vt:lpstr>
      <vt:lpstr>pallocation</vt:lpstr>
      <vt:lpstr>Pcopyactuality</vt:lpstr>
      <vt:lpstr>pcurrency</vt:lpstr>
      <vt:lpstr>pmonthfrom</vt:lpstr>
      <vt:lpstr>pmonthto</vt:lpstr>
      <vt:lpstr>SOCIETE</vt:lpstr>
      <vt:lpstr>tarif</vt:lpstr>
      <vt:lpstr>Sales_Adjustment_Check!TM1RPTDATARNGARPT1</vt:lpstr>
      <vt:lpstr>'Sales adjustment'!TM1RPTFMTIDCOL</vt:lpstr>
      <vt:lpstr>Sales_Adjustment_Check!TM1RPTFMTIDCOL</vt:lpstr>
      <vt:lpstr>'Sales adjustment'!TM1RPTFMTRNG</vt:lpstr>
      <vt:lpstr>Sales_Adjustment_Check!TM1RPTFMTRNG</vt:lpstr>
    </vt:vector>
  </TitlesOfParts>
  <Company>KUHN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KUMMER</dc:creator>
  <cp:lastModifiedBy>Serveurs COGNOS</cp:lastModifiedBy>
  <dcterms:created xsi:type="dcterms:W3CDTF">2013-07-22T12:49:35Z</dcterms:created>
  <dcterms:modified xsi:type="dcterms:W3CDTF">2023-05-02T09:13:00Z</dcterms:modified>
</cp:coreProperties>
</file>