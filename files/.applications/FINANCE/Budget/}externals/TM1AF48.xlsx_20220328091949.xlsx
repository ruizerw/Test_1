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3.xml" ContentType="application/vnd.ms-office.activeX+xml"/>
  <Override PartName="/xl/drawings/drawing3.xml" ContentType="application/vnd.openxmlformats-officedocument.drawing+xml"/>
  <Override PartName="/xl/activeX/activeX4.xml" ContentType="application/vnd.ms-office.activeX+xml"/>
  <Override PartName="/xl/drawings/drawing4.xml" ContentType="application/vnd.openxmlformats-officedocument.drawing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120" yWindow="45" windowWidth="15180" windowHeight="8580"/>
  </bookViews>
  <sheets>
    <sheet name="Budget Distribution" sheetId="2" r:id="rId1"/>
    <sheet name="By Month" sheetId="12" r:id="rId2"/>
    <sheet name="By Allocation" sheetId="14" r:id="rId3"/>
    <sheet name="By Configuration" sheetId="5" r:id="rId4"/>
    <sheet name="{AR}01" sheetId="13" state="hidden" r:id="rId5"/>
    <sheet name="{AR}11" sheetId="15" state="hidden" r:id="rId6"/>
  </sheets>
  <definedNames>
    <definedName name="colan">'Budget Distribution'!$A$6</definedName>
    <definedName name="parm_actuality_reference">'Budget Distribution'!$B$12</definedName>
    <definedName name="parm_actuality_split">'Budget Distribution'!$B$10</definedName>
    <definedName name="parm_alloc">'Budget Distribution'!$B$14</definedName>
    <definedName name="parm_config">'Budget Distribution'!$B$15</definedName>
    <definedName name="parm_mois">'Budget Distribution'!$B$16</definedName>
    <definedName name="parm_origin_company">'Budget Distribution'!$B$9</definedName>
    <definedName name="parm_split_alloc">'Budget Distribution'!$B$18</definedName>
    <definedName name="parm_split_config">'Budget Distribution'!$B$19</definedName>
    <definedName name="parm_split_month">'Budget Distribution'!$B$20</definedName>
    <definedName name="TM1REBUILDOPTION">1</definedName>
    <definedName name="TM1RPTDATARNGARPT1" localSheetId="3">'By Configuration'!$25:$47</definedName>
    <definedName name="TM1RPTDATARNGARPT1" localSheetId="1">'By Month'!$25:$37</definedName>
    <definedName name="TM1RPTDATARNGARPT2" localSheetId="2">'By Allocation'!$25:$25</definedName>
    <definedName name="TM1RPTFMTIDCOL" localSheetId="2">'By Allocation'!$A$1:$A$8</definedName>
    <definedName name="TM1RPTFMTIDCOL" localSheetId="3">'By Configuration'!$A$1:$A$8</definedName>
    <definedName name="TM1RPTFMTIDCOL" localSheetId="1">'By Month'!$A$1:$A$8</definedName>
    <definedName name="TM1RPTFMTRNG" localSheetId="2">'By Allocation'!$B$1:$C$8</definedName>
    <definedName name="TM1RPTFMTRNG" localSheetId="3">'By Configuration'!$B$1:$C$8</definedName>
    <definedName name="TM1RPTFMTRNG" localSheetId="1">'By Month'!$B$1:$C$8</definedName>
  </definedNames>
  <calcPr calcId="162913" calcMode="manual" concurrentCalc="0"/>
</workbook>
</file>

<file path=xl/calcChain.xml><?xml version="1.0" encoding="utf-8"?>
<calcChain xmlns="http://schemas.openxmlformats.org/spreadsheetml/2006/main">
  <c r="A47" i="5" l="1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B9" i="5"/>
  <c r="B9" i="2"/>
  <c r="C19" i="5"/>
  <c r="B10" i="2"/>
  <c r="C20" i="5"/>
  <c r="C22" i="5"/>
  <c r="B14" i="2"/>
  <c r="C21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B25" i="5"/>
  <c r="C19" i="14"/>
  <c r="G20" i="14"/>
  <c r="B9" i="14"/>
  <c r="B25" i="14"/>
  <c r="A37" i="12"/>
  <c r="A36" i="12"/>
  <c r="A35" i="12"/>
  <c r="A34" i="12"/>
  <c r="A33" i="12"/>
  <c r="A32" i="12"/>
  <c r="A31" i="12"/>
  <c r="A30" i="12"/>
  <c r="A29" i="12"/>
  <c r="A28" i="12"/>
  <c r="A27" i="12"/>
  <c r="A26" i="12"/>
  <c r="B9" i="12"/>
  <c r="C19" i="12"/>
  <c r="C20" i="12"/>
  <c r="B15" i="2"/>
  <c r="C22" i="12"/>
  <c r="C21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C21" i="14"/>
  <c r="B16" i="2"/>
  <c r="B12" i="2"/>
  <c r="C20" i="14"/>
  <c r="C22" i="14"/>
  <c r="B25" i="12"/>
  <c r="D25" i="12"/>
  <c r="C25" i="12"/>
  <c r="D25" i="5"/>
  <c r="D25" i="14"/>
  <c r="C25" i="14"/>
  <c r="A25" i="14"/>
  <c r="A5" i="14"/>
  <c r="A4" i="14"/>
  <c r="A3" i="14"/>
  <c r="A2" i="14"/>
  <c r="A25" i="12"/>
  <c r="A5" i="12"/>
  <c r="A4" i="12"/>
  <c r="A3" i="12"/>
  <c r="A2" i="12"/>
  <c r="C25" i="5"/>
  <c r="A25" i="5"/>
  <c r="A5" i="5"/>
  <c r="A4" i="5"/>
  <c r="A3" i="5"/>
  <c r="A2" i="5"/>
</calcChain>
</file>

<file path=xl/sharedStrings.xml><?xml version="1.0" encoding="utf-8"?>
<sst xmlns="http://schemas.openxmlformats.org/spreadsheetml/2006/main" count="280" uniqueCount="104">
  <si>
    <t>Actuality</t>
  </si>
  <si>
    <t>Distribution by configuration</t>
  </si>
  <si>
    <t>Distribution by month</t>
  </si>
  <si>
    <t>N</t>
  </si>
  <si>
    <t>(Y/N)</t>
  </si>
  <si>
    <t>Origin_Company</t>
  </si>
  <si>
    <t>Month</t>
  </si>
  <si>
    <t>Configuration</t>
  </si>
  <si>
    <t>Percentage</t>
  </si>
  <si>
    <t>Total Allocation</t>
  </si>
  <si>
    <t>D</t>
  </si>
  <si>
    <t>[Begin Format Range]</t>
  </si>
  <si>
    <t>[End Format Range]</t>
  </si>
  <si>
    <t>Allocation</t>
  </si>
  <si>
    <t>Total_Month</t>
  </si>
  <si>
    <t>Month_forecast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</si>
  <si>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</si>
  <si>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</si>
  <si>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</si>
  <si>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</si>
  <si>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</si>
  <si>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</si>
  <si>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</si>
  <si>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</si>
  <si>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</si>
  <si>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</si>
  <si>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</si>
  <si>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</si>
  <si>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13</t>
  </si>
  <si>
    <t>NA1</t>
  </si>
  <si>
    <t>KG</t>
  </si>
  <si>
    <t>K_A</t>
  </si>
  <si>
    <t>K_B</t>
  </si>
  <si>
    <t>K_C</t>
  </si>
  <si>
    <t>K_K</t>
  </si>
  <si>
    <t>K_D</t>
  </si>
  <si>
    <t>K_E</t>
  </si>
  <si>
    <t>K_F</t>
  </si>
  <si>
    <t>K_G</t>
  </si>
  <si>
    <t>K_H</t>
  </si>
  <si>
    <t>K_I</t>
  </si>
  <si>
    <t>K_J</t>
  </si>
  <si>
    <t>K_P</t>
  </si>
  <si>
    <t>K_L</t>
  </si>
  <si>
    <t>K_N</t>
  </si>
  <si>
    <t>K_O</t>
  </si>
  <si>
    <t>K_Q</t>
  </si>
  <si>
    <t>K_S</t>
  </si>
  <si>
    <t>K_T</t>
  </si>
  <si>
    <t>K_W</t>
  </si>
  <si>
    <t>K_U</t>
  </si>
  <si>
    <t>K_V</t>
  </si>
  <si>
    <t>K_KCN</t>
  </si>
  <si>
    <t>K_3</t>
  </si>
  <si>
    <t>K_R</t>
  </si>
  <si>
    <t>K_Z</t>
  </si>
  <si>
    <t>K_4</t>
  </si>
  <si>
    <t>Actuality to distributed</t>
  </si>
  <si>
    <t>Actuality reference</t>
  </si>
  <si>
    <t>Distribution by allocation</t>
  </si>
  <si>
    <t>Allocation to distributed</t>
  </si>
  <si>
    <t>Configuration to distributed</t>
  </si>
  <si>
    <t>Month to distributed</t>
  </si>
  <si>
    <t>Percentage_qty</t>
  </si>
  <si>
    <t>Origin Company</t>
  </si>
  <si>
    <t>(if you want to generate the split by allocation, put Y)</t>
  </si>
  <si>
    <t>(if you want to generate the split by configuration product, put Y)</t>
  </si>
  <si>
    <t>(if you want to generate the split by month, put Y)</t>
  </si>
  <si>
    <t>Sales Distribution</t>
  </si>
  <si>
    <t>Sales Distribution _ By Allocation</t>
  </si>
  <si>
    <t>Sales Distribution _ By Configuration</t>
  </si>
  <si>
    <t>Sales Distribution _ By Month</t>
  </si>
  <si>
    <t>x</t>
  </si>
  <si>
    <t xml:space="preserve">  </t>
  </si>
  <si>
    <t xml:space="preserve">   </t>
  </si>
  <si>
    <t>(select your company)</t>
  </si>
  <si>
    <t>(select the reference actuality on which the distribution / split has to be based on)</t>
  </si>
  <si>
    <t>(select the product level on which split has to be applied on)</t>
  </si>
  <si>
    <t>(run this process only if the distribution is based on the Actuality reference)</t>
  </si>
  <si>
    <t xml:space="preserve">(select the actuality on which the distribution / split has to be done ; </t>
  </si>
  <si>
    <t>(select at least your company's Sales level  -&gt;  for example, I_SALES for KIT)</t>
  </si>
  <si>
    <r>
      <t xml:space="preserve">         </t>
    </r>
    <r>
      <rPr>
        <b/>
        <sz val="11"/>
        <rFont val="Calibri"/>
        <family val="2"/>
        <scheme val="minor"/>
      </rPr>
      <t xml:space="preserve"> !   </t>
    </r>
    <r>
      <rPr>
        <b/>
        <sz val="9"/>
        <rFont val="Calibri"/>
        <family val="2"/>
        <scheme val="minor"/>
      </rPr>
      <t xml:space="preserve">    should always be a Budget BU, or Plans PL, or Forecast FC actuality)</t>
    </r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</si>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</sst>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;;;"/>
    <numFmt numFmtId="165" formatCode="&quot;- &quot;@"/>
    <numFmt numFmtId="166" formatCode="&quot;+ &quot;@"/>
  </numFmts>
  <fonts count="16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22"/>
      <name val="Calibri"/>
      <family val="2"/>
      <scheme val="minor"/>
    </font>
    <font>
      <sz val="10"/>
      <color theme="0"/>
      <name val="Arial"/>
      <family val="2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11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4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6" fillId="3" borderId="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0" fillId="4" borderId="0" xfId="0" applyFill="1"/>
    <xf numFmtId="0" fontId="0" fillId="5" borderId="0" xfId="0" applyFill="1"/>
    <xf numFmtId="0" fontId="7" fillId="4" borderId="0" xfId="0" applyNumberFormat="1" applyFont="1" applyFill="1"/>
    <xf numFmtId="0" fontId="7" fillId="5" borderId="0" xfId="0" applyNumberFormat="1" applyFont="1" applyFill="1"/>
    <xf numFmtId="0" fontId="7" fillId="0" borderId="0" xfId="0" applyNumberFormat="1" applyFont="1"/>
    <xf numFmtId="0" fontId="5" fillId="3" borderId="9" xfId="0" applyFont="1" applyFill="1" applyBorder="1" applyAlignment="1">
      <alignment horizontal="center"/>
    </xf>
    <xf numFmtId="165" fontId="0" fillId="4" borderId="0" xfId="0" applyNumberFormat="1" applyFill="1" applyAlignment="1"/>
    <xf numFmtId="0" fontId="8" fillId="3" borderId="0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49" fontId="10" fillId="2" borderId="0" xfId="0" applyNumberFormat="1" applyFont="1" applyFill="1" applyAlignment="1">
      <alignment horizontal="left"/>
    </xf>
    <xf numFmtId="0" fontId="9" fillId="0" borderId="0" xfId="0" applyFont="1"/>
    <xf numFmtId="0" fontId="11" fillId="0" borderId="0" xfId="0" applyFont="1"/>
    <xf numFmtId="0" fontId="8" fillId="3" borderId="0" xfId="0" applyFont="1" applyFill="1" applyBorder="1"/>
    <xf numFmtId="0" fontId="8" fillId="3" borderId="2" xfId="0" applyFont="1" applyFill="1" applyBorder="1"/>
    <xf numFmtId="49" fontId="10" fillId="2" borderId="0" xfId="0" applyNumberFormat="1" applyFont="1" applyFill="1" applyAlignment="1"/>
    <xf numFmtId="0" fontId="12" fillId="3" borderId="0" xfId="0" applyFont="1" applyFill="1" applyBorder="1"/>
    <xf numFmtId="0" fontId="14" fillId="0" borderId="0" xfId="0" applyFont="1"/>
    <xf numFmtId="0" fontId="14" fillId="0" borderId="0" xfId="0" applyNumberFormat="1" applyFont="1" applyFill="1"/>
    <xf numFmtId="0" fontId="9" fillId="4" borderId="0" xfId="0" applyNumberFormat="1" applyFont="1" applyFill="1" applyAlignment="1"/>
    <xf numFmtId="0" fontId="15" fillId="3" borderId="0" xfId="0" applyFont="1" applyFill="1" applyBorder="1" applyAlignment="1">
      <alignment horizontal="center"/>
    </xf>
    <xf numFmtId="166" fontId="0" fillId="5" borderId="0" xfId="0" applyNumberFormat="1" applyFill="1" applyAlignment="1">
      <alignment horizontal="left" indent="1"/>
    </xf>
    <xf numFmtId="166" fontId="0" fillId="4" borderId="0" xfId="0" applyNumberFormat="1" applyFill="1" applyAlignment="1"/>
    <xf numFmtId="49" fontId="0" fillId="0" borderId="0" xfId="0" applyNumberFormat="1" applyAlignment="1"/>
    <xf numFmtId="0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CCFF"/>
      <color rgb="FFC8C8C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101"/>
  <ax:ocxPr ax:name="_ExtentY" ax:value="900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948"/>
  <ax:ocxPr ax:name="_ExtentY" ax:value="1720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847"/>
  <ax:ocxPr ax:name="_ExtentY" ax:value="161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25</xdr:row>
          <xdr:rowOff>0</xdr:rowOff>
        </xdr:from>
        <xdr:to>
          <xdr:col>2</xdr:col>
          <xdr:colOff>409575</xdr:colOff>
          <xdr:row>27</xdr:row>
          <xdr:rowOff>57150</xdr:rowOff>
        </xdr:to>
        <xdr:sp macro="" textlink="">
          <xdr:nvSpPr>
            <xdr:cNvPr id="2055" name="TIButton2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21</xdr:row>
          <xdr:rowOff>85725</xdr:rowOff>
        </xdr:from>
        <xdr:to>
          <xdr:col>5</xdr:col>
          <xdr:colOff>190500</xdr:colOff>
          <xdr:row>24</xdr:row>
          <xdr:rowOff>9525</xdr:rowOff>
        </xdr:to>
        <xdr:sp macro="" textlink="">
          <xdr:nvSpPr>
            <xdr:cNvPr id="2056" name="TIButton1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9525</xdr:colOff>
      <xdr:row>0</xdr:row>
      <xdr:rowOff>28575</xdr:rowOff>
    </xdr:from>
    <xdr:to>
      <xdr:col>6</xdr:col>
      <xdr:colOff>99065</xdr:colOff>
      <xdr:row>5</xdr:row>
      <xdr:rowOff>19050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616649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18</xdr:row>
          <xdr:rowOff>66676</xdr:rowOff>
        </xdr:from>
        <xdr:to>
          <xdr:col>5</xdr:col>
          <xdr:colOff>752475</xdr:colOff>
          <xdr:row>20</xdr:row>
          <xdr:rowOff>9526</xdr:rowOff>
        </xdr:to>
        <xdr:sp macro="" textlink="">
          <xdr:nvSpPr>
            <xdr:cNvPr id="10241" name="TIButton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28575</xdr:colOff>
      <xdr:row>9</xdr:row>
      <xdr:rowOff>19050</xdr:rowOff>
    </xdr:from>
    <xdr:to>
      <xdr:col>5</xdr:col>
      <xdr:colOff>51440</xdr:colOff>
      <xdr:row>12</xdr:row>
      <xdr:rowOff>104775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616649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18</xdr:row>
          <xdr:rowOff>142875</xdr:rowOff>
        </xdr:from>
        <xdr:to>
          <xdr:col>5</xdr:col>
          <xdr:colOff>371475</xdr:colOff>
          <xdr:row>20</xdr:row>
          <xdr:rowOff>38100</xdr:rowOff>
        </xdr:to>
        <xdr:sp macro="" textlink="">
          <xdr:nvSpPr>
            <xdr:cNvPr id="8193" name="TIButton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9525</xdr:colOff>
      <xdr:row>9</xdr:row>
      <xdr:rowOff>28575</xdr:rowOff>
    </xdr:from>
    <xdr:to>
      <xdr:col>3</xdr:col>
      <xdr:colOff>765815</xdr:colOff>
      <xdr:row>12</xdr:row>
      <xdr:rowOff>114300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616649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18</xdr:row>
          <xdr:rowOff>66675</xdr:rowOff>
        </xdr:from>
        <xdr:to>
          <xdr:col>5</xdr:col>
          <xdr:colOff>228600</xdr:colOff>
          <xdr:row>19</xdr:row>
          <xdr:rowOff>142875</xdr:rowOff>
        </xdr:to>
        <xdr:sp macro="" textlink="">
          <xdr:nvSpPr>
            <xdr:cNvPr id="9217" name="TIButton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3</xdr:col>
      <xdr:colOff>880115</xdr:colOff>
      <xdr:row>12</xdr:row>
      <xdr:rowOff>85725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6649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4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>
    <tabColor rgb="FF0070C0"/>
  </sheetPr>
  <dimension ref="A1:L95"/>
  <sheetViews>
    <sheetView showGridLines="0" tabSelected="1" workbookViewId="0">
      <selection activeCell="B9" sqref="B9"/>
    </sheetView>
  </sheetViews>
  <sheetFormatPr defaultColWidth="0" defaultRowHeight="12.75" zeroHeight="1" x14ac:dyDescent="0.2"/>
  <cols>
    <col min="1" max="1" width="35.140625" style="1" customWidth="1"/>
    <col min="2" max="2" width="17.7109375" style="1" bestFit="1" customWidth="1"/>
    <col min="3" max="5" width="11.42578125" style="1" customWidth="1"/>
    <col min="6" max="6" width="4" style="1" customWidth="1"/>
    <col min="7" max="7" width="33" style="1" customWidth="1"/>
    <col min="8" max="8" width="20.7109375" style="1" customWidth="1"/>
    <col min="9" max="9" width="11.42578125" style="1" customWidth="1"/>
    <col min="10" max="10" width="3" style="1" customWidth="1"/>
    <col min="11" max="11" width="2.5703125" style="1" customWidth="1"/>
    <col min="12" max="12" width="2.85546875" style="1" customWidth="1"/>
    <col min="13" max="16384" width="11.42578125" style="1" hidden="1"/>
  </cols>
  <sheetData>
    <row r="1" spans="1:12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0.25" x14ac:dyDescent="0.3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</row>
    <row r="4" spans="1:12" ht="20.25" hidden="1" x14ac:dyDescent="0.3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</row>
    <row r="5" spans="1:12" ht="20.25" hidden="1" x14ac:dyDescent="0.3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</row>
    <row r="6" spans="1:12" ht="30" customHeight="1" x14ac:dyDescent="0.45">
      <c r="A6" s="4"/>
      <c r="B6" s="34"/>
      <c r="C6" s="34" t="s">
        <v>68</v>
      </c>
      <c r="D6" s="34"/>
      <c r="E6" s="34"/>
      <c r="F6" s="34"/>
      <c r="G6" s="34"/>
      <c r="H6" s="34"/>
      <c r="I6" s="3"/>
      <c r="J6" s="3"/>
      <c r="K6" s="3"/>
      <c r="L6" s="3"/>
    </row>
    <row r="7" spans="1:12" ht="4.5" customHeight="1" x14ac:dyDescent="0.4">
      <c r="A7" s="4"/>
      <c r="B7" s="4"/>
      <c r="C7" s="5"/>
      <c r="D7" s="3"/>
      <c r="E7" s="3"/>
      <c r="F7" s="3"/>
      <c r="G7" s="3"/>
      <c r="H7" s="3"/>
      <c r="I7" s="3"/>
      <c r="J7" s="3"/>
      <c r="K7" s="3"/>
      <c r="L7" s="3"/>
    </row>
    <row r="8" spans="1:12" ht="4.5" customHeight="1" x14ac:dyDescent="0.2">
      <c r="A8" s="43"/>
      <c r="B8" s="43"/>
      <c r="C8" s="43"/>
      <c r="D8" s="43"/>
      <c r="E8" s="43"/>
      <c r="F8" s="43"/>
      <c r="G8" s="43"/>
      <c r="H8" s="43"/>
      <c r="I8" s="3"/>
      <c r="J8" s="3"/>
      <c r="K8" s="3"/>
      <c r="L8" s="3"/>
    </row>
    <row r="9" spans="1:12" ht="15" x14ac:dyDescent="0.25">
      <c r="A9" s="7" t="s">
        <v>64</v>
      </c>
      <c r="B9" s="15" t="str">
        <f ca="1">_xll.SUBNM("CXMD:DIM_Origin_Company","Par défaut","SILVA","Name EN")</f>
        <v>SILVA</v>
      </c>
      <c r="C9" s="8"/>
      <c r="D9" s="33" t="s">
        <v>75</v>
      </c>
      <c r="E9" s="8"/>
      <c r="F9" s="8"/>
      <c r="G9" s="8"/>
      <c r="H9" s="8"/>
      <c r="I9" s="8"/>
      <c r="J9" s="8"/>
      <c r="K9" s="8"/>
      <c r="L9" s="9"/>
    </row>
    <row r="10" spans="1:12" ht="15" x14ac:dyDescent="0.25">
      <c r="A10" s="10" t="s">
        <v>57</v>
      </c>
      <c r="B10" s="16" t="str">
        <f ca="1">_xll.SUBNM("CXMD:Actuality","Actuality1","BU2018draft","Description EN")</f>
        <v>BU2018draft</v>
      </c>
      <c r="C10" s="6"/>
      <c r="D10" s="32" t="s">
        <v>79</v>
      </c>
      <c r="E10" s="6"/>
      <c r="F10" s="6"/>
      <c r="G10" s="6"/>
      <c r="H10" s="6"/>
      <c r="I10" s="6"/>
      <c r="J10" s="6"/>
      <c r="K10" s="6"/>
      <c r="L10" s="11"/>
    </row>
    <row r="11" spans="1:12" ht="15" x14ac:dyDescent="0.25">
      <c r="A11" s="10"/>
      <c r="B11" s="16"/>
      <c r="C11" s="6"/>
      <c r="D11" s="35" t="s">
        <v>81</v>
      </c>
      <c r="E11" s="6"/>
      <c r="F11" s="6"/>
      <c r="G11" s="6"/>
      <c r="H11" s="6"/>
      <c r="I11" s="6"/>
      <c r="J11" s="6"/>
      <c r="K11" s="6"/>
      <c r="L11" s="11"/>
    </row>
    <row r="12" spans="1:12" ht="15" x14ac:dyDescent="0.25">
      <c r="A12" s="10" t="s">
        <v>58</v>
      </c>
      <c r="B12" s="16" t="str">
        <f ca="1">_xll.SUBNM("CXMD:Actuality","Actuality1","AC2016","Description EN")</f>
        <v>AC2016</v>
      </c>
      <c r="C12" s="6"/>
      <c r="D12" s="32" t="s">
        <v>76</v>
      </c>
      <c r="E12" s="6"/>
      <c r="F12" s="6"/>
      <c r="G12" s="6"/>
      <c r="H12" s="6"/>
      <c r="I12" s="6"/>
      <c r="J12" s="6"/>
      <c r="K12" s="6"/>
      <c r="L12" s="11"/>
    </row>
    <row r="13" spans="1:12" ht="15" x14ac:dyDescent="0.25">
      <c r="A13" s="10"/>
      <c r="B13" s="16"/>
      <c r="C13" s="6"/>
      <c r="D13" s="32"/>
      <c r="E13" s="6"/>
      <c r="F13" s="6"/>
      <c r="G13" s="6"/>
      <c r="H13" s="6"/>
      <c r="I13" s="6"/>
      <c r="J13" s="6"/>
      <c r="K13" s="6"/>
      <c r="L13" s="11"/>
    </row>
    <row r="14" spans="1:12" ht="15" x14ac:dyDescent="0.25">
      <c r="A14" s="10" t="s">
        <v>60</v>
      </c>
      <c r="B14" s="16" t="str">
        <f ca="1">_xll.SUBNM("CXMD:DIM_Allocation","Hiérarchie allocation","-1","Allocation EN")</f>
        <v>--1 - -1-EN</v>
      </c>
      <c r="C14" s="6"/>
      <c r="D14" s="32" t="s">
        <v>80</v>
      </c>
      <c r="E14" s="6"/>
      <c r="F14" s="6"/>
      <c r="G14" s="6"/>
      <c r="H14" s="6"/>
      <c r="I14" s="6"/>
      <c r="J14" s="6"/>
      <c r="K14" s="6"/>
      <c r="L14" s="11"/>
    </row>
    <row r="15" spans="1:12" ht="15" x14ac:dyDescent="0.25">
      <c r="A15" s="10" t="s">
        <v>61</v>
      </c>
      <c r="B15" s="16" t="str">
        <f ca="1">_xll.SUBNM("CXMD:DIM_Configuration","Par défaut","TOTAL PRODUCT","Description EN")</f>
        <v>TOTAL PRODUCT</v>
      </c>
      <c r="C15" s="6"/>
      <c r="D15" s="32" t="s">
        <v>77</v>
      </c>
      <c r="E15" s="6"/>
      <c r="F15" s="6"/>
      <c r="G15" s="6"/>
      <c r="H15" s="6"/>
      <c r="I15" s="6"/>
      <c r="J15" s="6"/>
      <c r="K15" s="6"/>
      <c r="L15" s="11"/>
    </row>
    <row r="16" spans="1:12" ht="15" x14ac:dyDescent="0.25">
      <c r="A16" s="10" t="s">
        <v>62</v>
      </c>
      <c r="B16" s="16" t="str">
        <f ca="1">_xll.SUBNM("CXMD:Month","Par défaut","Calendar Year","Description EN")</f>
        <v>Calendar Year</v>
      </c>
      <c r="C16" s="6"/>
      <c r="D16" s="6"/>
      <c r="E16" s="6"/>
      <c r="F16" s="6"/>
      <c r="G16" s="6"/>
      <c r="H16" s="6"/>
      <c r="I16" s="6"/>
      <c r="J16" s="6"/>
      <c r="K16" s="6"/>
      <c r="L16" s="11"/>
    </row>
    <row r="17" spans="1:12" ht="15" x14ac:dyDescent="0.25">
      <c r="A17" s="10"/>
      <c r="B17" s="16"/>
      <c r="C17" s="6"/>
      <c r="D17" s="6"/>
      <c r="E17" s="6"/>
      <c r="F17" s="6"/>
      <c r="G17" s="6"/>
      <c r="H17" s="6"/>
      <c r="I17" s="6"/>
      <c r="J17" s="6"/>
      <c r="K17" s="6"/>
      <c r="L17" s="11"/>
    </row>
    <row r="18" spans="1:12" ht="15" x14ac:dyDescent="0.25">
      <c r="A18" s="10" t="s">
        <v>59</v>
      </c>
      <c r="B18" s="16" t="s">
        <v>3</v>
      </c>
      <c r="C18" s="6" t="s">
        <v>4</v>
      </c>
      <c r="D18" s="25" t="s">
        <v>65</v>
      </c>
      <c r="E18" s="6"/>
      <c r="F18" s="6"/>
      <c r="G18" s="6"/>
      <c r="H18" s="6"/>
      <c r="I18" s="6"/>
      <c r="J18" s="6"/>
      <c r="K18" s="6"/>
      <c r="L18" s="11"/>
    </row>
    <row r="19" spans="1:12" ht="15" x14ac:dyDescent="0.25">
      <c r="A19" s="10" t="s">
        <v>1</v>
      </c>
      <c r="B19" s="16" t="s">
        <v>3</v>
      </c>
      <c r="C19" s="6" t="s">
        <v>4</v>
      </c>
      <c r="D19" s="25" t="s">
        <v>66</v>
      </c>
      <c r="E19" s="6"/>
      <c r="F19" s="6"/>
      <c r="G19" s="6"/>
      <c r="H19" s="6"/>
      <c r="I19" s="6"/>
      <c r="J19" s="6"/>
      <c r="K19" s="6"/>
      <c r="L19" s="11"/>
    </row>
    <row r="20" spans="1:12" ht="15" x14ac:dyDescent="0.25">
      <c r="A20" s="10" t="s">
        <v>2</v>
      </c>
      <c r="B20" s="16" t="s">
        <v>3</v>
      </c>
      <c r="C20" s="6" t="s">
        <v>4</v>
      </c>
      <c r="D20" s="25" t="s">
        <v>67</v>
      </c>
      <c r="E20" s="6"/>
      <c r="F20" s="6"/>
      <c r="G20" s="6"/>
      <c r="H20" s="6"/>
      <c r="I20" s="6"/>
      <c r="J20" s="6"/>
      <c r="K20" s="6"/>
      <c r="L20" s="11"/>
    </row>
    <row r="21" spans="1:12" ht="15" x14ac:dyDescent="0.25">
      <c r="A21" s="10"/>
      <c r="B21" s="16"/>
      <c r="C21" s="6"/>
      <c r="D21" s="25"/>
      <c r="E21" s="6"/>
      <c r="F21" s="6"/>
      <c r="G21" s="6"/>
      <c r="H21" s="6"/>
      <c r="I21" s="6"/>
      <c r="J21" s="6"/>
      <c r="K21" s="6"/>
      <c r="L21" s="11"/>
    </row>
    <row r="22" spans="1:12" ht="15" x14ac:dyDescent="0.25">
      <c r="A22" s="10"/>
      <c r="B22" s="16"/>
      <c r="C22" s="6"/>
      <c r="D22" s="25"/>
      <c r="E22" s="6"/>
      <c r="F22" s="6"/>
      <c r="G22" s="6"/>
      <c r="H22" s="6"/>
      <c r="I22" s="6"/>
      <c r="J22" s="6"/>
      <c r="K22" s="6"/>
      <c r="L22" s="11"/>
    </row>
    <row r="23" spans="1:12" ht="15" x14ac:dyDescent="0.25">
      <c r="A23" s="10"/>
      <c r="B23" s="16"/>
      <c r="C23" s="6"/>
      <c r="D23" s="25"/>
      <c r="E23" s="6"/>
      <c r="F23" s="6"/>
      <c r="G23" s="32" t="s">
        <v>78</v>
      </c>
      <c r="H23" s="6"/>
      <c r="I23" s="6"/>
      <c r="J23" s="6"/>
      <c r="K23" s="6"/>
      <c r="L23" s="11"/>
    </row>
    <row r="24" spans="1:12" ht="15" x14ac:dyDescent="0.25">
      <c r="A24" s="10"/>
      <c r="B24" s="16"/>
      <c r="C24" s="6"/>
      <c r="D24" s="25"/>
      <c r="E24" s="6"/>
      <c r="F24" s="6"/>
      <c r="G24" s="6"/>
      <c r="H24" s="6"/>
      <c r="I24" s="6"/>
      <c r="J24" s="6"/>
      <c r="K24" s="6"/>
      <c r="L24" s="11"/>
    </row>
    <row r="25" spans="1:12" ht="15" x14ac:dyDescent="0.25">
      <c r="A25" s="10"/>
      <c r="B25" s="16"/>
      <c r="C25" s="6"/>
      <c r="D25" s="25"/>
      <c r="E25" s="6"/>
      <c r="F25" s="6"/>
      <c r="G25" s="6"/>
      <c r="H25" s="6"/>
      <c r="I25" s="6"/>
      <c r="J25" s="6"/>
      <c r="K25" s="6"/>
      <c r="L25" s="11"/>
    </row>
    <row r="26" spans="1:12" ht="15" x14ac:dyDescent="0.25">
      <c r="A26" s="10"/>
      <c r="B26" s="16"/>
      <c r="C26" s="6"/>
      <c r="D26" s="25"/>
      <c r="E26" s="6"/>
      <c r="F26" s="6"/>
      <c r="G26" s="6"/>
      <c r="H26" s="6"/>
      <c r="I26" s="6"/>
      <c r="J26" s="6"/>
      <c r="K26" s="6"/>
      <c r="L26" s="11"/>
    </row>
    <row r="27" spans="1:12" ht="15" x14ac:dyDescent="0.25">
      <c r="A27" s="10"/>
      <c r="B27" s="16"/>
      <c r="C27" s="6"/>
      <c r="D27" s="25"/>
      <c r="E27" s="6"/>
      <c r="F27" s="6"/>
      <c r="G27" s="6"/>
      <c r="H27" s="6"/>
      <c r="I27" s="6"/>
      <c r="J27" s="6"/>
      <c r="K27" s="6"/>
      <c r="L27" s="11"/>
    </row>
    <row r="28" spans="1:12" ht="15" x14ac:dyDescent="0.25">
      <c r="A28" s="12"/>
      <c r="B28" s="17"/>
      <c r="C28" s="13"/>
      <c r="D28" s="26"/>
      <c r="E28" s="13"/>
      <c r="F28" s="13"/>
      <c r="G28" s="13"/>
      <c r="H28" s="13"/>
      <c r="I28" s="13"/>
      <c r="J28" s="13"/>
      <c r="K28" s="13"/>
      <c r="L28" s="14"/>
    </row>
    <row r="29" spans="1:12" x14ac:dyDescent="0.2"/>
    <row r="30" spans="1:12" x14ac:dyDescent="0.2"/>
    <row r="31" spans="1:12" x14ac:dyDescent="0.2"/>
    <row r="32" spans="1:12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x14ac:dyDescent="0.2"/>
    <row r="93" x14ac:dyDescent="0.2"/>
    <row r="94" x14ac:dyDescent="0.2"/>
    <row r="95" x14ac:dyDescent="0.2"/>
  </sheetData>
  <mergeCells count="1">
    <mergeCell ref="A8:H8"/>
  </mergeCells>
  <phoneticPr fontId="0" type="noConversion"/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2056" r:id="rId4" name="TIButton1">
          <controlPr defaultSize="0" print="0" autoLine="0" r:id="rId5">
            <anchor moveWithCells="1" sizeWithCells="1">
              <from>
                <xdr:col>1</xdr:col>
                <xdr:colOff>19050</xdr:colOff>
                <xdr:row>21</xdr:row>
                <xdr:rowOff>85725</xdr:rowOff>
              </from>
              <to>
                <xdr:col>5</xdr:col>
                <xdr:colOff>190500</xdr:colOff>
                <xdr:row>24</xdr:row>
                <xdr:rowOff>9525</xdr:rowOff>
              </to>
            </anchor>
          </controlPr>
        </control>
      </mc:Choice>
      <mc:Fallback>
        <control shapeId="2056" r:id="rId4" name="TIButton1"/>
      </mc:Fallback>
    </mc:AlternateContent>
    <mc:AlternateContent xmlns:mc="http://schemas.openxmlformats.org/markup-compatibility/2006">
      <mc:Choice Requires="x14">
        <control shapeId="2055" r:id="rId6" name="TIButton2">
          <controlPr defaultSize="0" print="0" autoLine="0" autoPict="0" r:id="rId7">
            <anchor moveWithCells="1" sizeWithCells="1">
              <from>
                <xdr:col>1</xdr:col>
                <xdr:colOff>19050</xdr:colOff>
                <xdr:row>25</xdr:row>
                <xdr:rowOff>0</xdr:rowOff>
              </from>
              <to>
                <xdr:col>2</xdr:col>
                <xdr:colOff>409575</xdr:colOff>
                <xdr:row>27</xdr:row>
                <xdr:rowOff>57150</xdr:rowOff>
              </to>
            </anchor>
          </controlPr>
        </control>
      </mc:Choice>
      <mc:Fallback>
        <control shapeId="2055" r:id="rId6" name="TIButton2"/>
      </mc:Fallback>
    </mc:AlternateContent>
    <mc:AlternateContent xmlns:mc="http://schemas.openxmlformats.org/markup-compatibility/2006">
      <mc:Choice Requires="x14">
        <control shapeId="2049" r:id="rId8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ALL356"/>
  <sheetViews>
    <sheetView topLeftCell="B10" workbookViewId="0">
      <selection activeCell="C19" sqref="C19"/>
    </sheetView>
  </sheetViews>
  <sheetFormatPr defaultColWidth="0" defaultRowHeight="12.75" zeroHeight="1" x14ac:dyDescent="0.2"/>
  <cols>
    <col min="1" max="1" width="19.28515625" hidden="1" customWidth="1"/>
    <col min="2" max="2" width="38.140625" bestFit="1" customWidth="1"/>
    <col min="3" max="4" width="21.28515625" customWidth="1"/>
    <col min="5" max="12" width="11.42578125" customWidth="1"/>
    <col min="13" max="16384" width="11.42578125" hidden="1"/>
  </cols>
  <sheetData>
    <row r="1" spans="1:12" hidden="1" x14ac:dyDescent="0.2">
      <c r="A1" t="s">
        <v>11</v>
      </c>
    </row>
    <row r="2" spans="1:12" ht="24" hidden="1" customHeight="1" x14ac:dyDescent="0.2">
      <c r="A2">
        <f>0</f>
        <v>0</v>
      </c>
      <c r="B2" s="18"/>
      <c r="C2" s="20"/>
      <c r="D2" s="20"/>
    </row>
    <row r="3" spans="1:12" ht="21.75" hidden="1" customHeight="1" x14ac:dyDescent="0.2">
      <c r="A3">
        <f>1</f>
        <v>1</v>
      </c>
      <c r="B3" s="19"/>
      <c r="C3" s="21"/>
      <c r="D3" s="21"/>
    </row>
    <row r="4" spans="1:12" ht="29.25" hidden="1" customHeight="1" x14ac:dyDescent="0.2">
      <c r="A4">
        <f>2</f>
        <v>2</v>
      </c>
      <c r="B4" s="19"/>
      <c r="C4" s="21"/>
      <c r="D4" s="21"/>
    </row>
    <row r="5" spans="1:12" ht="34.5" hidden="1" customHeight="1" x14ac:dyDescent="0.2">
      <c r="A5">
        <f>3</f>
        <v>3</v>
      </c>
      <c r="B5" s="19"/>
      <c r="C5" s="21"/>
      <c r="D5" s="21"/>
    </row>
    <row r="6" spans="1:12" ht="15" hidden="1" customHeight="1" x14ac:dyDescent="0.2">
      <c r="A6" t="s">
        <v>10</v>
      </c>
      <c r="B6" s="19"/>
      <c r="C6" s="21"/>
      <c r="D6" s="21"/>
    </row>
    <row r="7" spans="1:12" ht="15.75" hidden="1" customHeight="1" x14ac:dyDescent="0.2">
      <c r="A7" t="s">
        <v>3</v>
      </c>
      <c r="C7" s="22"/>
      <c r="D7" s="22"/>
    </row>
    <row r="8" spans="1:12" ht="27.75" hidden="1" customHeight="1" x14ac:dyDescent="0.2">
      <c r="A8" t="s">
        <v>12</v>
      </c>
    </row>
    <row r="9" spans="1:12" ht="27" hidden="1" customHeight="1" x14ac:dyDescent="0.2">
      <c r="B9" t="str">
        <f ca="1">_xll.TM1RPTVIEW("CXMD:FTM_DATA_SPLIT_MARGIN:ARPT1", 0, _xll.TM1RPTTITLE("CXMD:DIM_Origin_Company",$C$19), _xll.TM1RPTTITLE("CXMD:Actuality",$C$20), _xll.TM1RPTTITLE("CXMD:DIM_Configuration",$C$22), _xll.TM1RPTTITLE("CXMD:DIM_Allocation",$C$21),TM1RPTFMTRNG,TM1RPTFMTIDCOL)</f>
        <v>CXMD:FTM_DATA_SPLIT_MARGIN:ARPT1</v>
      </c>
    </row>
    <row r="10" spans="1:12" x14ac:dyDescent="0.2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idden="1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idden="1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8.5" x14ac:dyDescent="0.45">
      <c r="B16" s="3"/>
      <c r="C16" s="29" t="s">
        <v>71</v>
      </c>
      <c r="D16" s="29"/>
      <c r="E16" s="3"/>
      <c r="F16" s="3"/>
      <c r="G16" s="3"/>
      <c r="H16" s="3"/>
      <c r="I16" s="3"/>
      <c r="J16" s="3"/>
      <c r="K16" s="3"/>
      <c r="L16" s="3"/>
    </row>
    <row r="17" spans="1:1000" ht="5.0999999999999996" customHeight="1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000" ht="5.0999999999999996" customHeight="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000" ht="15" x14ac:dyDescent="0.25">
      <c r="B19" s="7" t="s">
        <v>5</v>
      </c>
      <c r="C19" s="15" t="str">
        <f ca="1">parm_origin_company</f>
        <v>SILVA</v>
      </c>
      <c r="D19" s="15"/>
      <c r="E19" s="8"/>
      <c r="F19" s="8"/>
      <c r="G19" s="8"/>
      <c r="H19" s="8"/>
      <c r="I19" s="8"/>
      <c r="J19" s="8"/>
      <c r="K19" s="8"/>
      <c r="L19" s="9"/>
    </row>
    <row r="20" spans="1:1000" ht="15" x14ac:dyDescent="0.25">
      <c r="B20" s="10" t="s">
        <v>0</v>
      </c>
      <c r="C20" s="16" t="str">
        <f ca="1">parm_actuality_split</f>
        <v>BU2018draft</v>
      </c>
      <c r="D20" s="16"/>
      <c r="E20" s="6"/>
      <c r="F20" s="6"/>
      <c r="G20" s="6"/>
      <c r="H20" s="6"/>
      <c r="I20" s="6"/>
      <c r="J20" s="6"/>
      <c r="K20" s="6"/>
      <c r="L20" s="11"/>
    </row>
    <row r="21" spans="1:1000" ht="15" x14ac:dyDescent="0.25">
      <c r="B21" s="10" t="s">
        <v>13</v>
      </c>
      <c r="C21" s="16" t="str">
        <f ca="1">parm_alloc</f>
        <v>--1 - -1-EN</v>
      </c>
      <c r="D21" s="16"/>
      <c r="E21" s="32" t="s">
        <v>80</v>
      </c>
      <c r="F21" s="6"/>
      <c r="G21" s="6"/>
      <c r="H21" s="6"/>
      <c r="I21" s="6"/>
      <c r="J21" s="6"/>
      <c r="K21" s="6"/>
      <c r="L21" s="11"/>
    </row>
    <row r="22" spans="1:1000" ht="15" x14ac:dyDescent="0.25">
      <c r="B22" s="10" t="s">
        <v>7</v>
      </c>
      <c r="C22" s="16" t="str">
        <f ca="1">parm_config</f>
        <v>TOTAL PRODUCT</v>
      </c>
      <c r="D22" s="16"/>
      <c r="E22" s="32" t="s">
        <v>77</v>
      </c>
      <c r="F22" s="6"/>
      <c r="G22" s="6"/>
      <c r="H22" s="6"/>
      <c r="I22" s="6"/>
      <c r="J22" s="6"/>
      <c r="K22" s="6"/>
      <c r="L22" s="11"/>
    </row>
    <row r="23" spans="1:1000" ht="15" x14ac:dyDescent="0.25">
      <c r="B23" s="12"/>
      <c r="C23" s="17"/>
      <c r="D23" s="17"/>
      <c r="E23" s="13"/>
      <c r="F23" s="13"/>
      <c r="G23" s="13"/>
      <c r="H23" s="13"/>
      <c r="I23" s="13"/>
      <c r="J23" s="13"/>
      <c r="K23" s="13"/>
      <c r="L23" s="14"/>
    </row>
    <row r="24" spans="1:1000" ht="15" x14ac:dyDescent="0.25">
      <c r="C24" s="23" t="s">
        <v>8</v>
      </c>
      <c r="D24" s="23" t="s">
        <v>63</v>
      </c>
      <c r="E24" s="31" t="s">
        <v>72</v>
      </c>
    </row>
    <row r="25" spans="1:1000" s="36" customFormat="1" ht="15" x14ac:dyDescent="0.25">
      <c r="A25">
        <f ca="1">IF(_xll.TM1RPTELISCONSOLIDATED($B$25,$B25),IF(_xll.TM1RPTELLEV($B$25,$B25)&lt;=3,_xll.TM1RPTELLEV($B$25,$B25),"D"),"N")</f>
        <v>0</v>
      </c>
      <c r="B25" s="41" t="str">
        <f ca="1">_xll.TM1RPTROW($B$9,"CXMD:Month","ChoixMois","","Description EN",0)</f>
        <v>Total_Month</v>
      </c>
      <c r="C25" s="20" t="str">
        <f ca="1">_xll.DBRW($B$9,$C$19,$C$20,$B25,$C$22,$C$21,C$24)</f>
        <v>*KEY_ERR</v>
      </c>
      <c r="D25" s="37" t="str">
        <f ca="1">_xll.DBRW($B$9,$C$19,$C$20,$B25,$C$22,$C$21,D$24)</f>
        <v>*KEY_ERR</v>
      </c>
      <c r="E25" s="36" t="s">
        <v>74</v>
      </c>
    </row>
    <row r="26" spans="1:1000" ht="15" x14ac:dyDescent="0.25">
      <c r="A26" t="str">
        <f ca="1">IF(_xll.TM1RPTELISCONSOLIDATED($B$25,$B26),IF(_xll.TM1RPTELLEV($B$25,$B26)&lt;=3,_xll.TM1RPTELLEV($B$25,$B26),"D"),"N")</f>
        <v>N</v>
      </c>
      <c r="B26" s="42" t="s">
        <v>16</v>
      </c>
      <c r="C26" s="22" t="str">
        <f ca="1">_xll.DBRW($B$9,$C$19,$C$20,$B26,$C$22,$C$21,C$24)</f>
        <v>*KEY_ERR</v>
      </c>
      <c r="D26" s="37" t="str">
        <f ca="1">_xll.DBRW($B$9,$C$19,$C$20,$B26,$C$22,$C$21,D$24)</f>
        <v>*KEY_ERR</v>
      </c>
      <c r="E26" s="36" t="s">
        <v>74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  <c r="JE26" s="36"/>
      <c r="JF26" s="36"/>
      <c r="JG26" s="36"/>
      <c r="JH26" s="36"/>
      <c r="JI26" s="36"/>
      <c r="JJ26" s="36"/>
      <c r="JK26" s="36"/>
      <c r="JL26" s="36"/>
      <c r="JM26" s="36"/>
      <c r="JN26" s="36"/>
      <c r="JO26" s="36"/>
      <c r="JP26" s="36"/>
      <c r="JQ26" s="36"/>
      <c r="JR26" s="36"/>
      <c r="JS26" s="36"/>
      <c r="JT26" s="36"/>
      <c r="JU26" s="36"/>
      <c r="JV26" s="36"/>
      <c r="JW26" s="36"/>
      <c r="JX26" s="36"/>
      <c r="JY26" s="36"/>
      <c r="JZ26" s="36"/>
      <c r="KA26" s="36"/>
      <c r="KB26" s="36"/>
      <c r="KC26" s="36"/>
      <c r="KD26" s="36"/>
      <c r="KE26" s="36"/>
      <c r="KF26" s="36"/>
      <c r="KG26" s="36"/>
      <c r="KH26" s="36"/>
      <c r="KI26" s="36"/>
      <c r="KJ26" s="36"/>
      <c r="KK26" s="36"/>
      <c r="KL26" s="36"/>
      <c r="KM26" s="36"/>
      <c r="KN26" s="36"/>
      <c r="KO26" s="36"/>
      <c r="KP26" s="36"/>
      <c r="KQ26" s="36"/>
      <c r="KR26" s="36"/>
      <c r="KS26" s="36"/>
      <c r="KT26" s="36"/>
      <c r="KU26" s="36"/>
      <c r="KV26" s="36"/>
      <c r="KW26" s="36"/>
      <c r="KX26" s="36"/>
      <c r="KY26" s="36"/>
      <c r="KZ26" s="36"/>
      <c r="LA26" s="36"/>
      <c r="LB26" s="36"/>
      <c r="LC26" s="36"/>
      <c r="LD26" s="36"/>
      <c r="LE26" s="36"/>
      <c r="LF26" s="36"/>
      <c r="LG26" s="36"/>
      <c r="LH26" s="36"/>
      <c r="LI26" s="36"/>
      <c r="LJ26" s="36"/>
      <c r="LK26" s="36"/>
      <c r="LL26" s="36"/>
      <c r="LM26" s="36"/>
      <c r="LN26" s="36"/>
      <c r="LO26" s="36"/>
      <c r="LP26" s="36"/>
      <c r="LQ26" s="36"/>
      <c r="LR26" s="36"/>
      <c r="LS26" s="36"/>
      <c r="LT26" s="36"/>
      <c r="LU26" s="36"/>
      <c r="LV26" s="36"/>
      <c r="LW26" s="36"/>
      <c r="LX26" s="36"/>
      <c r="LY26" s="36"/>
      <c r="LZ26" s="36"/>
      <c r="MA26" s="36"/>
      <c r="MB26" s="36"/>
      <c r="MC26" s="36"/>
      <c r="MD26" s="36"/>
      <c r="ME26" s="36"/>
      <c r="MF26" s="36"/>
      <c r="MG26" s="36"/>
      <c r="MH26" s="36"/>
      <c r="MI26" s="36"/>
      <c r="MJ26" s="36"/>
      <c r="MK26" s="36"/>
      <c r="ML26" s="36"/>
      <c r="MM26" s="36"/>
      <c r="MN26" s="36"/>
      <c r="MO26" s="36"/>
      <c r="MP26" s="36"/>
      <c r="MQ26" s="36"/>
      <c r="MR26" s="36"/>
      <c r="MS26" s="36"/>
      <c r="MT26" s="36"/>
      <c r="MU26" s="36"/>
      <c r="MV26" s="36"/>
      <c r="MW26" s="36"/>
      <c r="MX26" s="36"/>
      <c r="MY26" s="36"/>
      <c r="MZ26" s="36"/>
      <c r="NA26" s="36"/>
      <c r="NB26" s="36"/>
      <c r="NC26" s="36"/>
      <c r="ND26" s="36"/>
      <c r="NE26" s="36"/>
      <c r="NF26" s="36"/>
      <c r="NG26" s="36"/>
      <c r="NH26" s="36"/>
      <c r="NI26" s="36"/>
      <c r="NJ26" s="36"/>
      <c r="NK26" s="36"/>
      <c r="NL26" s="36"/>
      <c r="NM26" s="36"/>
      <c r="NN26" s="36"/>
      <c r="NO26" s="36"/>
      <c r="NP26" s="36"/>
      <c r="NQ26" s="36"/>
      <c r="NR26" s="36"/>
      <c r="NS26" s="36"/>
      <c r="NT26" s="36"/>
      <c r="NU26" s="36"/>
      <c r="NV26" s="36"/>
      <c r="NW26" s="36"/>
      <c r="NX26" s="36"/>
      <c r="NY26" s="36"/>
      <c r="NZ26" s="36"/>
      <c r="OA26" s="36"/>
      <c r="OB26" s="36"/>
      <c r="OC26" s="36"/>
      <c r="OD26" s="36"/>
      <c r="OE26" s="36"/>
      <c r="OF26" s="36"/>
      <c r="OG26" s="36"/>
      <c r="OH26" s="36"/>
      <c r="OI26" s="36"/>
      <c r="OJ26" s="36"/>
      <c r="OK26" s="36"/>
      <c r="OL26" s="36"/>
      <c r="OM26" s="36"/>
      <c r="ON26" s="36"/>
      <c r="OO26" s="36"/>
      <c r="OP26" s="36"/>
      <c r="OQ26" s="36"/>
      <c r="OR26" s="36"/>
      <c r="OS26" s="36"/>
      <c r="OT26" s="36"/>
      <c r="OU26" s="36"/>
      <c r="OV26" s="36"/>
      <c r="OW26" s="36"/>
      <c r="OX26" s="36"/>
      <c r="OY26" s="36"/>
      <c r="OZ26" s="36"/>
      <c r="PA26" s="36"/>
      <c r="PB26" s="36"/>
      <c r="PC26" s="36"/>
      <c r="PD26" s="36"/>
      <c r="PE26" s="36"/>
      <c r="PF26" s="36"/>
      <c r="PG26" s="36"/>
      <c r="PH26" s="36"/>
      <c r="PI26" s="36"/>
      <c r="PJ26" s="36"/>
      <c r="PK26" s="36"/>
      <c r="PL26" s="36"/>
      <c r="PM26" s="36"/>
      <c r="PN26" s="36"/>
      <c r="PO26" s="36"/>
      <c r="PP26" s="36"/>
      <c r="PQ26" s="36"/>
      <c r="PR26" s="36"/>
      <c r="PS26" s="36"/>
      <c r="PT26" s="36"/>
      <c r="PU26" s="36"/>
      <c r="PV26" s="36"/>
      <c r="PW26" s="36"/>
      <c r="PX26" s="36"/>
      <c r="PY26" s="36"/>
      <c r="PZ26" s="36"/>
      <c r="QA26" s="36"/>
      <c r="QB26" s="36"/>
      <c r="QC26" s="36"/>
      <c r="QD26" s="36"/>
      <c r="QE26" s="36"/>
      <c r="QF26" s="36"/>
      <c r="QG26" s="36"/>
      <c r="QH26" s="36"/>
      <c r="QI26" s="36"/>
      <c r="QJ26" s="36"/>
      <c r="QK26" s="36"/>
      <c r="QL26" s="36"/>
      <c r="QM26" s="36"/>
      <c r="QN26" s="36"/>
      <c r="QO26" s="36"/>
      <c r="QP26" s="36"/>
      <c r="QQ26" s="36"/>
      <c r="QR26" s="36"/>
      <c r="QS26" s="36"/>
      <c r="QT26" s="36"/>
      <c r="QU26" s="36"/>
      <c r="QV26" s="36"/>
      <c r="QW26" s="36"/>
      <c r="QX26" s="36"/>
      <c r="QY26" s="36"/>
      <c r="QZ26" s="36"/>
      <c r="RA26" s="36"/>
      <c r="RB26" s="36"/>
      <c r="RC26" s="36"/>
      <c r="RD26" s="36"/>
      <c r="RE26" s="36"/>
      <c r="RF26" s="36"/>
      <c r="RG26" s="36"/>
      <c r="RH26" s="36"/>
      <c r="RI26" s="36"/>
      <c r="RJ26" s="36"/>
      <c r="RK26" s="36"/>
      <c r="RL26" s="36"/>
      <c r="RM26" s="36"/>
      <c r="RN26" s="36"/>
      <c r="RO26" s="36"/>
      <c r="RP26" s="36"/>
      <c r="RQ26" s="36"/>
      <c r="RR26" s="36"/>
      <c r="RS26" s="36"/>
      <c r="RT26" s="36"/>
      <c r="RU26" s="36"/>
      <c r="RV26" s="36"/>
      <c r="RW26" s="36"/>
      <c r="RX26" s="36"/>
      <c r="RY26" s="36"/>
      <c r="RZ26" s="36"/>
      <c r="SA26" s="36"/>
      <c r="SB26" s="36"/>
      <c r="SC26" s="36"/>
      <c r="SD26" s="36"/>
      <c r="SE26" s="36"/>
      <c r="SF26" s="36"/>
      <c r="SG26" s="36"/>
      <c r="SH26" s="36"/>
      <c r="SI26" s="36"/>
      <c r="SJ26" s="36"/>
      <c r="SK26" s="36"/>
      <c r="SL26" s="36"/>
      <c r="SM26" s="36"/>
      <c r="SN26" s="36"/>
      <c r="SO26" s="36"/>
      <c r="SP26" s="36"/>
      <c r="SQ26" s="36"/>
      <c r="SR26" s="36"/>
      <c r="SS26" s="36"/>
      <c r="ST26" s="36"/>
      <c r="SU26" s="36"/>
      <c r="SV26" s="36"/>
      <c r="SW26" s="36"/>
      <c r="SX26" s="36"/>
      <c r="SY26" s="36"/>
      <c r="SZ26" s="36"/>
      <c r="TA26" s="36"/>
      <c r="TB26" s="36"/>
      <c r="TC26" s="36"/>
      <c r="TD26" s="36"/>
      <c r="TE26" s="36"/>
      <c r="TF26" s="36"/>
      <c r="TG26" s="36"/>
      <c r="TH26" s="36"/>
      <c r="TI26" s="36"/>
      <c r="TJ26" s="36"/>
      <c r="TK26" s="36"/>
      <c r="TL26" s="36"/>
      <c r="TM26" s="36"/>
      <c r="TN26" s="36"/>
      <c r="TO26" s="36"/>
      <c r="TP26" s="36"/>
      <c r="TQ26" s="36"/>
      <c r="TR26" s="36"/>
      <c r="TS26" s="36"/>
      <c r="TT26" s="36"/>
      <c r="TU26" s="36"/>
      <c r="TV26" s="36"/>
      <c r="TW26" s="36"/>
      <c r="TX26" s="36"/>
      <c r="TY26" s="36"/>
      <c r="TZ26" s="36"/>
      <c r="UA26" s="36"/>
      <c r="UB26" s="36"/>
      <c r="UC26" s="36"/>
      <c r="UD26" s="36"/>
      <c r="UE26" s="36"/>
      <c r="UF26" s="36"/>
      <c r="UG26" s="36"/>
      <c r="UH26" s="36"/>
      <c r="UI26" s="36"/>
      <c r="UJ26" s="36"/>
      <c r="UK26" s="36"/>
      <c r="UL26" s="36"/>
      <c r="UM26" s="36"/>
      <c r="UN26" s="36"/>
      <c r="UO26" s="36"/>
      <c r="UP26" s="36"/>
      <c r="UQ26" s="36"/>
      <c r="UR26" s="36"/>
      <c r="US26" s="36"/>
      <c r="UT26" s="36"/>
      <c r="UU26" s="36"/>
      <c r="UV26" s="36"/>
      <c r="UW26" s="36"/>
      <c r="UX26" s="36"/>
      <c r="UY26" s="36"/>
      <c r="UZ26" s="36"/>
      <c r="VA26" s="36"/>
      <c r="VB26" s="36"/>
      <c r="VC26" s="36"/>
      <c r="VD26" s="36"/>
      <c r="VE26" s="36"/>
      <c r="VF26" s="36"/>
      <c r="VG26" s="36"/>
      <c r="VH26" s="36"/>
      <c r="VI26" s="36"/>
      <c r="VJ26" s="36"/>
      <c r="VK26" s="36"/>
      <c r="VL26" s="36"/>
      <c r="VM26" s="36"/>
      <c r="VN26" s="36"/>
      <c r="VO26" s="36"/>
      <c r="VP26" s="36"/>
      <c r="VQ26" s="36"/>
      <c r="VR26" s="36"/>
      <c r="VS26" s="36"/>
      <c r="VT26" s="36"/>
      <c r="VU26" s="36"/>
      <c r="VV26" s="36"/>
      <c r="VW26" s="36"/>
      <c r="VX26" s="36"/>
      <c r="VY26" s="36"/>
      <c r="VZ26" s="36"/>
      <c r="WA26" s="36"/>
      <c r="WB26" s="36"/>
      <c r="WC26" s="36"/>
      <c r="WD26" s="36"/>
      <c r="WE26" s="36"/>
      <c r="WF26" s="36"/>
      <c r="WG26" s="36"/>
      <c r="WH26" s="36"/>
      <c r="WI26" s="36"/>
      <c r="WJ26" s="36"/>
      <c r="WK26" s="36"/>
      <c r="WL26" s="36"/>
      <c r="WM26" s="36"/>
      <c r="WN26" s="36"/>
      <c r="WO26" s="36"/>
      <c r="WP26" s="36"/>
      <c r="WQ26" s="36"/>
      <c r="WR26" s="36"/>
      <c r="WS26" s="36"/>
      <c r="WT26" s="36"/>
      <c r="WU26" s="36"/>
      <c r="WV26" s="36"/>
      <c r="WW26" s="36"/>
      <c r="WX26" s="36"/>
      <c r="WY26" s="36"/>
      <c r="WZ26" s="36"/>
      <c r="XA26" s="36"/>
      <c r="XB26" s="36"/>
      <c r="XC26" s="36"/>
      <c r="XD26" s="36"/>
      <c r="XE26" s="36"/>
      <c r="XF26" s="36"/>
      <c r="XG26" s="36"/>
      <c r="XH26" s="36"/>
      <c r="XI26" s="36"/>
      <c r="XJ26" s="36"/>
      <c r="XK26" s="36"/>
      <c r="XL26" s="36"/>
      <c r="XM26" s="36"/>
      <c r="XN26" s="36"/>
      <c r="XO26" s="36"/>
      <c r="XP26" s="36"/>
      <c r="XQ26" s="36"/>
      <c r="XR26" s="36"/>
      <c r="XS26" s="36"/>
      <c r="XT26" s="36"/>
      <c r="XU26" s="36"/>
      <c r="XV26" s="36"/>
      <c r="XW26" s="36"/>
      <c r="XX26" s="36"/>
      <c r="XY26" s="36"/>
      <c r="XZ26" s="36"/>
      <c r="YA26" s="36"/>
      <c r="YB26" s="36"/>
      <c r="YC26" s="36"/>
      <c r="YD26" s="36"/>
      <c r="YE26" s="36"/>
      <c r="YF26" s="36"/>
      <c r="YG26" s="36"/>
      <c r="YH26" s="36"/>
      <c r="YI26" s="36"/>
      <c r="YJ26" s="36"/>
      <c r="YK26" s="36"/>
      <c r="YL26" s="36"/>
      <c r="YM26" s="36"/>
      <c r="YN26" s="36"/>
      <c r="YO26" s="36"/>
      <c r="YP26" s="36"/>
      <c r="YQ26" s="36"/>
      <c r="YR26" s="36"/>
      <c r="YS26" s="36"/>
      <c r="YT26" s="36"/>
      <c r="YU26" s="36"/>
      <c r="YV26" s="36"/>
      <c r="YW26" s="36"/>
      <c r="YX26" s="36"/>
      <c r="YY26" s="36"/>
      <c r="YZ26" s="36"/>
      <c r="ZA26" s="36"/>
      <c r="ZB26" s="36"/>
      <c r="ZC26" s="36"/>
      <c r="ZD26" s="36"/>
      <c r="ZE26" s="36"/>
      <c r="ZF26" s="36"/>
      <c r="ZG26" s="36"/>
      <c r="ZH26" s="36"/>
      <c r="ZI26" s="36"/>
      <c r="ZJ26" s="36"/>
      <c r="ZK26" s="36"/>
      <c r="ZL26" s="36"/>
      <c r="ZM26" s="36"/>
      <c r="ZN26" s="36"/>
      <c r="ZO26" s="36"/>
      <c r="ZP26" s="36"/>
      <c r="ZQ26" s="36"/>
      <c r="ZR26" s="36"/>
      <c r="ZS26" s="36"/>
      <c r="ZT26" s="36"/>
      <c r="ZU26" s="36"/>
      <c r="ZV26" s="36"/>
      <c r="ZW26" s="36"/>
      <c r="ZX26" s="36"/>
      <c r="ZY26" s="36"/>
      <c r="ZZ26" s="36"/>
      <c r="AAA26" s="36"/>
      <c r="AAB26" s="36"/>
      <c r="AAC26" s="36"/>
      <c r="AAD26" s="36"/>
      <c r="AAE26" s="36"/>
      <c r="AAF26" s="36"/>
      <c r="AAG26" s="36"/>
      <c r="AAH26" s="36"/>
      <c r="AAI26" s="36"/>
      <c r="AAJ26" s="36"/>
      <c r="AAK26" s="36"/>
      <c r="AAL26" s="36"/>
      <c r="AAM26" s="36"/>
      <c r="AAN26" s="36"/>
      <c r="AAO26" s="36"/>
      <c r="AAP26" s="36"/>
      <c r="AAQ26" s="36"/>
      <c r="AAR26" s="36"/>
      <c r="AAS26" s="36"/>
      <c r="AAT26" s="36"/>
      <c r="AAU26" s="36"/>
      <c r="AAV26" s="36"/>
      <c r="AAW26" s="36"/>
      <c r="AAX26" s="36"/>
      <c r="AAY26" s="36"/>
      <c r="AAZ26" s="36"/>
      <c r="ABA26" s="36"/>
      <c r="ABB26" s="36"/>
      <c r="ABC26" s="36"/>
      <c r="ABD26" s="36"/>
      <c r="ABE26" s="36"/>
      <c r="ABF26" s="36"/>
      <c r="ABG26" s="36"/>
      <c r="ABH26" s="36"/>
      <c r="ABI26" s="36"/>
      <c r="ABJ26" s="36"/>
      <c r="ABK26" s="36"/>
      <c r="ABL26" s="36"/>
      <c r="ABM26" s="36"/>
      <c r="ABN26" s="36"/>
      <c r="ABO26" s="36"/>
      <c r="ABP26" s="36"/>
      <c r="ABQ26" s="36"/>
      <c r="ABR26" s="36"/>
      <c r="ABS26" s="36"/>
      <c r="ABT26" s="36"/>
      <c r="ABU26" s="36"/>
      <c r="ABV26" s="36"/>
      <c r="ABW26" s="36"/>
      <c r="ABX26" s="36"/>
      <c r="ABY26" s="36"/>
      <c r="ABZ26" s="36"/>
      <c r="ACA26" s="36"/>
      <c r="ACB26" s="36"/>
      <c r="ACC26" s="36"/>
      <c r="ACD26" s="36"/>
      <c r="ACE26" s="36"/>
      <c r="ACF26" s="36"/>
      <c r="ACG26" s="36"/>
      <c r="ACH26" s="36"/>
      <c r="ACI26" s="36"/>
      <c r="ACJ26" s="36"/>
      <c r="ACK26" s="36"/>
      <c r="ACL26" s="36"/>
      <c r="ACM26" s="36"/>
      <c r="ACN26" s="36"/>
      <c r="ACO26" s="36"/>
      <c r="ACP26" s="36"/>
      <c r="ACQ26" s="36"/>
      <c r="ACR26" s="36"/>
      <c r="ACS26" s="36"/>
      <c r="ACT26" s="36"/>
      <c r="ACU26" s="36"/>
      <c r="ACV26" s="36"/>
      <c r="ACW26" s="36"/>
      <c r="ACX26" s="36"/>
      <c r="ACY26" s="36"/>
      <c r="ACZ26" s="36"/>
      <c r="ADA26" s="36"/>
      <c r="ADB26" s="36"/>
      <c r="ADC26" s="36"/>
      <c r="ADD26" s="36"/>
      <c r="ADE26" s="36"/>
      <c r="ADF26" s="36"/>
      <c r="ADG26" s="36"/>
      <c r="ADH26" s="36"/>
      <c r="ADI26" s="36"/>
      <c r="ADJ26" s="36"/>
      <c r="ADK26" s="36"/>
      <c r="ADL26" s="36"/>
      <c r="ADM26" s="36"/>
      <c r="ADN26" s="36"/>
      <c r="ADO26" s="36"/>
      <c r="ADP26" s="36"/>
      <c r="ADQ26" s="36"/>
      <c r="ADR26" s="36"/>
      <c r="ADS26" s="36"/>
      <c r="ADT26" s="36"/>
      <c r="ADU26" s="36"/>
      <c r="ADV26" s="36"/>
      <c r="ADW26" s="36"/>
      <c r="ADX26" s="36"/>
      <c r="ADY26" s="36"/>
      <c r="ADZ26" s="36"/>
      <c r="AEA26" s="36"/>
      <c r="AEB26" s="36"/>
      <c r="AEC26" s="36"/>
      <c r="AED26" s="36"/>
      <c r="AEE26" s="36"/>
      <c r="AEF26" s="36"/>
      <c r="AEG26" s="36"/>
      <c r="AEH26" s="36"/>
      <c r="AEI26" s="36"/>
      <c r="AEJ26" s="36"/>
      <c r="AEK26" s="36"/>
      <c r="AEL26" s="36"/>
      <c r="AEM26" s="36"/>
      <c r="AEN26" s="36"/>
      <c r="AEO26" s="36"/>
      <c r="AEP26" s="36"/>
      <c r="AEQ26" s="36"/>
      <c r="AER26" s="36"/>
      <c r="AES26" s="36"/>
      <c r="AET26" s="36"/>
      <c r="AEU26" s="36"/>
      <c r="AEV26" s="36"/>
      <c r="AEW26" s="36"/>
      <c r="AEX26" s="36"/>
      <c r="AEY26" s="36"/>
      <c r="AEZ26" s="36"/>
      <c r="AFA26" s="36"/>
      <c r="AFB26" s="36"/>
      <c r="AFC26" s="36"/>
      <c r="AFD26" s="36"/>
      <c r="AFE26" s="36"/>
      <c r="AFF26" s="36"/>
      <c r="AFG26" s="36"/>
      <c r="AFH26" s="36"/>
      <c r="AFI26" s="36"/>
      <c r="AFJ26" s="36"/>
      <c r="AFK26" s="36"/>
      <c r="AFL26" s="36"/>
      <c r="AFM26" s="36"/>
      <c r="AFN26" s="36"/>
      <c r="AFO26" s="36"/>
      <c r="AFP26" s="36"/>
      <c r="AFQ26" s="36"/>
      <c r="AFR26" s="36"/>
      <c r="AFS26" s="36"/>
      <c r="AFT26" s="36"/>
      <c r="AFU26" s="36"/>
      <c r="AFV26" s="36"/>
      <c r="AFW26" s="36"/>
      <c r="AFX26" s="36"/>
      <c r="AFY26" s="36"/>
      <c r="AFZ26" s="36"/>
      <c r="AGA26" s="36"/>
      <c r="AGB26" s="36"/>
      <c r="AGC26" s="36"/>
      <c r="AGD26" s="36"/>
      <c r="AGE26" s="36"/>
      <c r="AGF26" s="36"/>
      <c r="AGG26" s="36"/>
      <c r="AGH26" s="36"/>
      <c r="AGI26" s="36"/>
      <c r="AGJ26" s="36"/>
      <c r="AGK26" s="36"/>
      <c r="AGL26" s="36"/>
      <c r="AGM26" s="36"/>
      <c r="AGN26" s="36"/>
      <c r="AGO26" s="36"/>
      <c r="AGP26" s="36"/>
      <c r="AGQ26" s="36"/>
      <c r="AGR26" s="36"/>
      <c r="AGS26" s="36"/>
      <c r="AGT26" s="36"/>
      <c r="AGU26" s="36"/>
      <c r="AGV26" s="36"/>
      <c r="AGW26" s="36"/>
      <c r="AGX26" s="36"/>
      <c r="AGY26" s="36"/>
      <c r="AGZ26" s="36"/>
      <c r="AHA26" s="36"/>
      <c r="AHB26" s="36"/>
      <c r="AHC26" s="36"/>
      <c r="AHD26" s="36"/>
      <c r="AHE26" s="36"/>
      <c r="AHF26" s="36"/>
      <c r="AHG26" s="36"/>
      <c r="AHH26" s="36"/>
      <c r="AHI26" s="36"/>
      <c r="AHJ26" s="36"/>
      <c r="AHK26" s="36"/>
      <c r="AHL26" s="36"/>
      <c r="AHM26" s="36"/>
      <c r="AHN26" s="36"/>
      <c r="AHO26" s="36"/>
      <c r="AHP26" s="36"/>
      <c r="AHQ26" s="36"/>
      <c r="AHR26" s="36"/>
      <c r="AHS26" s="36"/>
      <c r="AHT26" s="36"/>
      <c r="AHU26" s="36"/>
      <c r="AHV26" s="36"/>
      <c r="AHW26" s="36"/>
      <c r="AHX26" s="36"/>
      <c r="AHY26" s="36"/>
      <c r="AHZ26" s="36"/>
      <c r="AIA26" s="36"/>
      <c r="AIB26" s="36"/>
      <c r="AIC26" s="36"/>
      <c r="AID26" s="36"/>
      <c r="AIE26" s="36"/>
      <c r="AIF26" s="36"/>
      <c r="AIG26" s="36"/>
      <c r="AIH26" s="36"/>
      <c r="AII26" s="36"/>
      <c r="AIJ26" s="36"/>
      <c r="AIK26" s="36"/>
      <c r="AIL26" s="36"/>
      <c r="AIM26" s="36"/>
      <c r="AIN26" s="36"/>
      <c r="AIO26" s="36"/>
      <c r="AIP26" s="36"/>
      <c r="AIQ26" s="36"/>
      <c r="AIR26" s="36"/>
      <c r="AIS26" s="36"/>
      <c r="AIT26" s="36"/>
      <c r="AIU26" s="36"/>
      <c r="AIV26" s="36"/>
      <c r="AIW26" s="36"/>
      <c r="AIX26" s="36"/>
      <c r="AIY26" s="36"/>
      <c r="AIZ26" s="36"/>
      <c r="AJA26" s="36"/>
      <c r="AJB26" s="36"/>
      <c r="AJC26" s="36"/>
      <c r="AJD26" s="36"/>
      <c r="AJE26" s="36"/>
      <c r="AJF26" s="36"/>
      <c r="AJG26" s="36"/>
      <c r="AJH26" s="36"/>
      <c r="AJI26" s="36"/>
      <c r="AJJ26" s="36"/>
      <c r="AJK26" s="36"/>
      <c r="AJL26" s="36"/>
      <c r="AJM26" s="36"/>
      <c r="AJN26" s="36"/>
      <c r="AJO26" s="36"/>
      <c r="AJP26" s="36"/>
      <c r="AJQ26" s="36"/>
      <c r="AJR26" s="36"/>
      <c r="AJS26" s="36"/>
      <c r="AJT26" s="36"/>
      <c r="AJU26" s="36"/>
      <c r="AJV26" s="36"/>
      <c r="AJW26" s="36"/>
      <c r="AJX26" s="36"/>
      <c r="AJY26" s="36"/>
      <c r="AJZ26" s="36"/>
      <c r="AKA26" s="36"/>
      <c r="AKB26" s="36"/>
      <c r="AKC26" s="36"/>
      <c r="AKD26" s="36"/>
      <c r="AKE26" s="36"/>
      <c r="AKF26" s="36"/>
      <c r="AKG26" s="36"/>
      <c r="AKH26" s="36"/>
      <c r="AKI26" s="36"/>
      <c r="AKJ26" s="36"/>
      <c r="AKK26" s="36"/>
      <c r="AKL26" s="36"/>
      <c r="AKM26" s="36"/>
      <c r="AKN26" s="36"/>
      <c r="AKO26" s="36"/>
      <c r="AKP26" s="36"/>
      <c r="AKQ26" s="36"/>
      <c r="AKR26" s="36"/>
      <c r="AKS26" s="36"/>
      <c r="AKT26" s="36"/>
      <c r="AKU26" s="36"/>
      <c r="AKV26" s="36"/>
      <c r="AKW26" s="36"/>
      <c r="AKX26" s="36"/>
      <c r="AKY26" s="36"/>
      <c r="AKZ26" s="36"/>
      <c r="ALA26" s="36"/>
      <c r="ALB26" s="36"/>
      <c r="ALC26" s="36"/>
      <c r="ALD26" s="36"/>
      <c r="ALE26" s="36"/>
      <c r="ALF26" s="36"/>
      <c r="ALG26" s="36"/>
      <c r="ALH26" s="36"/>
      <c r="ALI26" s="36"/>
      <c r="ALJ26" s="36"/>
      <c r="ALK26" s="36"/>
      <c r="ALL26" s="36"/>
    </row>
    <row r="27" spans="1:1000" ht="15" x14ac:dyDescent="0.25">
      <c r="A27" t="str">
        <f ca="1">IF(_xll.TM1RPTELISCONSOLIDATED($B$25,$B27),IF(_xll.TM1RPTELLEV($B$25,$B27)&lt;=3,_xll.TM1RPTELLEV($B$25,$B27),"D"),"N")</f>
        <v>N</v>
      </c>
      <c r="B27" s="42" t="s">
        <v>17</v>
      </c>
      <c r="C27" s="22" t="str">
        <f ca="1">_xll.DBRW($B$9,$C$19,$C$20,$B27,$C$22,$C$21,C$24)</f>
        <v>*KEY_ERR</v>
      </c>
      <c r="D27" s="37" t="str">
        <f ca="1">_xll.DBRW($B$9,$C$19,$C$20,$B27,$C$22,$C$21,D$24)</f>
        <v>*KEY_ERR</v>
      </c>
      <c r="E27" s="36" t="s">
        <v>74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/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/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/>
      <c r="VN27" s="36"/>
      <c r="VO27" s="36"/>
      <c r="VP27" s="36"/>
      <c r="VQ27" s="36"/>
      <c r="VR27" s="36"/>
      <c r="VS27" s="36"/>
      <c r="VT27" s="36"/>
      <c r="VU27" s="36"/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/>
      <c r="AAC27" s="36"/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/>
      <c r="ABI27" s="36"/>
      <c r="ABJ27" s="36"/>
      <c r="ABK27" s="36"/>
      <c r="ABL27" s="36"/>
      <c r="ABM27" s="36"/>
      <c r="ABN27" s="36"/>
      <c r="ABO27" s="36"/>
      <c r="ABP27" s="36"/>
      <c r="ABQ27" s="36"/>
      <c r="ABR27" s="36"/>
      <c r="ABS27" s="36"/>
      <c r="ABT27" s="36"/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/>
      <c r="ACJ27" s="36"/>
      <c r="ACK27" s="36"/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36"/>
      <c r="AEK27" s="36"/>
      <c r="AEL27" s="36"/>
      <c r="AEM27" s="36"/>
      <c r="AEN27" s="36"/>
      <c r="AEO27" s="36"/>
      <c r="AEP27" s="36"/>
      <c r="AEQ27" s="36"/>
      <c r="AER27" s="36"/>
      <c r="AES27" s="36"/>
      <c r="AET27" s="36"/>
      <c r="AEU27" s="36"/>
      <c r="AEV27" s="36"/>
      <c r="AEW27" s="36"/>
      <c r="AEX27" s="36"/>
      <c r="AEY27" s="36"/>
      <c r="AEZ27" s="36"/>
      <c r="AFA27" s="36"/>
      <c r="AFB27" s="36"/>
      <c r="AFC27" s="36"/>
      <c r="AFD27" s="36"/>
      <c r="AFE27" s="36"/>
      <c r="AFF27" s="36"/>
      <c r="AFG27" s="36"/>
      <c r="AFH27" s="36"/>
      <c r="AFI27" s="36"/>
      <c r="AFJ27" s="36"/>
      <c r="AFK27" s="36"/>
      <c r="AFL27" s="36"/>
      <c r="AFM27" s="36"/>
      <c r="AFN27" s="36"/>
      <c r="AFO27" s="36"/>
      <c r="AFP27" s="36"/>
      <c r="AFQ27" s="36"/>
      <c r="AFR27" s="36"/>
      <c r="AFS27" s="36"/>
      <c r="AFT27" s="36"/>
      <c r="AFU27" s="36"/>
      <c r="AFV27" s="36"/>
      <c r="AFW27" s="36"/>
      <c r="AFX27" s="36"/>
      <c r="AFY27" s="36"/>
      <c r="AFZ27" s="36"/>
      <c r="AGA27" s="36"/>
      <c r="AGB27" s="36"/>
      <c r="AGC27" s="36"/>
      <c r="AGD27" s="36"/>
      <c r="AGE27" s="36"/>
      <c r="AGF27" s="36"/>
      <c r="AGG27" s="36"/>
      <c r="AGH27" s="36"/>
      <c r="AGI27" s="36"/>
      <c r="AGJ27" s="36"/>
      <c r="AGK27" s="36"/>
      <c r="AGL27" s="36"/>
      <c r="AGM27" s="36"/>
      <c r="AGN27" s="36"/>
      <c r="AGO27" s="36"/>
      <c r="AGP27" s="36"/>
      <c r="AGQ27" s="36"/>
      <c r="AGR27" s="36"/>
      <c r="AGS27" s="36"/>
      <c r="AGT27" s="36"/>
      <c r="AGU27" s="36"/>
      <c r="AGV27" s="36"/>
      <c r="AGW27" s="36"/>
      <c r="AGX27" s="36"/>
      <c r="AGY27" s="36"/>
      <c r="AGZ27" s="36"/>
      <c r="AHA27" s="36"/>
      <c r="AHB27" s="36"/>
      <c r="AHC27" s="36"/>
      <c r="AHD27" s="36"/>
      <c r="AHE27" s="36"/>
      <c r="AHF27" s="36"/>
      <c r="AHG27" s="36"/>
      <c r="AHH27" s="36"/>
      <c r="AHI27" s="36"/>
      <c r="AHJ27" s="36"/>
      <c r="AHK27" s="36"/>
      <c r="AHL27" s="36"/>
      <c r="AHM27" s="36"/>
      <c r="AHN27" s="36"/>
      <c r="AHO27" s="36"/>
      <c r="AHP27" s="36"/>
      <c r="AHQ27" s="36"/>
      <c r="AHR27" s="36"/>
      <c r="AHS27" s="36"/>
      <c r="AHT27" s="36"/>
      <c r="AHU27" s="36"/>
      <c r="AHV27" s="36"/>
      <c r="AHW27" s="36"/>
      <c r="AHX27" s="36"/>
      <c r="AHY27" s="36"/>
      <c r="AHZ27" s="36"/>
      <c r="AIA27" s="36"/>
      <c r="AIB27" s="36"/>
      <c r="AIC27" s="36"/>
      <c r="AID27" s="36"/>
      <c r="AIE27" s="36"/>
      <c r="AIF27" s="36"/>
      <c r="AIG27" s="36"/>
      <c r="AIH27" s="36"/>
      <c r="AII27" s="36"/>
      <c r="AIJ27" s="36"/>
      <c r="AIK27" s="36"/>
      <c r="AIL27" s="36"/>
      <c r="AIM27" s="36"/>
      <c r="AIN27" s="36"/>
      <c r="AIO27" s="36"/>
      <c r="AIP27" s="36"/>
      <c r="AIQ27" s="36"/>
      <c r="AIR27" s="36"/>
      <c r="AIS27" s="36"/>
      <c r="AIT27" s="36"/>
      <c r="AIU27" s="36"/>
      <c r="AIV27" s="36"/>
      <c r="AIW27" s="36"/>
      <c r="AIX27" s="36"/>
      <c r="AIY27" s="36"/>
      <c r="AIZ27" s="36"/>
      <c r="AJA27" s="36"/>
      <c r="AJB27" s="36"/>
      <c r="AJC27" s="36"/>
      <c r="AJD27" s="36"/>
      <c r="AJE27" s="36"/>
      <c r="AJF27" s="36"/>
      <c r="AJG27" s="36"/>
      <c r="AJH27" s="36"/>
      <c r="AJI27" s="36"/>
      <c r="AJJ27" s="36"/>
      <c r="AJK27" s="36"/>
      <c r="AJL27" s="36"/>
      <c r="AJM27" s="36"/>
      <c r="AJN27" s="36"/>
      <c r="AJO27" s="36"/>
      <c r="AJP27" s="36"/>
      <c r="AJQ27" s="36"/>
      <c r="AJR27" s="36"/>
      <c r="AJS27" s="36"/>
      <c r="AJT27" s="36"/>
      <c r="AJU27" s="36"/>
      <c r="AJV27" s="36"/>
      <c r="AJW27" s="36"/>
      <c r="AJX27" s="36"/>
      <c r="AJY27" s="36"/>
      <c r="AJZ27" s="36"/>
      <c r="AKA27" s="36"/>
      <c r="AKB27" s="36"/>
      <c r="AKC27" s="36"/>
      <c r="AKD27" s="36"/>
      <c r="AKE27" s="36"/>
      <c r="AKF27" s="36"/>
      <c r="AKG27" s="36"/>
      <c r="AKH27" s="36"/>
      <c r="AKI27" s="36"/>
      <c r="AKJ27" s="36"/>
      <c r="AKK27" s="36"/>
      <c r="AKL27" s="36"/>
      <c r="AKM27" s="36"/>
      <c r="AKN27" s="36"/>
      <c r="AKO27" s="36"/>
      <c r="AKP27" s="36"/>
      <c r="AKQ27" s="36"/>
      <c r="AKR27" s="36"/>
      <c r="AKS27" s="36"/>
      <c r="AKT27" s="36"/>
      <c r="AKU27" s="36"/>
      <c r="AKV27" s="36"/>
      <c r="AKW27" s="36"/>
      <c r="AKX27" s="36"/>
      <c r="AKY27" s="36"/>
      <c r="AKZ27" s="36"/>
      <c r="ALA27" s="36"/>
      <c r="ALB27" s="36"/>
      <c r="ALC27" s="36"/>
      <c r="ALD27" s="36"/>
      <c r="ALE27" s="36"/>
      <c r="ALF27" s="36"/>
      <c r="ALG27" s="36"/>
      <c r="ALH27" s="36"/>
      <c r="ALI27" s="36"/>
      <c r="ALJ27" s="36"/>
      <c r="ALK27" s="36"/>
      <c r="ALL27" s="36"/>
    </row>
    <row r="28" spans="1:1000" ht="15" x14ac:dyDescent="0.25">
      <c r="A28" t="str">
        <f ca="1">IF(_xll.TM1RPTELISCONSOLIDATED($B$25,$B28),IF(_xll.TM1RPTELLEV($B$25,$B28)&lt;=3,_xll.TM1RPTELLEV($B$25,$B28),"D"),"N")</f>
        <v>N</v>
      </c>
      <c r="B28" s="42" t="s">
        <v>18</v>
      </c>
      <c r="C28" s="22" t="str">
        <f ca="1">_xll.DBRW($B$9,$C$19,$C$20,$B28,$C$22,$C$21,C$24)</f>
        <v>*KEY_ERR</v>
      </c>
      <c r="D28" s="37" t="str">
        <f ca="1">_xll.DBRW($B$9,$C$19,$C$20,$B28,$C$22,$C$21,D$24)</f>
        <v>*KEY_ERR</v>
      </c>
      <c r="E28" s="36" t="s">
        <v>74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/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/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/>
      <c r="OC28" s="36"/>
      <c r="OD28" s="36"/>
      <c r="OE28" s="36"/>
      <c r="OF28" s="36"/>
      <c r="OG28" s="36"/>
      <c r="OH28" s="36"/>
      <c r="OI28" s="36"/>
      <c r="OJ28" s="36"/>
      <c r="OK28" s="36"/>
      <c r="OL28" s="36"/>
      <c r="OM28" s="36"/>
      <c r="ON28" s="36"/>
      <c r="OO28" s="36"/>
      <c r="OP28" s="36"/>
      <c r="OQ28" s="36"/>
      <c r="OR28" s="36"/>
      <c r="OS28" s="36"/>
      <c r="OT28" s="36"/>
      <c r="OU28" s="36"/>
      <c r="OV28" s="36"/>
      <c r="OW28" s="36"/>
      <c r="OX28" s="36"/>
      <c r="OY28" s="36"/>
      <c r="OZ28" s="36"/>
      <c r="PA28" s="36"/>
      <c r="PB28" s="36"/>
      <c r="PC28" s="36"/>
      <c r="PD28" s="36"/>
      <c r="PE28" s="36"/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/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/>
      <c r="SZ28" s="36"/>
      <c r="TA28" s="36"/>
      <c r="TB28" s="36"/>
      <c r="TC28" s="36"/>
      <c r="TD28" s="36"/>
      <c r="TE28" s="36"/>
      <c r="TF28" s="36"/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36"/>
      <c r="UB28" s="36"/>
      <c r="UC28" s="36"/>
      <c r="UD28" s="36"/>
      <c r="UE28" s="36"/>
      <c r="UF28" s="36"/>
      <c r="UG28" s="36"/>
      <c r="UH28" s="36"/>
      <c r="UI28" s="36"/>
      <c r="UJ28" s="36"/>
      <c r="UK28" s="36"/>
      <c r="UL28" s="36"/>
      <c r="UM28" s="36"/>
      <c r="UN28" s="36"/>
      <c r="UO28" s="36"/>
      <c r="UP28" s="36"/>
      <c r="UQ28" s="36"/>
      <c r="UR28" s="36"/>
      <c r="US28" s="36"/>
      <c r="UT28" s="36"/>
      <c r="UU28" s="36"/>
      <c r="UV28" s="36"/>
      <c r="UW28" s="36"/>
      <c r="UX28" s="36"/>
      <c r="UY28" s="36"/>
      <c r="UZ28" s="36"/>
      <c r="VA28" s="36"/>
      <c r="VB28" s="36"/>
      <c r="VC28" s="36"/>
      <c r="VD28" s="36"/>
      <c r="VE28" s="36"/>
      <c r="VF28" s="36"/>
      <c r="VG28" s="36"/>
      <c r="VH28" s="36"/>
      <c r="VI28" s="36"/>
      <c r="VJ28" s="36"/>
      <c r="VK28" s="36"/>
      <c r="VL28" s="36"/>
      <c r="VM28" s="36"/>
      <c r="VN28" s="36"/>
      <c r="VO28" s="36"/>
      <c r="VP28" s="36"/>
      <c r="VQ28" s="36"/>
      <c r="VR28" s="36"/>
      <c r="VS28" s="36"/>
      <c r="VT28" s="36"/>
      <c r="VU28" s="36"/>
      <c r="VV28" s="36"/>
      <c r="VW28" s="36"/>
      <c r="VX28" s="36"/>
      <c r="VY28" s="36"/>
      <c r="VZ28" s="36"/>
      <c r="WA28" s="36"/>
      <c r="WB28" s="36"/>
      <c r="WC28" s="36"/>
      <c r="WD28" s="36"/>
      <c r="WE28" s="36"/>
      <c r="WF28" s="36"/>
      <c r="WG28" s="36"/>
      <c r="WH28" s="36"/>
      <c r="WI28" s="36"/>
      <c r="WJ28" s="36"/>
      <c r="WK28" s="36"/>
      <c r="WL28" s="36"/>
      <c r="WM28" s="36"/>
      <c r="WN28" s="36"/>
      <c r="WO28" s="36"/>
      <c r="WP28" s="36"/>
      <c r="WQ28" s="36"/>
      <c r="WR28" s="36"/>
      <c r="WS28" s="36"/>
      <c r="WT28" s="36"/>
      <c r="WU28" s="36"/>
      <c r="WV28" s="36"/>
      <c r="WW28" s="36"/>
      <c r="WX28" s="36"/>
      <c r="WY28" s="36"/>
      <c r="WZ28" s="36"/>
      <c r="XA28" s="36"/>
      <c r="XB28" s="36"/>
      <c r="XC28" s="36"/>
      <c r="XD28" s="36"/>
      <c r="XE28" s="36"/>
      <c r="XF28" s="36"/>
      <c r="XG28" s="36"/>
      <c r="XH28" s="36"/>
      <c r="XI28" s="36"/>
      <c r="XJ28" s="36"/>
      <c r="XK28" s="36"/>
      <c r="XL28" s="36"/>
      <c r="XM28" s="36"/>
      <c r="XN28" s="36"/>
      <c r="XO28" s="36"/>
      <c r="XP28" s="36"/>
      <c r="XQ28" s="36"/>
      <c r="XR28" s="36"/>
      <c r="XS28" s="36"/>
      <c r="XT28" s="36"/>
      <c r="XU28" s="36"/>
      <c r="XV28" s="36"/>
      <c r="XW28" s="36"/>
      <c r="XX28" s="36"/>
      <c r="XY28" s="36"/>
      <c r="XZ28" s="36"/>
      <c r="YA28" s="36"/>
      <c r="YB28" s="36"/>
      <c r="YC28" s="36"/>
      <c r="YD28" s="36"/>
      <c r="YE28" s="36"/>
      <c r="YF28" s="36"/>
      <c r="YG28" s="36"/>
      <c r="YH28" s="36"/>
      <c r="YI28" s="36"/>
      <c r="YJ28" s="36"/>
      <c r="YK28" s="36"/>
      <c r="YL28" s="36"/>
      <c r="YM28" s="36"/>
      <c r="YN28" s="36"/>
      <c r="YO28" s="36"/>
      <c r="YP28" s="36"/>
      <c r="YQ28" s="36"/>
      <c r="YR28" s="36"/>
      <c r="YS28" s="36"/>
      <c r="YT28" s="36"/>
      <c r="YU28" s="36"/>
      <c r="YV28" s="36"/>
      <c r="YW28" s="36"/>
      <c r="YX28" s="36"/>
      <c r="YY28" s="36"/>
      <c r="YZ28" s="36"/>
      <c r="ZA28" s="36"/>
      <c r="ZB28" s="36"/>
      <c r="ZC28" s="36"/>
      <c r="ZD28" s="36"/>
      <c r="ZE28" s="36"/>
      <c r="ZF28" s="36"/>
      <c r="ZG28" s="36"/>
      <c r="ZH28" s="36"/>
      <c r="ZI28" s="36"/>
      <c r="ZJ28" s="36"/>
      <c r="ZK28" s="36"/>
      <c r="ZL28" s="36"/>
      <c r="ZM28" s="36"/>
      <c r="ZN28" s="36"/>
      <c r="ZO28" s="36"/>
      <c r="ZP28" s="36"/>
      <c r="ZQ28" s="36"/>
      <c r="ZR28" s="36"/>
      <c r="ZS28" s="36"/>
      <c r="ZT28" s="36"/>
      <c r="ZU28" s="36"/>
      <c r="ZV28" s="36"/>
      <c r="ZW28" s="36"/>
      <c r="ZX28" s="36"/>
      <c r="ZY28" s="36"/>
      <c r="ZZ28" s="36"/>
      <c r="AAA28" s="36"/>
      <c r="AAB28" s="36"/>
      <c r="AAC28" s="36"/>
      <c r="AAD28" s="36"/>
      <c r="AAE28" s="36"/>
      <c r="AAF28" s="36"/>
      <c r="AAG28" s="36"/>
      <c r="AAH28" s="36"/>
      <c r="AAI28" s="36"/>
      <c r="AAJ28" s="36"/>
      <c r="AAK28" s="36"/>
      <c r="AAL28" s="36"/>
      <c r="AAM28" s="36"/>
      <c r="AAN28" s="36"/>
      <c r="AAO28" s="36"/>
      <c r="AAP28" s="36"/>
      <c r="AAQ28" s="36"/>
      <c r="AAR28" s="36"/>
      <c r="AAS28" s="36"/>
      <c r="AAT28" s="36"/>
      <c r="AAU28" s="36"/>
      <c r="AAV28" s="36"/>
      <c r="AAW28" s="36"/>
      <c r="AAX28" s="36"/>
      <c r="AAY28" s="36"/>
      <c r="AAZ28" s="36"/>
      <c r="ABA28" s="36"/>
      <c r="ABB28" s="36"/>
      <c r="ABC28" s="36"/>
      <c r="ABD28" s="36"/>
      <c r="ABE28" s="36"/>
      <c r="ABF28" s="36"/>
      <c r="ABG28" s="36"/>
      <c r="ABH28" s="36"/>
      <c r="ABI28" s="36"/>
      <c r="ABJ28" s="36"/>
      <c r="ABK28" s="36"/>
      <c r="ABL28" s="36"/>
      <c r="ABM28" s="36"/>
      <c r="ABN28" s="36"/>
      <c r="ABO28" s="36"/>
      <c r="ABP28" s="36"/>
      <c r="ABQ28" s="36"/>
      <c r="ABR28" s="36"/>
      <c r="ABS28" s="36"/>
      <c r="ABT28" s="36"/>
      <c r="ABU28" s="36"/>
      <c r="ABV28" s="36"/>
      <c r="ABW28" s="36"/>
      <c r="ABX28" s="36"/>
      <c r="ABY28" s="36"/>
      <c r="ABZ28" s="36"/>
      <c r="ACA28" s="36"/>
      <c r="ACB28" s="36"/>
      <c r="ACC28" s="36"/>
      <c r="ACD28" s="36"/>
      <c r="ACE28" s="36"/>
      <c r="ACF28" s="36"/>
      <c r="ACG28" s="36"/>
      <c r="ACH28" s="36"/>
      <c r="ACI28" s="36"/>
      <c r="ACJ28" s="36"/>
      <c r="ACK28" s="36"/>
      <c r="ACL28" s="36"/>
      <c r="ACM28" s="36"/>
      <c r="ACN28" s="36"/>
      <c r="ACO28" s="36"/>
      <c r="ACP28" s="36"/>
      <c r="ACQ28" s="36"/>
      <c r="ACR28" s="36"/>
      <c r="ACS28" s="36"/>
      <c r="ACT28" s="36"/>
      <c r="ACU28" s="36"/>
      <c r="ACV28" s="36"/>
      <c r="ACW28" s="36"/>
      <c r="ACX28" s="36"/>
      <c r="ACY28" s="36"/>
      <c r="ACZ28" s="36"/>
      <c r="ADA28" s="36"/>
      <c r="ADB28" s="36"/>
      <c r="ADC28" s="36"/>
      <c r="ADD28" s="36"/>
      <c r="ADE28" s="36"/>
      <c r="ADF28" s="36"/>
      <c r="ADG28" s="36"/>
      <c r="ADH28" s="36"/>
      <c r="ADI28" s="36"/>
      <c r="ADJ28" s="36"/>
      <c r="ADK28" s="36"/>
      <c r="ADL28" s="36"/>
      <c r="ADM28" s="36"/>
      <c r="ADN28" s="36"/>
      <c r="ADO28" s="36"/>
      <c r="ADP28" s="36"/>
      <c r="ADQ28" s="36"/>
      <c r="ADR28" s="36"/>
      <c r="ADS28" s="36"/>
      <c r="ADT28" s="36"/>
      <c r="ADU28" s="36"/>
      <c r="ADV28" s="36"/>
      <c r="ADW28" s="36"/>
      <c r="ADX28" s="36"/>
      <c r="ADY28" s="36"/>
      <c r="ADZ28" s="36"/>
      <c r="AEA28" s="36"/>
      <c r="AEB28" s="36"/>
      <c r="AEC28" s="36"/>
      <c r="AED28" s="36"/>
      <c r="AEE28" s="36"/>
      <c r="AEF28" s="36"/>
      <c r="AEG28" s="36"/>
      <c r="AEH28" s="36"/>
      <c r="AEI28" s="36"/>
      <c r="AEJ28" s="36"/>
      <c r="AEK28" s="36"/>
      <c r="AEL28" s="36"/>
      <c r="AEM28" s="36"/>
      <c r="AEN28" s="36"/>
      <c r="AEO28" s="36"/>
      <c r="AEP28" s="36"/>
      <c r="AEQ28" s="36"/>
      <c r="AER28" s="36"/>
      <c r="AES28" s="36"/>
      <c r="AET28" s="36"/>
      <c r="AEU28" s="36"/>
      <c r="AEV28" s="36"/>
      <c r="AEW28" s="36"/>
      <c r="AEX28" s="36"/>
      <c r="AEY28" s="36"/>
      <c r="AEZ28" s="36"/>
      <c r="AFA28" s="36"/>
      <c r="AFB28" s="36"/>
      <c r="AFC28" s="36"/>
      <c r="AFD28" s="36"/>
      <c r="AFE28" s="36"/>
      <c r="AFF28" s="36"/>
      <c r="AFG28" s="36"/>
      <c r="AFH28" s="36"/>
      <c r="AFI28" s="36"/>
      <c r="AFJ28" s="36"/>
      <c r="AFK28" s="36"/>
      <c r="AFL28" s="36"/>
      <c r="AFM28" s="36"/>
      <c r="AFN28" s="36"/>
      <c r="AFO28" s="36"/>
      <c r="AFP28" s="36"/>
      <c r="AFQ28" s="36"/>
      <c r="AFR28" s="36"/>
      <c r="AFS28" s="36"/>
      <c r="AFT28" s="36"/>
      <c r="AFU28" s="36"/>
      <c r="AFV28" s="36"/>
      <c r="AFW28" s="36"/>
      <c r="AFX28" s="36"/>
      <c r="AFY28" s="36"/>
      <c r="AFZ28" s="36"/>
      <c r="AGA28" s="36"/>
      <c r="AGB28" s="36"/>
      <c r="AGC28" s="36"/>
      <c r="AGD28" s="36"/>
      <c r="AGE28" s="36"/>
      <c r="AGF28" s="36"/>
      <c r="AGG28" s="36"/>
      <c r="AGH28" s="36"/>
      <c r="AGI28" s="36"/>
      <c r="AGJ28" s="36"/>
      <c r="AGK28" s="36"/>
      <c r="AGL28" s="36"/>
      <c r="AGM28" s="36"/>
      <c r="AGN28" s="36"/>
      <c r="AGO28" s="36"/>
      <c r="AGP28" s="36"/>
      <c r="AGQ28" s="36"/>
      <c r="AGR28" s="36"/>
      <c r="AGS28" s="36"/>
      <c r="AGT28" s="36"/>
      <c r="AGU28" s="36"/>
      <c r="AGV28" s="36"/>
      <c r="AGW28" s="36"/>
      <c r="AGX28" s="36"/>
      <c r="AGY28" s="36"/>
      <c r="AGZ28" s="36"/>
      <c r="AHA28" s="36"/>
      <c r="AHB28" s="36"/>
      <c r="AHC28" s="36"/>
      <c r="AHD28" s="36"/>
      <c r="AHE28" s="36"/>
      <c r="AHF28" s="36"/>
      <c r="AHG28" s="36"/>
      <c r="AHH28" s="36"/>
      <c r="AHI28" s="36"/>
      <c r="AHJ28" s="36"/>
      <c r="AHK28" s="36"/>
      <c r="AHL28" s="36"/>
      <c r="AHM28" s="36"/>
      <c r="AHN28" s="36"/>
      <c r="AHO28" s="36"/>
      <c r="AHP28" s="36"/>
      <c r="AHQ28" s="36"/>
      <c r="AHR28" s="36"/>
      <c r="AHS28" s="36"/>
      <c r="AHT28" s="36"/>
      <c r="AHU28" s="36"/>
      <c r="AHV28" s="36"/>
      <c r="AHW28" s="36"/>
      <c r="AHX28" s="36"/>
      <c r="AHY28" s="36"/>
      <c r="AHZ28" s="36"/>
      <c r="AIA28" s="36"/>
      <c r="AIB28" s="36"/>
      <c r="AIC28" s="36"/>
      <c r="AID28" s="36"/>
      <c r="AIE28" s="36"/>
      <c r="AIF28" s="36"/>
      <c r="AIG28" s="36"/>
      <c r="AIH28" s="36"/>
      <c r="AII28" s="36"/>
      <c r="AIJ28" s="36"/>
      <c r="AIK28" s="36"/>
      <c r="AIL28" s="36"/>
      <c r="AIM28" s="36"/>
      <c r="AIN28" s="36"/>
      <c r="AIO28" s="36"/>
      <c r="AIP28" s="36"/>
      <c r="AIQ28" s="36"/>
      <c r="AIR28" s="36"/>
      <c r="AIS28" s="36"/>
      <c r="AIT28" s="36"/>
      <c r="AIU28" s="36"/>
      <c r="AIV28" s="36"/>
      <c r="AIW28" s="36"/>
      <c r="AIX28" s="36"/>
      <c r="AIY28" s="36"/>
      <c r="AIZ28" s="36"/>
      <c r="AJA28" s="36"/>
      <c r="AJB28" s="36"/>
      <c r="AJC28" s="36"/>
      <c r="AJD28" s="36"/>
      <c r="AJE28" s="36"/>
      <c r="AJF28" s="36"/>
      <c r="AJG28" s="36"/>
      <c r="AJH28" s="36"/>
      <c r="AJI28" s="36"/>
      <c r="AJJ28" s="36"/>
      <c r="AJK28" s="36"/>
      <c r="AJL28" s="36"/>
      <c r="AJM28" s="36"/>
      <c r="AJN28" s="36"/>
      <c r="AJO28" s="36"/>
      <c r="AJP28" s="36"/>
      <c r="AJQ28" s="36"/>
      <c r="AJR28" s="36"/>
      <c r="AJS28" s="36"/>
      <c r="AJT28" s="36"/>
      <c r="AJU28" s="36"/>
      <c r="AJV28" s="36"/>
      <c r="AJW28" s="36"/>
      <c r="AJX28" s="36"/>
      <c r="AJY28" s="36"/>
      <c r="AJZ28" s="36"/>
      <c r="AKA28" s="36"/>
      <c r="AKB28" s="36"/>
      <c r="AKC28" s="36"/>
      <c r="AKD28" s="36"/>
      <c r="AKE28" s="36"/>
      <c r="AKF28" s="36"/>
      <c r="AKG28" s="36"/>
      <c r="AKH28" s="36"/>
      <c r="AKI28" s="36"/>
      <c r="AKJ28" s="36"/>
      <c r="AKK28" s="36"/>
      <c r="AKL28" s="36"/>
      <c r="AKM28" s="36"/>
      <c r="AKN28" s="36"/>
      <c r="AKO28" s="36"/>
      <c r="AKP28" s="36"/>
      <c r="AKQ28" s="36"/>
      <c r="AKR28" s="36"/>
      <c r="AKS28" s="36"/>
      <c r="AKT28" s="36"/>
      <c r="AKU28" s="36"/>
      <c r="AKV28" s="36"/>
      <c r="AKW28" s="36"/>
      <c r="AKX28" s="36"/>
      <c r="AKY28" s="36"/>
      <c r="AKZ28" s="36"/>
      <c r="ALA28" s="36"/>
      <c r="ALB28" s="36"/>
      <c r="ALC28" s="36"/>
      <c r="ALD28" s="36"/>
      <c r="ALE28" s="36"/>
      <c r="ALF28" s="36"/>
      <c r="ALG28" s="36"/>
      <c r="ALH28" s="36"/>
      <c r="ALI28" s="36"/>
      <c r="ALJ28" s="36"/>
      <c r="ALK28" s="36"/>
      <c r="ALL28" s="36"/>
    </row>
    <row r="29" spans="1:1000" ht="15" x14ac:dyDescent="0.25">
      <c r="A29" t="str">
        <f ca="1">IF(_xll.TM1RPTELISCONSOLIDATED($B$25,$B29),IF(_xll.TM1RPTELLEV($B$25,$B29)&lt;=3,_xll.TM1RPTELLEV($B$25,$B29),"D"),"N")</f>
        <v>N</v>
      </c>
      <c r="B29" s="42" t="s">
        <v>19</v>
      </c>
      <c r="C29" s="22" t="str">
        <f ca="1">_xll.DBRW($B$9,$C$19,$C$20,$B29,$C$22,$C$21,C$24)</f>
        <v>*KEY_ERR</v>
      </c>
      <c r="D29" s="37" t="str">
        <f ca="1">_xll.DBRW($B$9,$C$19,$C$20,$B29,$C$22,$C$21,D$24)</f>
        <v>*KEY_ERR</v>
      </c>
      <c r="E29" s="36" t="s">
        <v>74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/>
      <c r="KE29" s="36"/>
      <c r="KF29" s="36"/>
      <c r="KG29" s="36"/>
      <c r="KH29" s="36"/>
      <c r="KI29" s="36"/>
      <c r="KJ29" s="36"/>
      <c r="KK29" s="36"/>
      <c r="KL29" s="36"/>
      <c r="KM29" s="36"/>
      <c r="KN29" s="36"/>
      <c r="KO29" s="36"/>
      <c r="KP29" s="36"/>
      <c r="KQ29" s="36"/>
      <c r="KR29" s="36"/>
      <c r="KS29" s="36"/>
      <c r="KT29" s="36"/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/>
      <c r="MB29" s="36"/>
      <c r="MC29" s="36"/>
      <c r="MD29" s="36"/>
      <c r="ME29" s="36"/>
      <c r="MF29" s="36"/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/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/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/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/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/>
      <c r="YL29" s="36"/>
      <c r="YM29" s="36"/>
      <c r="YN29" s="36"/>
      <c r="YO29" s="36"/>
      <c r="YP29" s="36"/>
      <c r="YQ29" s="36"/>
      <c r="YR29" s="36"/>
      <c r="YS29" s="36"/>
      <c r="YT29" s="36"/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36"/>
      <c r="AEK29" s="36"/>
      <c r="AEL29" s="36"/>
      <c r="AEM29" s="36"/>
      <c r="AEN29" s="36"/>
      <c r="AEO29" s="36"/>
      <c r="AEP29" s="36"/>
      <c r="AEQ29" s="36"/>
      <c r="AER29" s="36"/>
      <c r="AES29" s="36"/>
      <c r="AET29" s="36"/>
      <c r="AEU29" s="36"/>
      <c r="AEV29" s="36"/>
      <c r="AEW29" s="36"/>
      <c r="AEX29" s="36"/>
      <c r="AEY29" s="36"/>
      <c r="AEZ29" s="36"/>
      <c r="AFA29" s="36"/>
      <c r="AFB29" s="36"/>
      <c r="AFC29" s="36"/>
      <c r="AFD29" s="36"/>
      <c r="AFE29" s="36"/>
      <c r="AFF29" s="36"/>
      <c r="AFG29" s="36"/>
      <c r="AFH29" s="36"/>
      <c r="AFI29" s="36"/>
      <c r="AFJ29" s="36"/>
      <c r="AFK29" s="36"/>
      <c r="AFL29" s="36"/>
      <c r="AFM29" s="36"/>
      <c r="AFN29" s="36"/>
      <c r="AFO29" s="36"/>
      <c r="AFP29" s="36"/>
      <c r="AFQ29" s="36"/>
      <c r="AFR29" s="36"/>
      <c r="AFS29" s="36"/>
      <c r="AFT29" s="36"/>
      <c r="AFU29" s="36"/>
      <c r="AFV29" s="36"/>
      <c r="AFW29" s="36"/>
      <c r="AFX29" s="36"/>
      <c r="AFY29" s="36"/>
      <c r="AFZ29" s="36"/>
      <c r="AGA29" s="36"/>
      <c r="AGB29" s="36"/>
      <c r="AGC29" s="36"/>
      <c r="AGD29" s="36"/>
      <c r="AGE29" s="36"/>
      <c r="AGF29" s="36"/>
      <c r="AGG29" s="36"/>
      <c r="AGH29" s="36"/>
      <c r="AGI29" s="36"/>
      <c r="AGJ29" s="36"/>
      <c r="AGK29" s="36"/>
      <c r="AGL29" s="36"/>
      <c r="AGM29" s="36"/>
      <c r="AGN29" s="36"/>
      <c r="AGO29" s="36"/>
      <c r="AGP29" s="36"/>
      <c r="AGQ29" s="36"/>
      <c r="AGR29" s="36"/>
      <c r="AGS29" s="36"/>
      <c r="AGT29" s="36"/>
      <c r="AGU29" s="36"/>
      <c r="AGV29" s="36"/>
      <c r="AGW29" s="36"/>
      <c r="AGX29" s="36"/>
      <c r="AGY29" s="36"/>
      <c r="AGZ29" s="36"/>
      <c r="AHA29" s="36"/>
      <c r="AHB29" s="36"/>
      <c r="AHC29" s="36"/>
      <c r="AHD29" s="36"/>
      <c r="AHE29" s="36"/>
      <c r="AHF29" s="36"/>
      <c r="AHG29" s="36"/>
      <c r="AHH29" s="36"/>
      <c r="AHI29" s="36"/>
      <c r="AHJ29" s="36"/>
      <c r="AHK29" s="36"/>
      <c r="AHL29" s="36"/>
      <c r="AHM29" s="36"/>
      <c r="AHN29" s="36"/>
      <c r="AHO29" s="36"/>
      <c r="AHP29" s="36"/>
      <c r="AHQ29" s="36"/>
      <c r="AHR29" s="36"/>
      <c r="AHS29" s="36"/>
      <c r="AHT29" s="36"/>
      <c r="AHU29" s="36"/>
      <c r="AHV29" s="36"/>
      <c r="AHW29" s="36"/>
      <c r="AHX29" s="36"/>
      <c r="AHY29" s="36"/>
      <c r="AHZ29" s="36"/>
      <c r="AIA29" s="36"/>
      <c r="AIB29" s="36"/>
      <c r="AIC29" s="36"/>
      <c r="AID29" s="36"/>
      <c r="AIE29" s="36"/>
      <c r="AIF29" s="36"/>
      <c r="AIG29" s="36"/>
      <c r="AIH29" s="36"/>
      <c r="AII29" s="36"/>
      <c r="AIJ29" s="36"/>
      <c r="AIK29" s="36"/>
      <c r="AIL29" s="36"/>
      <c r="AIM29" s="36"/>
      <c r="AIN29" s="36"/>
      <c r="AIO29" s="36"/>
      <c r="AIP29" s="36"/>
      <c r="AIQ29" s="36"/>
      <c r="AIR29" s="36"/>
      <c r="AIS29" s="36"/>
      <c r="AIT29" s="36"/>
      <c r="AIU29" s="36"/>
      <c r="AIV29" s="36"/>
      <c r="AIW29" s="36"/>
      <c r="AIX29" s="36"/>
      <c r="AIY29" s="36"/>
      <c r="AIZ29" s="36"/>
      <c r="AJA29" s="36"/>
      <c r="AJB29" s="36"/>
      <c r="AJC29" s="36"/>
      <c r="AJD29" s="36"/>
      <c r="AJE29" s="36"/>
      <c r="AJF29" s="36"/>
      <c r="AJG29" s="36"/>
      <c r="AJH29" s="36"/>
      <c r="AJI29" s="36"/>
      <c r="AJJ29" s="36"/>
      <c r="AJK29" s="36"/>
      <c r="AJL29" s="36"/>
      <c r="AJM29" s="36"/>
      <c r="AJN29" s="36"/>
      <c r="AJO29" s="36"/>
      <c r="AJP29" s="36"/>
      <c r="AJQ29" s="36"/>
      <c r="AJR29" s="36"/>
      <c r="AJS29" s="36"/>
      <c r="AJT29" s="36"/>
      <c r="AJU29" s="36"/>
      <c r="AJV29" s="36"/>
      <c r="AJW29" s="36"/>
      <c r="AJX29" s="36"/>
      <c r="AJY29" s="36"/>
      <c r="AJZ29" s="36"/>
      <c r="AKA29" s="36"/>
      <c r="AKB29" s="36"/>
      <c r="AKC29" s="36"/>
      <c r="AKD29" s="36"/>
      <c r="AKE29" s="36"/>
      <c r="AKF29" s="36"/>
      <c r="AKG29" s="36"/>
      <c r="AKH29" s="36"/>
      <c r="AKI29" s="36"/>
      <c r="AKJ29" s="36"/>
      <c r="AKK29" s="36"/>
      <c r="AKL29" s="36"/>
      <c r="AKM29" s="36"/>
      <c r="AKN29" s="36"/>
      <c r="AKO29" s="36"/>
      <c r="AKP29" s="36"/>
      <c r="AKQ29" s="36"/>
      <c r="AKR29" s="36"/>
      <c r="AKS29" s="36"/>
      <c r="AKT29" s="36"/>
      <c r="AKU29" s="36"/>
      <c r="AKV29" s="36"/>
      <c r="AKW29" s="36"/>
      <c r="AKX29" s="36"/>
      <c r="AKY29" s="36"/>
      <c r="AKZ29" s="36"/>
      <c r="ALA29" s="36"/>
      <c r="ALB29" s="36"/>
      <c r="ALC29" s="36"/>
      <c r="ALD29" s="36"/>
      <c r="ALE29" s="36"/>
      <c r="ALF29" s="36"/>
      <c r="ALG29" s="36"/>
      <c r="ALH29" s="36"/>
      <c r="ALI29" s="36"/>
      <c r="ALJ29" s="36"/>
      <c r="ALK29" s="36"/>
      <c r="ALL29" s="36"/>
    </row>
    <row r="30" spans="1:1000" ht="15" x14ac:dyDescent="0.25">
      <c r="A30" t="str">
        <f ca="1">IF(_xll.TM1RPTELISCONSOLIDATED($B$25,$B30),IF(_xll.TM1RPTELLEV($B$25,$B30)&lt;=3,_xll.TM1RPTELLEV($B$25,$B30),"D"),"N")</f>
        <v>N</v>
      </c>
      <c r="B30" s="42" t="s">
        <v>20</v>
      </c>
      <c r="C30" s="22" t="str">
        <f ca="1">_xll.DBRW($B$9,$C$19,$C$20,$B30,$C$22,$C$21,C$24)</f>
        <v>*KEY_ERR</v>
      </c>
      <c r="D30" s="37" t="str">
        <f ca="1">_xll.DBRW($B$9,$C$19,$C$20,$B30,$C$22,$C$21,D$24)</f>
        <v>*KEY_ERR</v>
      </c>
      <c r="E30" s="36" t="s">
        <v>74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  <c r="IY30" s="36"/>
      <c r="IZ30" s="36"/>
      <c r="JA30" s="36"/>
      <c r="JB30" s="36"/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/>
      <c r="JZ30" s="36"/>
      <c r="KA30" s="36"/>
      <c r="KB30" s="36"/>
      <c r="KC30" s="36"/>
      <c r="KD30" s="36"/>
      <c r="KE30" s="36"/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36"/>
      <c r="MF30" s="36"/>
      <c r="MG30" s="36"/>
      <c r="MH30" s="36"/>
      <c r="MI30" s="36"/>
      <c r="MJ30" s="36"/>
      <c r="MK30" s="36"/>
      <c r="ML30" s="36"/>
      <c r="MM30" s="36"/>
      <c r="MN30" s="36"/>
      <c r="MO30" s="36"/>
      <c r="MP30" s="36"/>
      <c r="MQ30" s="36"/>
      <c r="MR30" s="36"/>
      <c r="MS30" s="36"/>
      <c r="MT30" s="36"/>
      <c r="MU30" s="36"/>
      <c r="MV30" s="36"/>
      <c r="MW30" s="36"/>
      <c r="MX30" s="36"/>
      <c r="MY30" s="36"/>
      <c r="MZ30" s="36"/>
      <c r="NA30" s="36"/>
      <c r="NB30" s="36"/>
      <c r="NC30" s="36"/>
      <c r="ND30" s="36"/>
      <c r="NE30" s="36"/>
      <c r="NF30" s="36"/>
      <c r="NG30" s="36"/>
      <c r="NH30" s="36"/>
      <c r="NI30" s="36"/>
      <c r="NJ30" s="36"/>
      <c r="NK30" s="36"/>
      <c r="NL30" s="36"/>
      <c r="NM30" s="36"/>
      <c r="NN30" s="36"/>
      <c r="NO30" s="36"/>
      <c r="NP30" s="36"/>
      <c r="NQ30" s="36"/>
      <c r="NR30" s="36"/>
      <c r="NS30" s="36"/>
      <c r="NT30" s="36"/>
      <c r="NU30" s="36"/>
      <c r="NV30" s="36"/>
      <c r="NW30" s="36"/>
      <c r="NX30" s="36"/>
      <c r="NY30" s="36"/>
      <c r="NZ30" s="36"/>
      <c r="OA30" s="36"/>
      <c r="OB30" s="36"/>
      <c r="OC30" s="36"/>
      <c r="OD30" s="36"/>
      <c r="OE30" s="36"/>
      <c r="OF30" s="36"/>
      <c r="OG30" s="36"/>
      <c r="OH30" s="36"/>
      <c r="OI30" s="36"/>
      <c r="OJ30" s="36"/>
      <c r="OK30" s="36"/>
      <c r="OL30" s="36"/>
      <c r="OM30" s="36"/>
      <c r="ON30" s="36"/>
      <c r="OO30" s="36"/>
      <c r="OP30" s="36"/>
      <c r="OQ30" s="36"/>
      <c r="OR30" s="36"/>
      <c r="OS30" s="36"/>
      <c r="OT30" s="36"/>
      <c r="OU30" s="36"/>
      <c r="OV30" s="36"/>
      <c r="OW30" s="36"/>
      <c r="OX30" s="36"/>
      <c r="OY30" s="36"/>
      <c r="OZ30" s="36"/>
      <c r="PA30" s="36"/>
      <c r="PB30" s="36"/>
      <c r="PC30" s="36"/>
      <c r="PD30" s="36"/>
      <c r="PE30" s="36"/>
      <c r="PF30" s="36"/>
      <c r="PG30" s="36"/>
      <c r="PH30" s="36"/>
      <c r="PI30" s="36"/>
      <c r="PJ30" s="36"/>
      <c r="PK30" s="36"/>
      <c r="PL30" s="36"/>
      <c r="PM30" s="36"/>
      <c r="PN30" s="36"/>
      <c r="PO30" s="36"/>
      <c r="PP30" s="36"/>
      <c r="PQ30" s="36"/>
      <c r="PR30" s="36"/>
      <c r="PS30" s="36"/>
      <c r="PT30" s="36"/>
      <c r="PU30" s="36"/>
      <c r="PV30" s="36"/>
      <c r="PW30" s="36"/>
      <c r="PX30" s="36"/>
      <c r="PY30" s="36"/>
      <c r="PZ30" s="36"/>
      <c r="QA30" s="36"/>
      <c r="QB30" s="36"/>
      <c r="QC30" s="36"/>
      <c r="QD30" s="36"/>
      <c r="QE30" s="36"/>
      <c r="QF30" s="36"/>
      <c r="QG30" s="36"/>
      <c r="QH30" s="36"/>
      <c r="QI30" s="36"/>
      <c r="QJ30" s="36"/>
      <c r="QK30" s="36"/>
      <c r="QL30" s="36"/>
      <c r="QM30" s="36"/>
      <c r="QN30" s="36"/>
      <c r="QO30" s="36"/>
      <c r="QP30" s="36"/>
      <c r="QQ30" s="36"/>
      <c r="QR30" s="36"/>
      <c r="QS30" s="36"/>
      <c r="QT30" s="36"/>
      <c r="QU30" s="36"/>
      <c r="QV30" s="36"/>
      <c r="QW30" s="36"/>
      <c r="QX30" s="36"/>
      <c r="QY30" s="36"/>
      <c r="QZ30" s="36"/>
      <c r="RA30" s="36"/>
      <c r="RB30" s="36"/>
      <c r="RC30" s="36"/>
      <c r="RD30" s="36"/>
      <c r="RE30" s="36"/>
      <c r="RF30" s="36"/>
      <c r="RG30" s="36"/>
      <c r="RH30" s="36"/>
      <c r="RI30" s="36"/>
      <c r="RJ30" s="36"/>
      <c r="RK30" s="36"/>
      <c r="RL30" s="36"/>
      <c r="RM30" s="36"/>
      <c r="RN30" s="36"/>
      <c r="RO30" s="36"/>
      <c r="RP30" s="36"/>
      <c r="RQ30" s="36"/>
      <c r="RR30" s="36"/>
      <c r="RS30" s="36"/>
      <c r="RT30" s="36"/>
      <c r="RU30" s="36"/>
      <c r="RV30" s="36"/>
      <c r="RW30" s="36"/>
      <c r="RX30" s="36"/>
      <c r="RY30" s="36"/>
      <c r="RZ30" s="36"/>
      <c r="SA30" s="36"/>
      <c r="SB30" s="36"/>
      <c r="SC30" s="36"/>
      <c r="SD30" s="36"/>
      <c r="SE30" s="36"/>
      <c r="SF30" s="36"/>
      <c r="SG30" s="36"/>
      <c r="SH30" s="36"/>
      <c r="SI30" s="36"/>
      <c r="SJ30" s="36"/>
      <c r="SK30" s="36"/>
      <c r="SL30" s="36"/>
      <c r="SM30" s="36"/>
      <c r="SN30" s="36"/>
      <c r="SO30" s="36"/>
      <c r="SP30" s="36"/>
      <c r="SQ30" s="36"/>
      <c r="SR30" s="36"/>
      <c r="SS30" s="36"/>
      <c r="ST30" s="36"/>
      <c r="SU30" s="36"/>
      <c r="SV30" s="36"/>
      <c r="SW30" s="36"/>
      <c r="SX30" s="36"/>
      <c r="SY30" s="36"/>
      <c r="SZ30" s="36"/>
      <c r="TA30" s="36"/>
      <c r="TB30" s="36"/>
      <c r="TC30" s="36"/>
      <c r="TD30" s="36"/>
      <c r="TE30" s="36"/>
      <c r="TF30" s="36"/>
      <c r="TG30" s="36"/>
      <c r="TH30" s="36"/>
      <c r="TI30" s="36"/>
      <c r="TJ30" s="36"/>
      <c r="TK30" s="36"/>
      <c r="TL30" s="36"/>
      <c r="TM30" s="36"/>
      <c r="TN30" s="36"/>
      <c r="TO30" s="36"/>
      <c r="TP30" s="36"/>
      <c r="TQ30" s="36"/>
      <c r="TR30" s="36"/>
      <c r="TS30" s="36"/>
      <c r="TT30" s="36"/>
      <c r="TU30" s="36"/>
      <c r="TV30" s="36"/>
      <c r="TW30" s="36"/>
      <c r="TX30" s="36"/>
      <c r="TY30" s="36"/>
      <c r="TZ30" s="36"/>
      <c r="UA30" s="36"/>
      <c r="UB30" s="36"/>
      <c r="UC30" s="36"/>
      <c r="UD30" s="36"/>
      <c r="UE30" s="36"/>
      <c r="UF30" s="36"/>
      <c r="UG30" s="36"/>
      <c r="UH30" s="36"/>
      <c r="UI30" s="36"/>
      <c r="UJ30" s="36"/>
      <c r="UK30" s="36"/>
      <c r="UL30" s="36"/>
      <c r="UM30" s="36"/>
      <c r="UN30" s="36"/>
      <c r="UO30" s="36"/>
      <c r="UP30" s="36"/>
      <c r="UQ30" s="36"/>
      <c r="UR30" s="36"/>
      <c r="US30" s="36"/>
      <c r="UT30" s="36"/>
      <c r="UU30" s="36"/>
      <c r="UV30" s="36"/>
      <c r="UW30" s="36"/>
      <c r="UX30" s="36"/>
      <c r="UY30" s="36"/>
      <c r="UZ30" s="36"/>
      <c r="VA30" s="36"/>
      <c r="VB30" s="36"/>
      <c r="VC30" s="36"/>
      <c r="VD30" s="36"/>
      <c r="VE30" s="36"/>
      <c r="VF30" s="36"/>
      <c r="VG30" s="36"/>
      <c r="VH30" s="36"/>
      <c r="VI30" s="36"/>
      <c r="VJ30" s="36"/>
      <c r="VK30" s="36"/>
      <c r="VL30" s="36"/>
      <c r="VM30" s="36"/>
      <c r="VN30" s="36"/>
      <c r="VO30" s="36"/>
      <c r="VP30" s="36"/>
      <c r="VQ30" s="36"/>
      <c r="VR30" s="36"/>
      <c r="VS30" s="36"/>
      <c r="VT30" s="36"/>
      <c r="VU30" s="36"/>
      <c r="VV30" s="36"/>
      <c r="VW30" s="36"/>
      <c r="VX30" s="36"/>
      <c r="VY30" s="36"/>
      <c r="VZ30" s="36"/>
      <c r="WA30" s="36"/>
      <c r="WB30" s="36"/>
      <c r="WC30" s="36"/>
      <c r="WD30" s="36"/>
      <c r="WE30" s="36"/>
      <c r="WF30" s="36"/>
      <c r="WG30" s="36"/>
      <c r="WH30" s="36"/>
      <c r="WI30" s="36"/>
      <c r="WJ30" s="36"/>
      <c r="WK30" s="36"/>
      <c r="WL30" s="36"/>
      <c r="WM30" s="36"/>
      <c r="WN30" s="36"/>
      <c r="WO30" s="36"/>
      <c r="WP30" s="36"/>
      <c r="WQ30" s="36"/>
      <c r="WR30" s="36"/>
      <c r="WS30" s="36"/>
      <c r="WT30" s="36"/>
      <c r="WU30" s="36"/>
      <c r="WV30" s="36"/>
      <c r="WW30" s="36"/>
      <c r="WX30" s="36"/>
      <c r="WY30" s="36"/>
      <c r="WZ30" s="36"/>
      <c r="XA30" s="36"/>
      <c r="XB30" s="36"/>
      <c r="XC30" s="36"/>
      <c r="XD30" s="36"/>
      <c r="XE30" s="36"/>
      <c r="XF30" s="36"/>
      <c r="XG30" s="36"/>
      <c r="XH30" s="36"/>
      <c r="XI30" s="36"/>
      <c r="XJ30" s="36"/>
      <c r="XK30" s="36"/>
      <c r="XL30" s="36"/>
      <c r="XM30" s="36"/>
      <c r="XN30" s="36"/>
      <c r="XO30" s="36"/>
      <c r="XP30" s="36"/>
      <c r="XQ30" s="36"/>
      <c r="XR30" s="36"/>
      <c r="XS30" s="36"/>
      <c r="XT30" s="36"/>
      <c r="XU30" s="36"/>
      <c r="XV30" s="36"/>
      <c r="XW30" s="36"/>
      <c r="XX30" s="36"/>
      <c r="XY30" s="36"/>
      <c r="XZ30" s="36"/>
      <c r="YA30" s="36"/>
      <c r="YB30" s="36"/>
      <c r="YC30" s="36"/>
      <c r="YD30" s="36"/>
      <c r="YE30" s="36"/>
      <c r="YF30" s="36"/>
      <c r="YG30" s="36"/>
      <c r="YH30" s="36"/>
      <c r="YI30" s="36"/>
      <c r="YJ30" s="36"/>
      <c r="YK30" s="36"/>
      <c r="YL30" s="36"/>
      <c r="YM30" s="36"/>
      <c r="YN30" s="36"/>
      <c r="YO30" s="36"/>
      <c r="YP30" s="36"/>
      <c r="YQ30" s="36"/>
      <c r="YR30" s="36"/>
      <c r="YS30" s="36"/>
      <c r="YT30" s="36"/>
      <c r="YU30" s="36"/>
      <c r="YV30" s="36"/>
      <c r="YW30" s="36"/>
      <c r="YX30" s="36"/>
      <c r="YY30" s="36"/>
      <c r="YZ30" s="36"/>
      <c r="ZA30" s="36"/>
      <c r="ZB30" s="36"/>
      <c r="ZC30" s="36"/>
      <c r="ZD30" s="36"/>
      <c r="ZE30" s="36"/>
      <c r="ZF30" s="36"/>
      <c r="ZG30" s="36"/>
      <c r="ZH30" s="36"/>
      <c r="ZI30" s="36"/>
      <c r="ZJ30" s="36"/>
      <c r="ZK30" s="36"/>
      <c r="ZL30" s="36"/>
      <c r="ZM30" s="36"/>
      <c r="ZN30" s="36"/>
      <c r="ZO30" s="36"/>
      <c r="ZP30" s="36"/>
      <c r="ZQ30" s="36"/>
      <c r="ZR30" s="36"/>
      <c r="ZS30" s="36"/>
      <c r="ZT30" s="36"/>
      <c r="ZU30" s="36"/>
      <c r="ZV30" s="36"/>
      <c r="ZW30" s="36"/>
      <c r="ZX30" s="36"/>
      <c r="ZY30" s="36"/>
      <c r="ZZ30" s="36"/>
      <c r="AAA30" s="36"/>
      <c r="AAB30" s="36"/>
      <c r="AAC30" s="36"/>
      <c r="AAD30" s="36"/>
      <c r="AAE30" s="36"/>
      <c r="AAF30" s="36"/>
      <c r="AAG30" s="36"/>
      <c r="AAH30" s="36"/>
      <c r="AAI30" s="36"/>
      <c r="AAJ30" s="36"/>
      <c r="AAK30" s="36"/>
      <c r="AAL30" s="36"/>
      <c r="AAM30" s="36"/>
      <c r="AAN30" s="36"/>
      <c r="AAO30" s="36"/>
      <c r="AAP30" s="36"/>
      <c r="AAQ30" s="36"/>
      <c r="AAR30" s="36"/>
      <c r="AAS30" s="36"/>
      <c r="AAT30" s="36"/>
      <c r="AAU30" s="36"/>
      <c r="AAV30" s="36"/>
      <c r="AAW30" s="36"/>
      <c r="AAX30" s="36"/>
      <c r="AAY30" s="36"/>
      <c r="AAZ30" s="36"/>
      <c r="ABA30" s="36"/>
      <c r="ABB30" s="36"/>
      <c r="ABC30" s="36"/>
      <c r="ABD30" s="36"/>
      <c r="ABE30" s="36"/>
      <c r="ABF30" s="36"/>
      <c r="ABG30" s="36"/>
      <c r="ABH30" s="36"/>
      <c r="ABI30" s="36"/>
      <c r="ABJ30" s="36"/>
      <c r="ABK30" s="36"/>
      <c r="ABL30" s="36"/>
      <c r="ABM30" s="36"/>
      <c r="ABN30" s="36"/>
      <c r="ABO30" s="36"/>
      <c r="ABP30" s="36"/>
      <c r="ABQ30" s="36"/>
      <c r="ABR30" s="36"/>
      <c r="ABS30" s="36"/>
      <c r="ABT30" s="36"/>
      <c r="ABU30" s="36"/>
      <c r="ABV30" s="36"/>
      <c r="ABW30" s="36"/>
      <c r="ABX30" s="36"/>
      <c r="ABY30" s="36"/>
      <c r="ABZ30" s="36"/>
      <c r="ACA30" s="36"/>
      <c r="ACB30" s="36"/>
      <c r="ACC30" s="36"/>
      <c r="ACD30" s="36"/>
      <c r="ACE30" s="36"/>
      <c r="ACF30" s="36"/>
      <c r="ACG30" s="36"/>
      <c r="ACH30" s="36"/>
      <c r="ACI30" s="36"/>
      <c r="ACJ30" s="36"/>
      <c r="ACK30" s="36"/>
      <c r="ACL30" s="36"/>
      <c r="ACM30" s="36"/>
      <c r="ACN30" s="36"/>
      <c r="ACO30" s="36"/>
      <c r="ACP30" s="36"/>
      <c r="ACQ30" s="36"/>
      <c r="ACR30" s="36"/>
      <c r="ACS30" s="36"/>
      <c r="ACT30" s="36"/>
      <c r="ACU30" s="36"/>
      <c r="ACV30" s="36"/>
      <c r="ACW30" s="36"/>
      <c r="ACX30" s="36"/>
      <c r="ACY30" s="36"/>
      <c r="ACZ30" s="36"/>
      <c r="ADA30" s="36"/>
      <c r="ADB30" s="36"/>
      <c r="ADC30" s="36"/>
      <c r="ADD30" s="36"/>
      <c r="ADE30" s="36"/>
      <c r="ADF30" s="36"/>
      <c r="ADG30" s="36"/>
      <c r="ADH30" s="36"/>
      <c r="ADI30" s="36"/>
      <c r="ADJ30" s="36"/>
      <c r="ADK30" s="36"/>
      <c r="ADL30" s="36"/>
      <c r="ADM30" s="36"/>
      <c r="ADN30" s="36"/>
      <c r="ADO30" s="36"/>
      <c r="ADP30" s="36"/>
      <c r="ADQ30" s="36"/>
      <c r="ADR30" s="36"/>
      <c r="ADS30" s="36"/>
      <c r="ADT30" s="36"/>
      <c r="ADU30" s="36"/>
      <c r="ADV30" s="36"/>
      <c r="ADW30" s="36"/>
      <c r="ADX30" s="36"/>
      <c r="ADY30" s="36"/>
      <c r="ADZ30" s="36"/>
      <c r="AEA30" s="36"/>
      <c r="AEB30" s="36"/>
      <c r="AEC30" s="36"/>
      <c r="AED30" s="36"/>
      <c r="AEE30" s="36"/>
      <c r="AEF30" s="36"/>
      <c r="AEG30" s="36"/>
      <c r="AEH30" s="36"/>
      <c r="AEI30" s="36"/>
      <c r="AEJ30" s="36"/>
      <c r="AEK30" s="36"/>
      <c r="AEL30" s="36"/>
      <c r="AEM30" s="36"/>
      <c r="AEN30" s="36"/>
      <c r="AEO30" s="36"/>
      <c r="AEP30" s="36"/>
      <c r="AEQ30" s="36"/>
      <c r="AER30" s="36"/>
      <c r="AES30" s="36"/>
      <c r="AET30" s="36"/>
      <c r="AEU30" s="36"/>
      <c r="AEV30" s="36"/>
      <c r="AEW30" s="36"/>
      <c r="AEX30" s="36"/>
      <c r="AEY30" s="36"/>
      <c r="AEZ30" s="36"/>
      <c r="AFA30" s="36"/>
      <c r="AFB30" s="36"/>
      <c r="AFC30" s="36"/>
      <c r="AFD30" s="36"/>
      <c r="AFE30" s="36"/>
      <c r="AFF30" s="36"/>
      <c r="AFG30" s="36"/>
      <c r="AFH30" s="36"/>
      <c r="AFI30" s="36"/>
      <c r="AFJ30" s="36"/>
      <c r="AFK30" s="36"/>
      <c r="AFL30" s="36"/>
      <c r="AFM30" s="36"/>
      <c r="AFN30" s="36"/>
      <c r="AFO30" s="36"/>
      <c r="AFP30" s="36"/>
      <c r="AFQ30" s="36"/>
      <c r="AFR30" s="36"/>
      <c r="AFS30" s="36"/>
      <c r="AFT30" s="36"/>
      <c r="AFU30" s="36"/>
      <c r="AFV30" s="36"/>
      <c r="AFW30" s="36"/>
      <c r="AFX30" s="36"/>
      <c r="AFY30" s="36"/>
      <c r="AFZ30" s="36"/>
      <c r="AGA30" s="36"/>
      <c r="AGB30" s="36"/>
      <c r="AGC30" s="36"/>
      <c r="AGD30" s="36"/>
      <c r="AGE30" s="36"/>
      <c r="AGF30" s="36"/>
      <c r="AGG30" s="36"/>
      <c r="AGH30" s="36"/>
      <c r="AGI30" s="36"/>
      <c r="AGJ30" s="36"/>
      <c r="AGK30" s="36"/>
      <c r="AGL30" s="36"/>
      <c r="AGM30" s="36"/>
      <c r="AGN30" s="36"/>
      <c r="AGO30" s="36"/>
      <c r="AGP30" s="36"/>
      <c r="AGQ30" s="36"/>
      <c r="AGR30" s="36"/>
      <c r="AGS30" s="36"/>
      <c r="AGT30" s="36"/>
      <c r="AGU30" s="36"/>
      <c r="AGV30" s="36"/>
      <c r="AGW30" s="36"/>
      <c r="AGX30" s="36"/>
      <c r="AGY30" s="36"/>
      <c r="AGZ30" s="36"/>
      <c r="AHA30" s="36"/>
      <c r="AHB30" s="36"/>
      <c r="AHC30" s="36"/>
      <c r="AHD30" s="36"/>
      <c r="AHE30" s="36"/>
      <c r="AHF30" s="36"/>
      <c r="AHG30" s="36"/>
      <c r="AHH30" s="36"/>
      <c r="AHI30" s="36"/>
      <c r="AHJ30" s="36"/>
      <c r="AHK30" s="36"/>
      <c r="AHL30" s="36"/>
      <c r="AHM30" s="36"/>
      <c r="AHN30" s="36"/>
      <c r="AHO30" s="36"/>
      <c r="AHP30" s="36"/>
      <c r="AHQ30" s="36"/>
      <c r="AHR30" s="36"/>
      <c r="AHS30" s="36"/>
      <c r="AHT30" s="36"/>
      <c r="AHU30" s="36"/>
      <c r="AHV30" s="36"/>
      <c r="AHW30" s="36"/>
      <c r="AHX30" s="36"/>
      <c r="AHY30" s="36"/>
      <c r="AHZ30" s="36"/>
      <c r="AIA30" s="36"/>
      <c r="AIB30" s="36"/>
      <c r="AIC30" s="36"/>
      <c r="AID30" s="36"/>
      <c r="AIE30" s="36"/>
      <c r="AIF30" s="36"/>
      <c r="AIG30" s="36"/>
      <c r="AIH30" s="36"/>
      <c r="AII30" s="36"/>
      <c r="AIJ30" s="36"/>
      <c r="AIK30" s="36"/>
      <c r="AIL30" s="36"/>
      <c r="AIM30" s="36"/>
      <c r="AIN30" s="36"/>
      <c r="AIO30" s="36"/>
      <c r="AIP30" s="36"/>
      <c r="AIQ30" s="36"/>
      <c r="AIR30" s="36"/>
      <c r="AIS30" s="36"/>
      <c r="AIT30" s="36"/>
      <c r="AIU30" s="36"/>
      <c r="AIV30" s="36"/>
      <c r="AIW30" s="36"/>
      <c r="AIX30" s="36"/>
      <c r="AIY30" s="36"/>
      <c r="AIZ30" s="36"/>
      <c r="AJA30" s="36"/>
      <c r="AJB30" s="36"/>
      <c r="AJC30" s="36"/>
      <c r="AJD30" s="36"/>
      <c r="AJE30" s="36"/>
      <c r="AJF30" s="36"/>
      <c r="AJG30" s="36"/>
      <c r="AJH30" s="36"/>
      <c r="AJI30" s="36"/>
      <c r="AJJ30" s="36"/>
      <c r="AJK30" s="36"/>
      <c r="AJL30" s="36"/>
      <c r="AJM30" s="36"/>
      <c r="AJN30" s="36"/>
      <c r="AJO30" s="36"/>
      <c r="AJP30" s="36"/>
      <c r="AJQ30" s="36"/>
      <c r="AJR30" s="36"/>
      <c r="AJS30" s="36"/>
      <c r="AJT30" s="36"/>
      <c r="AJU30" s="36"/>
      <c r="AJV30" s="36"/>
      <c r="AJW30" s="36"/>
      <c r="AJX30" s="36"/>
      <c r="AJY30" s="36"/>
      <c r="AJZ30" s="36"/>
      <c r="AKA30" s="36"/>
      <c r="AKB30" s="36"/>
      <c r="AKC30" s="36"/>
      <c r="AKD30" s="36"/>
      <c r="AKE30" s="36"/>
      <c r="AKF30" s="36"/>
      <c r="AKG30" s="36"/>
      <c r="AKH30" s="36"/>
      <c r="AKI30" s="36"/>
      <c r="AKJ30" s="36"/>
      <c r="AKK30" s="36"/>
      <c r="AKL30" s="36"/>
      <c r="AKM30" s="36"/>
      <c r="AKN30" s="36"/>
      <c r="AKO30" s="36"/>
      <c r="AKP30" s="36"/>
      <c r="AKQ30" s="36"/>
      <c r="AKR30" s="36"/>
      <c r="AKS30" s="36"/>
      <c r="AKT30" s="36"/>
      <c r="AKU30" s="36"/>
      <c r="AKV30" s="36"/>
      <c r="AKW30" s="36"/>
      <c r="AKX30" s="36"/>
      <c r="AKY30" s="36"/>
      <c r="AKZ30" s="36"/>
      <c r="ALA30" s="36"/>
      <c r="ALB30" s="36"/>
      <c r="ALC30" s="36"/>
      <c r="ALD30" s="36"/>
      <c r="ALE30" s="36"/>
      <c r="ALF30" s="36"/>
      <c r="ALG30" s="36"/>
      <c r="ALH30" s="36"/>
      <c r="ALI30" s="36"/>
      <c r="ALJ30" s="36"/>
      <c r="ALK30" s="36"/>
      <c r="ALL30" s="36"/>
    </row>
    <row r="31" spans="1:1000" ht="15" x14ac:dyDescent="0.25">
      <c r="A31" t="str">
        <f ca="1">IF(_xll.TM1RPTELISCONSOLIDATED($B$25,$B31),IF(_xll.TM1RPTELLEV($B$25,$B31)&lt;=3,_xll.TM1RPTELLEV($B$25,$B31),"D"),"N")</f>
        <v>N</v>
      </c>
      <c r="B31" s="42" t="s">
        <v>21</v>
      </c>
      <c r="C31" s="22" t="str">
        <f ca="1">_xll.DBRW($B$9,$C$19,$C$20,$B31,$C$22,$C$21,C$24)</f>
        <v>*KEY_ERR</v>
      </c>
      <c r="D31" s="37" t="str">
        <f ca="1">_xll.DBRW($B$9,$C$19,$C$20,$B31,$C$22,$C$21,D$24)</f>
        <v>*KEY_ERR</v>
      </c>
      <c r="E31" s="36" t="s">
        <v>74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6"/>
      <c r="IY31" s="36"/>
      <c r="IZ31" s="36"/>
      <c r="JA31" s="36"/>
      <c r="JB31" s="36"/>
      <c r="JC31" s="36"/>
      <c r="JD31" s="36"/>
      <c r="JE31" s="36"/>
      <c r="JF31" s="36"/>
      <c r="JG31" s="36"/>
      <c r="JH31" s="36"/>
      <c r="JI31" s="36"/>
      <c r="JJ31" s="36"/>
      <c r="JK31" s="36"/>
      <c r="JL31" s="36"/>
      <c r="JM31" s="36"/>
      <c r="JN31" s="36"/>
      <c r="JO31" s="36"/>
      <c r="JP31" s="36"/>
      <c r="JQ31" s="36"/>
      <c r="JR31" s="36"/>
      <c r="JS31" s="36"/>
      <c r="JT31" s="36"/>
      <c r="JU31" s="36"/>
      <c r="JV31" s="36"/>
      <c r="JW31" s="36"/>
      <c r="JX31" s="36"/>
      <c r="JY31" s="36"/>
      <c r="JZ31" s="36"/>
      <c r="KA31" s="36"/>
      <c r="KB31" s="36"/>
      <c r="KC31" s="36"/>
      <c r="KD31" s="36"/>
      <c r="KE31" s="36"/>
      <c r="KF31" s="36"/>
      <c r="KG31" s="36"/>
      <c r="KH31" s="36"/>
      <c r="KI31" s="36"/>
      <c r="KJ31" s="36"/>
      <c r="KK31" s="36"/>
      <c r="KL31" s="36"/>
      <c r="KM31" s="36"/>
      <c r="KN31" s="36"/>
      <c r="KO31" s="36"/>
      <c r="KP31" s="36"/>
      <c r="KQ31" s="36"/>
      <c r="KR31" s="36"/>
      <c r="KS31" s="36"/>
      <c r="KT31" s="36"/>
      <c r="KU31" s="36"/>
      <c r="KV31" s="36"/>
      <c r="KW31" s="36"/>
      <c r="KX31" s="36"/>
      <c r="KY31" s="36"/>
      <c r="KZ31" s="36"/>
      <c r="LA31" s="36"/>
      <c r="LB31" s="36"/>
      <c r="LC31" s="36"/>
      <c r="LD31" s="36"/>
      <c r="LE31" s="36"/>
      <c r="LF31" s="36"/>
      <c r="LG31" s="36"/>
      <c r="LH31" s="36"/>
      <c r="LI31" s="36"/>
      <c r="LJ31" s="36"/>
      <c r="LK31" s="36"/>
      <c r="LL31" s="36"/>
      <c r="LM31" s="36"/>
      <c r="LN31" s="36"/>
      <c r="LO31" s="36"/>
      <c r="LP31" s="36"/>
      <c r="LQ31" s="36"/>
      <c r="LR31" s="36"/>
      <c r="LS31" s="36"/>
      <c r="LT31" s="36"/>
      <c r="LU31" s="36"/>
      <c r="LV31" s="36"/>
      <c r="LW31" s="36"/>
      <c r="LX31" s="36"/>
      <c r="LY31" s="36"/>
      <c r="LZ31" s="36"/>
      <c r="MA31" s="36"/>
      <c r="MB31" s="36"/>
      <c r="MC31" s="36"/>
      <c r="MD31" s="36"/>
      <c r="ME31" s="36"/>
      <c r="MF31" s="36"/>
      <c r="MG31" s="36"/>
      <c r="MH31" s="36"/>
      <c r="MI31" s="36"/>
      <c r="MJ31" s="36"/>
      <c r="MK31" s="36"/>
      <c r="ML31" s="36"/>
      <c r="MM31" s="36"/>
      <c r="MN31" s="36"/>
      <c r="MO31" s="36"/>
      <c r="MP31" s="36"/>
      <c r="MQ31" s="36"/>
      <c r="MR31" s="36"/>
      <c r="MS31" s="36"/>
      <c r="MT31" s="36"/>
      <c r="MU31" s="36"/>
      <c r="MV31" s="36"/>
      <c r="MW31" s="36"/>
      <c r="MX31" s="36"/>
      <c r="MY31" s="36"/>
      <c r="MZ31" s="36"/>
      <c r="NA31" s="36"/>
      <c r="NB31" s="36"/>
      <c r="NC31" s="36"/>
      <c r="ND31" s="36"/>
      <c r="NE31" s="36"/>
      <c r="NF31" s="36"/>
      <c r="NG31" s="36"/>
      <c r="NH31" s="36"/>
      <c r="NI31" s="36"/>
      <c r="NJ31" s="36"/>
      <c r="NK31" s="36"/>
      <c r="NL31" s="36"/>
      <c r="NM31" s="36"/>
      <c r="NN31" s="36"/>
      <c r="NO31" s="36"/>
      <c r="NP31" s="36"/>
      <c r="NQ31" s="36"/>
      <c r="NR31" s="36"/>
      <c r="NS31" s="36"/>
      <c r="NT31" s="36"/>
      <c r="NU31" s="36"/>
      <c r="NV31" s="36"/>
      <c r="NW31" s="36"/>
      <c r="NX31" s="36"/>
      <c r="NY31" s="36"/>
      <c r="NZ31" s="36"/>
      <c r="OA31" s="36"/>
      <c r="OB31" s="36"/>
      <c r="OC31" s="36"/>
      <c r="OD31" s="36"/>
      <c r="OE31" s="36"/>
      <c r="OF31" s="36"/>
      <c r="OG31" s="36"/>
      <c r="OH31" s="36"/>
      <c r="OI31" s="36"/>
      <c r="OJ31" s="36"/>
      <c r="OK31" s="36"/>
      <c r="OL31" s="36"/>
      <c r="OM31" s="36"/>
      <c r="ON31" s="36"/>
      <c r="OO31" s="36"/>
      <c r="OP31" s="36"/>
      <c r="OQ31" s="36"/>
      <c r="OR31" s="36"/>
      <c r="OS31" s="36"/>
      <c r="OT31" s="36"/>
      <c r="OU31" s="36"/>
      <c r="OV31" s="36"/>
      <c r="OW31" s="36"/>
      <c r="OX31" s="36"/>
      <c r="OY31" s="36"/>
      <c r="OZ31" s="36"/>
      <c r="PA31" s="36"/>
      <c r="PB31" s="36"/>
      <c r="PC31" s="36"/>
      <c r="PD31" s="36"/>
      <c r="PE31" s="36"/>
      <c r="PF31" s="36"/>
      <c r="PG31" s="36"/>
      <c r="PH31" s="36"/>
      <c r="PI31" s="36"/>
      <c r="PJ31" s="36"/>
      <c r="PK31" s="36"/>
      <c r="PL31" s="36"/>
      <c r="PM31" s="36"/>
      <c r="PN31" s="36"/>
      <c r="PO31" s="36"/>
      <c r="PP31" s="36"/>
      <c r="PQ31" s="36"/>
      <c r="PR31" s="36"/>
      <c r="PS31" s="36"/>
      <c r="PT31" s="36"/>
      <c r="PU31" s="36"/>
      <c r="PV31" s="36"/>
      <c r="PW31" s="36"/>
      <c r="PX31" s="36"/>
      <c r="PY31" s="36"/>
      <c r="PZ31" s="36"/>
      <c r="QA31" s="36"/>
      <c r="QB31" s="36"/>
      <c r="QC31" s="36"/>
      <c r="QD31" s="36"/>
      <c r="QE31" s="36"/>
      <c r="QF31" s="36"/>
      <c r="QG31" s="36"/>
      <c r="QH31" s="36"/>
      <c r="QI31" s="36"/>
      <c r="QJ31" s="36"/>
      <c r="QK31" s="36"/>
      <c r="QL31" s="36"/>
      <c r="QM31" s="36"/>
      <c r="QN31" s="36"/>
      <c r="QO31" s="36"/>
      <c r="QP31" s="36"/>
      <c r="QQ31" s="36"/>
      <c r="QR31" s="36"/>
      <c r="QS31" s="36"/>
      <c r="QT31" s="36"/>
      <c r="QU31" s="36"/>
      <c r="QV31" s="36"/>
      <c r="QW31" s="36"/>
      <c r="QX31" s="36"/>
      <c r="QY31" s="36"/>
      <c r="QZ31" s="36"/>
      <c r="RA31" s="36"/>
      <c r="RB31" s="36"/>
      <c r="RC31" s="36"/>
      <c r="RD31" s="36"/>
      <c r="RE31" s="36"/>
      <c r="RF31" s="36"/>
      <c r="RG31" s="36"/>
      <c r="RH31" s="36"/>
      <c r="RI31" s="36"/>
      <c r="RJ31" s="36"/>
      <c r="RK31" s="36"/>
      <c r="RL31" s="36"/>
      <c r="RM31" s="36"/>
      <c r="RN31" s="36"/>
      <c r="RO31" s="36"/>
      <c r="RP31" s="36"/>
      <c r="RQ31" s="36"/>
      <c r="RR31" s="36"/>
      <c r="RS31" s="36"/>
      <c r="RT31" s="36"/>
      <c r="RU31" s="36"/>
      <c r="RV31" s="36"/>
      <c r="RW31" s="36"/>
      <c r="RX31" s="36"/>
      <c r="RY31" s="36"/>
      <c r="RZ31" s="36"/>
      <c r="SA31" s="36"/>
      <c r="SB31" s="36"/>
      <c r="SC31" s="36"/>
      <c r="SD31" s="36"/>
      <c r="SE31" s="36"/>
      <c r="SF31" s="36"/>
      <c r="SG31" s="36"/>
      <c r="SH31" s="36"/>
      <c r="SI31" s="36"/>
      <c r="SJ31" s="36"/>
      <c r="SK31" s="36"/>
      <c r="SL31" s="36"/>
      <c r="SM31" s="36"/>
      <c r="SN31" s="36"/>
      <c r="SO31" s="36"/>
      <c r="SP31" s="36"/>
      <c r="SQ31" s="36"/>
      <c r="SR31" s="36"/>
      <c r="SS31" s="36"/>
      <c r="ST31" s="36"/>
      <c r="SU31" s="36"/>
      <c r="SV31" s="36"/>
      <c r="SW31" s="36"/>
      <c r="SX31" s="36"/>
      <c r="SY31" s="36"/>
      <c r="SZ31" s="36"/>
      <c r="TA31" s="36"/>
      <c r="TB31" s="36"/>
      <c r="TC31" s="36"/>
      <c r="TD31" s="36"/>
      <c r="TE31" s="36"/>
      <c r="TF31" s="36"/>
      <c r="TG31" s="36"/>
      <c r="TH31" s="36"/>
      <c r="TI31" s="36"/>
      <c r="TJ31" s="36"/>
      <c r="TK31" s="36"/>
      <c r="TL31" s="36"/>
      <c r="TM31" s="36"/>
      <c r="TN31" s="36"/>
      <c r="TO31" s="36"/>
      <c r="TP31" s="36"/>
      <c r="TQ31" s="36"/>
      <c r="TR31" s="36"/>
      <c r="TS31" s="36"/>
      <c r="TT31" s="36"/>
      <c r="TU31" s="36"/>
      <c r="TV31" s="36"/>
      <c r="TW31" s="36"/>
      <c r="TX31" s="36"/>
      <c r="TY31" s="36"/>
      <c r="TZ31" s="36"/>
      <c r="UA31" s="36"/>
      <c r="UB31" s="36"/>
      <c r="UC31" s="36"/>
      <c r="UD31" s="36"/>
      <c r="UE31" s="36"/>
      <c r="UF31" s="36"/>
      <c r="UG31" s="36"/>
      <c r="UH31" s="36"/>
      <c r="UI31" s="36"/>
      <c r="UJ31" s="36"/>
      <c r="UK31" s="36"/>
      <c r="UL31" s="36"/>
      <c r="UM31" s="36"/>
      <c r="UN31" s="36"/>
      <c r="UO31" s="36"/>
      <c r="UP31" s="36"/>
      <c r="UQ31" s="36"/>
      <c r="UR31" s="36"/>
      <c r="US31" s="36"/>
      <c r="UT31" s="36"/>
      <c r="UU31" s="36"/>
      <c r="UV31" s="36"/>
      <c r="UW31" s="36"/>
      <c r="UX31" s="36"/>
      <c r="UY31" s="36"/>
      <c r="UZ31" s="36"/>
      <c r="VA31" s="36"/>
      <c r="VB31" s="36"/>
      <c r="VC31" s="36"/>
      <c r="VD31" s="36"/>
      <c r="VE31" s="36"/>
      <c r="VF31" s="36"/>
      <c r="VG31" s="36"/>
      <c r="VH31" s="36"/>
      <c r="VI31" s="36"/>
      <c r="VJ31" s="36"/>
      <c r="VK31" s="36"/>
      <c r="VL31" s="36"/>
      <c r="VM31" s="36"/>
      <c r="VN31" s="36"/>
      <c r="VO31" s="36"/>
      <c r="VP31" s="36"/>
      <c r="VQ31" s="36"/>
      <c r="VR31" s="36"/>
      <c r="VS31" s="36"/>
      <c r="VT31" s="36"/>
      <c r="VU31" s="36"/>
      <c r="VV31" s="36"/>
      <c r="VW31" s="36"/>
      <c r="VX31" s="36"/>
      <c r="VY31" s="36"/>
      <c r="VZ31" s="36"/>
      <c r="WA31" s="36"/>
      <c r="WB31" s="36"/>
      <c r="WC31" s="36"/>
      <c r="WD31" s="36"/>
      <c r="WE31" s="36"/>
      <c r="WF31" s="36"/>
      <c r="WG31" s="36"/>
      <c r="WH31" s="36"/>
      <c r="WI31" s="36"/>
      <c r="WJ31" s="36"/>
      <c r="WK31" s="36"/>
      <c r="WL31" s="36"/>
      <c r="WM31" s="36"/>
      <c r="WN31" s="36"/>
      <c r="WO31" s="36"/>
      <c r="WP31" s="36"/>
      <c r="WQ31" s="36"/>
      <c r="WR31" s="36"/>
      <c r="WS31" s="36"/>
      <c r="WT31" s="36"/>
      <c r="WU31" s="36"/>
      <c r="WV31" s="36"/>
      <c r="WW31" s="36"/>
      <c r="WX31" s="36"/>
      <c r="WY31" s="36"/>
      <c r="WZ31" s="36"/>
      <c r="XA31" s="36"/>
      <c r="XB31" s="36"/>
      <c r="XC31" s="36"/>
      <c r="XD31" s="36"/>
      <c r="XE31" s="36"/>
      <c r="XF31" s="36"/>
      <c r="XG31" s="36"/>
      <c r="XH31" s="36"/>
      <c r="XI31" s="36"/>
      <c r="XJ31" s="36"/>
      <c r="XK31" s="36"/>
      <c r="XL31" s="36"/>
      <c r="XM31" s="36"/>
      <c r="XN31" s="36"/>
      <c r="XO31" s="36"/>
      <c r="XP31" s="36"/>
      <c r="XQ31" s="36"/>
      <c r="XR31" s="36"/>
      <c r="XS31" s="36"/>
      <c r="XT31" s="36"/>
      <c r="XU31" s="36"/>
      <c r="XV31" s="36"/>
      <c r="XW31" s="36"/>
      <c r="XX31" s="36"/>
      <c r="XY31" s="36"/>
      <c r="XZ31" s="36"/>
      <c r="YA31" s="36"/>
      <c r="YB31" s="36"/>
      <c r="YC31" s="36"/>
      <c r="YD31" s="36"/>
      <c r="YE31" s="36"/>
      <c r="YF31" s="36"/>
      <c r="YG31" s="36"/>
      <c r="YH31" s="36"/>
      <c r="YI31" s="36"/>
      <c r="YJ31" s="36"/>
      <c r="YK31" s="36"/>
      <c r="YL31" s="36"/>
      <c r="YM31" s="36"/>
      <c r="YN31" s="36"/>
      <c r="YO31" s="36"/>
      <c r="YP31" s="36"/>
      <c r="YQ31" s="36"/>
      <c r="YR31" s="36"/>
      <c r="YS31" s="36"/>
      <c r="YT31" s="36"/>
      <c r="YU31" s="36"/>
      <c r="YV31" s="36"/>
      <c r="YW31" s="36"/>
      <c r="YX31" s="36"/>
      <c r="YY31" s="36"/>
      <c r="YZ31" s="36"/>
      <c r="ZA31" s="36"/>
      <c r="ZB31" s="36"/>
      <c r="ZC31" s="36"/>
      <c r="ZD31" s="36"/>
      <c r="ZE31" s="36"/>
      <c r="ZF31" s="36"/>
      <c r="ZG31" s="36"/>
      <c r="ZH31" s="36"/>
      <c r="ZI31" s="36"/>
      <c r="ZJ31" s="36"/>
      <c r="ZK31" s="36"/>
      <c r="ZL31" s="36"/>
      <c r="ZM31" s="36"/>
      <c r="ZN31" s="36"/>
      <c r="ZO31" s="36"/>
      <c r="ZP31" s="36"/>
      <c r="ZQ31" s="36"/>
      <c r="ZR31" s="36"/>
      <c r="ZS31" s="36"/>
      <c r="ZT31" s="36"/>
      <c r="ZU31" s="36"/>
      <c r="ZV31" s="36"/>
      <c r="ZW31" s="36"/>
      <c r="ZX31" s="36"/>
      <c r="ZY31" s="36"/>
      <c r="ZZ31" s="36"/>
      <c r="AAA31" s="36"/>
      <c r="AAB31" s="36"/>
      <c r="AAC31" s="36"/>
      <c r="AAD31" s="36"/>
      <c r="AAE31" s="36"/>
      <c r="AAF31" s="36"/>
      <c r="AAG31" s="36"/>
      <c r="AAH31" s="36"/>
      <c r="AAI31" s="36"/>
      <c r="AAJ31" s="36"/>
      <c r="AAK31" s="36"/>
      <c r="AAL31" s="36"/>
      <c r="AAM31" s="36"/>
      <c r="AAN31" s="36"/>
      <c r="AAO31" s="36"/>
      <c r="AAP31" s="36"/>
      <c r="AAQ31" s="36"/>
      <c r="AAR31" s="36"/>
      <c r="AAS31" s="36"/>
      <c r="AAT31" s="36"/>
      <c r="AAU31" s="36"/>
      <c r="AAV31" s="36"/>
      <c r="AAW31" s="36"/>
      <c r="AAX31" s="36"/>
      <c r="AAY31" s="36"/>
      <c r="AAZ31" s="36"/>
      <c r="ABA31" s="36"/>
      <c r="ABB31" s="36"/>
      <c r="ABC31" s="36"/>
      <c r="ABD31" s="36"/>
      <c r="ABE31" s="36"/>
      <c r="ABF31" s="36"/>
      <c r="ABG31" s="36"/>
      <c r="ABH31" s="36"/>
      <c r="ABI31" s="36"/>
      <c r="ABJ31" s="36"/>
      <c r="ABK31" s="36"/>
      <c r="ABL31" s="36"/>
      <c r="ABM31" s="36"/>
      <c r="ABN31" s="36"/>
      <c r="ABO31" s="36"/>
      <c r="ABP31" s="36"/>
      <c r="ABQ31" s="36"/>
      <c r="ABR31" s="36"/>
      <c r="ABS31" s="36"/>
      <c r="ABT31" s="36"/>
      <c r="ABU31" s="36"/>
      <c r="ABV31" s="36"/>
      <c r="ABW31" s="36"/>
      <c r="ABX31" s="36"/>
      <c r="ABY31" s="36"/>
      <c r="ABZ31" s="36"/>
      <c r="ACA31" s="36"/>
      <c r="ACB31" s="36"/>
      <c r="ACC31" s="36"/>
      <c r="ACD31" s="36"/>
      <c r="ACE31" s="36"/>
      <c r="ACF31" s="36"/>
      <c r="ACG31" s="36"/>
      <c r="ACH31" s="36"/>
      <c r="ACI31" s="36"/>
      <c r="ACJ31" s="36"/>
      <c r="ACK31" s="36"/>
      <c r="ACL31" s="36"/>
      <c r="ACM31" s="36"/>
      <c r="ACN31" s="36"/>
      <c r="ACO31" s="36"/>
      <c r="ACP31" s="36"/>
      <c r="ACQ31" s="36"/>
      <c r="ACR31" s="36"/>
      <c r="ACS31" s="36"/>
      <c r="ACT31" s="36"/>
      <c r="ACU31" s="36"/>
      <c r="ACV31" s="36"/>
      <c r="ACW31" s="36"/>
      <c r="ACX31" s="36"/>
      <c r="ACY31" s="36"/>
      <c r="ACZ31" s="36"/>
      <c r="ADA31" s="36"/>
      <c r="ADB31" s="36"/>
      <c r="ADC31" s="36"/>
      <c r="ADD31" s="36"/>
      <c r="ADE31" s="36"/>
      <c r="ADF31" s="36"/>
      <c r="ADG31" s="36"/>
      <c r="ADH31" s="36"/>
      <c r="ADI31" s="36"/>
      <c r="ADJ31" s="36"/>
      <c r="ADK31" s="36"/>
      <c r="ADL31" s="36"/>
      <c r="ADM31" s="36"/>
      <c r="ADN31" s="36"/>
      <c r="ADO31" s="36"/>
      <c r="ADP31" s="36"/>
      <c r="ADQ31" s="36"/>
      <c r="ADR31" s="36"/>
      <c r="ADS31" s="36"/>
      <c r="ADT31" s="36"/>
      <c r="ADU31" s="36"/>
      <c r="ADV31" s="36"/>
      <c r="ADW31" s="36"/>
      <c r="ADX31" s="36"/>
      <c r="ADY31" s="36"/>
      <c r="ADZ31" s="36"/>
      <c r="AEA31" s="36"/>
      <c r="AEB31" s="36"/>
      <c r="AEC31" s="36"/>
      <c r="AED31" s="36"/>
      <c r="AEE31" s="36"/>
      <c r="AEF31" s="36"/>
      <c r="AEG31" s="36"/>
      <c r="AEH31" s="36"/>
      <c r="AEI31" s="36"/>
      <c r="AEJ31" s="36"/>
      <c r="AEK31" s="36"/>
      <c r="AEL31" s="36"/>
      <c r="AEM31" s="36"/>
      <c r="AEN31" s="36"/>
      <c r="AEO31" s="36"/>
      <c r="AEP31" s="36"/>
      <c r="AEQ31" s="36"/>
      <c r="AER31" s="36"/>
      <c r="AES31" s="36"/>
      <c r="AET31" s="36"/>
      <c r="AEU31" s="36"/>
      <c r="AEV31" s="36"/>
      <c r="AEW31" s="36"/>
      <c r="AEX31" s="36"/>
      <c r="AEY31" s="36"/>
      <c r="AEZ31" s="36"/>
      <c r="AFA31" s="36"/>
      <c r="AFB31" s="36"/>
      <c r="AFC31" s="36"/>
      <c r="AFD31" s="36"/>
      <c r="AFE31" s="36"/>
      <c r="AFF31" s="36"/>
      <c r="AFG31" s="36"/>
      <c r="AFH31" s="36"/>
      <c r="AFI31" s="36"/>
      <c r="AFJ31" s="36"/>
      <c r="AFK31" s="36"/>
      <c r="AFL31" s="36"/>
      <c r="AFM31" s="36"/>
      <c r="AFN31" s="36"/>
      <c r="AFO31" s="36"/>
      <c r="AFP31" s="36"/>
      <c r="AFQ31" s="36"/>
      <c r="AFR31" s="36"/>
      <c r="AFS31" s="36"/>
      <c r="AFT31" s="36"/>
      <c r="AFU31" s="36"/>
      <c r="AFV31" s="36"/>
      <c r="AFW31" s="36"/>
      <c r="AFX31" s="36"/>
      <c r="AFY31" s="36"/>
      <c r="AFZ31" s="36"/>
      <c r="AGA31" s="36"/>
      <c r="AGB31" s="36"/>
      <c r="AGC31" s="36"/>
      <c r="AGD31" s="36"/>
      <c r="AGE31" s="36"/>
      <c r="AGF31" s="36"/>
      <c r="AGG31" s="36"/>
      <c r="AGH31" s="36"/>
      <c r="AGI31" s="36"/>
      <c r="AGJ31" s="36"/>
      <c r="AGK31" s="36"/>
      <c r="AGL31" s="36"/>
      <c r="AGM31" s="36"/>
      <c r="AGN31" s="36"/>
      <c r="AGO31" s="36"/>
      <c r="AGP31" s="36"/>
      <c r="AGQ31" s="36"/>
      <c r="AGR31" s="36"/>
      <c r="AGS31" s="36"/>
      <c r="AGT31" s="36"/>
      <c r="AGU31" s="36"/>
      <c r="AGV31" s="36"/>
      <c r="AGW31" s="36"/>
      <c r="AGX31" s="36"/>
      <c r="AGY31" s="36"/>
      <c r="AGZ31" s="36"/>
      <c r="AHA31" s="36"/>
      <c r="AHB31" s="36"/>
      <c r="AHC31" s="36"/>
      <c r="AHD31" s="36"/>
      <c r="AHE31" s="36"/>
      <c r="AHF31" s="36"/>
      <c r="AHG31" s="36"/>
      <c r="AHH31" s="36"/>
      <c r="AHI31" s="36"/>
      <c r="AHJ31" s="36"/>
      <c r="AHK31" s="36"/>
      <c r="AHL31" s="36"/>
      <c r="AHM31" s="36"/>
      <c r="AHN31" s="36"/>
      <c r="AHO31" s="36"/>
      <c r="AHP31" s="36"/>
      <c r="AHQ31" s="36"/>
      <c r="AHR31" s="36"/>
      <c r="AHS31" s="36"/>
      <c r="AHT31" s="36"/>
      <c r="AHU31" s="36"/>
      <c r="AHV31" s="36"/>
      <c r="AHW31" s="36"/>
      <c r="AHX31" s="36"/>
      <c r="AHY31" s="36"/>
      <c r="AHZ31" s="36"/>
      <c r="AIA31" s="36"/>
      <c r="AIB31" s="36"/>
      <c r="AIC31" s="36"/>
      <c r="AID31" s="36"/>
      <c r="AIE31" s="36"/>
      <c r="AIF31" s="36"/>
      <c r="AIG31" s="36"/>
      <c r="AIH31" s="36"/>
      <c r="AII31" s="36"/>
      <c r="AIJ31" s="36"/>
      <c r="AIK31" s="36"/>
      <c r="AIL31" s="36"/>
      <c r="AIM31" s="36"/>
      <c r="AIN31" s="36"/>
      <c r="AIO31" s="36"/>
      <c r="AIP31" s="36"/>
      <c r="AIQ31" s="36"/>
      <c r="AIR31" s="36"/>
      <c r="AIS31" s="36"/>
      <c r="AIT31" s="36"/>
      <c r="AIU31" s="36"/>
      <c r="AIV31" s="36"/>
      <c r="AIW31" s="36"/>
      <c r="AIX31" s="36"/>
      <c r="AIY31" s="36"/>
      <c r="AIZ31" s="36"/>
      <c r="AJA31" s="36"/>
      <c r="AJB31" s="36"/>
      <c r="AJC31" s="36"/>
      <c r="AJD31" s="36"/>
      <c r="AJE31" s="36"/>
      <c r="AJF31" s="36"/>
      <c r="AJG31" s="36"/>
      <c r="AJH31" s="36"/>
      <c r="AJI31" s="36"/>
      <c r="AJJ31" s="36"/>
      <c r="AJK31" s="36"/>
      <c r="AJL31" s="36"/>
      <c r="AJM31" s="36"/>
      <c r="AJN31" s="36"/>
      <c r="AJO31" s="36"/>
      <c r="AJP31" s="36"/>
      <c r="AJQ31" s="36"/>
      <c r="AJR31" s="36"/>
      <c r="AJS31" s="36"/>
      <c r="AJT31" s="36"/>
      <c r="AJU31" s="36"/>
      <c r="AJV31" s="36"/>
      <c r="AJW31" s="36"/>
      <c r="AJX31" s="36"/>
      <c r="AJY31" s="36"/>
      <c r="AJZ31" s="36"/>
      <c r="AKA31" s="36"/>
      <c r="AKB31" s="36"/>
      <c r="AKC31" s="36"/>
      <c r="AKD31" s="36"/>
      <c r="AKE31" s="36"/>
      <c r="AKF31" s="36"/>
      <c r="AKG31" s="36"/>
      <c r="AKH31" s="36"/>
      <c r="AKI31" s="36"/>
      <c r="AKJ31" s="36"/>
      <c r="AKK31" s="36"/>
      <c r="AKL31" s="36"/>
      <c r="AKM31" s="36"/>
      <c r="AKN31" s="36"/>
      <c r="AKO31" s="36"/>
      <c r="AKP31" s="36"/>
      <c r="AKQ31" s="36"/>
      <c r="AKR31" s="36"/>
      <c r="AKS31" s="36"/>
      <c r="AKT31" s="36"/>
      <c r="AKU31" s="36"/>
      <c r="AKV31" s="36"/>
      <c r="AKW31" s="36"/>
      <c r="AKX31" s="36"/>
      <c r="AKY31" s="36"/>
      <c r="AKZ31" s="36"/>
      <c r="ALA31" s="36"/>
      <c r="ALB31" s="36"/>
      <c r="ALC31" s="36"/>
      <c r="ALD31" s="36"/>
      <c r="ALE31" s="36"/>
      <c r="ALF31" s="36"/>
      <c r="ALG31" s="36"/>
      <c r="ALH31" s="36"/>
      <c r="ALI31" s="36"/>
      <c r="ALJ31" s="36"/>
      <c r="ALK31" s="36"/>
      <c r="ALL31" s="36"/>
    </row>
    <row r="32" spans="1:1000" ht="15" x14ac:dyDescent="0.25">
      <c r="A32" t="str">
        <f ca="1">IF(_xll.TM1RPTELISCONSOLIDATED($B$25,$B32),IF(_xll.TM1RPTELLEV($B$25,$B32)&lt;=3,_xll.TM1RPTELLEV($B$25,$B32),"D"),"N")</f>
        <v>N</v>
      </c>
      <c r="B32" s="42" t="s">
        <v>22</v>
      </c>
      <c r="C32" s="22" t="str">
        <f ca="1">_xll.DBRW($B$9,$C$19,$C$20,$B32,$C$22,$C$21,C$24)</f>
        <v>*KEY_ERR</v>
      </c>
      <c r="D32" s="37" t="str">
        <f ca="1">_xll.DBRW($B$9,$C$19,$C$20,$B32,$C$22,$C$21,D$24)</f>
        <v>*KEY_ERR</v>
      </c>
      <c r="E32" s="36" t="s">
        <v>74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/>
      <c r="KE32" s="36"/>
      <c r="KF32" s="36"/>
      <c r="KG32" s="36"/>
      <c r="KH32" s="36"/>
      <c r="KI32" s="36"/>
      <c r="KJ32" s="36"/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/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/>
      <c r="MR32" s="36"/>
      <c r="MS32" s="36"/>
      <c r="MT32" s="36"/>
      <c r="MU32" s="36"/>
      <c r="MV32" s="36"/>
      <c r="MW32" s="36"/>
      <c r="MX32" s="36"/>
      <c r="MY32" s="36"/>
      <c r="MZ32" s="36"/>
      <c r="NA32" s="36"/>
      <c r="NB32" s="36"/>
      <c r="NC32" s="36"/>
      <c r="ND32" s="36"/>
      <c r="NE32" s="36"/>
      <c r="NF32" s="36"/>
      <c r="NG32" s="36"/>
      <c r="NH32" s="36"/>
      <c r="NI32" s="36"/>
      <c r="NJ32" s="36"/>
      <c r="NK32" s="36"/>
      <c r="NL32" s="36"/>
      <c r="NM32" s="36"/>
      <c r="NN32" s="36"/>
      <c r="NO32" s="36"/>
      <c r="NP32" s="36"/>
      <c r="NQ32" s="36"/>
      <c r="NR32" s="36"/>
      <c r="NS32" s="36"/>
      <c r="NT32" s="36"/>
      <c r="NU32" s="36"/>
      <c r="NV32" s="36"/>
      <c r="NW32" s="36"/>
      <c r="NX32" s="36"/>
      <c r="NY32" s="36"/>
      <c r="NZ32" s="36"/>
      <c r="OA32" s="36"/>
      <c r="OB32" s="36"/>
      <c r="OC32" s="36"/>
      <c r="OD32" s="36"/>
      <c r="OE32" s="36"/>
      <c r="OF32" s="36"/>
      <c r="OG32" s="36"/>
      <c r="OH32" s="36"/>
      <c r="OI32" s="36"/>
      <c r="OJ32" s="36"/>
      <c r="OK32" s="36"/>
      <c r="OL32" s="36"/>
      <c r="OM32" s="36"/>
      <c r="ON32" s="36"/>
      <c r="OO32" s="36"/>
      <c r="OP32" s="36"/>
      <c r="OQ32" s="36"/>
      <c r="OR32" s="36"/>
      <c r="OS32" s="36"/>
      <c r="OT32" s="36"/>
      <c r="OU32" s="36"/>
      <c r="OV32" s="36"/>
      <c r="OW32" s="36"/>
      <c r="OX32" s="36"/>
      <c r="OY32" s="36"/>
      <c r="OZ32" s="36"/>
      <c r="PA32" s="36"/>
      <c r="PB32" s="36"/>
      <c r="PC32" s="36"/>
      <c r="PD32" s="36"/>
      <c r="PE32" s="36"/>
      <c r="PF32" s="36"/>
      <c r="PG32" s="36"/>
      <c r="PH32" s="36"/>
      <c r="PI32" s="36"/>
      <c r="PJ32" s="36"/>
      <c r="PK32" s="36"/>
      <c r="PL32" s="36"/>
      <c r="PM32" s="36"/>
      <c r="PN32" s="36"/>
      <c r="PO32" s="36"/>
      <c r="PP32" s="36"/>
      <c r="PQ32" s="36"/>
      <c r="PR32" s="36"/>
      <c r="PS32" s="36"/>
      <c r="PT32" s="36"/>
      <c r="PU32" s="36"/>
      <c r="PV32" s="36"/>
      <c r="PW32" s="36"/>
      <c r="PX32" s="36"/>
      <c r="PY32" s="36"/>
      <c r="PZ32" s="36"/>
      <c r="QA32" s="36"/>
      <c r="QB32" s="36"/>
      <c r="QC32" s="36"/>
      <c r="QD32" s="36"/>
      <c r="QE32" s="36"/>
      <c r="QF32" s="36"/>
      <c r="QG32" s="36"/>
      <c r="QH32" s="36"/>
      <c r="QI32" s="36"/>
      <c r="QJ32" s="36"/>
      <c r="QK32" s="36"/>
      <c r="QL32" s="36"/>
      <c r="QM32" s="36"/>
      <c r="QN32" s="36"/>
      <c r="QO32" s="36"/>
      <c r="QP32" s="36"/>
      <c r="QQ32" s="36"/>
      <c r="QR32" s="36"/>
      <c r="QS32" s="36"/>
      <c r="QT32" s="36"/>
      <c r="QU32" s="36"/>
      <c r="QV32" s="36"/>
      <c r="QW32" s="36"/>
      <c r="QX32" s="36"/>
      <c r="QY32" s="36"/>
      <c r="QZ32" s="36"/>
      <c r="RA32" s="36"/>
      <c r="RB32" s="36"/>
      <c r="RC32" s="36"/>
      <c r="RD32" s="36"/>
      <c r="RE32" s="36"/>
      <c r="RF32" s="36"/>
      <c r="RG32" s="36"/>
      <c r="RH32" s="36"/>
      <c r="RI32" s="36"/>
      <c r="RJ32" s="36"/>
      <c r="RK32" s="36"/>
      <c r="RL32" s="36"/>
      <c r="RM32" s="36"/>
      <c r="RN32" s="36"/>
      <c r="RO32" s="36"/>
      <c r="RP32" s="36"/>
      <c r="RQ32" s="36"/>
      <c r="RR32" s="36"/>
      <c r="RS32" s="36"/>
      <c r="RT32" s="36"/>
      <c r="RU32" s="36"/>
      <c r="RV32" s="36"/>
      <c r="RW32" s="36"/>
      <c r="RX32" s="36"/>
      <c r="RY32" s="36"/>
      <c r="RZ32" s="36"/>
      <c r="SA32" s="36"/>
      <c r="SB32" s="36"/>
      <c r="SC32" s="36"/>
      <c r="SD32" s="36"/>
      <c r="SE32" s="36"/>
      <c r="SF32" s="36"/>
      <c r="SG32" s="36"/>
      <c r="SH32" s="36"/>
      <c r="SI32" s="36"/>
      <c r="SJ32" s="36"/>
      <c r="SK32" s="36"/>
      <c r="SL32" s="36"/>
      <c r="SM32" s="36"/>
      <c r="SN32" s="36"/>
      <c r="SO32" s="36"/>
      <c r="SP32" s="36"/>
      <c r="SQ32" s="36"/>
      <c r="SR32" s="36"/>
      <c r="SS32" s="36"/>
      <c r="ST32" s="36"/>
      <c r="SU32" s="36"/>
      <c r="SV32" s="36"/>
      <c r="SW32" s="36"/>
      <c r="SX32" s="36"/>
      <c r="SY32" s="36"/>
      <c r="SZ32" s="36"/>
      <c r="TA32" s="36"/>
      <c r="TB32" s="36"/>
      <c r="TC32" s="36"/>
      <c r="TD32" s="36"/>
      <c r="TE32" s="36"/>
      <c r="TF32" s="36"/>
      <c r="TG32" s="36"/>
      <c r="TH32" s="36"/>
      <c r="TI32" s="36"/>
      <c r="TJ32" s="36"/>
      <c r="TK32" s="36"/>
      <c r="TL32" s="36"/>
      <c r="TM32" s="36"/>
      <c r="TN32" s="36"/>
      <c r="TO32" s="36"/>
      <c r="TP32" s="36"/>
      <c r="TQ32" s="36"/>
      <c r="TR32" s="36"/>
      <c r="TS32" s="36"/>
      <c r="TT32" s="36"/>
      <c r="TU32" s="36"/>
      <c r="TV32" s="36"/>
      <c r="TW32" s="36"/>
      <c r="TX32" s="36"/>
      <c r="TY32" s="36"/>
      <c r="TZ32" s="36"/>
      <c r="UA32" s="36"/>
      <c r="UB32" s="36"/>
      <c r="UC32" s="36"/>
      <c r="UD32" s="36"/>
      <c r="UE32" s="36"/>
      <c r="UF32" s="36"/>
      <c r="UG32" s="36"/>
      <c r="UH32" s="36"/>
      <c r="UI32" s="36"/>
      <c r="UJ32" s="36"/>
      <c r="UK32" s="36"/>
      <c r="UL32" s="36"/>
      <c r="UM32" s="36"/>
      <c r="UN32" s="36"/>
      <c r="UO32" s="36"/>
      <c r="UP32" s="36"/>
      <c r="UQ32" s="36"/>
      <c r="UR32" s="36"/>
      <c r="US32" s="36"/>
      <c r="UT32" s="36"/>
      <c r="UU32" s="36"/>
      <c r="UV32" s="36"/>
      <c r="UW32" s="36"/>
      <c r="UX32" s="36"/>
      <c r="UY32" s="36"/>
      <c r="UZ32" s="36"/>
      <c r="VA32" s="36"/>
      <c r="VB32" s="36"/>
      <c r="VC32" s="36"/>
      <c r="VD32" s="36"/>
      <c r="VE32" s="36"/>
      <c r="VF32" s="36"/>
      <c r="VG32" s="36"/>
      <c r="VH32" s="36"/>
      <c r="VI32" s="36"/>
      <c r="VJ32" s="36"/>
      <c r="VK32" s="36"/>
      <c r="VL32" s="36"/>
      <c r="VM32" s="36"/>
      <c r="VN32" s="36"/>
      <c r="VO32" s="36"/>
      <c r="VP32" s="36"/>
      <c r="VQ32" s="36"/>
      <c r="VR32" s="36"/>
      <c r="VS32" s="36"/>
      <c r="VT32" s="36"/>
      <c r="VU32" s="36"/>
      <c r="VV32" s="36"/>
      <c r="VW32" s="36"/>
      <c r="VX32" s="36"/>
      <c r="VY32" s="36"/>
      <c r="VZ32" s="36"/>
      <c r="WA32" s="36"/>
      <c r="WB32" s="36"/>
      <c r="WC32" s="36"/>
      <c r="WD32" s="36"/>
      <c r="WE32" s="36"/>
      <c r="WF32" s="36"/>
      <c r="WG32" s="36"/>
      <c r="WH32" s="36"/>
      <c r="WI32" s="36"/>
      <c r="WJ32" s="36"/>
      <c r="WK32" s="36"/>
      <c r="WL32" s="36"/>
      <c r="WM32" s="36"/>
      <c r="WN32" s="36"/>
      <c r="WO32" s="36"/>
      <c r="WP32" s="36"/>
      <c r="WQ32" s="36"/>
      <c r="WR32" s="36"/>
      <c r="WS32" s="36"/>
      <c r="WT32" s="36"/>
      <c r="WU32" s="36"/>
      <c r="WV32" s="36"/>
      <c r="WW32" s="36"/>
      <c r="WX32" s="36"/>
      <c r="WY32" s="36"/>
      <c r="WZ32" s="36"/>
      <c r="XA32" s="36"/>
      <c r="XB32" s="36"/>
      <c r="XC32" s="36"/>
      <c r="XD32" s="36"/>
      <c r="XE32" s="36"/>
      <c r="XF32" s="36"/>
      <c r="XG32" s="36"/>
      <c r="XH32" s="36"/>
      <c r="XI32" s="36"/>
      <c r="XJ32" s="36"/>
      <c r="XK32" s="36"/>
      <c r="XL32" s="36"/>
      <c r="XM32" s="36"/>
      <c r="XN32" s="36"/>
      <c r="XO32" s="36"/>
      <c r="XP32" s="36"/>
      <c r="XQ32" s="36"/>
      <c r="XR32" s="36"/>
      <c r="XS32" s="36"/>
      <c r="XT32" s="36"/>
      <c r="XU32" s="36"/>
      <c r="XV32" s="36"/>
      <c r="XW32" s="36"/>
      <c r="XX32" s="36"/>
      <c r="XY32" s="36"/>
      <c r="XZ32" s="36"/>
      <c r="YA32" s="36"/>
      <c r="YB32" s="36"/>
      <c r="YC32" s="36"/>
      <c r="YD32" s="36"/>
      <c r="YE32" s="36"/>
      <c r="YF32" s="36"/>
      <c r="YG32" s="36"/>
      <c r="YH32" s="36"/>
      <c r="YI32" s="36"/>
      <c r="YJ32" s="36"/>
      <c r="YK32" s="36"/>
      <c r="YL32" s="36"/>
      <c r="YM32" s="36"/>
      <c r="YN32" s="36"/>
      <c r="YO32" s="36"/>
      <c r="YP32" s="36"/>
      <c r="YQ32" s="36"/>
      <c r="YR32" s="36"/>
      <c r="YS32" s="36"/>
      <c r="YT32" s="36"/>
      <c r="YU32" s="36"/>
      <c r="YV32" s="36"/>
      <c r="YW32" s="36"/>
      <c r="YX32" s="36"/>
      <c r="YY32" s="36"/>
      <c r="YZ32" s="36"/>
      <c r="ZA32" s="36"/>
      <c r="ZB32" s="36"/>
      <c r="ZC32" s="36"/>
      <c r="ZD32" s="36"/>
      <c r="ZE32" s="36"/>
      <c r="ZF32" s="36"/>
      <c r="ZG32" s="36"/>
      <c r="ZH32" s="36"/>
      <c r="ZI32" s="36"/>
      <c r="ZJ32" s="36"/>
      <c r="ZK32" s="36"/>
      <c r="ZL32" s="36"/>
      <c r="ZM32" s="36"/>
      <c r="ZN32" s="36"/>
      <c r="ZO32" s="36"/>
      <c r="ZP32" s="36"/>
      <c r="ZQ32" s="36"/>
      <c r="ZR32" s="36"/>
      <c r="ZS32" s="36"/>
      <c r="ZT32" s="36"/>
      <c r="ZU32" s="36"/>
      <c r="ZV32" s="36"/>
      <c r="ZW32" s="36"/>
      <c r="ZX32" s="36"/>
      <c r="ZY32" s="36"/>
      <c r="ZZ32" s="36"/>
      <c r="AAA32" s="36"/>
      <c r="AAB32" s="36"/>
      <c r="AAC32" s="36"/>
      <c r="AAD32" s="36"/>
      <c r="AAE32" s="36"/>
      <c r="AAF32" s="36"/>
      <c r="AAG32" s="36"/>
      <c r="AAH32" s="36"/>
      <c r="AAI32" s="36"/>
      <c r="AAJ32" s="36"/>
      <c r="AAK32" s="36"/>
      <c r="AAL32" s="36"/>
      <c r="AAM32" s="36"/>
      <c r="AAN32" s="36"/>
      <c r="AAO32" s="36"/>
      <c r="AAP32" s="36"/>
      <c r="AAQ32" s="36"/>
      <c r="AAR32" s="36"/>
      <c r="AAS32" s="36"/>
      <c r="AAT32" s="36"/>
      <c r="AAU32" s="36"/>
      <c r="AAV32" s="36"/>
      <c r="AAW32" s="36"/>
      <c r="AAX32" s="36"/>
      <c r="AAY32" s="36"/>
      <c r="AAZ32" s="36"/>
      <c r="ABA32" s="36"/>
      <c r="ABB32" s="36"/>
      <c r="ABC32" s="36"/>
      <c r="ABD32" s="36"/>
      <c r="ABE32" s="36"/>
      <c r="ABF32" s="36"/>
      <c r="ABG32" s="36"/>
      <c r="ABH32" s="36"/>
      <c r="ABI32" s="36"/>
      <c r="ABJ32" s="36"/>
      <c r="ABK32" s="36"/>
      <c r="ABL32" s="36"/>
      <c r="ABM32" s="36"/>
      <c r="ABN32" s="36"/>
      <c r="ABO32" s="36"/>
      <c r="ABP32" s="36"/>
      <c r="ABQ32" s="36"/>
      <c r="ABR32" s="36"/>
      <c r="ABS32" s="36"/>
      <c r="ABT32" s="36"/>
      <c r="ABU32" s="36"/>
      <c r="ABV32" s="36"/>
      <c r="ABW32" s="36"/>
      <c r="ABX32" s="36"/>
      <c r="ABY32" s="36"/>
      <c r="ABZ32" s="36"/>
      <c r="ACA32" s="36"/>
      <c r="ACB32" s="36"/>
      <c r="ACC32" s="36"/>
      <c r="ACD32" s="36"/>
      <c r="ACE32" s="36"/>
      <c r="ACF32" s="36"/>
      <c r="ACG32" s="36"/>
      <c r="ACH32" s="36"/>
      <c r="ACI32" s="36"/>
      <c r="ACJ32" s="36"/>
      <c r="ACK32" s="36"/>
      <c r="ACL32" s="36"/>
      <c r="ACM32" s="36"/>
      <c r="ACN32" s="36"/>
      <c r="ACO32" s="36"/>
      <c r="ACP32" s="36"/>
      <c r="ACQ32" s="36"/>
      <c r="ACR32" s="36"/>
      <c r="ACS32" s="36"/>
      <c r="ACT32" s="36"/>
      <c r="ACU32" s="36"/>
      <c r="ACV32" s="36"/>
      <c r="ACW32" s="36"/>
      <c r="ACX32" s="36"/>
      <c r="ACY32" s="36"/>
      <c r="ACZ32" s="36"/>
      <c r="ADA32" s="36"/>
      <c r="ADB32" s="36"/>
      <c r="ADC32" s="36"/>
      <c r="ADD32" s="36"/>
      <c r="ADE32" s="36"/>
      <c r="ADF32" s="36"/>
      <c r="ADG32" s="36"/>
      <c r="ADH32" s="36"/>
      <c r="ADI32" s="36"/>
      <c r="ADJ32" s="36"/>
      <c r="ADK32" s="36"/>
      <c r="ADL32" s="36"/>
      <c r="ADM32" s="36"/>
      <c r="ADN32" s="36"/>
      <c r="ADO32" s="36"/>
      <c r="ADP32" s="36"/>
      <c r="ADQ32" s="36"/>
      <c r="ADR32" s="36"/>
      <c r="ADS32" s="36"/>
      <c r="ADT32" s="36"/>
      <c r="ADU32" s="36"/>
      <c r="ADV32" s="36"/>
      <c r="ADW32" s="36"/>
      <c r="ADX32" s="36"/>
      <c r="ADY32" s="36"/>
      <c r="ADZ32" s="36"/>
      <c r="AEA32" s="36"/>
      <c r="AEB32" s="36"/>
      <c r="AEC32" s="36"/>
      <c r="AED32" s="36"/>
      <c r="AEE32" s="36"/>
      <c r="AEF32" s="36"/>
      <c r="AEG32" s="36"/>
      <c r="AEH32" s="36"/>
      <c r="AEI32" s="36"/>
      <c r="AEJ32" s="36"/>
      <c r="AEK32" s="36"/>
      <c r="AEL32" s="36"/>
      <c r="AEM32" s="36"/>
      <c r="AEN32" s="36"/>
      <c r="AEO32" s="36"/>
      <c r="AEP32" s="36"/>
      <c r="AEQ32" s="36"/>
      <c r="AER32" s="36"/>
      <c r="AES32" s="36"/>
      <c r="AET32" s="36"/>
      <c r="AEU32" s="36"/>
      <c r="AEV32" s="36"/>
      <c r="AEW32" s="36"/>
      <c r="AEX32" s="36"/>
      <c r="AEY32" s="36"/>
      <c r="AEZ32" s="36"/>
      <c r="AFA32" s="36"/>
      <c r="AFB32" s="36"/>
      <c r="AFC32" s="36"/>
      <c r="AFD32" s="36"/>
      <c r="AFE32" s="36"/>
      <c r="AFF32" s="36"/>
      <c r="AFG32" s="36"/>
      <c r="AFH32" s="36"/>
      <c r="AFI32" s="36"/>
      <c r="AFJ32" s="36"/>
      <c r="AFK32" s="36"/>
      <c r="AFL32" s="36"/>
      <c r="AFM32" s="36"/>
      <c r="AFN32" s="36"/>
      <c r="AFO32" s="36"/>
      <c r="AFP32" s="36"/>
      <c r="AFQ32" s="36"/>
      <c r="AFR32" s="36"/>
      <c r="AFS32" s="36"/>
      <c r="AFT32" s="36"/>
      <c r="AFU32" s="36"/>
      <c r="AFV32" s="36"/>
      <c r="AFW32" s="36"/>
      <c r="AFX32" s="36"/>
      <c r="AFY32" s="36"/>
      <c r="AFZ32" s="36"/>
      <c r="AGA32" s="36"/>
      <c r="AGB32" s="36"/>
      <c r="AGC32" s="36"/>
      <c r="AGD32" s="36"/>
      <c r="AGE32" s="36"/>
      <c r="AGF32" s="36"/>
      <c r="AGG32" s="36"/>
      <c r="AGH32" s="36"/>
      <c r="AGI32" s="36"/>
      <c r="AGJ32" s="36"/>
      <c r="AGK32" s="36"/>
      <c r="AGL32" s="36"/>
      <c r="AGM32" s="36"/>
      <c r="AGN32" s="36"/>
      <c r="AGO32" s="36"/>
      <c r="AGP32" s="36"/>
      <c r="AGQ32" s="36"/>
      <c r="AGR32" s="36"/>
      <c r="AGS32" s="36"/>
      <c r="AGT32" s="36"/>
      <c r="AGU32" s="36"/>
      <c r="AGV32" s="36"/>
      <c r="AGW32" s="36"/>
      <c r="AGX32" s="36"/>
      <c r="AGY32" s="36"/>
      <c r="AGZ32" s="36"/>
      <c r="AHA32" s="36"/>
      <c r="AHB32" s="36"/>
      <c r="AHC32" s="36"/>
      <c r="AHD32" s="36"/>
      <c r="AHE32" s="36"/>
      <c r="AHF32" s="36"/>
      <c r="AHG32" s="36"/>
      <c r="AHH32" s="36"/>
      <c r="AHI32" s="36"/>
      <c r="AHJ32" s="36"/>
      <c r="AHK32" s="36"/>
      <c r="AHL32" s="36"/>
      <c r="AHM32" s="36"/>
      <c r="AHN32" s="36"/>
      <c r="AHO32" s="36"/>
      <c r="AHP32" s="36"/>
      <c r="AHQ32" s="36"/>
      <c r="AHR32" s="36"/>
      <c r="AHS32" s="36"/>
      <c r="AHT32" s="36"/>
      <c r="AHU32" s="36"/>
      <c r="AHV32" s="36"/>
      <c r="AHW32" s="36"/>
      <c r="AHX32" s="36"/>
      <c r="AHY32" s="36"/>
      <c r="AHZ32" s="36"/>
      <c r="AIA32" s="36"/>
      <c r="AIB32" s="36"/>
      <c r="AIC32" s="36"/>
      <c r="AID32" s="36"/>
      <c r="AIE32" s="36"/>
      <c r="AIF32" s="36"/>
      <c r="AIG32" s="36"/>
      <c r="AIH32" s="36"/>
      <c r="AII32" s="36"/>
      <c r="AIJ32" s="36"/>
      <c r="AIK32" s="36"/>
      <c r="AIL32" s="36"/>
      <c r="AIM32" s="36"/>
      <c r="AIN32" s="36"/>
      <c r="AIO32" s="36"/>
      <c r="AIP32" s="36"/>
      <c r="AIQ32" s="36"/>
      <c r="AIR32" s="36"/>
      <c r="AIS32" s="36"/>
      <c r="AIT32" s="36"/>
      <c r="AIU32" s="36"/>
      <c r="AIV32" s="36"/>
      <c r="AIW32" s="36"/>
      <c r="AIX32" s="36"/>
      <c r="AIY32" s="36"/>
      <c r="AIZ32" s="36"/>
      <c r="AJA32" s="36"/>
      <c r="AJB32" s="36"/>
      <c r="AJC32" s="36"/>
      <c r="AJD32" s="36"/>
      <c r="AJE32" s="36"/>
      <c r="AJF32" s="36"/>
      <c r="AJG32" s="36"/>
      <c r="AJH32" s="36"/>
      <c r="AJI32" s="36"/>
      <c r="AJJ32" s="36"/>
      <c r="AJK32" s="36"/>
      <c r="AJL32" s="36"/>
      <c r="AJM32" s="36"/>
      <c r="AJN32" s="36"/>
      <c r="AJO32" s="36"/>
      <c r="AJP32" s="36"/>
      <c r="AJQ32" s="36"/>
      <c r="AJR32" s="36"/>
      <c r="AJS32" s="36"/>
      <c r="AJT32" s="36"/>
      <c r="AJU32" s="36"/>
      <c r="AJV32" s="36"/>
      <c r="AJW32" s="36"/>
      <c r="AJX32" s="36"/>
      <c r="AJY32" s="36"/>
      <c r="AJZ32" s="36"/>
      <c r="AKA32" s="36"/>
      <c r="AKB32" s="36"/>
      <c r="AKC32" s="36"/>
      <c r="AKD32" s="36"/>
      <c r="AKE32" s="36"/>
      <c r="AKF32" s="36"/>
      <c r="AKG32" s="36"/>
      <c r="AKH32" s="36"/>
      <c r="AKI32" s="36"/>
      <c r="AKJ32" s="36"/>
      <c r="AKK32" s="36"/>
      <c r="AKL32" s="36"/>
      <c r="AKM32" s="36"/>
      <c r="AKN32" s="36"/>
      <c r="AKO32" s="36"/>
      <c r="AKP32" s="36"/>
      <c r="AKQ32" s="36"/>
      <c r="AKR32" s="36"/>
      <c r="AKS32" s="36"/>
      <c r="AKT32" s="36"/>
      <c r="AKU32" s="36"/>
      <c r="AKV32" s="36"/>
      <c r="AKW32" s="36"/>
      <c r="AKX32" s="36"/>
      <c r="AKY32" s="36"/>
      <c r="AKZ32" s="36"/>
      <c r="ALA32" s="36"/>
      <c r="ALB32" s="36"/>
      <c r="ALC32" s="36"/>
      <c r="ALD32" s="36"/>
      <c r="ALE32" s="36"/>
      <c r="ALF32" s="36"/>
      <c r="ALG32" s="36"/>
      <c r="ALH32" s="36"/>
      <c r="ALI32" s="36"/>
      <c r="ALJ32" s="36"/>
      <c r="ALK32" s="36"/>
      <c r="ALL32" s="36"/>
    </row>
    <row r="33" spans="1:1000" ht="15" x14ac:dyDescent="0.25">
      <c r="A33" t="str">
        <f ca="1">IF(_xll.TM1RPTELISCONSOLIDATED($B$25,$B33),IF(_xll.TM1RPTELLEV($B$25,$B33)&lt;=3,_xll.TM1RPTELLEV($B$25,$B33),"D"),"N")</f>
        <v>N</v>
      </c>
      <c r="B33" s="42" t="s">
        <v>23</v>
      </c>
      <c r="C33" s="22" t="str">
        <f ca="1">_xll.DBRW($B$9,$C$19,$C$20,$B33,$C$22,$C$21,C$24)</f>
        <v>*KEY_ERR</v>
      </c>
      <c r="D33" s="37" t="str">
        <f ca="1">_xll.DBRW($B$9,$C$19,$C$20,$B33,$C$22,$C$21,D$24)</f>
        <v>*KEY_ERR</v>
      </c>
      <c r="E33" s="36" t="s">
        <v>74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  <c r="IX33" s="36"/>
      <c r="IY33" s="36"/>
      <c r="IZ33" s="36"/>
      <c r="JA33" s="36"/>
      <c r="JB33" s="36"/>
      <c r="JC33" s="36"/>
      <c r="JD33" s="36"/>
      <c r="JE33" s="36"/>
      <c r="JF33" s="36"/>
      <c r="JG33" s="36"/>
      <c r="JH33" s="36"/>
      <c r="JI33" s="36"/>
      <c r="JJ33" s="36"/>
      <c r="JK33" s="36"/>
      <c r="JL33" s="36"/>
      <c r="JM33" s="36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  <c r="KF33" s="36"/>
      <c r="KG33" s="36"/>
      <c r="KH33" s="36"/>
      <c r="KI33" s="36"/>
      <c r="KJ33" s="36"/>
      <c r="KK33" s="36"/>
      <c r="KL33" s="36"/>
      <c r="KM33" s="36"/>
      <c r="KN33" s="36"/>
      <c r="KO33" s="36"/>
      <c r="KP33" s="36"/>
      <c r="KQ33" s="36"/>
      <c r="KR33" s="36"/>
      <c r="KS33" s="36"/>
      <c r="KT33" s="36"/>
      <c r="KU33" s="36"/>
      <c r="KV33" s="36"/>
      <c r="KW33" s="36"/>
      <c r="KX33" s="36"/>
      <c r="KY33" s="36"/>
      <c r="KZ33" s="36"/>
      <c r="LA33" s="36"/>
      <c r="LB33" s="36"/>
      <c r="LC33" s="36"/>
      <c r="LD33" s="36"/>
      <c r="LE33" s="36"/>
      <c r="LF33" s="36"/>
      <c r="LG33" s="36"/>
      <c r="LH33" s="36"/>
      <c r="LI33" s="36"/>
      <c r="LJ33" s="36"/>
      <c r="LK33" s="36"/>
      <c r="LL33" s="36"/>
      <c r="LM33" s="36"/>
      <c r="LN33" s="36"/>
      <c r="LO33" s="36"/>
      <c r="LP33" s="36"/>
      <c r="LQ33" s="36"/>
      <c r="LR33" s="36"/>
      <c r="LS33" s="36"/>
      <c r="LT33" s="36"/>
      <c r="LU33" s="36"/>
      <c r="LV33" s="36"/>
      <c r="LW33" s="36"/>
      <c r="LX33" s="36"/>
      <c r="LY33" s="36"/>
      <c r="LZ33" s="36"/>
      <c r="MA33" s="36"/>
      <c r="MB33" s="36"/>
      <c r="MC33" s="36"/>
      <c r="MD33" s="36"/>
      <c r="ME33" s="36"/>
      <c r="MF33" s="36"/>
      <c r="MG33" s="36"/>
      <c r="MH33" s="36"/>
      <c r="MI33" s="36"/>
      <c r="MJ33" s="36"/>
      <c r="MK33" s="36"/>
      <c r="ML33" s="36"/>
      <c r="MM33" s="36"/>
      <c r="MN33" s="36"/>
      <c r="MO33" s="36"/>
      <c r="MP33" s="36"/>
      <c r="MQ33" s="36"/>
      <c r="MR33" s="36"/>
      <c r="MS33" s="36"/>
      <c r="MT33" s="36"/>
      <c r="MU33" s="36"/>
      <c r="MV33" s="36"/>
      <c r="MW33" s="36"/>
      <c r="MX33" s="36"/>
      <c r="MY33" s="36"/>
      <c r="MZ33" s="36"/>
      <c r="NA33" s="36"/>
      <c r="NB33" s="36"/>
      <c r="NC33" s="36"/>
      <c r="ND33" s="36"/>
      <c r="NE33" s="36"/>
      <c r="NF33" s="36"/>
      <c r="NG33" s="36"/>
      <c r="NH33" s="36"/>
      <c r="NI33" s="36"/>
      <c r="NJ33" s="36"/>
      <c r="NK33" s="36"/>
      <c r="NL33" s="36"/>
      <c r="NM33" s="36"/>
      <c r="NN33" s="36"/>
      <c r="NO33" s="36"/>
      <c r="NP33" s="36"/>
      <c r="NQ33" s="36"/>
      <c r="NR33" s="36"/>
      <c r="NS33" s="36"/>
      <c r="NT33" s="36"/>
      <c r="NU33" s="36"/>
      <c r="NV33" s="36"/>
      <c r="NW33" s="36"/>
      <c r="NX33" s="36"/>
      <c r="NY33" s="36"/>
      <c r="NZ33" s="36"/>
      <c r="OA33" s="36"/>
      <c r="OB33" s="36"/>
      <c r="OC33" s="36"/>
      <c r="OD33" s="36"/>
      <c r="OE33" s="36"/>
      <c r="OF33" s="36"/>
      <c r="OG33" s="36"/>
      <c r="OH33" s="36"/>
      <c r="OI33" s="36"/>
      <c r="OJ33" s="36"/>
      <c r="OK33" s="36"/>
      <c r="OL33" s="36"/>
      <c r="OM33" s="36"/>
      <c r="ON33" s="36"/>
      <c r="OO33" s="36"/>
      <c r="OP33" s="36"/>
      <c r="OQ33" s="36"/>
      <c r="OR33" s="36"/>
      <c r="OS33" s="36"/>
      <c r="OT33" s="36"/>
      <c r="OU33" s="36"/>
      <c r="OV33" s="36"/>
      <c r="OW33" s="36"/>
      <c r="OX33" s="36"/>
      <c r="OY33" s="36"/>
      <c r="OZ33" s="36"/>
      <c r="PA33" s="36"/>
      <c r="PB33" s="36"/>
      <c r="PC33" s="36"/>
      <c r="PD33" s="36"/>
      <c r="PE33" s="36"/>
      <c r="PF33" s="36"/>
      <c r="PG33" s="36"/>
      <c r="PH33" s="36"/>
      <c r="PI33" s="36"/>
      <c r="PJ33" s="36"/>
      <c r="PK33" s="36"/>
      <c r="PL33" s="36"/>
      <c r="PM33" s="36"/>
      <c r="PN33" s="36"/>
      <c r="PO33" s="36"/>
      <c r="PP33" s="36"/>
      <c r="PQ33" s="36"/>
      <c r="PR33" s="36"/>
      <c r="PS33" s="36"/>
      <c r="PT33" s="36"/>
      <c r="PU33" s="36"/>
      <c r="PV33" s="36"/>
      <c r="PW33" s="36"/>
      <c r="PX33" s="36"/>
      <c r="PY33" s="36"/>
      <c r="PZ33" s="36"/>
      <c r="QA33" s="36"/>
      <c r="QB33" s="36"/>
      <c r="QC33" s="36"/>
      <c r="QD33" s="36"/>
      <c r="QE33" s="36"/>
      <c r="QF33" s="36"/>
      <c r="QG33" s="36"/>
      <c r="QH33" s="36"/>
      <c r="QI33" s="36"/>
      <c r="QJ33" s="36"/>
      <c r="QK33" s="36"/>
      <c r="QL33" s="36"/>
      <c r="QM33" s="36"/>
      <c r="QN33" s="36"/>
      <c r="QO33" s="36"/>
      <c r="QP33" s="36"/>
      <c r="QQ33" s="36"/>
      <c r="QR33" s="36"/>
      <c r="QS33" s="36"/>
      <c r="QT33" s="36"/>
      <c r="QU33" s="36"/>
      <c r="QV33" s="36"/>
      <c r="QW33" s="36"/>
      <c r="QX33" s="36"/>
      <c r="QY33" s="36"/>
      <c r="QZ33" s="36"/>
      <c r="RA33" s="36"/>
      <c r="RB33" s="36"/>
      <c r="RC33" s="36"/>
      <c r="RD33" s="36"/>
      <c r="RE33" s="36"/>
      <c r="RF33" s="36"/>
      <c r="RG33" s="36"/>
      <c r="RH33" s="36"/>
      <c r="RI33" s="36"/>
      <c r="RJ33" s="36"/>
      <c r="RK33" s="36"/>
      <c r="RL33" s="36"/>
      <c r="RM33" s="36"/>
      <c r="RN33" s="36"/>
      <c r="RO33" s="36"/>
      <c r="RP33" s="36"/>
      <c r="RQ33" s="36"/>
      <c r="RR33" s="36"/>
      <c r="RS33" s="36"/>
      <c r="RT33" s="36"/>
      <c r="RU33" s="36"/>
      <c r="RV33" s="36"/>
      <c r="RW33" s="36"/>
      <c r="RX33" s="36"/>
      <c r="RY33" s="36"/>
      <c r="RZ33" s="36"/>
      <c r="SA33" s="36"/>
      <c r="SB33" s="36"/>
      <c r="SC33" s="36"/>
      <c r="SD33" s="36"/>
      <c r="SE33" s="36"/>
      <c r="SF33" s="36"/>
      <c r="SG33" s="36"/>
      <c r="SH33" s="36"/>
      <c r="SI33" s="36"/>
      <c r="SJ33" s="36"/>
      <c r="SK33" s="36"/>
      <c r="SL33" s="36"/>
      <c r="SM33" s="36"/>
      <c r="SN33" s="36"/>
      <c r="SO33" s="36"/>
      <c r="SP33" s="36"/>
      <c r="SQ33" s="36"/>
      <c r="SR33" s="36"/>
      <c r="SS33" s="36"/>
      <c r="ST33" s="36"/>
      <c r="SU33" s="36"/>
      <c r="SV33" s="36"/>
      <c r="SW33" s="36"/>
      <c r="SX33" s="36"/>
      <c r="SY33" s="36"/>
      <c r="SZ33" s="36"/>
      <c r="TA33" s="36"/>
      <c r="TB33" s="36"/>
      <c r="TC33" s="36"/>
      <c r="TD33" s="36"/>
      <c r="TE33" s="36"/>
      <c r="TF33" s="36"/>
      <c r="TG33" s="36"/>
      <c r="TH33" s="36"/>
      <c r="TI33" s="36"/>
      <c r="TJ33" s="36"/>
      <c r="TK33" s="36"/>
      <c r="TL33" s="36"/>
      <c r="TM33" s="36"/>
      <c r="TN33" s="36"/>
      <c r="TO33" s="36"/>
      <c r="TP33" s="36"/>
      <c r="TQ33" s="36"/>
      <c r="TR33" s="36"/>
      <c r="TS33" s="36"/>
      <c r="TT33" s="36"/>
      <c r="TU33" s="36"/>
      <c r="TV33" s="36"/>
      <c r="TW33" s="36"/>
      <c r="TX33" s="36"/>
      <c r="TY33" s="36"/>
      <c r="TZ33" s="36"/>
      <c r="UA33" s="36"/>
      <c r="UB33" s="36"/>
      <c r="UC33" s="36"/>
      <c r="UD33" s="36"/>
      <c r="UE33" s="36"/>
      <c r="UF33" s="36"/>
      <c r="UG33" s="36"/>
      <c r="UH33" s="36"/>
      <c r="UI33" s="36"/>
      <c r="UJ33" s="36"/>
      <c r="UK33" s="36"/>
      <c r="UL33" s="36"/>
      <c r="UM33" s="36"/>
      <c r="UN33" s="36"/>
      <c r="UO33" s="36"/>
      <c r="UP33" s="36"/>
      <c r="UQ33" s="36"/>
      <c r="UR33" s="36"/>
      <c r="US33" s="36"/>
      <c r="UT33" s="36"/>
      <c r="UU33" s="36"/>
      <c r="UV33" s="36"/>
      <c r="UW33" s="36"/>
      <c r="UX33" s="36"/>
      <c r="UY33" s="36"/>
      <c r="UZ33" s="36"/>
      <c r="VA33" s="36"/>
      <c r="VB33" s="36"/>
      <c r="VC33" s="36"/>
      <c r="VD33" s="36"/>
      <c r="VE33" s="36"/>
      <c r="VF33" s="36"/>
      <c r="VG33" s="36"/>
      <c r="VH33" s="36"/>
      <c r="VI33" s="36"/>
      <c r="VJ33" s="36"/>
      <c r="VK33" s="36"/>
      <c r="VL33" s="36"/>
      <c r="VM33" s="36"/>
      <c r="VN33" s="36"/>
      <c r="VO33" s="36"/>
      <c r="VP33" s="36"/>
      <c r="VQ33" s="36"/>
      <c r="VR33" s="36"/>
      <c r="VS33" s="36"/>
      <c r="VT33" s="36"/>
      <c r="VU33" s="36"/>
      <c r="VV33" s="36"/>
      <c r="VW33" s="36"/>
      <c r="VX33" s="36"/>
      <c r="VY33" s="36"/>
      <c r="VZ33" s="36"/>
      <c r="WA33" s="36"/>
      <c r="WB33" s="36"/>
      <c r="WC33" s="36"/>
      <c r="WD33" s="36"/>
      <c r="WE33" s="36"/>
      <c r="WF33" s="36"/>
      <c r="WG33" s="36"/>
      <c r="WH33" s="36"/>
      <c r="WI33" s="36"/>
      <c r="WJ33" s="36"/>
      <c r="WK33" s="36"/>
      <c r="WL33" s="36"/>
      <c r="WM33" s="36"/>
      <c r="WN33" s="36"/>
      <c r="WO33" s="36"/>
      <c r="WP33" s="36"/>
      <c r="WQ33" s="36"/>
      <c r="WR33" s="36"/>
      <c r="WS33" s="36"/>
      <c r="WT33" s="36"/>
      <c r="WU33" s="36"/>
      <c r="WV33" s="36"/>
      <c r="WW33" s="36"/>
      <c r="WX33" s="36"/>
      <c r="WY33" s="36"/>
      <c r="WZ33" s="36"/>
      <c r="XA33" s="36"/>
      <c r="XB33" s="36"/>
      <c r="XC33" s="36"/>
      <c r="XD33" s="36"/>
      <c r="XE33" s="36"/>
      <c r="XF33" s="36"/>
      <c r="XG33" s="36"/>
      <c r="XH33" s="36"/>
      <c r="XI33" s="36"/>
      <c r="XJ33" s="36"/>
      <c r="XK33" s="36"/>
      <c r="XL33" s="36"/>
      <c r="XM33" s="36"/>
      <c r="XN33" s="36"/>
      <c r="XO33" s="36"/>
      <c r="XP33" s="36"/>
      <c r="XQ33" s="36"/>
      <c r="XR33" s="36"/>
      <c r="XS33" s="36"/>
      <c r="XT33" s="36"/>
      <c r="XU33" s="36"/>
      <c r="XV33" s="36"/>
      <c r="XW33" s="36"/>
      <c r="XX33" s="36"/>
      <c r="XY33" s="36"/>
      <c r="XZ33" s="36"/>
      <c r="YA33" s="36"/>
      <c r="YB33" s="36"/>
      <c r="YC33" s="36"/>
      <c r="YD33" s="36"/>
      <c r="YE33" s="36"/>
      <c r="YF33" s="36"/>
      <c r="YG33" s="36"/>
      <c r="YH33" s="36"/>
      <c r="YI33" s="36"/>
      <c r="YJ33" s="36"/>
      <c r="YK33" s="36"/>
      <c r="YL33" s="36"/>
      <c r="YM33" s="36"/>
      <c r="YN33" s="36"/>
      <c r="YO33" s="36"/>
      <c r="YP33" s="36"/>
      <c r="YQ33" s="36"/>
      <c r="YR33" s="36"/>
      <c r="YS33" s="36"/>
      <c r="YT33" s="36"/>
      <c r="YU33" s="36"/>
      <c r="YV33" s="36"/>
      <c r="YW33" s="36"/>
      <c r="YX33" s="36"/>
      <c r="YY33" s="36"/>
      <c r="YZ33" s="36"/>
      <c r="ZA33" s="36"/>
      <c r="ZB33" s="36"/>
      <c r="ZC33" s="36"/>
      <c r="ZD33" s="36"/>
      <c r="ZE33" s="36"/>
      <c r="ZF33" s="36"/>
      <c r="ZG33" s="36"/>
      <c r="ZH33" s="36"/>
      <c r="ZI33" s="36"/>
      <c r="ZJ33" s="36"/>
      <c r="ZK33" s="36"/>
      <c r="ZL33" s="36"/>
      <c r="ZM33" s="36"/>
      <c r="ZN33" s="36"/>
      <c r="ZO33" s="36"/>
      <c r="ZP33" s="36"/>
      <c r="ZQ33" s="36"/>
      <c r="ZR33" s="36"/>
      <c r="ZS33" s="36"/>
      <c r="ZT33" s="36"/>
      <c r="ZU33" s="36"/>
      <c r="ZV33" s="36"/>
      <c r="ZW33" s="36"/>
      <c r="ZX33" s="36"/>
      <c r="ZY33" s="36"/>
      <c r="ZZ33" s="36"/>
      <c r="AAA33" s="36"/>
      <c r="AAB33" s="36"/>
      <c r="AAC33" s="36"/>
      <c r="AAD33" s="36"/>
      <c r="AAE33" s="36"/>
      <c r="AAF33" s="36"/>
      <c r="AAG33" s="36"/>
      <c r="AAH33" s="36"/>
      <c r="AAI33" s="36"/>
      <c r="AAJ33" s="36"/>
      <c r="AAK33" s="36"/>
      <c r="AAL33" s="36"/>
      <c r="AAM33" s="36"/>
      <c r="AAN33" s="36"/>
      <c r="AAO33" s="36"/>
      <c r="AAP33" s="36"/>
      <c r="AAQ33" s="36"/>
      <c r="AAR33" s="36"/>
      <c r="AAS33" s="36"/>
      <c r="AAT33" s="36"/>
      <c r="AAU33" s="36"/>
      <c r="AAV33" s="36"/>
      <c r="AAW33" s="36"/>
      <c r="AAX33" s="36"/>
      <c r="AAY33" s="36"/>
      <c r="AAZ33" s="36"/>
      <c r="ABA33" s="36"/>
      <c r="ABB33" s="36"/>
      <c r="ABC33" s="36"/>
      <c r="ABD33" s="36"/>
      <c r="ABE33" s="36"/>
      <c r="ABF33" s="36"/>
      <c r="ABG33" s="36"/>
      <c r="ABH33" s="36"/>
      <c r="ABI33" s="36"/>
      <c r="ABJ33" s="36"/>
      <c r="ABK33" s="36"/>
      <c r="ABL33" s="36"/>
      <c r="ABM33" s="36"/>
      <c r="ABN33" s="36"/>
      <c r="ABO33" s="36"/>
      <c r="ABP33" s="36"/>
      <c r="ABQ33" s="36"/>
      <c r="ABR33" s="36"/>
      <c r="ABS33" s="36"/>
      <c r="ABT33" s="36"/>
      <c r="ABU33" s="36"/>
      <c r="ABV33" s="36"/>
      <c r="ABW33" s="36"/>
      <c r="ABX33" s="36"/>
      <c r="ABY33" s="36"/>
      <c r="ABZ33" s="36"/>
      <c r="ACA33" s="36"/>
      <c r="ACB33" s="36"/>
      <c r="ACC33" s="36"/>
      <c r="ACD33" s="36"/>
      <c r="ACE33" s="36"/>
      <c r="ACF33" s="36"/>
      <c r="ACG33" s="36"/>
      <c r="ACH33" s="36"/>
      <c r="ACI33" s="36"/>
      <c r="ACJ33" s="36"/>
      <c r="ACK33" s="36"/>
      <c r="ACL33" s="36"/>
      <c r="ACM33" s="36"/>
      <c r="ACN33" s="36"/>
      <c r="ACO33" s="36"/>
      <c r="ACP33" s="36"/>
      <c r="ACQ33" s="36"/>
      <c r="ACR33" s="36"/>
      <c r="ACS33" s="36"/>
      <c r="ACT33" s="36"/>
      <c r="ACU33" s="36"/>
      <c r="ACV33" s="36"/>
      <c r="ACW33" s="36"/>
      <c r="ACX33" s="36"/>
      <c r="ACY33" s="36"/>
      <c r="ACZ33" s="36"/>
      <c r="ADA33" s="36"/>
      <c r="ADB33" s="36"/>
      <c r="ADC33" s="36"/>
      <c r="ADD33" s="36"/>
      <c r="ADE33" s="36"/>
      <c r="ADF33" s="36"/>
      <c r="ADG33" s="36"/>
      <c r="ADH33" s="36"/>
      <c r="ADI33" s="36"/>
      <c r="ADJ33" s="36"/>
      <c r="ADK33" s="36"/>
      <c r="ADL33" s="36"/>
      <c r="ADM33" s="36"/>
      <c r="ADN33" s="36"/>
      <c r="ADO33" s="36"/>
      <c r="ADP33" s="36"/>
      <c r="ADQ33" s="36"/>
      <c r="ADR33" s="36"/>
      <c r="ADS33" s="36"/>
      <c r="ADT33" s="36"/>
      <c r="ADU33" s="36"/>
      <c r="ADV33" s="36"/>
      <c r="ADW33" s="36"/>
      <c r="ADX33" s="36"/>
      <c r="ADY33" s="36"/>
      <c r="ADZ33" s="36"/>
      <c r="AEA33" s="36"/>
      <c r="AEB33" s="36"/>
      <c r="AEC33" s="36"/>
      <c r="AED33" s="36"/>
      <c r="AEE33" s="36"/>
      <c r="AEF33" s="36"/>
      <c r="AEG33" s="36"/>
      <c r="AEH33" s="36"/>
      <c r="AEI33" s="36"/>
      <c r="AEJ33" s="36"/>
      <c r="AEK33" s="36"/>
      <c r="AEL33" s="36"/>
      <c r="AEM33" s="36"/>
      <c r="AEN33" s="36"/>
      <c r="AEO33" s="36"/>
      <c r="AEP33" s="36"/>
      <c r="AEQ33" s="36"/>
      <c r="AER33" s="36"/>
      <c r="AES33" s="36"/>
      <c r="AET33" s="36"/>
      <c r="AEU33" s="36"/>
      <c r="AEV33" s="36"/>
      <c r="AEW33" s="36"/>
      <c r="AEX33" s="36"/>
      <c r="AEY33" s="36"/>
      <c r="AEZ33" s="36"/>
      <c r="AFA33" s="36"/>
      <c r="AFB33" s="36"/>
      <c r="AFC33" s="36"/>
      <c r="AFD33" s="36"/>
      <c r="AFE33" s="36"/>
      <c r="AFF33" s="36"/>
      <c r="AFG33" s="36"/>
      <c r="AFH33" s="36"/>
      <c r="AFI33" s="36"/>
      <c r="AFJ33" s="36"/>
      <c r="AFK33" s="36"/>
      <c r="AFL33" s="36"/>
      <c r="AFM33" s="36"/>
      <c r="AFN33" s="36"/>
      <c r="AFO33" s="36"/>
      <c r="AFP33" s="36"/>
      <c r="AFQ33" s="36"/>
      <c r="AFR33" s="36"/>
      <c r="AFS33" s="36"/>
      <c r="AFT33" s="36"/>
      <c r="AFU33" s="36"/>
      <c r="AFV33" s="36"/>
      <c r="AFW33" s="36"/>
      <c r="AFX33" s="36"/>
      <c r="AFY33" s="36"/>
      <c r="AFZ33" s="36"/>
      <c r="AGA33" s="36"/>
      <c r="AGB33" s="36"/>
      <c r="AGC33" s="36"/>
      <c r="AGD33" s="36"/>
      <c r="AGE33" s="36"/>
      <c r="AGF33" s="36"/>
      <c r="AGG33" s="36"/>
      <c r="AGH33" s="36"/>
      <c r="AGI33" s="36"/>
      <c r="AGJ33" s="36"/>
      <c r="AGK33" s="36"/>
      <c r="AGL33" s="36"/>
      <c r="AGM33" s="36"/>
      <c r="AGN33" s="36"/>
      <c r="AGO33" s="36"/>
      <c r="AGP33" s="36"/>
      <c r="AGQ33" s="36"/>
      <c r="AGR33" s="36"/>
      <c r="AGS33" s="36"/>
      <c r="AGT33" s="36"/>
      <c r="AGU33" s="36"/>
      <c r="AGV33" s="36"/>
      <c r="AGW33" s="36"/>
      <c r="AGX33" s="36"/>
      <c r="AGY33" s="36"/>
      <c r="AGZ33" s="36"/>
      <c r="AHA33" s="36"/>
      <c r="AHB33" s="36"/>
      <c r="AHC33" s="36"/>
      <c r="AHD33" s="36"/>
      <c r="AHE33" s="36"/>
      <c r="AHF33" s="36"/>
      <c r="AHG33" s="36"/>
      <c r="AHH33" s="36"/>
      <c r="AHI33" s="36"/>
      <c r="AHJ33" s="36"/>
      <c r="AHK33" s="36"/>
      <c r="AHL33" s="36"/>
      <c r="AHM33" s="36"/>
      <c r="AHN33" s="36"/>
      <c r="AHO33" s="36"/>
      <c r="AHP33" s="36"/>
      <c r="AHQ33" s="36"/>
      <c r="AHR33" s="36"/>
      <c r="AHS33" s="36"/>
      <c r="AHT33" s="36"/>
      <c r="AHU33" s="36"/>
      <c r="AHV33" s="36"/>
      <c r="AHW33" s="36"/>
      <c r="AHX33" s="36"/>
      <c r="AHY33" s="36"/>
      <c r="AHZ33" s="36"/>
      <c r="AIA33" s="36"/>
      <c r="AIB33" s="36"/>
      <c r="AIC33" s="36"/>
      <c r="AID33" s="36"/>
      <c r="AIE33" s="36"/>
      <c r="AIF33" s="36"/>
      <c r="AIG33" s="36"/>
      <c r="AIH33" s="36"/>
      <c r="AII33" s="36"/>
      <c r="AIJ33" s="36"/>
      <c r="AIK33" s="36"/>
      <c r="AIL33" s="36"/>
      <c r="AIM33" s="36"/>
      <c r="AIN33" s="36"/>
      <c r="AIO33" s="36"/>
      <c r="AIP33" s="36"/>
      <c r="AIQ33" s="36"/>
      <c r="AIR33" s="36"/>
      <c r="AIS33" s="36"/>
      <c r="AIT33" s="36"/>
      <c r="AIU33" s="36"/>
      <c r="AIV33" s="36"/>
      <c r="AIW33" s="36"/>
      <c r="AIX33" s="36"/>
      <c r="AIY33" s="36"/>
      <c r="AIZ33" s="36"/>
      <c r="AJA33" s="36"/>
      <c r="AJB33" s="36"/>
      <c r="AJC33" s="36"/>
      <c r="AJD33" s="36"/>
      <c r="AJE33" s="36"/>
      <c r="AJF33" s="36"/>
      <c r="AJG33" s="36"/>
      <c r="AJH33" s="36"/>
      <c r="AJI33" s="36"/>
      <c r="AJJ33" s="36"/>
      <c r="AJK33" s="36"/>
      <c r="AJL33" s="36"/>
      <c r="AJM33" s="36"/>
      <c r="AJN33" s="36"/>
      <c r="AJO33" s="36"/>
      <c r="AJP33" s="36"/>
      <c r="AJQ33" s="36"/>
      <c r="AJR33" s="36"/>
      <c r="AJS33" s="36"/>
      <c r="AJT33" s="36"/>
      <c r="AJU33" s="36"/>
      <c r="AJV33" s="36"/>
      <c r="AJW33" s="36"/>
      <c r="AJX33" s="36"/>
      <c r="AJY33" s="36"/>
      <c r="AJZ33" s="36"/>
      <c r="AKA33" s="36"/>
      <c r="AKB33" s="36"/>
      <c r="AKC33" s="36"/>
      <c r="AKD33" s="36"/>
      <c r="AKE33" s="36"/>
      <c r="AKF33" s="36"/>
      <c r="AKG33" s="36"/>
      <c r="AKH33" s="36"/>
      <c r="AKI33" s="36"/>
      <c r="AKJ33" s="36"/>
      <c r="AKK33" s="36"/>
      <c r="AKL33" s="36"/>
      <c r="AKM33" s="36"/>
      <c r="AKN33" s="36"/>
      <c r="AKO33" s="36"/>
      <c r="AKP33" s="36"/>
      <c r="AKQ33" s="36"/>
      <c r="AKR33" s="36"/>
      <c r="AKS33" s="36"/>
      <c r="AKT33" s="36"/>
      <c r="AKU33" s="36"/>
      <c r="AKV33" s="36"/>
      <c r="AKW33" s="36"/>
      <c r="AKX33" s="36"/>
      <c r="AKY33" s="36"/>
      <c r="AKZ33" s="36"/>
      <c r="ALA33" s="36"/>
      <c r="ALB33" s="36"/>
      <c r="ALC33" s="36"/>
      <c r="ALD33" s="36"/>
      <c r="ALE33" s="36"/>
      <c r="ALF33" s="36"/>
      <c r="ALG33" s="36"/>
      <c r="ALH33" s="36"/>
      <c r="ALI33" s="36"/>
      <c r="ALJ33" s="36"/>
      <c r="ALK33" s="36"/>
      <c r="ALL33" s="36"/>
    </row>
    <row r="34" spans="1:1000" ht="15" x14ac:dyDescent="0.25">
      <c r="A34" t="str">
        <f ca="1">IF(_xll.TM1RPTELISCONSOLIDATED($B$25,$B34),IF(_xll.TM1RPTELLEV($B$25,$B34)&lt;=3,_xll.TM1RPTELLEV($B$25,$B34),"D"),"N")</f>
        <v>N</v>
      </c>
      <c r="B34" s="42" t="s">
        <v>24</v>
      </c>
      <c r="C34" s="22" t="str">
        <f ca="1">_xll.DBRW($B$9,$C$19,$C$20,$B34,$C$22,$C$21,C$24)</f>
        <v>*KEY_ERR</v>
      </c>
      <c r="D34" s="37" t="str">
        <f ca="1">_xll.DBRW($B$9,$C$19,$C$20,$B34,$C$22,$C$21,D$24)</f>
        <v>*KEY_ERR</v>
      </c>
      <c r="E34" s="36" t="s">
        <v>74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  <c r="IY34" s="36"/>
      <c r="IZ34" s="36"/>
      <c r="JA34" s="36"/>
      <c r="JB34" s="36"/>
      <c r="JC34" s="36"/>
      <c r="JD34" s="36"/>
      <c r="JE34" s="36"/>
      <c r="JF34" s="36"/>
      <c r="JG34" s="36"/>
      <c r="JH34" s="36"/>
      <c r="JI34" s="36"/>
      <c r="JJ34" s="36"/>
      <c r="JK34" s="36"/>
      <c r="JL34" s="36"/>
      <c r="JM34" s="36"/>
      <c r="JN34" s="36"/>
      <c r="JO34" s="36"/>
      <c r="JP34" s="36"/>
      <c r="JQ34" s="36"/>
      <c r="JR34" s="36"/>
      <c r="JS34" s="36"/>
      <c r="JT34" s="36"/>
      <c r="JU34" s="36"/>
      <c r="JV34" s="36"/>
      <c r="JW34" s="36"/>
      <c r="JX34" s="36"/>
      <c r="JY34" s="36"/>
      <c r="JZ34" s="36"/>
      <c r="KA34" s="36"/>
      <c r="KB34" s="36"/>
      <c r="KC34" s="36"/>
      <c r="KD34" s="36"/>
      <c r="KE34" s="36"/>
      <c r="KF34" s="36"/>
      <c r="KG34" s="36"/>
      <c r="KH34" s="36"/>
      <c r="KI34" s="36"/>
      <c r="KJ34" s="36"/>
      <c r="KK34" s="36"/>
      <c r="KL34" s="36"/>
      <c r="KM34" s="36"/>
      <c r="KN34" s="36"/>
      <c r="KO34" s="36"/>
      <c r="KP34" s="36"/>
      <c r="KQ34" s="36"/>
      <c r="KR34" s="36"/>
      <c r="KS34" s="36"/>
      <c r="KT34" s="36"/>
      <c r="KU34" s="36"/>
      <c r="KV34" s="36"/>
      <c r="KW34" s="36"/>
      <c r="KX34" s="36"/>
      <c r="KY34" s="36"/>
      <c r="KZ34" s="36"/>
      <c r="LA34" s="36"/>
      <c r="LB34" s="36"/>
      <c r="LC34" s="36"/>
      <c r="LD34" s="36"/>
      <c r="LE34" s="36"/>
      <c r="LF34" s="36"/>
      <c r="LG34" s="36"/>
      <c r="LH34" s="36"/>
      <c r="LI34" s="36"/>
      <c r="LJ34" s="36"/>
      <c r="LK34" s="36"/>
      <c r="LL34" s="36"/>
      <c r="LM34" s="36"/>
      <c r="LN34" s="36"/>
      <c r="LO34" s="36"/>
      <c r="LP34" s="36"/>
      <c r="LQ34" s="36"/>
      <c r="LR34" s="36"/>
      <c r="LS34" s="36"/>
      <c r="LT34" s="36"/>
      <c r="LU34" s="36"/>
      <c r="LV34" s="36"/>
      <c r="LW34" s="36"/>
      <c r="LX34" s="36"/>
      <c r="LY34" s="36"/>
      <c r="LZ34" s="36"/>
      <c r="MA34" s="36"/>
      <c r="MB34" s="36"/>
      <c r="MC34" s="36"/>
      <c r="MD34" s="36"/>
      <c r="ME34" s="36"/>
      <c r="MF34" s="36"/>
      <c r="MG34" s="36"/>
      <c r="MH34" s="36"/>
      <c r="MI34" s="36"/>
      <c r="MJ34" s="36"/>
      <c r="MK34" s="36"/>
      <c r="ML34" s="36"/>
      <c r="MM34" s="36"/>
      <c r="MN34" s="36"/>
      <c r="MO34" s="36"/>
      <c r="MP34" s="36"/>
      <c r="MQ34" s="36"/>
      <c r="MR34" s="36"/>
      <c r="MS34" s="36"/>
      <c r="MT34" s="36"/>
      <c r="MU34" s="36"/>
      <c r="MV34" s="36"/>
      <c r="MW34" s="36"/>
      <c r="MX34" s="36"/>
      <c r="MY34" s="36"/>
      <c r="MZ34" s="36"/>
      <c r="NA34" s="36"/>
      <c r="NB34" s="36"/>
      <c r="NC34" s="36"/>
      <c r="ND34" s="36"/>
      <c r="NE34" s="36"/>
      <c r="NF34" s="36"/>
      <c r="NG34" s="36"/>
      <c r="NH34" s="36"/>
      <c r="NI34" s="36"/>
      <c r="NJ34" s="36"/>
      <c r="NK34" s="36"/>
      <c r="NL34" s="36"/>
      <c r="NM34" s="36"/>
      <c r="NN34" s="36"/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36"/>
      <c r="OG34" s="36"/>
      <c r="OH34" s="36"/>
      <c r="OI34" s="36"/>
      <c r="OJ34" s="36"/>
      <c r="OK34" s="36"/>
      <c r="OL34" s="36"/>
      <c r="OM34" s="36"/>
      <c r="ON34" s="36"/>
      <c r="OO34" s="36"/>
      <c r="OP34" s="36"/>
      <c r="OQ34" s="36"/>
      <c r="OR34" s="36"/>
      <c r="OS34" s="36"/>
      <c r="OT34" s="36"/>
      <c r="OU34" s="36"/>
      <c r="OV34" s="36"/>
      <c r="OW34" s="36"/>
      <c r="OX34" s="36"/>
      <c r="OY34" s="36"/>
      <c r="OZ34" s="36"/>
      <c r="PA34" s="36"/>
      <c r="PB34" s="36"/>
      <c r="PC34" s="36"/>
      <c r="PD34" s="36"/>
      <c r="PE34" s="36"/>
      <c r="PF34" s="36"/>
      <c r="PG34" s="36"/>
      <c r="PH34" s="36"/>
      <c r="PI34" s="36"/>
      <c r="PJ34" s="36"/>
      <c r="PK34" s="36"/>
      <c r="PL34" s="36"/>
      <c r="PM34" s="36"/>
      <c r="PN34" s="36"/>
      <c r="PO34" s="36"/>
      <c r="PP34" s="36"/>
      <c r="PQ34" s="36"/>
      <c r="PR34" s="36"/>
      <c r="PS34" s="36"/>
      <c r="PT34" s="36"/>
      <c r="PU34" s="36"/>
      <c r="PV34" s="36"/>
      <c r="PW34" s="36"/>
      <c r="PX34" s="36"/>
      <c r="PY34" s="36"/>
      <c r="PZ34" s="36"/>
      <c r="QA34" s="36"/>
      <c r="QB34" s="36"/>
      <c r="QC34" s="36"/>
      <c r="QD34" s="36"/>
      <c r="QE34" s="36"/>
      <c r="QF34" s="36"/>
      <c r="QG34" s="36"/>
      <c r="QH34" s="36"/>
      <c r="QI34" s="36"/>
      <c r="QJ34" s="36"/>
      <c r="QK34" s="36"/>
      <c r="QL34" s="36"/>
      <c r="QM34" s="36"/>
      <c r="QN34" s="36"/>
      <c r="QO34" s="36"/>
      <c r="QP34" s="36"/>
      <c r="QQ34" s="36"/>
      <c r="QR34" s="36"/>
      <c r="QS34" s="36"/>
      <c r="QT34" s="36"/>
      <c r="QU34" s="36"/>
      <c r="QV34" s="36"/>
      <c r="QW34" s="36"/>
      <c r="QX34" s="36"/>
      <c r="QY34" s="36"/>
      <c r="QZ34" s="36"/>
      <c r="RA34" s="36"/>
      <c r="RB34" s="36"/>
      <c r="RC34" s="36"/>
      <c r="RD34" s="36"/>
      <c r="RE34" s="36"/>
      <c r="RF34" s="36"/>
      <c r="RG34" s="36"/>
      <c r="RH34" s="36"/>
      <c r="RI34" s="36"/>
      <c r="RJ34" s="36"/>
      <c r="RK34" s="36"/>
      <c r="RL34" s="36"/>
      <c r="RM34" s="36"/>
      <c r="RN34" s="36"/>
      <c r="RO34" s="36"/>
      <c r="RP34" s="36"/>
      <c r="RQ34" s="36"/>
      <c r="RR34" s="36"/>
      <c r="RS34" s="36"/>
      <c r="RT34" s="36"/>
      <c r="RU34" s="36"/>
      <c r="RV34" s="36"/>
      <c r="RW34" s="36"/>
      <c r="RX34" s="36"/>
      <c r="RY34" s="36"/>
      <c r="RZ34" s="36"/>
      <c r="SA34" s="36"/>
      <c r="SB34" s="36"/>
      <c r="SC34" s="36"/>
      <c r="SD34" s="36"/>
      <c r="SE34" s="36"/>
      <c r="SF34" s="36"/>
      <c r="SG34" s="36"/>
      <c r="SH34" s="36"/>
      <c r="SI34" s="36"/>
      <c r="SJ34" s="36"/>
      <c r="SK34" s="36"/>
      <c r="SL34" s="36"/>
      <c r="SM34" s="36"/>
      <c r="SN34" s="36"/>
      <c r="SO34" s="36"/>
      <c r="SP34" s="36"/>
      <c r="SQ34" s="36"/>
      <c r="SR34" s="36"/>
      <c r="SS34" s="36"/>
      <c r="ST34" s="36"/>
      <c r="SU34" s="36"/>
      <c r="SV34" s="36"/>
      <c r="SW34" s="36"/>
      <c r="SX34" s="36"/>
      <c r="SY34" s="36"/>
      <c r="SZ34" s="36"/>
      <c r="TA34" s="36"/>
      <c r="TB34" s="36"/>
      <c r="TC34" s="36"/>
      <c r="TD34" s="36"/>
      <c r="TE34" s="36"/>
      <c r="TF34" s="36"/>
      <c r="TG34" s="36"/>
      <c r="TH34" s="36"/>
      <c r="TI34" s="36"/>
      <c r="TJ34" s="36"/>
      <c r="TK34" s="36"/>
      <c r="TL34" s="36"/>
      <c r="TM34" s="36"/>
      <c r="TN34" s="36"/>
      <c r="TO34" s="36"/>
      <c r="TP34" s="36"/>
      <c r="TQ34" s="36"/>
      <c r="TR34" s="36"/>
      <c r="TS34" s="36"/>
      <c r="TT34" s="36"/>
      <c r="TU34" s="36"/>
      <c r="TV34" s="36"/>
      <c r="TW34" s="36"/>
      <c r="TX34" s="36"/>
      <c r="TY34" s="36"/>
      <c r="TZ34" s="36"/>
      <c r="UA34" s="36"/>
      <c r="UB34" s="36"/>
      <c r="UC34" s="36"/>
      <c r="UD34" s="36"/>
      <c r="UE34" s="36"/>
      <c r="UF34" s="36"/>
      <c r="UG34" s="36"/>
      <c r="UH34" s="36"/>
      <c r="UI34" s="36"/>
      <c r="UJ34" s="36"/>
      <c r="UK34" s="36"/>
      <c r="UL34" s="36"/>
      <c r="UM34" s="36"/>
      <c r="UN34" s="36"/>
      <c r="UO34" s="36"/>
      <c r="UP34" s="36"/>
      <c r="UQ34" s="36"/>
      <c r="UR34" s="36"/>
      <c r="US34" s="36"/>
      <c r="UT34" s="36"/>
      <c r="UU34" s="36"/>
      <c r="UV34" s="36"/>
      <c r="UW34" s="36"/>
      <c r="UX34" s="36"/>
      <c r="UY34" s="36"/>
      <c r="UZ34" s="36"/>
      <c r="VA34" s="36"/>
      <c r="VB34" s="36"/>
      <c r="VC34" s="36"/>
      <c r="VD34" s="36"/>
      <c r="VE34" s="36"/>
      <c r="VF34" s="36"/>
      <c r="VG34" s="36"/>
      <c r="VH34" s="36"/>
      <c r="VI34" s="36"/>
      <c r="VJ34" s="36"/>
      <c r="VK34" s="36"/>
      <c r="VL34" s="36"/>
      <c r="VM34" s="36"/>
      <c r="VN34" s="36"/>
      <c r="VO34" s="36"/>
      <c r="VP34" s="36"/>
      <c r="VQ34" s="36"/>
      <c r="VR34" s="36"/>
      <c r="VS34" s="36"/>
      <c r="VT34" s="36"/>
      <c r="VU34" s="36"/>
      <c r="VV34" s="36"/>
      <c r="VW34" s="36"/>
      <c r="VX34" s="36"/>
      <c r="VY34" s="36"/>
      <c r="VZ34" s="36"/>
      <c r="WA34" s="36"/>
      <c r="WB34" s="36"/>
      <c r="WC34" s="36"/>
      <c r="WD34" s="36"/>
      <c r="WE34" s="36"/>
      <c r="WF34" s="36"/>
      <c r="WG34" s="36"/>
      <c r="WH34" s="36"/>
      <c r="WI34" s="36"/>
      <c r="WJ34" s="36"/>
      <c r="WK34" s="36"/>
      <c r="WL34" s="36"/>
      <c r="WM34" s="36"/>
      <c r="WN34" s="36"/>
      <c r="WO34" s="36"/>
      <c r="WP34" s="36"/>
      <c r="WQ34" s="36"/>
      <c r="WR34" s="36"/>
      <c r="WS34" s="36"/>
      <c r="WT34" s="36"/>
      <c r="WU34" s="36"/>
      <c r="WV34" s="36"/>
      <c r="WW34" s="36"/>
      <c r="WX34" s="36"/>
      <c r="WY34" s="36"/>
      <c r="WZ34" s="36"/>
      <c r="XA34" s="36"/>
      <c r="XB34" s="36"/>
      <c r="XC34" s="36"/>
      <c r="XD34" s="36"/>
      <c r="XE34" s="36"/>
      <c r="XF34" s="36"/>
      <c r="XG34" s="36"/>
      <c r="XH34" s="36"/>
      <c r="XI34" s="36"/>
      <c r="XJ34" s="36"/>
      <c r="XK34" s="36"/>
      <c r="XL34" s="36"/>
      <c r="XM34" s="36"/>
      <c r="XN34" s="36"/>
      <c r="XO34" s="36"/>
      <c r="XP34" s="36"/>
      <c r="XQ34" s="36"/>
      <c r="XR34" s="36"/>
      <c r="XS34" s="36"/>
      <c r="XT34" s="36"/>
      <c r="XU34" s="36"/>
      <c r="XV34" s="36"/>
      <c r="XW34" s="36"/>
      <c r="XX34" s="36"/>
      <c r="XY34" s="36"/>
      <c r="XZ34" s="36"/>
      <c r="YA34" s="36"/>
      <c r="YB34" s="36"/>
      <c r="YC34" s="36"/>
      <c r="YD34" s="36"/>
      <c r="YE34" s="36"/>
      <c r="YF34" s="36"/>
      <c r="YG34" s="36"/>
      <c r="YH34" s="36"/>
      <c r="YI34" s="36"/>
      <c r="YJ34" s="36"/>
      <c r="YK34" s="36"/>
      <c r="YL34" s="36"/>
      <c r="YM34" s="36"/>
      <c r="YN34" s="36"/>
      <c r="YO34" s="36"/>
      <c r="YP34" s="36"/>
      <c r="YQ34" s="36"/>
      <c r="YR34" s="36"/>
      <c r="YS34" s="36"/>
      <c r="YT34" s="36"/>
      <c r="YU34" s="36"/>
      <c r="YV34" s="36"/>
      <c r="YW34" s="36"/>
      <c r="YX34" s="36"/>
      <c r="YY34" s="36"/>
      <c r="YZ34" s="36"/>
      <c r="ZA34" s="36"/>
      <c r="ZB34" s="36"/>
      <c r="ZC34" s="36"/>
      <c r="ZD34" s="36"/>
      <c r="ZE34" s="36"/>
      <c r="ZF34" s="36"/>
      <c r="ZG34" s="36"/>
      <c r="ZH34" s="36"/>
      <c r="ZI34" s="36"/>
      <c r="ZJ34" s="36"/>
      <c r="ZK34" s="36"/>
      <c r="ZL34" s="36"/>
      <c r="ZM34" s="36"/>
      <c r="ZN34" s="36"/>
      <c r="ZO34" s="36"/>
      <c r="ZP34" s="36"/>
      <c r="ZQ34" s="36"/>
      <c r="ZR34" s="36"/>
      <c r="ZS34" s="36"/>
      <c r="ZT34" s="36"/>
      <c r="ZU34" s="36"/>
      <c r="ZV34" s="36"/>
      <c r="ZW34" s="36"/>
      <c r="ZX34" s="36"/>
      <c r="ZY34" s="36"/>
      <c r="ZZ34" s="36"/>
      <c r="AAA34" s="36"/>
      <c r="AAB34" s="36"/>
      <c r="AAC34" s="36"/>
      <c r="AAD34" s="36"/>
      <c r="AAE34" s="36"/>
      <c r="AAF34" s="36"/>
      <c r="AAG34" s="36"/>
      <c r="AAH34" s="36"/>
      <c r="AAI34" s="36"/>
      <c r="AAJ34" s="36"/>
      <c r="AAK34" s="36"/>
      <c r="AAL34" s="36"/>
      <c r="AAM34" s="36"/>
      <c r="AAN34" s="36"/>
      <c r="AAO34" s="36"/>
      <c r="AAP34" s="36"/>
      <c r="AAQ34" s="36"/>
      <c r="AAR34" s="36"/>
      <c r="AAS34" s="36"/>
      <c r="AAT34" s="36"/>
      <c r="AAU34" s="36"/>
      <c r="AAV34" s="36"/>
      <c r="AAW34" s="36"/>
      <c r="AAX34" s="36"/>
      <c r="AAY34" s="36"/>
      <c r="AAZ34" s="36"/>
      <c r="ABA34" s="36"/>
      <c r="ABB34" s="36"/>
      <c r="ABC34" s="36"/>
      <c r="ABD34" s="36"/>
      <c r="ABE34" s="36"/>
      <c r="ABF34" s="36"/>
      <c r="ABG34" s="36"/>
      <c r="ABH34" s="36"/>
      <c r="ABI34" s="36"/>
      <c r="ABJ34" s="36"/>
      <c r="ABK34" s="36"/>
      <c r="ABL34" s="36"/>
      <c r="ABM34" s="36"/>
      <c r="ABN34" s="36"/>
      <c r="ABO34" s="36"/>
      <c r="ABP34" s="36"/>
      <c r="ABQ34" s="36"/>
      <c r="ABR34" s="36"/>
      <c r="ABS34" s="36"/>
      <c r="ABT34" s="36"/>
      <c r="ABU34" s="36"/>
      <c r="ABV34" s="36"/>
      <c r="ABW34" s="36"/>
      <c r="ABX34" s="36"/>
      <c r="ABY34" s="36"/>
      <c r="ABZ34" s="36"/>
      <c r="ACA34" s="36"/>
      <c r="ACB34" s="36"/>
      <c r="ACC34" s="36"/>
      <c r="ACD34" s="36"/>
      <c r="ACE34" s="36"/>
      <c r="ACF34" s="36"/>
      <c r="ACG34" s="36"/>
      <c r="ACH34" s="36"/>
      <c r="ACI34" s="36"/>
      <c r="ACJ34" s="36"/>
      <c r="ACK34" s="36"/>
      <c r="ACL34" s="36"/>
      <c r="ACM34" s="36"/>
      <c r="ACN34" s="36"/>
      <c r="ACO34" s="36"/>
      <c r="ACP34" s="36"/>
      <c r="ACQ34" s="36"/>
      <c r="ACR34" s="36"/>
      <c r="ACS34" s="36"/>
      <c r="ACT34" s="36"/>
      <c r="ACU34" s="36"/>
      <c r="ACV34" s="36"/>
      <c r="ACW34" s="36"/>
      <c r="ACX34" s="36"/>
      <c r="ACY34" s="36"/>
      <c r="ACZ34" s="36"/>
      <c r="ADA34" s="36"/>
      <c r="ADB34" s="36"/>
      <c r="ADC34" s="36"/>
      <c r="ADD34" s="36"/>
      <c r="ADE34" s="36"/>
      <c r="ADF34" s="36"/>
      <c r="ADG34" s="36"/>
      <c r="ADH34" s="36"/>
      <c r="ADI34" s="36"/>
      <c r="ADJ34" s="36"/>
      <c r="ADK34" s="36"/>
      <c r="ADL34" s="36"/>
      <c r="ADM34" s="36"/>
      <c r="ADN34" s="36"/>
      <c r="ADO34" s="36"/>
      <c r="ADP34" s="36"/>
      <c r="ADQ34" s="36"/>
      <c r="ADR34" s="36"/>
      <c r="ADS34" s="36"/>
      <c r="ADT34" s="36"/>
      <c r="ADU34" s="36"/>
      <c r="ADV34" s="36"/>
      <c r="ADW34" s="36"/>
      <c r="ADX34" s="36"/>
      <c r="ADY34" s="36"/>
      <c r="ADZ34" s="36"/>
      <c r="AEA34" s="36"/>
      <c r="AEB34" s="36"/>
      <c r="AEC34" s="36"/>
      <c r="AED34" s="36"/>
      <c r="AEE34" s="36"/>
      <c r="AEF34" s="36"/>
      <c r="AEG34" s="36"/>
      <c r="AEH34" s="36"/>
      <c r="AEI34" s="36"/>
      <c r="AEJ34" s="36"/>
      <c r="AEK34" s="36"/>
      <c r="AEL34" s="36"/>
      <c r="AEM34" s="36"/>
      <c r="AEN34" s="36"/>
      <c r="AEO34" s="36"/>
      <c r="AEP34" s="36"/>
      <c r="AEQ34" s="36"/>
      <c r="AER34" s="36"/>
      <c r="AES34" s="36"/>
      <c r="AET34" s="36"/>
      <c r="AEU34" s="36"/>
      <c r="AEV34" s="36"/>
      <c r="AEW34" s="36"/>
      <c r="AEX34" s="36"/>
      <c r="AEY34" s="36"/>
      <c r="AEZ34" s="36"/>
      <c r="AFA34" s="36"/>
      <c r="AFB34" s="36"/>
      <c r="AFC34" s="36"/>
      <c r="AFD34" s="36"/>
      <c r="AFE34" s="36"/>
      <c r="AFF34" s="36"/>
      <c r="AFG34" s="36"/>
      <c r="AFH34" s="36"/>
      <c r="AFI34" s="36"/>
      <c r="AFJ34" s="36"/>
      <c r="AFK34" s="36"/>
      <c r="AFL34" s="36"/>
      <c r="AFM34" s="36"/>
      <c r="AFN34" s="36"/>
      <c r="AFO34" s="36"/>
      <c r="AFP34" s="36"/>
      <c r="AFQ34" s="36"/>
      <c r="AFR34" s="36"/>
      <c r="AFS34" s="36"/>
      <c r="AFT34" s="36"/>
      <c r="AFU34" s="36"/>
      <c r="AFV34" s="36"/>
      <c r="AFW34" s="36"/>
      <c r="AFX34" s="36"/>
      <c r="AFY34" s="36"/>
      <c r="AFZ34" s="36"/>
      <c r="AGA34" s="36"/>
      <c r="AGB34" s="36"/>
      <c r="AGC34" s="36"/>
      <c r="AGD34" s="36"/>
      <c r="AGE34" s="36"/>
      <c r="AGF34" s="36"/>
      <c r="AGG34" s="36"/>
      <c r="AGH34" s="36"/>
      <c r="AGI34" s="36"/>
      <c r="AGJ34" s="36"/>
      <c r="AGK34" s="36"/>
      <c r="AGL34" s="36"/>
      <c r="AGM34" s="36"/>
      <c r="AGN34" s="36"/>
      <c r="AGO34" s="36"/>
      <c r="AGP34" s="36"/>
      <c r="AGQ34" s="36"/>
      <c r="AGR34" s="36"/>
      <c r="AGS34" s="36"/>
      <c r="AGT34" s="36"/>
      <c r="AGU34" s="36"/>
      <c r="AGV34" s="36"/>
      <c r="AGW34" s="36"/>
      <c r="AGX34" s="36"/>
      <c r="AGY34" s="36"/>
      <c r="AGZ34" s="36"/>
      <c r="AHA34" s="36"/>
      <c r="AHB34" s="36"/>
      <c r="AHC34" s="36"/>
      <c r="AHD34" s="36"/>
      <c r="AHE34" s="36"/>
      <c r="AHF34" s="36"/>
      <c r="AHG34" s="36"/>
      <c r="AHH34" s="36"/>
      <c r="AHI34" s="36"/>
      <c r="AHJ34" s="36"/>
      <c r="AHK34" s="36"/>
      <c r="AHL34" s="36"/>
      <c r="AHM34" s="36"/>
      <c r="AHN34" s="36"/>
      <c r="AHO34" s="36"/>
      <c r="AHP34" s="36"/>
      <c r="AHQ34" s="36"/>
      <c r="AHR34" s="36"/>
      <c r="AHS34" s="36"/>
      <c r="AHT34" s="36"/>
      <c r="AHU34" s="36"/>
      <c r="AHV34" s="36"/>
      <c r="AHW34" s="36"/>
      <c r="AHX34" s="36"/>
      <c r="AHY34" s="36"/>
      <c r="AHZ34" s="36"/>
      <c r="AIA34" s="36"/>
      <c r="AIB34" s="36"/>
      <c r="AIC34" s="36"/>
      <c r="AID34" s="36"/>
      <c r="AIE34" s="36"/>
      <c r="AIF34" s="36"/>
      <c r="AIG34" s="36"/>
      <c r="AIH34" s="36"/>
      <c r="AII34" s="36"/>
      <c r="AIJ34" s="36"/>
      <c r="AIK34" s="36"/>
      <c r="AIL34" s="36"/>
      <c r="AIM34" s="36"/>
      <c r="AIN34" s="36"/>
      <c r="AIO34" s="36"/>
      <c r="AIP34" s="36"/>
      <c r="AIQ34" s="36"/>
      <c r="AIR34" s="36"/>
      <c r="AIS34" s="36"/>
      <c r="AIT34" s="36"/>
      <c r="AIU34" s="36"/>
      <c r="AIV34" s="36"/>
      <c r="AIW34" s="36"/>
      <c r="AIX34" s="36"/>
      <c r="AIY34" s="36"/>
      <c r="AIZ34" s="36"/>
      <c r="AJA34" s="36"/>
      <c r="AJB34" s="36"/>
      <c r="AJC34" s="36"/>
      <c r="AJD34" s="36"/>
      <c r="AJE34" s="36"/>
      <c r="AJF34" s="36"/>
      <c r="AJG34" s="36"/>
      <c r="AJH34" s="36"/>
      <c r="AJI34" s="36"/>
      <c r="AJJ34" s="36"/>
      <c r="AJK34" s="36"/>
      <c r="AJL34" s="36"/>
      <c r="AJM34" s="36"/>
      <c r="AJN34" s="36"/>
      <c r="AJO34" s="36"/>
      <c r="AJP34" s="36"/>
      <c r="AJQ34" s="36"/>
      <c r="AJR34" s="36"/>
      <c r="AJS34" s="36"/>
      <c r="AJT34" s="36"/>
      <c r="AJU34" s="36"/>
      <c r="AJV34" s="36"/>
      <c r="AJW34" s="36"/>
      <c r="AJX34" s="36"/>
      <c r="AJY34" s="36"/>
      <c r="AJZ34" s="36"/>
      <c r="AKA34" s="36"/>
      <c r="AKB34" s="36"/>
      <c r="AKC34" s="36"/>
      <c r="AKD34" s="36"/>
      <c r="AKE34" s="36"/>
      <c r="AKF34" s="36"/>
      <c r="AKG34" s="36"/>
      <c r="AKH34" s="36"/>
      <c r="AKI34" s="36"/>
      <c r="AKJ34" s="36"/>
      <c r="AKK34" s="36"/>
      <c r="AKL34" s="36"/>
      <c r="AKM34" s="36"/>
      <c r="AKN34" s="36"/>
      <c r="AKO34" s="36"/>
      <c r="AKP34" s="36"/>
      <c r="AKQ34" s="36"/>
      <c r="AKR34" s="36"/>
      <c r="AKS34" s="36"/>
      <c r="AKT34" s="36"/>
      <c r="AKU34" s="36"/>
      <c r="AKV34" s="36"/>
      <c r="AKW34" s="36"/>
      <c r="AKX34" s="36"/>
      <c r="AKY34" s="36"/>
      <c r="AKZ34" s="36"/>
      <c r="ALA34" s="36"/>
      <c r="ALB34" s="36"/>
      <c r="ALC34" s="36"/>
      <c r="ALD34" s="36"/>
      <c r="ALE34" s="36"/>
      <c r="ALF34" s="36"/>
      <c r="ALG34" s="36"/>
      <c r="ALH34" s="36"/>
      <c r="ALI34" s="36"/>
      <c r="ALJ34" s="36"/>
      <c r="ALK34" s="36"/>
      <c r="ALL34" s="36"/>
    </row>
    <row r="35" spans="1:1000" ht="15" x14ac:dyDescent="0.25">
      <c r="A35" t="str">
        <f ca="1">IF(_xll.TM1RPTELISCONSOLIDATED($B$25,$B35),IF(_xll.TM1RPTELLEV($B$25,$B35)&lt;=3,_xll.TM1RPTELLEV($B$25,$B35),"D"),"N")</f>
        <v>N</v>
      </c>
      <c r="B35" s="42" t="s">
        <v>25</v>
      </c>
      <c r="C35" s="22" t="str">
        <f ca="1">_xll.DBRW($B$9,$C$19,$C$20,$B35,$C$22,$C$21,C$24)</f>
        <v>*KEY_ERR</v>
      </c>
      <c r="D35" s="37" t="str">
        <f ca="1">_xll.DBRW($B$9,$C$19,$C$20,$B35,$C$22,$C$21,D$24)</f>
        <v>*KEY_ERR</v>
      </c>
      <c r="E35" s="36" t="s">
        <v>74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  <c r="IX35" s="36"/>
      <c r="IY35" s="36"/>
      <c r="IZ35" s="36"/>
      <c r="JA35" s="36"/>
      <c r="JB35" s="36"/>
      <c r="JC35" s="36"/>
      <c r="JD35" s="36"/>
      <c r="JE35" s="36"/>
      <c r="JF35" s="36"/>
      <c r="JG35" s="36"/>
      <c r="JH35" s="36"/>
      <c r="JI35" s="36"/>
      <c r="JJ35" s="36"/>
      <c r="JK35" s="36"/>
      <c r="JL35" s="36"/>
      <c r="JM35" s="36"/>
      <c r="JN35" s="36"/>
      <c r="JO35" s="36"/>
      <c r="JP35" s="36"/>
      <c r="JQ35" s="36"/>
      <c r="JR35" s="36"/>
      <c r="JS35" s="36"/>
      <c r="JT35" s="36"/>
      <c r="JU35" s="36"/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6"/>
      <c r="KI35" s="36"/>
      <c r="KJ35" s="36"/>
      <c r="KK35" s="36"/>
      <c r="KL35" s="36"/>
      <c r="KM35" s="36"/>
      <c r="KN35" s="36"/>
      <c r="KO35" s="36"/>
      <c r="KP35" s="36"/>
      <c r="KQ35" s="36"/>
      <c r="KR35" s="36"/>
      <c r="KS35" s="36"/>
      <c r="KT35" s="36"/>
      <c r="KU35" s="36"/>
      <c r="KV35" s="36"/>
      <c r="KW35" s="36"/>
      <c r="KX35" s="36"/>
      <c r="KY35" s="36"/>
      <c r="KZ35" s="36"/>
      <c r="LA35" s="36"/>
      <c r="LB35" s="36"/>
      <c r="LC35" s="36"/>
      <c r="LD35" s="36"/>
      <c r="LE35" s="36"/>
      <c r="LF35" s="36"/>
      <c r="LG35" s="36"/>
      <c r="LH35" s="36"/>
      <c r="LI35" s="36"/>
      <c r="LJ35" s="36"/>
      <c r="LK35" s="36"/>
      <c r="LL35" s="36"/>
      <c r="LM35" s="36"/>
      <c r="LN35" s="36"/>
      <c r="LO35" s="36"/>
      <c r="LP35" s="36"/>
      <c r="LQ35" s="36"/>
      <c r="LR35" s="36"/>
      <c r="LS35" s="36"/>
      <c r="LT35" s="36"/>
      <c r="LU35" s="36"/>
      <c r="LV35" s="36"/>
      <c r="LW35" s="36"/>
      <c r="LX35" s="36"/>
      <c r="LY35" s="36"/>
      <c r="LZ35" s="36"/>
      <c r="MA35" s="36"/>
      <c r="MB35" s="36"/>
      <c r="MC35" s="36"/>
      <c r="MD35" s="36"/>
      <c r="ME35" s="36"/>
      <c r="MF35" s="36"/>
      <c r="MG35" s="36"/>
      <c r="MH35" s="36"/>
      <c r="MI35" s="36"/>
      <c r="MJ35" s="36"/>
      <c r="MK35" s="36"/>
      <c r="ML35" s="36"/>
      <c r="MM35" s="36"/>
      <c r="MN35" s="36"/>
      <c r="MO35" s="36"/>
      <c r="MP35" s="36"/>
      <c r="MQ35" s="36"/>
      <c r="MR35" s="36"/>
      <c r="MS35" s="36"/>
      <c r="MT35" s="36"/>
      <c r="MU35" s="36"/>
      <c r="MV35" s="36"/>
      <c r="MW35" s="36"/>
      <c r="MX35" s="36"/>
      <c r="MY35" s="36"/>
      <c r="MZ35" s="36"/>
      <c r="NA35" s="36"/>
      <c r="NB35" s="36"/>
      <c r="NC35" s="36"/>
      <c r="ND35" s="36"/>
      <c r="NE35" s="36"/>
      <c r="NF35" s="36"/>
      <c r="NG35" s="36"/>
      <c r="NH35" s="36"/>
      <c r="NI35" s="36"/>
      <c r="NJ35" s="36"/>
      <c r="NK35" s="36"/>
      <c r="NL35" s="36"/>
      <c r="NM35" s="36"/>
      <c r="NN35" s="36"/>
      <c r="NO35" s="36"/>
      <c r="NP35" s="36"/>
      <c r="NQ35" s="36"/>
      <c r="NR35" s="36"/>
      <c r="NS35" s="36"/>
      <c r="NT35" s="36"/>
      <c r="NU35" s="36"/>
      <c r="NV35" s="36"/>
      <c r="NW35" s="36"/>
      <c r="NX35" s="36"/>
      <c r="NY35" s="36"/>
      <c r="NZ35" s="36"/>
      <c r="OA35" s="36"/>
      <c r="OB35" s="36"/>
      <c r="OC35" s="36"/>
      <c r="OD35" s="36"/>
      <c r="OE35" s="36"/>
      <c r="OF35" s="36"/>
      <c r="OG35" s="36"/>
      <c r="OH35" s="36"/>
      <c r="OI35" s="36"/>
      <c r="OJ35" s="36"/>
      <c r="OK35" s="36"/>
      <c r="OL35" s="36"/>
      <c r="OM35" s="36"/>
      <c r="ON35" s="36"/>
      <c r="OO35" s="36"/>
      <c r="OP35" s="36"/>
      <c r="OQ35" s="36"/>
      <c r="OR35" s="36"/>
      <c r="OS35" s="36"/>
      <c r="OT35" s="36"/>
      <c r="OU35" s="36"/>
      <c r="OV35" s="36"/>
      <c r="OW35" s="36"/>
      <c r="OX35" s="36"/>
      <c r="OY35" s="36"/>
      <c r="OZ35" s="36"/>
      <c r="PA35" s="36"/>
      <c r="PB35" s="36"/>
      <c r="PC35" s="36"/>
      <c r="PD35" s="36"/>
      <c r="PE35" s="36"/>
      <c r="PF35" s="36"/>
      <c r="PG35" s="36"/>
      <c r="PH35" s="36"/>
      <c r="PI35" s="36"/>
      <c r="PJ35" s="36"/>
      <c r="PK35" s="36"/>
      <c r="PL35" s="36"/>
      <c r="PM35" s="36"/>
      <c r="PN35" s="36"/>
      <c r="PO35" s="36"/>
      <c r="PP35" s="36"/>
      <c r="PQ35" s="36"/>
      <c r="PR35" s="36"/>
      <c r="PS35" s="36"/>
      <c r="PT35" s="36"/>
      <c r="PU35" s="36"/>
      <c r="PV35" s="36"/>
      <c r="PW35" s="36"/>
      <c r="PX35" s="36"/>
      <c r="PY35" s="36"/>
      <c r="PZ35" s="36"/>
      <c r="QA35" s="36"/>
      <c r="QB35" s="36"/>
      <c r="QC35" s="36"/>
      <c r="QD35" s="36"/>
      <c r="QE35" s="36"/>
      <c r="QF35" s="36"/>
      <c r="QG35" s="36"/>
      <c r="QH35" s="36"/>
      <c r="QI35" s="36"/>
      <c r="QJ35" s="36"/>
      <c r="QK35" s="36"/>
      <c r="QL35" s="36"/>
      <c r="QM35" s="36"/>
      <c r="QN35" s="36"/>
      <c r="QO35" s="36"/>
      <c r="QP35" s="36"/>
      <c r="QQ35" s="36"/>
      <c r="QR35" s="36"/>
      <c r="QS35" s="36"/>
      <c r="QT35" s="36"/>
      <c r="QU35" s="36"/>
      <c r="QV35" s="36"/>
      <c r="QW35" s="36"/>
      <c r="QX35" s="36"/>
      <c r="QY35" s="36"/>
      <c r="QZ35" s="36"/>
      <c r="RA35" s="36"/>
      <c r="RB35" s="36"/>
      <c r="RC35" s="36"/>
      <c r="RD35" s="36"/>
      <c r="RE35" s="36"/>
      <c r="RF35" s="36"/>
      <c r="RG35" s="36"/>
      <c r="RH35" s="36"/>
      <c r="RI35" s="36"/>
      <c r="RJ35" s="36"/>
      <c r="RK35" s="36"/>
      <c r="RL35" s="36"/>
      <c r="RM35" s="36"/>
      <c r="RN35" s="36"/>
      <c r="RO35" s="36"/>
      <c r="RP35" s="36"/>
      <c r="RQ35" s="36"/>
      <c r="RR35" s="36"/>
      <c r="RS35" s="36"/>
      <c r="RT35" s="36"/>
      <c r="RU35" s="36"/>
      <c r="RV35" s="36"/>
      <c r="RW35" s="36"/>
      <c r="RX35" s="36"/>
      <c r="RY35" s="36"/>
      <c r="RZ35" s="36"/>
      <c r="SA35" s="36"/>
      <c r="SB35" s="36"/>
      <c r="SC35" s="36"/>
      <c r="SD35" s="36"/>
      <c r="SE35" s="36"/>
      <c r="SF35" s="36"/>
      <c r="SG35" s="36"/>
      <c r="SH35" s="36"/>
      <c r="SI35" s="36"/>
      <c r="SJ35" s="36"/>
      <c r="SK35" s="36"/>
      <c r="SL35" s="36"/>
      <c r="SM35" s="36"/>
      <c r="SN35" s="36"/>
      <c r="SO35" s="36"/>
      <c r="SP35" s="36"/>
      <c r="SQ35" s="36"/>
      <c r="SR35" s="36"/>
      <c r="SS35" s="36"/>
      <c r="ST35" s="36"/>
      <c r="SU35" s="36"/>
      <c r="SV35" s="36"/>
      <c r="SW35" s="36"/>
      <c r="SX35" s="36"/>
      <c r="SY35" s="36"/>
      <c r="SZ35" s="36"/>
      <c r="TA35" s="36"/>
      <c r="TB35" s="36"/>
      <c r="TC35" s="36"/>
      <c r="TD35" s="36"/>
      <c r="TE35" s="36"/>
      <c r="TF35" s="36"/>
      <c r="TG35" s="36"/>
      <c r="TH35" s="36"/>
      <c r="TI35" s="36"/>
      <c r="TJ35" s="36"/>
      <c r="TK35" s="36"/>
      <c r="TL35" s="36"/>
      <c r="TM35" s="36"/>
      <c r="TN35" s="36"/>
      <c r="TO35" s="36"/>
      <c r="TP35" s="36"/>
      <c r="TQ35" s="36"/>
      <c r="TR35" s="36"/>
      <c r="TS35" s="36"/>
      <c r="TT35" s="36"/>
      <c r="TU35" s="36"/>
      <c r="TV35" s="36"/>
      <c r="TW35" s="36"/>
      <c r="TX35" s="36"/>
      <c r="TY35" s="36"/>
      <c r="TZ35" s="36"/>
      <c r="UA35" s="36"/>
      <c r="UB35" s="36"/>
      <c r="UC35" s="36"/>
      <c r="UD35" s="36"/>
      <c r="UE35" s="36"/>
      <c r="UF35" s="36"/>
      <c r="UG35" s="36"/>
      <c r="UH35" s="36"/>
      <c r="UI35" s="36"/>
      <c r="UJ35" s="36"/>
      <c r="UK35" s="36"/>
      <c r="UL35" s="36"/>
      <c r="UM35" s="36"/>
      <c r="UN35" s="36"/>
      <c r="UO35" s="36"/>
      <c r="UP35" s="36"/>
      <c r="UQ35" s="36"/>
      <c r="UR35" s="36"/>
      <c r="US35" s="36"/>
      <c r="UT35" s="36"/>
      <c r="UU35" s="36"/>
      <c r="UV35" s="36"/>
      <c r="UW35" s="36"/>
      <c r="UX35" s="36"/>
      <c r="UY35" s="36"/>
      <c r="UZ35" s="36"/>
      <c r="VA35" s="36"/>
      <c r="VB35" s="36"/>
      <c r="VC35" s="36"/>
      <c r="VD35" s="36"/>
      <c r="VE35" s="36"/>
      <c r="VF35" s="36"/>
      <c r="VG35" s="36"/>
      <c r="VH35" s="36"/>
      <c r="VI35" s="36"/>
      <c r="VJ35" s="36"/>
      <c r="VK35" s="36"/>
      <c r="VL35" s="36"/>
      <c r="VM35" s="36"/>
      <c r="VN35" s="36"/>
      <c r="VO35" s="36"/>
      <c r="VP35" s="36"/>
      <c r="VQ35" s="36"/>
      <c r="VR35" s="36"/>
      <c r="VS35" s="36"/>
      <c r="VT35" s="36"/>
      <c r="VU35" s="36"/>
      <c r="VV35" s="36"/>
      <c r="VW35" s="36"/>
      <c r="VX35" s="36"/>
      <c r="VY35" s="36"/>
      <c r="VZ35" s="36"/>
      <c r="WA35" s="36"/>
      <c r="WB35" s="36"/>
      <c r="WC35" s="36"/>
      <c r="WD35" s="36"/>
      <c r="WE35" s="36"/>
      <c r="WF35" s="36"/>
      <c r="WG35" s="36"/>
      <c r="WH35" s="36"/>
      <c r="WI35" s="36"/>
      <c r="WJ35" s="36"/>
      <c r="WK35" s="36"/>
      <c r="WL35" s="36"/>
      <c r="WM35" s="36"/>
      <c r="WN35" s="36"/>
      <c r="WO35" s="36"/>
      <c r="WP35" s="36"/>
      <c r="WQ35" s="36"/>
      <c r="WR35" s="36"/>
      <c r="WS35" s="36"/>
      <c r="WT35" s="36"/>
      <c r="WU35" s="36"/>
      <c r="WV35" s="36"/>
      <c r="WW35" s="36"/>
      <c r="WX35" s="36"/>
      <c r="WY35" s="36"/>
      <c r="WZ35" s="36"/>
      <c r="XA35" s="36"/>
      <c r="XB35" s="36"/>
      <c r="XC35" s="36"/>
      <c r="XD35" s="36"/>
      <c r="XE35" s="36"/>
      <c r="XF35" s="36"/>
      <c r="XG35" s="36"/>
      <c r="XH35" s="36"/>
      <c r="XI35" s="36"/>
      <c r="XJ35" s="36"/>
      <c r="XK35" s="36"/>
      <c r="XL35" s="36"/>
      <c r="XM35" s="36"/>
      <c r="XN35" s="36"/>
      <c r="XO35" s="36"/>
      <c r="XP35" s="36"/>
      <c r="XQ35" s="36"/>
      <c r="XR35" s="36"/>
      <c r="XS35" s="36"/>
      <c r="XT35" s="36"/>
      <c r="XU35" s="36"/>
      <c r="XV35" s="36"/>
      <c r="XW35" s="36"/>
      <c r="XX35" s="36"/>
      <c r="XY35" s="36"/>
      <c r="XZ35" s="36"/>
      <c r="YA35" s="36"/>
      <c r="YB35" s="36"/>
      <c r="YC35" s="36"/>
      <c r="YD35" s="36"/>
      <c r="YE35" s="36"/>
      <c r="YF35" s="36"/>
      <c r="YG35" s="36"/>
      <c r="YH35" s="36"/>
      <c r="YI35" s="36"/>
      <c r="YJ35" s="36"/>
      <c r="YK35" s="36"/>
      <c r="YL35" s="36"/>
      <c r="YM35" s="36"/>
      <c r="YN35" s="36"/>
      <c r="YO35" s="36"/>
      <c r="YP35" s="36"/>
      <c r="YQ35" s="36"/>
      <c r="YR35" s="36"/>
      <c r="YS35" s="36"/>
      <c r="YT35" s="36"/>
      <c r="YU35" s="36"/>
      <c r="YV35" s="36"/>
      <c r="YW35" s="36"/>
      <c r="YX35" s="36"/>
      <c r="YY35" s="36"/>
      <c r="YZ35" s="36"/>
      <c r="ZA35" s="36"/>
      <c r="ZB35" s="36"/>
      <c r="ZC35" s="36"/>
      <c r="ZD35" s="36"/>
      <c r="ZE35" s="36"/>
      <c r="ZF35" s="36"/>
      <c r="ZG35" s="36"/>
      <c r="ZH35" s="36"/>
      <c r="ZI35" s="36"/>
      <c r="ZJ35" s="36"/>
      <c r="ZK35" s="36"/>
      <c r="ZL35" s="36"/>
      <c r="ZM35" s="36"/>
      <c r="ZN35" s="36"/>
      <c r="ZO35" s="36"/>
      <c r="ZP35" s="36"/>
      <c r="ZQ35" s="36"/>
      <c r="ZR35" s="36"/>
      <c r="ZS35" s="36"/>
      <c r="ZT35" s="36"/>
      <c r="ZU35" s="36"/>
      <c r="ZV35" s="36"/>
      <c r="ZW35" s="36"/>
      <c r="ZX35" s="36"/>
      <c r="ZY35" s="36"/>
      <c r="ZZ35" s="36"/>
      <c r="AAA35" s="36"/>
      <c r="AAB35" s="36"/>
      <c r="AAC35" s="36"/>
      <c r="AAD35" s="36"/>
      <c r="AAE35" s="36"/>
      <c r="AAF35" s="36"/>
      <c r="AAG35" s="36"/>
      <c r="AAH35" s="36"/>
      <c r="AAI35" s="36"/>
      <c r="AAJ35" s="36"/>
      <c r="AAK35" s="36"/>
      <c r="AAL35" s="36"/>
      <c r="AAM35" s="36"/>
      <c r="AAN35" s="36"/>
      <c r="AAO35" s="36"/>
      <c r="AAP35" s="36"/>
      <c r="AAQ35" s="36"/>
      <c r="AAR35" s="36"/>
      <c r="AAS35" s="36"/>
      <c r="AAT35" s="36"/>
      <c r="AAU35" s="36"/>
      <c r="AAV35" s="36"/>
      <c r="AAW35" s="36"/>
      <c r="AAX35" s="36"/>
      <c r="AAY35" s="36"/>
      <c r="AAZ35" s="36"/>
      <c r="ABA35" s="36"/>
      <c r="ABB35" s="36"/>
      <c r="ABC35" s="36"/>
      <c r="ABD35" s="36"/>
      <c r="ABE35" s="36"/>
      <c r="ABF35" s="36"/>
      <c r="ABG35" s="36"/>
      <c r="ABH35" s="36"/>
      <c r="ABI35" s="36"/>
      <c r="ABJ35" s="36"/>
      <c r="ABK35" s="36"/>
      <c r="ABL35" s="36"/>
      <c r="ABM35" s="36"/>
      <c r="ABN35" s="36"/>
      <c r="ABO35" s="36"/>
      <c r="ABP35" s="36"/>
      <c r="ABQ35" s="36"/>
      <c r="ABR35" s="36"/>
      <c r="ABS35" s="36"/>
      <c r="ABT35" s="36"/>
      <c r="ABU35" s="36"/>
      <c r="ABV35" s="36"/>
      <c r="ABW35" s="36"/>
      <c r="ABX35" s="36"/>
      <c r="ABY35" s="36"/>
      <c r="ABZ35" s="36"/>
      <c r="ACA35" s="36"/>
      <c r="ACB35" s="36"/>
      <c r="ACC35" s="36"/>
      <c r="ACD35" s="36"/>
      <c r="ACE35" s="36"/>
      <c r="ACF35" s="36"/>
      <c r="ACG35" s="36"/>
      <c r="ACH35" s="36"/>
      <c r="ACI35" s="36"/>
      <c r="ACJ35" s="36"/>
      <c r="ACK35" s="36"/>
      <c r="ACL35" s="36"/>
      <c r="ACM35" s="36"/>
      <c r="ACN35" s="36"/>
      <c r="ACO35" s="36"/>
      <c r="ACP35" s="36"/>
      <c r="ACQ35" s="36"/>
      <c r="ACR35" s="36"/>
      <c r="ACS35" s="36"/>
      <c r="ACT35" s="36"/>
      <c r="ACU35" s="36"/>
      <c r="ACV35" s="36"/>
      <c r="ACW35" s="36"/>
      <c r="ACX35" s="36"/>
      <c r="ACY35" s="36"/>
      <c r="ACZ35" s="36"/>
      <c r="ADA35" s="36"/>
      <c r="ADB35" s="36"/>
      <c r="ADC35" s="36"/>
      <c r="ADD35" s="36"/>
      <c r="ADE35" s="36"/>
      <c r="ADF35" s="36"/>
      <c r="ADG35" s="36"/>
      <c r="ADH35" s="36"/>
      <c r="ADI35" s="36"/>
      <c r="ADJ35" s="36"/>
      <c r="ADK35" s="36"/>
      <c r="ADL35" s="36"/>
      <c r="ADM35" s="36"/>
      <c r="ADN35" s="36"/>
      <c r="ADO35" s="36"/>
      <c r="ADP35" s="36"/>
      <c r="ADQ35" s="36"/>
      <c r="ADR35" s="36"/>
      <c r="ADS35" s="36"/>
      <c r="ADT35" s="36"/>
      <c r="ADU35" s="36"/>
      <c r="ADV35" s="36"/>
      <c r="ADW35" s="36"/>
      <c r="ADX35" s="36"/>
      <c r="ADY35" s="36"/>
      <c r="ADZ35" s="36"/>
      <c r="AEA35" s="36"/>
      <c r="AEB35" s="36"/>
      <c r="AEC35" s="36"/>
      <c r="AED35" s="36"/>
      <c r="AEE35" s="36"/>
      <c r="AEF35" s="36"/>
      <c r="AEG35" s="36"/>
      <c r="AEH35" s="36"/>
      <c r="AEI35" s="36"/>
      <c r="AEJ35" s="36"/>
      <c r="AEK35" s="36"/>
      <c r="AEL35" s="36"/>
      <c r="AEM35" s="36"/>
      <c r="AEN35" s="36"/>
      <c r="AEO35" s="36"/>
      <c r="AEP35" s="36"/>
      <c r="AEQ35" s="36"/>
      <c r="AER35" s="36"/>
      <c r="AES35" s="36"/>
      <c r="AET35" s="36"/>
      <c r="AEU35" s="36"/>
      <c r="AEV35" s="36"/>
      <c r="AEW35" s="36"/>
      <c r="AEX35" s="36"/>
      <c r="AEY35" s="36"/>
      <c r="AEZ35" s="36"/>
      <c r="AFA35" s="36"/>
      <c r="AFB35" s="36"/>
      <c r="AFC35" s="36"/>
      <c r="AFD35" s="36"/>
      <c r="AFE35" s="36"/>
      <c r="AFF35" s="36"/>
      <c r="AFG35" s="36"/>
      <c r="AFH35" s="36"/>
      <c r="AFI35" s="36"/>
      <c r="AFJ35" s="36"/>
      <c r="AFK35" s="36"/>
      <c r="AFL35" s="36"/>
      <c r="AFM35" s="36"/>
      <c r="AFN35" s="36"/>
      <c r="AFO35" s="36"/>
      <c r="AFP35" s="36"/>
      <c r="AFQ35" s="36"/>
      <c r="AFR35" s="36"/>
      <c r="AFS35" s="36"/>
      <c r="AFT35" s="36"/>
      <c r="AFU35" s="36"/>
      <c r="AFV35" s="36"/>
      <c r="AFW35" s="36"/>
      <c r="AFX35" s="36"/>
      <c r="AFY35" s="36"/>
      <c r="AFZ35" s="36"/>
      <c r="AGA35" s="36"/>
      <c r="AGB35" s="36"/>
      <c r="AGC35" s="36"/>
      <c r="AGD35" s="36"/>
      <c r="AGE35" s="36"/>
      <c r="AGF35" s="36"/>
      <c r="AGG35" s="36"/>
      <c r="AGH35" s="36"/>
      <c r="AGI35" s="36"/>
      <c r="AGJ35" s="36"/>
      <c r="AGK35" s="36"/>
      <c r="AGL35" s="36"/>
      <c r="AGM35" s="36"/>
      <c r="AGN35" s="36"/>
      <c r="AGO35" s="36"/>
      <c r="AGP35" s="36"/>
      <c r="AGQ35" s="36"/>
      <c r="AGR35" s="36"/>
      <c r="AGS35" s="36"/>
      <c r="AGT35" s="36"/>
      <c r="AGU35" s="36"/>
      <c r="AGV35" s="36"/>
      <c r="AGW35" s="36"/>
      <c r="AGX35" s="36"/>
      <c r="AGY35" s="36"/>
      <c r="AGZ35" s="36"/>
      <c r="AHA35" s="36"/>
      <c r="AHB35" s="36"/>
      <c r="AHC35" s="36"/>
      <c r="AHD35" s="36"/>
      <c r="AHE35" s="36"/>
      <c r="AHF35" s="36"/>
      <c r="AHG35" s="36"/>
      <c r="AHH35" s="36"/>
      <c r="AHI35" s="36"/>
      <c r="AHJ35" s="36"/>
      <c r="AHK35" s="36"/>
      <c r="AHL35" s="36"/>
      <c r="AHM35" s="36"/>
      <c r="AHN35" s="36"/>
      <c r="AHO35" s="36"/>
      <c r="AHP35" s="36"/>
      <c r="AHQ35" s="36"/>
      <c r="AHR35" s="36"/>
      <c r="AHS35" s="36"/>
      <c r="AHT35" s="36"/>
      <c r="AHU35" s="36"/>
      <c r="AHV35" s="36"/>
      <c r="AHW35" s="36"/>
      <c r="AHX35" s="36"/>
      <c r="AHY35" s="36"/>
      <c r="AHZ35" s="36"/>
      <c r="AIA35" s="36"/>
      <c r="AIB35" s="36"/>
      <c r="AIC35" s="36"/>
      <c r="AID35" s="36"/>
      <c r="AIE35" s="36"/>
      <c r="AIF35" s="36"/>
      <c r="AIG35" s="36"/>
      <c r="AIH35" s="36"/>
      <c r="AII35" s="36"/>
      <c r="AIJ35" s="36"/>
      <c r="AIK35" s="36"/>
      <c r="AIL35" s="36"/>
      <c r="AIM35" s="36"/>
      <c r="AIN35" s="36"/>
      <c r="AIO35" s="36"/>
      <c r="AIP35" s="36"/>
      <c r="AIQ35" s="36"/>
      <c r="AIR35" s="36"/>
      <c r="AIS35" s="36"/>
      <c r="AIT35" s="36"/>
      <c r="AIU35" s="36"/>
      <c r="AIV35" s="36"/>
      <c r="AIW35" s="36"/>
      <c r="AIX35" s="36"/>
      <c r="AIY35" s="36"/>
      <c r="AIZ35" s="36"/>
      <c r="AJA35" s="36"/>
      <c r="AJB35" s="36"/>
      <c r="AJC35" s="36"/>
      <c r="AJD35" s="36"/>
      <c r="AJE35" s="36"/>
      <c r="AJF35" s="36"/>
      <c r="AJG35" s="36"/>
      <c r="AJH35" s="36"/>
      <c r="AJI35" s="36"/>
      <c r="AJJ35" s="36"/>
      <c r="AJK35" s="36"/>
      <c r="AJL35" s="36"/>
      <c r="AJM35" s="36"/>
      <c r="AJN35" s="36"/>
      <c r="AJO35" s="36"/>
      <c r="AJP35" s="36"/>
      <c r="AJQ35" s="36"/>
      <c r="AJR35" s="36"/>
      <c r="AJS35" s="36"/>
      <c r="AJT35" s="36"/>
      <c r="AJU35" s="36"/>
      <c r="AJV35" s="36"/>
      <c r="AJW35" s="36"/>
      <c r="AJX35" s="36"/>
      <c r="AJY35" s="36"/>
      <c r="AJZ35" s="36"/>
      <c r="AKA35" s="36"/>
      <c r="AKB35" s="36"/>
      <c r="AKC35" s="36"/>
      <c r="AKD35" s="36"/>
      <c r="AKE35" s="36"/>
      <c r="AKF35" s="36"/>
      <c r="AKG35" s="36"/>
      <c r="AKH35" s="36"/>
      <c r="AKI35" s="36"/>
      <c r="AKJ35" s="36"/>
      <c r="AKK35" s="36"/>
      <c r="AKL35" s="36"/>
      <c r="AKM35" s="36"/>
      <c r="AKN35" s="36"/>
      <c r="AKO35" s="36"/>
      <c r="AKP35" s="36"/>
      <c r="AKQ35" s="36"/>
      <c r="AKR35" s="36"/>
      <c r="AKS35" s="36"/>
      <c r="AKT35" s="36"/>
      <c r="AKU35" s="36"/>
      <c r="AKV35" s="36"/>
      <c r="AKW35" s="36"/>
      <c r="AKX35" s="36"/>
      <c r="AKY35" s="36"/>
      <c r="AKZ35" s="36"/>
      <c r="ALA35" s="36"/>
      <c r="ALB35" s="36"/>
      <c r="ALC35" s="36"/>
      <c r="ALD35" s="36"/>
      <c r="ALE35" s="36"/>
      <c r="ALF35" s="36"/>
      <c r="ALG35" s="36"/>
      <c r="ALH35" s="36"/>
      <c r="ALI35" s="36"/>
      <c r="ALJ35" s="36"/>
      <c r="ALK35" s="36"/>
      <c r="ALL35" s="36"/>
    </row>
    <row r="36" spans="1:1000" ht="15" x14ac:dyDescent="0.25">
      <c r="A36" t="str">
        <f ca="1">IF(_xll.TM1RPTELISCONSOLIDATED($B$25,$B36),IF(_xll.TM1RPTELLEV($B$25,$B36)&lt;=3,_xll.TM1RPTELLEV($B$25,$B36),"D"),"N")</f>
        <v>N</v>
      </c>
      <c r="B36" s="42" t="s">
        <v>26</v>
      </c>
      <c r="C36" s="22" t="str">
        <f ca="1">_xll.DBRW($B$9,$C$19,$C$20,$B36,$C$22,$C$21,C$24)</f>
        <v>*KEY_ERR</v>
      </c>
      <c r="D36" s="37" t="str">
        <f ca="1">_xll.DBRW($B$9,$C$19,$C$20,$B36,$C$22,$C$21,D$24)</f>
        <v>*KEY_ERR</v>
      </c>
      <c r="E36" s="36" t="s">
        <v>74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/>
      <c r="JF36" s="36"/>
      <c r="JG36" s="36"/>
      <c r="JH36" s="36"/>
      <c r="JI36" s="36"/>
      <c r="JJ36" s="36"/>
      <c r="JK36" s="36"/>
      <c r="JL36" s="36"/>
      <c r="JM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/>
      <c r="KS36" s="36"/>
      <c r="KT36" s="36"/>
      <c r="KU36" s="36"/>
      <c r="KV36" s="36"/>
      <c r="KW36" s="36"/>
      <c r="KX36" s="36"/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/>
      <c r="LW36" s="36"/>
      <c r="LX36" s="36"/>
      <c r="LY36" s="36"/>
      <c r="LZ36" s="36"/>
      <c r="MA36" s="36"/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/>
      <c r="MU36" s="36"/>
      <c r="MV36" s="36"/>
      <c r="MW36" s="36"/>
      <c r="MX36" s="36"/>
      <c r="MY36" s="36"/>
      <c r="MZ36" s="36"/>
      <c r="NA36" s="36"/>
      <c r="NB36" s="36"/>
      <c r="NC36" s="36"/>
      <c r="ND36" s="36"/>
      <c r="NE36" s="36"/>
      <c r="NF36" s="36"/>
      <c r="NG36" s="36"/>
      <c r="NH36" s="36"/>
      <c r="NI36" s="36"/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/>
      <c r="PH36" s="36"/>
      <c r="PI36" s="36"/>
      <c r="PJ36" s="36"/>
      <c r="PK36" s="36"/>
      <c r="PL36" s="36"/>
      <c r="PM36" s="36"/>
      <c r="PN36" s="36"/>
      <c r="PO36" s="36"/>
      <c r="PP36" s="36"/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/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/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SX36" s="36"/>
      <c r="SY36" s="36"/>
      <c r="SZ36" s="36"/>
      <c r="TA36" s="36"/>
      <c r="TB36" s="36"/>
      <c r="TC36" s="36"/>
      <c r="TD36" s="36"/>
      <c r="TE36" s="36"/>
      <c r="TF36" s="36"/>
      <c r="TG36" s="36"/>
      <c r="TH36" s="36"/>
      <c r="TI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/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T36" s="36"/>
      <c r="ACU36" s="36"/>
      <c r="ACV36" s="36"/>
      <c r="ACW36" s="36"/>
      <c r="ACX36" s="36"/>
      <c r="ACY36" s="36"/>
      <c r="ACZ36" s="36"/>
      <c r="ADA36" s="36"/>
      <c r="ADB36" s="36"/>
      <c r="ADC36" s="36"/>
      <c r="ADD36" s="36"/>
      <c r="ADE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36"/>
      <c r="AEK36" s="36"/>
      <c r="AEL36" s="36"/>
      <c r="AEM36" s="36"/>
      <c r="AEN36" s="36"/>
      <c r="AEO36" s="36"/>
      <c r="AEP36" s="36"/>
      <c r="AEQ36" s="36"/>
      <c r="AER36" s="36"/>
      <c r="AES36" s="36"/>
      <c r="AET36" s="36"/>
      <c r="AEU36" s="36"/>
      <c r="AEV36" s="36"/>
      <c r="AEW36" s="36"/>
      <c r="AEX36" s="36"/>
      <c r="AEY36" s="36"/>
      <c r="AEZ36" s="36"/>
      <c r="AFA36" s="36"/>
      <c r="AFB36" s="36"/>
      <c r="AFC36" s="36"/>
      <c r="AFD36" s="36"/>
      <c r="AFE36" s="36"/>
      <c r="AFF36" s="36"/>
      <c r="AFG36" s="36"/>
      <c r="AFH36" s="36"/>
      <c r="AFI36" s="36"/>
      <c r="AFJ36" s="36"/>
      <c r="AFK36" s="36"/>
      <c r="AFL36" s="36"/>
      <c r="AFM36" s="36"/>
      <c r="AFN36" s="36"/>
      <c r="AFO36" s="36"/>
      <c r="AFP36" s="36"/>
      <c r="AFQ36" s="36"/>
      <c r="AFR36" s="36"/>
      <c r="AFS36" s="36"/>
      <c r="AFT36" s="36"/>
      <c r="AFU36" s="36"/>
      <c r="AFV36" s="36"/>
      <c r="AFW36" s="36"/>
      <c r="AFX36" s="36"/>
      <c r="AFY36" s="36"/>
      <c r="AFZ36" s="36"/>
      <c r="AGA36" s="36"/>
      <c r="AGB36" s="36"/>
      <c r="AGC36" s="36"/>
      <c r="AGD36" s="36"/>
      <c r="AGE36" s="36"/>
      <c r="AGF36" s="36"/>
      <c r="AGG36" s="36"/>
      <c r="AGH36" s="36"/>
      <c r="AGI36" s="36"/>
      <c r="AGJ36" s="36"/>
      <c r="AGK36" s="36"/>
      <c r="AGL36" s="36"/>
      <c r="AGM36" s="36"/>
      <c r="AGN36" s="36"/>
      <c r="AGO36" s="36"/>
      <c r="AGP36" s="36"/>
      <c r="AGQ36" s="36"/>
      <c r="AGR36" s="36"/>
      <c r="AGS36" s="36"/>
      <c r="AGT36" s="36"/>
      <c r="AGU36" s="36"/>
      <c r="AGV36" s="36"/>
      <c r="AGW36" s="36"/>
      <c r="AGX36" s="36"/>
      <c r="AGY36" s="36"/>
      <c r="AGZ36" s="36"/>
      <c r="AHA36" s="36"/>
      <c r="AHB36" s="36"/>
      <c r="AHC36" s="36"/>
      <c r="AHD36" s="36"/>
      <c r="AHE36" s="36"/>
      <c r="AHF36" s="36"/>
      <c r="AHG36" s="36"/>
      <c r="AHH36" s="36"/>
      <c r="AHI36" s="36"/>
      <c r="AHJ36" s="36"/>
      <c r="AHK36" s="36"/>
      <c r="AHL36" s="36"/>
      <c r="AHM36" s="36"/>
      <c r="AHN36" s="36"/>
      <c r="AHO36" s="36"/>
      <c r="AHP36" s="36"/>
      <c r="AHQ36" s="36"/>
      <c r="AHR36" s="36"/>
      <c r="AHS36" s="36"/>
      <c r="AHT36" s="36"/>
      <c r="AHU36" s="36"/>
      <c r="AHV36" s="36"/>
      <c r="AHW36" s="36"/>
      <c r="AHX36" s="36"/>
      <c r="AHY36" s="36"/>
      <c r="AHZ36" s="36"/>
      <c r="AIA36" s="36"/>
      <c r="AIB36" s="36"/>
      <c r="AIC36" s="36"/>
      <c r="AID36" s="36"/>
      <c r="AIE36" s="36"/>
      <c r="AIF36" s="36"/>
      <c r="AIG36" s="36"/>
      <c r="AIH36" s="36"/>
      <c r="AII36" s="36"/>
      <c r="AIJ36" s="36"/>
      <c r="AIK36" s="36"/>
      <c r="AIL36" s="36"/>
      <c r="AIM36" s="36"/>
      <c r="AIN36" s="36"/>
      <c r="AIO36" s="36"/>
      <c r="AIP36" s="36"/>
      <c r="AIQ36" s="36"/>
      <c r="AIR36" s="36"/>
      <c r="AIS36" s="36"/>
      <c r="AIT36" s="36"/>
      <c r="AIU36" s="36"/>
      <c r="AIV36" s="36"/>
      <c r="AIW36" s="36"/>
      <c r="AIX36" s="36"/>
      <c r="AIY36" s="36"/>
      <c r="AIZ36" s="36"/>
      <c r="AJA36" s="36"/>
      <c r="AJB36" s="36"/>
      <c r="AJC36" s="36"/>
      <c r="AJD36" s="36"/>
      <c r="AJE36" s="36"/>
      <c r="AJF36" s="36"/>
      <c r="AJG36" s="36"/>
      <c r="AJH36" s="36"/>
      <c r="AJI36" s="36"/>
      <c r="AJJ36" s="36"/>
      <c r="AJK36" s="36"/>
      <c r="AJL36" s="36"/>
      <c r="AJM36" s="36"/>
      <c r="AJN36" s="36"/>
      <c r="AJO36" s="36"/>
      <c r="AJP36" s="36"/>
      <c r="AJQ36" s="36"/>
      <c r="AJR36" s="36"/>
      <c r="AJS36" s="36"/>
      <c r="AJT36" s="36"/>
      <c r="AJU36" s="36"/>
      <c r="AJV36" s="36"/>
      <c r="AJW36" s="36"/>
      <c r="AJX36" s="36"/>
      <c r="AJY36" s="36"/>
      <c r="AJZ36" s="36"/>
      <c r="AKA36" s="36"/>
      <c r="AKB36" s="36"/>
      <c r="AKC36" s="36"/>
      <c r="AKD36" s="36"/>
      <c r="AKE36" s="36"/>
      <c r="AKF36" s="36"/>
      <c r="AKG36" s="36"/>
      <c r="AKH36" s="36"/>
      <c r="AKI36" s="36"/>
      <c r="AKJ36" s="36"/>
      <c r="AKK36" s="36"/>
      <c r="AKL36" s="36"/>
      <c r="AKM36" s="36"/>
      <c r="AKN36" s="36"/>
      <c r="AKO36" s="36"/>
      <c r="AKP36" s="36"/>
      <c r="AKQ36" s="36"/>
      <c r="AKR36" s="36"/>
      <c r="AKS36" s="36"/>
      <c r="AKT36" s="36"/>
      <c r="AKU36" s="36"/>
      <c r="AKV36" s="36"/>
      <c r="AKW36" s="36"/>
      <c r="AKX36" s="36"/>
      <c r="AKY36" s="36"/>
      <c r="AKZ36" s="36"/>
      <c r="ALA36" s="36"/>
      <c r="ALB36" s="36"/>
      <c r="ALC36" s="36"/>
      <c r="ALD36" s="36"/>
      <c r="ALE36" s="36"/>
      <c r="ALF36" s="36"/>
      <c r="ALG36" s="36"/>
      <c r="ALH36" s="36"/>
      <c r="ALI36" s="36"/>
      <c r="ALJ36" s="36"/>
      <c r="ALK36" s="36"/>
      <c r="ALL36" s="36"/>
    </row>
    <row r="37" spans="1:1000" ht="15" x14ac:dyDescent="0.25">
      <c r="A37" t="str">
        <f ca="1">IF(_xll.TM1RPTELISCONSOLIDATED($B$25,$B37),IF(_xll.TM1RPTELLEV($B$25,$B37)&lt;=3,_xll.TM1RPTELLEV($B$25,$B37),"D"),"N")</f>
        <v>N</v>
      </c>
      <c r="B37" s="42" t="s">
        <v>27</v>
      </c>
      <c r="C37" s="22" t="str">
        <f ca="1">_xll.DBRW($B$9,$C$19,$C$20,$B37,$C$22,$C$21,C$24)</f>
        <v>*KEY_ERR</v>
      </c>
      <c r="D37" s="37" t="str">
        <f ca="1">_xll.DBRW($B$9,$C$19,$C$20,$B37,$C$22,$C$21,D$24)</f>
        <v>*KEY_ERR</v>
      </c>
      <c r="E37" s="36" t="s">
        <v>74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/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/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SX37" s="36"/>
      <c r="SY37" s="36"/>
      <c r="SZ37" s="36"/>
      <c r="TA37" s="36"/>
      <c r="TB37" s="36"/>
      <c r="TC37" s="36"/>
      <c r="TD37" s="36"/>
      <c r="TE37" s="36"/>
      <c r="TF37" s="36"/>
      <c r="TG37" s="36"/>
      <c r="TH37" s="36"/>
      <c r="TI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/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/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T37" s="36"/>
      <c r="ACU37" s="36"/>
      <c r="ACV37" s="36"/>
      <c r="ACW37" s="36"/>
      <c r="ACX37" s="36"/>
      <c r="ACY37" s="36"/>
      <c r="ACZ37" s="36"/>
      <c r="ADA37" s="36"/>
      <c r="ADB37" s="36"/>
      <c r="ADC37" s="36"/>
      <c r="ADD37" s="36"/>
      <c r="ADE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36"/>
      <c r="AEK37" s="36"/>
      <c r="AEL37" s="36"/>
      <c r="AEM37" s="36"/>
      <c r="AEN37" s="36"/>
      <c r="AEO37" s="36"/>
      <c r="AEP37" s="36"/>
      <c r="AEQ37" s="36"/>
      <c r="AER37" s="36"/>
      <c r="AES37" s="36"/>
      <c r="AET37" s="36"/>
      <c r="AEU37" s="36"/>
      <c r="AEV37" s="36"/>
      <c r="AEW37" s="36"/>
      <c r="AEX37" s="36"/>
      <c r="AEY37" s="36"/>
      <c r="AEZ37" s="36"/>
      <c r="AFA37" s="36"/>
      <c r="AFB37" s="36"/>
      <c r="AFC37" s="36"/>
      <c r="AFD37" s="36"/>
      <c r="AFE37" s="36"/>
      <c r="AFF37" s="36"/>
      <c r="AFG37" s="36"/>
      <c r="AFH37" s="36"/>
      <c r="AFI37" s="36"/>
      <c r="AFJ37" s="36"/>
      <c r="AFK37" s="36"/>
      <c r="AFL37" s="36"/>
      <c r="AFM37" s="36"/>
      <c r="AFN37" s="36"/>
      <c r="AFO37" s="36"/>
      <c r="AFP37" s="36"/>
      <c r="AFQ37" s="36"/>
      <c r="AFR37" s="36"/>
      <c r="AFS37" s="36"/>
      <c r="AFT37" s="36"/>
      <c r="AFU37" s="36"/>
      <c r="AFV37" s="36"/>
      <c r="AFW37" s="36"/>
      <c r="AFX37" s="36"/>
      <c r="AFY37" s="36"/>
      <c r="AFZ37" s="36"/>
      <c r="AGA37" s="36"/>
      <c r="AGB37" s="36"/>
      <c r="AGC37" s="36"/>
      <c r="AGD37" s="36"/>
      <c r="AGE37" s="36"/>
      <c r="AGF37" s="36"/>
      <c r="AGG37" s="36"/>
      <c r="AGH37" s="36"/>
      <c r="AGI37" s="36"/>
      <c r="AGJ37" s="36"/>
      <c r="AGK37" s="36"/>
      <c r="AGL37" s="36"/>
      <c r="AGM37" s="36"/>
      <c r="AGN37" s="36"/>
      <c r="AGO37" s="36"/>
      <c r="AGP37" s="36"/>
      <c r="AGQ37" s="36"/>
      <c r="AGR37" s="36"/>
      <c r="AGS37" s="36"/>
      <c r="AGT37" s="36"/>
      <c r="AGU37" s="36"/>
      <c r="AGV37" s="36"/>
      <c r="AGW37" s="36"/>
      <c r="AGX37" s="36"/>
      <c r="AGY37" s="36"/>
      <c r="AGZ37" s="36"/>
      <c r="AHA37" s="36"/>
      <c r="AHB37" s="36"/>
      <c r="AHC37" s="36"/>
      <c r="AHD37" s="36"/>
      <c r="AHE37" s="36"/>
      <c r="AHF37" s="36"/>
      <c r="AHG37" s="36"/>
      <c r="AHH37" s="36"/>
      <c r="AHI37" s="36"/>
      <c r="AHJ37" s="36"/>
      <c r="AHK37" s="36"/>
      <c r="AHL37" s="36"/>
      <c r="AHM37" s="36"/>
      <c r="AHN37" s="36"/>
      <c r="AHO37" s="36"/>
      <c r="AHP37" s="36"/>
      <c r="AHQ37" s="36"/>
      <c r="AHR37" s="36"/>
      <c r="AHS37" s="36"/>
      <c r="AHT37" s="36"/>
      <c r="AHU37" s="36"/>
      <c r="AHV37" s="36"/>
      <c r="AHW37" s="36"/>
      <c r="AHX37" s="36"/>
      <c r="AHY37" s="36"/>
      <c r="AHZ37" s="36"/>
      <c r="AIA37" s="36"/>
      <c r="AIB37" s="36"/>
      <c r="AIC37" s="36"/>
      <c r="AID37" s="36"/>
      <c r="AIE37" s="36"/>
      <c r="AIF37" s="36"/>
      <c r="AIG37" s="36"/>
      <c r="AIH37" s="36"/>
      <c r="AII37" s="36"/>
      <c r="AIJ37" s="36"/>
      <c r="AIK37" s="36"/>
      <c r="AIL37" s="36"/>
      <c r="AIM37" s="36"/>
      <c r="AIN37" s="36"/>
      <c r="AIO37" s="36"/>
      <c r="AIP37" s="36"/>
      <c r="AIQ37" s="36"/>
      <c r="AIR37" s="36"/>
      <c r="AIS37" s="36"/>
      <c r="AIT37" s="36"/>
      <c r="AIU37" s="36"/>
      <c r="AIV37" s="36"/>
      <c r="AIW37" s="36"/>
      <c r="AIX37" s="36"/>
      <c r="AIY37" s="36"/>
      <c r="AIZ37" s="36"/>
      <c r="AJA37" s="36"/>
      <c r="AJB37" s="36"/>
      <c r="AJC37" s="36"/>
      <c r="AJD37" s="36"/>
      <c r="AJE37" s="36"/>
      <c r="AJF37" s="36"/>
      <c r="AJG37" s="36"/>
      <c r="AJH37" s="36"/>
      <c r="AJI37" s="36"/>
      <c r="AJJ37" s="36"/>
      <c r="AJK37" s="36"/>
      <c r="AJL37" s="36"/>
      <c r="AJM37" s="36"/>
      <c r="AJN37" s="36"/>
      <c r="AJO37" s="36"/>
      <c r="AJP37" s="36"/>
      <c r="AJQ37" s="36"/>
      <c r="AJR37" s="36"/>
      <c r="AJS37" s="36"/>
      <c r="AJT37" s="36"/>
      <c r="AJU37" s="36"/>
      <c r="AJV37" s="36"/>
      <c r="AJW37" s="36"/>
      <c r="AJX37" s="36"/>
      <c r="AJY37" s="36"/>
      <c r="AJZ37" s="36"/>
      <c r="AKA37" s="36"/>
      <c r="AKB37" s="36"/>
      <c r="AKC37" s="36"/>
      <c r="AKD37" s="36"/>
      <c r="AKE37" s="36"/>
      <c r="AKF37" s="36"/>
      <c r="AKG37" s="36"/>
      <c r="AKH37" s="36"/>
      <c r="AKI37" s="36"/>
      <c r="AKJ37" s="36"/>
      <c r="AKK37" s="36"/>
      <c r="AKL37" s="36"/>
      <c r="AKM37" s="36"/>
      <c r="AKN37" s="36"/>
      <c r="AKO37" s="36"/>
      <c r="AKP37" s="36"/>
      <c r="AKQ37" s="36"/>
      <c r="AKR37" s="36"/>
      <c r="AKS37" s="36"/>
      <c r="AKT37" s="36"/>
      <c r="AKU37" s="36"/>
      <c r="AKV37" s="36"/>
      <c r="AKW37" s="36"/>
      <c r="AKX37" s="36"/>
      <c r="AKY37" s="36"/>
      <c r="AKZ37" s="36"/>
      <c r="ALA37" s="36"/>
      <c r="ALB37" s="36"/>
      <c r="ALC37" s="36"/>
      <c r="ALD37" s="36"/>
      <c r="ALE37" s="36"/>
      <c r="ALF37" s="36"/>
      <c r="ALG37" s="36"/>
      <c r="ALH37" s="36"/>
      <c r="ALI37" s="36"/>
      <c r="ALJ37" s="36"/>
      <c r="ALK37" s="36"/>
      <c r="ALL37" s="36"/>
    </row>
    <row r="38" spans="1:1000" hidden="1" x14ac:dyDescent="0.2">
      <c r="E38" s="30" t="s">
        <v>74</v>
      </c>
    </row>
    <row r="39" spans="1:1000" hidden="1" x14ac:dyDescent="0.2">
      <c r="E39" s="30" t="s">
        <v>74</v>
      </c>
    </row>
    <row r="40" spans="1:1000" hidden="1" x14ac:dyDescent="0.2">
      <c r="E40" s="30" t="s">
        <v>74</v>
      </c>
    </row>
    <row r="41" spans="1:1000" hidden="1" x14ac:dyDescent="0.2">
      <c r="E41" s="30" t="s">
        <v>74</v>
      </c>
    </row>
    <row r="42" spans="1:1000" hidden="1" x14ac:dyDescent="0.2">
      <c r="E42" s="30" t="s">
        <v>74</v>
      </c>
    </row>
    <row r="43" spans="1:1000" hidden="1" x14ac:dyDescent="0.2">
      <c r="E43" s="30" t="s">
        <v>74</v>
      </c>
    </row>
    <row r="44" spans="1:1000" hidden="1" x14ac:dyDescent="0.2">
      <c r="E44" s="30" t="s">
        <v>74</v>
      </c>
    </row>
    <row r="45" spans="1:1000" hidden="1" x14ac:dyDescent="0.2">
      <c r="E45" s="30" t="s">
        <v>74</v>
      </c>
    </row>
    <row r="46" spans="1:1000" hidden="1" x14ac:dyDescent="0.2">
      <c r="E46" s="30" t="s">
        <v>74</v>
      </c>
    </row>
    <row r="47" spans="1:1000" hidden="1" x14ac:dyDescent="0.2">
      <c r="E47" s="30" t="s">
        <v>74</v>
      </c>
    </row>
    <row r="48" spans="1:1000" hidden="1" x14ac:dyDescent="0.2">
      <c r="E48" s="30" t="s">
        <v>74</v>
      </c>
    </row>
    <row r="49" spans="5:5" hidden="1" x14ac:dyDescent="0.2">
      <c r="E49" s="30" t="s">
        <v>74</v>
      </c>
    </row>
    <row r="50" spans="5:5" hidden="1" x14ac:dyDescent="0.2">
      <c r="E50" s="30" t="s">
        <v>74</v>
      </c>
    </row>
    <row r="51" spans="5:5" hidden="1" x14ac:dyDescent="0.2">
      <c r="E51" s="30" t="s">
        <v>74</v>
      </c>
    </row>
    <row r="52" spans="5:5" hidden="1" x14ac:dyDescent="0.2">
      <c r="E52" s="30" t="s">
        <v>74</v>
      </c>
    </row>
    <row r="53" spans="5:5" hidden="1" x14ac:dyDescent="0.2">
      <c r="E53" s="30" t="s">
        <v>74</v>
      </c>
    </row>
    <row r="54" spans="5:5" hidden="1" x14ac:dyDescent="0.2">
      <c r="E54" s="30" t="s">
        <v>74</v>
      </c>
    </row>
    <row r="55" spans="5:5" hidden="1" x14ac:dyDescent="0.2">
      <c r="E55" s="30" t="s">
        <v>74</v>
      </c>
    </row>
    <row r="56" spans="5:5" hidden="1" x14ac:dyDescent="0.2">
      <c r="E56" s="30" t="s">
        <v>74</v>
      </c>
    </row>
    <row r="57" spans="5:5" hidden="1" x14ac:dyDescent="0.2">
      <c r="E57" s="30" t="s">
        <v>74</v>
      </c>
    </row>
    <row r="58" spans="5:5" hidden="1" x14ac:dyDescent="0.2">
      <c r="E58" s="30" t="s">
        <v>74</v>
      </c>
    </row>
    <row r="59" spans="5:5" hidden="1" x14ac:dyDescent="0.2">
      <c r="E59" s="30" t="s">
        <v>74</v>
      </c>
    </row>
    <row r="60" spans="5:5" hidden="1" x14ac:dyDescent="0.2">
      <c r="E60" s="30" t="s">
        <v>74</v>
      </c>
    </row>
    <row r="61" spans="5:5" hidden="1" x14ac:dyDescent="0.2">
      <c r="E61" s="30" t="s">
        <v>74</v>
      </c>
    </row>
    <row r="62" spans="5:5" hidden="1" x14ac:dyDescent="0.2">
      <c r="E62" s="30" t="s">
        <v>74</v>
      </c>
    </row>
    <row r="63" spans="5:5" hidden="1" x14ac:dyDescent="0.2">
      <c r="E63" s="30" t="s">
        <v>74</v>
      </c>
    </row>
    <row r="64" spans="5:5" hidden="1" x14ac:dyDescent="0.2">
      <c r="E64" s="30" t="s">
        <v>74</v>
      </c>
    </row>
    <row r="65" spans="5:5" hidden="1" x14ac:dyDescent="0.2">
      <c r="E65" s="30" t="s">
        <v>74</v>
      </c>
    </row>
    <row r="66" spans="5:5" hidden="1" x14ac:dyDescent="0.2">
      <c r="E66" s="30" t="s">
        <v>74</v>
      </c>
    </row>
    <row r="67" spans="5:5" hidden="1" x14ac:dyDescent="0.2">
      <c r="E67" s="30" t="s">
        <v>74</v>
      </c>
    </row>
    <row r="68" spans="5:5" hidden="1" x14ac:dyDescent="0.2">
      <c r="E68" s="30" t="s">
        <v>74</v>
      </c>
    </row>
    <row r="69" spans="5:5" hidden="1" x14ac:dyDescent="0.2">
      <c r="E69" s="30" t="s">
        <v>74</v>
      </c>
    </row>
    <row r="70" spans="5:5" hidden="1" x14ac:dyDescent="0.2">
      <c r="E70" s="30" t="s">
        <v>74</v>
      </c>
    </row>
    <row r="71" spans="5:5" hidden="1" x14ac:dyDescent="0.2">
      <c r="E71" s="30" t="s">
        <v>74</v>
      </c>
    </row>
    <row r="72" spans="5:5" hidden="1" x14ac:dyDescent="0.2">
      <c r="E72" s="30" t="s">
        <v>74</v>
      </c>
    </row>
    <row r="73" spans="5:5" hidden="1" x14ac:dyDescent="0.2">
      <c r="E73" s="30" t="s">
        <v>74</v>
      </c>
    </row>
    <row r="74" spans="5:5" hidden="1" x14ac:dyDescent="0.2">
      <c r="E74" s="30" t="s">
        <v>74</v>
      </c>
    </row>
    <row r="75" spans="5:5" hidden="1" x14ac:dyDescent="0.2">
      <c r="E75" s="30" t="s">
        <v>74</v>
      </c>
    </row>
    <row r="76" spans="5:5" hidden="1" x14ac:dyDescent="0.2">
      <c r="E76" s="30" t="s">
        <v>74</v>
      </c>
    </row>
    <row r="77" spans="5:5" hidden="1" x14ac:dyDescent="0.2">
      <c r="E77" s="30" t="s">
        <v>74</v>
      </c>
    </row>
    <row r="78" spans="5:5" hidden="1" x14ac:dyDescent="0.2">
      <c r="E78" s="30" t="s">
        <v>74</v>
      </c>
    </row>
    <row r="79" spans="5:5" hidden="1" x14ac:dyDescent="0.2">
      <c r="E79" s="30" t="s">
        <v>74</v>
      </c>
    </row>
    <row r="80" spans="5:5" hidden="1" x14ac:dyDescent="0.2">
      <c r="E80" s="30" t="s">
        <v>74</v>
      </c>
    </row>
    <row r="81" spans="2:5" hidden="1" x14ac:dyDescent="0.2">
      <c r="E81" s="30" t="s">
        <v>74</v>
      </c>
    </row>
    <row r="82" spans="2:5" hidden="1" x14ac:dyDescent="0.2">
      <c r="E82" s="30" t="s">
        <v>74</v>
      </c>
    </row>
    <row r="83" spans="2:5" x14ac:dyDescent="0.2">
      <c r="B83" s="28"/>
      <c r="C83" s="27"/>
      <c r="D83" s="27"/>
      <c r="E83" s="30"/>
    </row>
    <row r="84" spans="2:5" x14ac:dyDescent="0.2">
      <c r="E84" s="30" t="s">
        <v>74</v>
      </c>
    </row>
    <row r="85" spans="2:5" x14ac:dyDescent="0.2">
      <c r="E85" s="30" t="s">
        <v>74</v>
      </c>
    </row>
    <row r="86" spans="2:5" x14ac:dyDescent="0.2">
      <c r="E86" s="30" t="s">
        <v>74</v>
      </c>
    </row>
    <row r="87" spans="2:5" x14ac:dyDescent="0.2">
      <c r="E87" s="30" t="s">
        <v>74</v>
      </c>
    </row>
    <row r="88" spans="2:5" x14ac:dyDescent="0.2">
      <c r="E88" s="30" t="s">
        <v>74</v>
      </c>
    </row>
    <row r="89" spans="2:5" x14ac:dyDescent="0.2">
      <c r="E89" s="30" t="s">
        <v>74</v>
      </c>
    </row>
    <row r="90" spans="2:5" x14ac:dyDescent="0.2">
      <c r="E90" s="30" t="s">
        <v>74</v>
      </c>
    </row>
    <row r="91" spans="2:5" x14ac:dyDescent="0.2">
      <c r="E91" s="30" t="s">
        <v>74</v>
      </c>
    </row>
    <row r="92" spans="2:5" x14ac:dyDescent="0.2">
      <c r="E92" s="30" t="s">
        <v>74</v>
      </c>
    </row>
    <row r="93" spans="2:5" x14ac:dyDescent="0.2">
      <c r="E93" s="30" t="s">
        <v>74</v>
      </c>
    </row>
    <row r="94" spans="2:5" x14ac:dyDescent="0.2">
      <c r="E94" s="30" t="s">
        <v>74</v>
      </c>
    </row>
    <row r="95" spans="2:5" x14ac:dyDescent="0.2">
      <c r="E95" s="30" t="s">
        <v>74</v>
      </c>
    </row>
    <row r="96" spans="2:5" x14ac:dyDescent="0.2">
      <c r="E96" s="30" t="s">
        <v>74</v>
      </c>
    </row>
    <row r="97" spans="5:5" x14ac:dyDescent="0.2">
      <c r="E97" s="30" t="s">
        <v>74</v>
      </c>
    </row>
    <row r="98" spans="5:5" x14ac:dyDescent="0.2">
      <c r="E98" s="30" t="s">
        <v>74</v>
      </c>
    </row>
    <row r="99" spans="5:5" x14ac:dyDescent="0.2">
      <c r="E99" s="30" t="s">
        <v>74</v>
      </c>
    </row>
    <row r="100" spans="5:5" x14ac:dyDescent="0.2">
      <c r="E100" s="30" t="s">
        <v>74</v>
      </c>
    </row>
    <row r="101" spans="5:5" x14ac:dyDescent="0.2">
      <c r="E101" s="30" t="s">
        <v>74</v>
      </c>
    </row>
    <row r="102" spans="5:5" x14ac:dyDescent="0.2">
      <c r="E102" s="30" t="s">
        <v>74</v>
      </c>
    </row>
    <row r="103" spans="5:5" x14ac:dyDescent="0.2">
      <c r="E103" s="30" t="s">
        <v>74</v>
      </c>
    </row>
    <row r="104" spans="5:5" x14ac:dyDescent="0.2">
      <c r="E104" s="30" t="s">
        <v>74</v>
      </c>
    </row>
    <row r="105" spans="5:5" x14ac:dyDescent="0.2"/>
    <row r="106" spans="5:5" x14ac:dyDescent="0.2"/>
    <row r="107" spans="5:5" x14ac:dyDescent="0.2"/>
    <row r="108" spans="5:5" x14ac:dyDescent="0.2"/>
    <row r="109" spans="5:5" x14ac:dyDescent="0.2"/>
    <row r="110" spans="5:5" x14ac:dyDescent="0.2"/>
    <row r="111" spans="5:5" x14ac:dyDescent="0.2"/>
    <row r="112" spans="5:5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41" r:id="rId3" name="TIButton1">
          <controlPr defaultSize="0" print="0" autoLine="0" autoPict="0" r:id="rId4">
            <anchor moveWithCells="1">
              <from>
                <xdr:col>4</xdr:col>
                <xdr:colOff>38100</xdr:colOff>
                <xdr:row>18</xdr:row>
                <xdr:rowOff>66675</xdr:rowOff>
              </from>
              <to>
                <xdr:col>5</xdr:col>
                <xdr:colOff>752475</xdr:colOff>
                <xdr:row>20</xdr:row>
                <xdr:rowOff>9525</xdr:rowOff>
              </to>
            </anchor>
          </controlPr>
        </control>
      </mc:Choice>
      <mc:Fallback>
        <control shapeId="10241" r:id="rId3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L296"/>
  <sheetViews>
    <sheetView topLeftCell="B10" workbookViewId="0">
      <selection activeCell="C19" sqref="C19"/>
    </sheetView>
  </sheetViews>
  <sheetFormatPr defaultColWidth="0" defaultRowHeight="12.75" zeroHeight="1" x14ac:dyDescent="0.2"/>
  <cols>
    <col min="1" max="1" width="19.28515625" hidden="1" customWidth="1"/>
    <col min="2" max="2" width="60" customWidth="1"/>
    <col min="3" max="3" width="21.140625" customWidth="1"/>
    <col min="4" max="4" width="19.5703125" customWidth="1"/>
    <col min="5" max="12" width="11.42578125" customWidth="1"/>
    <col min="13" max="16384" width="11.42578125" hidden="1"/>
  </cols>
  <sheetData>
    <row r="1" spans="1:12" ht="36" hidden="1" customHeight="1" x14ac:dyDescent="0.2">
      <c r="A1" t="s">
        <v>11</v>
      </c>
    </row>
    <row r="2" spans="1:12" ht="37.5" hidden="1" customHeight="1" x14ac:dyDescent="0.2">
      <c r="A2">
        <f>0</f>
        <v>0</v>
      </c>
      <c r="B2" s="18"/>
      <c r="C2" s="20"/>
      <c r="D2" s="20"/>
    </row>
    <row r="3" spans="1:12" ht="14.25" hidden="1" customHeight="1" x14ac:dyDescent="0.2">
      <c r="A3">
        <f>1</f>
        <v>1</v>
      </c>
      <c r="B3" s="19"/>
      <c r="C3" s="21"/>
      <c r="D3" s="21"/>
    </row>
    <row r="4" spans="1:12" ht="22.5" hidden="1" customHeight="1" x14ac:dyDescent="0.2">
      <c r="A4">
        <f>2</f>
        <v>2</v>
      </c>
      <c r="B4" s="19"/>
      <c r="C4" s="21"/>
      <c r="D4" s="21"/>
    </row>
    <row r="5" spans="1:12" ht="21.75" hidden="1" customHeight="1" x14ac:dyDescent="0.2">
      <c r="A5">
        <f>3</f>
        <v>3</v>
      </c>
      <c r="B5" s="19"/>
      <c r="C5" s="21"/>
      <c r="D5" s="21"/>
    </row>
    <row r="6" spans="1:12" ht="23.25" hidden="1" customHeight="1" x14ac:dyDescent="0.2">
      <c r="A6" t="s">
        <v>10</v>
      </c>
      <c r="B6" s="19"/>
      <c r="C6" s="21"/>
      <c r="D6" s="21"/>
    </row>
    <row r="7" spans="1:12" ht="40.5" hidden="1" customHeight="1" x14ac:dyDescent="0.2">
      <c r="A7" t="s">
        <v>3</v>
      </c>
      <c r="C7" s="22"/>
    </row>
    <row r="8" spans="1:12" ht="53.25" hidden="1" customHeight="1" x14ac:dyDescent="0.2">
      <c r="A8" t="s">
        <v>12</v>
      </c>
    </row>
    <row r="9" spans="1:12" ht="43.5" hidden="1" customHeight="1" x14ac:dyDescent="0.2">
      <c r="B9" t="str">
        <f ca="1">_xll.TM1RPTVIEW("CXMD:FTM_DATA_SPLIT_MARGIN:ARPT2", 0, _xll.TM1RPTTITLE("CXMD:DIM_Origin_Company",$C$19), _xll.TM1RPTTITLE("CXMD:Actuality",$C$20), _xll.TM1RPTTITLE("CXMD:Month",$C$21), _xll.TM1RPTTITLE("CXMD:DIM_Configuration",$C$22),TM1RPTFMTRNG,TM1RPTFMTIDCOL)</f>
        <v>CXMD:FTM_DATA_SPLIT_MARGIN:ARPT2</v>
      </c>
    </row>
    <row r="10" spans="1:12" x14ac:dyDescent="0.2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idden="1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idden="1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8.5" x14ac:dyDescent="0.45">
      <c r="B16" s="3"/>
      <c r="C16" s="29" t="s">
        <v>69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5.0999999999999996" customHeight="1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5.0999999999999996" customHeight="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5" x14ac:dyDescent="0.25">
      <c r="B19" s="7" t="s">
        <v>5</v>
      </c>
      <c r="C19" s="15" t="str">
        <f ca="1">parm_origin_company</f>
        <v>SILVA</v>
      </c>
      <c r="D19" s="8"/>
      <c r="E19" s="8"/>
      <c r="F19" s="8"/>
      <c r="G19" s="8"/>
      <c r="H19" s="8"/>
      <c r="I19" s="8"/>
      <c r="J19" s="8"/>
      <c r="K19" s="8"/>
      <c r="L19" s="9"/>
    </row>
    <row r="20" spans="1:12" ht="15" x14ac:dyDescent="0.25">
      <c r="B20" s="10" t="s">
        <v>0</v>
      </c>
      <c r="C20" s="16" t="str">
        <f ca="1">parm_actuality_split</f>
        <v>BU2018draft</v>
      </c>
      <c r="D20" s="6"/>
      <c r="E20" s="6"/>
      <c r="F20" s="6"/>
      <c r="G20" s="39" t="str">
        <f ca="1">CONCATENATE(_xll.DBRA("CXMD:DIM_Origin_Company",C19,"Company"),"_SALES")</f>
        <v>_SALES</v>
      </c>
      <c r="H20" s="6"/>
      <c r="I20" s="6"/>
      <c r="J20" s="6"/>
      <c r="K20" s="6"/>
      <c r="L20" s="11"/>
    </row>
    <row r="21" spans="1:12" ht="15" x14ac:dyDescent="0.25">
      <c r="B21" s="10" t="s">
        <v>6</v>
      </c>
      <c r="C21" s="16" t="str">
        <f ca="1">_xll.SUBNM("CXMD:Month","Par défaut","Calendar Year","Description EN")</f>
        <v>Calendar Year</v>
      </c>
      <c r="D21" s="6"/>
      <c r="E21" s="6"/>
      <c r="F21" s="6"/>
      <c r="G21" s="6"/>
      <c r="H21" s="6"/>
      <c r="I21" s="6"/>
      <c r="J21" s="6"/>
      <c r="K21" s="6"/>
      <c r="L21" s="11"/>
    </row>
    <row r="22" spans="1:12" ht="15" x14ac:dyDescent="0.25">
      <c r="B22" s="10" t="s">
        <v>7</v>
      </c>
      <c r="C22" s="16" t="str">
        <f ca="1">parm_config</f>
        <v>TOTAL PRODUCT</v>
      </c>
      <c r="D22" s="6"/>
      <c r="E22" s="32" t="s">
        <v>77</v>
      </c>
      <c r="F22" s="6"/>
      <c r="G22" s="6"/>
      <c r="H22" s="6"/>
      <c r="I22" s="6"/>
      <c r="J22" s="6"/>
      <c r="K22" s="6"/>
      <c r="L22" s="11"/>
    </row>
    <row r="23" spans="1:12" ht="15" x14ac:dyDescent="0.25">
      <c r="B23" s="12"/>
      <c r="C23" s="17"/>
      <c r="D23" s="13"/>
      <c r="E23" s="13"/>
      <c r="F23" s="13"/>
      <c r="G23" s="13"/>
      <c r="H23" s="13"/>
      <c r="I23" s="13"/>
      <c r="J23" s="13"/>
      <c r="K23" s="13"/>
      <c r="L23" s="14"/>
    </row>
    <row r="24" spans="1:12" ht="15" x14ac:dyDescent="0.25">
      <c r="C24" s="23" t="s">
        <v>8</v>
      </c>
      <c r="D24" s="23" t="s">
        <v>63</v>
      </c>
      <c r="E24" s="31" t="s">
        <v>72</v>
      </c>
    </row>
    <row r="25" spans="1:12" x14ac:dyDescent="0.2">
      <c r="A25" t="str">
        <f ca="1">IF(_xll.TM1RPTELISCONSOLIDATED($B$25,$B25),IF(_xll.TM1RPTELLEV($B$25,$B25)&lt;=3,_xll.TM1RPTELLEV($B$25,$B25),"D"),"N")</f>
        <v>N</v>
      </c>
      <c r="B25" s="38" t="str">
        <f ca="1">_xll.TM1RPTROW($B$9,"CXMD:DIM_Allocation",,$G$20,"Allocation EN",0)</f>
        <v/>
      </c>
      <c r="C25" s="20" t="str">
        <f ca="1">_xll.DBRW($B$9,$C$19,$C$20,$C$21,$C$22,$B25,C$24)</f>
        <v/>
      </c>
      <c r="D25" s="20" t="str">
        <f ca="1">_xll.DBRW($B$9,$C$19,$C$20,$C$21,$C$22,$B25,D$24)</f>
        <v/>
      </c>
      <c r="E25" s="30" t="s">
        <v>74</v>
      </c>
    </row>
    <row r="26" spans="1:12" x14ac:dyDescent="0.2">
      <c r="E26" s="30" t="s">
        <v>74</v>
      </c>
    </row>
    <row r="27" spans="1:12" x14ac:dyDescent="0.2">
      <c r="E27" s="30" t="s">
        <v>74</v>
      </c>
    </row>
    <row r="28" spans="1:12" x14ac:dyDescent="0.2">
      <c r="E28" s="30" t="s">
        <v>74</v>
      </c>
    </row>
    <row r="29" spans="1:12" x14ac:dyDescent="0.2">
      <c r="E29" s="30" t="s">
        <v>74</v>
      </c>
    </row>
    <row r="30" spans="1:12" x14ac:dyDescent="0.2">
      <c r="E30" s="30" t="s">
        <v>74</v>
      </c>
    </row>
    <row r="31" spans="1:12" x14ac:dyDescent="0.2">
      <c r="E31" s="30" t="s">
        <v>74</v>
      </c>
    </row>
    <row r="32" spans="1:12" x14ac:dyDescent="0.2">
      <c r="E32" s="30" t="s">
        <v>74</v>
      </c>
    </row>
    <row r="33" spans="5:5" x14ac:dyDescent="0.2">
      <c r="E33" s="30" t="s">
        <v>74</v>
      </c>
    </row>
    <row r="34" spans="5:5" x14ac:dyDescent="0.2">
      <c r="E34" s="30" t="s">
        <v>74</v>
      </c>
    </row>
    <row r="35" spans="5:5" x14ac:dyDescent="0.2">
      <c r="E35" s="30" t="s">
        <v>74</v>
      </c>
    </row>
    <row r="36" spans="5:5" x14ac:dyDescent="0.2">
      <c r="E36" s="30" t="s">
        <v>74</v>
      </c>
    </row>
    <row r="37" spans="5:5" x14ac:dyDescent="0.2">
      <c r="E37" s="30" t="s">
        <v>74</v>
      </c>
    </row>
    <row r="38" spans="5:5" x14ac:dyDescent="0.2">
      <c r="E38" s="30" t="s">
        <v>74</v>
      </c>
    </row>
    <row r="39" spans="5:5" x14ac:dyDescent="0.2">
      <c r="E39" s="30" t="s">
        <v>74</v>
      </c>
    </row>
    <row r="40" spans="5:5" x14ac:dyDescent="0.2">
      <c r="E40" s="30" t="s">
        <v>74</v>
      </c>
    </row>
    <row r="41" spans="5:5" x14ac:dyDescent="0.2">
      <c r="E41" s="30" t="s">
        <v>74</v>
      </c>
    </row>
    <row r="42" spans="5:5" x14ac:dyDescent="0.2">
      <c r="E42" s="30" t="s">
        <v>74</v>
      </c>
    </row>
    <row r="43" spans="5:5" x14ac:dyDescent="0.2">
      <c r="E43" s="30" t="s">
        <v>74</v>
      </c>
    </row>
    <row r="44" spans="5:5" x14ac:dyDescent="0.2">
      <c r="E44" s="30" t="s">
        <v>74</v>
      </c>
    </row>
    <row r="45" spans="5:5" x14ac:dyDescent="0.2">
      <c r="E45" s="30" t="s">
        <v>74</v>
      </c>
    </row>
    <row r="46" spans="5:5" x14ac:dyDescent="0.2">
      <c r="E46" s="30" t="s">
        <v>74</v>
      </c>
    </row>
    <row r="47" spans="5:5" x14ac:dyDescent="0.2">
      <c r="E47" s="30" t="s">
        <v>74</v>
      </c>
    </row>
    <row r="48" spans="5:5" x14ac:dyDescent="0.2">
      <c r="E48" s="30" t="s">
        <v>74</v>
      </c>
    </row>
    <row r="49" spans="5:5" x14ac:dyDescent="0.2">
      <c r="E49" s="30" t="s">
        <v>74</v>
      </c>
    </row>
    <row r="50" spans="5:5" x14ac:dyDescent="0.2">
      <c r="E50" s="30" t="s">
        <v>74</v>
      </c>
    </row>
    <row r="51" spans="5:5" x14ac:dyDescent="0.2">
      <c r="E51" s="30" t="s">
        <v>74</v>
      </c>
    </row>
    <row r="52" spans="5:5" x14ac:dyDescent="0.2">
      <c r="E52" s="30" t="s">
        <v>74</v>
      </c>
    </row>
    <row r="53" spans="5:5" x14ac:dyDescent="0.2">
      <c r="E53" s="30" t="s">
        <v>74</v>
      </c>
    </row>
    <row r="54" spans="5:5" x14ac:dyDescent="0.2">
      <c r="E54" s="30" t="s">
        <v>74</v>
      </c>
    </row>
    <row r="55" spans="5:5" x14ac:dyDescent="0.2">
      <c r="E55" s="30" t="s">
        <v>74</v>
      </c>
    </row>
    <row r="56" spans="5:5" x14ac:dyDescent="0.2">
      <c r="E56" s="30" t="s">
        <v>74</v>
      </c>
    </row>
    <row r="57" spans="5:5" x14ac:dyDescent="0.2">
      <c r="E57" s="30" t="s">
        <v>74</v>
      </c>
    </row>
    <row r="58" spans="5:5" x14ac:dyDescent="0.2">
      <c r="E58" s="30" t="s">
        <v>74</v>
      </c>
    </row>
    <row r="59" spans="5:5" x14ac:dyDescent="0.2"/>
    <row r="60" spans="5:5" x14ac:dyDescent="0.2"/>
    <row r="61" spans="5:5" x14ac:dyDescent="0.2"/>
    <row r="62" spans="5:5" x14ac:dyDescent="0.2"/>
    <row r="63" spans="5:5" x14ac:dyDescent="0.2"/>
    <row r="64" spans="5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TIButton1">
          <controlPr defaultSize="0" print="0" autoLine="0" autoPict="0" r:id="rId5">
            <anchor moveWithCells="1">
              <from>
                <xdr:col>4</xdr:col>
                <xdr:colOff>333375</xdr:colOff>
                <xdr:row>18</xdr:row>
                <xdr:rowOff>142875</xdr:rowOff>
              </from>
              <to>
                <xdr:col>5</xdr:col>
                <xdr:colOff>371475</xdr:colOff>
                <xdr:row>20</xdr:row>
                <xdr:rowOff>38100</xdr:rowOff>
              </to>
            </anchor>
          </controlPr>
        </control>
      </mc:Choice>
      <mc:Fallback>
        <control shapeId="8193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L698"/>
  <sheetViews>
    <sheetView topLeftCell="B10" workbookViewId="0">
      <selection activeCell="C19" sqref="C19"/>
    </sheetView>
  </sheetViews>
  <sheetFormatPr defaultColWidth="0" defaultRowHeight="12.75" zeroHeight="1" x14ac:dyDescent="0.2"/>
  <cols>
    <col min="1" max="1" width="19.28515625" hidden="1" customWidth="1"/>
    <col min="2" max="2" width="58.42578125" customWidth="1"/>
    <col min="3" max="3" width="20.85546875" customWidth="1"/>
    <col min="4" max="4" width="20.140625" customWidth="1"/>
    <col min="5" max="12" width="11.42578125" customWidth="1"/>
    <col min="13" max="16384" width="11.42578125" hidden="1"/>
  </cols>
  <sheetData>
    <row r="1" spans="1:12" hidden="1" x14ac:dyDescent="0.2">
      <c r="A1" t="s">
        <v>11</v>
      </c>
    </row>
    <row r="2" spans="1:12" hidden="1" x14ac:dyDescent="0.2">
      <c r="A2">
        <f>0</f>
        <v>0</v>
      </c>
      <c r="B2" s="18"/>
      <c r="C2" s="20"/>
    </row>
    <row r="3" spans="1:12" hidden="1" x14ac:dyDescent="0.2">
      <c r="A3">
        <f>1</f>
        <v>1</v>
      </c>
      <c r="B3" s="19"/>
      <c r="C3" s="21"/>
    </row>
    <row r="4" spans="1:12" hidden="1" x14ac:dyDescent="0.2">
      <c r="A4">
        <f>2</f>
        <v>2</v>
      </c>
      <c r="B4" s="19"/>
      <c r="C4" s="21"/>
    </row>
    <row r="5" spans="1:12" hidden="1" x14ac:dyDescent="0.2">
      <c r="A5">
        <f>3</f>
        <v>3</v>
      </c>
      <c r="B5" s="19"/>
      <c r="C5" s="21"/>
    </row>
    <row r="6" spans="1:12" hidden="1" x14ac:dyDescent="0.2">
      <c r="A6" t="s">
        <v>10</v>
      </c>
      <c r="B6" s="19"/>
      <c r="C6" s="21"/>
    </row>
    <row r="7" spans="1:12" hidden="1" x14ac:dyDescent="0.2">
      <c r="A7" t="s">
        <v>3</v>
      </c>
      <c r="C7" s="22"/>
    </row>
    <row r="8" spans="1:12" hidden="1" x14ac:dyDescent="0.2">
      <c r="A8" t="s">
        <v>12</v>
      </c>
    </row>
    <row r="9" spans="1:12" hidden="1" x14ac:dyDescent="0.2">
      <c r="B9" t="str">
        <f ca="1">_xll.TM1RPTVIEW("CXMD:FTM_DATA_SPLIT_MARGIN:ARPT1", 0, _xll.TM1RPTTITLE("CXMD:DIM_Origin_Company",$C$19), _xll.TM1RPTTITLE("CXMD:Actuality",$C$20), _xll.TM1RPTTITLE("CXMD:Month",$C$22), _xll.TM1RPTTITLE("CXMD:DIM_Allocation",$C$21),TM1RPTFMTRNG,TM1RPTFMTIDCOL)</f>
        <v>CXMD:FTM_DATA_SPLIT_MARGIN:ARPT1</v>
      </c>
    </row>
    <row r="10" spans="1:12" x14ac:dyDescent="0.2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idden="1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idden="1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8.5" x14ac:dyDescent="0.45">
      <c r="B16" s="3"/>
      <c r="C16" s="29" t="s">
        <v>70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5.0999999999999996" customHeight="1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5.0999999999999996" customHeight="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5" x14ac:dyDescent="0.25">
      <c r="B19" s="7" t="s">
        <v>5</v>
      </c>
      <c r="C19" s="15" t="str">
        <f ca="1">parm_origin_company</f>
        <v>SILVA</v>
      </c>
      <c r="D19" s="8"/>
      <c r="E19" s="8"/>
      <c r="F19" s="8"/>
      <c r="G19" s="8"/>
      <c r="H19" s="8"/>
      <c r="I19" s="8"/>
      <c r="J19" s="8"/>
      <c r="K19" s="8"/>
      <c r="L19" s="9"/>
    </row>
    <row r="20" spans="1:12" ht="15" x14ac:dyDescent="0.25">
      <c r="B20" s="10" t="s">
        <v>0</v>
      </c>
      <c r="C20" s="16" t="str">
        <f ca="1">parm_actuality_split</f>
        <v>BU2018draft</v>
      </c>
      <c r="D20" s="6"/>
      <c r="E20" s="6"/>
      <c r="F20" s="6"/>
      <c r="G20" s="6"/>
      <c r="H20" s="6"/>
      <c r="I20" s="6"/>
      <c r="J20" s="6"/>
      <c r="K20" s="6"/>
      <c r="L20" s="11"/>
    </row>
    <row r="21" spans="1:12" ht="15" x14ac:dyDescent="0.25">
      <c r="B21" s="10" t="s">
        <v>13</v>
      </c>
      <c r="C21" s="16" t="str">
        <f ca="1">parm_alloc</f>
        <v>--1 - -1-EN</v>
      </c>
      <c r="D21" s="6"/>
      <c r="E21" s="32" t="s">
        <v>80</v>
      </c>
      <c r="F21" s="6"/>
      <c r="G21" s="6"/>
      <c r="H21" s="6"/>
      <c r="I21" s="6"/>
      <c r="J21" s="6"/>
      <c r="K21" s="6"/>
      <c r="L21" s="11"/>
    </row>
    <row r="22" spans="1:12" ht="15" x14ac:dyDescent="0.25">
      <c r="B22" s="10" t="s">
        <v>6</v>
      </c>
      <c r="C22" s="16" t="str">
        <f ca="1">_xll.SUBNM("CXMD:Month","Par défaut","Calendar Year","Description EN")</f>
        <v>Calendar Year</v>
      </c>
      <c r="D22" s="6"/>
      <c r="E22" s="6"/>
      <c r="F22" s="6"/>
      <c r="G22" s="6"/>
      <c r="H22" s="6"/>
      <c r="I22" s="6"/>
      <c r="J22" s="6"/>
      <c r="K22" s="6"/>
      <c r="L22" s="11"/>
    </row>
    <row r="23" spans="1:12" ht="15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ht="15" x14ac:dyDescent="0.25">
      <c r="C24" s="23" t="s">
        <v>8</v>
      </c>
      <c r="D24" s="23" t="s">
        <v>63</v>
      </c>
      <c r="E24" s="31" t="s">
        <v>72</v>
      </c>
    </row>
    <row r="25" spans="1:12" x14ac:dyDescent="0.2">
      <c r="A25">
        <f ca="1">IF(_xll.TM1RPTELISCONSOLIDATED($B$25,$B25),IF(_xll.TM1RPTELLEV($B$25,$B25)&lt;=3,_xll.TM1RPTELLEV($B$25,$B25),"D"),"N")</f>
        <v>0</v>
      </c>
      <c r="B25" s="24" t="str">
        <f ca="1">_xll.TM1RPTROW($B$9,"CXMD:DIM_Configuration","Par défaut","","Description EN",0)</f>
        <v>TOTAL PRODUCT</v>
      </c>
      <c r="C25" s="20" t="str">
        <f ca="1">_xll.DBRW($B$9,$C$19,$C$20,$C$22,$B25,$C$21,C$24)</f>
        <v>*KEY_ERR</v>
      </c>
      <c r="D25" s="20" t="str">
        <f ca="1">_xll.DBRW($B$9,$C$19,$C$20,$C$22,$B25,$C$21,D$24)</f>
        <v>*KEY_ERR</v>
      </c>
      <c r="E25" s="30" t="s">
        <v>73</v>
      </c>
    </row>
    <row r="26" spans="1:12" x14ac:dyDescent="0.2">
      <c r="A26">
        <f ca="1">IF(_xll.TM1RPTELISCONSOLIDATED($B$25,$B26),IF(_xll.TM1RPTELLEV($B$25,$B26)&lt;=3,_xll.TM1RPTELLEV($B$25,$B26),"D"),"N")</f>
        <v>1</v>
      </c>
      <c r="B26" s="40" t="s">
        <v>82</v>
      </c>
      <c r="C26" s="21" t="str">
        <f ca="1">_xll.DBRW($B$9,$C$19,$C$20,$C$22,$B26,$C$21,C$24)</f>
        <v>*KEY_ERR</v>
      </c>
      <c r="D26" s="20" t="str">
        <f ca="1">_xll.DBRW($B$9,$C$19,$C$20,$C$22,$B26,$C$21,D$24)</f>
        <v>*KEY_ERR</v>
      </c>
      <c r="E26" s="30" t="s">
        <v>73</v>
      </c>
    </row>
    <row r="27" spans="1:12" x14ac:dyDescent="0.2">
      <c r="A27">
        <f ca="1">IF(_xll.TM1RPTELISCONSOLIDATED($B$25,$B27),IF(_xll.TM1RPTELLEV($B$25,$B27)&lt;=3,_xll.TM1RPTELLEV($B$25,$B27),"D"),"N")</f>
        <v>1</v>
      </c>
      <c r="B27" s="40" t="s">
        <v>83</v>
      </c>
      <c r="C27" s="21" t="str">
        <f ca="1">_xll.DBRW($B$9,$C$19,$C$20,$C$22,$B27,$C$21,C$24)</f>
        <v>*KEY_ERR</v>
      </c>
      <c r="D27" s="20" t="str">
        <f ca="1">_xll.DBRW($B$9,$C$19,$C$20,$C$22,$B27,$C$21,D$24)</f>
        <v>*KEY_ERR</v>
      </c>
      <c r="E27" s="30" t="s">
        <v>73</v>
      </c>
    </row>
    <row r="28" spans="1:12" x14ac:dyDescent="0.2">
      <c r="A28">
        <f ca="1">IF(_xll.TM1RPTELISCONSOLIDATED($B$25,$B28),IF(_xll.TM1RPTELLEV($B$25,$B28)&lt;=3,_xll.TM1RPTELLEV($B$25,$B28),"D"),"N")</f>
        <v>1</v>
      </c>
      <c r="B28" s="40" t="s">
        <v>84</v>
      </c>
      <c r="C28" s="21" t="str">
        <f ca="1">_xll.DBRW($B$9,$C$19,$C$20,$C$22,$B28,$C$21,C$24)</f>
        <v>*KEY_ERR</v>
      </c>
      <c r="D28" s="20" t="str">
        <f ca="1">_xll.DBRW($B$9,$C$19,$C$20,$C$22,$B28,$C$21,D$24)</f>
        <v>*KEY_ERR</v>
      </c>
      <c r="E28" s="30" t="s">
        <v>73</v>
      </c>
    </row>
    <row r="29" spans="1:12" x14ac:dyDescent="0.2">
      <c r="A29">
        <f ca="1">IF(_xll.TM1RPTELISCONSOLIDATED($B$25,$B29),IF(_xll.TM1RPTELLEV($B$25,$B29)&lt;=3,_xll.TM1RPTELLEV($B$25,$B29),"D"),"N")</f>
        <v>1</v>
      </c>
      <c r="B29" s="40" t="s">
        <v>85</v>
      </c>
      <c r="C29" s="21" t="str">
        <f ca="1">_xll.DBRW($B$9,$C$19,$C$20,$C$22,$B29,$C$21,C$24)</f>
        <v>*KEY_ERR</v>
      </c>
      <c r="D29" s="20" t="str">
        <f ca="1">_xll.DBRW($B$9,$C$19,$C$20,$C$22,$B29,$C$21,D$24)</f>
        <v>*KEY_ERR</v>
      </c>
      <c r="E29" s="30" t="s">
        <v>73</v>
      </c>
    </row>
    <row r="30" spans="1:12" x14ac:dyDescent="0.2">
      <c r="A30">
        <f ca="1">IF(_xll.TM1RPTELISCONSOLIDATED($B$25,$B30),IF(_xll.TM1RPTELLEV($B$25,$B30)&lt;=3,_xll.TM1RPTELLEV($B$25,$B30),"D"),"N")</f>
        <v>1</v>
      </c>
      <c r="B30" s="40" t="s">
        <v>86</v>
      </c>
      <c r="C30" s="21" t="str">
        <f ca="1">_xll.DBRW($B$9,$C$19,$C$20,$C$22,$B30,$C$21,C$24)</f>
        <v>*KEY_ERR</v>
      </c>
      <c r="D30" s="20" t="str">
        <f ca="1">_xll.DBRW($B$9,$C$19,$C$20,$C$22,$B30,$C$21,D$24)</f>
        <v>*KEY_ERR</v>
      </c>
      <c r="E30" s="30" t="s">
        <v>73</v>
      </c>
    </row>
    <row r="31" spans="1:12" x14ac:dyDescent="0.2">
      <c r="A31">
        <f ca="1">IF(_xll.TM1RPTELISCONSOLIDATED($B$25,$B31),IF(_xll.TM1RPTELLEV($B$25,$B31)&lt;=3,_xll.TM1RPTELLEV($B$25,$B31),"D"),"N")</f>
        <v>1</v>
      </c>
      <c r="B31" s="40" t="s">
        <v>87</v>
      </c>
      <c r="C31" s="21" t="str">
        <f ca="1">_xll.DBRW($B$9,$C$19,$C$20,$C$22,$B31,$C$21,C$24)</f>
        <v>*KEY_ERR</v>
      </c>
      <c r="D31" s="20" t="str">
        <f ca="1">_xll.DBRW($B$9,$C$19,$C$20,$C$22,$B31,$C$21,D$24)</f>
        <v>*KEY_ERR</v>
      </c>
      <c r="E31" s="30" t="s">
        <v>73</v>
      </c>
    </row>
    <row r="32" spans="1:12" x14ac:dyDescent="0.2">
      <c r="A32">
        <f ca="1">IF(_xll.TM1RPTELISCONSOLIDATED($B$25,$B32),IF(_xll.TM1RPTELLEV($B$25,$B32)&lt;=3,_xll.TM1RPTELLEV($B$25,$B32),"D"),"N")</f>
        <v>1</v>
      </c>
      <c r="B32" s="40" t="s">
        <v>88</v>
      </c>
      <c r="C32" s="21" t="str">
        <f ca="1">_xll.DBRW($B$9,$C$19,$C$20,$C$22,$B32,$C$21,C$24)</f>
        <v>*KEY_ERR</v>
      </c>
      <c r="D32" s="20" t="str">
        <f ca="1">_xll.DBRW($B$9,$C$19,$C$20,$C$22,$B32,$C$21,D$24)</f>
        <v>*KEY_ERR</v>
      </c>
      <c r="E32" s="30" t="s">
        <v>73</v>
      </c>
    </row>
    <row r="33" spans="1:5" x14ac:dyDescent="0.2">
      <c r="A33">
        <f ca="1">IF(_xll.TM1RPTELISCONSOLIDATED($B$25,$B33),IF(_xll.TM1RPTELLEV($B$25,$B33)&lt;=3,_xll.TM1RPTELLEV($B$25,$B33),"D"),"N")</f>
        <v>1</v>
      </c>
      <c r="B33" s="40" t="s">
        <v>89</v>
      </c>
      <c r="C33" s="21" t="str">
        <f ca="1">_xll.DBRW($B$9,$C$19,$C$20,$C$22,$B33,$C$21,C$24)</f>
        <v>*KEY_ERR</v>
      </c>
      <c r="D33" s="20" t="str">
        <f ca="1">_xll.DBRW($B$9,$C$19,$C$20,$C$22,$B33,$C$21,D$24)</f>
        <v>*KEY_ERR</v>
      </c>
      <c r="E33" s="30" t="s">
        <v>73</v>
      </c>
    </row>
    <row r="34" spans="1:5" x14ac:dyDescent="0.2">
      <c r="A34">
        <f ca="1">IF(_xll.TM1RPTELISCONSOLIDATED($B$25,$B34),IF(_xll.TM1RPTELLEV($B$25,$B34)&lt;=3,_xll.TM1RPTELLEV($B$25,$B34),"D"),"N")</f>
        <v>1</v>
      </c>
      <c r="B34" s="40" t="s">
        <v>90</v>
      </c>
      <c r="C34" s="21" t="str">
        <f ca="1">_xll.DBRW($B$9,$C$19,$C$20,$C$22,$B34,$C$21,C$24)</f>
        <v>*KEY_ERR</v>
      </c>
      <c r="D34" s="20" t="str">
        <f ca="1">_xll.DBRW($B$9,$C$19,$C$20,$C$22,$B34,$C$21,D$24)</f>
        <v>*KEY_ERR</v>
      </c>
      <c r="E34" s="30" t="s">
        <v>73</v>
      </c>
    </row>
    <row r="35" spans="1:5" x14ac:dyDescent="0.2">
      <c r="A35">
        <f ca="1">IF(_xll.TM1RPTELISCONSOLIDATED($B$25,$B35),IF(_xll.TM1RPTELLEV($B$25,$B35)&lt;=3,_xll.TM1RPTELLEV($B$25,$B35),"D"),"N")</f>
        <v>1</v>
      </c>
      <c r="B35" s="40" t="s">
        <v>91</v>
      </c>
      <c r="C35" s="21" t="str">
        <f ca="1">_xll.DBRW($B$9,$C$19,$C$20,$C$22,$B35,$C$21,C$24)</f>
        <v>*KEY_ERR</v>
      </c>
      <c r="D35" s="20" t="str">
        <f ca="1">_xll.DBRW($B$9,$C$19,$C$20,$C$22,$B35,$C$21,D$24)</f>
        <v>*KEY_ERR</v>
      </c>
      <c r="E35" s="30" t="s">
        <v>73</v>
      </c>
    </row>
    <row r="36" spans="1:5" x14ac:dyDescent="0.2">
      <c r="A36">
        <f ca="1">IF(_xll.TM1RPTELISCONSOLIDATED($B$25,$B36),IF(_xll.TM1RPTELLEV($B$25,$B36)&lt;=3,_xll.TM1RPTELLEV($B$25,$B36),"D"),"N")</f>
        <v>1</v>
      </c>
      <c r="B36" s="40" t="s">
        <v>92</v>
      </c>
      <c r="C36" s="21" t="str">
        <f ca="1">_xll.DBRW($B$9,$C$19,$C$20,$C$22,$B36,$C$21,C$24)</f>
        <v>*KEY_ERR</v>
      </c>
      <c r="D36" s="20" t="str">
        <f ca="1">_xll.DBRW($B$9,$C$19,$C$20,$C$22,$B36,$C$21,D$24)</f>
        <v>*KEY_ERR</v>
      </c>
      <c r="E36" s="30" t="s">
        <v>73</v>
      </c>
    </row>
    <row r="37" spans="1:5" x14ac:dyDescent="0.2">
      <c r="A37">
        <f ca="1">IF(_xll.TM1RPTELISCONSOLIDATED($B$25,$B37),IF(_xll.TM1RPTELLEV($B$25,$B37)&lt;=3,_xll.TM1RPTELLEV($B$25,$B37),"D"),"N")</f>
        <v>1</v>
      </c>
      <c r="B37" s="40" t="s">
        <v>93</v>
      </c>
      <c r="C37" s="21" t="str">
        <f ca="1">_xll.DBRW($B$9,$C$19,$C$20,$C$22,$B37,$C$21,C$24)</f>
        <v>*KEY_ERR</v>
      </c>
      <c r="D37" s="20" t="str">
        <f ca="1">_xll.DBRW($B$9,$C$19,$C$20,$C$22,$B37,$C$21,D$24)</f>
        <v>*KEY_ERR</v>
      </c>
      <c r="E37" s="30" t="s">
        <v>73</v>
      </c>
    </row>
    <row r="38" spans="1:5" x14ac:dyDescent="0.2">
      <c r="A38">
        <f ca="1">IF(_xll.TM1RPTELISCONSOLIDATED($B$25,$B38),IF(_xll.TM1RPTELLEV($B$25,$B38)&lt;=3,_xll.TM1RPTELLEV($B$25,$B38),"D"),"N")</f>
        <v>1</v>
      </c>
      <c r="B38" s="40" t="s">
        <v>94</v>
      </c>
      <c r="C38" s="21" t="str">
        <f ca="1">_xll.DBRW($B$9,$C$19,$C$20,$C$22,$B38,$C$21,C$24)</f>
        <v>*KEY_ERR</v>
      </c>
      <c r="D38" s="20" t="str">
        <f ca="1">_xll.DBRW($B$9,$C$19,$C$20,$C$22,$B38,$C$21,D$24)</f>
        <v>*KEY_ERR</v>
      </c>
      <c r="E38" s="30" t="s">
        <v>73</v>
      </c>
    </row>
    <row r="39" spans="1:5" x14ac:dyDescent="0.2">
      <c r="A39">
        <f ca="1">IF(_xll.TM1RPTELISCONSOLIDATED($B$25,$B39),IF(_xll.TM1RPTELLEV($B$25,$B39)&lt;=3,_xll.TM1RPTELLEV($B$25,$B39),"D"),"N")</f>
        <v>1</v>
      </c>
      <c r="B39" s="40" t="s">
        <v>95</v>
      </c>
      <c r="C39" s="21" t="str">
        <f ca="1">_xll.DBRW($B$9,$C$19,$C$20,$C$22,$B39,$C$21,C$24)</f>
        <v>*KEY_ERR</v>
      </c>
      <c r="D39" s="20" t="str">
        <f ca="1">_xll.DBRW($B$9,$C$19,$C$20,$C$22,$B39,$C$21,D$24)</f>
        <v>*KEY_ERR</v>
      </c>
      <c r="E39" s="30" t="s">
        <v>73</v>
      </c>
    </row>
    <row r="40" spans="1:5" x14ac:dyDescent="0.2">
      <c r="A40">
        <f ca="1">IF(_xll.TM1RPTELISCONSOLIDATED($B$25,$B40),IF(_xll.TM1RPTELLEV($B$25,$B40)&lt;=3,_xll.TM1RPTELLEV($B$25,$B40),"D"),"N")</f>
        <v>1</v>
      </c>
      <c r="B40" s="40" t="s">
        <v>96</v>
      </c>
      <c r="C40" s="21" t="str">
        <f ca="1">_xll.DBRW($B$9,$C$19,$C$20,$C$22,$B40,$C$21,C$24)</f>
        <v>*KEY_ERR</v>
      </c>
      <c r="D40" s="20" t="str">
        <f ca="1">_xll.DBRW($B$9,$C$19,$C$20,$C$22,$B40,$C$21,D$24)</f>
        <v>*KEY_ERR</v>
      </c>
      <c r="E40" s="30" t="s">
        <v>73</v>
      </c>
    </row>
    <row r="41" spans="1:5" x14ac:dyDescent="0.2">
      <c r="A41">
        <f ca="1">IF(_xll.TM1RPTELISCONSOLIDATED($B$25,$B41),IF(_xll.TM1RPTELLEV($B$25,$B41)&lt;=3,_xll.TM1RPTELLEV($B$25,$B41),"D"),"N")</f>
        <v>1</v>
      </c>
      <c r="B41" s="40" t="s">
        <v>97</v>
      </c>
      <c r="C41" s="21" t="str">
        <f ca="1">_xll.DBRW($B$9,$C$19,$C$20,$C$22,$B41,$C$21,C$24)</f>
        <v>*KEY_ERR</v>
      </c>
      <c r="D41" s="20" t="str">
        <f ca="1">_xll.DBRW($B$9,$C$19,$C$20,$C$22,$B41,$C$21,D$24)</f>
        <v>*KEY_ERR</v>
      </c>
      <c r="E41" s="30" t="s">
        <v>73</v>
      </c>
    </row>
    <row r="42" spans="1:5" x14ac:dyDescent="0.2">
      <c r="A42">
        <f ca="1">IF(_xll.TM1RPTELISCONSOLIDATED($B$25,$B42),IF(_xll.TM1RPTELLEV($B$25,$B42)&lt;=3,_xll.TM1RPTELLEV($B$25,$B42),"D"),"N")</f>
        <v>1</v>
      </c>
      <c r="B42" s="40" t="s">
        <v>98</v>
      </c>
      <c r="C42" s="21" t="str">
        <f ca="1">_xll.DBRW($B$9,$C$19,$C$20,$C$22,$B42,$C$21,C$24)</f>
        <v>*KEY_ERR</v>
      </c>
      <c r="D42" s="20" t="str">
        <f ca="1">_xll.DBRW($B$9,$C$19,$C$20,$C$22,$B42,$C$21,D$24)</f>
        <v>*KEY_ERR</v>
      </c>
      <c r="E42" s="30" t="s">
        <v>73</v>
      </c>
    </row>
    <row r="43" spans="1:5" x14ac:dyDescent="0.2">
      <c r="A43">
        <f ca="1">IF(_xll.TM1RPTELISCONSOLIDATED($B$25,$B43),IF(_xll.TM1RPTELLEV($B$25,$B43)&lt;=3,_xll.TM1RPTELLEV($B$25,$B43),"D"),"N")</f>
        <v>1</v>
      </c>
      <c r="B43" s="40" t="s">
        <v>99</v>
      </c>
      <c r="C43" s="21" t="str">
        <f ca="1">_xll.DBRW($B$9,$C$19,$C$20,$C$22,$B43,$C$21,C$24)</f>
        <v>*KEY_ERR</v>
      </c>
      <c r="D43" s="20" t="str">
        <f ca="1">_xll.DBRW($B$9,$C$19,$C$20,$C$22,$B43,$C$21,D$24)</f>
        <v>*KEY_ERR</v>
      </c>
      <c r="E43" s="30" t="s">
        <v>73</v>
      </c>
    </row>
    <row r="44" spans="1:5" x14ac:dyDescent="0.2">
      <c r="A44">
        <f ca="1">IF(_xll.TM1RPTELISCONSOLIDATED($B$25,$B44),IF(_xll.TM1RPTELLEV($B$25,$B44)&lt;=3,_xll.TM1RPTELLEV($B$25,$B44),"D"),"N")</f>
        <v>1</v>
      </c>
      <c r="B44" s="40" t="s">
        <v>100</v>
      </c>
      <c r="C44" s="21" t="str">
        <f ca="1">_xll.DBRW($B$9,$C$19,$C$20,$C$22,$B44,$C$21,C$24)</f>
        <v>*KEY_ERR</v>
      </c>
      <c r="D44" s="20" t="str">
        <f ca="1">_xll.DBRW($B$9,$C$19,$C$20,$C$22,$B44,$C$21,D$24)</f>
        <v>*KEY_ERR</v>
      </c>
      <c r="E44" s="30" t="s">
        <v>73</v>
      </c>
    </row>
    <row r="45" spans="1:5" x14ac:dyDescent="0.2">
      <c r="A45">
        <f ca="1">IF(_xll.TM1RPTELISCONSOLIDATED($B$25,$B45),IF(_xll.TM1RPTELLEV($B$25,$B45)&lt;=3,_xll.TM1RPTELLEV($B$25,$B45),"D"),"N")</f>
        <v>1</v>
      </c>
      <c r="B45" s="40" t="s">
        <v>101</v>
      </c>
      <c r="C45" s="21" t="str">
        <f ca="1">_xll.DBRW($B$9,$C$19,$C$20,$C$22,$B45,$C$21,C$24)</f>
        <v>*KEY_ERR</v>
      </c>
      <c r="D45" s="20" t="str">
        <f ca="1">_xll.DBRW($B$9,$C$19,$C$20,$C$22,$B45,$C$21,D$24)</f>
        <v>*KEY_ERR</v>
      </c>
      <c r="E45" s="30" t="s">
        <v>73</v>
      </c>
    </row>
    <row r="46" spans="1:5" x14ac:dyDescent="0.2">
      <c r="A46">
        <f ca="1">IF(_xll.TM1RPTELISCONSOLIDATED($B$25,$B46),IF(_xll.TM1RPTELLEV($B$25,$B46)&lt;=3,_xll.TM1RPTELLEV($B$25,$B46),"D"),"N")</f>
        <v>1</v>
      </c>
      <c r="B46" s="40" t="s">
        <v>102</v>
      </c>
      <c r="C46" s="21" t="str">
        <f ca="1">_xll.DBRW($B$9,$C$19,$C$20,$C$22,$B46,$C$21,C$24)</f>
        <v>*KEY_ERR</v>
      </c>
      <c r="D46" s="20" t="str">
        <f ca="1">_xll.DBRW($B$9,$C$19,$C$20,$C$22,$B46,$C$21,D$24)</f>
        <v>*KEY_ERR</v>
      </c>
      <c r="E46" s="30" t="s">
        <v>73</v>
      </c>
    </row>
    <row r="47" spans="1:5" x14ac:dyDescent="0.2">
      <c r="A47">
        <f ca="1">IF(_xll.TM1RPTELISCONSOLIDATED($B$25,$B47),IF(_xll.TM1RPTELLEV($B$25,$B47)&lt;=3,_xll.TM1RPTELLEV($B$25,$B47),"D"),"N")</f>
        <v>1</v>
      </c>
      <c r="B47" s="40" t="s">
        <v>103</v>
      </c>
      <c r="C47" s="21" t="str">
        <f ca="1">_xll.DBRW($B$9,$C$19,$C$20,$C$22,$B47,$C$21,C$24)</f>
        <v>*KEY_ERR</v>
      </c>
      <c r="D47" s="20" t="str">
        <f ca="1">_xll.DBRW($B$9,$C$19,$C$20,$C$22,$B47,$C$21,D$24)</f>
        <v>*KEY_ERR</v>
      </c>
      <c r="E47" s="30" t="s">
        <v>73</v>
      </c>
    </row>
    <row r="48" spans="1:5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9217" r:id="rId3" name="TIButton1">
          <controlPr defaultSize="0" print="0" autoLine="0" autoPict="0" r:id="rId4">
            <anchor moveWithCells="1">
              <from>
                <xdr:col>4</xdr:col>
                <xdr:colOff>47625</xdr:colOff>
                <xdr:row>18</xdr:row>
                <xdr:rowOff>66675</xdr:rowOff>
              </from>
              <to>
                <xdr:col>5</xdr:col>
                <xdr:colOff>228600</xdr:colOff>
                <xdr:row>19</xdr:row>
                <xdr:rowOff>142875</xdr:rowOff>
              </to>
            </anchor>
          </controlPr>
        </control>
      </mc:Choice>
      <mc:Fallback>
        <control shapeId="9217" r:id="rId3" name="TI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B32"/>
  <sheetViews>
    <sheetView workbookViewId="0"/>
  </sheetViews>
  <sheetFormatPr defaultColWidth="11.42578125" defaultRowHeight="12.75" x14ac:dyDescent="0.2"/>
  <sheetData>
    <row r="18" spans="2:2" x14ac:dyDescent="0.2">
      <c r="B18" t="s">
        <v>14</v>
      </c>
    </row>
    <row r="19" spans="2:2" x14ac:dyDescent="0.2">
      <c r="B19" t="s">
        <v>15</v>
      </c>
    </row>
    <row r="20" spans="2:2" x14ac:dyDescent="0.2">
      <c r="B20" t="s">
        <v>16</v>
      </c>
    </row>
    <row r="21" spans="2:2" x14ac:dyDescent="0.2">
      <c r="B21" t="s">
        <v>17</v>
      </c>
    </row>
    <row r="22" spans="2:2" x14ac:dyDescent="0.2">
      <c r="B22" t="s">
        <v>18</v>
      </c>
    </row>
    <row r="23" spans="2:2" x14ac:dyDescent="0.2">
      <c r="B23" t="s">
        <v>19</v>
      </c>
    </row>
    <row r="24" spans="2:2" x14ac:dyDescent="0.2">
      <c r="B24" t="s">
        <v>20</v>
      </c>
    </row>
    <row r="25" spans="2:2" x14ac:dyDescent="0.2">
      <c r="B25" t="s">
        <v>21</v>
      </c>
    </row>
    <row r="26" spans="2:2" x14ac:dyDescent="0.2">
      <c r="B26" t="s">
        <v>22</v>
      </c>
    </row>
    <row r="27" spans="2:2" x14ac:dyDescent="0.2">
      <c r="B27" t="s">
        <v>23</v>
      </c>
    </row>
    <row r="28" spans="2:2" x14ac:dyDescent="0.2">
      <c r="B28" t="s">
        <v>24</v>
      </c>
    </row>
    <row r="29" spans="2:2" x14ac:dyDescent="0.2">
      <c r="B29" t="s">
        <v>25</v>
      </c>
    </row>
    <row r="30" spans="2:2" x14ac:dyDescent="0.2">
      <c r="B30" t="s">
        <v>26</v>
      </c>
    </row>
    <row r="31" spans="2:2" x14ac:dyDescent="0.2">
      <c r="B31" t="s">
        <v>27</v>
      </c>
    </row>
    <row r="32" spans="2:2" x14ac:dyDescent="0.2">
      <c r="B3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B46"/>
  <sheetViews>
    <sheetView workbookViewId="0"/>
  </sheetViews>
  <sheetFormatPr defaultColWidth="11.42578125" defaultRowHeight="12.75" x14ac:dyDescent="0.2"/>
  <sheetData>
    <row r="18" spans="2:2" x14ac:dyDescent="0.2">
      <c r="B18" t="s">
        <v>9</v>
      </c>
    </row>
    <row r="19" spans="2:2" x14ac:dyDescent="0.2">
      <c r="B19" t="s">
        <v>29</v>
      </c>
    </row>
    <row r="20" spans="2:2" x14ac:dyDescent="0.2">
      <c r="B20" t="s">
        <v>30</v>
      </c>
    </row>
    <row r="21" spans="2:2" x14ac:dyDescent="0.2">
      <c r="B21" t="s">
        <v>31</v>
      </c>
    </row>
    <row r="22" spans="2:2" x14ac:dyDescent="0.2">
      <c r="B22" t="s">
        <v>32</v>
      </c>
    </row>
    <row r="23" spans="2:2" x14ac:dyDescent="0.2">
      <c r="B23" t="s">
        <v>33</v>
      </c>
    </row>
    <row r="24" spans="2:2" x14ac:dyDescent="0.2">
      <c r="B24" t="s">
        <v>34</v>
      </c>
    </row>
    <row r="25" spans="2:2" x14ac:dyDescent="0.2">
      <c r="B25" t="s">
        <v>35</v>
      </c>
    </row>
    <row r="26" spans="2:2" x14ac:dyDescent="0.2">
      <c r="B26" t="s">
        <v>36</v>
      </c>
    </row>
    <row r="27" spans="2:2" x14ac:dyDescent="0.2">
      <c r="B27" t="s">
        <v>37</v>
      </c>
    </row>
    <row r="28" spans="2:2" x14ac:dyDescent="0.2">
      <c r="B28" t="s">
        <v>38</v>
      </c>
    </row>
    <row r="29" spans="2:2" x14ac:dyDescent="0.2">
      <c r="B29" t="s">
        <v>39</v>
      </c>
    </row>
    <row r="30" spans="2:2" x14ac:dyDescent="0.2">
      <c r="B30" t="s">
        <v>40</v>
      </c>
    </row>
    <row r="31" spans="2:2" x14ac:dyDescent="0.2">
      <c r="B31" t="s">
        <v>41</v>
      </c>
    </row>
    <row r="32" spans="2:2" x14ac:dyDescent="0.2">
      <c r="B32" t="s">
        <v>42</v>
      </c>
    </row>
    <row r="33" spans="2:2" x14ac:dyDescent="0.2">
      <c r="B33" t="s">
        <v>43</v>
      </c>
    </row>
    <row r="34" spans="2:2" x14ac:dyDescent="0.2">
      <c r="B34" t="s">
        <v>44</v>
      </c>
    </row>
    <row r="35" spans="2:2" x14ac:dyDescent="0.2">
      <c r="B35" t="s">
        <v>45</v>
      </c>
    </row>
    <row r="36" spans="2:2" x14ac:dyDescent="0.2">
      <c r="B36" t="s">
        <v>46</v>
      </c>
    </row>
    <row r="37" spans="2:2" x14ac:dyDescent="0.2">
      <c r="B37" t="s">
        <v>47</v>
      </c>
    </row>
    <row r="38" spans="2:2" x14ac:dyDescent="0.2">
      <c r="B38" t="s">
        <v>48</v>
      </c>
    </row>
    <row r="39" spans="2:2" x14ac:dyDescent="0.2">
      <c r="B39" t="s">
        <v>49</v>
      </c>
    </row>
    <row r="40" spans="2:2" x14ac:dyDescent="0.2">
      <c r="B40" t="s">
        <v>50</v>
      </c>
    </row>
    <row r="41" spans="2:2" x14ac:dyDescent="0.2">
      <c r="B41" t="s">
        <v>51</v>
      </c>
    </row>
    <row r="42" spans="2:2" x14ac:dyDescent="0.2">
      <c r="B42" t="s">
        <v>52</v>
      </c>
    </row>
    <row r="43" spans="2:2" x14ac:dyDescent="0.2">
      <c r="B43" t="s">
        <v>53</v>
      </c>
    </row>
    <row r="44" spans="2:2" x14ac:dyDescent="0.2">
      <c r="B44" t="s">
        <v>54</v>
      </c>
    </row>
    <row r="45" spans="2:2" x14ac:dyDescent="0.2">
      <c r="B45" t="s">
        <v>55</v>
      </c>
    </row>
    <row r="46" spans="2:2" x14ac:dyDescent="0.2">
      <c r="B4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Budget Distribution</vt:lpstr>
      <vt:lpstr>By Month</vt:lpstr>
      <vt:lpstr>By Allocation</vt:lpstr>
      <vt:lpstr>By Configuration</vt:lpstr>
      <vt:lpstr>{AR}01</vt:lpstr>
      <vt:lpstr>{AR}11</vt:lpstr>
      <vt:lpstr>colan</vt:lpstr>
      <vt:lpstr>parm_actuality_reference</vt:lpstr>
      <vt:lpstr>parm_actuality_split</vt:lpstr>
      <vt:lpstr>parm_alloc</vt:lpstr>
      <vt:lpstr>parm_config</vt:lpstr>
      <vt:lpstr>parm_mois</vt:lpstr>
      <vt:lpstr>parm_origin_company</vt:lpstr>
      <vt:lpstr>parm_split_alloc</vt:lpstr>
      <vt:lpstr>parm_split_config</vt:lpstr>
      <vt:lpstr>parm_split_month</vt:lpstr>
      <vt:lpstr>'By Configuration'!TM1RPTDATARNGARPT1</vt:lpstr>
      <vt:lpstr>'By Month'!TM1RPTDATARNGARPT1</vt:lpstr>
      <vt:lpstr>'By Allocation'!TM1RPTDATARNGARPT2</vt:lpstr>
      <vt:lpstr>'By Allocation'!TM1RPTFMTIDCOL</vt:lpstr>
      <vt:lpstr>'By Configuration'!TM1RPTFMTIDCOL</vt:lpstr>
      <vt:lpstr>'By Month'!TM1RPTFMTIDCOL</vt:lpstr>
      <vt:lpstr>'By Allocation'!TM1RPTFMTRNG</vt:lpstr>
      <vt:lpstr>'By Configuration'!TM1RPTFMTRNG</vt:lpstr>
      <vt:lpstr>'By Month'!TM1RPTFMTRNG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cp:lastPrinted>2006-03-24T09:59:45Z</cp:lastPrinted>
  <dcterms:created xsi:type="dcterms:W3CDTF">2003-04-07T13:37:44Z</dcterms:created>
  <dcterms:modified xsi:type="dcterms:W3CDTF">2022-03-28T09:19:20Z</dcterms:modified>
</cp:coreProperties>
</file>