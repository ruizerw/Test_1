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21600" windowHeight="9435"/>
  </bookViews>
  <sheets>
    <sheet name="Feuil1" sheetId="1" r:id="rId1"/>
    <sheet name="{AR}01" sheetId="2" state="hidden" r:id="rId2"/>
  </sheets>
  <definedNames>
    <definedName name="TM1REBUILDOPTION">1</definedName>
    <definedName name="TM1RPTDATARNGARPT1" localSheetId="0">Feuil1!$24:$35</definedName>
    <definedName name="TM1RPTFMTIDCOL" localSheetId="0">Feuil1!$A$1:$A$8</definedName>
    <definedName name="TM1RPTFMTRNG" localSheetId="0">Feuil1!$C$1:$J$8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5" i="1" l="1"/>
  <c r="A34" i="1"/>
  <c r="A33" i="1"/>
  <c r="A32" i="1"/>
  <c r="A31" i="1"/>
  <c r="A30" i="1"/>
  <c r="A29" i="1"/>
  <c r="A28" i="1"/>
  <c r="A27" i="1"/>
  <c r="A26" i="1"/>
  <c r="A25" i="1"/>
  <c r="C9" i="1"/>
  <c r="F22" i="1"/>
  <c r="D16" i="1"/>
  <c r="D17" i="1"/>
  <c r="F21" i="1"/>
  <c r="D18" i="1"/>
  <c r="F35" i="1"/>
  <c r="G22" i="1"/>
  <c r="G21" i="1"/>
  <c r="G35" i="1"/>
  <c r="I35" i="1"/>
  <c r="H35" i="1"/>
  <c r="E22" i="1"/>
  <c r="E21" i="1"/>
  <c r="E35" i="1"/>
  <c r="F34" i="1"/>
  <c r="G34" i="1"/>
  <c r="I34" i="1"/>
  <c r="H34" i="1"/>
  <c r="E34" i="1"/>
  <c r="F33" i="1"/>
  <c r="G33" i="1"/>
  <c r="I33" i="1"/>
  <c r="H33" i="1"/>
  <c r="E33" i="1"/>
  <c r="F32" i="1"/>
  <c r="G32" i="1"/>
  <c r="I32" i="1"/>
  <c r="H32" i="1"/>
  <c r="E32" i="1"/>
  <c r="F31" i="1"/>
  <c r="G31" i="1"/>
  <c r="I31" i="1"/>
  <c r="H31" i="1"/>
  <c r="E31" i="1"/>
  <c r="F30" i="1"/>
  <c r="G30" i="1"/>
  <c r="I30" i="1"/>
  <c r="H30" i="1"/>
  <c r="E30" i="1"/>
  <c r="F29" i="1"/>
  <c r="G29" i="1"/>
  <c r="I29" i="1"/>
  <c r="H29" i="1"/>
  <c r="E29" i="1"/>
  <c r="F28" i="1"/>
  <c r="G28" i="1"/>
  <c r="I28" i="1"/>
  <c r="H28" i="1"/>
  <c r="E28" i="1"/>
  <c r="F27" i="1"/>
  <c r="G27" i="1"/>
  <c r="I27" i="1"/>
  <c r="H27" i="1"/>
  <c r="E27" i="1"/>
  <c r="F26" i="1"/>
  <c r="G26" i="1"/>
  <c r="I26" i="1"/>
  <c r="H26" i="1"/>
  <c r="E26" i="1"/>
  <c r="F25" i="1"/>
  <c r="G25" i="1"/>
  <c r="I25" i="1"/>
  <c r="H25" i="1"/>
  <c r="E25" i="1"/>
  <c r="C24" i="1"/>
  <c r="D24" i="1"/>
  <c r="F24" i="1"/>
  <c r="G24" i="1"/>
  <c r="E24" i="1"/>
  <c r="H22" i="1"/>
  <c r="I24" i="1"/>
  <c r="H24" i="1"/>
  <c r="A24" i="1"/>
  <c r="A5" i="1"/>
  <c r="A4" i="1"/>
  <c r="A3" i="1"/>
  <c r="A2" i="1"/>
</calcChain>
</file>

<file path=xl/sharedStrings.xml><?xml version="1.0" encoding="utf-8"?>
<sst xmlns="http://schemas.openxmlformats.org/spreadsheetml/2006/main" count="99" uniqueCount="78">
  <si>
    <t>Origin_Company</t>
  </si>
  <si>
    <t>Book</t>
  </si>
  <si>
    <t>Allocation</t>
  </si>
  <si>
    <t>Total_GL</t>
  </si>
  <si>
    <t>Total_Customer_Supplier</t>
  </si>
  <si>
    <t>Others</t>
  </si>
  <si>
    <t>D</t>
  </si>
  <si>
    <t>N</t>
  </si>
  <si>
    <t>[Begin Format Range]</t>
  </si>
  <si>
    <t>[End Format Range]</t>
  </si>
  <si>
    <t>Chart of Account</t>
  </si>
  <si>
    <t>Customer_Supplier</t>
  </si>
  <si>
    <t>Variance</t>
  </si>
  <si>
    <t>€</t>
  </si>
  <si>
    <t>%</t>
  </si>
  <si>
    <t>Expenses by supplier</t>
  </si>
  <si>
    <t>Amount (in LC)</t>
  </si>
  <si>
    <t>N-901000-Purchase expense - 3rd p</t>
  </si>
  <si>
    <t>N-901010-Outside suppliers / serv</t>
  </si>
  <si>
    <t>N-901700-VALUE ADJ PURCHASED ITEMS</t>
  </si>
  <si>
    <t>N-901701-VALUE ADJ-RESALE OTHER.</t>
  </si>
  <si>
    <t>N-902000-Repair / maintenance / r</t>
  </si>
  <si>
    <t>N-906000-Energy</t>
  </si>
  <si>
    <t>N-907000-Purchase expense - 3rd p</t>
  </si>
  <si>
    <t>N-907020-Purchase expense - IC</t>
  </si>
  <si>
    <t>N-912000-Leasing costs related to</t>
  </si>
  <si>
    <t>N-912100-Other operating expense</t>
  </si>
  <si>
    <t>N-915000-Repair / maintenance / r</t>
  </si>
  <si>
    <t>N-915100-Other operating expense</t>
  </si>
  <si>
    <t>N-915200-Other operating expense</t>
  </si>
  <si>
    <t>N-916000-Insurance expenses</t>
  </si>
  <si>
    <t>N-916100-SELLING EXPENSES</t>
  </si>
  <si>
    <t>N-922000-Other operating expense</t>
  </si>
  <si>
    <t>N-922100-Auditor services</t>
  </si>
  <si>
    <t>N-922200-Advisory services</t>
  </si>
  <si>
    <t>N-922300-SELLING EXPENSES</t>
  </si>
  <si>
    <t>N-922500-OTHER OP. EXP. IC</t>
  </si>
  <si>
    <t>N-923000-SELLING EXPENSES</t>
  </si>
  <si>
    <t>N-923100-SELLING EXPENSES</t>
  </si>
  <si>
    <t>N-924000-SELLING EXPENSES</t>
  </si>
  <si>
    <t>N-924100-Other operating expense</t>
  </si>
  <si>
    <t>N-929000-Other operating expense</t>
  </si>
  <si>
    <t>N-930000-OTHER TAXES CAPITAL/OTH.</t>
  </si>
  <si>
    <t>N-931000-OTHER TAXES CAPITAL/OTH.</t>
  </si>
  <si>
    <t>N-932000-Licences/royalties expen</t>
  </si>
  <si>
    <t>N-933000-Other operating expense</t>
  </si>
  <si>
    <t>N-940000-Wages and salaries</t>
  </si>
  <si>
    <t>N-941050-Social security / pensio</t>
  </si>
  <si>
    <t>N-941080-Temporary staff - 3rd pa</t>
  </si>
  <si>
    <t>N-941100-Wages and salaries</t>
  </si>
  <si>
    <t>N-941500-Social security / pensio</t>
  </si>
  <si>
    <t>N-946000-Pension expenses - defin</t>
  </si>
  <si>
    <t>N-947000-Other personnel costs</t>
  </si>
  <si>
    <t>N-950000-Allowances / value adj.</t>
  </si>
  <si>
    <t>N-953000-Changes -  provisions -</t>
  </si>
  <si>
    <t>N-954000-Management fees - income</t>
  </si>
  <si>
    <t>N-955000-Other Income/expenses (G</t>
  </si>
  <si>
    <t>N-961000-OPERAT. FX G/L REALISED</t>
  </si>
  <si>
    <t>N-962000-Interest income - Cash /</t>
  </si>
  <si>
    <t>N-963000-Interest income - IC - c</t>
  </si>
  <si>
    <t>N-963100-Income - cash / cash equ</t>
  </si>
  <si>
    <t>N-963300-Income - securities AFS</t>
  </si>
  <si>
    <t>N-963500-Dividends from participa</t>
  </si>
  <si>
    <t>N-965100-Interest expense - Cash/</t>
  </si>
  <si>
    <t>N-965300-Interest expense IC - ca</t>
  </si>
  <si>
    <t>N-968900-Other financial expense</t>
  </si>
  <si>
    <t>N-970000-Other operating expense</t>
  </si>
  <si>
    <t>N-971200-Outside suppliers / serv</t>
  </si>
  <si>
    <t>N-972000-Income taxes</t>
  </si>
  <si>
    <t>N-973000-Changes provisions -  de</t>
  </si>
  <si>
    <t>N-979000-SOCIAL HORS CONSO</t>
  </si>
  <si>
    <t>N-980000-Depreciation - PPE</t>
  </si>
  <si>
    <t>N-981000-Depreciation - PPE</t>
  </si>
  <si>
    <t>N-985000-Amortisation - intangibl</t>
  </si>
  <si>
    <t>N-990000-ALLOCAITON ACCOUNTING</t>
  </si>
  <si>
    <t>N-993000-ALLOCAITON ACCOUNTING</t>
  </si>
  <si>
    <t>N-996000-ALLOCAITON ACCOUNTING</t>
  </si>
  <si>
    <t>-1 -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</si>
</sst>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+ &quot;@"/>
    <numFmt numFmtId="165" formatCode="&quot;- &quot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2" borderId="1" xfId="0" applyFont="1" applyFill="1" applyBorder="1"/>
    <xf numFmtId="0" fontId="0" fillId="2" borderId="1" xfId="0" applyFill="1" applyBorder="1"/>
    <xf numFmtId="4" fontId="5" fillId="2" borderId="0" xfId="0" applyNumberFormat="1" applyFont="1" applyFill="1"/>
    <xf numFmtId="4" fontId="5" fillId="3" borderId="0" xfId="0" applyNumberFormat="1" applyFont="1" applyFill="1"/>
    <xf numFmtId="4" fontId="5" fillId="0" borderId="0" xfId="0" applyNumberFormat="1" applyFont="1"/>
    <xf numFmtId="164" fontId="3" fillId="2" borderId="1" xfId="0" applyNumberFormat="1" applyFont="1" applyFill="1" applyBorder="1" applyAlignment="1"/>
    <xf numFmtId="164" fontId="6" fillId="2" borderId="1" xfId="0" applyNumberFormat="1" applyFont="1" applyFill="1" applyBorder="1" applyAlignment="1"/>
    <xf numFmtId="0" fontId="3" fillId="4" borderId="0" xfId="0" applyFont="1" applyFill="1"/>
    <xf numFmtId="0" fontId="0" fillId="4" borderId="0" xfId="0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5" borderId="0" xfId="0" applyFill="1"/>
    <xf numFmtId="0" fontId="4" fillId="4" borderId="2" xfId="0" applyFont="1" applyFill="1" applyBorder="1" applyAlignment="1">
      <alignment horizontal="center"/>
    </xf>
    <xf numFmtId="9" fontId="7" fillId="4" borderId="3" xfId="1" applyNumberFormat="1" applyFont="1" applyFill="1" applyBorder="1" applyAlignment="1">
      <alignment horizontal="center"/>
    </xf>
    <xf numFmtId="0" fontId="3" fillId="4" borderId="4" xfId="0" applyFont="1" applyFill="1" applyBorder="1"/>
    <xf numFmtId="0" fontId="2" fillId="4" borderId="4" xfId="0" applyFont="1" applyFill="1" applyBorder="1"/>
    <xf numFmtId="0" fontId="0" fillId="4" borderId="4" xfId="0" applyFill="1" applyBorder="1"/>
    <xf numFmtId="3" fontId="7" fillId="4" borderId="9" xfId="0" applyNumberFormat="1" applyFont="1" applyFill="1" applyBorder="1" applyAlignment="1">
      <alignment horizontal="center"/>
    </xf>
    <xf numFmtId="0" fontId="0" fillId="2" borderId="7" xfId="0" applyFill="1" applyBorder="1"/>
    <xf numFmtId="0" fontId="0" fillId="3" borderId="7" xfId="0" applyFill="1" applyBorder="1"/>
    <xf numFmtId="0" fontId="0" fillId="0" borderId="7" xfId="0" applyBorder="1"/>
    <xf numFmtId="0" fontId="0" fillId="5" borderId="7" xfId="0" applyFill="1" applyBorder="1"/>
    <xf numFmtId="0" fontId="8" fillId="5" borderId="0" xfId="0" applyFont="1" applyFill="1" applyBorder="1" applyAlignment="1">
      <alignment vertical="top"/>
    </xf>
    <xf numFmtId="3" fontId="4" fillId="4" borderId="8" xfId="0" applyNumberFormat="1" applyFont="1" applyFill="1" applyBorder="1" applyAlignment="1">
      <alignment horizontal="center"/>
    </xf>
    <xf numFmtId="165" fontId="0" fillId="2" borderId="7" xfId="0" applyNumberFormat="1" applyFill="1" applyBorder="1" applyAlignment="1"/>
    <xf numFmtId="165" fontId="0" fillId="3" borderId="7" xfId="0" applyNumberFormat="1" applyFill="1" applyBorder="1" applyAlignment="1">
      <alignment horizontal="left" indent="1"/>
    </xf>
    <xf numFmtId="49" fontId="0" fillId="0" borderId="7" xfId="0" applyNumberFormat="1" applyBorder="1" applyAlignment="1">
      <alignment horizontal="left" indent="2"/>
    </xf>
    <xf numFmtId="3" fontId="5" fillId="2" borderId="7" xfId="0" applyNumberFormat="1" applyFont="1" applyFill="1" applyBorder="1"/>
    <xf numFmtId="3" fontId="0" fillId="0" borderId="0" xfId="0" applyNumberFormat="1"/>
    <xf numFmtId="3" fontId="5" fillId="3" borderId="7" xfId="0" applyNumberFormat="1" applyFont="1" applyFill="1" applyBorder="1"/>
    <xf numFmtId="3" fontId="5" fillId="0" borderId="7" xfId="0" applyNumberFormat="1" applyFont="1" applyBorder="1"/>
    <xf numFmtId="3" fontId="5" fillId="3" borderId="1" xfId="0" applyNumberFormat="1" applyFont="1" applyFill="1" applyBorder="1"/>
    <xf numFmtId="3" fontId="5" fillId="0" borderId="1" xfId="0" applyNumberFormat="1" applyFont="1" applyBorder="1"/>
    <xf numFmtId="3" fontId="5" fillId="2" borderId="1" xfId="0" applyNumberFormat="1" applyFont="1" applyFill="1" applyBorder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5" fillId="2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9" fontId="5" fillId="2" borderId="7" xfId="0" applyNumberFormat="1" applyFont="1" applyFill="1" applyBorder="1" applyAlignment="1">
      <alignment horizontal="center"/>
    </xf>
    <xf numFmtId="9" fontId="5" fillId="3" borderId="7" xfId="0" applyNumberFormat="1" applyFont="1" applyFill="1" applyBorder="1" applyAlignment="1">
      <alignment horizontal="center"/>
    </xf>
    <xf numFmtId="9" fontId="5" fillId="0" borderId="7" xfId="0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9" fillId="4" borderId="0" xfId="0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995"/>
  <ax:ocxPr ax:name="_ExtentY" ax:value="116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6</xdr:col>
      <xdr:colOff>590551</xdr:colOff>
      <xdr:row>13</xdr:row>
      <xdr:rowOff>21195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771650"/>
          <a:ext cx="8439150" cy="7831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1104900</xdr:colOff>
          <xdr:row>15</xdr:row>
          <xdr:rowOff>0</xdr:rowOff>
        </xdr:from>
        <xdr:to>
          <xdr:col>5</xdr:col>
          <xdr:colOff>1076325</xdr:colOff>
          <xdr:row>17</xdr:row>
          <xdr:rowOff>123825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J67"/>
  <sheetViews>
    <sheetView showGridLines="0" tabSelected="1" zoomScaleNormal="100" workbookViewId="0">
      <pane xSplit="4" ySplit="23" topLeftCell="E24" activePane="bottomRight" state="frozen"/>
      <selection activeCell="B1" sqref="B1"/>
      <selection pane="topRight" activeCell="D1" sqref="D1"/>
      <selection pane="bottomLeft" activeCell="B27" sqref="B27"/>
      <selection pane="bottomRight" activeCell="D16" sqref="D16"/>
    </sheetView>
  </sheetViews>
  <sheetFormatPr defaultColWidth="0" defaultRowHeight="15" zeroHeight="1" x14ac:dyDescent="0.25"/>
  <cols>
    <col min="1" max="1" width="6.42578125" hidden="1" customWidth="1"/>
    <col min="2" max="2" width="2" customWidth="1"/>
    <col min="3" max="3" width="38.42578125" customWidth="1"/>
    <col min="4" max="4" width="44.140625" customWidth="1"/>
    <col min="5" max="7" width="16.5703125" customWidth="1"/>
    <col min="8" max="9" width="14.5703125" style="37" bestFit="1" customWidth="1"/>
    <col min="10" max="10" width="0.42578125" customWidth="1"/>
    <col min="11" max="12" width="11.42578125" hidden="1" customWidth="1"/>
    <col min="13" max="16384" width="11.42578125" hidden="1"/>
  </cols>
  <sheetData>
    <row r="1" spans="1:10" ht="12.75" hidden="1" customHeight="1" x14ac:dyDescent="0.25">
      <c r="A1" t="s">
        <v>8</v>
      </c>
      <c r="E1" s="30"/>
      <c r="F1" s="30"/>
      <c r="G1" s="30"/>
      <c r="H1" s="36"/>
      <c r="I1" s="47"/>
    </row>
    <row r="2" spans="1:10" ht="15" hidden="1" customHeight="1" x14ac:dyDescent="0.25">
      <c r="A2">
        <f>0</f>
        <v>0</v>
      </c>
      <c r="B2" s="1"/>
      <c r="C2" s="1"/>
      <c r="D2" s="20"/>
      <c r="E2" s="29"/>
      <c r="F2" s="35"/>
      <c r="G2" s="29"/>
      <c r="H2" s="38"/>
      <c r="I2" s="44"/>
      <c r="J2" s="3"/>
    </row>
    <row r="3" spans="1:10" ht="14.25" hidden="1" customHeight="1" x14ac:dyDescent="0.25">
      <c r="A3">
        <f>1</f>
        <v>1</v>
      </c>
      <c r="B3" s="2"/>
      <c r="C3" s="2"/>
      <c r="D3" s="21"/>
      <c r="E3" s="31"/>
      <c r="F3" s="33"/>
      <c r="G3" s="31"/>
      <c r="H3" s="39"/>
      <c r="I3" s="45"/>
      <c r="J3" s="4"/>
    </row>
    <row r="4" spans="1:10" ht="12.75" hidden="1" customHeight="1" x14ac:dyDescent="0.25">
      <c r="A4">
        <f>2</f>
        <v>2</v>
      </c>
      <c r="B4" s="2"/>
      <c r="C4" s="2"/>
      <c r="D4" s="21"/>
      <c r="E4" s="31"/>
      <c r="F4" s="33"/>
      <c r="G4" s="31"/>
      <c r="H4" s="39"/>
      <c r="I4" s="45"/>
      <c r="J4" s="4"/>
    </row>
    <row r="5" spans="1:10" ht="14.25" hidden="1" customHeight="1" x14ac:dyDescent="0.25">
      <c r="A5">
        <f>3</f>
        <v>3</v>
      </c>
      <c r="B5" s="2"/>
      <c r="C5" s="2"/>
      <c r="D5" s="21"/>
      <c r="E5" s="31"/>
      <c r="F5" s="33"/>
      <c r="G5" s="31"/>
      <c r="H5" s="39"/>
      <c r="I5" s="45"/>
      <c r="J5" s="4"/>
    </row>
    <row r="6" spans="1:10" ht="19.5" hidden="1" customHeight="1" x14ac:dyDescent="0.25">
      <c r="A6" t="s">
        <v>6</v>
      </c>
      <c r="B6" s="2"/>
      <c r="C6" s="2"/>
      <c r="D6" s="21"/>
      <c r="E6" s="31"/>
      <c r="F6" s="33"/>
      <c r="G6" s="31"/>
      <c r="H6" s="39"/>
      <c r="I6" s="45"/>
      <c r="J6" s="4"/>
    </row>
    <row r="7" spans="1:10" ht="14.25" hidden="1" customHeight="1" x14ac:dyDescent="0.25">
      <c r="A7" t="s">
        <v>7</v>
      </c>
      <c r="B7" s="2"/>
      <c r="C7" s="2"/>
      <c r="D7" s="22"/>
      <c r="E7" s="32"/>
      <c r="F7" s="34"/>
      <c r="G7" s="32"/>
      <c r="H7" s="40"/>
      <c r="I7" s="46"/>
      <c r="J7" s="5"/>
    </row>
    <row r="8" spans="1:10" ht="17.25" hidden="1" customHeight="1" x14ac:dyDescent="0.25">
      <c r="A8" t="s">
        <v>9</v>
      </c>
      <c r="D8" s="22"/>
      <c r="I8" s="47"/>
    </row>
    <row r="9" spans="1:10" ht="15.75" hidden="1" customHeight="1" x14ac:dyDescent="0.25">
      <c r="C9" t="str">
        <f ca="1">_xll.TM1RPTVIEW("CXMD:FTM_DATA_SAVING_LEDGER:ARPT1", 1, _xll.TM1RPTTITLE("CXMD:DIM_Origin_Company",$D$16), _xll.TM1RPTTITLE("CXMD:DIM_Book",$D$17), _xll.TM1RPTTITLE("CXMD:DIM_Allocation",$D$18),TM1RPTFMTRNG,TM1RPTFMTIDCOL)</f>
        <v>CXMD:FTM_DATA_SAVING_LEDGER:ARPT1</v>
      </c>
      <c r="D9" s="22"/>
    </row>
    <row r="10" spans="1:10" x14ac:dyDescent="0.25">
      <c r="B10" s="13"/>
      <c r="C10" s="13"/>
      <c r="D10" s="23"/>
      <c r="E10" s="13"/>
      <c r="F10" s="13"/>
      <c r="G10" s="13"/>
      <c r="H10" s="41"/>
      <c r="I10" s="41"/>
      <c r="J10" s="13"/>
    </row>
    <row r="11" spans="1:10" x14ac:dyDescent="0.25">
      <c r="B11" s="13"/>
      <c r="C11" s="13"/>
      <c r="D11" s="13"/>
      <c r="E11" s="13"/>
      <c r="F11" s="13"/>
      <c r="G11" s="13"/>
      <c r="H11" s="41"/>
      <c r="I11" s="41"/>
      <c r="J11" s="13"/>
    </row>
    <row r="12" spans="1:10" x14ac:dyDescent="0.25">
      <c r="B12" s="13"/>
      <c r="C12" s="13"/>
      <c r="D12" s="13"/>
      <c r="E12" s="13"/>
      <c r="F12" s="13"/>
      <c r="G12" s="13"/>
      <c r="H12" s="41"/>
      <c r="I12" s="41"/>
      <c r="J12" s="13"/>
    </row>
    <row r="13" spans="1:10" x14ac:dyDescent="0.25">
      <c r="B13" s="13"/>
      <c r="C13" s="13"/>
      <c r="D13" s="13"/>
      <c r="E13" s="13"/>
      <c r="F13" s="13"/>
      <c r="G13" s="13"/>
      <c r="H13" s="41"/>
      <c r="I13" s="41"/>
      <c r="J13" s="13"/>
    </row>
    <row r="14" spans="1:10" x14ac:dyDescent="0.25">
      <c r="B14" s="13"/>
      <c r="C14" s="13"/>
      <c r="D14" s="13"/>
      <c r="E14" s="13"/>
      <c r="F14" s="13"/>
      <c r="G14" s="13"/>
      <c r="H14" s="41"/>
      <c r="I14" s="41"/>
      <c r="J14" s="13"/>
    </row>
    <row r="15" spans="1:10" ht="24.75" customHeight="1" x14ac:dyDescent="0.25">
      <c r="B15" s="13"/>
      <c r="C15" s="13"/>
      <c r="D15" s="13"/>
      <c r="E15" s="13"/>
      <c r="F15" s="24" t="s">
        <v>15</v>
      </c>
      <c r="G15" s="13"/>
      <c r="H15" s="41"/>
      <c r="I15" s="41"/>
      <c r="J15" s="13"/>
    </row>
    <row r="16" spans="1:10" x14ac:dyDescent="0.25">
      <c r="B16" s="8"/>
      <c r="C16" s="8" t="s">
        <v>0</v>
      </c>
      <c r="D16" s="10" t="str">
        <f ca="1">_xll.SUBNM("CXMD:DIM_Origin_Company","","Y","Name EN")</f>
        <v>SILVA</v>
      </c>
      <c r="E16" s="9"/>
      <c r="F16" s="9"/>
      <c r="G16" s="9"/>
      <c r="H16" s="42"/>
      <c r="I16" s="42"/>
      <c r="J16" s="9"/>
    </row>
    <row r="17" spans="1:10" hidden="1" x14ac:dyDescent="0.25">
      <c r="B17" s="8"/>
      <c r="C17" s="8" t="s">
        <v>1</v>
      </c>
      <c r="D17" s="10" t="str">
        <f ca="1">_xll.SUBNM("CXMD:DIM_Book","Par défaut","Total Book")</f>
        <v>Total Book</v>
      </c>
      <c r="E17" s="9"/>
      <c r="F17" s="9"/>
      <c r="G17" s="9"/>
      <c r="H17" s="42"/>
      <c r="I17" s="42"/>
      <c r="J17" s="9"/>
    </row>
    <row r="18" spans="1:10" x14ac:dyDescent="0.25">
      <c r="B18" s="16"/>
      <c r="C18" s="16" t="s">
        <v>2</v>
      </c>
      <c r="D18" s="17" t="str">
        <f ca="1">_xll.SUBNM("CXMD:DIM_Allocation","","Total Allocation","Allocation EN")</f>
        <v>Total Allocation</v>
      </c>
      <c r="E18" s="18"/>
      <c r="F18" s="18"/>
      <c r="G18" s="18"/>
      <c r="H18" s="43"/>
      <c r="I18" s="43"/>
      <c r="J18" s="18"/>
    </row>
    <row r="19" spans="1:10" x14ac:dyDescent="0.25">
      <c r="B19" s="8"/>
      <c r="C19" s="8"/>
      <c r="D19" s="8"/>
      <c r="E19" s="8"/>
      <c r="F19" s="8"/>
      <c r="G19" s="8"/>
      <c r="H19" s="12"/>
      <c r="I19" s="12"/>
      <c r="J19" s="8"/>
    </row>
    <row r="20" spans="1:10" x14ac:dyDescent="0.25">
      <c r="B20" s="8"/>
      <c r="C20" s="8"/>
      <c r="D20" s="8"/>
      <c r="E20" s="8"/>
      <c r="F20" s="8"/>
      <c r="G20" s="8"/>
      <c r="H20" s="12"/>
      <c r="I20" s="12"/>
      <c r="J20" s="8"/>
    </row>
    <row r="21" spans="1:10" x14ac:dyDescent="0.25">
      <c r="B21" s="48"/>
      <c r="C21" s="48" t="s">
        <v>16</v>
      </c>
      <c r="D21" s="8"/>
      <c r="E21" s="14" t="str">
        <f ca="1">_xll.SUBNM("CXMD:Actuality","","AC2021","Description EN")</f>
        <v>AC2021</v>
      </c>
      <c r="F21" s="14" t="str">
        <f ca="1">_xll.SUBNM("CXMD:Actuality","","AC2021","Description EN")</f>
        <v>AC2021</v>
      </c>
      <c r="G21" s="14" t="str">
        <f ca="1">_xll.SUBNM("CXMD:Actuality","","AC2022","Description EN")</f>
        <v>AC2022</v>
      </c>
      <c r="H21" s="49" t="s">
        <v>12</v>
      </c>
      <c r="I21" s="50"/>
      <c r="J21" s="11"/>
    </row>
    <row r="22" spans="1:10" x14ac:dyDescent="0.25">
      <c r="B22" s="8"/>
      <c r="C22" s="8"/>
      <c r="D22" s="8"/>
      <c r="E22" s="14" t="str">
        <f ca="1">_xll.SUBNM("CXMD:Month","","YTD_December","Description EN")</f>
        <v>YTD_December</v>
      </c>
      <c r="F22" s="14" t="str">
        <f ca="1">_xll.SUBNM("CXMD:Month","","YTD_August","Description EN")</f>
        <v>YTD_August</v>
      </c>
      <c r="G22" s="14" t="str">
        <f ca="1">_xll.SUBNM("CXMD:Month","","YTD_August","Description EN")</f>
        <v>YTD_August</v>
      </c>
      <c r="H22" s="51" t="str">
        <f ca="1">G22</f>
        <v>YTD_August</v>
      </c>
      <c r="I22" s="52"/>
      <c r="J22" s="11"/>
    </row>
    <row r="23" spans="1:10" x14ac:dyDescent="0.25">
      <c r="B23" s="11"/>
      <c r="C23" s="11" t="s">
        <v>10</v>
      </c>
      <c r="D23" s="11" t="s">
        <v>11</v>
      </c>
      <c r="E23" s="25" t="s">
        <v>3</v>
      </c>
      <c r="F23" s="25" t="s">
        <v>3</v>
      </c>
      <c r="G23" s="25" t="s">
        <v>3</v>
      </c>
      <c r="H23" s="19" t="s">
        <v>13</v>
      </c>
      <c r="I23" s="15" t="s">
        <v>14</v>
      </c>
      <c r="J23" s="11"/>
    </row>
    <row r="24" spans="1:10" x14ac:dyDescent="0.25">
      <c r="A24">
        <f ca="1">IF(_xll.TM1RPTELISCONSOLIDATED($D$24,$D24),IF(_xll.TM1RPTELLEV($D$24,$D24)&lt;=3,_xll.TM1RPTELLEV($D$24,$D24),"D"),"N")</f>
        <v>0</v>
      </c>
      <c r="B24" s="1"/>
      <c r="C24" s="6" t="str">
        <f ca="1">_xll.TM1RPTROW($C$9,"CXMD:DIM_Chart_of_Account","",'{AR}01'!$B$22:$B$81,"Description EN",0)</f>
        <v>N-906000-Energy</v>
      </c>
      <c r="D24" s="26" t="str">
        <f ca="1">_xll.TM1RPTROW($C$9,"CXMD:DIM_Customer_Supplier","Total Customer Supplier","","Code-Name",0)</f>
        <v>Total_Customer_Supplier</v>
      </c>
      <c r="E24" s="29">
        <f ca="1">_xll.DBRW($C$9,E$22,$D$16,$D$17,E$21,$C24,$D$18,$D24,E$23)</f>
        <v>9232.2999999999993</v>
      </c>
      <c r="F24" s="35">
        <f ca="1">_xll.DBRW($C$9,F$22,$D$16,$D$17,F$21,$C24,$D$18,$D24,F$23)</f>
        <v>7435.4</v>
      </c>
      <c r="G24" s="29">
        <f ca="1">_xll.DBRW($C$9,G$22,$D$16,$D$17,G$21,$C24,$D$18,$D24,G$23)</f>
        <v>1800.03</v>
      </c>
      <c r="H24" s="38">
        <f ca="1">G24-F24</f>
        <v>-5635.37</v>
      </c>
      <c r="I24" s="44">
        <f ca="1">IF(F24&lt;&gt;0,(G24/F24)-1,0)</f>
        <v>-0.7579108050676493</v>
      </c>
      <c r="J24" s="3"/>
    </row>
    <row r="25" spans="1:10" x14ac:dyDescent="0.25">
      <c r="A25">
        <f ca="1">IF(_xll.TM1RPTELISCONSOLIDATED($D$24,$D25),IF(_xll.TM1RPTELLEV($D$24,$D25)&lt;=3,_xll.TM1RPTELLEV($D$24,$D25),"D"),"N")</f>
        <v>1</v>
      </c>
      <c r="B25" s="2"/>
      <c r="C25" s="7" t="s">
        <v>22</v>
      </c>
      <c r="D25" s="27" t="s">
        <v>5</v>
      </c>
      <c r="E25" s="31">
        <f ca="1">_xll.DBRW($C$9,E$22,$D$16,$D$17,E$21,$C25,$D$18,$D25,E$23)</f>
        <v>9232.2999999999993</v>
      </c>
      <c r="F25" s="33">
        <f ca="1">_xll.DBRW($C$9,F$22,$D$16,$D$17,F$21,$C25,$D$18,$D25,F$23)</f>
        <v>7435.4</v>
      </c>
      <c r="G25" s="31">
        <f ca="1">_xll.DBRW($C$9,G$22,$D$16,$D$17,G$21,$C25,$D$18,$D25,G$23)</f>
        <v>1800.03</v>
      </c>
      <c r="H25" s="39">
        <f t="shared" ref="H25:H35" ca="1" si="0">G25-F25</f>
        <v>-5635.37</v>
      </c>
      <c r="I25" s="45">
        <f t="shared" ref="I25:I35" ca="1" si="1">IF(F25&lt;&gt;0,(G25/F25)-1,0)</f>
        <v>-0.7579108050676493</v>
      </c>
      <c r="J25" s="4"/>
    </row>
    <row r="26" spans="1:10" x14ac:dyDescent="0.25">
      <c r="A26" t="str">
        <f ca="1">IF(_xll.TM1RPTELISCONSOLIDATED($D$24,$D26),IF(_xll.TM1RPTELLEV($D$24,$D26)&lt;=3,_xll.TM1RPTELLEV($D$24,$D26),"D"),"N")</f>
        <v>N</v>
      </c>
      <c r="B26" s="2"/>
      <c r="C26" s="7" t="s">
        <v>22</v>
      </c>
      <c r="D26" s="28" t="s">
        <v>77</v>
      </c>
      <c r="E26" s="32">
        <f ca="1">_xll.DBRW($C$9,E$22,$D$16,$D$17,E$21,$C26,$D$18,$D26,E$23)</f>
        <v>9232.2999999999993</v>
      </c>
      <c r="F26" s="34">
        <f ca="1">_xll.DBRW($C$9,F$22,$D$16,$D$17,F$21,$C26,$D$18,$D26,F$23)</f>
        <v>7435.4</v>
      </c>
      <c r="G26" s="32">
        <f ca="1">_xll.DBRW($C$9,G$22,$D$16,$D$17,G$21,$C26,$D$18,$D26,G$23)</f>
        <v>1800.03</v>
      </c>
      <c r="H26" s="40">
        <f t="shared" ca="1" si="0"/>
        <v>-5635.37</v>
      </c>
      <c r="I26" s="46">
        <f t="shared" ca="1" si="1"/>
        <v>-0.7579108050676493</v>
      </c>
      <c r="J26" s="5"/>
    </row>
    <row r="27" spans="1:10" x14ac:dyDescent="0.25">
      <c r="A27">
        <f ca="1">IF(_xll.TM1RPTELISCONSOLIDATED($D$24,$D27),IF(_xll.TM1RPTELLEV($D$24,$D27)&lt;=3,_xll.TM1RPTELLEV($D$24,$D27),"D"),"N")</f>
        <v>0</v>
      </c>
      <c r="B27" s="1"/>
      <c r="C27" s="6" t="s">
        <v>41</v>
      </c>
      <c r="D27" s="26" t="s">
        <v>4</v>
      </c>
      <c r="E27" s="29">
        <f ca="1">_xll.DBRW($C$9,E$22,$D$16,$D$17,E$21,$C27,$D$18,$D27,E$23)</f>
        <v>1.95</v>
      </c>
      <c r="F27" s="35">
        <f ca="1">_xll.DBRW($C$9,F$22,$D$16,$D$17,F$21,$C27,$D$18,$D27,F$23)</f>
        <v>0</v>
      </c>
      <c r="G27" s="29">
        <f ca="1">_xll.DBRW($C$9,G$22,$D$16,$D$17,G$21,$C27,$D$18,$D27,G$23)</f>
        <v>0</v>
      </c>
      <c r="H27" s="38">
        <f t="shared" ca="1" si="0"/>
        <v>0</v>
      </c>
      <c r="I27" s="44">
        <f t="shared" ca="1" si="1"/>
        <v>0</v>
      </c>
      <c r="J27" s="3"/>
    </row>
    <row r="28" spans="1:10" x14ac:dyDescent="0.25">
      <c r="A28">
        <f ca="1">IF(_xll.TM1RPTELISCONSOLIDATED($D$24,$D28),IF(_xll.TM1RPTELLEV($D$24,$D28)&lt;=3,_xll.TM1RPTELLEV($D$24,$D28),"D"),"N")</f>
        <v>1</v>
      </c>
      <c r="B28" s="2"/>
      <c r="C28" s="7" t="s">
        <v>41</v>
      </c>
      <c r="D28" s="27" t="s">
        <v>5</v>
      </c>
      <c r="E28" s="31">
        <f ca="1">_xll.DBRW($C$9,E$22,$D$16,$D$17,E$21,$C28,$D$18,$D28,E$23)</f>
        <v>1.95</v>
      </c>
      <c r="F28" s="33">
        <f ca="1">_xll.DBRW($C$9,F$22,$D$16,$D$17,F$21,$C28,$D$18,$D28,F$23)</f>
        <v>0</v>
      </c>
      <c r="G28" s="31">
        <f ca="1">_xll.DBRW($C$9,G$22,$D$16,$D$17,G$21,$C28,$D$18,$D28,G$23)</f>
        <v>0</v>
      </c>
      <c r="H28" s="39">
        <f t="shared" ca="1" si="0"/>
        <v>0</v>
      </c>
      <c r="I28" s="45">
        <f t="shared" ca="1" si="1"/>
        <v>0</v>
      </c>
      <c r="J28" s="4"/>
    </row>
    <row r="29" spans="1:10" x14ac:dyDescent="0.25">
      <c r="A29" t="str">
        <f ca="1">IF(_xll.TM1RPTELISCONSOLIDATED($D$24,$D29),IF(_xll.TM1RPTELLEV($D$24,$D29)&lt;=3,_xll.TM1RPTELLEV($D$24,$D29),"D"),"N")</f>
        <v>N</v>
      </c>
      <c r="B29" s="2"/>
      <c r="C29" s="7" t="s">
        <v>41</v>
      </c>
      <c r="D29" s="28" t="s">
        <v>77</v>
      </c>
      <c r="E29" s="32">
        <f ca="1">_xll.DBRW($C$9,E$22,$D$16,$D$17,E$21,$C29,$D$18,$D29,E$23)</f>
        <v>1.95</v>
      </c>
      <c r="F29" s="34">
        <f ca="1">_xll.DBRW($C$9,F$22,$D$16,$D$17,F$21,$C29,$D$18,$D29,F$23)</f>
        <v>0</v>
      </c>
      <c r="G29" s="32">
        <f ca="1">_xll.DBRW($C$9,G$22,$D$16,$D$17,G$21,$C29,$D$18,$D29,G$23)</f>
        <v>0</v>
      </c>
      <c r="H29" s="40">
        <f t="shared" ca="1" si="0"/>
        <v>0</v>
      </c>
      <c r="I29" s="46">
        <f t="shared" ca="1" si="1"/>
        <v>0</v>
      </c>
      <c r="J29" s="5"/>
    </row>
    <row r="30" spans="1:10" x14ac:dyDescent="0.25">
      <c r="A30">
        <f ca="1">IF(_xll.TM1RPTELISCONSOLIDATED($D$24,$D30),IF(_xll.TM1RPTELLEV($D$24,$D30)&lt;=3,_xll.TM1RPTELLEV($D$24,$D30),"D"),"N")</f>
        <v>0</v>
      </c>
      <c r="B30" s="1"/>
      <c r="C30" s="6" t="s">
        <v>43</v>
      </c>
      <c r="D30" s="26" t="s">
        <v>4</v>
      </c>
      <c r="E30" s="29">
        <f ca="1">_xll.DBRW($C$9,E$22,$D$16,$D$17,E$21,$C30,$D$18,$D30,E$23)</f>
        <v>10944</v>
      </c>
      <c r="F30" s="35">
        <f ca="1">_xll.DBRW($C$9,F$22,$D$16,$D$17,F$21,$C30,$D$18,$D30,F$23)</f>
        <v>0</v>
      </c>
      <c r="G30" s="29">
        <f ca="1">_xll.DBRW($C$9,G$22,$D$16,$D$17,G$21,$C30,$D$18,$D30,G$23)</f>
        <v>0</v>
      </c>
      <c r="H30" s="38">
        <f t="shared" ca="1" si="0"/>
        <v>0</v>
      </c>
      <c r="I30" s="44">
        <f t="shared" ca="1" si="1"/>
        <v>0</v>
      </c>
      <c r="J30" s="3"/>
    </row>
    <row r="31" spans="1:10" x14ac:dyDescent="0.25">
      <c r="A31">
        <f ca="1">IF(_xll.TM1RPTELISCONSOLIDATED($D$24,$D31),IF(_xll.TM1RPTELLEV($D$24,$D31)&lt;=3,_xll.TM1RPTELLEV($D$24,$D31),"D"),"N")</f>
        <v>1</v>
      </c>
      <c r="B31" s="2"/>
      <c r="C31" s="7" t="s">
        <v>43</v>
      </c>
      <c r="D31" s="27" t="s">
        <v>5</v>
      </c>
      <c r="E31" s="31">
        <f ca="1">_xll.DBRW($C$9,E$22,$D$16,$D$17,E$21,$C31,$D$18,$D31,E$23)</f>
        <v>10944</v>
      </c>
      <c r="F31" s="33">
        <f ca="1">_xll.DBRW($C$9,F$22,$D$16,$D$17,F$21,$C31,$D$18,$D31,F$23)</f>
        <v>0</v>
      </c>
      <c r="G31" s="31">
        <f ca="1">_xll.DBRW($C$9,G$22,$D$16,$D$17,G$21,$C31,$D$18,$D31,G$23)</f>
        <v>0</v>
      </c>
      <c r="H31" s="39">
        <f t="shared" ca="1" si="0"/>
        <v>0</v>
      </c>
      <c r="I31" s="45">
        <f t="shared" ca="1" si="1"/>
        <v>0</v>
      </c>
      <c r="J31" s="4"/>
    </row>
    <row r="32" spans="1:10" x14ac:dyDescent="0.25">
      <c r="A32" t="str">
        <f ca="1">IF(_xll.TM1RPTELISCONSOLIDATED($D$24,$D32),IF(_xll.TM1RPTELLEV($D$24,$D32)&lt;=3,_xll.TM1RPTELLEV($D$24,$D32),"D"),"N")</f>
        <v>N</v>
      </c>
      <c r="B32" s="2"/>
      <c r="C32" s="7" t="s">
        <v>43</v>
      </c>
      <c r="D32" s="28" t="s">
        <v>77</v>
      </c>
      <c r="E32" s="32">
        <f ca="1">_xll.DBRW($C$9,E$22,$D$16,$D$17,E$21,$C32,$D$18,$D32,E$23)</f>
        <v>10944</v>
      </c>
      <c r="F32" s="34">
        <f ca="1">_xll.DBRW($C$9,F$22,$D$16,$D$17,F$21,$C32,$D$18,$D32,F$23)</f>
        <v>0</v>
      </c>
      <c r="G32" s="32">
        <f ca="1">_xll.DBRW($C$9,G$22,$D$16,$D$17,G$21,$C32,$D$18,$D32,G$23)</f>
        <v>0</v>
      </c>
      <c r="H32" s="40">
        <f t="shared" ca="1" si="0"/>
        <v>0</v>
      </c>
      <c r="I32" s="46">
        <f t="shared" ca="1" si="1"/>
        <v>0</v>
      </c>
      <c r="J32" s="5"/>
    </row>
    <row r="33" spans="1:10" x14ac:dyDescent="0.25">
      <c r="A33">
        <f ca="1">IF(_xll.TM1RPTELISCONSOLIDATED($D$24,$D33),IF(_xll.TM1RPTELLEV($D$24,$D33)&lt;=3,_xll.TM1RPTELLEV($D$24,$D33),"D"),"N")</f>
        <v>0</v>
      </c>
      <c r="B33" s="1"/>
      <c r="C33" s="6" t="s">
        <v>70</v>
      </c>
      <c r="D33" s="26" t="s">
        <v>4</v>
      </c>
      <c r="E33" s="29">
        <f ca="1">_xll.DBRW($C$9,E$22,$D$16,$D$17,E$21,$C33,$D$18,$D33,E$23)</f>
        <v>9821.75</v>
      </c>
      <c r="F33" s="35">
        <f ca="1">_xll.DBRW($C$9,F$22,$D$16,$D$17,F$21,$C33,$D$18,$D33,F$23)</f>
        <v>0</v>
      </c>
      <c r="G33" s="29">
        <f ca="1">_xll.DBRW($C$9,G$22,$D$16,$D$17,G$21,$C33,$D$18,$D33,G$23)</f>
        <v>0</v>
      </c>
      <c r="H33" s="38">
        <f t="shared" ca="1" si="0"/>
        <v>0</v>
      </c>
      <c r="I33" s="44">
        <f t="shared" ca="1" si="1"/>
        <v>0</v>
      </c>
      <c r="J33" s="3"/>
    </row>
    <row r="34" spans="1:10" x14ac:dyDescent="0.25">
      <c r="A34">
        <f ca="1">IF(_xll.TM1RPTELISCONSOLIDATED($D$24,$D34),IF(_xll.TM1RPTELLEV($D$24,$D34)&lt;=3,_xll.TM1RPTELLEV($D$24,$D34),"D"),"N")</f>
        <v>1</v>
      </c>
      <c r="B34" s="2"/>
      <c r="C34" s="7" t="s">
        <v>70</v>
      </c>
      <c r="D34" s="27" t="s">
        <v>5</v>
      </c>
      <c r="E34" s="31">
        <f ca="1">_xll.DBRW($C$9,E$22,$D$16,$D$17,E$21,$C34,$D$18,$D34,E$23)</f>
        <v>9821.75</v>
      </c>
      <c r="F34" s="33">
        <f ca="1">_xll.DBRW($C$9,F$22,$D$16,$D$17,F$21,$C34,$D$18,$D34,F$23)</f>
        <v>0</v>
      </c>
      <c r="G34" s="31">
        <f ca="1">_xll.DBRW($C$9,G$22,$D$16,$D$17,G$21,$C34,$D$18,$D34,G$23)</f>
        <v>0</v>
      </c>
      <c r="H34" s="39">
        <f t="shared" ca="1" si="0"/>
        <v>0</v>
      </c>
      <c r="I34" s="45">
        <f t="shared" ca="1" si="1"/>
        <v>0</v>
      </c>
      <c r="J34" s="4"/>
    </row>
    <row r="35" spans="1:10" x14ac:dyDescent="0.25">
      <c r="A35" t="str">
        <f ca="1">IF(_xll.TM1RPTELISCONSOLIDATED($D$24,$D35),IF(_xll.TM1RPTELLEV($D$24,$D35)&lt;=3,_xll.TM1RPTELLEV($D$24,$D35),"D"),"N")</f>
        <v>N</v>
      </c>
      <c r="B35" s="2"/>
      <c r="C35" s="7" t="s">
        <v>70</v>
      </c>
      <c r="D35" s="28" t="s">
        <v>77</v>
      </c>
      <c r="E35" s="32">
        <f ca="1">_xll.DBRW($C$9,E$22,$D$16,$D$17,E$21,$C35,$D$18,$D35,E$23)</f>
        <v>9821.75</v>
      </c>
      <c r="F35" s="34">
        <f ca="1">_xll.DBRW($C$9,F$22,$D$16,$D$17,F$21,$C35,$D$18,$D35,F$23)</f>
        <v>0</v>
      </c>
      <c r="G35" s="32">
        <f ca="1">_xll.DBRW($C$9,G$22,$D$16,$D$17,G$21,$C35,$D$18,$D35,G$23)</f>
        <v>0</v>
      </c>
      <c r="H35" s="40">
        <f t="shared" ca="1" si="0"/>
        <v>0</v>
      </c>
      <c r="I35" s="46">
        <f t="shared" ca="1" si="1"/>
        <v>0</v>
      </c>
      <c r="J35" s="5"/>
    </row>
    <row r="36" spans="1:10" hidden="1" x14ac:dyDescent="0.25">
      <c r="E36" s="30"/>
      <c r="F36" s="30"/>
      <c r="G36" s="30"/>
      <c r="H36" s="36"/>
      <c r="I36" s="47"/>
    </row>
    <row r="37" spans="1:10" hidden="1" x14ac:dyDescent="0.25">
      <c r="E37" s="30"/>
      <c r="F37" s="30"/>
      <c r="G37" s="30"/>
      <c r="H37" s="36"/>
      <c r="I37" s="47"/>
    </row>
    <row r="38" spans="1:10" hidden="1" x14ac:dyDescent="0.25">
      <c r="E38" s="30"/>
      <c r="F38" s="30"/>
      <c r="G38" s="30"/>
      <c r="H38" s="36"/>
      <c r="I38" s="47"/>
    </row>
    <row r="39" spans="1:10" hidden="1" x14ac:dyDescent="0.25">
      <c r="E39" s="30"/>
      <c r="F39" s="30"/>
      <c r="G39" s="30"/>
      <c r="H39" s="36"/>
      <c r="I39" s="47"/>
    </row>
    <row r="40" spans="1:10" hidden="1" x14ac:dyDescent="0.25">
      <c r="E40" s="30"/>
      <c r="F40" s="30"/>
      <c r="G40" s="30"/>
      <c r="H40" s="36"/>
      <c r="I40" s="47"/>
    </row>
    <row r="41" spans="1:10" hidden="1" x14ac:dyDescent="0.25">
      <c r="E41" s="30"/>
      <c r="F41" s="30"/>
      <c r="G41" s="30"/>
      <c r="H41" s="36"/>
      <c r="I41" s="47"/>
    </row>
    <row r="42" spans="1:10" hidden="1" x14ac:dyDescent="0.25">
      <c r="E42" s="30"/>
      <c r="F42" s="30"/>
      <c r="G42" s="30"/>
      <c r="H42" s="36"/>
      <c r="I42" s="47"/>
    </row>
    <row r="43" spans="1:10" hidden="1" x14ac:dyDescent="0.25">
      <c r="E43" s="30"/>
      <c r="F43" s="30"/>
      <c r="G43" s="30"/>
      <c r="H43" s="36"/>
    </row>
    <row r="44" spans="1:10" hidden="1" x14ac:dyDescent="0.25">
      <c r="E44" s="30"/>
      <c r="F44" s="30"/>
      <c r="G44" s="30"/>
      <c r="H44" s="36"/>
    </row>
    <row r="45" spans="1:10" hidden="1" x14ac:dyDescent="0.25">
      <c r="E45" s="30"/>
      <c r="F45" s="30"/>
      <c r="G45" s="30"/>
      <c r="H45" s="36"/>
    </row>
    <row r="46" spans="1:10" hidden="1" x14ac:dyDescent="0.25">
      <c r="E46" s="30"/>
      <c r="F46" s="30"/>
      <c r="G46" s="30"/>
      <c r="H46" s="36"/>
    </row>
    <row r="47" spans="1:10" hidden="1" x14ac:dyDescent="0.25">
      <c r="E47" s="30"/>
      <c r="F47" s="30"/>
      <c r="G47" s="30"/>
      <c r="H47" s="36"/>
    </row>
    <row r="48" spans="1:10" hidden="1" x14ac:dyDescent="0.25">
      <c r="E48" s="30"/>
      <c r="F48" s="30"/>
      <c r="G48" s="30"/>
      <c r="H48" s="36"/>
    </row>
    <row r="49" spans="5:8" hidden="1" x14ac:dyDescent="0.25">
      <c r="E49" s="30"/>
      <c r="F49" s="30"/>
      <c r="G49" s="30"/>
      <c r="H49" s="36"/>
    </row>
    <row r="50" spans="5:8" hidden="1" x14ac:dyDescent="0.25">
      <c r="E50" s="30"/>
      <c r="F50" s="30"/>
      <c r="G50" s="30"/>
      <c r="H50" s="36"/>
    </row>
    <row r="51" spans="5:8" hidden="1" x14ac:dyDescent="0.25">
      <c r="E51" s="30"/>
      <c r="F51" s="30"/>
      <c r="G51" s="30"/>
      <c r="H51" s="36"/>
    </row>
    <row r="52" spans="5:8" hidden="1" x14ac:dyDescent="0.25">
      <c r="E52" s="30"/>
      <c r="F52" s="30"/>
      <c r="G52" s="30"/>
      <c r="H52" s="36"/>
    </row>
    <row r="53" spans="5:8" hidden="1" x14ac:dyDescent="0.25">
      <c r="E53" s="30"/>
      <c r="F53" s="30"/>
      <c r="G53" s="30"/>
      <c r="H53" s="36"/>
    </row>
    <row r="54" spans="5:8" hidden="1" x14ac:dyDescent="0.25"/>
    <row r="55" spans="5:8" hidden="1" x14ac:dyDescent="0.25"/>
    <row r="56" spans="5:8" hidden="1" x14ac:dyDescent="0.25"/>
    <row r="57" spans="5:8" hidden="1" x14ac:dyDescent="0.25"/>
    <row r="58" spans="5:8" hidden="1" x14ac:dyDescent="0.25"/>
    <row r="59" spans="5:8" hidden="1" x14ac:dyDescent="0.25"/>
    <row r="60" spans="5:8" hidden="1" x14ac:dyDescent="0.25"/>
    <row r="61" spans="5:8" hidden="1" x14ac:dyDescent="0.25"/>
    <row r="62" spans="5:8" hidden="1" x14ac:dyDescent="0.25"/>
    <row r="63" spans="5:8" hidden="1" x14ac:dyDescent="0.25"/>
    <row r="64" spans="5:8" hidden="1" x14ac:dyDescent="0.25"/>
    <row r="65" hidden="1" x14ac:dyDescent="0.25"/>
    <row r="66" hidden="1" x14ac:dyDescent="0.25"/>
    <row r="67" hidden="1" x14ac:dyDescent="0.25"/>
  </sheetData>
  <mergeCells count="2">
    <mergeCell ref="H21:I21"/>
    <mergeCell ref="H22:I22"/>
  </mergeCells>
  <conditionalFormatting sqref="H36:I1048576 H1:I20">
    <cfRule type="cellIs" dxfId="11" priority="49" operator="greaterThan">
      <formula>0</formula>
    </cfRule>
    <cfRule type="cellIs" dxfId="10" priority="50" operator="lessThan">
      <formula>0</formula>
    </cfRule>
  </conditionalFormatting>
  <conditionalFormatting sqref="H33:I33 H30:I30 H27:I27 H24:I24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H34:I34 H31:I31 H28:I28 H25:I25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H35:I35 H32:I32 H29:I29 H26:I2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1104900</xdr:colOff>
                <xdr:row>15</xdr:row>
                <xdr:rowOff>0</xdr:rowOff>
              </from>
              <to>
                <xdr:col>5</xdr:col>
                <xdr:colOff>1076325</xdr:colOff>
                <xdr:row>17</xdr:row>
                <xdr:rowOff>123825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:B81"/>
  <sheetViews>
    <sheetView topLeftCell="A19" workbookViewId="0">
      <selection activeCell="B22" sqref="B22:B81"/>
    </sheetView>
  </sheetViews>
  <sheetFormatPr defaultColWidth="11.42578125" defaultRowHeight="15" x14ac:dyDescent="0.25"/>
  <sheetData>
    <row r="22" spans="2:2" x14ac:dyDescent="0.25">
      <c r="B22" t="s">
        <v>17</v>
      </c>
    </row>
    <row r="23" spans="2:2" x14ac:dyDescent="0.25">
      <c r="B23" t="s">
        <v>18</v>
      </c>
    </row>
    <row r="24" spans="2:2" x14ac:dyDescent="0.25">
      <c r="B24" t="s">
        <v>19</v>
      </c>
    </row>
    <row r="25" spans="2:2" x14ac:dyDescent="0.25">
      <c r="B25" t="s">
        <v>20</v>
      </c>
    </row>
    <row r="26" spans="2:2" x14ac:dyDescent="0.25">
      <c r="B26" t="s">
        <v>21</v>
      </c>
    </row>
    <row r="27" spans="2:2" x14ac:dyDescent="0.25">
      <c r="B27" t="s">
        <v>22</v>
      </c>
    </row>
    <row r="28" spans="2:2" x14ac:dyDescent="0.25">
      <c r="B28" t="s">
        <v>23</v>
      </c>
    </row>
    <row r="29" spans="2:2" x14ac:dyDescent="0.25">
      <c r="B29" t="s">
        <v>24</v>
      </c>
    </row>
    <row r="30" spans="2:2" x14ac:dyDescent="0.25">
      <c r="B30" t="s">
        <v>25</v>
      </c>
    </row>
    <row r="31" spans="2:2" x14ac:dyDescent="0.25">
      <c r="B31" t="s">
        <v>26</v>
      </c>
    </row>
    <row r="32" spans="2:2" x14ac:dyDescent="0.25">
      <c r="B32" t="s">
        <v>27</v>
      </c>
    </row>
    <row r="33" spans="2:2" x14ac:dyDescent="0.25">
      <c r="B33" t="s">
        <v>28</v>
      </c>
    </row>
    <row r="34" spans="2:2" x14ac:dyDescent="0.25">
      <c r="B34" t="s">
        <v>29</v>
      </c>
    </row>
    <row r="35" spans="2:2" x14ac:dyDescent="0.25">
      <c r="B35" t="s">
        <v>30</v>
      </c>
    </row>
    <row r="36" spans="2:2" x14ac:dyDescent="0.25">
      <c r="B36" t="s">
        <v>31</v>
      </c>
    </row>
    <row r="37" spans="2:2" x14ac:dyDescent="0.25">
      <c r="B37" t="s">
        <v>32</v>
      </c>
    </row>
    <row r="38" spans="2:2" x14ac:dyDescent="0.25">
      <c r="B38" t="s">
        <v>33</v>
      </c>
    </row>
    <row r="39" spans="2:2" x14ac:dyDescent="0.25">
      <c r="B39" t="s">
        <v>34</v>
      </c>
    </row>
    <row r="40" spans="2:2" x14ac:dyDescent="0.25">
      <c r="B40" t="s">
        <v>35</v>
      </c>
    </row>
    <row r="41" spans="2:2" x14ac:dyDescent="0.25">
      <c r="B41" t="s">
        <v>36</v>
      </c>
    </row>
    <row r="42" spans="2:2" x14ac:dyDescent="0.25">
      <c r="B42" t="s">
        <v>37</v>
      </c>
    </row>
    <row r="43" spans="2:2" x14ac:dyDescent="0.25">
      <c r="B43" t="s">
        <v>38</v>
      </c>
    </row>
    <row r="44" spans="2:2" x14ac:dyDescent="0.25">
      <c r="B44" t="s">
        <v>39</v>
      </c>
    </row>
    <row r="45" spans="2:2" x14ac:dyDescent="0.25">
      <c r="B45" t="s">
        <v>40</v>
      </c>
    </row>
    <row r="46" spans="2:2" x14ac:dyDescent="0.25">
      <c r="B46" t="s">
        <v>41</v>
      </c>
    </row>
    <row r="47" spans="2:2" x14ac:dyDescent="0.25">
      <c r="B47" t="s">
        <v>42</v>
      </c>
    </row>
    <row r="48" spans="2:2" x14ac:dyDescent="0.25">
      <c r="B48" t="s">
        <v>43</v>
      </c>
    </row>
    <row r="49" spans="2:2" x14ac:dyDescent="0.25">
      <c r="B49" t="s">
        <v>44</v>
      </c>
    </row>
    <row r="50" spans="2:2" x14ac:dyDescent="0.25">
      <c r="B50" t="s">
        <v>45</v>
      </c>
    </row>
    <row r="51" spans="2:2" x14ac:dyDescent="0.25">
      <c r="B51" t="s">
        <v>46</v>
      </c>
    </row>
    <row r="52" spans="2:2" x14ac:dyDescent="0.25">
      <c r="B52" t="s">
        <v>47</v>
      </c>
    </row>
    <row r="53" spans="2:2" x14ac:dyDescent="0.25">
      <c r="B53" t="s">
        <v>48</v>
      </c>
    </row>
    <row r="54" spans="2:2" x14ac:dyDescent="0.25">
      <c r="B54" t="s">
        <v>49</v>
      </c>
    </row>
    <row r="55" spans="2:2" x14ac:dyDescent="0.25">
      <c r="B55" t="s">
        <v>50</v>
      </c>
    </row>
    <row r="56" spans="2:2" x14ac:dyDescent="0.25">
      <c r="B56" t="s">
        <v>51</v>
      </c>
    </row>
    <row r="57" spans="2:2" x14ac:dyDescent="0.25">
      <c r="B57" t="s">
        <v>52</v>
      </c>
    </row>
    <row r="58" spans="2:2" x14ac:dyDescent="0.25">
      <c r="B58" t="s">
        <v>53</v>
      </c>
    </row>
    <row r="59" spans="2:2" x14ac:dyDescent="0.25">
      <c r="B59" t="s">
        <v>54</v>
      </c>
    </row>
    <row r="60" spans="2:2" x14ac:dyDescent="0.25">
      <c r="B60" t="s">
        <v>55</v>
      </c>
    </row>
    <row r="61" spans="2:2" x14ac:dyDescent="0.25">
      <c r="B61" t="s">
        <v>56</v>
      </c>
    </row>
    <row r="62" spans="2:2" x14ac:dyDescent="0.25">
      <c r="B62" t="s">
        <v>57</v>
      </c>
    </row>
    <row r="63" spans="2:2" x14ac:dyDescent="0.25">
      <c r="B63" t="s">
        <v>58</v>
      </c>
    </row>
    <row r="64" spans="2:2" x14ac:dyDescent="0.25">
      <c r="B64" t="s">
        <v>59</v>
      </c>
    </row>
    <row r="65" spans="2:2" x14ac:dyDescent="0.25">
      <c r="B65" t="s">
        <v>60</v>
      </c>
    </row>
    <row r="66" spans="2:2" x14ac:dyDescent="0.25">
      <c r="B66" t="s">
        <v>61</v>
      </c>
    </row>
    <row r="67" spans="2:2" x14ac:dyDescent="0.25">
      <c r="B67" t="s">
        <v>62</v>
      </c>
    </row>
    <row r="68" spans="2:2" x14ac:dyDescent="0.25">
      <c r="B68" t="s">
        <v>63</v>
      </c>
    </row>
    <row r="69" spans="2:2" x14ac:dyDescent="0.25">
      <c r="B69" t="s">
        <v>64</v>
      </c>
    </row>
    <row r="70" spans="2:2" x14ac:dyDescent="0.25">
      <c r="B70" t="s">
        <v>65</v>
      </c>
    </row>
    <row r="71" spans="2:2" x14ac:dyDescent="0.25">
      <c r="B71" t="s">
        <v>66</v>
      </c>
    </row>
    <row r="72" spans="2:2" x14ac:dyDescent="0.25">
      <c r="B72" t="s">
        <v>67</v>
      </c>
    </row>
    <row r="73" spans="2:2" x14ac:dyDescent="0.25">
      <c r="B73" t="s">
        <v>68</v>
      </c>
    </row>
    <row r="74" spans="2:2" x14ac:dyDescent="0.25">
      <c r="B74" t="s">
        <v>69</v>
      </c>
    </row>
    <row r="75" spans="2:2" x14ac:dyDescent="0.25">
      <c r="B75" t="s">
        <v>70</v>
      </c>
    </row>
    <row r="76" spans="2:2" x14ac:dyDescent="0.25">
      <c r="B76" t="s">
        <v>71</v>
      </c>
    </row>
    <row r="77" spans="2:2" x14ac:dyDescent="0.25">
      <c r="B77" t="s">
        <v>72</v>
      </c>
    </row>
    <row r="78" spans="2:2" x14ac:dyDescent="0.25">
      <c r="B78" t="s">
        <v>73</v>
      </c>
    </row>
    <row r="79" spans="2:2" x14ac:dyDescent="0.25">
      <c r="B79" t="s">
        <v>74</v>
      </c>
    </row>
    <row r="80" spans="2:2" x14ac:dyDescent="0.25">
      <c r="B80" t="s">
        <v>75</v>
      </c>
    </row>
    <row r="81" spans="2:2" x14ac:dyDescent="0.25">
      <c r="B8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Feuil1</vt:lpstr>
      <vt:lpstr>{AR}01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2016-09-26T07:47:03Z</dcterms:created>
  <dcterms:modified xsi:type="dcterms:W3CDTF">2022-07-22T07:35:07Z</dcterms:modified>
</cp:coreProperties>
</file>