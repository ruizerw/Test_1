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drawings/drawing2.xml" ContentType="application/vnd.openxmlformats-officedocument.drawing+xml"/>
  <Override PartName="/xl/activeX/activeX2.xml" ContentType="application/vnd.ms-office.activeX+xml"/>
  <Override PartName="/xl/activeX/activeX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35" windowWidth="23715" windowHeight="9780"/>
  </bookViews>
  <sheets>
    <sheet name="Société" sheetId="1" r:id="rId1"/>
    <sheet name="Société Origine" sheetId="6" r:id="rId2"/>
    <sheet name="{AR}01" sheetId="4" state="hidden" r:id="rId3"/>
    <sheet name="{AR}11" sheetId="5" state="hidden" r:id="rId4"/>
  </sheets>
  <definedNames>
    <definedName name="TM1REBUILDOPTION">1</definedName>
    <definedName name="TM1RPTDATARNGSecurite" localSheetId="0">Société!$15:$29</definedName>
    <definedName name="TM1RPTDATARNGSecurite" localSheetId="1">'Société Origine'!$15:$29</definedName>
    <definedName name="TM1RPTFMTIDCOL" localSheetId="0">Société!$A$1:$A$8</definedName>
    <definedName name="TM1RPTFMTIDCOL" localSheetId="1">'Société Origine'!$A$1:$A$8</definedName>
    <definedName name="TM1RPTFMTRNG" localSheetId="0">Société!$B$1:$AB$8</definedName>
    <definedName name="TM1RPTFMTRNG" localSheetId="1">'Société Origine'!$B$1:$AB$8</definedName>
  </definedNames>
  <calcPr calcId="145621" concurrentCalc="0"/>
</workbook>
</file>

<file path=xl/calcChain.xml><?xml version="1.0" encoding="utf-8"?>
<calcChain xmlns="http://schemas.openxmlformats.org/spreadsheetml/2006/main">
  <c r="B9" i="6" l="1"/>
  <c r="B15" i="6"/>
  <c r="C11" i="6"/>
  <c r="C15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B29" i="6"/>
  <c r="AA29" i="6"/>
  <c r="Z29" i="6"/>
  <c r="Y29" i="6"/>
  <c r="X29" i="6"/>
  <c r="W29" i="6"/>
  <c r="V29" i="6"/>
  <c r="U29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D29" i="6"/>
  <c r="C29" i="6"/>
  <c r="AB28" i="6"/>
  <c r="AA28" i="6"/>
  <c r="Z28" i="6"/>
  <c r="Y28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D28" i="6"/>
  <c r="C28" i="6"/>
  <c r="AB27" i="6"/>
  <c r="AA27" i="6"/>
  <c r="Z27" i="6"/>
  <c r="Y27" i="6"/>
  <c r="X27" i="6"/>
  <c r="W27" i="6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AB26" i="6"/>
  <c r="AA26" i="6"/>
  <c r="Z26" i="6"/>
  <c r="Y26" i="6"/>
  <c r="X26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/>
  <c r="AB25" i="6"/>
  <c r="AA25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AB24" i="6"/>
  <c r="AA24" i="6"/>
  <c r="Z24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C24" i="6"/>
  <c r="AB23" i="6"/>
  <c r="AA23" i="6"/>
  <c r="Z23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AB22" i="6"/>
  <c r="AA22" i="6"/>
  <c r="Z22" i="6"/>
  <c r="Y22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AB21" i="6"/>
  <c r="AA21" i="6"/>
  <c r="Z21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AB20" i="6"/>
  <c r="AA20" i="6"/>
  <c r="Z20" i="6"/>
  <c r="Y20" i="6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C20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AB16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B9" i="1"/>
  <c r="C11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5" i="1"/>
  <c r="C15" i="1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A15" i="6"/>
  <c r="A5" i="6"/>
  <c r="A4" i="6"/>
  <c r="A3" i="6"/>
  <c r="A2" i="6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A15" i="1"/>
  <c r="A5" i="1"/>
  <c r="A4" i="1"/>
  <c r="A3" i="1"/>
  <c r="A2" i="1"/>
</calcChain>
</file>

<file path=xl/sharedStrings.xml><?xml version="1.0" encoding="utf-8"?>
<sst xmlns="http://schemas.openxmlformats.org/spreadsheetml/2006/main" count="127" uniqueCount="52">
  <si>
    <t>DUMMY</t>
  </si>
  <si>
    <t>KUHN CHINA</t>
  </si>
  <si>
    <t>KUHN UK</t>
  </si>
  <si>
    <t>KUHN BRAZIL</t>
  </si>
  <si>
    <t>CONTIFONTE</t>
  </si>
  <si>
    <t>KUHN GERMANY</t>
  </si>
  <si>
    <t>KUHN AUSTRALIA</t>
  </si>
  <si>
    <t>KUHN NETHERLAND</t>
  </si>
  <si>
    <t>KUHN HUARD</t>
  </si>
  <si>
    <t>KUHN POLAND</t>
  </si>
  <si>
    <t>KUHN BLANCHARD</t>
  </si>
  <si>
    <t>KUHN NODET</t>
  </si>
  <si>
    <t>KUHN AUDUREAU</t>
  </si>
  <si>
    <t>KUHN PARTS</t>
  </si>
  <si>
    <t>KUHN KRAUSE</t>
  </si>
  <si>
    <t>KNA</t>
  </si>
  <si>
    <t>KUHN</t>
  </si>
  <si>
    <t>KUHN MGM</t>
  </si>
  <si>
    <t>KUHN RUSSIA</t>
  </si>
  <si>
    <t>KUHN UKRAINE</t>
  </si>
  <si>
    <t>KFM USA</t>
  </si>
  <si>
    <t>KUHN CANADA</t>
  </si>
  <si>
    <t>SILVA</t>
  </si>
  <si>
    <t>KUHN GROUP</t>
  </si>
  <si>
    <t>Admin</t>
  </si>
  <si>
    <t>Cognos Express\administrateur</t>
  </si>
  <si>
    <t>KUHN\srv99</t>
  </si>
  <si>
    <t>KUHN\stimk</t>
  </si>
  <si>
    <t>KUHN\cptjfh</t>
  </si>
  <si>
    <t>KUHN\cptcd</t>
  </si>
  <si>
    <t>KUHN\cpteh</t>
  </si>
  <si>
    <t>KUHN\stisw</t>
  </si>
  <si>
    <t>KUHN\cptms</t>
  </si>
  <si>
    <t>KUHN\cptgl</t>
  </si>
  <si>
    <t>KUHN\extcognos</t>
  </si>
  <si>
    <t>KUHN\cptdm</t>
  </si>
  <si>
    <t>KUHN\cpttst</t>
  </si>
  <si>
    <t>KUHN\cptjh</t>
  </si>
  <si>
    <t>D</t>
  </si>
  <si>
    <t>N</t>
  </si>
  <si>
    <t>[Begin Format Range]</t>
  </si>
  <si>
    <t>[End Format Range]</t>
  </si>
  <si>
    <t>Groupe</t>
  </si>
  <si>
    <t>Profil</t>
  </si>
  <si>
    <t>Mise à jour des droits d'accès</t>
  </si>
  <si>
    <t>IND_SEC_Securité</t>
  </si>
  <si>
    <t>1 = Droit accordé, blanc ou 0 = Droit refusé</t>
  </si>
  <si>
    <t>KUHN\sticr</t>
  </si>
  <si>
    <t>KUHN\knljb</t>
  </si>
  <si>
    <t>KUHN SPAIN</t>
  </si>
  <si>
    <t>KUHN ITALY</t>
  </si>
  <si>
    <t>IND_SEC_Client_Company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</si>
</sst>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0" fillId="3" borderId="0" xfId="0" applyFill="1"/>
    <xf numFmtId="2" fontId="2" fillId="2" borderId="0" xfId="0" applyNumberFormat="1" applyFont="1" applyFill="1"/>
    <xf numFmtId="2" fontId="2" fillId="3" borderId="0" xfId="0" applyNumberFormat="1" applyFont="1" applyFill="1"/>
    <xf numFmtId="2" fontId="2" fillId="0" borderId="0" xfId="0" applyNumberFormat="1" applyFont="1"/>
    <xf numFmtId="49" fontId="0" fillId="0" borderId="0" xfId="0" applyNumberFormat="1" applyAlignment="1"/>
    <xf numFmtId="0" fontId="6" fillId="0" borderId="0" xfId="0" applyFont="1"/>
    <xf numFmtId="0" fontId="4" fillId="0" borderId="0" xfId="0" applyFont="1"/>
    <xf numFmtId="0" fontId="0" fillId="5" borderId="2" xfId="0" applyFill="1" applyBorder="1"/>
    <xf numFmtId="0" fontId="5" fillId="5" borderId="3" xfId="0" applyFont="1" applyFill="1" applyBorder="1"/>
    <xf numFmtId="0" fontId="5" fillId="5" borderId="1" xfId="0" applyFont="1" applyFill="1" applyBorder="1" applyAlignment="1">
      <alignment horizontal="center" wrapText="1"/>
    </xf>
    <xf numFmtId="0" fontId="1" fillId="5" borderId="4" xfId="0" applyFont="1" applyFill="1" applyBorder="1" applyAlignment="1">
      <alignment wrapText="1"/>
    </xf>
    <xf numFmtId="0" fontId="0" fillId="5" borderId="5" xfId="0" applyFill="1" applyBorder="1" applyAlignment="1">
      <alignment wrapText="1"/>
    </xf>
    <xf numFmtId="0" fontId="0" fillId="5" borderId="6" xfId="0" applyFill="1" applyBorder="1" applyAlignment="1">
      <alignment wrapText="1"/>
    </xf>
    <xf numFmtId="0" fontId="3" fillId="0" borderId="0" xfId="0" applyFont="1" applyFill="1"/>
    <xf numFmtId="0" fontId="4" fillId="0" borderId="0" xfId="0" applyFont="1" applyFill="1"/>
    <xf numFmtId="0" fontId="7" fillId="6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FFCC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0"/>
  <ax:ocxPr ax:name="_ExtentX" ax:value="3731"/>
  <ax:ocxPr ax:name="_ExtentY" ax:value="688"/>
  <ax:ocxPr ax:name="_StockProps" ax:value="0"/>
  <ax:ocxPr ax:name="ServerName" ax:value="CXMD"/>
  <ax:ocxPr ax:name="ProcessName" ax:value="SEC_Process_General"/>
  <ax:ocxPr ax:name="Font">
    <ax:font ax:persistence="persistPropertyBag">
      <ax:ocxPr ax:name="Name" ax:value="Arial"/>
      <ax:ocxPr ax:name="Size" ax:value="9,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Mise à jour des droits"/>
  <ax:ocxPr ax:name="ProcessImage">
    <ax:picture r:id="rId1"/>
  </ax:ocxPr>
  <ax:ocxPr ax:name="UseImage" ax:value="0"/>
</ax:ocx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0"/>
  <ax:ocxPr ax:name="_ExtentX" ax:value="3731"/>
  <ax:ocxPr ax:name="_ExtentY" ax:value="688"/>
  <ax:ocxPr ax:name="_StockProps" ax:value="0"/>
  <ax:ocxPr ax:name="ServerName" ax:value="CXMD"/>
  <ax:ocxPr ax:name="ProcessName" ax:value="SEC_Process_General"/>
  <ax:ocxPr ax:name="Font">
    <ax:font ax:persistence="persistPropertyBag">
      <ax:ocxPr ax:name="Name" ax:value="Arial"/>
      <ax:ocxPr ax:name="Size" ax:value="9,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Mise à jour des droits"/>
  <ax:ocxPr ax:name="ProcessImage">
    <ax:picture r:id="rId1"/>
  </ax:ocxPr>
  <ax:ocxPr ax:name="UseImage" ax:value="0"/>
</ax:ocx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</xdr:row>
          <xdr:rowOff>0</xdr:rowOff>
        </xdr:from>
        <xdr:to>
          <xdr:col>7</xdr:col>
          <xdr:colOff>47625</xdr:colOff>
          <xdr:row>11</xdr:row>
          <xdr:rowOff>85725</xdr:rowOff>
        </xdr:to>
        <xdr:sp macro="" textlink="">
          <xdr:nvSpPr>
            <xdr:cNvPr id="1027" name="TIButton1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</xdr:row>
          <xdr:rowOff>0</xdr:rowOff>
        </xdr:from>
        <xdr:to>
          <xdr:col>7</xdr:col>
          <xdr:colOff>47625</xdr:colOff>
          <xdr:row>11</xdr:row>
          <xdr:rowOff>85725</xdr:rowOff>
        </xdr:to>
        <xdr:sp macro="" textlink="">
          <xdr:nvSpPr>
            <xdr:cNvPr id="2050" name="TIButton1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control" Target="../activeX/activeX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AB29"/>
  <sheetViews>
    <sheetView tabSelected="1" topLeftCell="B10" zoomScaleNormal="100" workbookViewId="0">
      <selection activeCell="D12" sqref="D12"/>
    </sheetView>
  </sheetViews>
  <sheetFormatPr baseColWidth="10" defaultRowHeight="12.75" customHeight="1" x14ac:dyDescent="0.25"/>
  <cols>
    <col min="1" max="1" width="20.140625" hidden="1" customWidth="1"/>
    <col min="2" max="2" width="34.28515625" bestFit="1" customWidth="1"/>
    <col min="3" max="3" width="8.5703125" bestFit="1" customWidth="1"/>
    <col min="4" max="4" width="6.7109375" bestFit="1" customWidth="1"/>
    <col min="5" max="5" width="6.28515625" bestFit="1" customWidth="1"/>
    <col min="6" max="6" width="7" bestFit="1" customWidth="1"/>
    <col min="7" max="7" width="12.42578125" bestFit="1" customWidth="1"/>
    <col min="8" max="8" width="10.28515625" bestFit="1" customWidth="1"/>
    <col min="9" max="9" width="10.5703125" bestFit="1" customWidth="1"/>
    <col min="10" max="10" width="10.85546875" bestFit="1" customWidth="1"/>
    <col min="11" max="11" width="12.7109375" bestFit="1" customWidth="1"/>
    <col min="12" max="12" width="7.42578125" bestFit="1" customWidth="1"/>
    <col min="13" max="13" width="10" bestFit="1" customWidth="1"/>
    <col min="14" max="14" width="8.42578125" bestFit="1" customWidth="1"/>
    <col min="15" max="15" width="11.85546875" bestFit="1" customWidth="1"/>
    <col min="16" max="16" width="7.140625" bestFit="1" customWidth="1"/>
    <col min="17" max="17" width="11.28515625" bestFit="1" customWidth="1"/>
    <col min="18" max="18" width="6.5703125" bestFit="1" customWidth="1"/>
    <col min="19" max="19" width="8" bestFit="1" customWidth="1"/>
    <col min="20" max="20" width="4.85546875" bestFit="1" customWidth="1"/>
    <col min="21" max="22" width="6.28515625" bestFit="1" customWidth="1"/>
    <col min="23" max="23" width="7.42578125" bestFit="1" customWidth="1"/>
    <col min="24" max="24" width="9" bestFit="1" customWidth="1"/>
    <col min="25" max="25" width="5" bestFit="1" customWidth="1"/>
    <col min="26" max="26" width="8.7109375" bestFit="1" customWidth="1"/>
    <col min="27" max="27" width="6" bestFit="1" customWidth="1"/>
    <col min="28" max="28" width="7.5703125" bestFit="1" customWidth="1"/>
  </cols>
  <sheetData>
    <row r="1" spans="1:28" ht="12.75" hidden="1" customHeight="1" x14ac:dyDescent="0.25">
      <c r="A1" t="s">
        <v>40</v>
      </c>
    </row>
    <row r="2" spans="1:28" ht="12.75" hidden="1" customHeight="1" x14ac:dyDescent="0.25">
      <c r="A2">
        <f>0</f>
        <v>0</v>
      </c>
      <c r="B2" s="1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ht="12.75" hidden="1" customHeight="1" x14ac:dyDescent="0.25">
      <c r="A3">
        <f>1</f>
        <v>1</v>
      </c>
      <c r="B3" s="2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75" hidden="1" customHeight="1" x14ac:dyDescent="0.25">
      <c r="A4">
        <f>2</f>
        <v>2</v>
      </c>
      <c r="B4" s="2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75" hidden="1" customHeight="1" x14ac:dyDescent="0.25">
      <c r="A5">
        <f>3</f>
        <v>3</v>
      </c>
      <c r="B5" s="2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75" hidden="1" customHeight="1" x14ac:dyDescent="0.25">
      <c r="A6" t="s">
        <v>38</v>
      </c>
      <c r="B6" s="2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ht="12.75" hidden="1" customHeight="1" x14ac:dyDescent="0.25">
      <c r="A7" t="s">
        <v>39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12.75" hidden="1" customHeight="1" x14ac:dyDescent="0.25">
      <c r="A8" t="s">
        <v>41</v>
      </c>
    </row>
    <row r="9" spans="1:28" ht="12.75" hidden="1" customHeight="1" x14ac:dyDescent="0.25">
      <c r="B9" s="7" t="str">
        <f ca="1">_xll.TM1RPTVIEW("CXMD:SEC_Client_Company:Securite", 0, _xll.TM1RPTTITLE("CXMD:IND_SEC_Client_Company",$C$11),TM1RPTFMTRNG,TM1RPTFMTIDCOL)</f>
        <v>CXMD:SEC_Client_Company:Securite</v>
      </c>
      <c r="C9" s="8"/>
    </row>
    <row r="10" spans="1:28" ht="17.25" customHeight="1" x14ac:dyDescent="0.3">
      <c r="B10" s="17" t="s">
        <v>44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spans="1:28" ht="12.75" customHeight="1" x14ac:dyDescent="0.25">
      <c r="B11" s="15" t="s">
        <v>51</v>
      </c>
      <c r="C11" s="16" t="str">
        <f ca="1">_xll.SUBNM("CXMD:IND_SEC_Client_Company","","Valeur")</f>
        <v>Valeur</v>
      </c>
    </row>
    <row r="12" spans="1:28" ht="12.75" customHeight="1" x14ac:dyDescent="0.25">
      <c r="B12" s="18" t="s">
        <v>46</v>
      </c>
      <c r="C12" s="18"/>
    </row>
    <row r="13" spans="1:28" ht="12.75" customHeight="1" x14ac:dyDescent="0.25">
      <c r="B13" s="9"/>
      <c r="C13" s="12" t="s">
        <v>42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4"/>
    </row>
    <row r="14" spans="1:28" ht="30" x14ac:dyDescent="0.25">
      <c r="B14" s="10" t="s">
        <v>43</v>
      </c>
      <c r="C14" s="11" t="s">
        <v>0</v>
      </c>
      <c r="D14" s="11" t="s">
        <v>1</v>
      </c>
      <c r="E14" s="11" t="s">
        <v>2</v>
      </c>
      <c r="F14" s="11" t="s">
        <v>3</v>
      </c>
      <c r="G14" s="11" t="s">
        <v>4</v>
      </c>
      <c r="H14" s="11" t="s">
        <v>5</v>
      </c>
      <c r="I14" s="11" t="s">
        <v>49</v>
      </c>
      <c r="J14" s="11" t="s">
        <v>6</v>
      </c>
      <c r="K14" s="11" t="s">
        <v>7</v>
      </c>
      <c r="L14" s="11" t="s">
        <v>8</v>
      </c>
      <c r="M14" s="11" t="s">
        <v>50</v>
      </c>
      <c r="N14" s="11" t="s">
        <v>9</v>
      </c>
      <c r="O14" s="11" t="s">
        <v>10</v>
      </c>
      <c r="P14" s="11" t="s">
        <v>11</v>
      </c>
      <c r="Q14" s="11" t="s">
        <v>12</v>
      </c>
      <c r="R14" s="11" t="s">
        <v>13</v>
      </c>
      <c r="S14" s="11" t="s">
        <v>14</v>
      </c>
      <c r="T14" s="11" t="s">
        <v>15</v>
      </c>
      <c r="U14" s="11" t="s">
        <v>16</v>
      </c>
      <c r="V14" s="11" t="s">
        <v>17</v>
      </c>
      <c r="W14" s="11" t="s">
        <v>18</v>
      </c>
      <c r="X14" s="11" t="s">
        <v>19</v>
      </c>
      <c r="Y14" s="11" t="s">
        <v>20</v>
      </c>
      <c r="Z14" s="11" t="s">
        <v>21</v>
      </c>
      <c r="AA14" s="11" t="s">
        <v>22</v>
      </c>
      <c r="AB14" s="11" t="s">
        <v>23</v>
      </c>
    </row>
    <row r="15" spans="1:28" ht="12.75" customHeight="1" x14ac:dyDescent="0.25">
      <c r="A15" t="str">
        <f ca="1">IF(_xll.TM1RPTELISCONSOLIDATED($B$15,$B15),IF(_xll.TM1RPTELLEV($B$15,$B15)&lt;=3,_xll.TM1RPTELLEV($B$15,$B15),"D"),"N")</f>
        <v>N</v>
      </c>
      <c r="B15" s="6" t="str">
        <f ca="1">_xll.TM1RPTROW($B$9,"CXMD:}Clients","",'{AR}11'!$B$15:$B$29,"}TM1_DefaultDisplayValue",0)</f>
        <v>Admin</v>
      </c>
      <c r="C15" s="5">
        <f ca="1">_xll.DBRW($B$9,C$14,$B15,$C$11)</f>
        <v>0</v>
      </c>
      <c r="D15" s="5">
        <f ca="1">_xll.DBRW($B$9,D$14,$B15,$C$11)</f>
        <v>0</v>
      </c>
      <c r="E15" s="5">
        <f ca="1">_xll.DBRW($B$9,E$14,$B15,$C$11)</f>
        <v>0</v>
      </c>
      <c r="F15" s="5">
        <f ca="1">_xll.DBRW($B$9,F$14,$B15,$C$11)</f>
        <v>0</v>
      </c>
      <c r="G15" s="5">
        <f ca="1">_xll.DBRW($B$9,G$14,$B15,$C$11)</f>
        <v>0</v>
      </c>
      <c r="H15" s="5">
        <f ca="1">_xll.DBRW($B$9,H$14,$B15,$C$11)</f>
        <v>0</v>
      </c>
      <c r="I15" s="5">
        <f ca="1">_xll.DBRW($B$9,I$14,$B15,$C$11)</f>
        <v>0</v>
      </c>
      <c r="J15" s="5">
        <f ca="1">_xll.DBRW($B$9,J$14,$B15,$C$11)</f>
        <v>0</v>
      </c>
      <c r="K15" s="5">
        <f ca="1">_xll.DBRW($B$9,K$14,$B15,$C$11)</f>
        <v>0</v>
      </c>
      <c r="L15" s="5">
        <f ca="1">_xll.DBRW($B$9,L$14,$B15,$C$11)</f>
        <v>0</v>
      </c>
      <c r="M15" s="5">
        <f ca="1">_xll.DBRW($B$9,M$14,$B15,$C$11)</f>
        <v>0</v>
      </c>
      <c r="N15" s="5">
        <f ca="1">_xll.DBRW($B$9,N$14,$B15,$C$11)</f>
        <v>0</v>
      </c>
      <c r="O15" s="5">
        <f ca="1">_xll.DBRW($B$9,O$14,$B15,$C$11)</f>
        <v>0</v>
      </c>
      <c r="P15" s="5">
        <f ca="1">_xll.DBRW($B$9,P$14,$B15,$C$11)</f>
        <v>0</v>
      </c>
      <c r="Q15" s="5">
        <f ca="1">_xll.DBRW($B$9,Q$14,$B15,$C$11)</f>
        <v>0</v>
      </c>
      <c r="R15" s="5">
        <f ca="1">_xll.DBRW($B$9,R$14,$B15,$C$11)</f>
        <v>0</v>
      </c>
      <c r="S15" s="5">
        <f ca="1">_xll.DBRW($B$9,S$14,$B15,$C$11)</f>
        <v>0</v>
      </c>
      <c r="T15" s="5">
        <f ca="1">_xll.DBRW($B$9,T$14,$B15,$C$11)</f>
        <v>0</v>
      </c>
      <c r="U15" s="5">
        <f ca="1">_xll.DBRW($B$9,U$14,$B15,$C$11)</f>
        <v>0</v>
      </c>
      <c r="V15" s="5">
        <f ca="1">_xll.DBRW($B$9,V$14,$B15,$C$11)</f>
        <v>0</v>
      </c>
      <c r="W15" s="5">
        <f ca="1">_xll.DBRW($B$9,W$14,$B15,$C$11)</f>
        <v>0</v>
      </c>
      <c r="X15" s="5">
        <f ca="1">_xll.DBRW($B$9,X$14,$B15,$C$11)</f>
        <v>0</v>
      </c>
      <c r="Y15" s="5">
        <f ca="1">_xll.DBRW($B$9,Y$14,$B15,$C$11)</f>
        <v>0</v>
      </c>
      <c r="Z15" s="5">
        <f ca="1">_xll.DBRW($B$9,Z$14,$B15,$C$11)</f>
        <v>0</v>
      </c>
      <c r="AA15" s="5">
        <f ca="1">_xll.DBRW($B$9,AA$14,$B15,$C$11)</f>
        <v>0</v>
      </c>
      <c r="AB15" s="5">
        <f ca="1">_xll.DBRW($B$9,AB$14,$B15,$C$11)</f>
        <v>0</v>
      </c>
    </row>
    <row r="16" spans="1:28" ht="12.75" customHeight="1" x14ac:dyDescent="0.25">
      <c r="A16" t="str">
        <f ca="1">IF(_xll.TM1RPTELISCONSOLIDATED($B$15,$B16),IF(_xll.TM1RPTELLEV($B$15,$B16)&lt;=3,_xll.TM1RPTELLEV($B$15,$B16),"D"),"N")</f>
        <v>N</v>
      </c>
      <c r="B16" s="6" t="s">
        <v>25</v>
      </c>
      <c r="C16" s="5">
        <f ca="1">_xll.DBRW($B$9,C$14,$B16,$C$11)</f>
        <v>0</v>
      </c>
      <c r="D16" s="5">
        <f ca="1">_xll.DBRW($B$9,D$14,$B16,$C$11)</f>
        <v>0</v>
      </c>
      <c r="E16" s="5">
        <f ca="1">_xll.DBRW($B$9,E$14,$B16,$C$11)</f>
        <v>0</v>
      </c>
      <c r="F16" s="5">
        <f ca="1">_xll.DBRW($B$9,F$14,$B16,$C$11)</f>
        <v>0</v>
      </c>
      <c r="G16" s="5">
        <f ca="1">_xll.DBRW($B$9,G$14,$B16,$C$11)</f>
        <v>0</v>
      </c>
      <c r="H16" s="5">
        <f ca="1">_xll.DBRW($B$9,H$14,$B16,$C$11)</f>
        <v>0</v>
      </c>
      <c r="I16" s="5">
        <f ca="1">_xll.DBRW($B$9,I$14,$B16,$C$11)</f>
        <v>0</v>
      </c>
      <c r="J16" s="5">
        <f ca="1">_xll.DBRW($B$9,J$14,$B16,$C$11)</f>
        <v>0</v>
      </c>
      <c r="K16" s="5">
        <f ca="1">_xll.DBRW($B$9,K$14,$B16,$C$11)</f>
        <v>0</v>
      </c>
      <c r="L16" s="5">
        <f ca="1">_xll.DBRW($B$9,L$14,$B16,$C$11)</f>
        <v>0</v>
      </c>
      <c r="M16" s="5">
        <f ca="1">_xll.DBRW($B$9,M$14,$B16,$C$11)</f>
        <v>0</v>
      </c>
      <c r="N16" s="5">
        <f ca="1">_xll.DBRW($B$9,N$14,$B16,$C$11)</f>
        <v>0</v>
      </c>
      <c r="O16" s="5">
        <f ca="1">_xll.DBRW($B$9,O$14,$B16,$C$11)</f>
        <v>0</v>
      </c>
      <c r="P16" s="5">
        <f ca="1">_xll.DBRW($B$9,P$14,$B16,$C$11)</f>
        <v>0</v>
      </c>
      <c r="Q16" s="5">
        <f ca="1">_xll.DBRW($B$9,Q$14,$B16,$C$11)</f>
        <v>0</v>
      </c>
      <c r="R16" s="5">
        <f ca="1">_xll.DBRW($B$9,R$14,$B16,$C$11)</f>
        <v>0</v>
      </c>
      <c r="S16" s="5">
        <f ca="1">_xll.DBRW($B$9,S$14,$B16,$C$11)</f>
        <v>0</v>
      </c>
      <c r="T16" s="5">
        <f ca="1">_xll.DBRW($B$9,T$14,$B16,$C$11)</f>
        <v>0</v>
      </c>
      <c r="U16" s="5">
        <f ca="1">_xll.DBRW($B$9,U$14,$B16,$C$11)</f>
        <v>0</v>
      </c>
      <c r="V16" s="5">
        <f ca="1">_xll.DBRW($B$9,V$14,$B16,$C$11)</f>
        <v>0</v>
      </c>
      <c r="W16" s="5">
        <f ca="1">_xll.DBRW($B$9,W$14,$B16,$C$11)</f>
        <v>0</v>
      </c>
      <c r="X16" s="5">
        <f ca="1">_xll.DBRW($B$9,X$14,$B16,$C$11)</f>
        <v>0</v>
      </c>
      <c r="Y16" s="5">
        <f ca="1">_xll.DBRW($B$9,Y$14,$B16,$C$11)</f>
        <v>0</v>
      </c>
      <c r="Z16" s="5">
        <f ca="1">_xll.DBRW($B$9,Z$14,$B16,$C$11)</f>
        <v>0</v>
      </c>
      <c r="AA16" s="5">
        <f ca="1">_xll.DBRW($B$9,AA$14,$B16,$C$11)</f>
        <v>0</v>
      </c>
      <c r="AB16" s="5">
        <f ca="1">_xll.DBRW($B$9,AB$14,$B16,$C$11)</f>
        <v>0</v>
      </c>
    </row>
    <row r="17" spans="1:28" ht="12.75" customHeight="1" x14ac:dyDescent="0.25">
      <c r="A17" t="str">
        <f ca="1">IF(_xll.TM1RPTELISCONSOLIDATED($B$15,$B17),IF(_xll.TM1RPTELLEV($B$15,$B17)&lt;=3,_xll.TM1RPTELLEV($B$15,$B17),"D"),"N")</f>
        <v>N</v>
      </c>
      <c r="B17" s="6" t="s">
        <v>26</v>
      </c>
      <c r="C17" s="5">
        <f ca="1">_xll.DBRW($B$9,C$14,$B17,$C$11)</f>
        <v>0</v>
      </c>
      <c r="D17" s="5">
        <f ca="1">_xll.DBRW($B$9,D$14,$B17,$C$11)</f>
        <v>0</v>
      </c>
      <c r="E17" s="5">
        <f ca="1">_xll.DBRW($B$9,E$14,$B17,$C$11)</f>
        <v>0</v>
      </c>
      <c r="F17" s="5">
        <f ca="1">_xll.DBRW($B$9,F$14,$B17,$C$11)</f>
        <v>0</v>
      </c>
      <c r="G17" s="5">
        <f ca="1">_xll.DBRW($B$9,G$14,$B17,$C$11)</f>
        <v>0</v>
      </c>
      <c r="H17" s="5">
        <f ca="1">_xll.DBRW($B$9,H$14,$B17,$C$11)</f>
        <v>0</v>
      </c>
      <c r="I17" s="5">
        <f ca="1">_xll.DBRW($B$9,I$14,$B17,$C$11)</f>
        <v>0</v>
      </c>
      <c r="J17" s="5">
        <f ca="1">_xll.DBRW($B$9,J$14,$B17,$C$11)</f>
        <v>0</v>
      </c>
      <c r="K17" s="5">
        <f ca="1">_xll.DBRW($B$9,K$14,$B17,$C$11)</f>
        <v>0</v>
      </c>
      <c r="L17" s="5">
        <f ca="1">_xll.DBRW($B$9,L$14,$B17,$C$11)</f>
        <v>0</v>
      </c>
      <c r="M17" s="5">
        <f ca="1">_xll.DBRW($B$9,M$14,$B17,$C$11)</f>
        <v>0</v>
      </c>
      <c r="N17" s="5">
        <f ca="1">_xll.DBRW($B$9,N$14,$B17,$C$11)</f>
        <v>0</v>
      </c>
      <c r="O17" s="5">
        <f ca="1">_xll.DBRW($B$9,O$14,$B17,$C$11)</f>
        <v>0</v>
      </c>
      <c r="P17" s="5">
        <f ca="1">_xll.DBRW($B$9,P$14,$B17,$C$11)</f>
        <v>0</v>
      </c>
      <c r="Q17" s="5">
        <f ca="1">_xll.DBRW($B$9,Q$14,$B17,$C$11)</f>
        <v>0</v>
      </c>
      <c r="R17" s="5">
        <f ca="1">_xll.DBRW($B$9,R$14,$B17,$C$11)</f>
        <v>0</v>
      </c>
      <c r="S17" s="5">
        <f ca="1">_xll.DBRW($B$9,S$14,$B17,$C$11)</f>
        <v>0</v>
      </c>
      <c r="T17" s="5">
        <f ca="1">_xll.DBRW($B$9,T$14,$B17,$C$11)</f>
        <v>0</v>
      </c>
      <c r="U17" s="5">
        <f ca="1">_xll.DBRW($B$9,U$14,$B17,$C$11)</f>
        <v>0</v>
      </c>
      <c r="V17" s="5">
        <f ca="1">_xll.DBRW($B$9,V$14,$B17,$C$11)</f>
        <v>0</v>
      </c>
      <c r="W17" s="5">
        <f ca="1">_xll.DBRW($B$9,W$14,$B17,$C$11)</f>
        <v>0</v>
      </c>
      <c r="X17" s="5">
        <f ca="1">_xll.DBRW($B$9,X$14,$B17,$C$11)</f>
        <v>0</v>
      </c>
      <c r="Y17" s="5">
        <f ca="1">_xll.DBRW($B$9,Y$14,$B17,$C$11)</f>
        <v>0</v>
      </c>
      <c r="Z17" s="5">
        <f ca="1">_xll.DBRW($B$9,Z$14,$B17,$C$11)</f>
        <v>0</v>
      </c>
      <c r="AA17" s="5">
        <f ca="1">_xll.DBRW($B$9,AA$14,$B17,$C$11)</f>
        <v>0</v>
      </c>
      <c r="AB17" s="5">
        <f ca="1">_xll.DBRW($B$9,AB$14,$B17,$C$11)</f>
        <v>0</v>
      </c>
    </row>
    <row r="18" spans="1:28" ht="12.75" customHeight="1" x14ac:dyDescent="0.25">
      <c r="A18" t="str">
        <f ca="1">IF(_xll.TM1RPTELISCONSOLIDATED($B$15,$B18),IF(_xll.TM1RPTELLEV($B$15,$B18)&lt;=3,_xll.TM1RPTELLEV($B$15,$B18),"D"),"N")</f>
        <v>N</v>
      </c>
      <c r="B18" s="6" t="s">
        <v>27</v>
      </c>
      <c r="C18" s="5">
        <f ca="1">_xll.DBRW($B$9,C$14,$B18,$C$11)</f>
        <v>0</v>
      </c>
      <c r="D18" s="5">
        <f ca="1">_xll.DBRW($B$9,D$14,$B18,$C$11)</f>
        <v>0</v>
      </c>
      <c r="E18" s="5">
        <f ca="1">_xll.DBRW($B$9,E$14,$B18,$C$11)</f>
        <v>0</v>
      </c>
      <c r="F18" s="5">
        <f ca="1">_xll.DBRW($B$9,F$14,$B18,$C$11)</f>
        <v>0</v>
      </c>
      <c r="G18" s="5">
        <f ca="1">_xll.DBRW($B$9,G$14,$B18,$C$11)</f>
        <v>0</v>
      </c>
      <c r="H18" s="5">
        <f ca="1">_xll.DBRW($B$9,H$14,$B18,$C$11)</f>
        <v>0</v>
      </c>
      <c r="I18" s="5">
        <f ca="1">_xll.DBRW($B$9,I$14,$B18,$C$11)</f>
        <v>0</v>
      </c>
      <c r="J18" s="5">
        <f ca="1">_xll.DBRW($B$9,J$14,$B18,$C$11)</f>
        <v>0</v>
      </c>
      <c r="K18" s="5">
        <f ca="1">_xll.DBRW($B$9,K$14,$B18,$C$11)</f>
        <v>0</v>
      </c>
      <c r="L18" s="5">
        <f ca="1">_xll.DBRW($B$9,L$14,$B18,$C$11)</f>
        <v>0</v>
      </c>
      <c r="M18" s="5">
        <f ca="1">_xll.DBRW($B$9,M$14,$B18,$C$11)</f>
        <v>0</v>
      </c>
      <c r="N18" s="5">
        <f ca="1">_xll.DBRW($B$9,N$14,$B18,$C$11)</f>
        <v>0</v>
      </c>
      <c r="O18" s="5">
        <f ca="1">_xll.DBRW($B$9,O$14,$B18,$C$11)</f>
        <v>0</v>
      </c>
      <c r="P18" s="5">
        <f ca="1">_xll.DBRW($B$9,P$14,$B18,$C$11)</f>
        <v>0</v>
      </c>
      <c r="Q18" s="5">
        <f ca="1">_xll.DBRW($B$9,Q$14,$B18,$C$11)</f>
        <v>0</v>
      </c>
      <c r="R18" s="5">
        <f ca="1">_xll.DBRW($B$9,R$14,$B18,$C$11)</f>
        <v>0</v>
      </c>
      <c r="S18" s="5">
        <f ca="1">_xll.DBRW($B$9,S$14,$B18,$C$11)</f>
        <v>0</v>
      </c>
      <c r="T18" s="5">
        <f ca="1">_xll.DBRW($B$9,T$14,$B18,$C$11)</f>
        <v>0</v>
      </c>
      <c r="U18" s="5">
        <f ca="1">_xll.DBRW($B$9,U$14,$B18,$C$11)</f>
        <v>0</v>
      </c>
      <c r="V18" s="5">
        <f ca="1">_xll.DBRW($B$9,V$14,$B18,$C$11)</f>
        <v>0</v>
      </c>
      <c r="W18" s="5">
        <f ca="1">_xll.DBRW($B$9,W$14,$B18,$C$11)</f>
        <v>0</v>
      </c>
      <c r="X18" s="5">
        <f ca="1">_xll.DBRW($B$9,X$14,$B18,$C$11)</f>
        <v>0</v>
      </c>
      <c r="Y18" s="5">
        <f ca="1">_xll.DBRW($B$9,Y$14,$B18,$C$11)</f>
        <v>0</v>
      </c>
      <c r="Z18" s="5">
        <f ca="1">_xll.DBRW($B$9,Z$14,$B18,$C$11)</f>
        <v>0</v>
      </c>
      <c r="AA18" s="5">
        <f ca="1">_xll.DBRW($B$9,AA$14,$B18,$C$11)</f>
        <v>0</v>
      </c>
      <c r="AB18" s="5">
        <f ca="1">_xll.DBRW($B$9,AB$14,$B18,$C$11)</f>
        <v>0</v>
      </c>
    </row>
    <row r="19" spans="1:28" ht="12.75" customHeight="1" x14ac:dyDescent="0.25">
      <c r="A19" t="str">
        <f ca="1">IF(_xll.TM1RPTELISCONSOLIDATED($B$15,$B19),IF(_xll.TM1RPTELLEV($B$15,$B19)&lt;=3,_xll.TM1RPTELLEV($B$15,$B19),"D"),"N")</f>
        <v>N</v>
      </c>
      <c r="B19" s="6" t="s">
        <v>28</v>
      </c>
      <c r="C19" s="5">
        <f ca="1">_xll.DBRW($B$9,C$14,$B19,$C$11)</f>
        <v>0</v>
      </c>
      <c r="D19" s="5">
        <f ca="1">_xll.DBRW($B$9,D$14,$B19,$C$11)</f>
        <v>0</v>
      </c>
      <c r="E19" s="5">
        <f ca="1">_xll.DBRW($B$9,E$14,$B19,$C$11)</f>
        <v>0</v>
      </c>
      <c r="F19" s="5">
        <f ca="1">_xll.DBRW($B$9,F$14,$B19,$C$11)</f>
        <v>0</v>
      </c>
      <c r="G19" s="5">
        <f ca="1">_xll.DBRW($B$9,G$14,$B19,$C$11)</f>
        <v>0</v>
      </c>
      <c r="H19" s="5">
        <f ca="1">_xll.DBRW($B$9,H$14,$B19,$C$11)</f>
        <v>0</v>
      </c>
      <c r="I19" s="5">
        <f ca="1">_xll.DBRW($B$9,I$14,$B19,$C$11)</f>
        <v>0</v>
      </c>
      <c r="J19" s="5">
        <f ca="1">_xll.DBRW($B$9,J$14,$B19,$C$11)</f>
        <v>0</v>
      </c>
      <c r="K19" s="5">
        <f ca="1">_xll.DBRW($B$9,K$14,$B19,$C$11)</f>
        <v>0</v>
      </c>
      <c r="L19" s="5">
        <f ca="1">_xll.DBRW($B$9,L$14,$B19,$C$11)</f>
        <v>0</v>
      </c>
      <c r="M19" s="5">
        <f ca="1">_xll.DBRW($B$9,M$14,$B19,$C$11)</f>
        <v>0</v>
      </c>
      <c r="N19" s="5">
        <f ca="1">_xll.DBRW($B$9,N$14,$B19,$C$11)</f>
        <v>0</v>
      </c>
      <c r="O19" s="5">
        <f ca="1">_xll.DBRW($B$9,O$14,$B19,$C$11)</f>
        <v>0</v>
      </c>
      <c r="P19" s="5">
        <f ca="1">_xll.DBRW($B$9,P$14,$B19,$C$11)</f>
        <v>0</v>
      </c>
      <c r="Q19" s="5">
        <f ca="1">_xll.DBRW($B$9,Q$14,$B19,$C$11)</f>
        <v>0</v>
      </c>
      <c r="R19" s="5">
        <f ca="1">_xll.DBRW($B$9,R$14,$B19,$C$11)</f>
        <v>0</v>
      </c>
      <c r="S19" s="5">
        <f ca="1">_xll.DBRW($B$9,S$14,$B19,$C$11)</f>
        <v>0</v>
      </c>
      <c r="T19" s="5">
        <f ca="1">_xll.DBRW($B$9,T$14,$B19,$C$11)</f>
        <v>0</v>
      </c>
      <c r="U19" s="5">
        <f ca="1">_xll.DBRW($B$9,U$14,$B19,$C$11)</f>
        <v>0</v>
      </c>
      <c r="V19" s="5">
        <f ca="1">_xll.DBRW($B$9,V$14,$B19,$C$11)</f>
        <v>0</v>
      </c>
      <c r="W19" s="5">
        <f ca="1">_xll.DBRW($B$9,W$14,$B19,$C$11)</f>
        <v>0</v>
      </c>
      <c r="X19" s="5">
        <f ca="1">_xll.DBRW($B$9,X$14,$B19,$C$11)</f>
        <v>0</v>
      </c>
      <c r="Y19" s="5">
        <f ca="1">_xll.DBRW($B$9,Y$14,$B19,$C$11)</f>
        <v>0</v>
      </c>
      <c r="Z19" s="5">
        <f ca="1">_xll.DBRW($B$9,Z$14,$B19,$C$11)</f>
        <v>0</v>
      </c>
      <c r="AA19" s="5">
        <f ca="1">_xll.DBRW($B$9,AA$14,$B19,$C$11)</f>
        <v>0</v>
      </c>
      <c r="AB19" s="5">
        <f ca="1">_xll.DBRW($B$9,AB$14,$B19,$C$11)</f>
        <v>0</v>
      </c>
    </row>
    <row r="20" spans="1:28" ht="12.75" customHeight="1" x14ac:dyDescent="0.25">
      <c r="A20" t="str">
        <f ca="1">IF(_xll.TM1RPTELISCONSOLIDATED($B$15,$B20),IF(_xll.TM1RPTELLEV($B$15,$B20)&lt;=3,_xll.TM1RPTELLEV($B$15,$B20),"D"),"N")</f>
        <v>N</v>
      </c>
      <c r="B20" s="6" t="s">
        <v>29</v>
      </c>
      <c r="C20" s="5">
        <f ca="1">_xll.DBRW($B$9,C$14,$B20,$C$11)</f>
        <v>0</v>
      </c>
      <c r="D20" s="5">
        <f ca="1">_xll.DBRW($B$9,D$14,$B20,$C$11)</f>
        <v>0</v>
      </c>
      <c r="E20" s="5">
        <f ca="1">_xll.DBRW($B$9,E$14,$B20,$C$11)</f>
        <v>0</v>
      </c>
      <c r="F20" s="5">
        <f ca="1">_xll.DBRW($B$9,F$14,$B20,$C$11)</f>
        <v>0</v>
      </c>
      <c r="G20" s="5">
        <f ca="1">_xll.DBRW($B$9,G$14,$B20,$C$11)</f>
        <v>0</v>
      </c>
      <c r="H20" s="5">
        <f ca="1">_xll.DBRW($B$9,H$14,$B20,$C$11)</f>
        <v>0</v>
      </c>
      <c r="I20" s="5">
        <f ca="1">_xll.DBRW($B$9,I$14,$B20,$C$11)</f>
        <v>0</v>
      </c>
      <c r="J20" s="5">
        <f ca="1">_xll.DBRW($B$9,J$14,$B20,$C$11)</f>
        <v>0</v>
      </c>
      <c r="K20" s="5">
        <f ca="1">_xll.DBRW($B$9,K$14,$B20,$C$11)</f>
        <v>0</v>
      </c>
      <c r="L20" s="5">
        <f ca="1">_xll.DBRW($B$9,L$14,$B20,$C$11)</f>
        <v>0</v>
      </c>
      <c r="M20" s="5">
        <f ca="1">_xll.DBRW($B$9,M$14,$B20,$C$11)</f>
        <v>0</v>
      </c>
      <c r="N20" s="5">
        <f ca="1">_xll.DBRW($B$9,N$14,$B20,$C$11)</f>
        <v>0</v>
      </c>
      <c r="O20" s="5">
        <f ca="1">_xll.DBRW($B$9,O$14,$B20,$C$11)</f>
        <v>0</v>
      </c>
      <c r="P20" s="5">
        <f ca="1">_xll.DBRW($B$9,P$14,$B20,$C$11)</f>
        <v>0</v>
      </c>
      <c r="Q20" s="5">
        <f ca="1">_xll.DBRW($B$9,Q$14,$B20,$C$11)</f>
        <v>0</v>
      </c>
      <c r="R20" s="5">
        <f ca="1">_xll.DBRW($B$9,R$14,$B20,$C$11)</f>
        <v>0</v>
      </c>
      <c r="S20" s="5">
        <f ca="1">_xll.DBRW($B$9,S$14,$B20,$C$11)</f>
        <v>0</v>
      </c>
      <c r="T20" s="5">
        <f ca="1">_xll.DBRW($B$9,T$14,$B20,$C$11)</f>
        <v>0</v>
      </c>
      <c r="U20" s="5">
        <f ca="1">_xll.DBRW($B$9,U$14,$B20,$C$11)</f>
        <v>0</v>
      </c>
      <c r="V20" s="5">
        <f ca="1">_xll.DBRW($B$9,V$14,$B20,$C$11)</f>
        <v>0</v>
      </c>
      <c r="W20" s="5">
        <f ca="1">_xll.DBRW($B$9,W$14,$B20,$C$11)</f>
        <v>0</v>
      </c>
      <c r="X20" s="5">
        <f ca="1">_xll.DBRW($B$9,X$14,$B20,$C$11)</f>
        <v>0</v>
      </c>
      <c r="Y20" s="5">
        <f ca="1">_xll.DBRW($B$9,Y$14,$B20,$C$11)</f>
        <v>0</v>
      </c>
      <c r="Z20" s="5">
        <f ca="1">_xll.DBRW($B$9,Z$14,$B20,$C$11)</f>
        <v>0</v>
      </c>
      <c r="AA20" s="5">
        <f ca="1">_xll.DBRW($B$9,AA$14,$B20,$C$11)</f>
        <v>0</v>
      </c>
      <c r="AB20" s="5">
        <f ca="1">_xll.DBRW($B$9,AB$14,$B20,$C$11)</f>
        <v>0</v>
      </c>
    </row>
    <row r="21" spans="1:28" ht="12.75" customHeight="1" x14ac:dyDescent="0.25">
      <c r="A21" t="str">
        <f ca="1">IF(_xll.TM1RPTELISCONSOLIDATED($B$15,$B21),IF(_xll.TM1RPTELLEV($B$15,$B21)&lt;=3,_xll.TM1RPTELLEV($B$15,$B21),"D"),"N")</f>
        <v>N</v>
      </c>
      <c r="B21" s="6" t="s">
        <v>30</v>
      </c>
      <c r="C21" s="5">
        <f ca="1">_xll.DBRW($B$9,C$14,$B21,$C$11)</f>
        <v>0</v>
      </c>
      <c r="D21" s="5">
        <f ca="1">_xll.DBRW($B$9,D$14,$B21,$C$11)</f>
        <v>0</v>
      </c>
      <c r="E21" s="5">
        <f ca="1">_xll.DBRW($B$9,E$14,$B21,$C$11)</f>
        <v>0</v>
      </c>
      <c r="F21" s="5">
        <f ca="1">_xll.DBRW($B$9,F$14,$B21,$C$11)</f>
        <v>0</v>
      </c>
      <c r="G21" s="5">
        <f ca="1">_xll.DBRW($B$9,G$14,$B21,$C$11)</f>
        <v>0</v>
      </c>
      <c r="H21" s="5">
        <f ca="1">_xll.DBRW($B$9,H$14,$B21,$C$11)</f>
        <v>0</v>
      </c>
      <c r="I21" s="5">
        <f ca="1">_xll.DBRW($B$9,I$14,$B21,$C$11)</f>
        <v>0</v>
      </c>
      <c r="J21" s="5">
        <f ca="1">_xll.DBRW($B$9,J$14,$B21,$C$11)</f>
        <v>0</v>
      </c>
      <c r="K21" s="5">
        <f ca="1">_xll.DBRW($B$9,K$14,$B21,$C$11)</f>
        <v>0</v>
      </c>
      <c r="L21" s="5">
        <f ca="1">_xll.DBRW($B$9,L$14,$B21,$C$11)</f>
        <v>0</v>
      </c>
      <c r="M21" s="5">
        <f ca="1">_xll.DBRW($B$9,M$14,$B21,$C$11)</f>
        <v>0</v>
      </c>
      <c r="N21" s="5">
        <f ca="1">_xll.DBRW($B$9,N$14,$B21,$C$11)</f>
        <v>0</v>
      </c>
      <c r="O21" s="5">
        <f ca="1">_xll.DBRW($B$9,O$14,$B21,$C$11)</f>
        <v>0</v>
      </c>
      <c r="P21" s="5">
        <f ca="1">_xll.DBRW($B$9,P$14,$B21,$C$11)</f>
        <v>0</v>
      </c>
      <c r="Q21" s="5">
        <f ca="1">_xll.DBRW($B$9,Q$14,$B21,$C$11)</f>
        <v>0</v>
      </c>
      <c r="R21" s="5">
        <f ca="1">_xll.DBRW($B$9,R$14,$B21,$C$11)</f>
        <v>0</v>
      </c>
      <c r="S21" s="5">
        <f ca="1">_xll.DBRW($B$9,S$14,$B21,$C$11)</f>
        <v>0</v>
      </c>
      <c r="T21" s="5">
        <f ca="1">_xll.DBRW($B$9,T$14,$B21,$C$11)</f>
        <v>0</v>
      </c>
      <c r="U21" s="5">
        <f ca="1">_xll.DBRW($B$9,U$14,$B21,$C$11)</f>
        <v>0</v>
      </c>
      <c r="V21" s="5">
        <f ca="1">_xll.DBRW($B$9,V$14,$B21,$C$11)</f>
        <v>0</v>
      </c>
      <c r="W21" s="5">
        <f ca="1">_xll.DBRW($B$9,W$14,$B21,$C$11)</f>
        <v>0</v>
      </c>
      <c r="X21" s="5">
        <f ca="1">_xll.DBRW($B$9,X$14,$B21,$C$11)</f>
        <v>0</v>
      </c>
      <c r="Y21" s="5">
        <f ca="1">_xll.DBRW($B$9,Y$14,$B21,$C$11)</f>
        <v>0</v>
      </c>
      <c r="Z21" s="5">
        <f ca="1">_xll.DBRW($B$9,Z$14,$B21,$C$11)</f>
        <v>0</v>
      </c>
      <c r="AA21" s="5">
        <f ca="1">_xll.DBRW($B$9,AA$14,$B21,$C$11)</f>
        <v>0</v>
      </c>
      <c r="AB21" s="5">
        <f ca="1">_xll.DBRW($B$9,AB$14,$B21,$C$11)</f>
        <v>0</v>
      </c>
    </row>
    <row r="22" spans="1:28" ht="12.75" customHeight="1" x14ac:dyDescent="0.25">
      <c r="A22" t="str">
        <f ca="1">IF(_xll.TM1RPTELISCONSOLIDATED($B$15,$B22),IF(_xll.TM1RPTELLEV($B$15,$B22)&lt;=3,_xll.TM1RPTELLEV($B$15,$B22),"D"),"N")</f>
        <v>N</v>
      </c>
      <c r="B22" s="6" t="s">
        <v>32</v>
      </c>
      <c r="C22" s="5">
        <f ca="1">_xll.DBRW($B$9,C$14,$B22,$C$11)</f>
        <v>0</v>
      </c>
      <c r="D22" s="5">
        <f ca="1">_xll.DBRW($B$9,D$14,$B22,$C$11)</f>
        <v>0</v>
      </c>
      <c r="E22" s="5">
        <f ca="1">_xll.DBRW($B$9,E$14,$B22,$C$11)</f>
        <v>0</v>
      </c>
      <c r="F22" s="5">
        <f ca="1">_xll.DBRW($B$9,F$14,$B22,$C$11)</f>
        <v>0</v>
      </c>
      <c r="G22" s="5">
        <f ca="1">_xll.DBRW($B$9,G$14,$B22,$C$11)</f>
        <v>0</v>
      </c>
      <c r="H22" s="5">
        <f ca="1">_xll.DBRW($B$9,H$14,$B22,$C$11)</f>
        <v>0</v>
      </c>
      <c r="I22" s="5">
        <f ca="1">_xll.DBRW($B$9,I$14,$B22,$C$11)</f>
        <v>0</v>
      </c>
      <c r="J22" s="5">
        <f ca="1">_xll.DBRW($B$9,J$14,$B22,$C$11)</f>
        <v>0</v>
      </c>
      <c r="K22" s="5">
        <f ca="1">_xll.DBRW($B$9,K$14,$B22,$C$11)</f>
        <v>0</v>
      </c>
      <c r="L22" s="5">
        <f ca="1">_xll.DBRW($B$9,L$14,$B22,$C$11)</f>
        <v>0</v>
      </c>
      <c r="M22" s="5">
        <f ca="1">_xll.DBRW($B$9,M$14,$B22,$C$11)</f>
        <v>0</v>
      </c>
      <c r="N22" s="5">
        <f ca="1">_xll.DBRW($B$9,N$14,$B22,$C$11)</f>
        <v>0</v>
      </c>
      <c r="O22" s="5">
        <f ca="1">_xll.DBRW($B$9,O$14,$B22,$C$11)</f>
        <v>0</v>
      </c>
      <c r="P22" s="5">
        <f ca="1">_xll.DBRW($B$9,P$14,$B22,$C$11)</f>
        <v>0</v>
      </c>
      <c r="Q22" s="5">
        <f ca="1">_xll.DBRW($B$9,Q$14,$B22,$C$11)</f>
        <v>0</v>
      </c>
      <c r="R22" s="5">
        <f ca="1">_xll.DBRW($B$9,R$14,$B22,$C$11)</f>
        <v>0</v>
      </c>
      <c r="S22" s="5">
        <f ca="1">_xll.DBRW($B$9,S$14,$B22,$C$11)</f>
        <v>0</v>
      </c>
      <c r="T22" s="5">
        <f ca="1">_xll.DBRW($B$9,T$14,$B22,$C$11)</f>
        <v>0</v>
      </c>
      <c r="U22" s="5">
        <f ca="1">_xll.DBRW($B$9,U$14,$B22,$C$11)</f>
        <v>0</v>
      </c>
      <c r="V22" s="5">
        <f ca="1">_xll.DBRW($B$9,V$14,$B22,$C$11)</f>
        <v>0</v>
      </c>
      <c r="W22" s="5">
        <f ca="1">_xll.DBRW($B$9,W$14,$B22,$C$11)</f>
        <v>0</v>
      </c>
      <c r="X22" s="5">
        <f ca="1">_xll.DBRW($B$9,X$14,$B22,$C$11)</f>
        <v>0</v>
      </c>
      <c r="Y22" s="5">
        <f ca="1">_xll.DBRW($B$9,Y$14,$B22,$C$11)</f>
        <v>0</v>
      </c>
      <c r="Z22" s="5">
        <f ca="1">_xll.DBRW($B$9,Z$14,$B22,$C$11)</f>
        <v>0</v>
      </c>
      <c r="AA22" s="5">
        <f ca="1">_xll.DBRW($B$9,AA$14,$B22,$C$11)</f>
        <v>0</v>
      </c>
      <c r="AB22" s="5">
        <f ca="1">_xll.DBRW($B$9,AB$14,$B22,$C$11)</f>
        <v>0</v>
      </c>
    </row>
    <row r="23" spans="1:28" ht="12.75" customHeight="1" x14ac:dyDescent="0.25">
      <c r="A23" t="str">
        <f ca="1">IF(_xll.TM1RPTELISCONSOLIDATED($B$15,$B23),IF(_xll.TM1RPTELLEV($B$15,$B23)&lt;=3,_xll.TM1RPTELLEV($B$15,$B23),"D"),"N")</f>
        <v>N</v>
      </c>
      <c r="B23" s="6" t="s">
        <v>33</v>
      </c>
      <c r="C23" s="5">
        <f ca="1">_xll.DBRW($B$9,C$14,$B23,$C$11)</f>
        <v>0</v>
      </c>
      <c r="D23" s="5">
        <f ca="1">_xll.DBRW($B$9,D$14,$B23,$C$11)</f>
        <v>0</v>
      </c>
      <c r="E23" s="5">
        <f ca="1">_xll.DBRW($B$9,E$14,$B23,$C$11)</f>
        <v>0</v>
      </c>
      <c r="F23" s="5">
        <f ca="1">_xll.DBRW($B$9,F$14,$B23,$C$11)</f>
        <v>0</v>
      </c>
      <c r="G23" s="5">
        <f ca="1">_xll.DBRW($B$9,G$14,$B23,$C$11)</f>
        <v>0</v>
      </c>
      <c r="H23" s="5">
        <f ca="1">_xll.DBRW($B$9,H$14,$B23,$C$11)</f>
        <v>0</v>
      </c>
      <c r="I23" s="5">
        <f ca="1">_xll.DBRW($B$9,I$14,$B23,$C$11)</f>
        <v>0</v>
      </c>
      <c r="J23" s="5">
        <f ca="1">_xll.DBRW($B$9,J$14,$B23,$C$11)</f>
        <v>0</v>
      </c>
      <c r="K23" s="5">
        <f ca="1">_xll.DBRW($B$9,K$14,$B23,$C$11)</f>
        <v>0</v>
      </c>
      <c r="L23" s="5">
        <f ca="1">_xll.DBRW($B$9,L$14,$B23,$C$11)</f>
        <v>0</v>
      </c>
      <c r="M23" s="5">
        <f ca="1">_xll.DBRW($B$9,M$14,$B23,$C$11)</f>
        <v>0</v>
      </c>
      <c r="N23" s="5">
        <f ca="1">_xll.DBRW($B$9,N$14,$B23,$C$11)</f>
        <v>0</v>
      </c>
      <c r="O23" s="5">
        <f ca="1">_xll.DBRW($B$9,O$14,$B23,$C$11)</f>
        <v>0</v>
      </c>
      <c r="P23" s="5">
        <f ca="1">_xll.DBRW($B$9,P$14,$B23,$C$11)</f>
        <v>0</v>
      </c>
      <c r="Q23" s="5">
        <f ca="1">_xll.DBRW($B$9,Q$14,$B23,$C$11)</f>
        <v>0</v>
      </c>
      <c r="R23" s="5">
        <f ca="1">_xll.DBRW($B$9,R$14,$B23,$C$11)</f>
        <v>0</v>
      </c>
      <c r="S23" s="5">
        <f ca="1">_xll.DBRW($B$9,S$14,$B23,$C$11)</f>
        <v>0</v>
      </c>
      <c r="T23" s="5">
        <f ca="1">_xll.DBRW($B$9,T$14,$B23,$C$11)</f>
        <v>0</v>
      </c>
      <c r="U23" s="5">
        <f ca="1">_xll.DBRW($B$9,U$14,$B23,$C$11)</f>
        <v>0</v>
      </c>
      <c r="V23" s="5">
        <f ca="1">_xll.DBRW($B$9,V$14,$B23,$C$11)</f>
        <v>0</v>
      </c>
      <c r="W23" s="5">
        <f ca="1">_xll.DBRW($B$9,W$14,$B23,$C$11)</f>
        <v>0</v>
      </c>
      <c r="X23" s="5">
        <f ca="1">_xll.DBRW($B$9,X$14,$B23,$C$11)</f>
        <v>0</v>
      </c>
      <c r="Y23" s="5">
        <f ca="1">_xll.DBRW($B$9,Y$14,$B23,$C$11)</f>
        <v>0</v>
      </c>
      <c r="Z23" s="5">
        <f ca="1">_xll.DBRW($B$9,Z$14,$B23,$C$11)</f>
        <v>0</v>
      </c>
      <c r="AA23" s="5">
        <f ca="1">_xll.DBRW($B$9,AA$14,$B23,$C$11)</f>
        <v>0</v>
      </c>
      <c r="AB23" s="5">
        <f ca="1">_xll.DBRW($B$9,AB$14,$B23,$C$11)</f>
        <v>0</v>
      </c>
    </row>
    <row r="24" spans="1:28" ht="12.75" customHeight="1" x14ac:dyDescent="0.25">
      <c r="A24" t="str">
        <f ca="1">IF(_xll.TM1RPTELISCONSOLIDATED($B$15,$B24),IF(_xll.TM1RPTELLEV($B$15,$B24)&lt;=3,_xll.TM1RPTELLEV($B$15,$B24),"D"),"N")</f>
        <v>N</v>
      </c>
      <c r="B24" s="6" t="s">
        <v>34</v>
      </c>
      <c r="C24" s="5">
        <f ca="1">_xll.DBRW($B$9,C$14,$B24,$C$11)</f>
        <v>0</v>
      </c>
      <c r="D24" s="5">
        <f ca="1">_xll.DBRW($B$9,D$14,$B24,$C$11)</f>
        <v>0</v>
      </c>
      <c r="E24" s="5">
        <f ca="1">_xll.DBRW($B$9,E$14,$B24,$C$11)</f>
        <v>0</v>
      </c>
      <c r="F24" s="5">
        <f ca="1">_xll.DBRW($B$9,F$14,$B24,$C$11)</f>
        <v>0</v>
      </c>
      <c r="G24" s="5">
        <f ca="1">_xll.DBRW($B$9,G$14,$B24,$C$11)</f>
        <v>0</v>
      </c>
      <c r="H24" s="5">
        <f ca="1">_xll.DBRW($B$9,H$14,$B24,$C$11)</f>
        <v>0</v>
      </c>
      <c r="I24" s="5">
        <f ca="1">_xll.DBRW($B$9,I$14,$B24,$C$11)</f>
        <v>0</v>
      </c>
      <c r="J24" s="5">
        <f ca="1">_xll.DBRW($B$9,J$14,$B24,$C$11)</f>
        <v>0</v>
      </c>
      <c r="K24" s="5">
        <f ca="1">_xll.DBRW($B$9,K$14,$B24,$C$11)</f>
        <v>0</v>
      </c>
      <c r="L24" s="5">
        <f ca="1">_xll.DBRW($B$9,L$14,$B24,$C$11)</f>
        <v>0</v>
      </c>
      <c r="M24" s="5">
        <f ca="1">_xll.DBRW($B$9,M$14,$B24,$C$11)</f>
        <v>0</v>
      </c>
      <c r="N24" s="5">
        <f ca="1">_xll.DBRW($B$9,N$14,$B24,$C$11)</f>
        <v>0</v>
      </c>
      <c r="O24" s="5">
        <f ca="1">_xll.DBRW($B$9,O$14,$B24,$C$11)</f>
        <v>0</v>
      </c>
      <c r="P24" s="5">
        <f ca="1">_xll.DBRW($B$9,P$14,$B24,$C$11)</f>
        <v>0</v>
      </c>
      <c r="Q24" s="5">
        <f ca="1">_xll.DBRW($B$9,Q$14,$B24,$C$11)</f>
        <v>1</v>
      </c>
      <c r="R24" s="5">
        <f ca="1">_xll.DBRW($B$9,R$14,$B24,$C$11)</f>
        <v>0</v>
      </c>
      <c r="S24" s="5">
        <f ca="1">_xll.DBRW($B$9,S$14,$B24,$C$11)</f>
        <v>0</v>
      </c>
      <c r="T24" s="5">
        <f ca="1">_xll.DBRW($B$9,T$14,$B24,$C$11)</f>
        <v>0</v>
      </c>
      <c r="U24" s="5">
        <f ca="1">_xll.DBRW($B$9,U$14,$B24,$C$11)</f>
        <v>0</v>
      </c>
      <c r="V24" s="5">
        <f ca="1">_xll.DBRW($B$9,V$14,$B24,$C$11)</f>
        <v>0</v>
      </c>
      <c r="W24" s="5">
        <f ca="1">_xll.DBRW($B$9,W$14,$B24,$C$11)</f>
        <v>0</v>
      </c>
      <c r="X24" s="5">
        <f ca="1">_xll.DBRW($B$9,X$14,$B24,$C$11)</f>
        <v>0</v>
      </c>
      <c r="Y24" s="5">
        <f ca="1">_xll.DBRW($B$9,Y$14,$B24,$C$11)</f>
        <v>0</v>
      </c>
      <c r="Z24" s="5">
        <f ca="1">_xll.DBRW($B$9,Z$14,$B24,$C$11)</f>
        <v>0</v>
      </c>
      <c r="AA24" s="5">
        <f ca="1">_xll.DBRW($B$9,AA$14,$B24,$C$11)</f>
        <v>0</v>
      </c>
      <c r="AB24" s="5">
        <f ca="1">_xll.DBRW($B$9,AB$14,$B24,$C$11)</f>
        <v>0</v>
      </c>
    </row>
    <row r="25" spans="1:28" ht="12.75" customHeight="1" x14ac:dyDescent="0.25">
      <c r="A25" t="str">
        <f ca="1">IF(_xll.TM1RPTELISCONSOLIDATED($B$15,$B25),IF(_xll.TM1RPTELLEV($B$15,$B25)&lt;=3,_xll.TM1RPTELLEV($B$15,$B25),"D"),"N")</f>
        <v>N</v>
      </c>
      <c r="B25" s="6" t="s">
        <v>35</v>
      </c>
      <c r="C25" s="5">
        <f ca="1">_xll.DBRW($B$9,C$14,$B25,$C$11)</f>
        <v>0</v>
      </c>
      <c r="D25" s="5">
        <f ca="1">_xll.DBRW($B$9,D$14,$B25,$C$11)</f>
        <v>0</v>
      </c>
      <c r="E25" s="5">
        <f ca="1">_xll.DBRW($B$9,E$14,$B25,$C$11)</f>
        <v>0</v>
      </c>
      <c r="F25" s="5">
        <f ca="1">_xll.DBRW($B$9,F$14,$B25,$C$11)</f>
        <v>0</v>
      </c>
      <c r="G25" s="5">
        <f ca="1">_xll.DBRW($B$9,G$14,$B25,$C$11)</f>
        <v>0</v>
      </c>
      <c r="H25" s="5">
        <f ca="1">_xll.DBRW($B$9,H$14,$B25,$C$11)</f>
        <v>0</v>
      </c>
      <c r="I25" s="5">
        <f ca="1">_xll.DBRW($B$9,I$14,$B25,$C$11)</f>
        <v>0</v>
      </c>
      <c r="J25" s="5">
        <f ca="1">_xll.DBRW($B$9,J$14,$B25,$C$11)</f>
        <v>0</v>
      </c>
      <c r="K25" s="5">
        <f ca="1">_xll.DBRW($B$9,K$14,$B25,$C$11)</f>
        <v>0</v>
      </c>
      <c r="L25" s="5">
        <f ca="1">_xll.DBRW($B$9,L$14,$B25,$C$11)</f>
        <v>0</v>
      </c>
      <c r="M25" s="5">
        <f ca="1">_xll.DBRW($B$9,M$14,$B25,$C$11)</f>
        <v>0</v>
      </c>
      <c r="N25" s="5">
        <f ca="1">_xll.DBRW($B$9,N$14,$B25,$C$11)</f>
        <v>0</v>
      </c>
      <c r="O25" s="5">
        <f ca="1">_xll.DBRW($B$9,O$14,$B25,$C$11)</f>
        <v>0</v>
      </c>
      <c r="P25" s="5">
        <f ca="1">_xll.DBRW($B$9,P$14,$B25,$C$11)</f>
        <v>0</v>
      </c>
      <c r="Q25" s="5">
        <f ca="1">_xll.DBRW($B$9,Q$14,$B25,$C$11)</f>
        <v>0</v>
      </c>
      <c r="R25" s="5">
        <f ca="1">_xll.DBRW($B$9,R$14,$B25,$C$11)</f>
        <v>0</v>
      </c>
      <c r="S25" s="5">
        <f ca="1">_xll.DBRW($B$9,S$14,$B25,$C$11)</f>
        <v>0</v>
      </c>
      <c r="T25" s="5">
        <f ca="1">_xll.DBRW($B$9,T$14,$B25,$C$11)</f>
        <v>0</v>
      </c>
      <c r="U25" s="5">
        <f ca="1">_xll.DBRW($B$9,U$14,$B25,$C$11)</f>
        <v>0</v>
      </c>
      <c r="V25" s="5">
        <f ca="1">_xll.DBRW($B$9,V$14,$B25,$C$11)</f>
        <v>0</v>
      </c>
      <c r="W25" s="5">
        <f ca="1">_xll.DBRW($B$9,W$14,$B25,$C$11)</f>
        <v>0</v>
      </c>
      <c r="X25" s="5">
        <f ca="1">_xll.DBRW($B$9,X$14,$B25,$C$11)</f>
        <v>0</v>
      </c>
      <c r="Y25" s="5">
        <f ca="1">_xll.DBRW($B$9,Y$14,$B25,$C$11)</f>
        <v>0</v>
      </c>
      <c r="Z25" s="5">
        <f ca="1">_xll.DBRW($B$9,Z$14,$B25,$C$11)</f>
        <v>0</v>
      </c>
      <c r="AA25" s="5">
        <f ca="1">_xll.DBRW($B$9,AA$14,$B25,$C$11)</f>
        <v>0</v>
      </c>
      <c r="AB25" s="5">
        <f ca="1">_xll.DBRW($B$9,AB$14,$B25,$C$11)</f>
        <v>0</v>
      </c>
    </row>
    <row r="26" spans="1:28" ht="12.75" customHeight="1" x14ac:dyDescent="0.25">
      <c r="A26" t="str">
        <f ca="1">IF(_xll.TM1RPTELISCONSOLIDATED($B$15,$B26),IF(_xll.TM1RPTELLEV($B$15,$B26)&lt;=3,_xll.TM1RPTELLEV($B$15,$B26),"D"),"N")</f>
        <v>N</v>
      </c>
      <c r="B26" s="6" t="s">
        <v>36</v>
      </c>
      <c r="C26" s="5">
        <f ca="1">_xll.DBRW($B$9,C$14,$B26,$C$11)</f>
        <v>0</v>
      </c>
      <c r="D26" s="5">
        <f ca="1">_xll.DBRW($B$9,D$14,$B26,$C$11)</f>
        <v>0</v>
      </c>
      <c r="E26" s="5">
        <f ca="1">_xll.DBRW($B$9,E$14,$B26,$C$11)</f>
        <v>0</v>
      </c>
      <c r="F26" s="5">
        <f ca="1">_xll.DBRW($B$9,F$14,$B26,$C$11)</f>
        <v>0</v>
      </c>
      <c r="G26" s="5">
        <f ca="1">_xll.DBRW($B$9,G$14,$B26,$C$11)</f>
        <v>0</v>
      </c>
      <c r="H26" s="5">
        <f ca="1">_xll.DBRW($B$9,H$14,$B26,$C$11)</f>
        <v>0</v>
      </c>
      <c r="I26" s="5">
        <f ca="1">_xll.DBRW($B$9,I$14,$B26,$C$11)</f>
        <v>0</v>
      </c>
      <c r="J26" s="5">
        <f ca="1">_xll.DBRW($B$9,J$14,$B26,$C$11)</f>
        <v>0</v>
      </c>
      <c r="K26" s="5">
        <f ca="1">_xll.DBRW($B$9,K$14,$B26,$C$11)</f>
        <v>0</v>
      </c>
      <c r="L26" s="5">
        <f ca="1">_xll.DBRW($B$9,L$14,$B26,$C$11)</f>
        <v>0</v>
      </c>
      <c r="M26" s="5">
        <f ca="1">_xll.DBRW($B$9,M$14,$B26,$C$11)</f>
        <v>0</v>
      </c>
      <c r="N26" s="5">
        <f ca="1">_xll.DBRW($B$9,N$14,$B26,$C$11)</f>
        <v>0</v>
      </c>
      <c r="O26" s="5">
        <f ca="1">_xll.DBRW($B$9,O$14,$B26,$C$11)</f>
        <v>0</v>
      </c>
      <c r="P26" s="5">
        <f ca="1">_xll.DBRW($B$9,P$14,$B26,$C$11)</f>
        <v>0</v>
      </c>
      <c r="Q26" s="5">
        <f ca="1">_xll.DBRW($B$9,Q$14,$B26,$C$11)</f>
        <v>0</v>
      </c>
      <c r="R26" s="5">
        <f ca="1">_xll.DBRW($B$9,R$14,$B26,$C$11)</f>
        <v>0</v>
      </c>
      <c r="S26" s="5">
        <f ca="1">_xll.DBRW($B$9,S$14,$B26,$C$11)</f>
        <v>0</v>
      </c>
      <c r="T26" s="5">
        <f ca="1">_xll.DBRW($B$9,T$14,$B26,$C$11)</f>
        <v>0</v>
      </c>
      <c r="U26" s="5">
        <f ca="1">_xll.DBRW($B$9,U$14,$B26,$C$11)</f>
        <v>0</v>
      </c>
      <c r="V26" s="5">
        <f ca="1">_xll.DBRW($B$9,V$14,$B26,$C$11)</f>
        <v>0</v>
      </c>
      <c r="W26" s="5">
        <f ca="1">_xll.DBRW($B$9,W$14,$B26,$C$11)</f>
        <v>0</v>
      </c>
      <c r="X26" s="5">
        <f ca="1">_xll.DBRW($B$9,X$14,$B26,$C$11)</f>
        <v>0</v>
      </c>
      <c r="Y26" s="5">
        <f ca="1">_xll.DBRW($B$9,Y$14,$B26,$C$11)</f>
        <v>0</v>
      </c>
      <c r="Z26" s="5">
        <f ca="1">_xll.DBRW($B$9,Z$14,$B26,$C$11)</f>
        <v>0</v>
      </c>
      <c r="AA26" s="5">
        <f ca="1">_xll.DBRW($B$9,AA$14,$B26,$C$11)</f>
        <v>0</v>
      </c>
      <c r="AB26" s="5">
        <f ca="1">_xll.DBRW($B$9,AB$14,$B26,$C$11)</f>
        <v>0</v>
      </c>
    </row>
    <row r="27" spans="1:28" ht="12.75" customHeight="1" x14ac:dyDescent="0.25">
      <c r="A27" t="str">
        <f ca="1">IF(_xll.TM1RPTELISCONSOLIDATED($B$15,$B27),IF(_xll.TM1RPTELLEV($B$15,$B27)&lt;=3,_xll.TM1RPTELLEV($B$15,$B27),"D"),"N")</f>
        <v>N</v>
      </c>
      <c r="B27" s="6" t="s">
        <v>37</v>
      </c>
      <c r="C27" s="5">
        <f ca="1">_xll.DBRW($B$9,C$14,$B27,$C$11)</f>
        <v>0</v>
      </c>
      <c r="D27" s="5">
        <f ca="1">_xll.DBRW($B$9,D$14,$B27,$C$11)</f>
        <v>0</v>
      </c>
      <c r="E27" s="5">
        <f ca="1">_xll.DBRW($B$9,E$14,$B27,$C$11)</f>
        <v>0</v>
      </c>
      <c r="F27" s="5">
        <f ca="1">_xll.DBRW($B$9,F$14,$B27,$C$11)</f>
        <v>0</v>
      </c>
      <c r="G27" s="5">
        <f ca="1">_xll.DBRW($B$9,G$14,$B27,$C$11)</f>
        <v>0</v>
      </c>
      <c r="H27" s="5">
        <f ca="1">_xll.DBRW($B$9,H$14,$B27,$C$11)</f>
        <v>0</v>
      </c>
      <c r="I27" s="5">
        <f ca="1">_xll.DBRW($B$9,I$14,$B27,$C$11)</f>
        <v>0</v>
      </c>
      <c r="J27" s="5">
        <f ca="1">_xll.DBRW($B$9,J$14,$B27,$C$11)</f>
        <v>0</v>
      </c>
      <c r="K27" s="5">
        <f ca="1">_xll.DBRW($B$9,K$14,$B27,$C$11)</f>
        <v>0</v>
      </c>
      <c r="L27" s="5">
        <f ca="1">_xll.DBRW($B$9,L$14,$B27,$C$11)</f>
        <v>0</v>
      </c>
      <c r="M27" s="5">
        <f ca="1">_xll.DBRW($B$9,M$14,$B27,$C$11)</f>
        <v>0</v>
      </c>
      <c r="N27" s="5">
        <f ca="1">_xll.DBRW($B$9,N$14,$B27,$C$11)</f>
        <v>0</v>
      </c>
      <c r="O27" s="5">
        <f ca="1">_xll.DBRW($B$9,O$14,$B27,$C$11)</f>
        <v>0</v>
      </c>
      <c r="P27" s="5">
        <f ca="1">_xll.DBRW($B$9,P$14,$B27,$C$11)</f>
        <v>0</v>
      </c>
      <c r="Q27" s="5">
        <f ca="1">_xll.DBRW($B$9,Q$14,$B27,$C$11)</f>
        <v>0</v>
      </c>
      <c r="R27" s="5">
        <f ca="1">_xll.DBRW($B$9,R$14,$B27,$C$11)</f>
        <v>0</v>
      </c>
      <c r="S27" s="5">
        <f ca="1">_xll.DBRW($B$9,S$14,$B27,$C$11)</f>
        <v>0</v>
      </c>
      <c r="T27" s="5">
        <f ca="1">_xll.DBRW($B$9,T$14,$B27,$C$11)</f>
        <v>0</v>
      </c>
      <c r="U27" s="5">
        <f ca="1">_xll.DBRW($B$9,U$14,$B27,$C$11)</f>
        <v>0</v>
      </c>
      <c r="V27" s="5">
        <f ca="1">_xll.DBRW($B$9,V$14,$B27,$C$11)</f>
        <v>0</v>
      </c>
      <c r="W27" s="5">
        <f ca="1">_xll.DBRW($B$9,W$14,$B27,$C$11)</f>
        <v>0</v>
      </c>
      <c r="X27" s="5">
        <f ca="1">_xll.DBRW($B$9,X$14,$B27,$C$11)</f>
        <v>0</v>
      </c>
      <c r="Y27" s="5">
        <f ca="1">_xll.DBRW($B$9,Y$14,$B27,$C$11)</f>
        <v>0</v>
      </c>
      <c r="Z27" s="5">
        <f ca="1">_xll.DBRW($B$9,Z$14,$B27,$C$11)</f>
        <v>0</v>
      </c>
      <c r="AA27" s="5">
        <f ca="1">_xll.DBRW($B$9,AA$14,$B27,$C$11)</f>
        <v>0</v>
      </c>
      <c r="AB27" s="5">
        <f ca="1">_xll.DBRW($B$9,AB$14,$B27,$C$11)</f>
        <v>0</v>
      </c>
    </row>
    <row r="28" spans="1:28" ht="12.75" customHeight="1" x14ac:dyDescent="0.25">
      <c r="A28" t="str">
        <f ca="1">IF(_xll.TM1RPTELISCONSOLIDATED($B$15,$B28),IF(_xll.TM1RPTELLEV($B$15,$B28)&lt;=3,_xll.TM1RPTELLEV($B$15,$B28),"D"),"N")</f>
        <v>N</v>
      </c>
      <c r="B28" s="6" t="s">
        <v>47</v>
      </c>
      <c r="C28" s="5">
        <f ca="1">_xll.DBRW($B$9,C$14,$B28,$C$11)</f>
        <v>0</v>
      </c>
      <c r="D28" s="5">
        <f ca="1">_xll.DBRW($B$9,D$14,$B28,$C$11)</f>
        <v>0</v>
      </c>
      <c r="E28" s="5">
        <f ca="1">_xll.DBRW($B$9,E$14,$B28,$C$11)</f>
        <v>0</v>
      </c>
      <c r="F28" s="5">
        <f ca="1">_xll.DBRW($B$9,F$14,$B28,$C$11)</f>
        <v>0</v>
      </c>
      <c r="G28" s="5">
        <f ca="1">_xll.DBRW($B$9,G$14,$B28,$C$11)</f>
        <v>0</v>
      </c>
      <c r="H28" s="5">
        <f ca="1">_xll.DBRW($B$9,H$14,$B28,$C$11)</f>
        <v>0</v>
      </c>
      <c r="I28" s="5">
        <f ca="1">_xll.DBRW($B$9,I$14,$B28,$C$11)</f>
        <v>0</v>
      </c>
      <c r="J28" s="5">
        <f ca="1">_xll.DBRW($B$9,J$14,$B28,$C$11)</f>
        <v>0</v>
      </c>
      <c r="K28" s="5">
        <f ca="1">_xll.DBRW($B$9,K$14,$B28,$C$11)</f>
        <v>0</v>
      </c>
      <c r="L28" s="5">
        <f ca="1">_xll.DBRW($B$9,L$14,$B28,$C$11)</f>
        <v>0</v>
      </c>
      <c r="M28" s="5">
        <f ca="1">_xll.DBRW($B$9,M$14,$B28,$C$11)</f>
        <v>0</v>
      </c>
      <c r="N28" s="5">
        <f ca="1">_xll.DBRW($B$9,N$14,$B28,$C$11)</f>
        <v>0</v>
      </c>
      <c r="O28" s="5">
        <f ca="1">_xll.DBRW($B$9,O$14,$B28,$C$11)</f>
        <v>0</v>
      </c>
      <c r="P28" s="5">
        <f ca="1">_xll.DBRW($B$9,P$14,$B28,$C$11)</f>
        <v>0</v>
      </c>
      <c r="Q28" s="5">
        <f ca="1">_xll.DBRW($B$9,Q$14,$B28,$C$11)</f>
        <v>0</v>
      </c>
      <c r="R28" s="5">
        <f ca="1">_xll.DBRW($B$9,R$14,$B28,$C$11)</f>
        <v>0</v>
      </c>
      <c r="S28" s="5">
        <f ca="1">_xll.DBRW($B$9,S$14,$B28,$C$11)</f>
        <v>0</v>
      </c>
      <c r="T28" s="5">
        <f ca="1">_xll.DBRW($B$9,T$14,$B28,$C$11)</f>
        <v>0</v>
      </c>
      <c r="U28" s="5">
        <f ca="1">_xll.DBRW($B$9,U$14,$B28,$C$11)</f>
        <v>0</v>
      </c>
      <c r="V28" s="5">
        <f ca="1">_xll.DBRW($B$9,V$14,$B28,$C$11)</f>
        <v>0</v>
      </c>
      <c r="W28" s="5">
        <f ca="1">_xll.DBRW($B$9,W$14,$B28,$C$11)</f>
        <v>0</v>
      </c>
      <c r="X28" s="5">
        <f ca="1">_xll.DBRW($B$9,X$14,$B28,$C$11)</f>
        <v>0</v>
      </c>
      <c r="Y28" s="5">
        <f ca="1">_xll.DBRW($B$9,Y$14,$B28,$C$11)</f>
        <v>0</v>
      </c>
      <c r="Z28" s="5">
        <f ca="1">_xll.DBRW($B$9,Z$14,$B28,$C$11)</f>
        <v>0</v>
      </c>
      <c r="AA28" s="5">
        <f ca="1">_xll.DBRW($B$9,AA$14,$B28,$C$11)</f>
        <v>0</v>
      </c>
      <c r="AB28" s="5">
        <f ca="1">_xll.DBRW($B$9,AB$14,$B28,$C$11)</f>
        <v>0</v>
      </c>
    </row>
    <row r="29" spans="1:28" ht="12.75" customHeight="1" x14ac:dyDescent="0.25">
      <c r="A29" t="str">
        <f ca="1">IF(_xll.TM1RPTELISCONSOLIDATED($B$15,$B29),IF(_xll.TM1RPTELLEV($B$15,$B29)&lt;=3,_xll.TM1RPTELLEV($B$15,$B29),"D"),"N")</f>
        <v>N</v>
      </c>
      <c r="B29" s="6" t="s">
        <v>48</v>
      </c>
      <c r="C29" s="5">
        <f ca="1">_xll.DBRW($B$9,C$14,$B29,$C$11)</f>
        <v>0</v>
      </c>
      <c r="D29" s="5">
        <f ca="1">_xll.DBRW($B$9,D$14,$B29,$C$11)</f>
        <v>0</v>
      </c>
      <c r="E29" s="5">
        <f ca="1">_xll.DBRW($B$9,E$14,$B29,$C$11)</f>
        <v>0</v>
      </c>
      <c r="F29" s="5">
        <f ca="1">_xll.DBRW($B$9,F$14,$B29,$C$11)</f>
        <v>0</v>
      </c>
      <c r="G29" s="5">
        <f ca="1">_xll.DBRW($B$9,G$14,$B29,$C$11)</f>
        <v>0</v>
      </c>
      <c r="H29" s="5">
        <f ca="1">_xll.DBRW($B$9,H$14,$B29,$C$11)</f>
        <v>0</v>
      </c>
      <c r="I29" s="5">
        <f ca="1">_xll.DBRW($B$9,I$14,$B29,$C$11)</f>
        <v>0</v>
      </c>
      <c r="J29" s="5">
        <f ca="1">_xll.DBRW($B$9,J$14,$B29,$C$11)</f>
        <v>0</v>
      </c>
      <c r="K29" s="5">
        <f ca="1">_xll.DBRW($B$9,K$14,$B29,$C$11)</f>
        <v>0</v>
      </c>
      <c r="L29" s="5">
        <f ca="1">_xll.DBRW($B$9,L$14,$B29,$C$11)</f>
        <v>0</v>
      </c>
      <c r="M29" s="5">
        <f ca="1">_xll.DBRW($B$9,M$14,$B29,$C$11)</f>
        <v>0</v>
      </c>
      <c r="N29" s="5">
        <f ca="1">_xll.DBRW($B$9,N$14,$B29,$C$11)</f>
        <v>0</v>
      </c>
      <c r="O29" s="5">
        <f ca="1">_xll.DBRW($B$9,O$14,$B29,$C$11)</f>
        <v>0</v>
      </c>
      <c r="P29" s="5">
        <f ca="1">_xll.DBRW($B$9,P$14,$B29,$C$11)</f>
        <v>0</v>
      </c>
      <c r="Q29" s="5">
        <f ca="1">_xll.DBRW($B$9,Q$14,$B29,$C$11)</f>
        <v>0</v>
      </c>
      <c r="R29" s="5">
        <f ca="1">_xll.DBRW($B$9,R$14,$B29,$C$11)</f>
        <v>0</v>
      </c>
      <c r="S29" s="5">
        <f ca="1">_xll.DBRW($B$9,S$14,$B29,$C$11)</f>
        <v>0</v>
      </c>
      <c r="T29" s="5">
        <f ca="1">_xll.DBRW($B$9,T$14,$B29,$C$11)</f>
        <v>0</v>
      </c>
      <c r="U29" s="5">
        <f ca="1">_xll.DBRW($B$9,U$14,$B29,$C$11)</f>
        <v>0</v>
      </c>
      <c r="V29" s="5">
        <f ca="1">_xll.DBRW($B$9,V$14,$B29,$C$11)</f>
        <v>0</v>
      </c>
      <c r="W29" s="5">
        <f ca="1">_xll.DBRW($B$9,W$14,$B29,$C$11)</f>
        <v>0</v>
      </c>
      <c r="X29" s="5">
        <f ca="1">_xll.DBRW($B$9,X$14,$B29,$C$11)</f>
        <v>0</v>
      </c>
      <c r="Y29" s="5">
        <f ca="1">_xll.DBRW($B$9,Y$14,$B29,$C$11)</f>
        <v>0</v>
      </c>
      <c r="Z29" s="5">
        <f ca="1">_xll.DBRW($B$9,Z$14,$B29,$C$11)</f>
        <v>0</v>
      </c>
      <c r="AA29" s="5">
        <f ca="1">_xll.DBRW($B$9,AA$14,$B29,$C$11)</f>
        <v>0</v>
      </c>
      <c r="AB29" s="5">
        <f ca="1">_xll.DBRW($B$9,AB$14,$B29,$C$11)</f>
        <v>0</v>
      </c>
    </row>
  </sheetData>
  <mergeCells count="2">
    <mergeCell ref="B10:AB10"/>
    <mergeCell ref="B12:C12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7" r:id="rId4" name="TIButton1">
          <controlPr defaultSize="0" print="0" autoLine="0" r:id="rId5">
            <anchor moveWithCells="1">
              <from>
                <xdr:col>5</xdr:col>
                <xdr:colOff>0</xdr:colOff>
                <xdr:row>10</xdr:row>
                <xdr:rowOff>0</xdr:rowOff>
              </from>
              <to>
                <xdr:col>7</xdr:col>
                <xdr:colOff>47625</xdr:colOff>
                <xdr:row>11</xdr:row>
                <xdr:rowOff>85725</xdr:rowOff>
              </to>
            </anchor>
          </controlPr>
        </control>
      </mc:Choice>
      <mc:Fallback>
        <control shapeId="1027" r:id="rId4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"/>
  <dimension ref="A1:AB29"/>
  <sheetViews>
    <sheetView topLeftCell="B10" zoomScaleNormal="100" workbookViewId="0">
      <selection activeCell="D12" sqref="D12"/>
    </sheetView>
  </sheetViews>
  <sheetFormatPr baseColWidth="10" defaultRowHeight="12.75" customHeight="1" x14ac:dyDescent="0.25"/>
  <cols>
    <col min="1" max="1" width="20.140625" hidden="1" customWidth="1"/>
    <col min="2" max="2" width="34.28515625" bestFit="1" customWidth="1"/>
    <col min="3" max="3" width="8.5703125" bestFit="1" customWidth="1"/>
    <col min="4" max="4" width="6.7109375" bestFit="1" customWidth="1"/>
    <col min="5" max="5" width="6.28515625" bestFit="1" customWidth="1"/>
    <col min="6" max="6" width="7" bestFit="1" customWidth="1"/>
    <col min="7" max="7" width="12.42578125" bestFit="1" customWidth="1"/>
    <col min="8" max="8" width="10.28515625" bestFit="1" customWidth="1"/>
    <col min="9" max="9" width="10.5703125" bestFit="1" customWidth="1"/>
    <col min="10" max="10" width="10.85546875" bestFit="1" customWidth="1"/>
    <col min="11" max="11" width="12.7109375" bestFit="1" customWidth="1"/>
    <col min="12" max="12" width="7.42578125" bestFit="1" customWidth="1"/>
    <col min="13" max="13" width="10" bestFit="1" customWidth="1"/>
    <col min="14" max="14" width="8.42578125" bestFit="1" customWidth="1"/>
    <col min="15" max="15" width="11.85546875" bestFit="1" customWidth="1"/>
    <col min="16" max="16" width="7.140625" bestFit="1" customWidth="1"/>
    <col min="17" max="17" width="11.28515625" bestFit="1" customWidth="1"/>
    <col min="18" max="18" width="6.5703125" bestFit="1" customWidth="1"/>
    <col min="19" max="19" width="8" bestFit="1" customWidth="1"/>
    <col min="20" max="20" width="4.85546875" bestFit="1" customWidth="1"/>
    <col min="21" max="22" width="6.28515625" bestFit="1" customWidth="1"/>
    <col min="23" max="23" width="7.42578125" bestFit="1" customWidth="1"/>
    <col min="24" max="24" width="9" bestFit="1" customWidth="1"/>
    <col min="25" max="25" width="5" bestFit="1" customWidth="1"/>
    <col min="26" max="26" width="8.7109375" bestFit="1" customWidth="1"/>
    <col min="27" max="27" width="6" bestFit="1" customWidth="1"/>
    <col min="28" max="28" width="7.5703125" bestFit="1" customWidth="1"/>
  </cols>
  <sheetData>
    <row r="1" spans="1:28" ht="12.75" hidden="1" customHeight="1" x14ac:dyDescent="0.25">
      <c r="A1" t="s">
        <v>40</v>
      </c>
    </row>
    <row r="2" spans="1:28" ht="12.75" hidden="1" customHeight="1" x14ac:dyDescent="0.25">
      <c r="A2">
        <f>0</f>
        <v>0</v>
      </c>
      <c r="B2" s="1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ht="12.75" hidden="1" customHeight="1" x14ac:dyDescent="0.25">
      <c r="A3">
        <f>1</f>
        <v>1</v>
      </c>
      <c r="B3" s="2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75" hidden="1" customHeight="1" x14ac:dyDescent="0.25">
      <c r="A4">
        <f>2</f>
        <v>2</v>
      </c>
      <c r="B4" s="2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75" hidden="1" customHeight="1" x14ac:dyDescent="0.25">
      <c r="A5">
        <f>3</f>
        <v>3</v>
      </c>
      <c r="B5" s="2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75" hidden="1" customHeight="1" x14ac:dyDescent="0.25">
      <c r="A6" t="s">
        <v>38</v>
      </c>
      <c r="B6" s="2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ht="12.75" hidden="1" customHeight="1" x14ac:dyDescent="0.25">
      <c r="A7" t="s">
        <v>39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12.75" hidden="1" customHeight="1" x14ac:dyDescent="0.25">
      <c r="A8" t="s">
        <v>41</v>
      </c>
    </row>
    <row r="9" spans="1:28" ht="12.75" hidden="1" customHeight="1" x14ac:dyDescent="0.25">
      <c r="B9" s="7" t="str">
        <f ca="1">_xll.TM1RPTVIEW("CXMD:SEC_Client_Origin_Company:Securite", 0, _xll.TM1RPTTITLE("CXMD:IND_SEC_Securité",$C$11),TM1RPTFMTRNG,TM1RPTFMTIDCOL)</f>
        <v>CXMD:SEC_Client_Origin_Company:Securite</v>
      </c>
      <c r="C9" s="8"/>
    </row>
    <row r="10" spans="1:28" ht="17.25" customHeight="1" x14ac:dyDescent="0.3">
      <c r="B10" s="17" t="s">
        <v>44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spans="1:28" ht="12.75" customHeight="1" x14ac:dyDescent="0.25">
      <c r="B11" s="15" t="s">
        <v>45</v>
      </c>
      <c r="C11" s="16" t="str">
        <f ca="1">_xll.SUBNM("CXMD:IND_SEC_Securité","","Valeur")</f>
        <v>Valeur</v>
      </c>
    </row>
    <row r="12" spans="1:28" ht="12.75" customHeight="1" x14ac:dyDescent="0.25">
      <c r="B12" s="18" t="s">
        <v>46</v>
      </c>
      <c r="C12" s="18"/>
    </row>
    <row r="13" spans="1:28" ht="12.75" customHeight="1" x14ac:dyDescent="0.25">
      <c r="B13" s="9"/>
      <c r="C13" s="12" t="s">
        <v>42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4"/>
    </row>
    <row r="14" spans="1:28" ht="30" x14ac:dyDescent="0.25">
      <c r="B14" s="10" t="s">
        <v>43</v>
      </c>
      <c r="C14" s="11" t="s">
        <v>0</v>
      </c>
      <c r="D14" s="11" t="s">
        <v>1</v>
      </c>
      <c r="E14" s="11" t="s">
        <v>2</v>
      </c>
      <c r="F14" s="11" t="s">
        <v>3</v>
      </c>
      <c r="G14" s="11" t="s">
        <v>4</v>
      </c>
      <c r="H14" s="11" t="s">
        <v>5</v>
      </c>
      <c r="I14" s="11" t="s">
        <v>49</v>
      </c>
      <c r="J14" s="11" t="s">
        <v>6</v>
      </c>
      <c r="K14" s="11" t="s">
        <v>7</v>
      </c>
      <c r="L14" s="11" t="s">
        <v>8</v>
      </c>
      <c r="M14" s="11" t="s">
        <v>50</v>
      </c>
      <c r="N14" s="11" t="s">
        <v>9</v>
      </c>
      <c r="O14" s="11" t="s">
        <v>10</v>
      </c>
      <c r="P14" s="11" t="s">
        <v>11</v>
      </c>
      <c r="Q14" s="11" t="s">
        <v>12</v>
      </c>
      <c r="R14" s="11" t="s">
        <v>13</v>
      </c>
      <c r="S14" s="11" t="s">
        <v>14</v>
      </c>
      <c r="T14" s="11" t="s">
        <v>15</v>
      </c>
      <c r="U14" s="11" t="s">
        <v>16</v>
      </c>
      <c r="V14" s="11" t="s">
        <v>17</v>
      </c>
      <c r="W14" s="11" t="s">
        <v>18</v>
      </c>
      <c r="X14" s="11" t="s">
        <v>19</v>
      </c>
      <c r="Y14" s="11" t="s">
        <v>20</v>
      </c>
      <c r="Z14" s="11" t="s">
        <v>21</v>
      </c>
      <c r="AA14" s="11" t="s">
        <v>22</v>
      </c>
      <c r="AB14" s="11" t="s">
        <v>23</v>
      </c>
    </row>
    <row r="15" spans="1:28" ht="12.75" customHeight="1" x14ac:dyDescent="0.25">
      <c r="A15" t="str">
        <f ca="1">IF(_xll.TM1RPTELISCONSOLIDATED($B$15,$B15),IF(_xll.TM1RPTELLEV($B$15,$B15)&lt;=3,_xll.TM1RPTELLEV($B$15,$B15),"D"),"N")</f>
        <v>N</v>
      </c>
      <c r="B15" s="6" t="str">
        <f ca="1">_xll.TM1RPTROW($B$9,"CXMD:}Clients","",'{AR}11'!$B$15:$B$29,"}TM1_DefaultDisplayValue",0)</f>
        <v>Admin</v>
      </c>
      <c r="C15" s="5" t="str">
        <f ca="1">_xll.DBRW($B$9,C$14,$B15,$C$11)</f>
        <v/>
      </c>
      <c r="D15" s="5" t="str">
        <f ca="1">_xll.DBRW($B$9,D$14,$B15,$C$11)</f>
        <v/>
      </c>
      <c r="E15" s="5" t="str">
        <f ca="1">_xll.DBRW($B$9,E$14,$B15,$C$11)</f>
        <v/>
      </c>
      <c r="F15" s="5" t="str">
        <f ca="1">_xll.DBRW($B$9,F$14,$B15,$C$11)</f>
        <v/>
      </c>
      <c r="G15" s="5" t="str">
        <f ca="1">_xll.DBRW($B$9,G$14,$B15,$C$11)</f>
        <v/>
      </c>
      <c r="H15" s="5" t="str">
        <f ca="1">_xll.DBRW($B$9,H$14,$B15,$C$11)</f>
        <v/>
      </c>
      <c r="I15" s="5" t="str">
        <f ca="1">_xll.DBRW($B$9,I$14,$B15,$C$11)</f>
        <v/>
      </c>
      <c r="J15" s="5" t="str">
        <f ca="1">_xll.DBRW($B$9,J$14,$B15,$C$11)</f>
        <v/>
      </c>
      <c r="K15" s="5" t="str">
        <f ca="1">_xll.DBRW($B$9,K$14,$B15,$C$11)</f>
        <v/>
      </c>
      <c r="L15" s="5" t="str">
        <f ca="1">_xll.DBRW($B$9,L$14,$B15,$C$11)</f>
        <v/>
      </c>
      <c r="M15" s="5" t="str">
        <f ca="1">_xll.DBRW($B$9,M$14,$B15,$C$11)</f>
        <v/>
      </c>
      <c r="N15" s="5" t="str">
        <f ca="1">_xll.DBRW($B$9,N$14,$B15,$C$11)</f>
        <v/>
      </c>
      <c r="O15" s="5" t="str">
        <f ca="1">_xll.DBRW($B$9,O$14,$B15,$C$11)</f>
        <v/>
      </c>
      <c r="P15" s="5" t="str">
        <f ca="1">_xll.DBRW($B$9,P$14,$B15,$C$11)</f>
        <v/>
      </c>
      <c r="Q15" s="5" t="str">
        <f ca="1">_xll.DBRW($B$9,Q$14,$B15,$C$11)</f>
        <v/>
      </c>
      <c r="R15" s="5" t="str">
        <f ca="1">_xll.DBRW($B$9,R$14,$B15,$C$11)</f>
        <v/>
      </c>
      <c r="S15" s="5" t="str">
        <f ca="1">_xll.DBRW($B$9,S$14,$B15,$C$11)</f>
        <v/>
      </c>
      <c r="T15" s="5" t="str">
        <f ca="1">_xll.DBRW($B$9,T$14,$B15,$C$11)</f>
        <v/>
      </c>
      <c r="U15" s="5" t="str">
        <f ca="1">_xll.DBRW($B$9,U$14,$B15,$C$11)</f>
        <v/>
      </c>
      <c r="V15" s="5" t="str">
        <f ca="1">_xll.DBRW($B$9,V$14,$B15,$C$11)</f>
        <v/>
      </c>
      <c r="W15" s="5" t="str">
        <f ca="1">_xll.DBRW($B$9,W$14,$B15,$C$11)</f>
        <v/>
      </c>
      <c r="X15" s="5" t="str">
        <f ca="1">_xll.DBRW($B$9,X$14,$B15,$C$11)</f>
        <v/>
      </c>
      <c r="Y15" s="5" t="str">
        <f ca="1">_xll.DBRW($B$9,Y$14,$B15,$C$11)</f>
        <v/>
      </c>
      <c r="Z15" s="5" t="str">
        <f ca="1">_xll.DBRW($B$9,Z$14,$B15,$C$11)</f>
        <v/>
      </c>
      <c r="AA15" s="5" t="str">
        <f ca="1">_xll.DBRW($B$9,AA$14,$B15,$C$11)</f>
        <v/>
      </c>
      <c r="AB15" s="5" t="str">
        <f ca="1">_xll.DBRW($B$9,AB$14,$B15,$C$11)</f>
        <v/>
      </c>
    </row>
    <row r="16" spans="1:28" ht="12.75" customHeight="1" x14ac:dyDescent="0.25">
      <c r="A16" t="str">
        <f ca="1">IF(_xll.TM1RPTELISCONSOLIDATED($B$15,$B16),IF(_xll.TM1RPTELLEV($B$15,$B16)&lt;=3,_xll.TM1RPTELLEV($B$15,$B16),"D"),"N")</f>
        <v>N</v>
      </c>
      <c r="B16" s="6" t="s">
        <v>25</v>
      </c>
      <c r="C16" s="5" t="str">
        <f ca="1">_xll.DBRW($B$9,C$14,$B16,$C$11)</f>
        <v/>
      </c>
      <c r="D16" s="5" t="str">
        <f ca="1">_xll.DBRW($B$9,D$14,$B16,$C$11)</f>
        <v/>
      </c>
      <c r="E16" s="5" t="str">
        <f ca="1">_xll.DBRW($B$9,E$14,$B16,$C$11)</f>
        <v/>
      </c>
      <c r="F16" s="5" t="str">
        <f ca="1">_xll.DBRW($B$9,F$14,$B16,$C$11)</f>
        <v/>
      </c>
      <c r="G16" s="5" t="str">
        <f ca="1">_xll.DBRW($B$9,G$14,$B16,$C$11)</f>
        <v/>
      </c>
      <c r="H16" s="5" t="str">
        <f ca="1">_xll.DBRW($B$9,H$14,$B16,$C$11)</f>
        <v/>
      </c>
      <c r="I16" s="5" t="str">
        <f ca="1">_xll.DBRW($B$9,I$14,$B16,$C$11)</f>
        <v/>
      </c>
      <c r="J16" s="5" t="str">
        <f ca="1">_xll.DBRW($B$9,J$14,$B16,$C$11)</f>
        <v/>
      </c>
      <c r="K16" s="5" t="str">
        <f ca="1">_xll.DBRW($B$9,K$14,$B16,$C$11)</f>
        <v/>
      </c>
      <c r="L16" s="5" t="str">
        <f ca="1">_xll.DBRW($B$9,L$14,$B16,$C$11)</f>
        <v/>
      </c>
      <c r="M16" s="5" t="str">
        <f ca="1">_xll.DBRW($B$9,M$14,$B16,$C$11)</f>
        <v/>
      </c>
      <c r="N16" s="5" t="str">
        <f ca="1">_xll.DBRW($B$9,N$14,$B16,$C$11)</f>
        <v/>
      </c>
      <c r="O16" s="5" t="str">
        <f ca="1">_xll.DBRW($B$9,O$14,$B16,$C$11)</f>
        <v/>
      </c>
      <c r="P16" s="5" t="str">
        <f ca="1">_xll.DBRW($B$9,P$14,$B16,$C$11)</f>
        <v/>
      </c>
      <c r="Q16" s="5" t="str">
        <f ca="1">_xll.DBRW($B$9,Q$14,$B16,$C$11)</f>
        <v/>
      </c>
      <c r="R16" s="5" t="str">
        <f ca="1">_xll.DBRW($B$9,R$14,$B16,$C$11)</f>
        <v/>
      </c>
      <c r="S16" s="5" t="str">
        <f ca="1">_xll.DBRW($B$9,S$14,$B16,$C$11)</f>
        <v/>
      </c>
      <c r="T16" s="5" t="str">
        <f ca="1">_xll.DBRW($B$9,T$14,$B16,$C$11)</f>
        <v/>
      </c>
      <c r="U16" s="5" t="str">
        <f ca="1">_xll.DBRW($B$9,U$14,$B16,$C$11)</f>
        <v/>
      </c>
      <c r="V16" s="5" t="str">
        <f ca="1">_xll.DBRW($B$9,V$14,$B16,$C$11)</f>
        <v/>
      </c>
      <c r="W16" s="5" t="str">
        <f ca="1">_xll.DBRW($B$9,W$14,$B16,$C$11)</f>
        <v/>
      </c>
      <c r="X16" s="5" t="str">
        <f ca="1">_xll.DBRW($B$9,X$14,$B16,$C$11)</f>
        <v/>
      </c>
      <c r="Y16" s="5" t="str">
        <f ca="1">_xll.DBRW($B$9,Y$14,$B16,$C$11)</f>
        <v/>
      </c>
      <c r="Z16" s="5" t="str">
        <f ca="1">_xll.DBRW($B$9,Z$14,$B16,$C$11)</f>
        <v/>
      </c>
      <c r="AA16" s="5" t="str">
        <f ca="1">_xll.DBRW($B$9,AA$14,$B16,$C$11)</f>
        <v/>
      </c>
      <c r="AB16" s="5" t="str">
        <f ca="1">_xll.DBRW($B$9,AB$14,$B16,$C$11)</f>
        <v/>
      </c>
    </row>
    <row r="17" spans="1:28" ht="12.75" customHeight="1" x14ac:dyDescent="0.25">
      <c r="A17" t="str">
        <f ca="1">IF(_xll.TM1RPTELISCONSOLIDATED($B$15,$B17),IF(_xll.TM1RPTELLEV($B$15,$B17)&lt;=3,_xll.TM1RPTELLEV($B$15,$B17),"D"),"N")</f>
        <v>N</v>
      </c>
      <c r="B17" s="6" t="s">
        <v>26</v>
      </c>
      <c r="C17" s="5" t="str">
        <f ca="1">_xll.DBRW($B$9,C$14,$B17,$C$11)</f>
        <v/>
      </c>
      <c r="D17" s="5" t="str">
        <f ca="1">_xll.DBRW($B$9,D$14,$B17,$C$11)</f>
        <v/>
      </c>
      <c r="E17" s="5" t="str">
        <f ca="1">_xll.DBRW($B$9,E$14,$B17,$C$11)</f>
        <v/>
      </c>
      <c r="F17" s="5" t="str">
        <f ca="1">_xll.DBRW($B$9,F$14,$B17,$C$11)</f>
        <v/>
      </c>
      <c r="G17" s="5" t="str">
        <f ca="1">_xll.DBRW($B$9,G$14,$B17,$C$11)</f>
        <v/>
      </c>
      <c r="H17" s="5" t="str">
        <f ca="1">_xll.DBRW($B$9,H$14,$B17,$C$11)</f>
        <v/>
      </c>
      <c r="I17" s="5" t="str">
        <f ca="1">_xll.DBRW($B$9,I$14,$B17,$C$11)</f>
        <v/>
      </c>
      <c r="J17" s="5" t="str">
        <f ca="1">_xll.DBRW($B$9,J$14,$B17,$C$11)</f>
        <v/>
      </c>
      <c r="K17" s="5" t="str">
        <f ca="1">_xll.DBRW($B$9,K$14,$B17,$C$11)</f>
        <v/>
      </c>
      <c r="L17" s="5" t="str">
        <f ca="1">_xll.DBRW($B$9,L$14,$B17,$C$11)</f>
        <v/>
      </c>
      <c r="M17" s="5" t="str">
        <f ca="1">_xll.DBRW($B$9,M$14,$B17,$C$11)</f>
        <v/>
      </c>
      <c r="N17" s="5" t="str">
        <f ca="1">_xll.DBRW($B$9,N$14,$B17,$C$11)</f>
        <v/>
      </c>
      <c r="O17" s="5" t="str">
        <f ca="1">_xll.DBRW($B$9,O$14,$B17,$C$11)</f>
        <v/>
      </c>
      <c r="P17" s="5" t="str">
        <f ca="1">_xll.DBRW($B$9,P$14,$B17,$C$11)</f>
        <v/>
      </c>
      <c r="Q17" s="5" t="str">
        <f ca="1">_xll.DBRW($B$9,Q$14,$B17,$C$11)</f>
        <v/>
      </c>
      <c r="R17" s="5" t="str">
        <f ca="1">_xll.DBRW($B$9,R$14,$B17,$C$11)</f>
        <v/>
      </c>
      <c r="S17" s="5" t="str">
        <f ca="1">_xll.DBRW($B$9,S$14,$B17,$C$11)</f>
        <v/>
      </c>
      <c r="T17" s="5" t="str">
        <f ca="1">_xll.DBRW($B$9,T$14,$B17,$C$11)</f>
        <v/>
      </c>
      <c r="U17" s="5" t="str">
        <f ca="1">_xll.DBRW($B$9,U$14,$B17,$C$11)</f>
        <v/>
      </c>
      <c r="V17" s="5" t="str">
        <f ca="1">_xll.DBRW($B$9,V$14,$B17,$C$11)</f>
        <v/>
      </c>
      <c r="W17" s="5" t="str">
        <f ca="1">_xll.DBRW($B$9,W$14,$B17,$C$11)</f>
        <v/>
      </c>
      <c r="X17" s="5" t="str">
        <f ca="1">_xll.DBRW($B$9,X$14,$B17,$C$11)</f>
        <v/>
      </c>
      <c r="Y17" s="5" t="str">
        <f ca="1">_xll.DBRW($B$9,Y$14,$B17,$C$11)</f>
        <v/>
      </c>
      <c r="Z17" s="5" t="str">
        <f ca="1">_xll.DBRW($B$9,Z$14,$B17,$C$11)</f>
        <v/>
      </c>
      <c r="AA17" s="5" t="str">
        <f ca="1">_xll.DBRW($B$9,AA$14,$B17,$C$11)</f>
        <v/>
      </c>
      <c r="AB17" s="5" t="str">
        <f ca="1">_xll.DBRW($B$9,AB$14,$B17,$C$11)</f>
        <v/>
      </c>
    </row>
    <row r="18" spans="1:28" ht="12.75" customHeight="1" x14ac:dyDescent="0.25">
      <c r="A18" t="str">
        <f ca="1">IF(_xll.TM1RPTELISCONSOLIDATED($B$15,$B18),IF(_xll.TM1RPTELLEV($B$15,$B18)&lt;=3,_xll.TM1RPTELLEV($B$15,$B18),"D"),"N")</f>
        <v>N</v>
      </c>
      <c r="B18" s="6" t="s">
        <v>27</v>
      </c>
      <c r="C18" s="5" t="str">
        <f ca="1">_xll.DBRW($B$9,C$14,$B18,$C$11)</f>
        <v/>
      </c>
      <c r="D18" s="5" t="str">
        <f ca="1">_xll.DBRW($B$9,D$14,$B18,$C$11)</f>
        <v/>
      </c>
      <c r="E18" s="5" t="str">
        <f ca="1">_xll.DBRW($B$9,E$14,$B18,$C$11)</f>
        <v/>
      </c>
      <c r="F18" s="5" t="str">
        <f ca="1">_xll.DBRW($B$9,F$14,$B18,$C$11)</f>
        <v/>
      </c>
      <c r="G18" s="5" t="str">
        <f ca="1">_xll.DBRW($B$9,G$14,$B18,$C$11)</f>
        <v/>
      </c>
      <c r="H18" s="5" t="str">
        <f ca="1">_xll.DBRW($B$9,H$14,$B18,$C$11)</f>
        <v/>
      </c>
      <c r="I18" s="5" t="str">
        <f ca="1">_xll.DBRW($B$9,I$14,$B18,$C$11)</f>
        <v/>
      </c>
      <c r="J18" s="5" t="str">
        <f ca="1">_xll.DBRW($B$9,J$14,$B18,$C$11)</f>
        <v/>
      </c>
      <c r="K18" s="5" t="str">
        <f ca="1">_xll.DBRW($B$9,K$14,$B18,$C$11)</f>
        <v/>
      </c>
      <c r="L18" s="5" t="str">
        <f ca="1">_xll.DBRW($B$9,L$14,$B18,$C$11)</f>
        <v/>
      </c>
      <c r="M18" s="5" t="str">
        <f ca="1">_xll.DBRW($B$9,M$14,$B18,$C$11)</f>
        <v/>
      </c>
      <c r="N18" s="5" t="str">
        <f ca="1">_xll.DBRW($B$9,N$14,$B18,$C$11)</f>
        <v/>
      </c>
      <c r="O18" s="5" t="str">
        <f ca="1">_xll.DBRW($B$9,O$14,$B18,$C$11)</f>
        <v/>
      </c>
      <c r="P18" s="5" t="str">
        <f ca="1">_xll.DBRW($B$9,P$14,$B18,$C$11)</f>
        <v/>
      </c>
      <c r="Q18" s="5" t="str">
        <f ca="1">_xll.DBRW($B$9,Q$14,$B18,$C$11)</f>
        <v/>
      </c>
      <c r="R18" s="5" t="str">
        <f ca="1">_xll.DBRW($B$9,R$14,$B18,$C$11)</f>
        <v/>
      </c>
      <c r="S18" s="5" t="str">
        <f ca="1">_xll.DBRW($B$9,S$14,$B18,$C$11)</f>
        <v/>
      </c>
      <c r="T18" s="5" t="str">
        <f ca="1">_xll.DBRW($B$9,T$14,$B18,$C$11)</f>
        <v/>
      </c>
      <c r="U18" s="5" t="str">
        <f ca="1">_xll.DBRW($B$9,U$14,$B18,$C$11)</f>
        <v/>
      </c>
      <c r="V18" s="5" t="str">
        <f ca="1">_xll.DBRW($B$9,V$14,$B18,$C$11)</f>
        <v/>
      </c>
      <c r="W18" s="5" t="str">
        <f ca="1">_xll.DBRW($B$9,W$14,$B18,$C$11)</f>
        <v/>
      </c>
      <c r="X18" s="5" t="str">
        <f ca="1">_xll.DBRW($B$9,X$14,$B18,$C$11)</f>
        <v/>
      </c>
      <c r="Y18" s="5" t="str">
        <f ca="1">_xll.DBRW($B$9,Y$14,$B18,$C$11)</f>
        <v/>
      </c>
      <c r="Z18" s="5" t="str">
        <f ca="1">_xll.DBRW($B$9,Z$14,$B18,$C$11)</f>
        <v/>
      </c>
      <c r="AA18" s="5" t="str">
        <f ca="1">_xll.DBRW($B$9,AA$14,$B18,$C$11)</f>
        <v/>
      </c>
      <c r="AB18" s="5" t="str">
        <f ca="1">_xll.DBRW($B$9,AB$14,$B18,$C$11)</f>
        <v/>
      </c>
    </row>
    <row r="19" spans="1:28" ht="12.75" customHeight="1" x14ac:dyDescent="0.25">
      <c r="A19" t="str">
        <f ca="1">IF(_xll.TM1RPTELISCONSOLIDATED($B$15,$B19),IF(_xll.TM1RPTELLEV($B$15,$B19)&lt;=3,_xll.TM1RPTELLEV($B$15,$B19),"D"),"N")</f>
        <v>N</v>
      </c>
      <c r="B19" s="6" t="s">
        <v>28</v>
      </c>
      <c r="C19" s="5" t="str">
        <f ca="1">_xll.DBRW($B$9,C$14,$B19,$C$11)</f>
        <v/>
      </c>
      <c r="D19" s="5" t="str">
        <f ca="1">_xll.DBRW($B$9,D$14,$B19,$C$11)</f>
        <v/>
      </c>
      <c r="E19" s="5" t="str">
        <f ca="1">_xll.DBRW($B$9,E$14,$B19,$C$11)</f>
        <v/>
      </c>
      <c r="F19" s="5" t="str">
        <f ca="1">_xll.DBRW($B$9,F$14,$B19,$C$11)</f>
        <v/>
      </c>
      <c r="G19" s="5" t="str">
        <f ca="1">_xll.DBRW($B$9,G$14,$B19,$C$11)</f>
        <v/>
      </c>
      <c r="H19" s="5" t="str">
        <f ca="1">_xll.DBRW($B$9,H$14,$B19,$C$11)</f>
        <v/>
      </c>
      <c r="I19" s="5" t="str">
        <f ca="1">_xll.DBRW($B$9,I$14,$B19,$C$11)</f>
        <v/>
      </c>
      <c r="J19" s="5" t="str">
        <f ca="1">_xll.DBRW($B$9,J$14,$B19,$C$11)</f>
        <v/>
      </c>
      <c r="K19" s="5" t="str">
        <f ca="1">_xll.DBRW($B$9,K$14,$B19,$C$11)</f>
        <v/>
      </c>
      <c r="L19" s="5" t="str">
        <f ca="1">_xll.DBRW($B$9,L$14,$B19,$C$11)</f>
        <v/>
      </c>
      <c r="M19" s="5" t="str">
        <f ca="1">_xll.DBRW($B$9,M$14,$B19,$C$11)</f>
        <v/>
      </c>
      <c r="N19" s="5" t="str">
        <f ca="1">_xll.DBRW($B$9,N$14,$B19,$C$11)</f>
        <v/>
      </c>
      <c r="O19" s="5" t="str">
        <f ca="1">_xll.DBRW($B$9,O$14,$B19,$C$11)</f>
        <v/>
      </c>
      <c r="P19" s="5" t="str">
        <f ca="1">_xll.DBRW($B$9,P$14,$B19,$C$11)</f>
        <v/>
      </c>
      <c r="Q19" s="5" t="str">
        <f ca="1">_xll.DBRW($B$9,Q$14,$B19,$C$11)</f>
        <v/>
      </c>
      <c r="R19" s="5" t="str">
        <f ca="1">_xll.DBRW($B$9,R$14,$B19,$C$11)</f>
        <v/>
      </c>
      <c r="S19" s="5" t="str">
        <f ca="1">_xll.DBRW($B$9,S$14,$B19,$C$11)</f>
        <v/>
      </c>
      <c r="T19" s="5" t="str">
        <f ca="1">_xll.DBRW($B$9,T$14,$B19,$C$11)</f>
        <v/>
      </c>
      <c r="U19" s="5" t="str">
        <f ca="1">_xll.DBRW($B$9,U$14,$B19,$C$11)</f>
        <v/>
      </c>
      <c r="V19" s="5" t="str">
        <f ca="1">_xll.DBRW($B$9,V$14,$B19,$C$11)</f>
        <v/>
      </c>
      <c r="W19" s="5" t="str">
        <f ca="1">_xll.DBRW($B$9,W$14,$B19,$C$11)</f>
        <v/>
      </c>
      <c r="X19" s="5" t="str">
        <f ca="1">_xll.DBRW($B$9,X$14,$B19,$C$11)</f>
        <v/>
      </c>
      <c r="Y19" s="5" t="str">
        <f ca="1">_xll.DBRW($B$9,Y$14,$B19,$C$11)</f>
        <v/>
      </c>
      <c r="Z19" s="5" t="str">
        <f ca="1">_xll.DBRW($B$9,Z$14,$B19,$C$11)</f>
        <v/>
      </c>
      <c r="AA19" s="5" t="str">
        <f ca="1">_xll.DBRW($B$9,AA$14,$B19,$C$11)</f>
        <v/>
      </c>
      <c r="AB19" s="5" t="str">
        <f ca="1">_xll.DBRW($B$9,AB$14,$B19,$C$11)</f>
        <v/>
      </c>
    </row>
    <row r="20" spans="1:28" ht="12.75" customHeight="1" x14ac:dyDescent="0.25">
      <c r="A20" t="str">
        <f ca="1">IF(_xll.TM1RPTELISCONSOLIDATED($B$15,$B20),IF(_xll.TM1RPTELLEV($B$15,$B20)&lt;=3,_xll.TM1RPTELLEV($B$15,$B20),"D"),"N")</f>
        <v>N</v>
      </c>
      <c r="B20" s="6" t="s">
        <v>29</v>
      </c>
      <c r="C20" s="5" t="str">
        <f ca="1">_xll.DBRW($B$9,C$14,$B20,$C$11)</f>
        <v/>
      </c>
      <c r="D20" s="5" t="str">
        <f ca="1">_xll.DBRW($B$9,D$14,$B20,$C$11)</f>
        <v/>
      </c>
      <c r="E20" s="5" t="str">
        <f ca="1">_xll.DBRW($B$9,E$14,$B20,$C$11)</f>
        <v/>
      </c>
      <c r="F20" s="5" t="str">
        <f ca="1">_xll.DBRW($B$9,F$14,$B20,$C$11)</f>
        <v/>
      </c>
      <c r="G20" s="5" t="str">
        <f ca="1">_xll.DBRW($B$9,G$14,$B20,$C$11)</f>
        <v/>
      </c>
      <c r="H20" s="5" t="str">
        <f ca="1">_xll.DBRW($B$9,H$14,$B20,$C$11)</f>
        <v/>
      </c>
      <c r="I20" s="5" t="str">
        <f ca="1">_xll.DBRW($B$9,I$14,$B20,$C$11)</f>
        <v/>
      </c>
      <c r="J20" s="5" t="str">
        <f ca="1">_xll.DBRW($B$9,J$14,$B20,$C$11)</f>
        <v/>
      </c>
      <c r="K20" s="5" t="str">
        <f ca="1">_xll.DBRW($B$9,K$14,$B20,$C$11)</f>
        <v/>
      </c>
      <c r="L20" s="5" t="str">
        <f ca="1">_xll.DBRW($B$9,L$14,$B20,$C$11)</f>
        <v/>
      </c>
      <c r="M20" s="5" t="str">
        <f ca="1">_xll.DBRW($B$9,M$14,$B20,$C$11)</f>
        <v/>
      </c>
      <c r="N20" s="5" t="str">
        <f ca="1">_xll.DBRW($B$9,N$14,$B20,$C$11)</f>
        <v/>
      </c>
      <c r="O20" s="5" t="str">
        <f ca="1">_xll.DBRW($B$9,O$14,$B20,$C$11)</f>
        <v/>
      </c>
      <c r="P20" s="5" t="str">
        <f ca="1">_xll.DBRW($B$9,P$14,$B20,$C$11)</f>
        <v/>
      </c>
      <c r="Q20" s="5" t="str">
        <f ca="1">_xll.DBRW($B$9,Q$14,$B20,$C$11)</f>
        <v/>
      </c>
      <c r="R20" s="5" t="str">
        <f ca="1">_xll.DBRW($B$9,R$14,$B20,$C$11)</f>
        <v/>
      </c>
      <c r="S20" s="5" t="str">
        <f ca="1">_xll.DBRW($B$9,S$14,$B20,$C$11)</f>
        <v/>
      </c>
      <c r="T20" s="5" t="str">
        <f ca="1">_xll.DBRW($B$9,T$14,$B20,$C$11)</f>
        <v/>
      </c>
      <c r="U20" s="5" t="str">
        <f ca="1">_xll.DBRW($B$9,U$14,$B20,$C$11)</f>
        <v/>
      </c>
      <c r="V20" s="5" t="str">
        <f ca="1">_xll.DBRW($B$9,V$14,$B20,$C$11)</f>
        <v/>
      </c>
      <c r="W20" s="5" t="str">
        <f ca="1">_xll.DBRW($B$9,W$14,$B20,$C$11)</f>
        <v/>
      </c>
      <c r="X20" s="5" t="str">
        <f ca="1">_xll.DBRW($B$9,X$14,$B20,$C$11)</f>
        <v/>
      </c>
      <c r="Y20" s="5" t="str">
        <f ca="1">_xll.DBRW($B$9,Y$14,$B20,$C$11)</f>
        <v/>
      </c>
      <c r="Z20" s="5" t="str">
        <f ca="1">_xll.DBRW($B$9,Z$14,$B20,$C$11)</f>
        <v/>
      </c>
      <c r="AA20" s="5" t="str">
        <f ca="1">_xll.DBRW($B$9,AA$14,$B20,$C$11)</f>
        <v/>
      </c>
      <c r="AB20" s="5" t="str">
        <f ca="1">_xll.DBRW($B$9,AB$14,$B20,$C$11)</f>
        <v/>
      </c>
    </row>
    <row r="21" spans="1:28" ht="12.75" customHeight="1" x14ac:dyDescent="0.25">
      <c r="A21" t="str">
        <f ca="1">IF(_xll.TM1RPTELISCONSOLIDATED($B$15,$B21),IF(_xll.TM1RPTELLEV($B$15,$B21)&lt;=3,_xll.TM1RPTELLEV($B$15,$B21),"D"),"N")</f>
        <v>N</v>
      </c>
      <c r="B21" s="6" t="s">
        <v>30</v>
      </c>
      <c r="C21" s="5" t="str">
        <f ca="1">_xll.DBRW($B$9,C$14,$B21,$C$11)</f>
        <v/>
      </c>
      <c r="D21" s="5" t="str">
        <f ca="1">_xll.DBRW($B$9,D$14,$B21,$C$11)</f>
        <v/>
      </c>
      <c r="E21" s="5" t="str">
        <f ca="1">_xll.DBRW($B$9,E$14,$B21,$C$11)</f>
        <v/>
      </c>
      <c r="F21" s="5" t="str">
        <f ca="1">_xll.DBRW($B$9,F$14,$B21,$C$11)</f>
        <v/>
      </c>
      <c r="G21" s="5" t="str">
        <f ca="1">_xll.DBRW($B$9,G$14,$B21,$C$11)</f>
        <v/>
      </c>
      <c r="H21" s="5" t="str">
        <f ca="1">_xll.DBRW($B$9,H$14,$B21,$C$11)</f>
        <v/>
      </c>
      <c r="I21" s="5" t="str">
        <f ca="1">_xll.DBRW($B$9,I$14,$B21,$C$11)</f>
        <v/>
      </c>
      <c r="J21" s="5" t="str">
        <f ca="1">_xll.DBRW($B$9,J$14,$B21,$C$11)</f>
        <v/>
      </c>
      <c r="K21" s="5" t="str">
        <f ca="1">_xll.DBRW($B$9,K$14,$B21,$C$11)</f>
        <v/>
      </c>
      <c r="L21" s="5" t="str">
        <f ca="1">_xll.DBRW($B$9,L$14,$B21,$C$11)</f>
        <v/>
      </c>
      <c r="M21" s="5" t="str">
        <f ca="1">_xll.DBRW($B$9,M$14,$B21,$C$11)</f>
        <v/>
      </c>
      <c r="N21" s="5" t="str">
        <f ca="1">_xll.DBRW($B$9,N$14,$B21,$C$11)</f>
        <v/>
      </c>
      <c r="O21" s="5" t="str">
        <f ca="1">_xll.DBRW($B$9,O$14,$B21,$C$11)</f>
        <v/>
      </c>
      <c r="P21" s="5" t="str">
        <f ca="1">_xll.DBRW($B$9,P$14,$B21,$C$11)</f>
        <v/>
      </c>
      <c r="Q21" s="5" t="str">
        <f ca="1">_xll.DBRW($B$9,Q$14,$B21,$C$11)</f>
        <v/>
      </c>
      <c r="R21" s="5" t="str">
        <f ca="1">_xll.DBRW($B$9,R$14,$B21,$C$11)</f>
        <v/>
      </c>
      <c r="S21" s="5" t="str">
        <f ca="1">_xll.DBRW($B$9,S$14,$B21,$C$11)</f>
        <v/>
      </c>
      <c r="T21" s="5" t="str">
        <f ca="1">_xll.DBRW($B$9,T$14,$B21,$C$11)</f>
        <v/>
      </c>
      <c r="U21" s="5" t="str">
        <f ca="1">_xll.DBRW($B$9,U$14,$B21,$C$11)</f>
        <v/>
      </c>
      <c r="V21" s="5" t="str">
        <f ca="1">_xll.DBRW($B$9,V$14,$B21,$C$11)</f>
        <v/>
      </c>
      <c r="W21" s="5" t="str">
        <f ca="1">_xll.DBRW($B$9,W$14,$B21,$C$11)</f>
        <v/>
      </c>
      <c r="X21" s="5" t="str">
        <f ca="1">_xll.DBRW($B$9,X$14,$B21,$C$11)</f>
        <v/>
      </c>
      <c r="Y21" s="5" t="str">
        <f ca="1">_xll.DBRW($B$9,Y$14,$B21,$C$11)</f>
        <v/>
      </c>
      <c r="Z21" s="5" t="str">
        <f ca="1">_xll.DBRW($B$9,Z$14,$B21,$C$11)</f>
        <v/>
      </c>
      <c r="AA21" s="5" t="str">
        <f ca="1">_xll.DBRW($B$9,AA$14,$B21,$C$11)</f>
        <v/>
      </c>
      <c r="AB21" s="5" t="str">
        <f ca="1">_xll.DBRW($B$9,AB$14,$B21,$C$11)</f>
        <v/>
      </c>
    </row>
    <row r="22" spans="1:28" ht="12.75" customHeight="1" x14ac:dyDescent="0.25">
      <c r="A22" t="str">
        <f ca="1">IF(_xll.TM1RPTELISCONSOLIDATED($B$15,$B22),IF(_xll.TM1RPTELLEV($B$15,$B22)&lt;=3,_xll.TM1RPTELLEV($B$15,$B22),"D"),"N")</f>
        <v>N</v>
      </c>
      <c r="B22" s="6" t="s">
        <v>32</v>
      </c>
      <c r="C22" s="5" t="str">
        <f ca="1">_xll.DBRW($B$9,C$14,$B22,$C$11)</f>
        <v/>
      </c>
      <c r="D22" s="5" t="str">
        <f ca="1">_xll.DBRW($B$9,D$14,$B22,$C$11)</f>
        <v/>
      </c>
      <c r="E22" s="5" t="str">
        <f ca="1">_xll.DBRW($B$9,E$14,$B22,$C$11)</f>
        <v/>
      </c>
      <c r="F22" s="5" t="str">
        <f ca="1">_xll.DBRW($B$9,F$14,$B22,$C$11)</f>
        <v/>
      </c>
      <c r="G22" s="5" t="str">
        <f ca="1">_xll.DBRW($B$9,G$14,$B22,$C$11)</f>
        <v/>
      </c>
      <c r="H22" s="5" t="str">
        <f ca="1">_xll.DBRW($B$9,H$14,$B22,$C$11)</f>
        <v/>
      </c>
      <c r="I22" s="5" t="str">
        <f ca="1">_xll.DBRW($B$9,I$14,$B22,$C$11)</f>
        <v/>
      </c>
      <c r="J22" s="5" t="str">
        <f ca="1">_xll.DBRW($B$9,J$14,$B22,$C$11)</f>
        <v/>
      </c>
      <c r="K22" s="5" t="str">
        <f ca="1">_xll.DBRW($B$9,K$14,$B22,$C$11)</f>
        <v/>
      </c>
      <c r="L22" s="5" t="str">
        <f ca="1">_xll.DBRW($B$9,L$14,$B22,$C$11)</f>
        <v/>
      </c>
      <c r="M22" s="5" t="str">
        <f ca="1">_xll.DBRW($B$9,M$14,$B22,$C$11)</f>
        <v/>
      </c>
      <c r="N22" s="5" t="str">
        <f ca="1">_xll.DBRW($B$9,N$14,$B22,$C$11)</f>
        <v/>
      </c>
      <c r="O22" s="5" t="str">
        <f ca="1">_xll.DBRW($B$9,O$14,$B22,$C$11)</f>
        <v/>
      </c>
      <c r="P22" s="5" t="str">
        <f ca="1">_xll.DBRW($B$9,P$14,$B22,$C$11)</f>
        <v/>
      </c>
      <c r="Q22" s="5" t="str">
        <f ca="1">_xll.DBRW($B$9,Q$14,$B22,$C$11)</f>
        <v/>
      </c>
      <c r="R22" s="5" t="str">
        <f ca="1">_xll.DBRW($B$9,R$14,$B22,$C$11)</f>
        <v/>
      </c>
      <c r="S22" s="5" t="str">
        <f ca="1">_xll.DBRW($B$9,S$14,$B22,$C$11)</f>
        <v/>
      </c>
      <c r="T22" s="5" t="str">
        <f ca="1">_xll.DBRW($B$9,T$14,$B22,$C$11)</f>
        <v/>
      </c>
      <c r="U22" s="5" t="str">
        <f ca="1">_xll.DBRW($B$9,U$14,$B22,$C$11)</f>
        <v/>
      </c>
      <c r="V22" s="5" t="str">
        <f ca="1">_xll.DBRW($B$9,V$14,$B22,$C$11)</f>
        <v/>
      </c>
      <c r="W22" s="5" t="str">
        <f ca="1">_xll.DBRW($B$9,W$14,$B22,$C$11)</f>
        <v/>
      </c>
      <c r="X22" s="5" t="str">
        <f ca="1">_xll.DBRW($B$9,X$14,$B22,$C$11)</f>
        <v/>
      </c>
      <c r="Y22" s="5" t="str">
        <f ca="1">_xll.DBRW($B$9,Y$14,$B22,$C$11)</f>
        <v/>
      </c>
      <c r="Z22" s="5" t="str">
        <f ca="1">_xll.DBRW($B$9,Z$14,$B22,$C$11)</f>
        <v/>
      </c>
      <c r="AA22" s="5" t="str">
        <f ca="1">_xll.DBRW($B$9,AA$14,$B22,$C$11)</f>
        <v/>
      </c>
      <c r="AB22" s="5" t="str">
        <f ca="1">_xll.DBRW($B$9,AB$14,$B22,$C$11)</f>
        <v/>
      </c>
    </row>
    <row r="23" spans="1:28" ht="12.75" customHeight="1" x14ac:dyDescent="0.25">
      <c r="A23" t="str">
        <f ca="1">IF(_xll.TM1RPTELISCONSOLIDATED($B$15,$B23),IF(_xll.TM1RPTELLEV($B$15,$B23)&lt;=3,_xll.TM1RPTELLEV($B$15,$B23),"D"),"N")</f>
        <v>N</v>
      </c>
      <c r="B23" s="6" t="s">
        <v>33</v>
      </c>
      <c r="C23" s="5" t="str">
        <f ca="1">_xll.DBRW($B$9,C$14,$B23,$C$11)</f>
        <v/>
      </c>
      <c r="D23" s="5" t="str">
        <f ca="1">_xll.DBRW($B$9,D$14,$B23,$C$11)</f>
        <v/>
      </c>
      <c r="E23" s="5" t="str">
        <f ca="1">_xll.DBRW($B$9,E$14,$B23,$C$11)</f>
        <v/>
      </c>
      <c r="F23" s="5" t="str">
        <f ca="1">_xll.DBRW($B$9,F$14,$B23,$C$11)</f>
        <v/>
      </c>
      <c r="G23" s="5" t="str">
        <f ca="1">_xll.DBRW($B$9,G$14,$B23,$C$11)</f>
        <v/>
      </c>
      <c r="H23" s="5" t="str">
        <f ca="1">_xll.DBRW($B$9,H$14,$B23,$C$11)</f>
        <v/>
      </c>
      <c r="I23" s="5" t="str">
        <f ca="1">_xll.DBRW($B$9,I$14,$B23,$C$11)</f>
        <v/>
      </c>
      <c r="J23" s="5" t="str">
        <f ca="1">_xll.DBRW($B$9,J$14,$B23,$C$11)</f>
        <v/>
      </c>
      <c r="K23" s="5" t="str">
        <f ca="1">_xll.DBRW($B$9,K$14,$B23,$C$11)</f>
        <v/>
      </c>
      <c r="L23" s="5" t="str">
        <f ca="1">_xll.DBRW($B$9,L$14,$B23,$C$11)</f>
        <v/>
      </c>
      <c r="M23" s="5" t="str">
        <f ca="1">_xll.DBRW($B$9,M$14,$B23,$C$11)</f>
        <v/>
      </c>
      <c r="N23" s="5" t="str">
        <f ca="1">_xll.DBRW($B$9,N$14,$B23,$C$11)</f>
        <v/>
      </c>
      <c r="O23" s="5" t="str">
        <f ca="1">_xll.DBRW($B$9,O$14,$B23,$C$11)</f>
        <v/>
      </c>
      <c r="P23" s="5" t="str">
        <f ca="1">_xll.DBRW($B$9,P$14,$B23,$C$11)</f>
        <v/>
      </c>
      <c r="Q23" s="5" t="str">
        <f ca="1">_xll.DBRW($B$9,Q$14,$B23,$C$11)</f>
        <v/>
      </c>
      <c r="R23" s="5" t="str">
        <f ca="1">_xll.DBRW($B$9,R$14,$B23,$C$11)</f>
        <v/>
      </c>
      <c r="S23" s="5" t="str">
        <f ca="1">_xll.DBRW($B$9,S$14,$B23,$C$11)</f>
        <v/>
      </c>
      <c r="T23" s="5" t="str">
        <f ca="1">_xll.DBRW($B$9,T$14,$B23,$C$11)</f>
        <v/>
      </c>
      <c r="U23" s="5" t="str">
        <f ca="1">_xll.DBRW($B$9,U$14,$B23,$C$11)</f>
        <v/>
      </c>
      <c r="V23" s="5" t="str">
        <f ca="1">_xll.DBRW($B$9,V$14,$B23,$C$11)</f>
        <v/>
      </c>
      <c r="W23" s="5" t="str">
        <f ca="1">_xll.DBRW($B$9,W$14,$B23,$C$11)</f>
        <v/>
      </c>
      <c r="X23" s="5" t="str">
        <f ca="1">_xll.DBRW($B$9,X$14,$B23,$C$11)</f>
        <v/>
      </c>
      <c r="Y23" s="5" t="str">
        <f ca="1">_xll.DBRW($B$9,Y$14,$B23,$C$11)</f>
        <v/>
      </c>
      <c r="Z23" s="5" t="str">
        <f ca="1">_xll.DBRW($B$9,Z$14,$B23,$C$11)</f>
        <v/>
      </c>
      <c r="AA23" s="5" t="str">
        <f ca="1">_xll.DBRW($B$9,AA$14,$B23,$C$11)</f>
        <v/>
      </c>
      <c r="AB23" s="5" t="str">
        <f ca="1">_xll.DBRW($B$9,AB$14,$B23,$C$11)</f>
        <v/>
      </c>
    </row>
    <row r="24" spans="1:28" ht="12.75" customHeight="1" x14ac:dyDescent="0.25">
      <c r="A24" t="str">
        <f ca="1">IF(_xll.TM1RPTELISCONSOLIDATED($B$15,$B24),IF(_xll.TM1RPTELLEV($B$15,$B24)&lt;=3,_xll.TM1RPTELLEV($B$15,$B24),"D"),"N")</f>
        <v>N</v>
      </c>
      <c r="B24" s="6" t="s">
        <v>34</v>
      </c>
      <c r="C24" s="5" t="str">
        <f ca="1">_xll.DBRW($B$9,C$14,$B24,$C$11)</f>
        <v/>
      </c>
      <c r="D24" s="5" t="str">
        <f ca="1">_xll.DBRW($B$9,D$14,$B24,$C$11)</f>
        <v/>
      </c>
      <c r="E24" s="5" t="str">
        <f ca="1">_xll.DBRW($B$9,E$14,$B24,$C$11)</f>
        <v/>
      </c>
      <c r="F24" s="5" t="str">
        <f ca="1">_xll.DBRW($B$9,F$14,$B24,$C$11)</f>
        <v/>
      </c>
      <c r="G24" s="5" t="str">
        <f ca="1">_xll.DBRW($B$9,G$14,$B24,$C$11)</f>
        <v/>
      </c>
      <c r="H24" s="5" t="str">
        <f ca="1">_xll.DBRW($B$9,H$14,$B24,$C$11)</f>
        <v/>
      </c>
      <c r="I24" s="5" t="str">
        <f ca="1">_xll.DBRW($B$9,I$14,$B24,$C$11)</f>
        <v/>
      </c>
      <c r="J24" s="5" t="str">
        <f ca="1">_xll.DBRW($B$9,J$14,$B24,$C$11)</f>
        <v/>
      </c>
      <c r="K24" s="5" t="str">
        <f ca="1">_xll.DBRW($B$9,K$14,$B24,$C$11)</f>
        <v/>
      </c>
      <c r="L24" s="5" t="str">
        <f ca="1">_xll.DBRW($B$9,L$14,$B24,$C$11)</f>
        <v/>
      </c>
      <c r="M24" s="5" t="str">
        <f ca="1">_xll.DBRW($B$9,M$14,$B24,$C$11)</f>
        <v/>
      </c>
      <c r="N24" s="5" t="str">
        <f ca="1">_xll.DBRW($B$9,N$14,$B24,$C$11)</f>
        <v/>
      </c>
      <c r="O24" s="5" t="str">
        <f ca="1">_xll.DBRW($B$9,O$14,$B24,$C$11)</f>
        <v/>
      </c>
      <c r="P24" s="5" t="str">
        <f ca="1">_xll.DBRW($B$9,P$14,$B24,$C$11)</f>
        <v/>
      </c>
      <c r="Q24" s="5" t="str">
        <f ca="1">_xll.DBRW($B$9,Q$14,$B24,$C$11)</f>
        <v/>
      </c>
      <c r="R24" s="5" t="str">
        <f ca="1">_xll.DBRW($B$9,R$14,$B24,$C$11)</f>
        <v/>
      </c>
      <c r="S24" s="5" t="str">
        <f ca="1">_xll.DBRW($B$9,S$14,$B24,$C$11)</f>
        <v/>
      </c>
      <c r="T24" s="5" t="str">
        <f ca="1">_xll.DBRW($B$9,T$14,$B24,$C$11)</f>
        <v/>
      </c>
      <c r="U24" s="5" t="str">
        <f ca="1">_xll.DBRW($B$9,U$14,$B24,$C$11)</f>
        <v/>
      </c>
      <c r="V24" s="5" t="str">
        <f ca="1">_xll.DBRW($B$9,V$14,$B24,$C$11)</f>
        <v/>
      </c>
      <c r="W24" s="5" t="str">
        <f ca="1">_xll.DBRW($B$9,W$14,$B24,$C$11)</f>
        <v/>
      </c>
      <c r="X24" s="5" t="str">
        <f ca="1">_xll.DBRW($B$9,X$14,$B24,$C$11)</f>
        <v/>
      </c>
      <c r="Y24" s="5" t="str">
        <f ca="1">_xll.DBRW($B$9,Y$14,$B24,$C$11)</f>
        <v/>
      </c>
      <c r="Z24" s="5" t="str">
        <f ca="1">_xll.DBRW($B$9,Z$14,$B24,$C$11)</f>
        <v/>
      </c>
      <c r="AA24" s="5" t="str">
        <f ca="1">_xll.DBRW($B$9,AA$14,$B24,$C$11)</f>
        <v/>
      </c>
      <c r="AB24" s="5" t="str">
        <f ca="1">_xll.DBRW($B$9,AB$14,$B24,$C$11)</f>
        <v/>
      </c>
    </row>
    <row r="25" spans="1:28" ht="12.75" customHeight="1" x14ac:dyDescent="0.25">
      <c r="A25" t="str">
        <f ca="1">IF(_xll.TM1RPTELISCONSOLIDATED($B$15,$B25),IF(_xll.TM1RPTELLEV($B$15,$B25)&lt;=3,_xll.TM1RPTELLEV($B$15,$B25),"D"),"N")</f>
        <v>N</v>
      </c>
      <c r="B25" s="6" t="s">
        <v>35</v>
      </c>
      <c r="C25" s="5" t="str">
        <f ca="1">_xll.DBRW($B$9,C$14,$B25,$C$11)</f>
        <v/>
      </c>
      <c r="D25" s="5" t="str">
        <f ca="1">_xll.DBRW($B$9,D$14,$B25,$C$11)</f>
        <v/>
      </c>
      <c r="E25" s="5" t="str">
        <f ca="1">_xll.DBRW($B$9,E$14,$B25,$C$11)</f>
        <v/>
      </c>
      <c r="F25" s="5" t="str">
        <f ca="1">_xll.DBRW($B$9,F$14,$B25,$C$11)</f>
        <v/>
      </c>
      <c r="G25" s="5" t="str">
        <f ca="1">_xll.DBRW($B$9,G$14,$B25,$C$11)</f>
        <v/>
      </c>
      <c r="H25" s="5" t="str">
        <f ca="1">_xll.DBRW($B$9,H$14,$B25,$C$11)</f>
        <v/>
      </c>
      <c r="I25" s="5" t="str">
        <f ca="1">_xll.DBRW($B$9,I$14,$B25,$C$11)</f>
        <v/>
      </c>
      <c r="J25" s="5" t="str">
        <f ca="1">_xll.DBRW($B$9,J$14,$B25,$C$11)</f>
        <v/>
      </c>
      <c r="K25" s="5" t="str">
        <f ca="1">_xll.DBRW($B$9,K$14,$B25,$C$11)</f>
        <v/>
      </c>
      <c r="L25" s="5" t="str">
        <f ca="1">_xll.DBRW($B$9,L$14,$B25,$C$11)</f>
        <v/>
      </c>
      <c r="M25" s="5" t="str">
        <f ca="1">_xll.DBRW($B$9,M$14,$B25,$C$11)</f>
        <v/>
      </c>
      <c r="N25" s="5" t="str">
        <f ca="1">_xll.DBRW($B$9,N$14,$B25,$C$11)</f>
        <v/>
      </c>
      <c r="O25" s="5" t="str">
        <f ca="1">_xll.DBRW($B$9,O$14,$B25,$C$11)</f>
        <v/>
      </c>
      <c r="P25" s="5" t="str">
        <f ca="1">_xll.DBRW($B$9,P$14,$B25,$C$11)</f>
        <v/>
      </c>
      <c r="Q25" s="5" t="str">
        <f ca="1">_xll.DBRW($B$9,Q$14,$B25,$C$11)</f>
        <v/>
      </c>
      <c r="R25" s="5" t="str">
        <f ca="1">_xll.DBRW($B$9,R$14,$B25,$C$11)</f>
        <v/>
      </c>
      <c r="S25" s="5" t="str">
        <f ca="1">_xll.DBRW($B$9,S$14,$B25,$C$11)</f>
        <v/>
      </c>
      <c r="T25" s="5" t="str">
        <f ca="1">_xll.DBRW($B$9,T$14,$B25,$C$11)</f>
        <v/>
      </c>
      <c r="U25" s="5" t="str">
        <f ca="1">_xll.DBRW($B$9,U$14,$B25,$C$11)</f>
        <v/>
      </c>
      <c r="V25" s="5" t="str">
        <f ca="1">_xll.DBRW($B$9,V$14,$B25,$C$11)</f>
        <v/>
      </c>
      <c r="W25" s="5" t="str">
        <f ca="1">_xll.DBRW($B$9,W$14,$B25,$C$11)</f>
        <v/>
      </c>
      <c r="X25" s="5" t="str">
        <f ca="1">_xll.DBRW($B$9,X$14,$B25,$C$11)</f>
        <v/>
      </c>
      <c r="Y25" s="5" t="str">
        <f ca="1">_xll.DBRW($B$9,Y$14,$B25,$C$11)</f>
        <v/>
      </c>
      <c r="Z25" s="5" t="str">
        <f ca="1">_xll.DBRW($B$9,Z$14,$B25,$C$11)</f>
        <v/>
      </c>
      <c r="AA25" s="5" t="str">
        <f ca="1">_xll.DBRW($B$9,AA$14,$B25,$C$11)</f>
        <v/>
      </c>
      <c r="AB25" s="5" t="str">
        <f ca="1">_xll.DBRW($B$9,AB$14,$B25,$C$11)</f>
        <v/>
      </c>
    </row>
    <row r="26" spans="1:28" ht="12.75" customHeight="1" x14ac:dyDescent="0.25">
      <c r="A26" t="str">
        <f ca="1">IF(_xll.TM1RPTELISCONSOLIDATED($B$15,$B26),IF(_xll.TM1RPTELLEV($B$15,$B26)&lt;=3,_xll.TM1RPTELLEV($B$15,$B26),"D"),"N")</f>
        <v>N</v>
      </c>
      <c r="B26" s="6" t="s">
        <v>36</v>
      </c>
      <c r="C26" s="5" t="str">
        <f ca="1">_xll.DBRW($B$9,C$14,$B26,$C$11)</f>
        <v/>
      </c>
      <c r="D26" s="5" t="str">
        <f ca="1">_xll.DBRW($B$9,D$14,$B26,$C$11)</f>
        <v/>
      </c>
      <c r="E26" s="5" t="str">
        <f ca="1">_xll.DBRW($B$9,E$14,$B26,$C$11)</f>
        <v/>
      </c>
      <c r="F26" s="5" t="str">
        <f ca="1">_xll.DBRW($B$9,F$14,$B26,$C$11)</f>
        <v/>
      </c>
      <c r="G26" s="5" t="str">
        <f ca="1">_xll.DBRW($B$9,G$14,$B26,$C$11)</f>
        <v/>
      </c>
      <c r="H26" s="5" t="str">
        <f ca="1">_xll.DBRW($B$9,H$14,$B26,$C$11)</f>
        <v/>
      </c>
      <c r="I26" s="5" t="str">
        <f ca="1">_xll.DBRW($B$9,I$14,$B26,$C$11)</f>
        <v/>
      </c>
      <c r="J26" s="5" t="str">
        <f ca="1">_xll.DBRW($B$9,J$14,$B26,$C$11)</f>
        <v/>
      </c>
      <c r="K26" s="5" t="str">
        <f ca="1">_xll.DBRW($B$9,K$14,$B26,$C$11)</f>
        <v/>
      </c>
      <c r="L26" s="5" t="str">
        <f ca="1">_xll.DBRW($B$9,L$14,$B26,$C$11)</f>
        <v/>
      </c>
      <c r="M26" s="5" t="str">
        <f ca="1">_xll.DBRW($B$9,M$14,$B26,$C$11)</f>
        <v/>
      </c>
      <c r="N26" s="5" t="str">
        <f ca="1">_xll.DBRW($B$9,N$14,$B26,$C$11)</f>
        <v/>
      </c>
      <c r="O26" s="5" t="str">
        <f ca="1">_xll.DBRW($B$9,O$14,$B26,$C$11)</f>
        <v/>
      </c>
      <c r="P26" s="5" t="str">
        <f ca="1">_xll.DBRW($B$9,P$14,$B26,$C$11)</f>
        <v/>
      </c>
      <c r="Q26" s="5" t="str">
        <f ca="1">_xll.DBRW($B$9,Q$14,$B26,$C$11)</f>
        <v/>
      </c>
      <c r="R26" s="5" t="str">
        <f ca="1">_xll.DBRW($B$9,R$14,$B26,$C$11)</f>
        <v/>
      </c>
      <c r="S26" s="5" t="str">
        <f ca="1">_xll.DBRW($B$9,S$14,$B26,$C$11)</f>
        <v/>
      </c>
      <c r="T26" s="5" t="str">
        <f ca="1">_xll.DBRW($B$9,T$14,$B26,$C$11)</f>
        <v/>
      </c>
      <c r="U26" s="5" t="str">
        <f ca="1">_xll.DBRW($B$9,U$14,$B26,$C$11)</f>
        <v/>
      </c>
      <c r="V26" s="5" t="str">
        <f ca="1">_xll.DBRW($B$9,V$14,$B26,$C$11)</f>
        <v/>
      </c>
      <c r="W26" s="5" t="str">
        <f ca="1">_xll.DBRW($B$9,W$14,$B26,$C$11)</f>
        <v/>
      </c>
      <c r="X26" s="5" t="str">
        <f ca="1">_xll.DBRW($B$9,X$14,$B26,$C$11)</f>
        <v/>
      </c>
      <c r="Y26" s="5" t="str">
        <f ca="1">_xll.DBRW($B$9,Y$14,$B26,$C$11)</f>
        <v/>
      </c>
      <c r="Z26" s="5" t="str">
        <f ca="1">_xll.DBRW($B$9,Z$14,$B26,$C$11)</f>
        <v/>
      </c>
      <c r="AA26" s="5" t="str">
        <f ca="1">_xll.DBRW($B$9,AA$14,$B26,$C$11)</f>
        <v/>
      </c>
      <c r="AB26" s="5" t="str">
        <f ca="1">_xll.DBRW($B$9,AB$14,$B26,$C$11)</f>
        <v/>
      </c>
    </row>
    <row r="27" spans="1:28" ht="12.75" customHeight="1" x14ac:dyDescent="0.25">
      <c r="A27" t="str">
        <f ca="1">IF(_xll.TM1RPTELISCONSOLIDATED($B$15,$B27),IF(_xll.TM1RPTELLEV($B$15,$B27)&lt;=3,_xll.TM1RPTELLEV($B$15,$B27),"D"),"N")</f>
        <v>N</v>
      </c>
      <c r="B27" s="6" t="s">
        <v>37</v>
      </c>
      <c r="C27" s="5" t="str">
        <f ca="1">_xll.DBRW($B$9,C$14,$B27,$C$11)</f>
        <v/>
      </c>
      <c r="D27" s="5" t="str">
        <f ca="1">_xll.DBRW($B$9,D$14,$B27,$C$11)</f>
        <v/>
      </c>
      <c r="E27" s="5" t="str">
        <f ca="1">_xll.DBRW($B$9,E$14,$B27,$C$11)</f>
        <v/>
      </c>
      <c r="F27" s="5" t="str">
        <f ca="1">_xll.DBRW($B$9,F$14,$B27,$C$11)</f>
        <v/>
      </c>
      <c r="G27" s="5" t="str">
        <f ca="1">_xll.DBRW($B$9,G$14,$B27,$C$11)</f>
        <v/>
      </c>
      <c r="H27" s="5" t="str">
        <f ca="1">_xll.DBRW($B$9,H$14,$B27,$C$11)</f>
        <v/>
      </c>
      <c r="I27" s="5" t="str">
        <f ca="1">_xll.DBRW($B$9,I$14,$B27,$C$11)</f>
        <v/>
      </c>
      <c r="J27" s="5" t="str">
        <f ca="1">_xll.DBRW($B$9,J$14,$B27,$C$11)</f>
        <v/>
      </c>
      <c r="K27" s="5" t="str">
        <f ca="1">_xll.DBRW($B$9,K$14,$B27,$C$11)</f>
        <v/>
      </c>
      <c r="L27" s="5" t="str">
        <f ca="1">_xll.DBRW($B$9,L$14,$B27,$C$11)</f>
        <v/>
      </c>
      <c r="M27" s="5" t="str">
        <f ca="1">_xll.DBRW($B$9,M$14,$B27,$C$11)</f>
        <v/>
      </c>
      <c r="N27" s="5" t="str">
        <f ca="1">_xll.DBRW($B$9,N$14,$B27,$C$11)</f>
        <v/>
      </c>
      <c r="O27" s="5" t="str">
        <f ca="1">_xll.DBRW($B$9,O$14,$B27,$C$11)</f>
        <v/>
      </c>
      <c r="P27" s="5" t="str">
        <f ca="1">_xll.DBRW($B$9,P$14,$B27,$C$11)</f>
        <v/>
      </c>
      <c r="Q27" s="5" t="str">
        <f ca="1">_xll.DBRW($B$9,Q$14,$B27,$C$11)</f>
        <v/>
      </c>
      <c r="R27" s="5" t="str">
        <f ca="1">_xll.DBRW($B$9,R$14,$B27,$C$11)</f>
        <v/>
      </c>
      <c r="S27" s="5" t="str">
        <f ca="1">_xll.DBRW($B$9,S$14,$B27,$C$11)</f>
        <v/>
      </c>
      <c r="T27" s="5" t="str">
        <f ca="1">_xll.DBRW($B$9,T$14,$B27,$C$11)</f>
        <v/>
      </c>
      <c r="U27" s="5" t="str">
        <f ca="1">_xll.DBRW($B$9,U$14,$B27,$C$11)</f>
        <v/>
      </c>
      <c r="V27" s="5" t="str">
        <f ca="1">_xll.DBRW($B$9,V$14,$B27,$C$11)</f>
        <v/>
      </c>
      <c r="W27" s="5" t="str">
        <f ca="1">_xll.DBRW($B$9,W$14,$B27,$C$11)</f>
        <v/>
      </c>
      <c r="X27" s="5" t="str">
        <f ca="1">_xll.DBRW($B$9,X$14,$B27,$C$11)</f>
        <v/>
      </c>
      <c r="Y27" s="5" t="str">
        <f ca="1">_xll.DBRW($B$9,Y$14,$B27,$C$11)</f>
        <v/>
      </c>
      <c r="Z27" s="5" t="str">
        <f ca="1">_xll.DBRW($B$9,Z$14,$B27,$C$11)</f>
        <v/>
      </c>
      <c r="AA27" s="5" t="str">
        <f ca="1">_xll.DBRW($B$9,AA$14,$B27,$C$11)</f>
        <v/>
      </c>
      <c r="AB27" s="5" t="str">
        <f ca="1">_xll.DBRW($B$9,AB$14,$B27,$C$11)</f>
        <v/>
      </c>
    </row>
    <row r="28" spans="1:28" ht="12.75" customHeight="1" x14ac:dyDescent="0.25">
      <c r="A28" t="str">
        <f ca="1">IF(_xll.TM1RPTELISCONSOLIDATED($B$15,$B28),IF(_xll.TM1RPTELLEV($B$15,$B28)&lt;=3,_xll.TM1RPTELLEV($B$15,$B28),"D"),"N")</f>
        <v>N</v>
      </c>
      <c r="B28" s="6" t="s">
        <v>47</v>
      </c>
      <c r="C28" s="5" t="str">
        <f ca="1">_xll.DBRW($B$9,C$14,$B28,$C$11)</f>
        <v/>
      </c>
      <c r="D28" s="5" t="str">
        <f ca="1">_xll.DBRW($B$9,D$14,$B28,$C$11)</f>
        <v/>
      </c>
      <c r="E28" s="5" t="str">
        <f ca="1">_xll.DBRW($B$9,E$14,$B28,$C$11)</f>
        <v/>
      </c>
      <c r="F28" s="5" t="str">
        <f ca="1">_xll.DBRW($B$9,F$14,$B28,$C$11)</f>
        <v/>
      </c>
      <c r="G28" s="5" t="str">
        <f ca="1">_xll.DBRW($B$9,G$14,$B28,$C$11)</f>
        <v/>
      </c>
      <c r="H28" s="5" t="str">
        <f ca="1">_xll.DBRW($B$9,H$14,$B28,$C$11)</f>
        <v/>
      </c>
      <c r="I28" s="5" t="str">
        <f ca="1">_xll.DBRW($B$9,I$14,$B28,$C$11)</f>
        <v/>
      </c>
      <c r="J28" s="5" t="str">
        <f ca="1">_xll.DBRW($B$9,J$14,$B28,$C$11)</f>
        <v/>
      </c>
      <c r="K28" s="5" t="str">
        <f ca="1">_xll.DBRW($B$9,K$14,$B28,$C$11)</f>
        <v/>
      </c>
      <c r="L28" s="5" t="str">
        <f ca="1">_xll.DBRW($B$9,L$14,$B28,$C$11)</f>
        <v/>
      </c>
      <c r="M28" s="5" t="str">
        <f ca="1">_xll.DBRW($B$9,M$14,$B28,$C$11)</f>
        <v/>
      </c>
      <c r="N28" s="5" t="str">
        <f ca="1">_xll.DBRW($B$9,N$14,$B28,$C$11)</f>
        <v/>
      </c>
      <c r="O28" s="5" t="str">
        <f ca="1">_xll.DBRW($B$9,O$14,$B28,$C$11)</f>
        <v/>
      </c>
      <c r="P28" s="5" t="str">
        <f ca="1">_xll.DBRW($B$9,P$14,$B28,$C$11)</f>
        <v/>
      </c>
      <c r="Q28" s="5" t="str">
        <f ca="1">_xll.DBRW($B$9,Q$14,$B28,$C$11)</f>
        <v/>
      </c>
      <c r="R28" s="5" t="str">
        <f ca="1">_xll.DBRW($B$9,R$14,$B28,$C$11)</f>
        <v/>
      </c>
      <c r="S28" s="5" t="str">
        <f ca="1">_xll.DBRW($B$9,S$14,$B28,$C$11)</f>
        <v/>
      </c>
      <c r="T28" s="5" t="str">
        <f ca="1">_xll.DBRW($B$9,T$14,$B28,$C$11)</f>
        <v/>
      </c>
      <c r="U28" s="5" t="str">
        <f ca="1">_xll.DBRW($B$9,U$14,$B28,$C$11)</f>
        <v/>
      </c>
      <c r="V28" s="5" t="str">
        <f ca="1">_xll.DBRW($B$9,V$14,$B28,$C$11)</f>
        <v/>
      </c>
      <c r="W28" s="5" t="str">
        <f ca="1">_xll.DBRW($B$9,W$14,$B28,$C$11)</f>
        <v/>
      </c>
      <c r="X28" s="5" t="str">
        <f ca="1">_xll.DBRW($B$9,X$14,$B28,$C$11)</f>
        <v/>
      </c>
      <c r="Y28" s="5" t="str">
        <f ca="1">_xll.DBRW($B$9,Y$14,$B28,$C$11)</f>
        <v/>
      </c>
      <c r="Z28" s="5" t="str">
        <f ca="1">_xll.DBRW($B$9,Z$14,$B28,$C$11)</f>
        <v/>
      </c>
      <c r="AA28" s="5" t="str">
        <f ca="1">_xll.DBRW($B$9,AA$14,$B28,$C$11)</f>
        <v/>
      </c>
      <c r="AB28" s="5" t="str">
        <f ca="1">_xll.DBRW($B$9,AB$14,$B28,$C$11)</f>
        <v/>
      </c>
    </row>
    <row r="29" spans="1:28" ht="12.75" customHeight="1" x14ac:dyDescent="0.25">
      <c r="A29" t="str">
        <f ca="1">IF(_xll.TM1RPTELISCONSOLIDATED($B$15,$B29),IF(_xll.TM1RPTELLEV($B$15,$B29)&lt;=3,_xll.TM1RPTELLEV($B$15,$B29),"D"),"N")</f>
        <v>N</v>
      </c>
      <c r="B29" s="6" t="s">
        <v>48</v>
      </c>
      <c r="C29" s="5" t="str">
        <f ca="1">_xll.DBRW($B$9,C$14,$B29,$C$11)</f>
        <v/>
      </c>
      <c r="D29" s="5" t="str">
        <f ca="1">_xll.DBRW($B$9,D$14,$B29,$C$11)</f>
        <v/>
      </c>
      <c r="E29" s="5" t="str">
        <f ca="1">_xll.DBRW($B$9,E$14,$B29,$C$11)</f>
        <v/>
      </c>
      <c r="F29" s="5" t="str">
        <f ca="1">_xll.DBRW($B$9,F$14,$B29,$C$11)</f>
        <v/>
      </c>
      <c r="G29" s="5" t="str">
        <f ca="1">_xll.DBRW($B$9,G$14,$B29,$C$11)</f>
        <v/>
      </c>
      <c r="H29" s="5" t="str">
        <f ca="1">_xll.DBRW($B$9,H$14,$B29,$C$11)</f>
        <v/>
      </c>
      <c r="I29" s="5" t="str">
        <f ca="1">_xll.DBRW($B$9,I$14,$B29,$C$11)</f>
        <v/>
      </c>
      <c r="J29" s="5" t="str">
        <f ca="1">_xll.DBRW($B$9,J$14,$B29,$C$11)</f>
        <v/>
      </c>
      <c r="K29" s="5" t="str">
        <f ca="1">_xll.DBRW($B$9,K$14,$B29,$C$11)</f>
        <v/>
      </c>
      <c r="L29" s="5" t="str">
        <f ca="1">_xll.DBRW($B$9,L$14,$B29,$C$11)</f>
        <v/>
      </c>
      <c r="M29" s="5" t="str">
        <f ca="1">_xll.DBRW($B$9,M$14,$B29,$C$11)</f>
        <v/>
      </c>
      <c r="N29" s="5" t="str">
        <f ca="1">_xll.DBRW($B$9,N$14,$B29,$C$11)</f>
        <v/>
      </c>
      <c r="O29" s="5" t="str">
        <f ca="1">_xll.DBRW($B$9,O$14,$B29,$C$11)</f>
        <v/>
      </c>
      <c r="P29" s="5" t="str">
        <f ca="1">_xll.DBRW($B$9,P$14,$B29,$C$11)</f>
        <v/>
      </c>
      <c r="Q29" s="5" t="str">
        <f ca="1">_xll.DBRW($B$9,Q$14,$B29,$C$11)</f>
        <v/>
      </c>
      <c r="R29" s="5" t="str">
        <f ca="1">_xll.DBRW($B$9,R$14,$B29,$C$11)</f>
        <v/>
      </c>
      <c r="S29" s="5" t="str">
        <f ca="1">_xll.DBRW($B$9,S$14,$B29,$C$11)</f>
        <v/>
      </c>
      <c r="T29" s="5" t="str">
        <f ca="1">_xll.DBRW($B$9,T$14,$B29,$C$11)</f>
        <v/>
      </c>
      <c r="U29" s="5" t="str">
        <f ca="1">_xll.DBRW($B$9,U$14,$B29,$C$11)</f>
        <v/>
      </c>
      <c r="V29" s="5" t="str">
        <f ca="1">_xll.DBRW($B$9,V$14,$B29,$C$11)</f>
        <v/>
      </c>
      <c r="W29" s="5" t="str">
        <f ca="1">_xll.DBRW($B$9,W$14,$B29,$C$11)</f>
        <v/>
      </c>
      <c r="X29" s="5" t="str">
        <f ca="1">_xll.DBRW($B$9,X$14,$B29,$C$11)</f>
        <v/>
      </c>
      <c r="Y29" s="5" t="str">
        <f ca="1">_xll.DBRW($B$9,Y$14,$B29,$C$11)</f>
        <v/>
      </c>
      <c r="Z29" s="5" t="str">
        <f ca="1">_xll.DBRW($B$9,Z$14,$B29,$C$11)</f>
        <v/>
      </c>
      <c r="AA29" s="5" t="str">
        <f ca="1">_xll.DBRW($B$9,AA$14,$B29,$C$11)</f>
        <v/>
      </c>
      <c r="AB29" s="5" t="str">
        <f ca="1">_xll.DBRW($B$9,AB$14,$B29,$C$11)</f>
        <v/>
      </c>
    </row>
  </sheetData>
  <mergeCells count="2">
    <mergeCell ref="B10:AB10"/>
    <mergeCell ref="B12:C12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2050" r:id="rId4" name="TIButton1">
          <controlPr defaultSize="0" print="0" autoLine="0" r:id="rId5">
            <anchor moveWithCells="1">
              <from>
                <xdr:col>5</xdr:col>
                <xdr:colOff>0</xdr:colOff>
                <xdr:row>10</xdr:row>
                <xdr:rowOff>0</xdr:rowOff>
              </from>
              <to>
                <xdr:col>7</xdr:col>
                <xdr:colOff>47625</xdr:colOff>
                <xdr:row>11</xdr:row>
                <xdr:rowOff>85725</xdr:rowOff>
              </to>
            </anchor>
          </controlPr>
        </control>
      </mc:Choice>
      <mc:Fallback>
        <control shapeId="2050" r:id="rId4" name="TIButton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6:B29"/>
  <sheetViews>
    <sheetView workbookViewId="0"/>
  </sheetViews>
  <sheetFormatPr baseColWidth="10" defaultRowHeight="15" x14ac:dyDescent="0.25"/>
  <sheetData>
    <row r="16" spans="2:2" x14ac:dyDescent="0.25">
      <c r="B16" t="s">
        <v>24</v>
      </c>
    </row>
    <row r="17" spans="2:2" x14ac:dyDescent="0.25">
      <c r="B17" t="s">
        <v>25</v>
      </c>
    </row>
    <row r="18" spans="2:2" x14ac:dyDescent="0.25">
      <c r="B18" t="s">
        <v>26</v>
      </c>
    </row>
    <row r="19" spans="2:2" x14ac:dyDescent="0.25">
      <c r="B19" t="s">
        <v>27</v>
      </c>
    </row>
    <row r="20" spans="2:2" x14ac:dyDescent="0.25">
      <c r="B20" t="s">
        <v>28</v>
      </c>
    </row>
    <row r="21" spans="2:2" x14ac:dyDescent="0.25">
      <c r="B21" t="s">
        <v>29</v>
      </c>
    </row>
    <row r="22" spans="2:2" x14ac:dyDescent="0.25">
      <c r="B22" t="s">
        <v>30</v>
      </c>
    </row>
    <row r="23" spans="2:2" x14ac:dyDescent="0.25">
      <c r="B23" t="s">
        <v>31</v>
      </c>
    </row>
    <row r="24" spans="2:2" x14ac:dyDescent="0.25">
      <c r="B24" t="s">
        <v>32</v>
      </c>
    </row>
    <row r="25" spans="2:2" x14ac:dyDescent="0.25">
      <c r="B25" t="s">
        <v>33</v>
      </c>
    </row>
    <row r="26" spans="2:2" x14ac:dyDescent="0.25">
      <c r="B26" t="s">
        <v>34</v>
      </c>
    </row>
    <row r="27" spans="2:2" x14ac:dyDescent="0.25">
      <c r="B27" t="s">
        <v>35</v>
      </c>
    </row>
    <row r="28" spans="2:2" x14ac:dyDescent="0.25">
      <c r="B28" t="s">
        <v>36</v>
      </c>
    </row>
    <row r="29" spans="2:2" x14ac:dyDescent="0.25">
      <c r="B29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5:B29"/>
  <sheetViews>
    <sheetView workbookViewId="0"/>
  </sheetViews>
  <sheetFormatPr baseColWidth="10" defaultRowHeight="15" x14ac:dyDescent="0.25"/>
  <sheetData>
    <row r="15" spans="2:2" x14ac:dyDescent="0.25">
      <c r="B15" t="s">
        <v>24</v>
      </c>
    </row>
    <row r="16" spans="2:2" x14ac:dyDescent="0.25">
      <c r="B16" t="s">
        <v>25</v>
      </c>
    </row>
    <row r="17" spans="2:2" x14ac:dyDescent="0.25">
      <c r="B17" t="s">
        <v>26</v>
      </c>
    </row>
    <row r="18" spans="2:2" x14ac:dyDescent="0.25">
      <c r="B18" t="s">
        <v>27</v>
      </c>
    </row>
    <row r="19" spans="2:2" x14ac:dyDescent="0.25">
      <c r="B19" t="s">
        <v>28</v>
      </c>
    </row>
    <row r="20" spans="2:2" x14ac:dyDescent="0.25">
      <c r="B20" t="s">
        <v>29</v>
      </c>
    </row>
    <row r="21" spans="2:2" x14ac:dyDescent="0.25">
      <c r="B21" t="s">
        <v>30</v>
      </c>
    </row>
    <row r="22" spans="2:2" x14ac:dyDescent="0.25">
      <c r="B22" t="s">
        <v>32</v>
      </c>
    </row>
    <row r="23" spans="2:2" x14ac:dyDescent="0.25">
      <c r="B23" t="s">
        <v>33</v>
      </c>
    </row>
    <row r="24" spans="2:2" x14ac:dyDescent="0.25">
      <c r="B24" t="s">
        <v>34</v>
      </c>
    </row>
    <row r="25" spans="2:2" x14ac:dyDescent="0.25">
      <c r="B25" t="s">
        <v>35</v>
      </c>
    </row>
    <row r="26" spans="2:2" x14ac:dyDescent="0.25">
      <c r="B26" t="s">
        <v>36</v>
      </c>
    </row>
    <row r="27" spans="2:2" x14ac:dyDescent="0.25">
      <c r="B27" t="s">
        <v>37</v>
      </c>
    </row>
    <row r="28" spans="2:2" x14ac:dyDescent="0.25">
      <c r="B28" t="s">
        <v>47</v>
      </c>
    </row>
    <row r="29" spans="2:2" x14ac:dyDescent="0.25">
      <c r="B29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6</vt:i4>
      </vt:variant>
    </vt:vector>
  </HeadingPairs>
  <TitlesOfParts>
    <vt:vector size="10" baseType="lpstr">
      <vt:lpstr>Société</vt:lpstr>
      <vt:lpstr>Société Origine</vt:lpstr>
      <vt:lpstr>{AR}01</vt:lpstr>
      <vt:lpstr>{AR}11</vt:lpstr>
      <vt:lpstr>Société!TM1RPTDATARNGSecurite</vt:lpstr>
      <vt:lpstr>'Société Origine'!TM1RPTDATARNGSecurite</vt:lpstr>
      <vt:lpstr>Société!TM1RPTFMTIDCOL</vt:lpstr>
      <vt:lpstr>'Société Origine'!TM1RPTFMTIDCOL</vt:lpstr>
      <vt:lpstr>Société!TM1RPTFMTRNG</vt:lpstr>
      <vt:lpstr>'Société Origine'!TM1RPTFMTRNG</vt:lpstr>
    </vt:vector>
  </TitlesOfParts>
  <Company>Kuhn SA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KUMMER</dc:creator>
  <cp:lastModifiedBy>Michel KUMMER</cp:lastModifiedBy>
  <dcterms:created xsi:type="dcterms:W3CDTF">2013-05-13T09:58:38Z</dcterms:created>
  <dcterms:modified xsi:type="dcterms:W3CDTF">2013-09-24T15:12:36Z</dcterms:modified>
</cp:coreProperties>
</file>