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rv191\AppData\Local\Temp\37\"/>
    </mc:Choice>
  </mc:AlternateContent>
  <bookViews>
    <workbookView xWindow="0" yWindow="0" windowWidth="28800" windowHeight="12300" firstSheet="1" activeTab="1"/>
  </bookViews>
  <sheets>
    <sheet name="Cognos_Office_Connection_Cache" sheetId="2" state="veryHidden" r:id="rId1"/>
    <sheet name="Feuil1" sheetId="1" r:id="rId2"/>
  </sheets>
  <definedNames>
    <definedName name="ID" localSheetId="0" hidden="1">"64d12124-7526-4ea5-970f-c15c44a2ad0c"</definedName>
    <definedName name="ID" localSheetId="1" hidden="1">"c3d35ad3-0eb6-4f19-908e-47ba477089e4"</definedName>
    <definedName name="TM1REBUILDOPTION">1</definedName>
    <definedName name="TM1RPTDATARNGARPT1" localSheetId="1">Feuil1!$21:$144</definedName>
    <definedName name="TM1RPTFMTIDCOL" localSheetId="1">Feuil1!$A$1:$A$8</definedName>
    <definedName name="TM1RPTFMTRNG" localSheetId="1">Feuil1!$B$1:$C$8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4" i="1" l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B9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B21" i="1"/>
  <c r="C21" i="1"/>
  <c r="A21" i="1"/>
  <c r="A5" i="1"/>
  <c r="A4" i="1"/>
  <c r="A3" i="1"/>
  <c r="A2" i="1"/>
</calcChain>
</file>

<file path=xl/sharedStrings.xml><?xml version="1.0" encoding="utf-8"?>
<sst xmlns="http://schemas.openxmlformats.org/spreadsheetml/2006/main" count="130" uniqueCount="130">
  <si>
    <t>Market_Share_Actuality</t>
  </si>
  <si>
    <t>D</t>
  </si>
  <si>
    <t>N</t>
  </si>
  <si>
    <t>[Begin Format Range]</t>
  </si>
  <si>
    <t>[End Format Range]</t>
  </si>
  <si>
    <t>AC2015</t>
  </si>
  <si>
    <t>AC2016</t>
  </si>
  <si>
    <t>AC2017</t>
  </si>
  <si>
    <t>AC2018</t>
  </si>
  <si>
    <t>Total_Archived</t>
  </si>
  <si>
    <t>Ambition-2020</t>
  </si>
  <si>
    <t>Ambition_2020BUPprop</t>
  </si>
  <si>
    <t>Ambition_2020BUDprop</t>
  </si>
  <si>
    <t>Ambition_2020</t>
  </si>
  <si>
    <t>2020 NS_momentum_05-2013</t>
  </si>
  <si>
    <t>Ambition_2020_KGMT</t>
  </si>
  <si>
    <t>BUDGET</t>
  </si>
  <si>
    <t>Budget_2015</t>
  </si>
  <si>
    <t>BU2015EXT</t>
  </si>
  <si>
    <t>BU2015REALISTIC</t>
  </si>
  <si>
    <t>WC1_2015</t>
  </si>
  <si>
    <t>BU2015draft</t>
  </si>
  <si>
    <t>BU2015INT</t>
  </si>
  <si>
    <t>Budget_2016</t>
  </si>
  <si>
    <t>BU2016draft</t>
  </si>
  <si>
    <t>BU2016INT</t>
  </si>
  <si>
    <t>BU2016draft_v1</t>
  </si>
  <si>
    <t>BU2016_WC1</t>
  </si>
  <si>
    <t>BU2016_WC2</t>
  </si>
  <si>
    <t>BU2016</t>
  </si>
  <si>
    <t>Budget_2017</t>
  </si>
  <si>
    <t>BU2017draft</t>
  </si>
  <si>
    <t>BU2017</t>
  </si>
  <si>
    <t>BU2017INT</t>
  </si>
  <si>
    <t>BU2017 Best Case</t>
  </si>
  <si>
    <t>BU2017 BBC</t>
  </si>
  <si>
    <t>Budget_2018</t>
  </si>
  <si>
    <t>BU2018draft</t>
  </si>
  <si>
    <t>BU2018INT</t>
  </si>
  <si>
    <t>BU2018</t>
  </si>
  <si>
    <t>Budget_2019</t>
  </si>
  <si>
    <t>BU2019draft</t>
  </si>
  <si>
    <t>BU2019</t>
  </si>
  <si>
    <t>PLAN</t>
  </si>
  <si>
    <t>Plan (realised in 2015)</t>
  </si>
  <si>
    <t>PL2016 (update 2015)</t>
  </si>
  <si>
    <t>PL2017 (update 2015)</t>
  </si>
  <si>
    <t>PL2018 (update 2015)</t>
  </si>
  <si>
    <t>PL2019 (update 2015)</t>
  </si>
  <si>
    <t>Plan (realised in 2016)</t>
  </si>
  <si>
    <t>PL2017 (update 2016)</t>
  </si>
  <si>
    <t>PL2018 (update 2016)</t>
  </si>
  <si>
    <t>PL2019 (update 2016)</t>
  </si>
  <si>
    <t>PL2020 (update 2016)</t>
  </si>
  <si>
    <t>PL2016 (update 2016)</t>
  </si>
  <si>
    <t>Plan (realised in 2017)</t>
  </si>
  <si>
    <t>PL2018 (update 2017)</t>
  </si>
  <si>
    <t>PL2019 (update 2017)</t>
  </si>
  <si>
    <t>PL2020 (update 2017)</t>
  </si>
  <si>
    <t>PL2021 (update 2017)</t>
  </si>
  <si>
    <t>Plan (realised in 2018)</t>
  </si>
  <si>
    <t>PL2019 (update 2018)</t>
  </si>
  <si>
    <t>PL2020 (update 2018)</t>
  </si>
  <si>
    <t>PL2021 (update 2018)</t>
  </si>
  <si>
    <t>PL2022 (update 2018)</t>
  </si>
  <si>
    <t>FORECAST</t>
  </si>
  <si>
    <t>FC_2015</t>
  </si>
  <si>
    <t>FC1_2015</t>
  </si>
  <si>
    <t>FC2_2015</t>
  </si>
  <si>
    <t>FC3_2015</t>
  </si>
  <si>
    <t>FC_2016</t>
  </si>
  <si>
    <t>FC1_2016</t>
  </si>
  <si>
    <t>FC2_2016</t>
  </si>
  <si>
    <t>FC3_2016</t>
  </si>
  <si>
    <t>FC_2017</t>
  </si>
  <si>
    <t>FC1_2017</t>
  </si>
  <si>
    <t>FC2_2017</t>
  </si>
  <si>
    <t>FC3_2017</t>
  </si>
  <si>
    <t>FC_2018</t>
  </si>
  <si>
    <t>FC1_2018</t>
  </si>
  <si>
    <t>FC2_2018</t>
  </si>
  <si>
    <t>FC3_2018</t>
  </si>
  <si>
    <t>FC YTG</t>
  </si>
  <si>
    <t>Budget2016</t>
  </si>
  <si>
    <t>Total_WK</t>
  </si>
  <si>
    <t>Total_Project</t>
  </si>
  <si>
    <t>PROJECT&lt;ou=2015</t>
  </si>
  <si>
    <t>PROJECT_2016</t>
  </si>
  <si>
    <t>PROJECT_2017</t>
  </si>
  <si>
    <t>PROJECT_2018</t>
  </si>
  <si>
    <t>PROJECT_2019</t>
  </si>
  <si>
    <t>PROJECT_2020</t>
  </si>
  <si>
    <t>Project_</t>
  </si>
  <si>
    <t>PROJECT_2014</t>
  </si>
  <si>
    <t>PROJECT_2015</t>
  </si>
  <si>
    <t>Total_CP</t>
  </si>
  <si>
    <t>CP2015</t>
  </si>
  <si>
    <t>CP2016</t>
  </si>
  <si>
    <t>CP2017</t>
  </si>
  <si>
    <t>CP2017 (base AC2016)</t>
  </si>
  <si>
    <t>CP2018</t>
  </si>
  <si>
    <t>CP2019</t>
  </si>
  <si>
    <t>CP2020</t>
  </si>
  <si>
    <t>CP2018 (base AC2017)</t>
  </si>
  <si>
    <t>Total_Retail</t>
  </si>
  <si>
    <t>Retail Sales 2010</t>
  </si>
  <si>
    <t>Retail Sales 2011</t>
  </si>
  <si>
    <t>Retail Sales 2012</t>
  </si>
  <si>
    <t>Retail Sales 2013</t>
  </si>
  <si>
    <t>Retail Sales 2014</t>
  </si>
  <si>
    <t>Retail Sales 2015</t>
  </si>
  <si>
    <t>Retail Sales 2016</t>
  </si>
  <si>
    <t>Retail Sales 2017</t>
  </si>
  <si>
    <t>Retail Sales 2018</t>
  </si>
  <si>
    <t>BU2018Dealers</t>
  </si>
  <si>
    <t>Top_Secret</t>
  </si>
  <si>
    <t>TS AC2016</t>
  </si>
  <si>
    <t>TS FC3_2017</t>
  </si>
  <si>
    <t>TS PL2018 (update 2017)</t>
  </si>
  <si>
    <t>TS PL2019 (update 2017)</t>
  </si>
  <si>
    <t>TS PL2020 (update 2017)</t>
  </si>
  <si>
    <t>TS PL2021 (update 2017)</t>
  </si>
  <si>
    <t>Market Share Actuality Selection</t>
  </si>
  <si>
    <t>(X for selection)</t>
  </si>
  <si>
    <t>WK1 - 2023</t>
  </si>
  <si>
    <t>WK2 - 2024</t>
  </si>
  <si>
    <t>WK3 - 2025</t>
  </si>
  <si>
    <t>WK4 - 2026</t>
  </si>
  <si>
    <t>WK5 - 2020</t>
  </si>
  <si>
    <t>WK0 - 2023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</si>
</sst>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- &quot;@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4"/>
      <color theme="0"/>
      <name val="Arial"/>
      <family val="2"/>
    </font>
    <font>
      <b/>
      <sz val="10"/>
      <name val="Arial"/>
      <family val="2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rgb="FF808080"/>
      </patternFill>
    </fill>
    <fill>
      <patternFill patternType="solid">
        <fgColor indexed="65"/>
        <bgColor rgb="FFC8C8C8"/>
      </patternFill>
    </fill>
    <fill>
      <patternFill patternType="solid">
        <fgColor indexed="44"/>
        <bgColor rgb="FFC8C8C8"/>
      </patternFill>
    </fill>
    <fill>
      <patternFill patternType="solid">
        <fgColor indexed="26"/>
        <bgColor rgb="FFC8C8C8"/>
      </patternFill>
    </fill>
    <fill>
      <patternFill patternType="solid">
        <fgColor rgb="FFC8C8C8"/>
        <bgColor rgb="FFC8C8C8"/>
      </patternFill>
    </fill>
    <fill>
      <patternFill patternType="solid">
        <fgColor theme="0"/>
        <bgColor indexed="64"/>
      </patternFill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6">
    <xf numFmtId="0" fontId="0" fillId="0" borderId="0"/>
    <xf numFmtId="0" fontId="5" fillId="0" borderId="7" applyNumberFormat="0" applyFill="0" applyProtection="0">
      <alignment horizontal="center" vertical="center"/>
    </xf>
    <xf numFmtId="3" fontId="6" fillId="0" borderId="8" applyFont="0" applyFill="0" applyAlignment="0" applyProtection="0"/>
    <xf numFmtId="3" fontId="6" fillId="0" borderId="8" applyFont="0" applyFill="0" applyAlignment="0" applyProtection="0"/>
    <xf numFmtId="3" fontId="6" fillId="0" borderId="8" applyFont="0" applyFill="0" applyAlignment="0" applyProtection="0"/>
    <xf numFmtId="3" fontId="6" fillId="0" borderId="8" applyFont="0" applyFill="0" applyAlignment="0" applyProtection="0"/>
    <xf numFmtId="3" fontId="6" fillId="0" borderId="8" applyFont="0" applyFill="0" applyAlignment="0" applyProtection="0"/>
    <xf numFmtId="3" fontId="6" fillId="0" borderId="8" applyFont="0" applyFill="0" applyAlignment="0" applyProtection="0"/>
    <xf numFmtId="3" fontId="6" fillId="0" borderId="8" applyFont="0" applyFill="0" applyAlignment="0" applyProtection="0"/>
    <xf numFmtId="3" fontId="6" fillId="0" borderId="8" applyFont="0" applyFill="0" applyAlignment="0" applyProtection="0"/>
    <xf numFmtId="3" fontId="5" fillId="0" borderId="7" applyNumberFormat="0" applyFill="0" applyAlignment="0" applyProtection="0"/>
    <xf numFmtId="0" fontId="5" fillId="0" borderId="7" applyNumberFormat="0" applyFill="0" applyAlignment="0" applyProtection="0"/>
    <xf numFmtId="3" fontId="5" fillId="0" borderId="7" applyNumberFormat="0" applyFill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3" fontId="6" fillId="0" borderId="0" applyNumberFormat="0" applyBorder="0" applyAlignment="0" applyProtection="0"/>
    <xf numFmtId="3" fontId="6" fillId="0" borderId="0" applyNumberFormat="0" applyBorder="0" applyAlignment="0" applyProtection="0"/>
    <xf numFmtId="3" fontId="6" fillId="0" borderId="0" applyNumberFormat="0" applyBorder="0" applyAlignment="0" applyProtection="0"/>
    <xf numFmtId="3" fontId="6" fillId="0" borderId="0" applyNumberFormat="0" applyBorder="0" applyAlignment="0" applyProtection="0"/>
    <xf numFmtId="3" fontId="6" fillId="0" borderId="0" applyNumberFormat="0" applyBorder="0" applyAlignment="0" applyProtection="0"/>
    <xf numFmtId="3" fontId="6" fillId="0" borderId="8" applyNumberFormat="0" applyBorder="0" applyAlignment="0" applyProtection="0"/>
    <xf numFmtId="3" fontId="6" fillId="0" borderId="8" applyNumberFormat="0" applyBorder="0" applyAlignment="0" applyProtection="0"/>
    <xf numFmtId="3" fontId="6" fillId="0" borderId="8" applyNumberFormat="0" applyBorder="0" applyAlignment="0" applyProtection="0"/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6" fillId="0" borderId="8">
      <alignment horizontal="right" vertical="center"/>
    </xf>
    <xf numFmtId="3" fontId="6" fillId="8" borderId="8">
      <alignment horizontal="center" vertical="center"/>
    </xf>
    <xf numFmtId="0" fontId="6" fillId="8" borderId="8">
      <alignment horizontal="right" vertical="center"/>
    </xf>
    <xf numFmtId="0" fontId="5" fillId="0" borderId="9">
      <alignment horizontal="left" vertical="center"/>
    </xf>
    <xf numFmtId="0" fontId="5" fillId="0" borderId="10">
      <alignment horizontal="center" vertical="center"/>
    </xf>
    <xf numFmtId="0" fontId="7" fillId="0" borderId="11">
      <alignment horizontal="center" vertical="center"/>
    </xf>
    <xf numFmtId="0" fontId="6" fillId="9" borderId="8"/>
    <xf numFmtId="3" fontId="8" fillId="0" borderId="8"/>
    <xf numFmtId="3" fontId="9" fillId="0" borderId="8"/>
    <xf numFmtId="0" fontId="5" fillId="0" borderId="10">
      <alignment horizontal="left" vertical="top"/>
    </xf>
    <xf numFmtId="0" fontId="10" fillId="0" borderId="8"/>
    <xf numFmtId="0" fontId="5" fillId="0" borderId="10">
      <alignment horizontal="left" vertical="center"/>
    </xf>
    <xf numFmtId="0" fontId="6" fillId="8" borderId="12"/>
    <xf numFmtId="3" fontId="6" fillId="0" borderId="8">
      <alignment horizontal="right" vertical="center"/>
    </xf>
    <xf numFmtId="0" fontId="5" fillId="0" borderId="10">
      <alignment horizontal="right" vertical="center"/>
    </xf>
    <xf numFmtId="0" fontId="6" fillId="0" borderId="11">
      <alignment horizontal="center" vertical="center"/>
    </xf>
    <xf numFmtId="3" fontId="6" fillId="0" borderId="8"/>
    <xf numFmtId="3" fontId="6" fillId="0" borderId="8"/>
    <xf numFmtId="0" fontId="6" fillId="0" borderId="11">
      <alignment horizontal="center" vertical="center" wrapText="1"/>
    </xf>
    <xf numFmtId="0" fontId="11" fillId="0" borderId="11">
      <alignment horizontal="left" vertical="center" indent="1"/>
    </xf>
    <xf numFmtId="0" fontId="12" fillId="0" borderId="8"/>
    <xf numFmtId="0" fontId="5" fillId="0" borderId="9">
      <alignment horizontal="left" vertical="center"/>
    </xf>
    <xf numFmtId="3" fontId="6" fillId="0" borderId="8">
      <alignment horizontal="center" vertical="center"/>
    </xf>
    <xf numFmtId="0" fontId="5" fillId="0" borderId="10">
      <alignment horizontal="center" vertical="center"/>
    </xf>
    <xf numFmtId="0" fontId="5" fillId="0" borderId="10">
      <alignment horizontal="center" vertical="center"/>
    </xf>
    <xf numFmtId="0" fontId="5" fillId="0" borderId="9">
      <alignment horizontal="left" vertical="center"/>
    </xf>
    <xf numFmtId="0" fontId="5" fillId="0" borderId="9">
      <alignment horizontal="left" vertical="center"/>
    </xf>
    <xf numFmtId="0" fontId="13" fillId="0" borderId="8"/>
  </cellStyleXfs>
  <cellXfs count="24">
    <xf numFmtId="0" fontId="0" fillId="0" borderId="0" xfId="0"/>
    <xf numFmtId="0" fontId="0" fillId="3" borderId="0" xfId="0" applyFill="1"/>
    <xf numFmtId="0" fontId="0" fillId="3" borderId="0" xfId="0" applyFill="1" applyBorder="1"/>
    <xf numFmtId="0" fontId="0" fillId="4" borderId="0" xfId="0" applyFill="1" applyBorder="1"/>
    <xf numFmtId="0" fontId="2" fillId="4" borderId="0" xfId="0" applyNumberFormat="1" applyFont="1" applyFill="1" applyBorder="1"/>
    <xf numFmtId="0" fontId="0" fillId="5" borderId="0" xfId="0" applyFill="1" applyBorder="1"/>
    <xf numFmtId="0" fontId="2" fillId="5" borderId="0" xfId="0" applyNumberFormat="1" applyFont="1" applyFill="1" applyBorder="1"/>
    <xf numFmtId="0" fontId="2" fillId="3" borderId="0" xfId="0" applyNumberFormat="1" applyFont="1" applyFill="1" applyBorder="1"/>
    <xf numFmtId="0" fontId="0" fillId="7" borderId="0" xfId="0" applyFill="1" applyBorder="1"/>
    <xf numFmtId="0" fontId="0" fillId="6" borderId="1" xfId="0" applyNumberFormat="1" applyFill="1" applyBorder="1" applyAlignment="1"/>
    <xf numFmtId="0" fontId="4" fillId="6" borderId="3" xfId="0" applyNumberFormat="1" applyFont="1" applyFill="1" applyBorder="1" applyAlignment="1"/>
    <xf numFmtId="0" fontId="1" fillId="2" borderId="2" xfId="0" applyFont="1" applyFill="1" applyBorder="1"/>
    <xf numFmtId="164" fontId="0" fillId="4" borderId="0" xfId="0" applyNumberFormat="1" applyFill="1" applyBorder="1" applyAlignment="1"/>
    <xf numFmtId="49" fontId="0" fillId="3" borderId="0" xfId="0" applyNumberFormat="1" applyFill="1" applyBorder="1" applyAlignment="1">
      <alignment horizontal="left" indent="1"/>
    </xf>
    <xf numFmtId="164" fontId="0" fillId="5" borderId="0" xfId="0" applyNumberFormat="1" applyFill="1" applyBorder="1" applyAlignment="1">
      <alignment horizontal="left" indent="1"/>
    </xf>
    <xf numFmtId="49" fontId="0" fillId="3" borderId="0" xfId="0" applyNumberFormat="1" applyFill="1" applyBorder="1" applyAlignment="1">
      <alignment horizontal="left" indent="2"/>
    </xf>
    <xf numFmtId="164" fontId="0" fillId="5" borderId="0" xfId="0" applyNumberFormat="1" applyFill="1" applyBorder="1" applyAlignment="1">
      <alignment horizontal="left" indent="2"/>
    </xf>
    <xf numFmtId="49" fontId="0" fillId="3" borderId="0" xfId="0" applyNumberFormat="1" applyFill="1" applyBorder="1" applyAlignment="1">
      <alignment horizontal="left" indent="3"/>
    </xf>
    <xf numFmtId="49" fontId="0" fillId="3" borderId="0" xfId="0" applyNumberFormat="1" applyFill="1" applyBorder="1" applyAlignment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49" fontId="3" fillId="6" borderId="1" xfId="0" applyNumberFormat="1" applyFont="1" applyFill="1" applyBorder="1" applyAlignment="1">
      <alignment horizontal="center"/>
    </xf>
  </cellXfs>
  <cellStyles count="56">
    <cellStyle name="AF Column - IBM Cognos" xfId="1"/>
    <cellStyle name="AF Data - IBM Cognos" xfId="2"/>
    <cellStyle name="AF Data 0 - IBM Cognos" xfId="3"/>
    <cellStyle name="AF Data 1 - IBM Cognos" xfId="4"/>
    <cellStyle name="AF Data 2 - IBM Cognos" xfId="5"/>
    <cellStyle name="AF Data 3 - IBM Cognos" xfId="6"/>
    <cellStyle name="AF Data 4 - IBM Cognos" xfId="7"/>
    <cellStyle name="AF Data 5 - IBM Cognos" xfId="8"/>
    <cellStyle name="AF Data Leaf - IBM Cognos" xfId="9"/>
    <cellStyle name="AF Header - IBM Cognos" xfId="10"/>
    <cellStyle name="AF Header 0 - IBM Cognos" xfId="11"/>
    <cellStyle name="AF Header 1 - IBM Cognos" xfId="12"/>
    <cellStyle name="AF Header 2 - IBM Cognos" xfId="13"/>
    <cellStyle name="AF Header 3 - IBM Cognos" xfId="14"/>
    <cellStyle name="AF Header 4 - IBM Cognos" xfId="15"/>
    <cellStyle name="AF Header 5 - IBM Cognos" xfId="16"/>
    <cellStyle name="AF Header Leaf - IBM Cognos" xfId="17"/>
    <cellStyle name="AF Row - IBM Cognos" xfId="18"/>
    <cellStyle name="AF Row 0 - IBM Cognos" xfId="19"/>
    <cellStyle name="AF Row 1 - IBM Cognos" xfId="20"/>
    <cellStyle name="AF Row 2 - IBM Cognos" xfId="21"/>
    <cellStyle name="AF Row 3 - IBM Cognos" xfId="22"/>
    <cellStyle name="AF Row 4 - IBM Cognos" xfId="23"/>
    <cellStyle name="AF Row 5 - IBM Cognos" xfId="24"/>
    <cellStyle name="AF Row Leaf - IBM Cognos" xfId="25"/>
    <cellStyle name="AF Subnm - IBM Cognos" xfId="26"/>
    <cellStyle name="AF Title - IBM Cognos" xfId="27"/>
    <cellStyle name="Calculated Column - IBM Cognos" xfId="28"/>
    <cellStyle name="Calculated Column Name - IBM Cognos" xfId="29"/>
    <cellStyle name="Calculated Row - IBM Cognos" xfId="30"/>
    <cellStyle name="Calculated Row Name - IBM Cognos" xfId="31"/>
    <cellStyle name="Column Name - IBM Cognos" xfId="32"/>
    <cellStyle name="Column Template - IBM Cognos" xfId="33"/>
    <cellStyle name="Differs From Base - IBM Cognos" xfId="34"/>
    <cellStyle name="Edit - IBM Cognos" xfId="35"/>
    <cellStyle name="Formula - IBM Cognos" xfId="36"/>
    <cellStyle name="Group Name - IBM Cognos" xfId="37"/>
    <cellStyle name="Hold Values - IBM Cognos" xfId="38"/>
    <cellStyle name="List Name - IBM Cognos" xfId="39"/>
    <cellStyle name="Locked - IBM Cognos" xfId="40"/>
    <cellStyle name="Measure - IBM Cognos" xfId="41"/>
    <cellStyle name="Measure Header - IBM Cognos" xfId="42"/>
    <cellStyle name="Measure Name - IBM Cognos" xfId="43"/>
    <cellStyle name="Measure Summary - IBM Cognos" xfId="44"/>
    <cellStyle name="Measure Summary TM1 - IBM Cognos" xfId="45"/>
    <cellStyle name="Measure Template - IBM Cognos" xfId="46"/>
    <cellStyle name="More - IBM Cognos" xfId="47"/>
    <cellStyle name="Normal" xfId="0" builtinId="0"/>
    <cellStyle name="Pending Change - IBM Cognos" xfId="48"/>
    <cellStyle name="Row Name - IBM Cognos" xfId="49"/>
    <cellStyle name="Row Template - IBM Cognos" xfId="50"/>
    <cellStyle name="Summary Column Name - IBM Cognos" xfId="51"/>
    <cellStyle name="Summary Column Name TM1 - IBM Cognos" xfId="52"/>
    <cellStyle name="Summary Row Name - IBM Cognos" xfId="53"/>
    <cellStyle name="Summary Row Name TM1 - IBM Cognos" xfId="54"/>
    <cellStyle name="Unsaved Change - IBM Cognos" xfId="5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08080"/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313"/>
  <ax:ocxPr ax:name="_ExtentY" ax:value="1058"/>
  <ax:ocxPr ax:name="_StockProps" ax:value="0"/>
  <ax:ocxPr ax:name="ServerName" ax:value="CXMD"/>
  <ax:ocxPr ax:name="ProcessName" ax:value="OTC_PROC_CREATION_SUBSET_MARKET_SHARE_ACTUALITY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0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133350</xdr:rowOff>
    </xdr:from>
    <xdr:to>
      <xdr:col>10</xdr:col>
      <xdr:colOff>295275</xdr:colOff>
      <xdr:row>13</xdr:row>
      <xdr:rowOff>180975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847850"/>
          <a:ext cx="10325100" cy="942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</xdr:row>
          <xdr:rowOff>0</xdr:rowOff>
        </xdr:from>
        <xdr:to>
          <xdr:col>10</xdr:col>
          <xdr:colOff>0</xdr:colOff>
          <xdr:row>19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K144"/>
  <sheetViews>
    <sheetView tabSelected="1" topLeftCell="B10" workbookViewId="0">
      <selection activeCell="B144" sqref="B144"/>
    </sheetView>
  </sheetViews>
  <sheetFormatPr defaultColWidth="11.42578125" defaultRowHeight="15" x14ac:dyDescent="0.25"/>
  <cols>
    <col min="1" max="1" width="20.140625" style="8" hidden="1" customWidth="1"/>
    <col min="2" max="2" width="42.7109375" bestFit="1" customWidth="1"/>
    <col min="3" max="3" width="27.7109375" customWidth="1"/>
    <col min="4" max="1000" width="11.42578125" customWidth="1"/>
  </cols>
  <sheetData>
    <row r="1" spans="1:11" hidden="1" x14ac:dyDescent="0.25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idden="1" x14ac:dyDescent="0.25">
      <c r="A2" s="1">
        <f>0</f>
        <v>0</v>
      </c>
      <c r="B2" s="3"/>
      <c r="C2" s="4"/>
      <c r="D2" s="2"/>
      <c r="E2" s="2"/>
      <c r="F2" s="2"/>
      <c r="G2" s="2"/>
      <c r="H2" s="2"/>
      <c r="I2" s="2"/>
      <c r="J2" s="2"/>
      <c r="K2" s="2"/>
    </row>
    <row r="3" spans="1:11" hidden="1" x14ac:dyDescent="0.25">
      <c r="A3" s="1">
        <f>1</f>
        <v>1</v>
      </c>
      <c r="B3" s="5"/>
      <c r="C3" s="6"/>
      <c r="D3" s="2"/>
      <c r="E3" s="2"/>
      <c r="F3" s="2"/>
      <c r="G3" s="2"/>
      <c r="H3" s="2"/>
      <c r="I3" s="2"/>
      <c r="J3" s="2"/>
      <c r="K3" s="2"/>
    </row>
    <row r="4" spans="1:11" hidden="1" x14ac:dyDescent="0.25">
      <c r="A4" s="1">
        <f>2</f>
        <v>2</v>
      </c>
      <c r="B4" s="5"/>
      <c r="C4" s="6"/>
      <c r="D4" s="2"/>
      <c r="E4" s="2"/>
      <c r="F4" s="2"/>
      <c r="G4" s="2"/>
      <c r="H4" s="2"/>
      <c r="I4" s="2"/>
      <c r="J4" s="2"/>
      <c r="K4" s="2"/>
    </row>
    <row r="5" spans="1:11" hidden="1" x14ac:dyDescent="0.25">
      <c r="A5" s="1">
        <f>3</f>
        <v>3</v>
      </c>
      <c r="B5" s="5"/>
      <c r="C5" s="6"/>
      <c r="D5" s="2"/>
      <c r="E5" s="2"/>
      <c r="F5" s="2"/>
      <c r="G5" s="2"/>
      <c r="H5" s="2"/>
      <c r="I5" s="2"/>
      <c r="J5" s="2"/>
      <c r="K5" s="2"/>
    </row>
    <row r="6" spans="1:11" hidden="1" x14ac:dyDescent="0.25">
      <c r="A6" s="1" t="s">
        <v>1</v>
      </c>
      <c r="B6" s="5"/>
      <c r="C6" s="6"/>
      <c r="D6" s="2"/>
      <c r="E6" s="2"/>
      <c r="F6" s="2"/>
      <c r="G6" s="2"/>
      <c r="H6" s="2"/>
      <c r="I6" s="2"/>
      <c r="J6" s="2"/>
      <c r="K6" s="2"/>
    </row>
    <row r="7" spans="1:11" hidden="1" x14ac:dyDescent="0.25">
      <c r="A7" s="1" t="s">
        <v>2</v>
      </c>
      <c r="B7" s="2"/>
      <c r="C7" s="7"/>
      <c r="D7" s="2"/>
      <c r="E7" s="2"/>
      <c r="F7" s="2"/>
      <c r="G7" s="2"/>
      <c r="H7" s="2"/>
      <c r="I7" s="2"/>
      <c r="J7" s="2"/>
      <c r="K7" s="2"/>
    </row>
    <row r="8" spans="1:11" hidden="1" x14ac:dyDescent="0.25">
      <c r="A8" s="1" t="s">
        <v>4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24.75" hidden="1" customHeight="1" x14ac:dyDescent="0.25">
      <c r="B9" s="2" t="str">
        <f ca="1">_xll.TM1RPTVIEW("CXMD:OTC_PARM_MARKET_SHARE_ACTUALITY:ARPT1", 0,TM1RPTFMTRNG,TM1RPTFMTIDCOL)</f>
        <v>CXMD:OTC_PARM_MARKET_SHARE_ACTUALITY:ARPT1</v>
      </c>
      <c r="D9" s="2"/>
      <c r="E9" s="2"/>
      <c r="F9" s="2"/>
      <c r="G9" s="2"/>
      <c r="H9" s="2"/>
      <c r="I9" s="2"/>
      <c r="J9" s="2"/>
      <c r="K9" s="2"/>
    </row>
    <row r="10" spans="1:11" x14ac:dyDescent="0.25"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25"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ht="20.25" customHeight="1" x14ac:dyDescent="0.25"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ht="20.25" customHeight="1" x14ac:dyDescent="0.25"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ht="30" customHeight="1" x14ac:dyDescent="0.25"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ht="30" x14ac:dyDescent="0.4">
      <c r="B15" s="23" t="s">
        <v>122</v>
      </c>
      <c r="C15" s="23"/>
      <c r="D15" s="23"/>
      <c r="E15" s="23"/>
      <c r="F15" s="23"/>
      <c r="G15" s="23"/>
      <c r="H15" s="23"/>
      <c r="I15" s="23"/>
      <c r="J15" s="23"/>
      <c r="K15" s="23"/>
    </row>
    <row r="16" spans="1:11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1" x14ac:dyDescent="0.25"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spans="1:11" x14ac:dyDescent="0.25"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spans="1:11" x14ac:dyDescent="0.25">
      <c r="B20" s="11"/>
      <c r="C20" s="11" t="s">
        <v>0</v>
      </c>
      <c r="D20" s="20" t="s">
        <v>123</v>
      </c>
      <c r="E20" s="21"/>
      <c r="F20" s="21"/>
      <c r="G20" s="21"/>
      <c r="H20" s="21"/>
      <c r="I20" s="21"/>
      <c r="J20" s="21"/>
      <c r="K20" s="22"/>
    </row>
    <row r="21" spans="1:11" x14ac:dyDescent="0.25">
      <c r="A21" s="1">
        <f ca="1">IF(_xll.TM1RPTELISCONSOLIDATED($B$21,$B21),IF(_xll.TM1RPTELLEV($B$21,$B21)&lt;=3,_xll.TM1RPTELLEV($B$21,$B21),"D"),"N")</f>
        <v>0</v>
      </c>
      <c r="B21" s="12" t="str">
        <f ca="1">_xll.TM1RPTROW($B$9,"CXMD:Actuality","All_Actuality")</f>
        <v>Total_Actuals</v>
      </c>
      <c r="C21" s="4" t="str">
        <f ca="1">_xll.DBRW($B$9,$B21,C$20)</f>
        <v/>
      </c>
    </row>
    <row r="22" spans="1:11" x14ac:dyDescent="0.25">
      <c r="A22" s="1" t="str">
        <f ca="1">IF(_xll.TM1RPTELISCONSOLIDATED($B$21,$B22),IF(_xll.TM1RPTELLEV($B$21,$B22)&lt;=3,_xll.TM1RPTELLEV($B$21,$B22),"D"),"N")</f>
        <v>N</v>
      </c>
      <c r="B22" s="13" t="s">
        <v>5</v>
      </c>
      <c r="C22" s="7" t="str">
        <f ca="1">_xll.DBRW($B$9,$B22,C$20)</f>
        <v/>
      </c>
    </row>
    <row r="23" spans="1:11" x14ac:dyDescent="0.25">
      <c r="A23" s="1" t="str">
        <f ca="1">IF(_xll.TM1RPTELISCONSOLIDATED($B$21,$B23),IF(_xll.TM1RPTELLEV($B$21,$B23)&lt;=3,_xll.TM1RPTELLEV($B$21,$B23),"D"),"N")</f>
        <v>N</v>
      </c>
      <c r="B23" s="13" t="s">
        <v>6</v>
      </c>
      <c r="C23" s="7" t="str">
        <f ca="1">_xll.DBRW($B$9,$B23,C$20)</f>
        <v/>
      </c>
    </row>
    <row r="24" spans="1:11" x14ac:dyDescent="0.25">
      <c r="A24" s="1" t="str">
        <f ca="1">IF(_xll.TM1RPTELISCONSOLIDATED($B$21,$B24),IF(_xll.TM1RPTELLEV($B$21,$B24)&lt;=3,_xll.TM1RPTELLEV($B$21,$B24),"D"),"N")</f>
        <v>N</v>
      </c>
      <c r="B24" s="13" t="s">
        <v>7</v>
      </c>
      <c r="C24" s="7" t="str">
        <f ca="1">_xll.DBRW($B$9,$B24,C$20)</f>
        <v/>
      </c>
    </row>
    <row r="25" spans="1:11" x14ac:dyDescent="0.25">
      <c r="A25" s="1" t="str">
        <f ca="1">IF(_xll.TM1RPTELISCONSOLIDATED($B$21,$B25),IF(_xll.TM1RPTELLEV($B$21,$B25)&lt;=3,_xll.TM1RPTELLEV($B$21,$B25),"D"),"N")</f>
        <v>N</v>
      </c>
      <c r="B25" s="13" t="s">
        <v>8</v>
      </c>
      <c r="C25" s="7" t="str">
        <f ca="1">_xll.DBRW($B$9,$B25,C$20)</f>
        <v/>
      </c>
    </row>
    <row r="26" spans="1:11" x14ac:dyDescent="0.25">
      <c r="A26" s="1">
        <f ca="1">IF(_xll.TM1RPTELISCONSOLIDATED($B$21,$B26),IF(_xll.TM1RPTELLEV($B$21,$B26)&lt;=3,_xll.TM1RPTELLEV($B$21,$B26),"D"),"N")</f>
        <v>0</v>
      </c>
      <c r="B26" s="12" t="s">
        <v>9</v>
      </c>
      <c r="C26" s="4" t="str">
        <f ca="1">_xll.DBRW($B$9,$B26,C$20)</f>
        <v/>
      </c>
    </row>
    <row r="27" spans="1:11" x14ac:dyDescent="0.25">
      <c r="A27" s="1">
        <f ca="1">IF(_xll.TM1RPTELISCONSOLIDATED($B$21,$B27),IF(_xll.TM1RPTELLEV($B$21,$B27)&lt;=3,_xll.TM1RPTELLEV($B$21,$B27),"D"),"N")</f>
        <v>1</v>
      </c>
      <c r="B27" s="14" t="s">
        <v>10</v>
      </c>
      <c r="C27" s="6" t="str">
        <f ca="1">_xll.DBRW($B$9,$B27,C$20)</f>
        <v/>
      </c>
    </row>
    <row r="28" spans="1:11" x14ac:dyDescent="0.25">
      <c r="A28" s="1" t="str">
        <f ca="1">IF(_xll.TM1RPTELISCONSOLIDATED($B$21,$B28),IF(_xll.TM1RPTELLEV($B$21,$B28)&lt;=3,_xll.TM1RPTELLEV($B$21,$B28),"D"),"N")</f>
        <v>N</v>
      </c>
      <c r="B28" s="15" t="s">
        <v>11</v>
      </c>
      <c r="C28" s="7" t="str">
        <f ca="1">_xll.DBRW($B$9,$B28,C$20)</f>
        <v/>
      </c>
    </row>
    <row r="29" spans="1:11" x14ac:dyDescent="0.25">
      <c r="A29" s="1" t="str">
        <f ca="1">IF(_xll.TM1RPTELISCONSOLIDATED($B$21,$B29),IF(_xll.TM1RPTELLEV($B$21,$B29)&lt;=3,_xll.TM1RPTELLEV($B$21,$B29),"D"),"N")</f>
        <v>N</v>
      </c>
      <c r="B29" s="15" t="s">
        <v>12</v>
      </c>
      <c r="C29" s="7" t="str">
        <f ca="1">_xll.DBRW($B$9,$B29,C$20)</f>
        <v/>
      </c>
    </row>
    <row r="30" spans="1:11" x14ac:dyDescent="0.25">
      <c r="A30" s="1" t="str">
        <f ca="1">IF(_xll.TM1RPTELISCONSOLIDATED($B$21,$B30),IF(_xll.TM1RPTELLEV($B$21,$B30)&lt;=3,_xll.TM1RPTELLEV($B$21,$B30),"D"),"N")</f>
        <v>N</v>
      </c>
      <c r="B30" s="15" t="s">
        <v>13</v>
      </c>
      <c r="C30" s="7" t="str">
        <f ca="1">_xll.DBRW($B$9,$B30,C$20)</f>
        <v/>
      </c>
    </row>
    <row r="31" spans="1:11" x14ac:dyDescent="0.25">
      <c r="A31" s="1" t="str">
        <f ca="1">IF(_xll.TM1RPTELISCONSOLIDATED($B$21,$B31),IF(_xll.TM1RPTELLEV($B$21,$B31)&lt;=3,_xll.TM1RPTELLEV($B$21,$B31),"D"),"N")</f>
        <v>N</v>
      </c>
      <c r="B31" s="15" t="s">
        <v>14</v>
      </c>
      <c r="C31" s="7" t="str">
        <f ca="1">_xll.DBRW($B$9,$B31,C$20)</f>
        <v/>
      </c>
    </row>
    <row r="32" spans="1:11" x14ac:dyDescent="0.25">
      <c r="A32" s="1" t="str">
        <f ca="1">IF(_xll.TM1RPTELISCONSOLIDATED($B$21,$B32),IF(_xll.TM1RPTELLEV($B$21,$B32)&lt;=3,_xll.TM1RPTELLEV($B$21,$B32),"D"),"N")</f>
        <v>N</v>
      </c>
      <c r="B32" s="15" t="s">
        <v>15</v>
      </c>
      <c r="C32" s="7" t="str">
        <f ca="1">_xll.DBRW($B$9,$B32,C$20)</f>
        <v/>
      </c>
    </row>
    <row r="33" spans="1:3" x14ac:dyDescent="0.25">
      <c r="A33" s="1">
        <f ca="1">IF(_xll.TM1RPTELISCONSOLIDATED($B$21,$B33),IF(_xll.TM1RPTELLEV($B$21,$B33)&lt;=3,_xll.TM1RPTELLEV($B$21,$B33),"D"),"N")</f>
        <v>1</v>
      </c>
      <c r="B33" s="14" t="s">
        <v>16</v>
      </c>
      <c r="C33" s="6" t="str">
        <f ca="1">_xll.DBRW($B$9,$B33,C$20)</f>
        <v/>
      </c>
    </row>
    <row r="34" spans="1:3" x14ac:dyDescent="0.25">
      <c r="A34" s="1">
        <f ca="1">IF(_xll.TM1RPTELISCONSOLIDATED($B$21,$B34),IF(_xll.TM1RPTELLEV($B$21,$B34)&lt;=3,_xll.TM1RPTELLEV($B$21,$B34),"D"),"N")</f>
        <v>2</v>
      </c>
      <c r="B34" s="16" t="s">
        <v>17</v>
      </c>
      <c r="C34" s="6" t="str">
        <f ca="1">_xll.DBRW($B$9,$B34,C$20)</f>
        <v/>
      </c>
    </row>
    <row r="35" spans="1:3" x14ac:dyDescent="0.25">
      <c r="A35" s="1" t="str">
        <f ca="1">IF(_xll.TM1RPTELISCONSOLIDATED($B$21,$B35),IF(_xll.TM1RPTELLEV($B$21,$B35)&lt;=3,_xll.TM1RPTELLEV($B$21,$B35),"D"),"N")</f>
        <v>N</v>
      </c>
      <c r="B35" s="17" t="s">
        <v>18</v>
      </c>
      <c r="C35" s="7" t="str">
        <f ca="1">_xll.DBRW($B$9,$B35,C$20)</f>
        <v/>
      </c>
    </row>
    <row r="36" spans="1:3" x14ac:dyDescent="0.25">
      <c r="A36" s="1" t="str">
        <f ca="1">IF(_xll.TM1RPTELISCONSOLIDATED($B$21,$B36),IF(_xll.TM1RPTELLEV($B$21,$B36)&lt;=3,_xll.TM1RPTELLEV($B$21,$B36),"D"),"N")</f>
        <v>N</v>
      </c>
      <c r="B36" s="17" t="s">
        <v>19</v>
      </c>
      <c r="C36" s="7" t="str">
        <f ca="1">_xll.DBRW($B$9,$B36,C$20)</f>
        <v/>
      </c>
    </row>
    <row r="37" spans="1:3" x14ac:dyDescent="0.25">
      <c r="A37" s="1" t="str">
        <f ca="1">IF(_xll.TM1RPTELISCONSOLIDATED($B$21,$B37),IF(_xll.TM1RPTELLEV($B$21,$B37)&lt;=3,_xll.TM1RPTELLEV($B$21,$B37),"D"),"N")</f>
        <v>N</v>
      </c>
      <c r="B37" s="17" t="s">
        <v>20</v>
      </c>
      <c r="C37" s="7" t="str">
        <f ca="1">_xll.DBRW($B$9,$B37,C$20)</f>
        <v/>
      </c>
    </row>
    <row r="38" spans="1:3" x14ac:dyDescent="0.25">
      <c r="A38" s="1" t="str">
        <f ca="1">IF(_xll.TM1RPTELISCONSOLIDATED($B$21,$B38),IF(_xll.TM1RPTELLEV($B$21,$B38)&lt;=3,_xll.TM1RPTELLEV($B$21,$B38),"D"),"N")</f>
        <v>N</v>
      </c>
      <c r="B38" s="17" t="s">
        <v>21</v>
      </c>
      <c r="C38" s="7" t="str">
        <f ca="1">_xll.DBRW($B$9,$B38,C$20)</f>
        <v/>
      </c>
    </row>
    <row r="39" spans="1:3" x14ac:dyDescent="0.25">
      <c r="A39" s="1" t="str">
        <f ca="1">IF(_xll.TM1RPTELISCONSOLIDATED($B$21,$B39),IF(_xll.TM1RPTELLEV($B$21,$B39)&lt;=3,_xll.TM1RPTELLEV($B$21,$B39),"D"),"N")</f>
        <v>N</v>
      </c>
      <c r="B39" s="17" t="s">
        <v>22</v>
      </c>
      <c r="C39" s="7" t="str">
        <f ca="1">_xll.DBRW($B$9,$B39,C$20)</f>
        <v/>
      </c>
    </row>
    <row r="40" spans="1:3" x14ac:dyDescent="0.25">
      <c r="A40" s="1">
        <f ca="1">IF(_xll.TM1RPTELISCONSOLIDATED($B$21,$B40),IF(_xll.TM1RPTELLEV($B$21,$B40)&lt;=3,_xll.TM1RPTELLEV($B$21,$B40),"D"),"N")</f>
        <v>2</v>
      </c>
      <c r="B40" s="16" t="s">
        <v>23</v>
      </c>
      <c r="C40" s="6" t="str">
        <f ca="1">_xll.DBRW($B$9,$B40,C$20)</f>
        <v/>
      </c>
    </row>
    <row r="41" spans="1:3" x14ac:dyDescent="0.25">
      <c r="A41" s="1" t="str">
        <f ca="1">IF(_xll.TM1RPTELISCONSOLIDATED($B$21,$B41),IF(_xll.TM1RPTELLEV($B$21,$B41)&lt;=3,_xll.TM1RPTELLEV($B$21,$B41),"D"),"N")</f>
        <v>N</v>
      </c>
      <c r="B41" s="17" t="s">
        <v>24</v>
      </c>
      <c r="C41" s="7" t="str">
        <f ca="1">_xll.DBRW($B$9,$B41,C$20)</f>
        <v/>
      </c>
    </row>
    <row r="42" spans="1:3" x14ac:dyDescent="0.25">
      <c r="A42" s="1" t="str">
        <f ca="1">IF(_xll.TM1RPTELISCONSOLIDATED($B$21,$B42),IF(_xll.TM1RPTELLEV($B$21,$B42)&lt;=3,_xll.TM1RPTELLEV($B$21,$B42),"D"),"N")</f>
        <v>N</v>
      </c>
      <c r="B42" s="17" t="s">
        <v>25</v>
      </c>
      <c r="C42" s="7" t="str">
        <f ca="1">_xll.DBRW($B$9,$B42,C$20)</f>
        <v/>
      </c>
    </row>
    <row r="43" spans="1:3" x14ac:dyDescent="0.25">
      <c r="A43" s="1" t="str">
        <f ca="1">IF(_xll.TM1RPTELISCONSOLIDATED($B$21,$B43),IF(_xll.TM1RPTELLEV($B$21,$B43)&lt;=3,_xll.TM1RPTELLEV($B$21,$B43),"D"),"N")</f>
        <v>N</v>
      </c>
      <c r="B43" s="17" t="s">
        <v>26</v>
      </c>
      <c r="C43" s="7" t="str">
        <f ca="1">_xll.DBRW($B$9,$B43,C$20)</f>
        <v/>
      </c>
    </row>
    <row r="44" spans="1:3" x14ac:dyDescent="0.25">
      <c r="A44" s="1" t="str">
        <f ca="1">IF(_xll.TM1RPTELISCONSOLIDATED($B$21,$B44),IF(_xll.TM1RPTELLEV($B$21,$B44)&lt;=3,_xll.TM1RPTELLEV($B$21,$B44),"D"),"N")</f>
        <v>N</v>
      </c>
      <c r="B44" s="17" t="s">
        <v>27</v>
      </c>
      <c r="C44" s="7" t="str">
        <f ca="1">_xll.DBRW($B$9,$B44,C$20)</f>
        <v/>
      </c>
    </row>
    <row r="45" spans="1:3" x14ac:dyDescent="0.25">
      <c r="A45" s="1" t="str">
        <f ca="1">IF(_xll.TM1RPTELISCONSOLIDATED($B$21,$B45),IF(_xll.TM1RPTELLEV($B$21,$B45)&lt;=3,_xll.TM1RPTELLEV($B$21,$B45),"D"),"N")</f>
        <v>N</v>
      </c>
      <c r="B45" s="17" t="s">
        <v>28</v>
      </c>
      <c r="C45" s="7" t="str">
        <f ca="1">_xll.DBRW($B$9,$B45,C$20)</f>
        <v/>
      </c>
    </row>
    <row r="46" spans="1:3" x14ac:dyDescent="0.25">
      <c r="A46" s="1" t="str">
        <f ca="1">IF(_xll.TM1RPTELISCONSOLIDATED($B$21,$B46),IF(_xll.TM1RPTELLEV($B$21,$B46)&lt;=3,_xll.TM1RPTELLEV($B$21,$B46),"D"),"N")</f>
        <v>N</v>
      </c>
      <c r="B46" s="17" t="s">
        <v>29</v>
      </c>
      <c r="C46" s="7" t="str">
        <f ca="1">_xll.DBRW($B$9,$B46,C$20)</f>
        <v/>
      </c>
    </row>
    <row r="47" spans="1:3" x14ac:dyDescent="0.25">
      <c r="A47" s="1">
        <f ca="1">IF(_xll.TM1RPTELISCONSOLIDATED($B$21,$B47),IF(_xll.TM1RPTELLEV($B$21,$B47)&lt;=3,_xll.TM1RPTELLEV($B$21,$B47),"D"),"N")</f>
        <v>2</v>
      </c>
      <c r="B47" s="16" t="s">
        <v>30</v>
      </c>
      <c r="C47" s="6" t="str">
        <f ca="1">_xll.DBRW($B$9,$B47,C$20)</f>
        <v/>
      </c>
    </row>
    <row r="48" spans="1:3" x14ac:dyDescent="0.25">
      <c r="A48" s="1" t="str">
        <f ca="1">IF(_xll.TM1RPTELISCONSOLIDATED($B$21,$B48),IF(_xll.TM1RPTELLEV($B$21,$B48)&lt;=3,_xll.TM1RPTELLEV($B$21,$B48),"D"),"N")</f>
        <v>N</v>
      </c>
      <c r="B48" s="17" t="s">
        <v>31</v>
      </c>
      <c r="C48" s="7" t="str">
        <f ca="1">_xll.DBRW($B$9,$B48,C$20)</f>
        <v/>
      </c>
    </row>
    <row r="49" spans="1:3" x14ac:dyDescent="0.25">
      <c r="A49" s="1" t="str">
        <f ca="1">IF(_xll.TM1RPTELISCONSOLIDATED($B$21,$B49),IF(_xll.TM1RPTELLEV($B$21,$B49)&lt;=3,_xll.TM1RPTELLEV($B$21,$B49),"D"),"N")</f>
        <v>N</v>
      </c>
      <c r="B49" s="17" t="s">
        <v>32</v>
      </c>
      <c r="C49" s="7" t="str">
        <f ca="1">_xll.DBRW($B$9,$B49,C$20)</f>
        <v/>
      </c>
    </row>
    <row r="50" spans="1:3" x14ac:dyDescent="0.25">
      <c r="A50" s="1" t="str">
        <f ca="1">IF(_xll.TM1RPTELISCONSOLIDATED($B$21,$B50),IF(_xll.TM1RPTELLEV($B$21,$B50)&lt;=3,_xll.TM1RPTELLEV($B$21,$B50),"D"),"N")</f>
        <v>N</v>
      </c>
      <c r="B50" s="17" t="s">
        <v>33</v>
      </c>
      <c r="C50" s="7" t="str">
        <f ca="1">_xll.DBRW($B$9,$B50,C$20)</f>
        <v/>
      </c>
    </row>
    <row r="51" spans="1:3" x14ac:dyDescent="0.25">
      <c r="A51" s="1" t="str">
        <f ca="1">IF(_xll.TM1RPTELISCONSOLIDATED($B$21,$B51),IF(_xll.TM1RPTELLEV($B$21,$B51)&lt;=3,_xll.TM1RPTELLEV($B$21,$B51),"D"),"N")</f>
        <v>N</v>
      </c>
      <c r="B51" s="17" t="s">
        <v>34</v>
      </c>
      <c r="C51" s="7" t="str">
        <f ca="1">_xll.DBRW($B$9,$B51,C$20)</f>
        <v/>
      </c>
    </row>
    <row r="52" spans="1:3" x14ac:dyDescent="0.25">
      <c r="A52" s="1" t="str">
        <f ca="1">IF(_xll.TM1RPTELISCONSOLIDATED($B$21,$B52),IF(_xll.TM1RPTELLEV($B$21,$B52)&lt;=3,_xll.TM1RPTELLEV($B$21,$B52),"D"),"N")</f>
        <v>N</v>
      </c>
      <c r="B52" s="17" t="s">
        <v>35</v>
      </c>
      <c r="C52" s="7" t="str">
        <f ca="1">_xll.DBRW($B$9,$B52,C$20)</f>
        <v/>
      </c>
    </row>
    <row r="53" spans="1:3" x14ac:dyDescent="0.25">
      <c r="A53" s="1">
        <f ca="1">IF(_xll.TM1RPTELISCONSOLIDATED($B$21,$B53),IF(_xll.TM1RPTELLEV($B$21,$B53)&lt;=3,_xll.TM1RPTELLEV($B$21,$B53),"D"),"N")</f>
        <v>2</v>
      </c>
      <c r="B53" s="16" t="s">
        <v>36</v>
      </c>
      <c r="C53" s="6" t="str">
        <f ca="1">_xll.DBRW($B$9,$B53,C$20)</f>
        <v/>
      </c>
    </row>
    <row r="54" spans="1:3" x14ac:dyDescent="0.25">
      <c r="A54" s="1" t="str">
        <f ca="1">IF(_xll.TM1RPTELISCONSOLIDATED($B$21,$B54),IF(_xll.TM1RPTELLEV($B$21,$B54)&lt;=3,_xll.TM1RPTELLEV($B$21,$B54),"D"),"N")</f>
        <v>N</v>
      </c>
      <c r="B54" s="17" t="s">
        <v>37</v>
      </c>
      <c r="C54" s="7" t="str">
        <f ca="1">_xll.DBRW($B$9,$B54,C$20)</f>
        <v/>
      </c>
    </row>
    <row r="55" spans="1:3" x14ac:dyDescent="0.25">
      <c r="A55" s="1" t="str">
        <f ca="1">IF(_xll.TM1RPTELISCONSOLIDATED($B$21,$B55),IF(_xll.TM1RPTELLEV($B$21,$B55)&lt;=3,_xll.TM1RPTELLEV($B$21,$B55),"D"),"N")</f>
        <v>N</v>
      </c>
      <c r="B55" s="17" t="s">
        <v>38</v>
      </c>
      <c r="C55" s="7" t="str">
        <f ca="1">_xll.DBRW($B$9,$B55,C$20)</f>
        <v/>
      </c>
    </row>
    <row r="56" spans="1:3" x14ac:dyDescent="0.25">
      <c r="A56" s="1" t="str">
        <f ca="1">IF(_xll.TM1RPTELISCONSOLIDATED($B$21,$B56),IF(_xll.TM1RPTELLEV($B$21,$B56)&lt;=3,_xll.TM1RPTELLEV($B$21,$B56),"D"),"N")</f>
        <v>N</v>
      </c>
      <c r="B56" s="17" t="s">
        <v>39</v>
      </c>
      <c r="C56" s="7" t="str">
        <f ca="1">_xll.DBRW($B$9,$B56,C$20)</f>
        <v/>
      </c>
    </row>
    <row r="57" spans="1:3" x14ac:dyDescent="0.25">
      <c r="A57" s="1">
        <f ca="1">IF(_xll.TM1RPTELISCONSOLIDATED($B$21,$B57),IF(_xll.TM1RPTELLEV($B$21,$B57)&lt;=3,_xll.TM1RPTELLEV($B$21,$B57),"D"),"N")</f>
        <v>2</v>
      </c>
      <c r="B57" s="16" t="s">
        <v>40</v>
      </c>
      <c r="C57" s="6" t="str">
        <f ca="1">_xll.DBRW($B$9,$B57,C$20)</f>
        <v/>
      </c>
    </row>
    <row r="58" spans="1:3" x14ac:dyDescent="0.25">
      <c r="A58" s="1" t="str">
        <f ca="1">IF(_xll.TM1RPTELISCONSOLIDATED($B$21,$B58),IF(_xll.TM1RPTELLEV($B$21,$B58)&lt;=3,_xll.TM1RPTELLEV($B$21,$B58),"D"),"N")</f>
        <v>N</v>
      </c>
      <c r="B58" s="17" t="s">
        <v>41</v>
      </c>
      <c r="C58" s="7" t="str">
        <f ca="1">_xll.DBRW($B$9,$B58,C$20)</f>
        <v/>
      </c>
    </row>
    <row r="59" spans="1:3" x14ac:dyDescent="0.25">
      <c r="A59" s="1" t="str">
        <f ca="1">IF(_xll.TM1RPTELISCONSOLIDATED($B$21,$B59),IF(_xll.TM1RPTELLEV($B$21,$B59)&lt;=3,_xll.TM1RPTELLEV($B$21,$B59),"D"),"N")</f>
        <v>N</v>
      </c>
      <c r="B59" s="17" t="s">
        <v>42</v>
      </c>
      <c r="C59" s="7" t="str">
        <f ca="1">_xll.DBRW($B$9,$B59,C$20)</f>
        <v/>
      </c>
    </row>
    <row r="60" spans="1:3" x14ac:dyDescent="0.25">
      <c r="A60" s="1">
        <f ca="1">IF(_xll.TM1RPTELISCONSOLIDATED($B$21,$B60),IF(_xll.TM1RPTELLEV($B$21,$B60)&lt;=3,_xll.TM1RPTELLEV($B$21,$B60),"D"),"N")</f>
        <v>1</v>
      </c>
      <c r="B60" s="14" t="s">
        <v>43</v>
      </c>
      <c r="C60" s="6" t="str">
        <f ca="1">_xll.DBRW($B$9,$B60,C$20)</f>
        <v/>
      </c>
    </row>
    <row r="61" spans="1:3" x14ac:dyDescent="0.25">
      <c r="A61" s="1">
        <f ca="1">IF(_xll.TM1RPTELISCONSOLIDATED($B$21,$B61),IF(_xll.TM1RPTELLEV($B$21,$B61)&lt;=3,_xll.TM1RPTELLEV($B$21,$B61),"D"),"N")</f>
        <v>2</v>
      </c>
      <c r="B61" s="16" t="s">
        <v>44</v>
      </c>
      <c r="C61" s="6" t="str">
        <f ca="1">_xll.DBRW($B$9,$B61,C$20)</f>
        <v/>
      </c>
    </row>
    <row r="62" spans="1:3" x14ac:dyDescent="0.25">
      <c r="A62" s="1" t="str">
        <f ca="1">IF(_xll.TM1RPTELISCONSOLIDATED($B$21,$B62),IF(_xll.TM1RPTELLEV($B$21,$B62)&lt;=3,_xll.TM1RPTELLEV($B$21,$B62),"D"),"N")</f>
        <v>N</v>
      </c>
      <c r="B62" s="17" t="s">
        <v>45</v>
      </c>
      <c r="C62" s="7" t="str">
        <f ca="1">_xll.DBRW($B$9,$B62,C$20)</f>
        <v/>
      </c>
    </row>
    <row r="63" spans="1:3" x14ac:dyDescent="0.25">
      <c r="A63" s="1" t="str">
        <f ca="1">IF(_xll.TM1RPTELISCONSOLIDATED($B$21,$B63),IF(_xll.TM1RPTELLEV($B$21,$B63)&lt;=3,_xll.TM1RPTELLEV($B$21,$B63),"D"),"N")</f>
        <v>N</v>
      </c>
      <c r="B63" s="17" t="s">
        <v>46</v>
      </c>
      <c r="C63" s="7" t="str">
        <f ca="1">_xll.DBRW($B$9,$B63,C$20)</f>
        <v/>
      </c>
    </row>
    <row r="64" spans="1:3" x14ac:dyDescent="0.25">
      <c r="A64" s="1" t="str">
        <f ca="1">IF(_xll.TM1RPTELISCONSOLIDATED($B$21,$B64),IF(_xll.TM1RPTELLEV($B$21,$B64)&lt;=3,_xll.TM1RPTELLEV($B$21,$B64),"D"),"N")</f>
        <v>N</v>
      </c>
      <c r="B64" s="17" t="s">
        <v>47</v>
      </c>
      <c r="C64" s="7" t="str">
        <f ca="1">_xll.DBRW($B$9,$B64,C$20)</f>
        <v/>
      </c>
    </row>
    <row r="65" spans="1:3" x14ac:dyDescent="0.25">
      <c r="A65" s="1" t="str">
        <f ca="1">IF(_xll.TM1RPTELISCONSOLIDATED($B$21,$B65),IF(_xll.TM1RPTELLEV($B$21,$B65)&lt;=3,_xll.TM1RPTELLEV($B$21,$B65),"D"),"N")</f>
        <v>N</v>
      </c>
      <c r="B65" s="17" t="s">
        <v>48</v>
      </c>
      <c r="C65" s="7" t="str">
        <f ca="1">_xll.DBRW($B$9,$B65,C$20)</f>
        <v/>
      </c>
    </row>
    <row r="66" spans="1:3" x14ac:dyDescent="0.25">
      <c r="A66" s="1">
        <f ca="1">IF(_xll.TM1RPTELISCONSOLIDATED($B$21,$B66),IF(_xll.TM1RPTELLEV($B$21,$B66)&lt;=3,_xll.TM1RPTELLEV($B$21,$B66),"D"),"N")</f>
        <v>2</v>
      </c>
      <c r="B66" s="16" t="s">
        <v>49</v>
      </c>
      <c r="C66" s="6" t="str">
        <f ca="1">_xll.DBRW($B$9,$B66,C$20)</f>
        <v/>
      </c>
    </row>
    <row r="67" spans="1:3" x14ac:dyDescent="0.25">
      <c r="A67" s="1" t="str">
        <f ca="1">IF(_xll.TM1RPTELISCONSOLIDATED($B$21,$B67),IF(_xll.TM1RPTELLEV($B$21,$B67)&lt;=3,_xll.TM1RPTELLEV($B$21,$B67),"D"),"N")</f>
        <v>N</v>
      </c>
      <c r="B67" s="17" t="s">
        <v>50</v>
      </c>
      <c r="C67" s="7" t="str">
        <f ca="1">_xll.DBRW($B$9,$B67,C$20)</f>
        <v/>
      </c>
    </row>
    <row r="68" spans="1:3" x14ac:dyDescent="0.25">
      <c r="A68" s="1" t="str">
        <f ca="1">IF(_xll.TM1RPTELISCONSOLIDATED($B$21,$B68),IF(_xll.TM1RPTELLEV($B$21,$B68)&lt;=3,_xll.TM1RPTELLEV($B$21,$B68),"D"),"N")</f>
        <v>N</v>
      </c>
      <c r="B68" s="17" t="s">
        <v>51</v>
      </c>
      <c r="C68" s="7" t="str">
        <f ca="1">_xll.DBRW($B$9,$B68,C$20)</f>
        <v/>
      </c>
    </row>
    <row r="69" spans="1:3" x14ac:dyDescent="0.25">
      <c r="A69" s="1" t="str">
        <f ca="1">IF(_xll.TM1RPTELISCONSOLIDATED($B$21,$B69),IF(_xll.TM1RPTELLEV($B$21,$B69)&lt;=3,_xll.TM1RPTELLEV($B$21,$B69),"D"),"N")</f>
        <v>N</v>
      </c>
      <c r="B69" s="17" t="s">
        <v>52</v>
      </c>
      <c r="C69" s="7" t="str">
        <f ca="1">_xll.DBRW($B$9,$B69,C$20)</f>
        <v/>
      </c>
    </row>
    <row r="70" spans="1:3" x14ac:dyDescent="0.25">
      <c r="A70" s="1" t="str">
        <f ca="1">IF(_xll.TM1RPTELISCONSOLIDATED($B$21,$B70),IF(_xll.TM1RPTELLEV($B$21,$B70)&lt;=3,_xll.TM1RPTELLEV($B$21,$B70),"D"),"N")</f>
        <v>N</v>
      </c>
      <c r="B70" s="17" t="s">
        <v>53</v>
      </c>
      <c r="C70" s="7" t="str">
        <f ca="1">_xll.DBRW($B$9,$B70,C$20)</f>
        <v/>
      </c>
    </row>
    <row r="71" spans="1:3" x14ac:dyDescent="0.25">
      <c r="A71" s="1" t="str">
        <f ca="1">IF(_xll.TM1RPTELISCONSOLIDATED($B$21,$B71),IF(_xll.TM1RPTELLEV($B$21,$B71)&lt;=3,_xll.TM1RPTELLEV($B$21,$B71),"D"),"N")</f>
        <v>N</v>
      </c>
      <c r="B71" s="17" t="s">
        <v>54</v>
      </c>
      <c r="C71" s="7" t="str">
        <f ca="1">_xll.DBRW($B$9,$B71,C$20)</f>
        <v/>
      </c>
    </row>
    <row r="72" spans="1:3" x14ac:dyDescent="0.25">
      <c r="A72" s="1">
        <f ca="1">IF(_xll.TM1RPTELISCONSOLIDATED($B$21,$B72),IF(_xll.TM1RPTELLEV($B$21,$B72)&lt;=3,_xll.TM1RPTELLEV($B$21,$B72),"D"),"N")</f>
        <v>2</v>
      </c>
      <c r="B72" s="16" t="s">
        <v>55</v>
      </c>
      <c r="C72" s="6" t="str">
        <f ca="1">_xll.DBRW($B$9,$B72,C$20)</f>
        <v/>
      </c>
    </row>
    <row r="73" spans="1:3" x14ac:dyDescent="0.25">
      <c r="A73" s="1" t="str">
        <f ca="1">IF(_xll.TM1RPTELISCONSOLIDATED($B$21,$B73),IF(_xll.TM1RPTELLEV($B$21,$B73)&lt;=3,_xll.TM1RPTELLEV($B$21,$B73),"D"),"N")</f>
        <v>N</v>
      </c>
      <c r="B73" s="17" t="s">
        <v>56</v>
      </c>
      <c r="C73" s="7" t="str">
        <f ca="1">_xll.DBRW($B$9,$B73,C$20)</f>
        <v/>
      </c>
    </row>
    <row r="74" spans="1:3" x14ac:dyDescent="0.25">
      <c r="A74" s="1" t="str">
        <f ca="1">IF(_xll.TM1RPTELISCONSOLIDATED($B$21,$B74),IF(_xll.TM1RPTELLEV($B$21,$B74)&lt;=3,_xll.TM1RPTELLEV($B$21,$B74),"D"),"N")</f>
        <v>N</v>
      </c>
      <c r="B74" s="17" t="s">
        <v>57</v>
      </c>
      <c r="C74" s="7" t="str">
        <f ca="1">_xll.DBRW($B$9,$B74,C$20)</f>
        <v/>
      </c>
    </row>
    <row r="75" spans="1:3" x14ac:dyDescent="0.25">
      <c r="A75" s="1" t="str">
        <f ca="1">IF(_xll.TM1RPTELISCONSOLIDATED($B$21,$B75),IF(_xll.TM1RPTELLEV($B$21,$B75)&lt;=3,_xll.TM1RPTELLEV($B$21,$B75),"D"),"N")</f>
        <v>N</v>
      </c>
      <c r="B75" s="17" t="s">
        <v>58</v>
      </c>
      <c r="C75" s="7" t="str">
        <f ca="1">_xll.DBRW($B$9,$B75,C$20)</f>
        <v/>
      </c>
    </row>
    <row r="76" spans="1:3" x14ac:dyDescent="0.25">
      <c r="A76" s="1" t="str">
        <f ca="1">IF(_xll.TM1RPTELISCONSOLIDATED($B$21,$B76),IF(_xll.TM1RPTELLEV($B$21,$B76)&lt;=3,_xll.TM1RPTELLEV($B$21,$B76),"D"),"N")</f>
        <v>N</v>
      </c>
      <c r="B76" s="17" t="s">
        <v>59</v>
      </c>
      <c r="C76" s="7" t="str">
        <f ca="1">_xll.DBRW($B$9,$B76,C$20)</f>
        <v/>
      </c>
    </row>
    <row r="77" spans="1:3" x14ac:dyDescent="0.25">
      <c r="A77" s="1">
        <f ca="1">IF(_xll.TM1RPTELISCONSOLIDATED($B$21,$B77),IF(_xll.TM1RPTELLEV($B$21,$B77)&lt;=3,_xll.TM1RPTELLEV($B$21,$B77),"D"),"N")</f>
        <v>2</v>
      </c>
      <c r="B77" s="16" t="s">
        <v>60</v>
      </c>
      <c r="C77" s="6" t="str">
        <f ca="1">_xll.DBRW($B$9,$B77,C$20)</f>
        <v/>
      </c>
    </row>
    <row r="78" spans="1:3" x14ac:dyDescent="0.25">
      <c r="A78" s="1" t="str">
        <f ca="1">IF(_xll.TM1RPTELISCONSOLIDATED($B$21,$B78),IF(_xll.TM1RPTELLEV($B$21,$B78)&lt;=3,_xll.TM1RPTELLEV($B$21,$B78),"D"),"N")</f>
        <v>N</v>
      </c>
      <c r="B78" s="17" t="s">
        <v>61</v>
      </c>
      <c r="C78" s="7" t="str">
        <f ca="1">_xll.DBRW($B$9,$B78,C$20)</f>
        <v/>
      </c>
    </row>
    <row r="79" spans="1:3" x14ac:dyDescent="0.25">
      <c r="A79" s="1" t="str">
        <f ca="1">IF(_xll.TM1RPTELISCONSOLIDATED($B$21,$B79),IF(_xll.TM1RPTELLEV($B$21,$B79)&lt;=3,_xll.TM1RPTELLEV($B$21,$B79),"D"),"N")</f>
        <v>N</v>
      </c>
      <c r="B79" s="17" t="s">
        <v>62</v>
      </c>
      <c r="C79" s="7" t="str">
        <f ca="1">_xll.DBRW($B$9,$B79,C$20)</f>
        <v/>
      </c>
    </row>
    <row r="80" spans="1:3" x14ac:dyDescent="0.25">
      <c r="A80" s="1" t="str">
        <f ca="1">IF(_xll.TM1RPTELISCONSOLIDATED($B$21,$B80),IF(_xll.TM1RPTELLEV($B$21,$B80)&lt;=3,_xll.TM1RPTELLEV($B$21,$B80),"D"),"N")</f>
        <v>N</v>
      </c>
      <c r="B80" s="17" t="s">
        <v>63</v>
      </c>
      <c r="C80" s="7" t="str">
        <f ca="1">_xll.DBRW($B$9,$B80,C$20)</f>
        <v/>
      </c>
    </row>
    <row r="81" spans="1:3" x14ac:dyDescent="0.25">
      <c r="A81" s="1" t="str">
        <f ca="1">IF(_xll.TM1RPTELISCONSOLIDATED($B$21,$B81),IF(_xll.TM1RPTELLEV($B$21,$B81)&lt;=3,_xll.TM1RPTELLEV($B$21,$B81),"D"),"N")</f>
        <v>N</v>
      </c>
      <c r="B81" s="17" t="s">
        <v>64</v>
      </c>
      <c r="C81" s="7" t="str">
        <f ca="1">_xll.DBRW($B$9,$B81,C$20)</f>
        <v/>
      </c>
    </row>
    <row r="82" spans="1:3" x14ac:dyDescent="0.25">
      <c r="A82" s="1">
        <f ca="1">IF(_xll.TM1RPTELISCONSOLIDATED($B$21,$B82),IF(_xll.TM1RPTELLEV($B$21,$B82)&lt;=3,_xll.TM1RPTELLEV($B$21,$B82),"D"),"N")</f>
        <v>1</v>
      </c>
      <c r="B82" s="14" t="s">
        <v>65</v>
      </c>
      <c r="C82" s="6" t="str">
        <f ca="1">_xll.DBRW($B$9,$B82,C$20)</f>
        <v/>
      </c>
    </row>
    <row r="83" spans="1:3" x14ac:dyDescent="0.25">
      <c r="A83" s="1">
        <f ca="1">IF(_xll.TM1RPTELISCONSOLIDATED($B$21,$B83),IF(_xll.TM1RPTELLEV($B$21,$B83)&lt;=3,_xll.TM1RPTELLEV($B$21,$B83),"D"),"N")</f>
        <v>2</v>
      </c>
      <c r="B83" s="16" t="s">
        <v>66</v>
      </c>
      <c r="C83" s="6" t="str">
        <f ca="1">_xll.DBRW($B$9,$B83,C$20)</f>
        <v/>
      </c>
    </row>
    <row r="84" spans="1:3" x14ac:dyDescent="0.25">
      <c r="A84" s="1" t="str">
        <f ca="1">IF(_xll.TM1RPTELISCONSOLIDATED($B$21,$B84),IF(_xll.TM1RPTELLEV($B$21,$B84)&lt;=3,_xll.TM1RPTELLEV($B$21,$B84),"D"),"N")</f>
        <v>N</v>
      </c>
      <c r="B84" s="17" t="s">
        <v>67</v>
      </c>
      <c r="C84" s="7" t="str">
        <f ca="1">_xll.DBRW($B$9,$B84,C$20)</f>
        <v/>
      </c>
    </row>
    <row r="85" spans="1:3" x14ac:dyDescent="0.25">
      <c r="A85" s="1" t="str">
        <f ca="1">IF(_xll.TM1RPTELISCONSOLIDATED($B$21,$B85),IF(_xll.TM1RPTELLEV($B$21,$B85)&lt;=3,_xll.TM1RPTELLEV($B$21,$B85),"D"),"N")</f>
        <v>N</v>
      </c>
      <c r="B85" s="17" t="s">
        <v>68</v>
      </c>
      <c r="C85" s="7" t="str">
        <f ca="1">_xll.DBRW($B$9,$B85,C$20)</f>
        <v/>
      </c>
    </row>
    <row r="86" spans="1:3" x14ac:dyDescent="0.25">
      <c r="A86" s="1" t="str">
        <f ca="1">IF(_xll.TM1RPTELISCONSOLIDATED($B$21,$B86),IF(_xll.TM1RPTELLEV($B$21,$B86)&lt;=3,_xll.TM1RPTELLEV($B$21,$B86),"D"),"N")</f>
        <v>N</v>
      </c>
      <c r="B86" s="17" t="s">
        <v>69</v>
      </c>
      <c r="C86" s="7" t="str">
        <f ca="1">_xll.DBRW($B$9,$B86,C$20)</f>
        <v/>
      </c>
    </row>
    <row r="87" spans="1:3" x14ac:dyDescent="0.25">
      <c r="A87" s="1">
        <f ca="1">IF(_xll.TM1RPTELISCONSOLIDATED($B$21,$B87),IF(_xll.TM1RPTELLEV($B$21,$B87)&lt;=3,_xll.TM1RPTELLEV($B$21,$B87),"D"),"N")</f>
        <v>2</v>
      </c>
      <c r="B87" s="16" t="s">
        <v>70</v>
      </c>
      <c r="C87" s="6" t="str">
        <f ca="1">_xll.DBRW($B$9,$B87,C$20)</f>
        <v/>
      </c>
    </row>
    <row r="88" spans="1:3" x14ac:dyDescent="0.25">
      <c r="A88" s="1" t="str">
        <f ca="1">IF(_xll.TM1RPTELISCONSOLIDATED($B$21,$B88),IF(_xll.TM1RPTELLEV($B$21,$B88)&lt;=3,_xll.TM1RPTELLEV($B$21,$B88),"D"),"N")</f>
        <v>N</v>
      </c>
      <c r="B88" s="17" t="s">
        <v>71</v>
      </c>
      <c r="C88" s="7" t="str">
        <f ca="1">_xll.DBRW($B$9,$B88,C$20)</f>
        <v/>
      </c>
    </row>
    <row r="89" spans="1:3" x14ac:dyDescent="0.25">
      <c r="A89" s="1" t="str">
        <f ca="1">IF(_xll.TM1RPTELISCONSOLIDATED($B$21,$B89),IF(_xll.TM1RPTELLEV($B$21,$B89)&lt;=3,_xll.TM1RPTELLEV($B$21,$B89),"D"),"N")</f>
        <v>N</v>
      </c>
      <c r="B89" s="17" t="s">
        <v>72</v>
      </c>
      <c r="C89" s="7" t="str">
        <f ca="1">_xll.DBRW($B$9,$B89,C$20)</f>
        <v/>
      </c>
    </row>
    <row r="90" spans="1:3" x14ac:dyDescent="0.25">
      <c r="A90" s="1" t="str">
        <f ca="1">IF(_xll.TM1RPTELISCONSOLIDATED($B$21,$B90),IF(_xll.TM1RPTELLEV($B$21,$B90)&lt;=3,_xll.TM1RPTELLEV($B$21,$B90),"D"),"N")</f>
        <v>N</v>
      </c>
      <c r="B90" s="17" t="s">
        <v>73</v>
      </c>
      <c r="C90" s="7" t="str">
        <f ca="1">_xll.DBRW($B$9,$B90,C$20)</f>
        <v/>
      </c>
    </row>
    <row r="91" spans="1:3" x14ac:dyDescent="0.25">
      <c r="A91" s="1">
        <f ca="1">IF(_xll.TM1RPTELISCONSOLIDATED($B$21,$B91),IF(_xll.TM1RPTELLEV($B$21,$B91)&lt;=3,_xll.TM1RPTELLEV($B$21,$B91),"D"),"N")</f>
        <v>2</v>
      </c>
      <c r="B91" s="16" t="s">
        <v>74</v>
      </c>
      <c r="C91" s="6" t="str">
        <f ca="1">_xll.DBRW($B$9,$B91,C$20)</f>
        <v/>
      </c>
    </row>
    <row r="92" spans="1:3" x14ac:dyDescent="0.25">
      <c r="A92" s="1" t="str">
        <f ca="1">IF(_xll.TM1RPTELISCONSOLIDATED($B$21,$B92),IF(_xll.TM1RPTELLEV($B$21,$B92)&lt;=3,_xll.TM1RPTELLEV($B$21,$B92),"D"),"N")</f>
        <v>N</v>
      </c>
      <c r="B92" s="17" t="s">
        <v>75</v>
      </c>
      <c r="C92" s="7" t="str">
        <f ca="1">_xll.DBRW($B$9,$B92,C$20)</f>
        <v/>
      </c>
    </row>
    <row r="93" spans="1:3" x14ac:dyDescent="0.25">
      <c r="A93" s="1" t="str">
        <f ca="1">IF(_xll.TM1RPTELISCONSOLIDATED($B$21,$B93),IF(_xll.TM1RPTELLEV($B$21,$B93)&lt;=3,_xll.TM1RPTELLEV($B$21,$B93),"D"),"N")</f>
        <v>N</v>
      </c>
      <c r="B93" s="17" t="s">
        <v>76</v>
      </c>
      <c r="C93" s="7" t="str">
        <f ca="1">_xll.DBRW($B$9,$B93,C$20)</f>
        <v/>
      </c>
    </row>
    <row r="94" spans="1:3" x14ac:dyDescent="0.25">
      <c r="A94" s="1" t="str">
        <f ca="1">IF(_xll.TM1RPTELISCONSOLIDATED($B$21,$B94),IF(_xll.TM1RPTELLEV($B$21,$B94)&lt;=3,_xll.TM1RPTELLEV($B$21,$B94),"D"),"N")</f>
        <v>N</v>
      </c>
      <c r="B94" s="17" t="s">
        <v>77</v>
      </c>
      <c r="C94" s="7" t="str">
        <f ca="1">_xll.DBRW($B$9,$B94,C$20)</f>
        <v/>
      </c>
    </row>
    <row r="95" spans="1:3" x14ac:dyDescent="0.25">
      <c r="A95" s="1">
        <f ca="1">IF(_xll.TM1RPTELISCONSOLIDATED($B$21,$B95),IF(_xll.TM1RPTELLEV($B$21,$B95)&lt;=3,_xll.TM1RPTELLEV($B$21,$B95),"D"),"N")</f>
        <v>2</v>
      </c>
      <c r="B95" s="16" t="s">
        <v>78</v>
      </c>
      <c r="C95" s="6" t="str">
        <f ca="1">_xll.DBRW($B$9,$B95,C$20)</f>
        <v/>
      </c>
    </row>
    <row r="96" spans="1:3" x14ac:dyDescent="0.25">
      <c r="A96" s="1" t="str">
        <f ca="1">IF(_xll.TM1RPTELISCONSOLIDATED($B$21,$B96),IF(_xll.TM1RPTELLEV($B$21,$B96)&lt;=3,_xll.TM1RPTELLEV($B$21,$B96),"D"),"N")</f>
        <v>N</v>
      </c>
      <c r="B96" s="17" t="s">
        <v>79</v>
      </c>
      <c r="C96" s="7" t="str">
        <f ca="1">_xll.DBRW($B$9,$B96,C$20)</f>
        <v/>
      </c>
    </row>
    <row r="97" spans="1:3" x14ac:dyDescent="0.25">
      <c r="A97" s="1" t="str">
        <f ca="1">IF(_xll.TM1RPTELISCONSOLIDATED($B$21,$B97),IF(_xll.TM1RPTELLEV($B$21,$B97)&lt;=3,_xll.TM1RPTELLEV($B$21,$B97),"D"),"N")</f>
        <v>N</v>
      </c>
      <c r="B97" s="17" t="s">
        <v>80</v>
      </c>
      <c r="C97" s="7" t="str">
        <f ca="1">_xll.DBRW($B$9,$B97,C$20)</f>
        <v/>
      </c>
    </row>
    <row r="98" spans="1:3" x14ac:dyDescent="0.25">
      <c r="A98" s="1" t="str">
        <f ca="1">IF(_xll.TM1RPTELISCONSOLIDATED($B$21,$B98),IF(_xll.TM1RPTELLEV($B$21,$B98)&lt;=3,_xll.TM1RPTELLEV($B$21,$B98),"D"),"N")</f>
        <v>N</v>
      </c>
      <c r="B98" s="17" t="s">
        <v>81</v>
      </c>
      <c r="C98" s="7" t="str">
        <f ca="1">_xll.DBRW($B$9,$B98,C$20)</f>
        <v/>
      </c>
    </row>
    <row r="99" spans="1:3" x14ac:dyDescent="0.25">
      <c r="A99" s="1" t="str">
        <f ca="1">IF(_xll.TM1RPTELISCONSOLIDATED($B$21,$B99),IF(_xll.TM1RPTELLEV($B$21,$B99)&lt;=3,_xll.TM1RPTELLEV($B$21,$B99),"D"),"N")</f>
        <v>N</v>
      </c>
      <c r="B99" s="13" t="s">
        <v>82</v>
      </c>
      <c r="C99" s="7" t="str">
        <f ca="1">_xll.DBRW($B$9,$B99,C$20)</f>
        <v/>
      </c>
    </row>
    <row r="100" spans="1:3" x14ac:dyDescent="0.25">
      <c r="A100" s="1" t="str">
        <f ca="1">IF(_xll.TM1RPTELISCONSOLIDATED($B$21,$B100),IF(_xll.TM1RPTELLEV($B$21,$B100)&lt;=3,_xll.TM1RPTELLEV($B$21,$B100),"D"),"N")</f>
        <v>N</v>
      </c>
      <c r="B100" s="18" t="s">
        <v>83</v>
      </c>
      <c r="C100" s="7" t="str">
        <f ca="1">_xll.DBRW($B$9,$B100,C$20)</f>
        <v/>
      </c>
    </row>
    <row r="101" spans="1:3" x14ac:dyDescent="0.25">
      <c r="A101" s="1">
        <f ca="1">IF(_xll.TM1RPTELISCONSOLIDATED($B$21,$B101),IF(_xll.TM1RPTELLEV($B$21,$B101)&lt;=3,_xll.TM1RPTELLEV($B$21,$B101),"D"),"N")</f>
        <v>0</v>
      </c>
      <c r="B101" s="12" t="s">
        <v>84</v>
      </c>
      <c r="C101" s="4" t="str">
        <f ca="1">_xll.DBRW($B$9,$B101,C$20)</f>
        <v/>
      </c>
    </row>
    <row r="102" spans="1:3" x14ac:dyDescent="0.25">
      <c r="A102" s="1" t="str">
        <f ca="1">IF(_xll.TM1RPTELISCONSOLIDATED($B$21,$B102),IF(_xll.TM1RPTELLEV($B$21,$B102)&lt;=3,_xll.TM1RPTELLEV($B$21,$B102),"D"),"N")</f>
        <v>N</v>
      </c>
      <c r="B102" s="13" t="s">
        <v>124</v>
      </c>
      <c r="C102" s="7" t="str">
        <f ca="1">_xll.DBRW($B$9,$B102,C$20)</f>
        <v/>
      </c>
    </row>
    <row r="103" spans="1:3" x14ac:dyDescent="0.25">
      <c r="A103" s="1" t="str">
        <f ca="1">IF(_xll.TM1RPTELISCONSOLIDATED($B$21,$B103),IF(_xll.TM1RPTELLEV($B$21,$B103)&lt;=3,_xll.TM1RPTELLEV($B$21,$B103),"D"),"N")</f>
        <v>N</v>
      </c>
      <c r="B103" s="13" t="s">
        <v>125</v>
      </c>
      <c r="C103" s="7" t="str">
        <f ca="1">_xll.DBRW($B$9,$B103,C$20)</f>
        <v/>
      </c>
    </row>
    <row r="104" spans="1:3" x14ac:dyDescent="0.25">
      <c r="A104" s="1" t="str">
        <f ca="1">IF(_xll.TM1RPTELISCONSOLIDATED($B$21,$B104),IF(_xll.TM1RPTELLEV($B$21,$B104)&lt;=3,_xll.TM1RPTELLEV($B$21,$B104),"D"),"N")</f>
        <v>N</v>
      </c>
      <c r="B104" s="13" t="s">
        <v>126</v>
      </c>
      <c r="C104" s="7" t="str">
        <f ca="1">_xll.DBRW($B$9,$B104,C$20)</f>
        <v/>
      </c>
    </row>
    <row r="105" spans="1:3" x14ac:dyDescent="0.25">
      <c r="A105" s="1" t="str">
        <f ca="1">IF(_xll.TM1RPTELISCONSOLIDATED($B$21,$B105),IF(_xll.TM1RPTELLEV($B$21,$B105)&lt;=3,_xll.TM1RPTELLEV($B$21,$B105),"D"),"N")</f>
        <v>N</v>
      </c>
      <c r="B105" s="13" t="s">
        <v>127</v>
      </c>
      <c r="C105" s="7" t="str">
        <f ca="1">_xll.DBRW($B$9,$B105,C$20)</f>
        <v/>
      </c>
    </row>
    <row r="106" spans="1:3" x14ac:dyDescent="0.25">
      <c r="A106" s="1" t="str">
        <f ca="1">IF(_xll.TM1RPTELISCONSOLIDATED($B$21,$B106),IF(_xll.TM1RPTELLEV($B$21,$B106)&lt;=3,_xll.TM1RPTELLEV($B$21,$B106),"D"),"N")</f>
        <v>N</v>
      </c>
      <c r="B106" s="13" t="s">
        <v>128</v>
      </c>
      <c r="C106" s="7" t="str">
        <f ca="1">_xll.DBRW($B$9,$B106,C$20)</f>
        <v/>
      </c>
    </row>
    <row r="107" spans="1:3" x14ac:dyDescent="0.25">
      <c r="A107" s="1" t="str">
        <f ca="1">IF(_xll.TM1RPTELISCONSOLIDATED($B$21,$B107),IF(_xll.TM1RPTELLEV($B$21,$B107)&lt;=3,_xll.TM1RPTELLEV($B$21,$B107),"D"),"N")</f>
        <v>N</v>
      </c>
      <c r="B107" s="13" t="s">
        <v>129</v>
      </c>
      <c r="C107" s="7" t="str">
        <f ca="1">_xll.DBRW($B$9,$B107,C$20)</f>
        <v/>
      </c>
    </row>
    <row r="108" spans="1:3" x14ac:dyDescent="0.25">
      <c r="A108" s="1">
        <f ca="1">IF(_xll.TM1RPTELISCONSOLIDATED($B$21,$B108),IF(_xll.TM1RPTELLEV($B$21,$B108)&lt;=3,_xll.TM1RPTELLEV($B$21,$B108),"D"),"N")</f>
        <v>0</v>
      </c>
      <c r="B108" s="12" t="s">
        <v>85</v>
      </c>
      <c r="C108" s="4" t="str">
        <f ca="1">_xll.DBRW($B$9,$B108,C$20)</f>
        <v/>
      </c>
    </row>
    <row r="109" spans="1:3" x14ac:dyDescent="0.25">
      <c r="A109" s="1" t="str">
        <f ca="1">IF(_xll.TM1RPTELISCONSOLIDATED($B$21,$B109),IF(_xll.TM1RPTELLEV($B$21,$B109)&lt;=3,_xll.TM1RPTELLEV($B$21,$B109),"D"),"N")</f>
        <v>N</v>
      </c>
      <c r="B109" s="13" t="s">
        <v>86</v>
      </c>
      <c r="C109" s="7" t="str">
        <f ca="1">_xll.DBRW($B$9,$B109,C$20)</f>
        <v/>
      </c>
    </row>
    <row r="110" spans="1:3" x14ac:dyDescent="0.25">
      <c r="A110" s="1" t="str">
        <f ca="1">IF(_xll.TM1RPTELISCONSOLIDATED($B$21,$B110),IF(_xll.TM1RPTELLEV($B$21,$B110)&lt;=3,_xll.TM1RPTELLEV($B$21,$B110),"D"),"N")</f>
        <v>N</v>
      </c>
      <c r="B110" s="13" t="s">
        <v>87</v>
      </c>
      <c r="C110" s="7" t="str">
        <f ca="1">_xll.DBRW($B$9,$B110,C$20)</f>
        <v/>
      </c>
    </row>
    <row r="111" spans="1:3" x14ac:dyDescent="0.25">
      <c r="A111" s="1" t="str">
        <f ca="1">IF(_xll.TM1RPTELISCONSOLIDATED($B$21,$B111),IF(_xll.TM1RPTELLEV($B$21,$B111)&lt;=3,_xll.TM1RPTELLEV($B$21,$B111),"D"),"N")</f>
        <v>N</v>
      </c>
      <c r="B111" s="13" t="s">
        <v>88</v>
      </c>
      <c r="C111" s="7" t="str">
        <f ca="1">_xll.DBRW($B$9,$B111,C$20)</f>
        <v/>
      </c>
    </row>
    <row r="112" spans="1:3" x14ac:dyDescent="0.25">
      <c r="A112" s="1" t="str">
        <f ca="1">IF(_xll.TM1RPTELISCONSOLIDATED($B$21,$B112),IF(_xll.TM1RPTELLEV($B$21,$B112)&lt;=3,_xll.TM1RPTELLEV($B$21,$B112),"D"),"N")</f>
        <v>N</v>
      </c>
      <c r="B112" s="13" t="s">
        <v>89</v>
      </c>
      <c r="C112" s="7" t="str">
        <f ca="1">_xll.DBRW($B$9,$B112,C$20)</f>
        <v/>
      </c>
    </row>
    <row r="113" spans="1:3" x14ac:dyDescent="0.25">
      <c r="A113" s="1" t="str">
        <f ca="1">IF(_xll.TM1RPTELISCONSOLIDATED($B$21,$B113),IF(_xll.TM1RPTELLEV($B$21,$B113)&lt;=3,_xll.TM1RPTELLEV($B$21,$B113),"D"),"N")</f>
        <v>N</v>
      </c>
      <c r="B113" s="13" t="s">
        <v>90</v>
      </c>
      <c r="C113" s="7" t="str">
        <f ca="1">_xll.DBRW($B$9,$B113,C$20)</f>
        <v/>
      </c>
    </row>
    <row r="114" spans="1:3" x14ac:dyDescent="0.25">
      <c r="A114" s="1" t="str">
        <f ca="1">IF(_xll.TM1RPTELISCONSOLIDATED($B$21,$B114),IF(_xll.TM1RPTELLEV($B$21,$B114)&lt;=3,_xll.TM1RPTELLEV($B$21,$B114),"D"),"N")</f>
        <v>N</v>
      </c>
      <c r="B114" s="13" t="s">
        <v>91</v>
      </c>
      <c r="C114" s="7" t="str">
        <f ca="1">_xll.DBRW($B$9,$B114,C$20)</f>
        <v/>
      </c>
    </row>
    <row r="115" spans="1:3" x14ac:dyDescent="0.25">
      <c r="A115" s="1" t="str">
        <f ca="1">IF(_xll.TM1RPTELISCONSOLIDATED($B$21,$B115),IF(_xll.TM1RPTELLEV($B$21,$B115)&lt;=3,_xll.TM1RPTELLEV($B$21,$B115),"D"),"N")</f>
        <v>N</v>
      </c>
      <c r="B115" s="13" t="s">
        <v>92</v>
      </c>
      <c r="C115" s="7" t="str">
        <f ca="1">_xll.DBRW($B$9,$B115,C$20)</f>
        <v/>
      </c>
    </row>
    <row r="116" spans="1:3" x14ac:dyDescent="0.25">
      <c r="A116" s="1" t="str">
        <f ca="1">IF(_xll.TM1RPTELISCONSOLIDATED($B$21,$B116),IF(_xll.TM1RPTELLEV($B$21,$B116)&lt;=3,_xll.TM1RPTELLEV($B$21,$B116),"D"),"N")</f>
        <v>N</v>
      </c>
      <c r="B116" s="13" t="s">
        <v>93</v>
      </c>
      <c r="C116" s="7" t="str">
        <f ca="1">_xll.DBRW($B$9,$B116,C$20)</f>
        <v/>
      </c>
    </row>
    <row r="117" spans="1:3" x14ac:dyDescent="0.25">
      <c r="A117" s="1" t="str">
        <f ca="1">IF(_xll.TM1RPTELISCONSOLIDATED($B$21,$B117),IF(_xll.TM1RPTELLEV($B$21,$B117)&lt;=3,_xll.TM1RPTELLEV($B$21,$B117),"D"),"N")</f>
        <v>N</v>
      </c>
      <c r="B117" s="13" t="s">
        <v>94</v>
      </c>
      <c r="C117" s="7" t="str">
        <f ca="1">_xll.DBRW($B$9,$B117,C$20)</f>
        <v/>
      </c>
    </row>
    <row r="118" spans="1:3" x14ac:dyDescent="0.25">
      <c r="A118" s="1">
        <f ca="1">IF(_xll.TM1RPTELISCONSOLIDATED($B$21,$B118),IF(_xll.TM1RPTELLEV($B$21,$B118)&lt;=3,_xll.TM1RPTELLEV($B$21,$B118),"D"),"N")</f>
        <v>0</v>
      </c>
      <c r="B118" s="12" t="s">
        <v>95</v>
      </c>
      <c r="C118" s="4" t="str">
        <f ca="1">_xll.DBRW($B$9,$B118,C$20)</f>
        <v/>
      </c>
    </row>
    <row r="119" spans="1:3" x14ac:dyDescent="0.25">
      <c r="A119" s="1" t="str">
        <f ca="1">IF(_xll.TM1RPTELISCONSOLIDATED($B$21,$B119),IF(_xll.TM1RPTELLEV($B$21,$B119)&lt;=3,_xll.TM1RPTELLEV($B$21,$B119),"D"),"N")</f>
        <v>N</v>
      </c>
      <c r="B119" s="13" t="s">
        <v>96</v>
      </c>
      <c r="C119" s="7" t="str">
        <f ca="1">_xll.DBRW($B$9,$B119,C$20)</f>
        <v/>
      </c>
    </row>
    <row r="120" spans="1:3" x14ac:dyDescent="0.25">
      <c r="A120" s="1" t="str">
        <f ca="1">IF(_xll.TM1RPTELISCONSOLIDATED($B$21,$B120),IF(_xll.TM1RPTELLEV($B$21,$B120)&lt;=3,_xll.TM1RPTELLEV($B$21,$B120),"D"),"N")</f>
        <v>N</v>
      </c>
      <c r="B120" s="13" t="s">
        <v>97</v>
      </c>
      <c r="C120" s="7" t="str">
        <f ca="1">_xll.DBRW($B$9,$B120,C$20)</f>
        <v/>
      </c>
    </row>
    <row r="121" spans="1:3" x14ac:dyDescent="0.25">
      <c r="A121" s="1" t="str">
        <f ca="1">IF(_xll.TM1RPTELISCONSOLIDATED($B$21,$B121),IF(_xll.TM1RPTELLEV($B$21,$B121)&lt;=3,_xll.TM1RPTELLEV($B$21,$B121),"D"),"N")</f>
        <v>N</v>
      </c>
      <c r="B121" s="13" t="s">
        <v>98</v>
      </c>
      <c r="C121" s="7" t="str">
        <f ca="1">_xll.DBRW($B$9,$B121,C$20)</f>
        <v/>
      </c>
    </row>
    <row r="122" spans="1:3" x14ac:dyDescent="0.25">
      <c r="A122" s="1" t="str">
        <f ca="1">IF(_xll.TM1RPTELISCONSOLIDATED($B$21,$B122),IF(_xll.TM1RPTELLEV($B$21,$B122)&lt;=3,_xll.TM1RPTELLEV($B$21,$B122),"D"),"N")</f>
        <v>N</v>
      </c>
      <c r="B122" s="13" t="s">
        <v>99</v>
      </c>
      <c r="C122" s="7" t="str">
        <f ca="1">_xll.DBRW($B$9,$B122,C$20)</f>
        <v/>
      </c>
    </row>
    <row r="123" spans="1:3" x14ac:dyDescent="0.25">
      <c r="A123" s="1" t="str">
        <f ca="1">IF(_xll.TM1RPTELISCONSOLIDATED($B$21,$B123),IF(_xll.TM1RPTELLEV($B$21,$B123)&lt;=3,_xll.TM1RPTELLEV($B$21,$B123),"D"),"N")</f>
        <v>N</v>
      </c>
      <c r="B123" s="13" t="s">
        <v>100</v>
      </c>
      <c r="C123" s="7" t="str">
        <f ca="1">_xll.DBRW($B$9,$B123,C$20)</f>
        <v/>
      </c>
    </row>
    <row r="124" spans="1:3" x14ac:dyDescent="0.25">
      <c r="A124" s="1" t="str">
        <f ca="1">IF(_xll.TM1RPTELISCONSOLIDATED($B$21,$B124),IF(_xll.TM1RPTELLEV($B$21,$B124)&lt;=3,_xll.TM1RPTELLEV($B$21,$B124),"D"),"N")</f>
        <v>N</v>
      </c>
      <c r="B124" s="13" t="s">
        <v>101</v>
      </c>
      <c r="C124" s="7" t="str">
        <f ca="1">_xll.DBRW($B$9,$B124,C$20)</f>
        <v/>
      </c>
    </row>
    <row r="125" spans="1:3" x14ac:dyDescent="0.25">
      <c r="A125" s="1" t="str">
        <f ca="1">IF(_xll.TM1RPTELISCONSOLIDATED($B$21,$B125),IF(_xll.TM1RPTELLEV($B$21,$B125)&lt;=3,_xll.TM1RPTELLEV($B$21,$B125),"D"),"N")</f>
        <v>N</v>
      </c>
      <c r="B125" s="13" t="s">
        <v>102</v>
      </c>
      <c r="C125" s="7" t="str">
        <f ca="1">_xll.DBRW($B$9,$B125,C$20)</f>
        <v/>
      </c>
    </row>
    <row r="126" spans="1:3" x14ac:dyDescent="0.25">
      <c r="A126" s="1" t="str">
        <f ca="1">IF(_xll.TM1RPTELISCONSOLIDATED($B$21,$B126),IF(_xll.TM1RPTELLEV($B$21,$B126)&lt;=3,_xll.TM1RPTELLEV($B$21,$B126),"D"),"N")</f>
        <v>N</v>
      </c>
      <c r="B126" s="13" t="s">
        <v>103</v>
      </c>
      <c r="C126" s="7" t="str">
        <f ca="1">_xll.DBRW($B$9,$B126,C$20)</f>
        <v/>
      </c>
    </row>
    <row r="127" spans="1:3" x14ac:dyDescent="0.25">
      <c r="A127" s="1">
        <f ca="1">IF(_xll.TM1RPTELISCONSOLIDATED($B$21,$B127),IF(_xll.TM1RPTELLEV($B$21,$B127)&lt;=3,_xll.TM1RPTELLEV($B$21,$B127),"D"),"N")</f>
        <v>0</v>
      </c>
      <c r="B127" s="12" t="s">
        <v>104</v>
      </c>
      <c r="C127" s="4" t="str">
        <f ca="1">_xll.DBRW($B$9,$B127,C$20)</f>
        <v/>
      </c>
    </row>
    <row r="128" spans="1:3" x14ac:dyDescent="0.25">
      <c r="A128" s="1" t="str">
        <f ca="1">IF(_xll.TM1RPTELISCONSOLIDATED($B$21,$B128),IF(_xll.TM1RPTELLEV($B$21,$B128)&lt;=3,_xll.TM1RPTELLEV($B$21,$B128),"D"),"N")</f>
        <v>N</v>
      </c>
      <c r="B128" s="13" t="s">
        <v>105</v>
      </c>
      <c r="C128" s="7" t="str">
        <f ca="1">_xll.DBRW($B$9,$B128,C$20)</f>
        <v/>
      </c>
    </row>
    <row r="129" spans="1:3" x14ac:dyDescent="0.25">
      <c r="A129" s="1" t="str">
        <f ca="1">IF(_xll.TM1RPTELISCONSOLIDATED($B$21,$B129),IF(_xll.TM1RPTELLEV($B$21,$B129)&lt;=3,_xll.TM1RPTELLEV($B$21,$B129),"D"),"N")</f>
        <v>N</v>
      </c>
      <c r="B129" s="13" t="s">
        <v>106</v>
      </c>
      <c r="C129" s="7" t="str">
        <f ca="1">_xll.DBRW($B$9,$B129,C$20)</f>
        <v/>
      </c>
    </row>
    <row r="130" spans="1:3" x14ac:dyDescent="0.25">
      <c r="A130" s="1" t="str">
        <f ca="1">IF(_xll.TM1RPTELISCONSOLIDATED($B$21,$B130),IF(_xll.TM1RPTELLEV($B$21,$B130)&lt;=3,_xll.TM1RPTELLEV($B$21,$B130),"D"),"N")</f>
        <v>N</v>
      </c>
      <c r="B130" s="13" t="s">
        <v>107</v>
      </c>
      <c r="C130" s="7" t="str">
        <f ca="1">_xll.DBRW($B$9,$B130,C$20)</f>
        <v/>
      </c>
    </row>
    <row r="131" spans="1:3" x14ac:dyDescent="0.25">
      <c r="A131" s="1" t="str">
        <f ca="1">IF(_xll.TM1RPTELISCONSOLIDATED($B$21,$B131),IF(_xll.TM1RPTELLEV($B$21,$B131)&lt;=3,_xll.TM1RPTELLEV($B$21,$B131),"D"),"N")</f>
        <v>N</v>
      </c>
      <c r="B131" s="13" t="s">
        <v>108</v>
      </c>
      <c r="C131" s="7" t="str">
        <f ca="1">_xll.DBRW($B$9,$B131,C$20)</f>
        <v/>
      </c>
    </row>
    <row r="132" spans="1:3" x14ac:dyDescent="0.25">
      <c r="A132" s="1" t="str">
        <f ca="1">IF(_xll.TM1RPTELISCONSOLIDATED($B$21,$B132),IF(_xll.TM1RPTELLEV($B$21,$B132)&lt;=3,_xll.TM1RPTELLEV($B$21,$B132),"D"),"N")</f>
        <v>N</v>
      </c>
      <c r="B132" s="13" t="s">
        <v>109</v>
      </c>
      <c r="C132" s="7" t="str">
        <f ca="1">_xll.DBRW($B$9,$B132,C$20)</f>
        <v/>
      </c>
    </row>
    <row r="133" spans="1:3" x14ac:dyDescent="0.25">
      <c r="A133" s="1" t="str">
        <f ca="1">IF(_xll.TM1RPTELISCONSOLIDATED($B$21,$B133),IF(_xll.TM1RPTELLEV($B$21,$B133)&lt;=3,_xll.TM1RPTELLEV($B$21,$B133),"D"),"N")</f>
        <v>N</v>
      </c>
      <c r="B133" s="13" t="s">
        <v>110</v>
      </c>
      <c r="C133" s="7" t="str">
        <f ca="1">_xll.DBRW($B$9,$B133,C$20)</f>
        <v/>
      </c>
    </row>
    <row r="134" spans="1:3" x14ac:dyDescent="0.25">
      <c r="A134" s="1" t="str">
        <f ca="1">IF(_xll.TM1RPTELISCONSOLIDATED($B$21,$B134),IF(_xll.TM1RPTELLEV($B$21,$B134)&lt;=3,_xll.TM1RPTELLEV($B$21,$B134),"D"),"N")</f>
        <v>N</v>
      </c>
      <c r="B134" s="13" t="s">
        <v>111</v>
      </c>
      <c r="C134" s="7" t="str">
        <f ca="1">_xll.DBRW($B$9,$B134,C$20)</f>
        <v/>
      </c>
    </row>
    <row r="135" spans="1:3" x14ac:dyDescent="0.25">
      <c r="A135" s="1" t="str">
        <f ca="1">IF(_xll.TM1RPTELISCONSOLIDATED($B$21,$B135),IF(_xll.TM1RPTELLEV($B$21,$B135)&lt;=3,_xll.TM1RPTELLEV($B$21,$B135),"D"),"N")</f>
        <v>N</v>
      </c>
      <c r="B135" s="13" t="s">
        <v>112</v>
      </c>
      <c r="C135" s="7" t="str">
        <f ca="1">_xll.DBRW($B$9,$B135,C$20)</f>
        <v/>
      </c>
    </row>
    <row r="136" spans="1:3" x14ac:dyDescent="0.25">
      <c r="A136" s="1" t="str">
        <f ca="1">IF(_xll.TM1RPTELISCONSOLIDATED($B$21,$B136),IF(_xll.TM1RPTELLEV($B$21,$B136)&lt;=3,_xll.TM1RPTELLEV($B$21,$B136),"D"),"N")</f>
        <v>N</v>
      </c>
      <c r="B136" s="13" t="s">
        <v>113</v>
      </c>
      <c r="C136" s="7" t="str">
        <f ca="1">_xll.DBRW($B$9,$B136,C$20)</f>
        <v/>
      </c>
    </row>
    <row r="137" spans="1:3" x14ac:dyDescent="0.25">
      <c r="A137" s="1" t="str">
        <f ca="1">IF(_xll.TM1RPTELISCONSOLIDATED($B$21,$B137),IF(_xll.TM1RPTELLEV($B$21,$B137)&lt;=3,_xll.TM1RPTELLEV($B$21,$B137),"D"),"N")</f>
        <v>N</v>
      </c>
      <c r="B137" s="13" t="s">
        <v>114</v>
      </c>
      <c r="C137" s="7" t="str">
        <f ca="1">_xll.DBRW($B$9,$B137,C$20)</f>
        <v/>
      </c>
    </row>
    <row r="138" spans="1:3" x14ac:dyDescent="0.25">
      <c r="A138" s="1">
        <f ca="1">IF(_xll.TM1RPTELISCONSOLIDATED($B$21,$B138),IF(_xll.TM1RPTELLEV($B$21,$B138)&lt;=3,_xll.TM1RPTELLEV($B$21,$B138),"D"),"N")</f>
        <v>0</v>
      </c>
      <c r="B138" s="12" t="s">
        <v>115</v>
      </c>
      <c r="C138" s="4" t="str">
        <f ca="1">_xll.DBRW($B$9,$B138,C$20)</f>
        <v/>
      </c>
    </row>
    <row r="139" spans="1:3" x14ac:dyDescent="0.25">
      <c r="A139" s="1" t="str">
        <f ca="1">IF(_xll.TM1RPTELISCONSOLIDATED($B$21,$B139),IF(_xll.TM1RPTELLEV($B$21,$B139)&lt;=3,_xll.TM1RPTELLEV($B$21,$B139),"D"),"N")</f>
        <v>N</v>
      </c>
      <c r="B139" s="13" t="s">
        <v>116</v>
      </c>
      <c r="C139" s="7" t="str">
        <f ca="1">_xll.DBRW($B$9,$B139,C$20)</f>
        <v/>
      </c>
    </row>
    <row r="140" spans="1:3" x14ac:dyDescent="0.25">
      <c r="A140" s="1" t="str">
        <f ca="1">IF(_xll.TM1RPTELISCONSOLIDATED($B$21,$B140),IF(_xll.TM1RPTELLEV($B$21,$B140)&lt;=3,_xll.TM1RPTELLEV($B$21,$B140),"D"),"N")</f>
        <v>N</v>
      </c>
      <c r="B140" s="13" t="s">
        <v>117</v>
      </c>
      <c r="C140" s="7" t="str">
        <f ca="1">_xll.DBRW($B$9,$B140,C$20)</f>
        <v/>
      </c>
    </row>
    <row r="141" spans="1:3" x14ac:dyDescent="0.25">
      <c r="A141" s="1" t="str">
        <f ca="1">IF(_xll.TM1RPTELISCONSOLIDATED($B$21,$B141),IF(_xll.TM1RPTELLEV($B$21,$B141)&lt;=3,_xll.TM1RPTELLEV($B$21,$B141),"D"),"N")</f>
        <v>N</v>
      </c>
      <c r="B141" s="13" t="s">
        <v>118</v>
      </c>
      <c r="C141" s="7" t="str">
        <f ca="1">_xll.DBRW($B$9,$B141,C$20)</f>
        <v/>
      </c>
    </row>
    <row r="142" spans="1:3" x14ac:dyDescent="0.25">
      <c r="A142" s="1" t="str">
        <f ca="1">IF(_xll.TM1RPTELISCONSOLIDATED($B$21,$B142),IF(_xll.TM1RPTELLEV($B$21,$B142)&lt;=3,_xll.TM1RPTELLEV($B$21,$B142),"D"),"N")</f>
        <v>N</v>
      </c>
      <c r="B142" s="13" t="s">
        <v>119</v>
      </c>
      <c r="C142" s="7" t="str">
        <f ca="1">_xll.DBRW($B$9,$B142,C$20)</f>
        <v/>
      </c>
    </row>
    <row r="143" spans="1:3" x14ac:dyDescent="0.25">
      <c r="A143" s="1" t="str">
        <f ca="1">IF(_xll.TM1RPTELISCONSOLIDATED($B$21,$B143),IF(_xll.TM1RPTELLEV($B$21,$B143)&lt;=3,_xll.TM1RPTELLEV($B$21,$B143),"D"),"N")</f>
        <v>N</v>
      </c>
      <c r="B143" s="13" t="s">
        <v>120</v>
      </c>
      <c r="C143" s="7" t="str">
        <f ca="1">_xll.DBRW($B$9,$B143,C$20)</f>
        <v/>
      </c>
    </row>
    <row r="144" spans="1:3" x14ac:dyDescent="0.25">
      <c r="A144" s="1" t="str">
        <f ca="1">IF(_xll.TM1RPTELISCONSOLIDATED($B$21,$B144),IF(_xll.TM1RPTELLEV($B$21,$B144)&lt;=3,_xll.TM1RPTELLEV($B$21,$B144),"D"),"N")</f>
        <v>N</v>
      </c>
      <c r="B144" s="13" t="s">
        <v>121</v>
      </c>
      <c r="C144" s="7" t="str">
        <f ca="1">_xll.DBRW($B$9,$B144,C$20)</f>
        <v/>
      </c>
    </row>
  </sheetData>
  <mergeCells count="3">
    <mergeCell ref="B17:K19"/>
    <mergeCell ref="D20:K20"/>
    <mergeCell ref="B15:K15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8</xdr:col>
                <xdr:colOff>0</xdr:colOff>
                <xdr:row>17</xdr:row>
                <xdr:rowOff>0</xdr:rowOff>
              </from>
              <to>
                <xdr:col>10</xdr:col>
                <xdr:colOff>0</xdr:colOff>
                <xdr:row>19</xdr:row>
                <xdr:rowOff>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Feuil1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KUMMER</dc:creator>
  <cp:lastModifiedBy>Serveurs COGNOS</cp:lastModifiedBy>
  <dcterms:created xsi:type="dcterms:W3CDTF">2018-02-15T12:44:10Z</dcterms:created>
  <dcterms:modified xsi:type="dcterms:W3CDTF">2023-09-27T07:42:06Z</dcterms:modified>
</cp:coreProperties>
</file>