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rv191\AppData\Local\Temp\2031\"/>
    </mc:Choice>
  </mc:AlternateContent>
  <bookViews>
    <workbookView xWindow="0" yWindow="0" windowWidth="28800" windowHeight="11400"/>
  </bookViews>
  <sheets>
    <sheet name="Sheet1" sheetId="1" r:id="rId1"/>
  </sheets>
  <definedNames>
    <definedName name="TM1REBUILDOPTION">1</definedName>
    <definedName name="TM1RPTDATARNGARPT1" localSheetId="0">Sheet1!$19:$43</definedName>
    <definedName name="TM1RPTFMTIDCOL" localSheetId="0">Sheet1!$A$1:$A$8</definedName>
    <definedName name="TM1RPTFMTRNG" localSheetId="0">Sheet1!$B$1:$W$8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" l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B9" i="1"/>
  <c r="C11" i="1"/>
  <c r="C12" i="1"/>
  <c r="C1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19" i="1"/>
  <c r="N19" i="1"/>
  <c r="M19" i="1"/>
  <c r="L19" i="1"/>
  <c r="G13" i="1"/>
  <c r="W19" i="1"/>
  <c r="V19" i="1"/>
  <c r="U19" i="1"/>
  <c r="T19" i="1"/>
  <c r="S19" i="1"/>
  <c r="R19" i="1"/>
  <c r="Q19" i="1"/>
  <c r="P19" i="1"/>
  <c r="O19" i="1"/>
  <c r="K19" i="1"/>
  <c r="J19" i="1"/>
  <c r="I19" i="1"/>
  <c r="H19" i="1"/>
  <c r="G19" i="1"/>
  <c r="F19" i="1"/>
  <c r="E19" i="1"/>
  <c r="D19" i="1"/>
  <c r="C19" i="1"/>
  <c r="A19" i="1"/>
  <c r="A5" i="1"/>
  <c r="A4" i="1"/>
  <c r="A3" i="1"/>
  <c r="A2" i="1"/>
</calcChain>
</file>

<file path=xl/sharedStrings.xml><?xml version="1.0" encoding="utf-8"?>
<sst xmlns="http://schemas.openxmlformats.org/spreadsheetml/2006/main" count="80" uniqueCount="41">
  <si>
    <t>Market_Actor</t>
  </si>
  <si>
    <t>DIM_Origin_Company</t>
  </si>
  <si>
    <t>DIM_Country</t>
  </si>
  <si>
    <t>AC2022</t>
  </si>
  <si>
    <t>AC2023</t>
  </si>
  <si>
    <t>AC2024</t>
  </si>
  <si>
    <t>Vision200(2028)</t>
  </si>
  <si>
    <t>Vision200(2032)</t>
  </si>
  <si>
    <t>Vision200(2035)</t>
  </si>
  <si>
    <t>QTY</t>
  </si>
  <si>
    <t>Unit.Price</t>
  </si>
  <si>
    <t>SALES</t>
  </si>
  <si>
    <t>D</t>
  </si>
  <si>
    <t>N</t>
  </si>
  <si>
    <t>[Begin Format Range]</t>
  </si>
  <si>
    <t>[End Format Range]</t>
  </si>
  <si>
    <t>BU2025</t>
  </si>
  <si>
    <t>L - LAB - Ploughing</t>
  </si>
  <si>
    <t>L - SOL - Tillage</t>
  </si>
  <si>
    <t>F - F-DESMECA - Mechanical Weeding</t>
  </si>
  <si>
    <t>L - RFO - Hay / Silage Making</t>
  </si>
  <si>
    <t>F - GMD - Mowers</t>
  </si>
  <si>
    <t>F - FC - Mower Conditioners</t>
  </si>
  <si>
    <t>F - GF - Gyrotedders</t>
  </si>
  <si>
    <t>F - CRP - Mounted reversible ploughs</t>
  </si>
  <si>
    <t>F - RSP - Semi-mounted reversible ploughs</t>
  </si>
  <si>
    <t>F - F-CPR - Deep working cultivators</t>
  </si>
  <si>
    <t>SF - SF-CPR_A -Sub soilers</t>
  </si>
  <si>
    <t>SF - SF-CPR_C -Discs / tines cultivators</t>
  </si>
  <si>
    <t>SF - SF-CPR_D -Tines cultivators</t>
  </si>
  <si>
    <t>F - F-DCH - Stubble cultivators</t>
  </si>
  <si>
    <t>SF - SF-DCH_A -Stubble cultivators with discs</t>
  </si>
  <si>
    <t>SF - SF-DCH_B -Stubble cultivators with tines</t>
  </si>
  <si>
    <t>F - F-PLS - Seedbed preparation tools</t>
  </si>
  <si>
    <t>SF - SF-PLS_D -Power harrows</t>
  </si>
  <si>
    <t>SF - SF-PLS_C -Power tillers</t>
  </si>
  <si>
    <t>L - SEM - Seeding</t>
  </si>
  <si>
    <t>F - TF - Front Hoppers / Seed Carts</t>
  </si>
  <si>
    <t>F - GA - Rakes</t>
  </si>
  <si>
    <t>L - LP_GRAIN_CARTS - GRAIN CARTS</t>
  </si>
  <si>
    <t>F - F-CARTS GRAIN - Grain carts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</si>
</sst>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- &quot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4" fontId="3" fillId="3" borderId="0" xfId="0" applyNumberFormat="1" applyFont="1" applyFill="1"/>
    <xf numFmtId="0" fontId="0" fillId="4" borderId="0" xfId="0" applyFill="1"/>
    <xf numFmtId="4" fontId="3" fillId="4" borderId="0" xfId="0" applyNumberFormat="1" applyFont="1" applyFill="1"/>
    <xf numFmtId="0" fontId="2" fillId="5" borderId="0" xfId="0" applyFont="1" applyFill="1" applyAlignment="1">
      <alignment horizontal="center"/>
    </xf>
    <xf numFmtId="0" fontId="1" fillId="2" borderId="0" xfId="0" applyFont="1" applyFill="1"/>
    <xf numFmtId="4" fontId="3" fillId="0" borderId="0" xfId="0" applyNumberFormat="1" applyFont="1" applyFill="1"/>
    <xf numFmtId="0" fontId="2" fillId="5" borderId="0" xfId="0" applyFont="1" applyFill="1" applyAlignment="1">
      <alignment horizontal="center"/>
    </xf>
    <xf numFmtId="4" fontId="3" fillId="4" borderId="0" xfId="0" applyNumberFormat="1" applyFont="1" applyFill="1" applyBorder="1"/>
    <xf numFmtId="4" fontId="3" fillId="3" borderId="0" xfId="0" applyNumberFormat="1" applyFont="1" applyFill="1" applyBorder="1"/>
    <xf numFmtId="4" fontId="3" fillId="4" borderId="1" xfId="0" applyNumberFormat="1" applyFont="1" applyFill="1" applyBorder="1"/>
    <xf numFmtId="4" fontId="3" fillId="4" borderId="2" xfId="0" applyNumberFormat="1" applyFont="1" applyFill="1" applyBorder="1"/>
    <xf numFmtId="4" fontId="3" fillId="3" borderId="1" xfId="0" applyNumberFormat="1" applyFont="1" applyFill="1" applyBorder="1"/>
    <xf numFmtId="4" fontId="3" fillId="3" borderId="2" xfId="0" applyNumberFormat="1" applyFont="1" applyFill="1" applyBorder="1"/>
    <xf numFmtId="4" fontId="3" fillId="0" borderId="2" xfId="0" applyNumberFormat="1" applyFont="1" applyFill="1" applyBorder="1"/>
    <xf numFmtId="0" fontId="3" fillId="0" borderId="0" xfId="0" applyFont="1"/>
    <xf numFmtId="0" fontId="3" fillId="0" borderId="2" xfId="0" applyFont="1" applyBorder="1"/>
    <xf numFmtId="0" fontId="2" fillId="5" borderId="0" xfId="0" applyFont="1" applyFill="1" applyAlignment="1">
      <alignment horizontal="center"/>
    </xf>
    <xf numFmtId="165" fontId="0" fillId="4" borderId="0" xfId="0" applyNumberFormat="1" applyFill="1" applyAlignment="1"/>
    <xf numFmtId="165" fontId="0" fillId="3" borderId="0" xfId="0" applyNumberFormat="1" applyFill="1" applyAlignment="1">
      <alignment horizontal="left" indent="1"/>
    </xf>
    <xf numFmtId="49" fontId="0" fillId="0" borderId="0" xfId="0" applyNumberFormat="1" applyAlignment="1">
      <alignment horizontal="left" indent="2"/>
    </xf>
    <xf numFmtId="165" fontId="0" fillId="3" borderId="0" xfId="0" applyNumberFormat="1" applyFill="1" applyAlignment="1">
      <alignment horizontal="left" indent="2"/>
    </xf>
    <xf numFmtId="49" fontId="0" fillId="0" borderId="0" xfId="0" applyNumberFormat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0</xdr:rowOff>
    </xdr:from>
    <xdr:to>
      <xdr:col>14</xdr:col>
      <xdr:colOff>685800</xdr:colOff>
      <xdr:row>14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0" y="0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4</xdr:col>
      <xdr:colOff>343871</xdr:colOff>
      <xdr:row>13</xdr:row>
      <xdr:rowOff>152401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8625" y="190500"/>
          <a:ext cx="1010621" cy="723901"/>
        </a:xfrm>
        <a:prstGeom prst="rect">
          <a:avLst/>
        </a:prstGeom>
      </xdr:spPr>
    </xdr:pic>
    <xdr:clientData/>
  </xdr:twoCellAnchor>
  <xdr:twoCellAnchor editAs="oneCell">
    <xdr:from>
      <xdr:col>17</xdr:col>
      <xdr:colOff>224456</xdr:colOff>
      <xdr:row>9</xdr:row>
      <xdr:rowOff>13199</xdr:rowOff>
    </xdr:from>
    <xdr:to>
      <xdr:col>19</xdr:col>
      <xdr:colOff>0</xdr:colOff>
      <xdr:row>14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3181" y="13199"/>
          <a:ext cx="1794844" cy="939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O1026"/>
  <sheetViews>
    <sheetView tabSelected="1" topLeftCell="B10" workbookViewId="0">
      <selection activeCell="B19" sqref="B19"/>
    </sheetView>
  </sheetViews>
  <sheetFormatPr defaultColWidth="0" defaultRowHeight="15" zeroHeight="1" x14ac:dyDescent="0.25"/>
  <cols>
    <col min="1" max="1" width="2.7109375" hidden="1" customWidth="1"/>
    <col min="2" max="2" width="43.28515625" bestFit="1" customWidth="1"/>
    <col min="3" max="3" width="20.28515625" bestFit="1" customWidth="1"/>
    <col min="4" max="4" width="10" bestFit="1" customWidth="1"/>
    <col min="5" max="5" width="11.7109375" bestFit="1" customWidth="1"/>
    <col min="6" max="6" width="7.85546875" bestFit="1" customWidth="1"/>
    <col min="7" max="7" width="10" bestFit="1" customWidth="1"/>
    <col min="8" max="8" width="11.7109375" bestFit="1" customWidth="1"/>
    <col min="9" max="9" width="7.85546875" bestFit="1" customWidth="1"/>
    <col min="10" max="10" width="10" bestFit="1" customWidth="1"/>
    <col min="11" max="11" width="11.7109375" bestFit="1" customWidth="1"/>
    <col min="12" max="14" width="11.7109375" customWidth="1"/>
    <col min="15" max="23" width="15.140625" bestFit="1" customWidth="1"/>
    <col min="24" max="1003" width="0" hidden="1" customWidth="1"/>
    <col min="1004" max="16384" width="9.140625" hidden="1"/>
  </cols>
  <sheetData>
    <row r="1" spans="1:23" hidden="1" x14ac:dyDescent="0.25">
      <c r="A1" t="s">
        <v>14</v>
      </c>
    </row>
    <row r="2" spans="1:23" hidden="1" x14ac:dyDescent="0.25">
      <c r="A2">
        <f>0</f>
        <v>0</v>
      </c>
      <c r="B2" s="4"/>
      <c r="C2" s="12"/>
      <c r="D2" s="10"/>
      <c r="E2" s="13"/>
      <c r="F2" s="12"/>
      <c r="G2" s="10"/>
      <c r="H2" s="13"/>
      <c r="I2" s="5"/>
      <c r="J2" s="5"/>
      <c r="K2" s="13"/>
      <c r="L2" s="10"/>
      <c r="M2" s="10"/>
      <c r="N2" s="13"/>
      <c r="O2" s="5"/>
      <c r="P2" s="5"/>
      <c r="Q2" s="13"/>
      <c r="R2" s="5"/>
      <c r="S2" s="5"/>
      <c r="T2" s="13"/>
      <c r="U2" s="5"/>
      <c r="V2" s="5"/>
      <c r="W2" s="13"/>
    </row>
    <row r="3" spans="1:23" hidden="1" x14ac:dyDescent="0.25">
      <c r="A3">
        <f>1</f>
        <v>1</v>
      </c>
      <c r="B3" s="2"/>
      <c r="C3" s="14"/>
      <c r="D3" s="11"/>
      <c r="E3" s="15"/>
      <c r="F3" s="14"/>
      <c r="G3" s="11"/>
      <c r="H3" s="15"/>
      <c r="I3" s="3"/>
      <c r="J3" s="3"/>
      <c r="K3" s="15"/>
      <c r="L3" s="11"/>
      <c r="M3" s="11"/>
      <c r="N3" s="15"/>
      <c r="O3" s="3"/>
      <c r="P3" s="3"/>
      <c r="Q3" s="15"/>
      <c r="R3" s="3"/>
      <c r="S3" s="3"/>
      <c r="T3" s="15"/>
      <c r="U3" s="3"/>
      <c r="V3" s="3"/>
      <c r="W3" s="15"/>
    </row>
    <row r="4" spans="1:23" hidden="1" x14ac:dyDescent="0.25">
      <c r="A4">
        <f>2</f>
        <v>2</v>
      </c>
      <c r="B4" s="2"/>
      <c r="C4" s="14"/>
      <c r="D4" s="11"/>
      <c r="E4" s="15"/>
      <c r="F4" s="14"/>
      <c r="G4" s="11"/>
      <c r="H4" s="15"/>
      <c r="I4" s="3"/>
      <c r="J4" s="3"/>
      <c r="K4" s="15"/>
      <c r="L4" s="11"/>
      <c r="M4" s="11"/>
      <c r="N4" s="15"/>
      <c r="O4" s="3"/>
      <c r="P4" s="3"/>
      <c r="Q4" s="15"/>
      <c r="R4" s="3"/>
      <c r="S4" s="3"/>
      <c r="T4" s="15"/>
      <c r="U4" s="3"/>
      <c r="V4" s="3"/>
      <c r="W4" s="15"/>
    </row>
    <row r="5" spans="1:23" hidden="1" x14ac:dyDescent="0.25">
      <c r="A5">
        <f>3</f>
        <v>3</v>
      </c>
      <c r="B5" s="2"/>
      <c r="C5" s="14"/>
      <c r="D5" s="11"/>
      <c r="E5" s="15"/>
      <c r="F5" s="14"/>
      <c r="G5" s="11"/>
      <c r="H5" s="15"/>
      <c r="I5" s="3"/>
      <c r="J5" s="3"/>
      <c r="K5" s="15"/>
      <c r="L5" s="11"/>
      <c r="M5" s="11"/>
      <c r="N5" s="15"/>
      <c r="O5" s="3"/>
      <c r="P5" s="3"/>
      <c r="Q5" s="15"/>
      <c r="R5" s="3"/>
      <c r="S5" s="3"/>
      <c r="T5" s="15"/>
      <c r="U5" s="3"/>
      <c r="V5" s="3"/>
      <c r="W5" s="15"/>
    </row>
    <row r="6" spans="1:23" hidden="1" x14ac:dyDescent="0.25">
      <c r="A6" t="s">
        <v>12</v>
      </c>
      <c r="B6" s="2"/>
      <c r="C6" s="14"/>
      <c r="D6" s="11"/>
      <c r="E6" s="15"/>
      <c r="F6" s="14"/>
      <c r="G6" s="11"/>
      <c r="H6" s="15"/>
      <c r="I6" s="3"/>
      <c r="J6" s="3"/>
      <c r="K6" s="15"/>
      <c r="L6" s="11"/>
      <c r="M6" s="11"/>
      <c r="N6" s="15"/>
      <c r="O6" s="3"/>
      <c r="P6" s="3"/>
      <c r="Q6" s="15"/>
      <c r="R6" s="3"/>
      <c r="S6" s="3"/>
      <c r="T6" s="15"/>
      <c r="U6" s="3"/>
      <c r="V6" s="3"/>
      <c r="W6" s="15"/>
    </row>
    <row r="7" spans="1:23" hidden="1" x14ac:dyDescent="0.25">
      <c r="A7" t="s">
        <v>13</v>
      </c>
      <c r="C7" s="14"/>
      <c r="D7" s="11"/>
      <c r="E7" s="15"/>
      <c r="F7" s="14"/>
      <c r="G7" s="11"/>
      <c r="H7" s="15"/>
      <c r="I7" s="3"/>
      <c r="J7" s="3"/>
      <c r="K7" s="15"/>
      <c r="L7" s="8"/>
      <c r="M7" s="8"/>
      <c r="N7" s="16"/>
      <c r="O7" s="8"/>
      <c r="P7" s="8"/>
      <c r="Q7" s="16"/>
      <c r="R7" s="8"/>
      <c r="S7" s="8"/>
      <c r="T7" s="16"/>
      <c r="U7" s="8"/>
      <c r="V7" s="8"/>
      <c r="W7" s="8"/>
    </row>
    <row r="8" spans="1:23" hidden="1" x14ac:dyDescent="0.25">
      <c r="A8" t="s">
        <v>15</v>
      </c>
      <c r="O8" s="17"/>
      <c r="P8" s="17"/>
      <c r="Q8" s="17"/>
      <c r="R8" s="17"/>
      <c r="S8" s="17"/>
      <c r="T8" s="17"/>
      <c r="U8" s="17"/>
      <c r="V8" s="17"/>
      <c r="W8" s="18"/>
    </row>
    <row r="9" spans="1:23" hidden="1" x14ac:dyDescent="0.25">
      <c r="B9" t="str">
        <f ca="1">_xll.TM1RPTVIEW("CXMD:OTC_DATA_MARKET_ANALYSIS_2:ARPT1", 0, _xll.TM1RPTTITLE("CXMD:Market_Actor",$C$11), _xll.TM1RPTTITLE("CXMD:DIM_Origin_Company",$C$12), _xll.TM1RPTTITLE("CXMD:DIM_Country",$C$13),TM1RPTFMTRNG,TM1RPTFMTIDCOL)</f>
        <v>CXMD:OTC_DATA_MARKET_ANALYSIS_2:ARPT1</v>
      </c>
    </row>
    <row r="10" spans="1:23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B11" s="7" t="s">
        <v>0</v>
      </c>
      <c r="C11" s="1" t="str">
        <f ca="1">_xll.SUBNM("CXMD:Market_Actor","","KUHN_Market")</f>
        <v>KUHN_Market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B12" s="7" t="s">
        <v>1</v>
      </c>
      <c r="C12" s="1" t="str">
        <f ca="1">_xll.SUBNM("CXMD:DIM_Origin_Company","Par défaut","K")</f>
        <v>K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B13" s="7" t="s">
        <v>2</v>
      </c>
      <c r="C13" s="1" t="str">
        <f ca="1">_xll.SUBNM("CXMD:DIM_Country","","C-114","Country Name EN")</f>
        <v>FINLAND</v>
      </c>
      <c r="D13" s="1"/>
      <c r="E13" s="1"/>
      <c r="F13" s="1"/>
      <c r="G13" s="1" t="str">
        <f ca="1">_xll.DBRA("CXMD:DIM_Country",C13,"Market_Share")</f>
        <v/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B16" s="1"/>
      <c r="C16" s="19" t="s">
        <v>3</v>
      </c>
      <c r="D16" s="19"/>
      <c r="E16" s="19"/>
      <c r="F16" s="19" t="s">
        <v>4</v>
      </c>
      <c r="G16" s="19"/>
      <c r="H16" s="19"/>
      <c r="I16" s="19" t="s">
        <v>5</v>
      </c>
      <c r="J16" s="19"/>
      <c r="K16" s="19"/>
      <c r="L16" s="19" t="s">
        <v>16</v>
      </c>
      <c r="M16" s="19"/>
      <c r="N16" s="19"/>
      <c r="O16" s="19" t="s">
        <v>6</v>
      </c>
      <c r="P16" s="19"/>
      <c r="Q16" s="19"/>
      <c r="R16" s="19" t="s">
        <v>7</v>
      </c>
      <c r="S16" s="19"/>
      <c r="T16" s="19"/>
      <c r="U16" s="19" t="s">
        <v>8</v>
      </c>
      <c r="V16" s="19"/>
      <c r="W16" s="19"/>
    </row>
    <row r="17" spans="1:23" hidden="1" x14ac:dyDescent="0.25">
      <c r="B17" s="1"/>
      <c r="C17" s="6" t="s">
        <v>3</v>
      </c>
      <c r="D17" s="6" t="s">
        <v>3</v>
      </c>
      <c r="E17" s="6" t="s">
        <v>3</v>
      </c>
      <c r="F17" s="6" t="s">
        <v>4</v>
      </c>
      <c r="G17" s="6" t="s">
        <v>4</v>
      </c>
      <c r="H17" s="6" t="s">
        <v>4</v>
      </c>
      <c r="I17" s="6" t="s">
        <v>5</v>
      </c>
      <c r="J17" s="6" t="s">
        <v>5</v>
      </c>
      <c r="K17" s="6" t="s">
        <v>5</v>
      </c>
      <c r="L17" s="9" t="s">
        <v>16</v>
      </c>
      <c r="M17" s="9" t="s">
        <v>16</v>
      </c>
      <c r="N17" s="9" t="s">
        <v>16</v>
      </c>
      <c r="O17" s="6" t="s">
        <v>6</v>
      </c>
      <c r="P17" s="6" t="s">
        <v>6</v>
      </c>
      <c r="Q17" s="6" t="s">
        <v>6</v>
      </c>
      <c r="R17" s="6" t="s">
        <v>7</v>
      </c>
      <c r="S17" s="6" t="s">
        <v>7</v>
      </c>
      <c r="T17" s="6" t="s">
        <v>7</v>
      </c>
      <c r="U17" s="6" t="s">
        <v>8</v>
      </c>
      <c r="V17" s="6" t="s">
        <v>8</v>
      </c>
      <c r="W17" s="6" t="s">
        <v>8</v>
      </c>
    </row>
    <row r="18" spans="1:23" x14ac:dyDescent="0.25">
      <c r="B18" s="1"/>
      <c r="C18" s="6" t="s">
        <v>9</v>
      </c>
      <c r="D18" s="6" t="s">
        <v>10</v>
      </c>
      <c r="E18" s="6" t="s">
        <v>11</v>
      </c>
      <c r="F18" s="6" t="s">
        <v>9</v>
      </c>
      <c r="G18" s="6" t="s">
        <v>10</v>
      </c>
      <c r="H18" s="6" t="s">
        <v>11</v>
      </c>
      <c r="I18" s="6" t="s">
        <v>9</v>
      </c>
      <c r="J18" s="6" t="s">
        <v>10</v>
      </c>
      <c r="K18" s="6" t="s">
        <v>11</v>
      </c>
      <c r="L18" s="9" t="s">
        <v>9</v>
      </c>
      <c r="M18" s="9" t="s">
        <v>10</v>
      </c>
      <c r="N18" s="9" t="s">
        <v>11</v>
      </c>
      <c r="O18" s="6" t="s">
        <v>9</v>
      </c>
      <c r="P18" s="6" t="s">
        <v>10</v>
      </c>
      <c r="Q18" s="6" t="s">
        <v>11</v>
      </c>
      <c r="R18" s="6" t="s">
        <v>9</v>
      </c>
      <c r="S18" s="6" t="s">
        <v>10</v>
      </c>
      <c r="T18" s="6" t="s">
        <v>11</v>
      </c>
      <c r="U18" s="6" t="s">
        <v>9</v>
      </c>
      <c r="V18" s="6" t="s">
        <v>10</v>
      </c>
      <c r="W18" s="6" t="s">
        <v>11</v>
      </c>
    </row>
    <row r="19" spans="1:23" x14ac:dyDescent="0.25">
      <c r="A19">
        <f ca="1">IF(_xll.TM1RPTELISCONSOLIDATED($B$19,$B19),IF(_xll.TM1RPTELLEV($B$19,$B19)&lt;=3,_xll.TM1RPTELLEV($B$19,$B19),"D"),"N")</f>
        <v>0</v>
      </c>
      <c r="B19" s="20" t="str">
        <f ca="1">_xll.TM1RPTROW($B$9,"CXMD:DIM_Configuration_Market_Share","","TOTAL PRODUCT","Description EN",0)</f>
        <v>TOTAL PRODUCT</v>
      </c>
      <c r="C19" s="12">
        <f ca="1">_xll.DBRW($B$9,$C$11,$C$12,C$17,$C$13,$B19,C$18)</f>
        <v>88</v>
      </c>
      <c r="D19" s="10">
        <f ca="1">_xll.DBRW($B$9,$C$11,$C$12,D$17,$C$13,$B19,D$18)</f>
        <v>11444.217954545455</v>
      </c>
      <c r="E19" s="13">
        <f ca="1">_xll.DBRW($B$9,$C$11,$C$12,E$17,$C$13,$B19,E$18)</f>
        <v>1007091.1799999999</v>
      </c>
      <c r="F19" s="12">
        <f ca="1">_xll.DBRW($B$9,$C$11,$C$12,F$17,$C$13,$B19,F$18)</f>
        <v>95</v>
      </c>
      <c r="G19" s="10">
        <f ca="1">_xll.DBRW($B$9,$C$11,$C$12,G$17,$C$13,$B19,G$18)</f>
        <v>9948.7581052631576</v>
      </c>
      <c r="H19" s="13">
        <f ca="1">_xll.DBRW($B$9,$C$11,$C$12,H$17,$C$13,$B19,H$18)</f>
        <v>945132.02</v>
      </c>
      <c r="I19" s="5">
        <f ca="1">_xll.DBRW($B$9,$C$11,$C$12,I$17,$C$13,$B19,I$18)</f>
        <v>93</v>
      </c>
      <c r="J19" s="5">
        <f ca="1">_xll.DBRW($B$9,$C$11,$C$12,J$17,$C$13,$B19,J$18)</f>
        <v>12108.614408602152</v>
      </c>
      <c r="K19" s="13">
        <f ca="1">_xll.DBRW($B$9,$C$11,$C$12,K$17,$C$13,$B19,K$18)</f>
        <v>1126101.1400000001</v>
      </c>
      <c r="L19" s="10">
        <f ca="1">_xll.DBRW($B$9,$C$11,$C$12,L$17,$C$13,$B19,L$18)</f>
        <v>59</v>
      </c>
      <c r="M19" s="10">
        <f ca="1">_xll.DBRW($B$9,$C$11,$C$12,M$17,$C$13,$B19,M$18)</f>
        <v>11701.882259887007</v>
      </c>
      <c r="N19" s="13">
        <f ca="1">_xll.DBRW($B$9,$C$11,$C$12,N$17,$C$13,$B19,N$18)</f>
        <v>690411.05333333334</v>
      </c>
      <c r="O19" s="5">
        <f ca="1">_xll.DBRW($B$9,$C$11,$C$12,O$17,$C$13,$B19,O$18)</f>
        <v>59</v>
      </c>
      <c r="P19" s="5">
        <f ca="1">_xll.DBRW($B$9,$C$11,$C$12,P$17,$C$13,$B19,P$18)</f>
        <v>11701.882259887007</v>
      </c>
      <c r="Q19" s="13">
        <f ca="1">_xll.DBRW($B$9,$C$11,$C$12,Q$17,$C$13,$B19,Q$18)</f>
        <v>690411.05333333334</v>
      </c>
      <c r="R19" s="5">
        <f ca="1">_xll.DBRW($B$9,$C$11,$C$12,R$17,$C$13,$B19,R$18)</f>
        <v>59</v>
      </c>
      <c r="S19" s="5">
        <f ca="1">_xll.DBRW($B$9,$C$11,$C$12,S$17,$C$13,$B19,S$18)</f>
        <v>11701.882259887007</v>
      </c>
      <c r="T19" s="13">
        <f ca="1">_xll.DBRW($B$9,$C$11,$C$12,T$17,$C$13,$B19,T$18)</f>
        <v>690411.05333333334</v>
      </c>
      <c r="U19" s="5">
        <f ca="1">_xll.DBRW($B$9,$C$11,$C$12,U$17,$C$13,$B19,U$18)</f>
        <v>59</v>
      </c>
      <c r="V19" s="5">
        <f ca="1">_xll.DBRW($B$9,$C$11,$C$12,V$17,$C$13,$B19,V$18)</f>
        <v>11701.882259887007</v>
      </c>
      <c r="W19" s="13">
        <f ca="1">_xll.DBRW($B$9,$C$11,$C$12,W$17,$C$13,$B19,W$18)</f>
        <v>690411.05333333334</v>
      </c>
    </row>
    <row r="20" spans="1:23" x14ac:dyDescent="0.25">
      <c r="A20">
        <f ca="1">IF(_xll.TM1RPTELISCONSOLIDATED($B$19,$B20),IF(_xll.TM1RPTELLEV($B$19,$B20)&lt;=3,_xll.TM1RPTELLEV($B$19,$B20),"D"),"N")</f>
        <v>1</v>
      </c>
      <c r="B20" s="21" t="s">
        <v>17</v>
      </c>
      <c r="C20" s="14">
        <f ca="1">_xll.DBRW($B$9,$C$11,$C$12,C$17,$C$13,$B20,C$18)</f>
        <v>0</v>
      </c>
      <c r="D20" s="11">
        <f ca="1">_xll.DBRW($B$9,$C$11,$C$12,D$17,$C$13,$B20,D$18)</f>
        <v>0</v>
      </c>
      <c r="E20" s="15">
        <f ca="1">_xll.DBRW($B$9,$C$11,$C$12,E$17,$C$13,$B20,E$18)</f>
        <v>0</v>
      </c>
      <c r="F20" s="14">
        <f ca="1">_xll.DBRW($B$9,$C$11,$C$12,F$17,$C$13,$B20,F$18)</f>
        <v>0</v>
      </c>
      <c r="G20" s="11">
        <f ca="1">_xll.DBRW($B$9,$C$11,$C$12,G$17,$C$13,$B20,G$18)</f>
        <v>0</v>
      </c>
      <c r="H20" s="15">
        <f ca="1">_xll.DBRW($B$9,$C$11,$C$12,H$17,$C$13,$B20,H$18)</f>
        <v>0</v>
      </c>
      <c r="I20" s="3">
        <f ca="1">_xll.DBRW($B$9,$C$11,$C$12,I$17,$C$13,$B20,I$18)</f>
        <v>0</v>
      </c>
      <c r="J20" s="3">
        <f ca="1">_xll.DBRW($B$9,$C$11,$C$12,J$17,$C$13,$B20,J$18)</f>
        <v>0</v>
      </c>
      <c r="K20" s="15">
        <f ca="1">_xll.DBRW($B$9,$C$11,$C$12,K$17,$C$13,$B20,K$18)</f>
        <v>0</v>
      </c>
      <c r="L20" s="11">
        <f ca="1">_xll.DBRW($B$9,$C$11,$C$12,L$17,$C$13,$B20,L$18)</f>
        <v>0</v>
      </c>
      <c r="M20" s="11">
        <f ca="1">_xll.DBRW($B$9,$C$11,$C$12,M$17,$C$13,$B20,M$18)</f>
        <v>0</v>
      </c>
      <c r="N20" s="15">
        <f ca="1">_xll.DBRW($B$9,$C$11,$C$12,N$17,$C$13,$B20,N$18)</f>
        <v>0</v>
      </c>
      <c r="O20" s="3">
        <f ca="1">_xll.DBRW($B$9,$C$11,$C$12,O$17,$C$13,$B20,O$18)</f>
        <v>0</v>
      </c>
      <c r="P20" s="3">
        <f ca="1">_xll.DBRW($B$9,$C$11,$C$12,P$17,$C$13,$B20,P$18)</f>
        <v>0</v>
      </c>
      <c r="Q20" s="15">
        <f ca="1">_xll.DBRW($B$9,$C$11,$C$12,Q$17,$C$13,$B20,Q$18)</f>
        <v>0</v>
      </c>
      <c r="R20" s="3">
        <f ca="1">_xll.DBRW($B$9,$C$11,$C$12,R$17,$C$13,$B20,R$18)</f>
        <v>0</v>
      </c>
      <c r="S20" s="3">
        <f ca="1">_xll.DBRW($B$9,$C$11,$C$12,S$17,$C$13,$B20,S$18)</f>
        <v>0</v>
      </c>
      <c r="T20" s="15">
        <f ca="1">_xll.DBRW($B$9,$C$11,$C$12,T$17,$C$13,$B20,T$18)</f>
        <v>0</v>
      </c>
      <c r="U20" s="3">
        <f ca="1">_xll.DBRW($B$9,$C$11,$C$12,U$17,$C$13,$B20,U$18)</f>
        <v>0</v>
      </c>
      <c r="V20" s="3">
        <f ca="1">_xll.DBRW($B$9,$C$11,$C$12,V$17,$C$13,$B20,V$18)</f>
        <v>0</v>
      </c>
      <c r="W20" s="15">
        <f ca="1">_xll.DBRW($B$9,$C$11,$C$12,W$17,$C$13,$B20,W$18)</f>
        <v>0</v>
      </c>
    </row>
    <row r="21" spans="1:23" x14ac:dyDescent="0.25">
      <c r="A21" t="str">
        <f ca="1">IF(_xll.TM1RPTELISCONSOLIDATED($B$19,$B21),IF(_xll.TM1RPTELLEV($B$19,$B21)&lt;=3,_xll.TM1RPTELLEV($B$19,$B21),"D"),"N")</f>
        <v>N</v>
      </c>
      <c r="B21" s="22" t="s">
        <v>24</v>
      </c>
      <c r="C21" s="14">
        <f ca="1">_xll.DBRW($B$9,$C$11,$C$12,C$17,$C$13,$B21,C$18)</f>
        <v>0</v>
      </c>
      <c r="D21" s="11">
        <f ca="1">_xll.DBRW($B$9,$C$11,$C$12,D$17,$C$13,$B21,D$18)</f>
        <v>0</v>
      </c>
      <c r="E21" s="15">
        <f ca="1">_xll.DBRW($B$9,$C$11,$C$12,E$17,$C$13,$B21,E$18)</f>
        <v>0</v>
      </c>
      <c r="F21" s="14">
        <f ca="1">_xll.DBRW($B$9,$C$11,$C$12,F$17,$C$13,$B21,F$18)</f>
        <v>0</v>
      </c>
      <c r="G21" s="11">
        <f ca="1">_xll.DBRW($B$9,$C$11,$C$12,G$17,$C$13,$B21,G$18)</f>
        <v>0</v>
      </c>
      <c r="H21" s="15">
        <f ca="1">_xll.DBRW($B$9,$C$11,$C$12,H$17,$C$13,$B21,H$18)</f>
        <v>0</v>
      </c>
      <c r="I21" s="3">
        <f ca="1">_xll.DBRW($B$9,$C$11,$C$12,I$17,$C$13,$B21,I$18)</f>
        <v>0</v>
      </c>
      <c r="J21" s="3">
        <f ca="1">_xll.DBRW($B$9,$C$11,$C$12,J$17,$C$13,$B21,J$18)</f>
        <v>0</v>
      </c>
      <c r="K21" s="15">
        <f ca="1">_xll.DBRW($B$9,$C$11,$C$12,K$17,$C$13,$B21,K$18)</f>
        <v>0</v>
      </c>
      <c r="L21" s="8">
        <f ca="1">_xll.DBRW($B$9,$C$11,$C$12,L$17,$C$13,$B21,L$18)</f>
        <v>0</v>
      </c>
      <c r="M21" s="8">
        <f ca="1">_xll.DBRW($B$9,$C$11,$C$12,M$17,$C$13,$B21,M$18)</f>
        <v>0</v>
      </c>
      <c r="N21" s="16">
        <f ca="1">_xll.DBRW($B$9,$C$11,$C$12,N$17,$C$13,$B21,N$18)</f>
        <v>0</v>
      </c>
      <c r="O21" s="8">
        <f ca="1">_xll.DBRW($B$9,$C$11,$C$12,O$17,$C$13,$B21,O$18)</f>
        <v>0</v>
      </c>
      <c r="P21" s="8">
        <f ca="1">_xll.DBRW($B$9,$C$11,$C$12,P$17,$C$13,$B21,P$18)</f>
        <v>0</v>
      </c>
      <c r="Q21" s="16">
        <f ca="1">_xll.DBRW($B$9,$C$11,$C$12,Q$17,$C$13,$B21,Q$18)</f>
        <v>0</v>
      </c>
      <c r="R21" s="8">
        <f ca="1">_xll.DBRW($B$9,$C$11,$C$12,R$17,$C$13,$B21,R$18)</f>
        <v>0</v>
      </c>
      <c r="S21" s="8">
        <f ca="1">_xll.DBRW($B$9,$C$11,$C$12,S$17,$C$13,$B21,S$18)</f>
        <v>0</v>
      </c>
      <c r="T21" s="16">
        <f ca="1">_xll.DBRW($B$9,$C$11,$C$12,T$17,$C$13,$B21,T$18)</f>
        <v>0</v>
      </c>
      <c r="U21" s="8">
        <f ca="1">_xll.DBRW($B$9,$C$11,$C$12,U$17,$C$13,$B21,U$18)</f>
        <v>0</v>
      </c>
      <c r="V21" s="8">
        <f ca="1">_xll.DBRW($B$9,$C$11,$C$12,V$17,$C$13,$B21,V$18)</f>
        <v>0</v>
      </c>
      <c r="W21" s="8">
        <f ca="1">_xll.DBRW($B$9,$C$11,$C$12,W$17,$C$13,$B21,W$18)</f>
        <v>0</v>
      </c>
    </row>
    <row r="22" spans="1:23" x14ac:dyDescent="0.25">
      <c r="A22" t="str">
        <f ca="1">IF(_xll.TM1RPTELISCONSOLIDATED($B$19,$B22),IF(_xll.TM1RPTELLEV($B$19,$B22)&lt;=3,_xll.TM1RPTELLEV($B$19,$B22),"D"),"N")</f>
        <v>N</v>
      </c>
      <c r="B22" s="22" t="s">
        <v>25</v>
      </c>
      <c r="C22" s="14">
        <f ca="1">_xll.DBRW($B$9,$C$11,$C$12,C$17,$C$13,$B22,C$18)</f>
        <v>0</v>
      </c>
      <c r="D22" s="11">
        <f ca="1">_xll.DBRW($B$9,$C$11,$C$12,D$17,$C$13,$B22,D$18)</f>
        <v>0</v>
      </c>
      <c r="E22" s="15">
        <f ca="1">_xll.DBRW($B$9,$C$11,$C$12,E$17,$C$13,$B22,E$18)</f>
        <v>0</v>
      </c>
      <c r="F22" s="14">
        <f ca="1">_xll.DBRW($B$9,$C$11,$C$12,F$17,$C$13,$B22,F$18)</f>
        <v>0</v>
      </c>
      <c r="G22" s="11">
        <f ca="1">_xll.DBRW($B$9,$C$11,$C$12,G$17,$C$13,$B22,G$18)</f>
        <v>0</v>
      </c>
      <c r="H22" s="15">
        <f ca="1">_xll.DBRW($B$9,$C$11,$C$12,H$17,$C$13,$B22,H$18)</f>
        <v>0</v>
      </c>
      <c r="I22" s="3">
        <f ca="1">_xll.DBRW($B$9,$C$11,$C$12,I$17,$C$13,$B22,I$18)</f>
        <v>0</v>
      </c>
      <c r="J22" s="3">
        <f ca="1">_xll.DBRW($B$9,$C$11,$C$12,J$17,$C$13,$B22,J$18)</f>
        <v>0</v>
      </c>
      <c r="K22" s="15">
        <f ca="1">_xll.DBRW($B$9,$C$11,$C$12,K$17,$C$13,$B22,K$18)</f>
        <v>0</v>
      </c>
      <c r="L22" s="8">
        <f ca="1">_xll.DBRW($B$9,$C$11,$C$12,L$17,$C$13,$B22,L$18)</f>
        <v>0</v>
      </c>
      <c r="M22" s="8">
        <f ca="1">_xll.DBRW($B$9,$C$11,$C$12,M$17,$C$13,$B22,M$18)</f>
        <v>0</v>
      </c>
      <c r="N22" s="16">
        <f ca="1">_xll.DBRW($B$9,$C$11,$C$12,N$17,$C$13,$B22,N$18)</f>
        <v>0</v>
      </c>
      <c r="O22" s="8">
        <f ca="1">_xll.DBRW($B$9,$C$11,$C$12,O$17,$C$13,$B22,O$18)</f>
        <v>0</v>
      </c>
      <c r="P22" s="8">
        <f ca="1">_xll.DBRW($B$9,$C$11,$C$12,P$17,$C$13,$B22,P$18)</f>
        <v>0</v>
      </c>
      <c r="Q22" s="16">
        <f ca="1">_xll.DBRW($B$9,$C$11,$C$12,Q$17,$C$13,$B22,Q$18)</f>
        <v>0</v>
      </c>
      <c r="R22" s="8">
        <f ca="1">_xll.DBRW($B$9,$C$11,$C$12,R$17,$C$13,$B22,R$18)</f>
        <v>0</v>
      </c>
      <c r="S22" s="8">
        <f ca="1">_xll.DBRW($B$9,$C$11,$C$12,S$17,$C$13,$B22,S$18)</f>
        <v>0</v>
      </c>
      <c r="T22" s="16">
        <f ca="1">_xll.DBRW($B$9,$C$11,$C$12,T$17,$C$13,$B22,T$18)</f>
        <v>0</v>
      </c>
      <c r="U22" s="8">
        <f ca="1">_xll.DBRW($B$9,$C$11,$C$12,U$17,$C$13,$B22,U$18)</f>
        <v>0</v>
      </c>
      <c r="V22" s="8">
        <f ca="1">_xll.DBRW($B$9,$C$11,$C$12,V$17,$C$13,$B22,V$18)</f>
        <v>0</v>
      </c>
      <c r="W22" s="8">
        <f ca="1">_xll.DBRW($B$9,$C$11,$C$12,W$17,$C$13,$B22,W$18)</f>
        <v>0</v>
      </c>
    </row>
    <row r="23" spans="1:23" x14ac:dyDescent="0.25">
      <c r="A23">
        <f ca="1">IF(_xll.TM1RPTELISCONSOLIDATED($B$19,$B23),IF(_xll.TM1RPTELLEV($B$19,$B23)&lt;=3,_xll.TM1RPTELLEV($B$19,$B23),"D"),"N")</f>
        <v>1</v>
      </c>
      <c r="B23" s="21" t="s">
        <v>18</v>
      </c>
      <c r="C23" s="14">
        <f ca="1">_xll.DBRW($B$9,$C$11,$C$12,C$17,$C$13,$B23,C$18)</f>
        <v>13</v>
      </c>
      <c r="D23" s="11">
        <f ca="1">_xll.DBRW($B$9,$C$11,$C$12,D$17,$C$13,$B23,D$18)</f>
        <v>9565.9715384615392</v>
      </c>
      <c r="E23" s="15">
        <f ca="1">_xll.DBRW($B$9,$C$11,$C$12,E$17,$C$13,$B23,E$18)</f>
        <v>124357.63</v>
      </c>
      <c r="F23" s="14">
        <f ca="1">_xll.DBRW($B$9,$C$11,$C$12,F$17,$C$13,$B23,F$18)</f>
        <v>15</v>
      </c>
      <c r="G23" s="11">
        <f ca="1">_xll.DBRW($B$9,$C$11,$C$12,G$17,$C$13,$B23,G$18)</f>
        <v>11734.727999999999</v>
      </c>
      <c r="H23" s="15">
        <f ca="1">_xll.DBRW($B$9,$C$11,$C$12,H$17,$C$13,$B23,H$18)</f>
        <v>176020.91999999998</v>
      </c>
      <c r="I23" s="3">
        <f ca="1">_xll.DBRW($B$9,$C$11,$C$12,I$17,$C$13,$B23,I$18)</f>
        <v>10</v>
      </c>
      <c r="J23" s="3">
        <f ca="1">_xll.DBRW($B$9,$C$11,$C$12,J$17,$C$13,$B23,J$18)</f>
        <v>15212.354000000001</v>
      </c>
      <c r="K23" s="15">
        <f ca="1">_xll.DBRW($B$9,$C$11,$C$12,K$17,$C$13,$B23,K$18)</f>
        <v>152123.54</v>
      </c>
      <c r="L23" s="11">
        <f ca="1">_xll.DBRW($B$9,$C$11,$C$12,L$17,$C$13,$B23,L$18)</f>
        <v>7</v>
      </c>
      <c r="M23" s="11">
        <f ca="1">_xll.DBRW($B$9,$C$11,$C$12,M$17,$C$13,$B23,M$18)</f>
        <v>15625.926666666666</v>
      </c>
      <c r="N23" s="15">
        <f ca="1">_xll.DBRW($B$9,$C$11,$C$12,N$17,$C$13,$B23,N$18)</f>
        <v>109381.48666666666</v>
      </c>
      <c r="O23" s="3">
        <f ca="1">_xll.DBRW($B$9,$C$11,$C$12,O$17,$C$13,$B23,O$18)</f>
        <v>7</v>
      </c>
      <c r="P23" s="3">
        <f ca="1">_xll.DBRW($B$9,$C$11,$C$12,P$17,$C$13,$B23,P$18)</f>
        <v>15625.926666666666</v>
      </c>
      <c r="Q23" s="15">
        <f ca="1">_xll.DBRW($B$9,$C$11,$C$12,Q$17,$C$13,$B23,Q$18)</f>
        <v>109381.48666666666</v>
      </c>
      <c r="R23" s="3">
        <f ca="1">_xll.DBRW($B$9,$C$11,$C$12,R$17,$C$13,$B23,R$18)</f>
        <v>7</v>
      </c>
      <c r="S23" s="3">
        <f ca="1">_xll.DBRW($B$9,$C$11,$C$12,S$17,$C$13,$B23,S$18)</f>
        <v>15625.926666666666</v>
      </c>
      <c r="T23" s="15">
        <f ca="1">_xll.DBRW($B$9,$C$11,$C$12,T$17,$C$13,$B23,T$18)</f>
        <v>109381.48666666666</v>
      </c>
      <c r="U23" s="3">
        <f ca="1">_xll.DBRW($B$9,$C$11,$C$12,U$17,$C$13,$B23,U$18)</f>
        <v>7</v>
      </c>
      <c r="V23" s="3">
        <f ca="1">_xll.DBRW($B$9,$C$11,$C$12,V$17,$C$13,$B23,V$18)</f>
        <v>15625.926666666666</v>
      </c>
      <c r="W23" s="15">
        <f ca="1">_xll.DBRW($B$9,$C$11,$C$12,W$17,$C$13,$B23,W$18)</f>
        <v>109381.48666666666</v>
      </c>
    </row>
    <row r="24" spans="1:23" x14ac:dyDescent="0.25">
      <c r="A24" t="str">
        <f ca="1">IF(_xll.TM1RPTELISCONSOLIDATED($B$19,$B24),IF(_xll.TM1RPTELLEV($B$19,$B24)&lt;=3,_xll.TM1RPTELLEV($B$19,$B24),"D"),"N")</f>
        <v>N</v>
      </c>
      <c r="B24" s="22" t="s">
        <v>19</v>
      </c>
      <c r="C24" s="14">
        <f ca="1">_xll.DBRW($B$9,$C$11,$C$12,C$17,$C$13,$B24,C$18)</f>
        <v>0</v>
      </c>
      <c r="D24" s="11">
        <f ca="1">_xll.DBRW($B$9,$C$11,$C$12,D$17,$C$13,$B24,D$18)</f>
        <v>0</v>
      </c>
      <c r="E24" s="15">
        <f ca="1">_xll.DBRW($B$9,$C$11,$C$12,E$17,$C$13,$B24,E$18)</f>
        <v>0</v>
      </c>
      <c r="F24" s="14">
        <f ca="1">_xll.DBRW($B$9,$C$11,$C$12,F$17,$C$13,$B24,F$18)</f>
        <v>0</v>
      </c>
      <c r="G24" s="11">
        <f ca="1">_xll.DBRW($B$9,$C$11,$C$12,G$17,$C$13,$B24,G$18)</f>
        <v>0</v>
      </c>
      <c r="H24" s="15">
        <f ca="1">_xll.DBRW($B$9,$C$11,$C$12,H$17,$C$13,$B24,H$18)</f>
        <v>0</v>
      </c>
      <c r="I24" s="3">
        <f ca="1">_xll.DBRW($B$9,$C$11,$C$12,I$17,$C$13,$B24,I$18)</f>
        <v>0</v>
      </c>
      <c r="J24" s="3">
        <f ca="1">_xll.DBRW($B$9,$C$11,$C$12,J$17,$C$13,$B24,J$18)</f>
        <v>0</v>
      </c>
      <c r="K24" s="15">
        <f ca="1">_xll.DBRW($B$9,$C$11,$C$12,K$17,$C$13,$B24,K$18)</f>
        <v>0</v>
      </c>
      <c r="L24" s="8">
        <f ca="1">_xll.DBRW($B$9,$C$11,$C$12,L$17,$C$13,$B24,L$18)</f>
        <v>0</v>
      </c>
      <c r="M24" s="8">
        <f ca="1">_xll.DBRW($B$9,$C$11,$C$12,M$17,$C$13,$B24,M$18)</f>
        <v>0</v>
      </c>
      <c r="N24" s="16">
        <f ca="1">_xll.DBRW($B$9,$C$11,$C$12,N$17,$C$13,$B24,N$18)</f>
        <v>0</v>
      </c>
      <c r="O24" s="8">
        <f ca="1">_xll.DBRW($B$9,$C$11,$C$12,O$17,$C$13,$B24,O$18)</f>
        <v>0</v>
      </c>
      <c r="P24" s="8">
        <f ca="1">_xll.DBRW($B$9,$C$11,$C$12,P$17,$C$13,$B24,P$18)</f>
        <v>0</v>
      </c>
      <c r="Q24" s="16">
        <f ca="1">_xll.DBRW($B$9,$C$11,$C$12,Q$17,$C$13,$B24,Q$18)</f>
        <v>0</v>
      </c>
      <c r="R24" s="8">
        <f ca="1">_xll.DBRW($B$9,$C$11,$C$12,R$17,$C$13,$B24,R$18)</f>
        <v>0</v>
      </c>
      <c r="S24" s="8">
        <f ca="1">_xll.DBRW($B$9,$C$11,$C$12,S$17,$C$13,$B24,S$18)</f>
        <v>0</v>
      </c>
      <c r="T24" s="16">
        <f ca="1">_xll.DBRW($B$9,$C$11,$C$12,T$17,$C$13,$B24,T$18)</f>
        <v>0</v>
      </c>
      <c r="U24" s="8">
        <f ca="1">_xll.DBRW($B$9,$C$11,$C$12,U$17,$C$13,$B24,U$18)</f>
        <v>0</v>
      </c>
      <c r="V24" s="8">
        <f ca="1">_xll.DBRW($B$9,$C$11,$C$12,V$17,$C$13,$B24,V$18)</f>
        <v>0</v>
      </c>
      <c r="W24" s="8">
        <f ca="1">_xll.DBRW($B$9,$C$11,$C$12,W$17,$C$13,$B24,W$18)</f>
        <v>0</v>
      </c>
    </row>
    <row r="25" spans="1:23" x14ac:dyDescent="0.25">
      <c r="A25">
        <f ca="1">IF(_xll.TM1RPTELISCONSOLIDATED($B$19,$B25),IF(_xll.TM1RPTELLEV($B$19,$B25)&lt;=3,_xll.TM1RPTELLEV($B$19,$B25),"D"),"N")</f>
        <v>2</v>
      </c>
      <c r="B25" s="23" t="s">
        <v>26</v>
      </c>
      <c r="C25" s="14">
        <f ca="1">_xll.DBRW($B$9,$C$11,$C$12,C$17,$C$13,$B25,C$18)</f>
        <v>0</v>
      </c>
      <c r="D25" s="11">
        <f ca="1">_xll.DBRW($B$9,$C$11,$C$12,D$17,$C$13,$B25,D$18)</f>
        <v>0</v>
      </c>
      <c r="E25" s="15">
        <f ca="1">_xll.DBRW($B$9,$C$11,$C$12,E$17,$C$13,$B25,E$18)</f>
        <v>0</v>
      </c>
      <c r="F25" s="14">
        <f ca="1">_xll.DBRW($B$9,$C$11,$C$12,F$17,$C$13,$B25,F$18)</f>
        <v>0</v>
      </c>
      <c r="G25" s="11">
        <f ca="1">_xll.DBRW($B$9,$C$11,$C$12,G$17,$C$13,$B25,G$18)</f>
        <v>0</v>
      </c>
      <c r="H25" s="15">
        <f ca="1">_xll.DBRW($B$9,$C$11,$C$12,H$17,$C$13,$B25,H$18)</f>
        <v>0</v>
      </c>
      <c r="I25" s="3">
        <f ca="1">_xll.DBRW($B$9,$C$11,$C$12,I$17,$C$13,$B25,I$18)</f>
        <v>0</v>
      </c>
      <c r="J25" s="3">
        <f ca="1">_xll.DBRW($B$9,$C$11,$C$12,J$17,$C$13,$B25,J$18)</f>
        <v>0</v>
      </c>
      <c r="K25" s="15">
        <f ca="1">_xll.DBRW($B$9,$C$11,$C$12,K$17,$C$13,$B25,K$18)</f>
        <v>0</v>
      </c>
      <c r="L25" s="11">
        <f ca="1">_xll.DBRW($B$9,$C$11,$C$12,L$17,$C$13,$B25,L$18)</f>
        <v>0</v>
      </c>
      <c r="M25" s="11">
        <f ca="1">_xll.DBRW($B$9,$C$11,$C$12,M$17,$C$13,$B25,M$18)</f>
        <v>0</v>
      </c>
      <c r="N25" s="15">
        <f ca="1">_xll.DBRW($B$9,$C$11,$C$12,N$17,$C$13,$B25,N$18)</f>
        <v>0</v>
      </c>
      <c r="O25" s="3">
        <f ca="1">_xll.DBRW($B$9,$C$11,$C$12,O$17,$C$13,$B25,O$18)</f>
        <v>0</v>
      </c>
      <c r="P25" s="3">
        <f ca="1">_xll.DBRW($B$9,$C$11,$C$12,P$17,$C$13,$B25,P$18)</f>
        <v>0</v>
      </c>
      <c r="Q25" s="15">
        <f ca="1">_xll.DBRW($B$9,$C$11,$C$12,Q$17,$C$13,$B25,Q$18)</f>
        <v>0</v>
      </c>
      <c r="R25" s="3">
        <f ca="1">_xll.DBRW($B$9,$C$11,$C$12,R$17,$C$13,$B25,R$18)</f>
        <v>0</v>
      </c>
      <c r="S25" s="3">
        <f ca="1">_xll.DBRW($B$9,$C$11,$C$12,S$17,$C$13,$B25,S$18)</f>
        <v>0</v>
      </c>
      <c r="T25" s="15">
        <f ca="1">_xll.DBRW($B$9,$C$11,$C$12,T$17,$C$13,$B25,T$18)</f>
        <v>0</v>
      </c>
      <c r="U25" s="3">
        <f ca="1">_xll.DBRW($B$9,$C$11,$C$12,U$17,$C$13,$B25,U$18)</f>
        <v>0</v>
      </c>
      <c r="V25" s="3">
        <f ca="1">_xll.DBRW($B$9,$C$11,$C$12,V$17,$C$13,$B25,V$18)</f>
        <v>0</v>
      </c>
      <c r="W25" s="15">
        <f ca="1">_xll.DBRW($B$9,$C$11,$C$12,W$17,$C$13,$B25,W$18)</f>
        <v>0</v>
      </c>
    </row>
    <row r="26" spans="1:23" x14ac:dyDescent="0.25">
      <c r="A26" t="str">
        <f ca="1">IF(_xll.TM1RPTELISCONSOLIDATED($B$19,$B26),IF(_xll.TM1RPTELLEV($B$19,$B26)&lt;=3,_xll.TM1RPTELLEV($B$19,$B26),"D"),"N")</f>
        <v>N</v>
      </c>
      <c r="B26" s="24" t="s">
        <v>27</v>
      </c>
      <c r="C26" s="14">
        <f ca="1">_xll.DBRW($B$9,$C$11,$C$12,C$17,$C$13,$B26,C$18)</f>
        <v>0</v>
      </c>
      <c r="D26" s="11">
        <f ca="1">_xll.DBRW($B$9,$C$11,$C$12,D$17,$C$13,$B26,D$18)</f>
        <v>0</v>
      </c>
      <c r="E26" s="15">
        <f ca="1">_xll.DBRW($B$9,$C$11,$C$12,E$17,$C$13,$B26,E$18)</f>
        <v>0</v>
      </c>
      <c r="F26" s="14">
        <f ca="1">_xll.DBRW($B$9,$C$11,$C$12,F$17,$C$13,$B26,F$18)</f>
        <v>0</v>
      </c>
      <c r="G26" s="11">
        <f ca="1">_xll.DBRW($B$9,$C$11,$C$12,G$17,$C$13,$B26,G$18)</f>
        <v>0</v>
      </c>
      <c r="H26" s="15">
        <f ca="1">_xll.DBRW($B$9,$C$11,$C$12,H$17,$C$13,$B26,H$18)</f>
        <v>0</v>
      </c>
      <c r="I26" s="3">
        <f ca="1">_xll.DBRW($B$9,$C$11,$C$12,I$17,$C$13,$B26,I$18)</f>
        <v>0</v>
      </c>
      <c r="J26" s="3">
        <f ca="1">_xll.DBRW($B$9,$C$11,$C$12,J$17,$C$13,$B26,J$18)</f>
        <v>0</v>
      </c>
      <c r="K26" s="15">
        <f ca="1">_xll.DBRW($B$9,$C$11,$C$12,K$17,$C$13,$B26,K$18)</f>
        <v>0</v>
      </c>
      <c r="L26" s="8">
        <f ca="1">_xll.DBRW($B$9,$C$11,$C$12,L$17,$C$13,$B26,L$18)</f>
        <v>0</v>
      </c>
      <c r="M26" s="8">
        <f ca="1">_xll.DBRW($B$9,$C$11,$C$12,M$17,$C$13,$B26,M$18)</f>
        <v>0</v>
      </c>
      <c r="N26" s="16">
        <f ca="1">_xll.DBRW($B$9,$C$11,$C$12,N$17,$C$13,$B26,N$18)</f>
        <v>0</v>
      </c>
      <c r="O26" s="8">
        <f ca="1">_xll.DBRW($B$9,$C$11,$C$12,O$17,$C$13,$B26,O$18)</f>
        <v>0</v>
      </c>
      <c r="P26" s="8">
        <f ca="1">_xll.DBRW($B$9,$C$11,$C$12,P$17,$C$13,$B26,P$18)</f>
        <v>0</v>
      </c>
      <c r="Q26" s="16">
        <f ca="1">_xll.DBRW($B$9,$C$11,$C$12,Q$17,$C$13,$B26,Q$18)</f>
        <v>0</v>
      </c>
      <c r="R26" s="8">
        <f ca="1">_xll.DBRW($B$9,$C$11,$C$12,R$17,$C$13,$B26,R$18)</f>
        <v>0</v>
      </c>
      <c r="S26" s="8">
        <f ca="1">_xll.DBRW($B$9,$C$11,$C$12,S$17,$C$13,$B26,S$18)</f>
        <v>0</v>
      </c>
      <c r="T26" s="16">
        <f ca="1">_xll.DBRW($B$9,$C$11,$C$12,T$17,$C$13,$B26,T$18)</f>
        <v>0</v>
      </c>
      <c r="U26" s="8">
        <f ca="1">_xll.DBRW($B$9,$C$11,$C$12,U$17,$C$13,$B26,U$18)</f>
        <v>0</v>
      </c>
      <c r="V26" s="8">
        <f ca="1">_xll.DBRW($B$9,$C$11,$C$12,V$17,$C$13,$B26,V$18)</f>
        <v>0</v>
      </c>
      <c r="W26" s="8">
        <f ca="1">_xll.DBRW($B$9,$C$11,$C$12,W$17,$C$13,$B26,W$18)</f>
        <v>0</v>
      </c>
    </row>
    <row r="27" spans="1:23" x14ac:dyDescent="0.25">
      <c r="A27" t="str">
        <f ca="1">IF(_xll.TM1RPTELISCONSOLIDATED($B$19,$B27),IF(_xll.TM1RPTELLEV($B$19,$B27)&lt;=3,_xll.TM1RPTELLEV($B$19,$B27),"D"),"N")</f>
        <v>N</v>
      </c>
      <c r="B27" s="24" t="s">
        <v>28</v>
      </c>
      <c r="C27" s="14">
        <f ca="1">_xll.DBRW($B$9,$C$11,$C$12,C$17,$C$13,$B27,C$18)</f>
        <v>0</v>
      </c>
      <c r="D27" s="11">
        <f ca="1">_xll.DBRW($B$9,$C$11,$C$12,D$17,$C$13,$B27,D$18)</f>
        <v>0</v>
      </c>
      <c r="E27" s="15">
        <f ca="1">_xll.DBRW($B$9,$C$11,$C$12,E$17,$C$13,$B27,E$18)</f>
        <v>0</v>
      </c>
      <c r="F27" s="14">
        <f ca="1">_xll.DBRW($B$9,$C$11,$C$12,F$17,$C$13,$B27,F$18)</f>
        <v>0</v>
      </c>
      <c r="G27" s="11">
        <f ca="1">_xll.DBRW($B$9,$C$11,$C$12,G$17,$C$13,$B27,G$18)</f>
        <v>0</v>
      </c>
      <c r="H27" s="15">
        <f ca="1">_xll.DBRW($B$9,$C$11,$C$12,H$17,$C$13,$B27,H$18)</f>
        <v>0</v>
      </c>
      <c r="I27" s="3">
        <f ca="1">_xll.DBRW($B$9,$C$11,$C$12,I$17,$C$13,$B27,I$18)</f>
        <v>0</v>
      </c>
      <c r="J27" s="3">
        <f ca="1">_xll.DBRW($B$9,$C$11,$C$12,J$17,$C$13,$B27,J$18)</f>
        <v>0</v>
      </c>
      <c r="K27" s="15">
        <f ca="1">_xll.DBRW($B$9,$C$11,$C$12,K$17,$C$13,$B27,K$18)</f>
        <v>0</v>
      </c>
      <c r="L27" s="8">
        <f ca="1">_xll.DBRW($B$9,$C$11,$C$12,L$17,$C$13,$B27,L$18)</f>
        <v>0</v>
      </c>
      <c r="M27" s="8">
        <f ca="1">_xll.DBRW($B$9,$C$11,$C$12,M$17,$C$13,$B27,M$18)</f>
        <v>0</v>
      </c>
      <c r="N27" s="16">
        <f ca="1">_xll.DBRW($B$9,$C$11,$C$12,N$17,$C$13,$B27,N$18)</f>
        <v>0</v>
      </c>
      <c r="O27" s="8">
        <f ca="1">_xll.DBRW($B$9,$C$11,$C$12,O$17,$C$13,$B27,O$18)</f>
        <v>0</v>
      </c>
      <c r="P27" s="8">
        <f ca="1">_xll.DBRW($B$9,$C$11,$C$12,P$17,$C$13,$B27,P$18)</f>
        <v>0</v>
      </c>
      <c r="Q27" s="16">
        <f ca="1">_xll.DBRW($B$9,$C$11,$C$12,Q$17,$C$13,$B27,Q$18)</f>
        <v>0</v>
      </c>
      <c r="R27" s="8">
        <f ca="1">_xll.DBRW($B$9,$C$11,$C$12,R$17,$C$13,$B27,R$18)</f>
        <v>0</v>
      </c>
      <c r="S27" s="8">
        <f ca="1">_xll.DBRW($B$9,$C$11,$C$12,S$17,$C$13,$B27,S$18)</f>
        <v>0</v>
      </c>
      <c r="T27" s="16">
        <f ca="1">_xll.DBRW($B$9,$C$11,$C$12,T$17,$C$13,$B27,T$18)</f>
        <v>0</v>
      </c>
      <c r="U27" s="8">
        <f ca="1">_xll.DBRW($B$9,$C$11,$C$12,U$17,$C$13,$B27,U$18)</f>
        <v>0</v>
      </c>
      <c r="V27" s="8">
        <f ca="1">_xll.DBRW($B$9,$C$11,$C$12,V$17,$C$13,$B27,V$18)</f>
        <v>0</v>
      </c>
      <c r="W27" s="8">
        <f ca="1">_xll.DBRW($B$9,$C$11,$C$12,W$17,$C$13,$B27,W$18)</f>
        <v>0</v>
      </c>
    </row>
    <row r="28" spans="1:23" x14ac:dyDescent="0.25">
      <c r="A28" t="str">
        <f ca="1">IF(_xll.TM1RPTELISCONSOLIDATED($B$19,$B28),IF(_xll.TM1RPTELLEV($B$19,$B28)&lt;=3,_xll.TM1RPTELLEV($B$19,$B28),"D"),"N")</f>
        <v>N</v>
      </c>
      <c r="B28" s="24" t="s">
        <v>29</v>
      </c>
      <c r="C28" s="14">
        <f ca="1">_xll.DBRW($B$9,$C$11,$C$12,C$17,$C$13,$B28,C$18)</f>
        <v>0</v>
      </c>
      <c r="D28" s="11">
        <f ca="1">_xll.DBRW($B$9,$C$11,$C$12,D$17,$C$13,$B28,D$18)</f>
        <v>0</v>
      </c>
      <c r="E28" s="15">
        <f ca="1">_xll.DBRW($B$9,$C$11,$C$12,E$17,$C$13,$B28,E$18)</f>
        <v>0</v>
      </c>
      <c r="F28" s="14">
        <f ca="1">_xll.DBRW($B$9,$C$11,$C$12,F$17,$C$13,$B28,F$18)</f>
        <v>0</v>
      </c>
      <c r="G28" s="11">
        <f ca="1">_xll.DBRW($B$9,$C$11,$C$12,G$17,$C$13,$B28,G$18)</f>
        <v>0</v>
      </c>
      <c r="H28" s="15">
        <f ca="1">_xll.DBRW($B$9,$C$11,$C$12,H$17,$C$13,$B28,H$18)</f>
        <v>0</v>
      </c>
      <c r="I28" s="3">
        <f ca="1">_xll.DBRW($B$9,$C$11,$C$12,I$17,$C$13,$B28,I$18)</f>
        <v>0</v>
      </c>
      <c r="J28" s="3">
        <f ca="1">_xll.DBRW($B$9,$C$11,$C$12,J$17,$C$13,$B28,J$18)</f>
        <v>0</v>
      </c>
      <c r="K28" s="15">
        <f ca="1">_xll.DBRW($B$9,$C$11,$C$12,K$17,$C$13,$B28,K$18)</f>
        <v>0</v>
      </c>
      <c r="L28" s="8">
        <f ca="1">_xll.DBRW($B$9,$C$11,$C$12,L$17,$C$13,$B28,L$18)</f>
        <v>0</v>
      </c>
      <c r="M28" s="8">
        <f ca="1">_xll.DBRW($B$9,$C$11,$C$12,M$17,$C$13,$B28,M$18)</f>
        <v>0</v>
      </c>
      <c r="N28" s="16">
        <f ca="1">_xll.DBRW($B$9,$C$11,$C$12,N$17,$C$13,$B28,N$18)</f>
        <v>0</v>
      </c>
      <c r="O28" s="8">
        <f ca="1">_xll.DBRW($B$9,$C$11,$C$12,O$17,$C$13,$B28,O$18)</f>
        <v>0</v>
      </c>
      <c r="P28" s="8">
        <f ca="1">_xll.DBRW($B$9,$C$11,$C$12,P$17,$C$13,$B28,P$18)</f>
        <v>0</v>
      </c>
      <c r="Q28" s="16">
        <f ca="1">_xll.DBRW($B$9,$C$11,$C$12,Q$17,$C$13,$B28,Q$18)</f>
        <v>0</v>
      </c>
      <c r="R28" s="8">
        <f ca="1">_xll.DBRW($B$9,$C$11,$C$12,R$17,$C$13,$B28,R$18)</f>
        <v>0</v>
      </c>
      <c r="S28" s="8">
        <f ca="1">_xll.DBRW($B$9,$C$11,$C$12,S$17,$C$13,$B28,S$18)</f>
        <v>0</v>
      </c>
      <c r="T28" s="16">
        <f ca="1">_xll.DBRW($B$9,$C$11,$C$12,T$17,$C$13,$B28,T$18)</f>
        <v>0</v>
      </c>
      <c r="U28" s="8">
        <f ca="1">_xll.DBRW($B$9,$C$11,$C$12,U$17,$C$13,$B28,U$18)</f>
        <v>0</v>
      </c>
      <c r="V28" s="8">
        <f ca="1">_xll.DBRW($B$9,$C$11,$C$12,V$17,$C$13,$B28,V$18)</f>
        <v>0</v>
      </c>
      <c r="W28" s="8">
        <f ca="1">_xll.DBRW($B$9,$C$11,$C$12,W$17,$C$13,$B28,W$18)</f>
        <v>0</v>
      </c>
    </row>
    <row r="29" spans="1:23" x14ac:dyDescent="0.25">
      <c r="A29">
        <f ca="1">IF(_xll.TM1RPTELISCONSOLIDATED($B$19,$B29),IF(_xll.TM1RPTELLEV($B$19,$B29)&lt;=3,_xll.TM1RPTELLEV($B$19,$B29),"D"),"N")</f>
        <v>2</v>
      </c>
      <c r="B29" s="23" t="s">
        <v>30</v>
      </c>
      <c r="C29" s="14">
        <f ca="1">_xll.DBRW($B$9,$C$11,$C$12,C$17,$C$13,$B29,C$18)</f>
        <v>0</v>
      </c>
      <c r="D29" s="11">
        <f ca="1">_xll.DBRW($B$9,$C$11,$C$12,D$17,$C$13,$B29,D$18)</f>
        <v>0</v>
      </c>
      <c r="E29" s="15">
        <f ca="1">_xll.DBRW($B$9,$C$11,$C$12,E$17,$C$13,$B29,E$18)</f>
        <v>0</v>
      </c>
      <c r="F29" s="14">
        <f ca="1">_xll.DBRW($B$9,$C$11,$C$12,F$17,$C$13,$B29,F$18)</f>
        <v>0</v>
      </c>
      <c r="G29" s="11">
        <f ca="1">_xll.DBRW($B$9,$C$11,$C$12,G$17,$C$13,$B29,G$18)</f>
        <v>0</v>
      </c>
      <c r="H29" s="15">
        <f ca="1">_xll.DBRW($B$9,$C$11,$C$12,H$17,$C$13,$B29,H$18)</f>
        <v>0</v>
      </c>
      <c r="I29" s="3">
        <f ca="1">_xll.DBRW($B$9,$C$11,$C$12,I$17,$C$13,$B29,I$18)</f>
        <v>0</v>
      </c>
      <c r="J29" s="3">
        <f ca="1">_xll.DBRW($B$9,$C$11,$C$12,J$17,$C$13,$B29,J$18)</f>
        <v>0</v>
      </c>
      <c r="K29" s="15">
        <f ca="1">_xll.DBRW($B$9,$C$11,$C$12,K$17,$C$13,$B29,K$18)</f>
        <v>0</v>
      </c>
      <c r="L29" s="11">
        <f ca="1">_xll.DBRW($B$9,$C$11,$C$12,L$17,$C$13,$B29,L$18)</f>
        <v>0</v>
      </c>
      <c r="M29" s="11">
        <f ca="1">_xll.DBRW($B$9,$C$11,$C$12,M$17,$C$13,$B29,M$18)</f>
        <v>0</v>
      </c>
      <c r="N29" s="15">
        <f ca="1">_xll.DBRW($B$9,$C$11,$C$12,N$17,$C$13,$B29,N$18)</f>
        <v>0</v>
      </c>
      <c r="O29" s="3">
        <f ca="1">_xll.DBRW($B$9,$C$11,$C$12,O$17,$C$13,$B29,O$18)</f>
        <v>0</v>
      </c>
      <c r="P29" s="3">
        <f ca="1">_xll.DBRW($B$9,$C$11,$C$12,P$17,$C$13,$B29,P$18)</f>
        <v>0</v>
      </c>
      <c r="Q29" s="15">
        <f ca="1">_xll.DBRW($B$9,$C$11,$C$12,Q$17,$C$13,$B29,Q$18)</f>
        <v>0</v>
      </c>
      <c r="R29" s="3">
        <f ca="1">_xll.DBRW($B$9,$C$11,$C$12,R$17,$C$13,$B29,R$18)</f>
        <v>0</v>
      </c>
      <c r="S29" s="3">
        <f ca="1">_xll.DBRW($B$9,$C$11,$C$12,S$17,$C$13,$B29,S$18)</f>
        <v>0</v>
      </c>
      <c r="T29" s="15">
        <f ca="1">_xll.DBRW($B$9,$C$11,$C$12,T$17,$C$13,$B29,T$18)</f>
        <v>0</v>
      </c>
      <c r="U29" s="3">
        <f ca="1">_xll.DBRW($B$9,$C$11,$C$12,U$17,$C$13,$B29,U$18)</f>
        <v>0</v>
      </c>
      <c r="V29" s="3">
        <f ca="1">_xll.DBRW($B$9,$C$11,$C$12,V$17,$C$13,$B29,V$18)</f>
        <v>0</v>
      </c>
      <c r="W29" s="15">
        <f ca="1">_xll.DBRW($B$9,$C$11,$C$12,W$17,$C$13,$B29,W$18)</f>
        <v>0</v>
      </c>
    </row>
    <row r="30" spans="1:23" x14ac:dyDescent="0.25">
      <c r="A30" t="str">
        <f ca="1">IF(_xll.TM1RPTELISCONSOLIDATED($B$19,$B30),IF(_xll.TM1RPTELLEV($B$19,$B30)&lt;=3,_xll.TM1RPTELLEV($B$19,$B30),"D"),"N")</f>
        <v>N</v>
      </c>
      <c r="B30" s="24" t="s">
        <v>31</v>
      </c>
      <c r="C30" s="14">
        <f ca="1">_xll.DBRW($B$9,$C$11,$C$12,C$17,$C$13,$B30,C$18)</f>
        <v>0</v>
      </c>
      <c r="D30" s="11">
        <f ca="1">_xll.DBRW($B$9,$C$11,$C$12,D$17,$C$13,$B30,D$18)</f>
        <v>0</v>
      </c>
      <c r="E30" s="15">
        <f ca="1">_xll.DBRW($B$9,$C$11,$C$12,E$17,$C$13,$B30,E$18)</f>
        <v>0</v>
      </c>
      <c r="F30" s="14">
        <f ca="1">_xll.DBRW($B$9,$C$11,$C$12,F$17,$C$13,$B30,F$18)</f>
        <v>0</v>
      </c>
      <c r="G30" s="11">
        <f ca="1">_xll.DBRW($B$9,$C$11,$C$12,G$17,$C$13,$B30,G$18)</f>
        <v>0</v>
      </c>
      <c r="H30" s="15">
        <f ca="1">_xll.DBRW($B$9,$C$11,$C$12,H$17,$C$13,$B30,H$18)</f>
        <v>0</v>
      </c>
      <c r="I30" s="3">
        <f ca="1">_xll.DBRW($B$9,$C$11,$C$12,I$17,$C$13,$B30,I$18)</f>
        <v>0</v>
      </c>
      <c r="J30" s="3">
        <f ca="1">_xll.DBRW($B$9,$C$11,$C$12,J$17,$C$13,$B30,J$18)</f>
        <v>0</v>
      </c>
      <c r="K30" s="15">
        <f ca="1">_xll.DBRW($B$9,$C$11,$C$12,K$17,$C$13,$B30,K$18)</f>
        <v>0</v>
      </c>
      <c r="L30" s="8">
        <f ca="1">_xll.DBRW($B$9,$C$11,$C$12,L$17,$C$13,$B30,L$18)</f>
        <v>0</v>
      </c>
      <c r="M30" s="8">
        <f ca="1">_xll.DBRW($B$9,$C$11,$C$12,M$17,$C$13,$B30,M$18)</f>
        <v>0</v>
      </c>
      <c r="N30" s="16">
        <f ca="1">_xll.DBRW($B$9,$C$11,$C$12,N$17,$C$13,$B30,N$18)</f>
        <v>0</v>
      </c>
      <c r="O30" s="8">
        <f ca="1">_xll.DBRW($B$9,$C$11,$C$12,O$17,$C$13,$B30,O$18)</f>
        <v>0</v>
      </c>
      <c r="P30" s="8">
        <f ca="1">_xll.DBRW($B$9,$C$11,$C$12,P$17,$C$13,$B30,P$18)</f>
        <v>0</v>
      </c>
      <c r="Q30" s="16">
        <f ca="1">_xll.DBRW($B$9,$C$11,$C$12,Q$17,$C$13,$B30,Q$18)</f>
        <v>0</v>
      </c>
      <c r="R30" s="8">
        <f ca="1">_xll.DBRW($B$9,$C$11,$C$12,R$17,$C$13,$B30,R$18)</f>
        <v>0</v>
      </c>
      <c r="S30" s="8">
        <f ca="1">_xll.DBRW($B$9,$C$11,$C$12,S$17,$C$13,$B30,S$18)</f>
        <v>0</v>
      </c>
      <c r="T30" s="16">
        <f ca="1">_xll.DBRW($B$9,$C$11,$C$12,T$17,$C$13,$B30,T$18)</f>
        <v>0</v>
      </c>
      <c r="U30" s="8">
        <f ca="1">_xll.DBRW($B$9,$C$11,$C$12,U$17,$C$13,$B30,U$18)</f>
        <v>0</v>
      </c>
      <c r="V30" s="8">
        <f ca="1">_xll.DBRW($B$9,$C$11,$C$12,V$17,$C$13,$B30,V$18)</f>
        <v>0</v>
      </c>
      <c r="W30" s="8">
        <f ca="1">_xll.DBRW($B$9,$C$11,$C$12,W$17,$C$13,$B30,W$18)</f>
        <v>0</v>
      </c>
    </row>
    <row r="31" spans="1:23" x14ac:dyDescent="0.25">
      <c r="A31" t="str">
        <f ca="1">IF(_xll.TM1RPTELISCONSOLIDATED($B$19,$B31),IF(_xll.TM1RPTELLEV($B$19,$B31)&lt;=3,_xll.TM1RPTELLEV($B$19,$B31),"D"),"N")</f>
        <v>N</v>
      </c>
      <c r="B31" s="24" t="s">
        <v>32</v>
      </c>
      <c r="C31" s="14">
        <f ca="1">_xll.DBRW($B$9,$C$11,$C$12,C$17,$C$13,$B31,C$18)</f>
        <v>0</v>
      </c>
      <c r="D31" s="11">
        <f ca="1">_xll.DBRW($B$9,$C$11,$C$12,D$17,$C$13,$B31,D$18)</f>
        <v>0</v>
      </c>
      <c r="E31" s="15">
        <f ca="1">_xll.DBRW($B$9,$C$11,$C$12,E$17,$C$13,$B31,E$18)</f>
        <v>0</v>
      </c>
      <c r="F31" s="14">
        <f ca="1">_xll.DBRW($B$9,$C$11,$C$12,F$17,$C$13,$B31,F$18)</f>
        <v>0</v>
      </c>
      <c r="G31" s="11">
        <f ca="1">_xll.DBRW($B$9,$C$11,$C$12,G$17,$C$13,$B31,G$18)</f>
        <v>0</v>
      </c>
      <c r="H31" s="15">
        <f ca="1">_xll.DBRW($B$9,$C$11,$C$12,H$17,$C$13,$B31,H$18)</f>
        <v>0</v>
      </c>
      <c r="I31" s="3">
        <f ca="1">_xll.DBRW($B$9,$C$11,$C$12,I$17,$C$13,$B31,I$18)</f>
        <v>0</v>
      </c>
      <c r="J31" s="3">
        <f ca="1">_xll.DBRW($B$9,$C$11,$C$12,J$17,$C$13,$B31,J$18)</f>
        <v>0</v>
      </c>
      <c r="K31" s="15">
        <f ca="1">_xll.DBRW($B$9,$C$11,$C$12,K$17,$C$13,$B31,K$18)</f>
        <v>0</v>
      </c>
      <c r="L31" s="8">
        <f ca="1">_xll.DBRW($B$9,$C$11,$C$12,L$17,$C$13,$B31,L$18)</f>
        <v>0</v>
      </c>
      <c r="M31" s="8">
        <f ca="1">_xll.DBRW($B$9,$C$11,$C$12,M$17,$C$13,$B31,M$18)</f>
        <v>0</v>
      </c>
      <c r="N31" s="16">
        <f ca="1">_xll.DBRW($B$9,$C$11,$C$12,N$17,$C$13,$B31,N$18)</f>
        <v>0</v>
      </c>
      <c r="O31" s="8">
        <f ca="1">_xll.DBRW($B$9,$C$11,$C$12,O$17,$C$13,$B31,O$18)</f>
        <v>0</v>
      </c>
      <c r="P31" s="8">
        <f ca="1">_xll.DBRW($B$9,$C$11,$C$12,P$17,$C$13,$B31,P$18)</f>
        <v>0</v>
      </c>
      <c r="Q31" s="16">
        <f ca="1">_xll.DBRW($B$9,$C$11,$C$12,Q$17,$C$13,$B31,Q$18)</f>
        <v>0</v>
      </c>
      <c r="R31" s="8">
        <f ca="1">_xll.DBRW($B$9,$C$11,$C$12,R$17,$C$13,$B31,R$18)</f>
        <v>0</v>
      </c>
      <c r="S31" s="8">
        <f ca="1">_xll.DBRW($B$9,$C$11,$C$12,S$17,$C$13,$B31,S$18)</f>
        <v>0</v>
      </c>
      <c r="T31" s="16">
        <f ca="1">_xll.DBRW($B$9,$C$11,$C$12,T$17,$C$13,$B31,T$18)</f>
        <v>0</v>
      </c>
      <c r="U31" s="8">
        <f ca="1">_xll.DBRW($B$9,$C$11,$C$12,U$17,$C$13,$B31,U$18)</f>
        <v>0</v>
      </c>
      <c r="V31" s="8">
        <f ca="1">_xll.DBRW($B$9,$C$11,$C$12,V$17,$C$13,$B31,V$18)</f>
        <v>0</v>
      </c>
      <c r="W31" s="8">
        <f ca="1">_xll.DBRW($B$9,$C$11,$C$12,W$17,$C$13,$B31,W$18)</f>
        <v>0</v>
      </c>
    </row>
    <row r="32" spans="1:23" x14ac:dyDescent="0.25">
      <c r="A32">
        <f ca="1">IF(_xll.TM1RPTELISCONSOLIDATED($B$19,$B32),IF(_xll.TM1RPTELLEV($B$19,$B32)&lt;=3,_xll.TM1RPTELLEV($B$19,$B32),"D"),"N")</f>
        <v>2</v>
      </c>
      <c r="B32" s="23" t="s">
        <v>33</v>
      </c>
      <c r="C32" s="14">
        <f ca="1">_xll.DBRW($B$9,$C$11,$C$12,C$17,$C$13,$B32,C$18)</f>
        <v>13</v>
      </c>
      <c r="D32" s="11">
        <f ca="1">_xll.DBRW($B$9,$C$11,$C$12,D$17,$C$13,$B32,D$18)</f>
        <v>9565.9715384615392</v>
      </c>
      <c r="E32" s="15">
        <f ca="1">_xll.DBRW($B$9,$C$11,$C$12,E$17,$C$13,$B32,E$18)</f>
        <v>124357.63</v>
      </c>
      <c r="F32" s="14">
        <f ca="1">_xll.DBRW($B$9,$C$11,$C$12,F$17,$C$13,$B32,F$18)</f>
        <v>15</v>
      </c>
      <c r="G32" s="11">
        <f ca="1">_xll.DBRW($B$9,$C$11,$C$12,G$17,$C$13,$B32,G$18)</f>
        <v>11734.727999999999</v>
      </c>
      <c r="H32" s="15">
        <f ca="1">_xll.DBRW($B$9,$C$11,$C$12,H$17,$C$13,$B32,H$18)</f>
        <v>176020.91999999998</v>
      </c>
      <c r="I32" s="3">
        <f ca="1">_xll.DBRW($B$9,$C$11,$C$12,I$17,$C$13,$B32,I$18)</f>
        <v>10</v>
      </c>
      <c r="J32" s="3">
        <f ca="1">_xll.DBRW($B$9,$C$11,$C$12,J$17,$C$13,$B32,J$18)</f>
        <v>15212.354000000001</v>
      </c>
      <c r="K32" s="15">
        <f ca="1">_xll.DBRW($B$9,$C$11,$C$12,K$17,$C$13,$B32,K$18)</f>
        <v>152123.54</v>
      </c>
      <c r="L32" s="11">
        <f ca="1">_xll.DBRW($B$9,$C$11,$C$12,L$17,$C$13,$B32,L$18)</f>
        <v>7</v>
      </c>
      <c r="M32" s="11">
        <f ca="1">_xll.DBRW($B$9,$C$11,$C$12,M$17,$C$13,$B32,M$18)</f>
        <v>15625.926666666666</v>
      </c>
      <c r="N32" s="15">
        <f ca="1">_xll.DBRW($B$9,$C$11,$C$12,N$17,$C$13,$B32,N$18)</f>
        <v>109381.48666666666</v>
      </c>
      <c r="O32" s="3">
        <f ca="1">_xll.DBRW($B$9,$C$11,$C$12,O$17,$C$13,$B32,O$18)</f>
        <v>7</v>
      </c>
      <c r="P32" s="3">
        <f ca="1">_xll.DBRW($B$9,$C$11,$C$12,P$17,$C$13,$B32,P$18)</f>
        <v>15625.926666666666</v>
      </c>
      <c r="Q32" s="15">
        <f ca="1">_xll.DBRW($B$9,$C$11,$C$12,Q$17,$C$13,$B32,Q$18)</f>
        <v>109381.48666666666</v>
      </c>
      <c r="R32" s="3">
        <f ca="1">_xll.DBRW($B$9,$C$11,$C$12,R$17,$C$13,$B32,R$18)</f>
        <v>7</v>
      </c>
      <c r="S32" s="3">
        <f ca="1">_xll.DBRW($B$9,$C$11,$C$12,S$17,$C$13,$B32,S$18)</f>
        <v>15625.926666666666</v>
      </c>
      <c r="T32" s="15">
        <f ca="1">_xll.DBRW($B$9,$C$11,$C$12,T$17,$C$13,$B32,T$18)</f>
        <v>109381.48666666666</v>
      </c>
      <c r="U32" s="3">
        <f ca="1">_xll.DBRW($B$9,$C$11,$C$12,U$17,$C$13,$B32,U$18)</f>
        <v>7</v>
      </c>
      <c r="V32" s="3">
        <f ca="1">_xll.DBRW($B$9,$C$11,$C$12,V$17,$C$13,$B32,V$18)</f>
        <v>15625.926666666666</v>
      </c>
      <c r="W32" s="15">
        <f ca="1">_xll.DBRW($B$9,$C$11,$C$12,W$17,$C$13,$B32,W$18)</f>
        <v>109381.48666666666</v>
      </c>
    </row>
    <row r="33" spans="1:23" x14ac:dyDescent="0.25">
      <c r="A33" t="str">
        <f ca="1">IF(_xll.TM1RPTELISCONSOLIDATED($B$19,$B33),IF(_xll.TM1RPTELLEV($B$19,$B33)&lt;=3,_xll.TM1RPTELLEV($B$19,$B33),"D"),"N")</f>
        <v>N</v>
      </c>
      <c r="B33" s="24" t="s">
        <v>34</v>
      </c>
      <c r="C33" s="14">
        <f ca="1">_xll.DBRW($B$9,$C$11,$C$12,C$17,$C$13,$B33,C$18)</f>
        <v>1</v>
      </c>
      <c r="D33" s="11">
        <f ca="1">_xll.DBRW($B$9,$C$11,$C$12,D$17,$C$13,$B33,D$18)</f>
        <v>10706</v>
      </c>
      <c r="E33" s="15">
        <f ca="1">_xll.DBRW($B$9,$C$11,$C$12,E$17,$C$13,$B33,E$18)</f>
        <v>10706</v>
      </c>
      <c r="F33" s="14">
        <f ca="1">_xll.DBRW($B$9,$C$11,$C$12,F$17,$C$13,$B33,F$18)</f>
        <v>2</v>
      </c>
      <c r="G33" s="11">
        <f ca="1">_xll.DBRW($B$9,$C$11,$C$12,G$17,$C$13,$B33,G$18)</f>
        <v>21309.5</v>
      </c>
      <c r="H33" s="15">
        <f ca="1">_xll.DBRW($B$9,$C$11,$C$12,H$17,$C$13,$B33,H$18)</f>
        <v>42619</v>
      </c>
      <c r="I33" s="3">
        <f ca="1">_xll.DBRW($B$9,$C$11,$C$12,I$17,$C$13,$B33,I$18)</f>
        <v>5</v>
      </c>
      <c r="J33" s="3">
        <f ca="1">_xll.DBRW($B$9,$C$11,$C$12,J$17,$C$13,$B33,J$18)</f>
        <v>19565.708000000002</v>
      </c>
      <c r="K33" s="15">
        <f ca="1">_xll.DBRW($B$9,$C$11,$C$12,K$17,$C$13,$B33,K$18)</f>
        <v>97828.540000000008</v>
      </c>
      <c r="L33" s="8">
        <f ca="1">_xll.DBRW($B$9,$C$11,$C$12,L$17,$C$13,$B33,L$18)</f>
        <v>1</v>
      </c>
      <c r="M33" s="8">
        <f ca="1">_xll.DBRW($B$9,$C$11,$C$12,M$17,$C$13,$B33,M$18)</f>
        <v>46815.846666666665</v>
      </c>
      <c r="N33" s="16">
        <f ca="1">_xll.DBRW($B$9,$C$11,$C$12,N$17,$C$13,$B33,N$18)</f>
        <v>46815.846666666665</v>
      </c>
      <c r="O33" s="8">
        <f ca="1">_xll.DBRW($B$9,$C$11,$C$12,O$17,$C$13,$B33,O$18)</f>
        <v>1</v>
      </c>
      <c r="P33" s="8">
        <f ca="1">_xll.DBRW($B$9,$C$11,$C$12,P$17,$C$13,$B33,P$18)</f>
        <v>46815.846666666665</v>
      </c>
      <c r="Q33" s="16">
        <f ca="1">_xll.DBRW($B$9,$C$11,$C$12,Q$17,$C$13,$B33,Q$18)</f>
        <v>46815.846666666665</v>
      </c>
      <c r="R33" s="8">
        <f ca="1">_xll.DBRW($B$9,$C$11,$C$12,R$17,$C$13,$B33,R$18)</f>
        <v>1</v>
      </c>
      <c r="S33" s="8">
        <f ca="1">_xll.DBRW($B$9,$C$11,$C$12,S$17,$C$13,$B33,S$18)</f>
        <v>46815.846666666665</v>
      </c>
      <c r="T33" s="16">
        <f ca="1">_xll.DBRW($B$9,$C$11,$C$12,T$17,$C$13,$B33,T$18)</f>
        <v>46815.846666666665</v>
      </c>
      <c r="U33" s="8">
        <f ca="1">_xll.DBRW($B$9,$C$11,$C$12,U$17,$C$13,$B33,U$18)</f>
        <v>1</v>
      </c>
      <c r="V33" s="8">
        <f ca="1">_xll.DBRW($B$9,$C$11,$C$12,V$17,$C$13,$B33,V$18)</f>
        <v>46815.846666666665</v>
      </c>
      <c r="W33" s="8">
        <f ca="1">_xll.DBRW($B$9,$C$11,$C$12,W$17,$C$13,$B33,W$18)</f>
        <v>46815.846666666665</v>
      </c>
    </row>
    <row r="34" spans="1:23" x14ac:dyDescent="0.25">
      <c r="A34" t="str">
        <f ca="1">IF(_xll.TM1RPTELISCONSOLIDATED($B$19,$B34),IF(_xll.TM1RPTELLEV($B$19,$B34)&lt;=3,_xll.TM1RPTELLEV($B$19,$B34),"D"),"N")</f>
        <v>N</v>
      </c>
      <c r="B34" s="24" t="s">
        <v>35</v>
      </c>
      <c r="C34" s="14">
        <f ca="1">_xll.DBRW($B$9,$C$11,$C$12,C$17,$C$13,$B34,C$18)</f>
        <v>12</v>
      </c>
      <c r="D34" s="11">
        <f ca="1">_xll.DBRW($B$9,$C$11,$C$12,D$17,$C$13,$B34,D$18)</f>
        <v>9470.9691666666677</v>
      </c>
      <c r="E34" s="15">
        <f ca="1">_xll.DBRW($B$9,$C$11,$C$12,E$17,$C$13,$B34,E$18)</f>
        <v>113651.63</v>
      </c>
      <c r="F34" s="14">
        <f ca="1">_xll.DBRW($B$9,$C$11,$C$12,F$17,$C$13,$B34,F$18)</f>
        <v>13</v>
      </c>
      <c r="G34" s="11">
        <f ca="1">_xll.DBRW($B$9,$C$11,$C$12,G$17,$C$13,$B34,G$18)</f>
        <v>10261.686153846153</v>
      </c>
      <c r="H34" s="15">
        <f ca="1">_xll.DBRW($B$9,$C$11,$C$12,H$17,$C$13,$B34,H$18)</f>
        <v>133401.91999999998</v>
      </c>
      <c r="I34" s="3">
        <f ca="1">_xll.DBRW($B$9,$C$11,$C$12,I$17,$C$13,$B34,I$18)</f>
        <v>5</v>
      </c>
      <c r="J34" s="3">
        <f ca="1">_xll.DBRW($B$9,$C$11,$C$12,J$17,$C$13,$B34,J$18)</f>
        <v>10859</v>
      </c>
      <c r="K34" s="15">
        <f ca="1">_xll.DBRW($B$9,$C$11,$C$12,K$17,$C$13,$B34,K$18)</f>
        <v>54295</v>
      </c>
      <c r="L34" s="8">
        <f ca="1">_xll.DBRW($B$9,$C$11,$C$12,L$17,$C$13,$B34,L$18)</f>
        <v>6</v>
      </c>
      <c r="M34" s="8">
        <f ca="1">_xll.DBRW($B$9,$C$11,$C$12,M$17,$C$13,$B34,M$18)</f>
        <v>10427.606666666668</v>
      </c>
      <c r="N34" s="16">
        <f ca="1">_xll.DBRW($B$9,$C$11,$C$12,N$17,$C$13,$B34,N$18)</f>
        <v>62565.640000000007</v>
      </c>
      <c r="O34" s="8">
        <f ca="1">_xll.DBRW($B$9,$C$11,$C$12,O$17,$C$13,$B34,O$18)</f>
        <v>6</v>
      </c>
      <c r="P34" s="8">
        <f ca="1">_xll.DBRW($B$9,$C$11,$C$12,P$17,$C$13,$B34,P$18)</f>
        <v>10427.606666666668</v>
      </c>
      <c r="Q34" s="16">
        <f ca="1">_xll.DBRW($B$9,$C$11,$C$12,Q$17,$C$13,$B34,Q$18)</f>
        <v>62565.640000000007</v>
      </c>
      <c r="R34" s="8">
        <f ca="1">_xll.DBRW($B$9,$C$11,$C$12,R$17,$C$13,$B34,R$18)</f>
        <v>6</v>
      </c>
      <c r="S34" s="8">
        <f ca="1">_xll.DBRW($B$9,$C$11,$C$12,S$17,$C$13,$B34,S$18)</f>
        <v>10427.606666666668</v>
      </c>
      <c r="T34" s="16">
        <f ca="1">_xll.DBRW($B$9,$C$11,$C$12,T$17,$C$13,$B34,T$18)</f>
        <v>62565.640000000007</v>
      </c>
      <c r="U34" s="8">
        <f ca="1">_xll.DBRW($B$9,$C$11,$C$12,U$17,$C$13,$B34,U$18)</f>
        <v>6</v>
      </c>
      <c r="V34" s="8">
        <f ca="1">_xll.DBRW($B$9,$C$11,$C$12,V$17,$C$13,$B34,V$18)</f>
        <v>10427.606666666668</v>
      </c>
      <c r="W34" s="8">
        <f ca="1">_xll.DBRW($B$9,$C$11,$C$12,W$17,$C$13,$B34,W$18)</f>
        <v>62565.640000000007</v>
      </c>
    </row>
    <row r="35" spans="1:23" x14ac:dyDescent="0.25">
      <c r="A35">
        <f ca="1">IF(_xll.TM1RPTELISCONSOLIDATED($B$19,$B35),IF(_xll.TM1RPTELLEV($B$19,$B35)&lt;=3,_xll.TM1RPTELLEV($B$19,$B35),"D"),"N")</f>
        <v>1</v>
      </c>
      <c r="B35" s="21" t="s">
        <v>36</v>
      </c>
      <c r="C35" s="14">
        <f ca="1">_xll.DBRW($B$9,$C$11,$C$12,C$17,$C$13,$B35,C$18)</f>
        <v>0</v>
      </c>
      <c r="D35" s="11">
        <f ca="1">_xll.DBRW($B$9,$C$11,$C$12,D$17,$C$13,$B35,D$18)</f>
        <v>0</v>
      </c>
      <c r="E35" s="15">
        <f ca="1">_xll.DBRW($B$9,$C$11,$C$12,E$17,$C$13,$B35,E$18)</f>
        <v>0</v>
      </c>
      <c r="F35" s="14">
        <f ca="1">_xll.DBRW($B$9,$C$11,$C$12,F$17,$C$13,$B35,F$18)</f>
        <v>0</v>
      </c>
      <c r="G35" s="11">
        <f ca="1">_xll.DBRW($B$9,$C$11,$C$12,G$17,$C$13,$B35,G$18)</f>
        <v>0</v>
      </c>
      <c r="H35" s="15">
        <f ca="1">_xll.DBRW($B$9,$C$11,$C$12,H$17,$C$13,$B35,H$18)</f>
        <v>0</v>
      </c>
      <c r="I35" s="3">
        <f ca="1">_xll.DBRW($B$9,$C$11,$C$12,I$17,$C$13,$B35,I$18)</f>
        <v>0</v>
      </c>
      <c r="J35" s="3">
        <f ca="1">_xll.DBRW($B$9,$C$11,$C$12,J$17,$C$13,$B35,J$18)</f>
        <v>0</v>
      </c>
      <c r="K35" s="15">
        <f ca="1">_xll.DBRW($B$9,$C$11,$C$12,K$17,$C$13,$B35,K$18)</f>
        <v>0</v>
      </c>
      <c r="L35" s="11">
        <f ca="1">_xll.DBRW($B$9,$C$11,$C$12,L$17,$C$13,$B35,L$18)</f>
        <v>0</v>
      </c>
      <c r="M35" s="11">
        <f ca="1">_xll.DBRW($B$9,$C$11,$C$12,M$17,$C$13,$B35,M$18)</f>
        <v>0</v>
      </c>
      <c r="N35" s="15">
        <f ca="1">_xll.DBRW($B$9,$C$11,$C$12,N$17,$C$13,$B35,N$18)</f>
        <v>0</v>
      </c>
      <c r="O35" s="3">
        <f ca="1">_xll.DBRW($B$9,$C$11,$C$12,O$17,$C$13,$B35,O$18)</f>
        <v>0</v>
      </c>
      <c r="P35" s="3">
        <f ca="1">_xll.DBRW($B$9,$C$11,$C$12,P$17,$C$13,$B35,P$18)</f>
        <v>0</v>
      </c>
      <c r="Q35" s="15">
        <f ca="1">_xll.DBRW($B$9,$C$11,$C$12,Q$17,$C$13,$B35,Q$18)</f>
        <v>0</v>
      </c>
      <c r="R35" s="3">
        <f ca="1">_xll.DBRW($B$9,$C$11,$C$12,R$17,$C$13,$B35,R$18)</f>
        <v>0</v>
      </c>
      <c r="S35" s="3">
        <f ca="1">_xll.DBRW($B$9,$C$11,$C$12,S$17,$C$13,$B35,S$18)</f>
        <v>0</v>
      </c>
      <c r="T35" s="15">
        <f ca="1">_xll.DBRW($B$9,$C$11,$C$12,T$17,$C$13,$B35,T$18)</f>
        <v>0</v>
      </c>
      <c r="U35" s="3">
        <f ca="1">_xll.DBRW($B$9,$C$11,$C$12,U$17,$C$13,$B35,U$18)</f>
        <v>0</v>
      </c>
      <c r="V35" s="3">
        <f ca="1">_xll.DBRW($B$9,$C$11,$C$12,V$17,$C$13,$B35,V$18)</f>
        <v>0</v>
      </c>
      <c r="W35" s="15">
        <f ca="1">_xll.DBRW($B$9,$C$11,$C$12,W$17,$C$13,$B35,W$18)</f>
        <v>0</v>
      </c>
    </row>
    <row r="36" spans="1:23" x14ac:dyDescent="0.25">
      <c r="A36" t="str">
        <f ca="1">IF(_xll.TM1RPTELISCONSOLIDATED($B$19,$B36),IF(_xll.TM1RPTELLEV($B$19,$B36)&lt;=3,_xll.TM1RPTELLEV($B$19,$B36),"D"),"N")</f>
        <v>N</v>
      </c>
      <c r="B36" s="22" t="s">
        <v>37</v>
      </c>
      <c r="C36" s="14">
        <f ca="1">_xll.DBRW($B$9,$C$11,$C$12,C$17,$C$13,$B36,C$18)</f>
        <v>0</v>
      </c>
      <c r="D36" s="11">
        <f ca="1">_xll.DBRW($B$9,$C$11,$C$12,D$17,$C$13,$B36,D$18)</f>
        <v>0</v>
      </c>
      <c r="E36" s="15">
        <f ca="1">_xll.DBRW($B$9,$C$11,$C$12,E$17,$C$13,$B36,E$18)</f>
        <v>0</v>
      </c>
      <c r="F36" s="14">
        <f ca="1">_xll.DBRW($B$9,$C$11,$C$12,F$17,$C$13,$B36,F$18)</f>
        <v>0</v>
      </c>
      <c r="G36" s="11">
        <f ca="1">_xll.DBRW($B$9,$C$11,$C$12,G$17,$C$13,$B36,G$18)</f>
        <v>0</v>
      </c>
      <c r="H36" s="15">
        <f ca="1">_xll.DBRW($B$9,$C$11,$C$12,H$17,$C$13,$B36,H$18)</f>
        <v>0</v>
      </c>
      <c r="I36" s="3">
        <f ca="1">_xll.DBRW($B$9,$C$11,$C$12,I$17,$C$13,$B36,I$18)</f>
        <v>0</v>
      </c>
      <c r="J36" s="3">
        <f ca="1">_xll.DBRW($B$9,$C$11,$C$12,J$17,$C$13,$B36,J$18)</f>
        <v>0</v>
      </c>
      <c r="K36" s="15">
        <f ca="1">_xll.DBRW($B$9,$C$11,$C$12,K$17,$C$13,$B36,K$18)</f>
        <v>0</v>
      </c>
      <c r="L36" s="8">
        <f ca="1">_xll.DBRW($B$9,$C$11,$C$12,L$17,$C$13,$B36,L$18)</f>
        <v>0</v>
      </c>
      <c r="M36" s="8">
        <f ca="1">_xll.DBRW($B$9,$C$11,$C$12,M$17,$C$13,$B36,M$18)</f>
        <v>0</v>
      </c>
      <c r="N36" s="16">
        <f ca="1">_xll.DBRW($B$9,$C$11,$C$12,N$17,$C$13,$B36,N$18)</f>
        <v>0</v>
      </c>
      <c r="O36" s="8">
        <f ca="1">_xll.DBRW($B$9,$C$11,$C$12,O$17,$C$13,$B36,O$18)</f>
        <v>0</v>
      </c>
      <c r="P36" s="8">
        <f ca="1">_xll.DBRW($B$9,$C$11,$C$12,P$17,$C$13,$B36,P$18)</f>
        <v>0</v>
      </c>
      <c r="Q36" s="16">
        <f ca="1">_xll.DBRW($B$9,$C$11,$C$12,Q$17,$C$13,$B36,Q$18)</f>
        <v>0</v>
      </c>
      <c r="R36" s="8">
        <f ca="1">_xll.DBRW($B$9,$C$11,$C$12,R$17,$C$13,$B36,R$18)</f>
        <v>0</v>
      </c>
      <c r="S36" s="8">
        <f ca="1">_xll.DBRW($B$9,$C$11,$C$12,S$17,$C$13,$B36,S$18)</f>
        <v>0</v>
      </c>
      <c r="T36" s="16">
        <f ca="1">_xll.DBRW($B$9,$C$11,$C$12,T$17,$C$13,$B36,T$18)</f>
        <v>0</v>
      </c>
      <c r="U36" s="8">
        <f ca="1">_xll.DBRW($B$9,$C$11,$C$12,U$17,$C$13,$B36,U$18)</f>
        <v>0</v>
      </c>
      <c r="V36" s="8">
        <f ca="1">_xll.DBRW($B$9,$C$11,$C$12,V$17,$C$13,$B36,V$18)</f>
        <v>0</v>
      </c>
      <c r="W36" s="8">
        <f ca="1">_xll.DBRW($B$9,$C$11,$C$12,W$17,$C$13,$B36,W$18)</f>
        <v>0</v>
      </c>
    </row>
    <row r="37" spans="1:23" x14ac:dyDescent="0.25">
      <c r="A37">
        <f ca="1">IF(_xll.TM1RPTELISCONSOLIDATED($B$19,$B37),IF(_xll.TM1RPTELLEV($B$19,$B37)&lt;=3,_xll.TM1RPTELLEV($B$19,$B37),"D"),"N")</f>
        <v>1</v>
      </c>
      <c r="B37" s="21" t="s">
        <v>20</v>
      </c>
      <c r="C37" s="14">
        <f ca="1">_xll.DBRW($B$9,$C$11,$C$12,C$17,$C$13,$B37,C$18)</f>
        <v>75</v>
      </c>
      <c r="D37" s="11">
        <f ca="1">_xll.DBRW($B$9,$C$11,$C$12,D$17,$C$13,$B37,D$18)</f>
        <v>11769.780666666666</v>
      </c>
      <c r="E37" s="15">
        <f ca="1">_xll.DBRW($B$9,$C$11,$C$12,E$17,$C$13,$B37,E$18)</f>
        <v>882733.54999999993</v>
      </c>
      <c r="F37" s="14">
        <f ca="1">_xll.DBRW($B$9,$C$11,$C$12,F$17,$C$13,$B37,F$18)</f>
        <v>80</v>
      </c>
      <c r="G37" s="11">
        <f ca="1">_xll.DBRW($B$9,$C$11,$C$12,G$17,$C$13,$B37,G$18)</f>
        <v>9613.8887500000001</v>
      </c>
      <c r="H37" s="15">
        <f ca="1">_xll.DBRW($B$9,$C$11,$C$12,H$17,$C$13,$B37,H$18)</f>
        <v>769111.1</v>
      </c>
      <c r="I37" s="3">
        <f ca="1">_xll.DBRW($B$9,$C$11,$C$12,I$17,$C$13,$B37,I$18)</f>
        <v>83</v>
      </c>
      <c r="J37" s="3">
        <f ca="1">_xll.DBRW($B$9,$C$11,$C$12,J$17,$C$13,$B37,J$18)</f>
        <v>11734.669879518073</v>
      </c>
      <c r="K37" s="15">
        <f ca="1">_xll.DBRW($B$9,$C$11,$C$12,K$17,$C$13,$B37,K$18)</f>
        <v>973977.60000000009</v>
      </c>
      <c r="L37" s="11">
        <f ca="1">_xll.DBRW($B$9,$C$11,$C$12,L$17,$C$13,$B37,L$18)</f>
        <v>52</v>
      </c>
      <c r="M37" s="11">
        <f ca="1">_xll.DBRW($B$9,$C$11,$C$12,M$17,$C$13,$B37,M$18)</f>
        <v>11173.645512820513</v>
      </c>
      <c r="N37" s="15">
        <f ca="1">_xll.DBRW($B$9,$C$11,$C$12,N$17,$C$13,$B37,N$18)</f>
        <v>581029.56666666665</v>
      </c>
      <c r="O37" s="3">
        <f ca="1">_xll.DBRW($B$9,$C$11,$C$12,O$17,$C$13,$B37,O$18)</f>
        <v>52</v>
      </c>
      <c r="P37" s="3">
        <f ca="1">_xll.DBRW($B$9,$C$11,$C$12,P$17,$C$13,$B37,P$18)</f>
        <v>11173.645512820513</v>
      </c>
      <c r="Q37" s="15">
        <f ca="1">_xll.DBRW($B$9,$C$11,$C$12,Q$17,$C$13,$B37,Q$18)</f>
        <v>581029.56666666665</v>
      </c>
      <c r="R37" s="3">
        <f ca="1">_xll.DBRW($B$9,$C$11,$C$12,R$17,$C$13,$B37,R$18)</f>
        <v>52</v>
      </c>
      <c r="S37" s="3">
        <f ca="1">_xll.DBRW($B$9,$C$11,$C$12,S$17,$C$13,$B37,S$18)</f>
        <v>11173.645512820513</v>
      </c>
      <c r="T37" s="15">
        <f ca="1">_xll.DBRW($B$9,$C$11,$C$12,T$17,$C$13,$B37,T$18)</f>
        <v>581029.56666666665</v>
      </c>
      <c r="U37" s="3">
        <f ca="1">_xll.DBRW($B$9,$C$11,$C$12,U$17,$C$13,$B37,U$18)</f>
        <v>52</v>
      </c>
      <c r="V37" s="3">
        <f ca="1">_xll.DBRW($B$9,$C$11,$C$12,V$17,$C$13,$B37,V$18)</f>
        <v>11173.645512820513</v>
      </c>
      <c r="W37" s="15">
        <f ca="1">_xll.DBRW($B$9,$C$11,$C$12,W$17,$C$13,$B37,W$18)</f>
        <v>581029.56666666665</v>
      </c>
    </row>
    <row r="38" spans="1:23" x14ac:dyDescent="0.25">
      <c r="A38" t="str">
        <f ca="1">IF(_xll.TM1RPTELISCONSOLIDATED($B$19,$B38),IF(_xll.TM1RPTELLEV($B$19,$B38)&lt;=3,_xll.TM1RPTELLEV($B$19,$B38),"D"),"N")</f>
        <v>N</v>
      </c>
      <c r="B38" s="22" t="s">
        <v>21</v>
      </c>
      <c r="C38" s="14">
        <f ca="1">_xll.DBRW($B$9,$C$11,$C$12,C$17,$C$13,$B38,C$18)</f>
        <v>44</v>
      </c>
      <c r="D38" s="11">
        <f ca="1">_xll.DBRW($B$9,$C$11,$C$12,D$17,$C$13,$B38,D$18)</f>
        <v>6861.6863636363623</v>
      </c>
      <c r="E38" s="15">
        <f ca="1">_xll.DBRW($B$9,$C$11,$C$12,E$17,$C$13,$B38,E$18)</f>
        <v>301914.19999999995</v>
      </c>
      <c r="F38" s="14">
        <f ca="1">_xll.DBRW($B$9,$C$11,$C$12,F$17,$C$13,$B38,F$18)</f>
        <v>67</v>
      </c>
      <c r="G38" s="11">
        <f ca="1">_xll.DBRW($B$9,$C$11,$C$12,G$17,$C$13,$B38,G$18)</f>
        <v>7170.9074626865668</v>
      </c>
      <c r="H38" s="15">
        <f ca="1">_xll.DBRW($B$9,$C$11,$C$12,H$17,$C$13,$B38,H$18)</f>
        <v>480450.8</v>
      </c>
      <c r="I38" s="3">
        <f ca="1">_xll.DBRW($B$9,$C$11,$C$12,I$17,$C$13,$B38,I$18)</f>
        <v>56</v>
      </c>
      <c r="J38" s="3">
        <f ca="1">_xll.DBRW($B$9,$C$11,$C$12,J$17,$C$13,$B38,J$18)</f>
        <v>8143.1348214285726</v>
      </c>
      <c r="K38" s="15">
        <f ca="1">_xll.DBRW($B$9,$C$11,$C$12,K$17,$C$13,$B38,K$18)</f>
        <v>456015.55000000005</v>
      </c>
      <c r="L38" s="8">
        <f ca="1">_xll.DBRW($B$9,$C$11,$C$12,L$17,$C$13,$B38,L$18)</f>
        <v>41</v>
      </c>
      <c r="M38" s="8">
        <f ca="1">_xll.DBRW($B$9,$C$11,$C$12,M$17,$C$13,$B38,M$18)</f>
        <v>7613.5475609756086</v>
      </c>
      <c r="N38" s="16">
        <f ca="1">_xll.DBRW($B$9,$C$11,$C$12,N$17,$C$13,$B38,N$18)</f>
        <v>312155.44999999995</v>
      </c>
      <c r="O38" s="8">
        <f ca="1">_xll.DBRW($B$9,$C$11,$C$12,O$17,$C$13,$B38,O$18)</f>
        <v>41</v>
      </c>
      <c r="P38" s="8">
        <f ca="1">_xll.DBRW($B$9,$C$11,$C$12,P$17,$C$13,$B38,P$18)</f>
        <v>7613.5475609756086</v>
      </c>
      <c r="Q38" s="16">
        <f ca="1">_xll.DBRW($B$9,$C$11,$C$12,Q$17,$C$13,$B38,Q$18)</f>
        <v>312155.44999999995</v>
      </c>
      <c r="R38" s="8">
        <f ca="1">_xll.DBRW($B$9,$C$11,$C$12,R$17,$C$13,$B38,R$18)</f>
        <v>41</v>
      </c>
      <c r="S38" s="8">
        <f ca="1">_xll.DBRW($B$9,$C$11,$C$12,S$17,$C$13,$B38,S$18)</f>
        <v>7613.5475609756086</v>
      </c>
      <c r="T38" s="16">
        <f ca="1">_xll.DBRW($B$9,$C$11,$C$12,T$17,$C$13,$B38,T$18)</f>
        <v>312155.44999999995</v>
      </c>
      <c r="U38" s="8">
        <f ca="1">_xll.DBRW($B$9,$C$11,$C$12,U$17,$C$13,$B38,U$18)</f>
        <v>41</v>
      </c>
      <c r="V38" s="8">
        <f ca="1">_xll.DBRW($B$9,$C$11,$C$12,V$17,$C$13,$B38,V$18)</f>
        <v>7613.5475609756086</v>
      </c>
      <c r="W38" s="8">
        <f ca="1">_xll.DBRW($B$9,$C$11,$C$12,W$17,$C$13,$B38,W$18)</f>
        <v>312155.44999999995</v>
      </c>
    </row>
    <row r="39" spans="1:23" x14ac:dyDescent="0.25">
      <c r="A39" t="str">
        <f ca="1">IF(_xll.TM1RPTELISCONSOLIDATED($B$19,$B39),IF(_xll.TM1RPTELLEV($B$19,$B39)&lt;=3,_xll.TM1RPTELLEV($B$19,$B39),"D"),"N")</f>
        <v>N</v>
      </c>
      <c r="B39" s="22" t="s">
        <v>22</v>
      </c>
      <c r="C39" s="14">
        <f ca="1">_xll.DBRW($B$9,$C$11,$C$12,C$17,$C$13,$B39,C$18)</f>
        <v>12</v>
      </c>
      <c r="D39" s="11">
        <f ca="1">_xll.DBRW($B$9,$C$11,$C$12,D$17,$C$13,$B39,D$18)</f>
        <v>21266.3125</v>
      </c>
      <c r="E39" s="15">
        <f ca="1">_xll.DBRW($B$9,$C$11,$C$12,E$17,$C$13,$B39,E$18)</f>
        <v>255195.75</v>
      </c>
      <c r="F39" s="14">
        <f ca="1">_xll.DBRW($B$9,$C$11,$C$12,F$17,$C$13,$B39,F$18)</f>
        <v>5</v>
      </c>
      <c r="G39" s="11">
        <f ca="1">_xll.DBRW($B$9,$C$11,$C$12,G$17,$C$13,$B39,G$18)</f>
        <v>22406.559999999998</v>
      </c>
      <c r="H39" s="15">
        <f ca="1">_xll.DBRW($B$9,$C$11,$C$12,H$17,$C$13,$B39,H$18)</f>
        <v>112032.79999999999</v>
      </c>
      <c r="I39" s="3">
        <f ca="1">_xll.DBRW($B$9,$C$11,$C$12,I$17,$C$13,$B39,I$18)</f>
        <v>12</v>
      </c>
      <c r="J39" s="3">
        <f ca="1">_xll.DBRW($B$9,$C$11,$C$12,J$17,$C$13,$B39,J$18)</f>
        <v>21089.587499999998</v>
      </c>
      <c r="K39" s="15">
        <f ca="1">_xll.DBRW($B$9,$C$11,$C$12,K$17,$C$13,$B39,K$18)</f>
        <v>253075.05</v>
      </c>
      <c r="L39" s="8">
        <f ca="1">_xll.DBRW($B$9,$C$11,$C$12,L$17,$C$13,$B39,L$18)</f>
        <v>5</v>
      </c>
      <c r="M39" s="8">
        <f ca="1">_xll.DBRW($B$9,$C$11,$C$12,M$17,$C$13,$B39,M$18)</f>
        <v>24340.523333333334</v>
      </c>
      <c r="N39" s="16">
        <f ca="1">_xll.DBRW($B$9,$C$11,$C$12,N$17,$C$13,$B39,N$18)</f>
        <v>121702.61666666667</v>
      </c>
      <c r="O39" s="8">
        <f ca="1">_xll.DBRW($B$9,$C$11,$C$12,O$17,$C$13,$B39,O$18)</f>
        <v>5</v>
      </c>
      <c r="P39" s="8">
        <f ca="1">_xll.DBRW($B$9,$C$11,$C$12,P$17,$C$13,$B39,P$18)</f>
        <v>24340.523333333334</v>
      </c>
      <c r="Q39" s="16">
        <f ca="1">_xll.DBRW($B$9,$C$11,$C$12,Q$17,$C$13,$B39,Q$18)</f>
        <v>121702.61666666667</v>
      </c>
      <c r="R39" s="8">
        <f ca="1">_xll.DBRW($B$9,$C$11,$C$12,R$17,$C$13,$B39,R$18)</f>
        <v>5</v>
      </c>
      <c r="S39" s="8">
        <f ca="1">_xll.DBRW($B$9,$C$11,$C$12,S$17,$C$13,$B39,S$18)</f>
        <v>24340.523333333334</v>
      </c>
      <c r="T39" s="16">
        <f ca="1">_xll.DBRW($B$9,$C$11,$C$12,T$17,$C$13,$B39,T$18)</f>
        <v>121702.61666666667</v>
      </c>
      <c r="U39" s="8">
        <f ca="1">_xll.DBRW($B$9,$C$11,$C$12,U$17,$C$13,$B39,U$18)</f>
        <v>5</v>
      </c>
      <c r="V39" s="8">
        <f ca="1">_xll.DBRW($B$9,$C$11,$C$12,V$17,$C$13,$B39,V$18)</f>
        <v>24340.523333333334</v>
      </c>
      <c r="W39" s="8">
        <f ca="1">_xll.DBRW($B$9,$C$11,$C$12,W$17,$C$13,$B39,W$18)</f>
        <v>121702.61666666667</v>
      </c>
    </row>
    <row r="40" spans="1:23" x14ac:dyDescent="0.25">
      <c r="A40" t="str">
        <f ca="1">IF(_xll.TM1RPTELISCONSOLIDATED($B$19,$B40),IF(_xll.TM1RPTELLEV($B$19,$B40)&lt;=3,_xll.TM1RPTELLEV($B$19,$B40),"D"),"N")</f>
        <v>N</v>
      </c>
      <c r="B40" s="22" t="s">
        <v>23</v>
      </c>
      <c r="C40" s="14">
        <f ca="1">_xll.DBRW($B$9,$C$11,$C$12,C$17,$C$13,$B40,C$18)</f>
        <v>5</v>
      </c>
      <c r="D40" s="11">
        <f ca="1">_xll.DBRW($B$9,$C$11,$C$12,D$17,$C$13,$B40,D$18)</f>
        <v>9516.7999999999993</v>
      </c>
      <c r="E40" s="15">
        <f ca="1">_xll.DBRW($B$9,$C$11,$C$12,E$17,$C$13,$B40,E$18)</f>
        <v>47584</v>
      </c>
      <c r="F40" s="14">
        <f ca="1">_xll.DBRW($B$9,$C$11,$C$12,F$17,$C$13,$B40,F$18)</f>
        <v>4</v>
      </c>
      <c r="G40" s="11">
        <f ca="1">_xll.DBRW($B$9,$C$11,$C$12,G$17,$C$13,$B40,G$18)</f>
        <v>14806.5</v>
      </c>
      <c r="H40" s="15">
        <f ca="1">_xll.DBRW($B$9,$C$11,$C$12,H$17,$C$13,$B40,H$18)</f>
        <v>59226</v>
      </c>
      <c r="I40" s="3">
        <f ca="1">_xll.DBRW($B$9,$C$11,$C$12,I$17,$C$13,$B40,I$18)</f>
        <v>12</v>
      </c>
      <c r="J40" s="3">
        <f ca="1">_xll.DBRW($B$9,$C$11,$C$12,J$17,$C$13,$B40,J$18)</f>
        <v>13955.916666666666</v>
      </c>
      <c r="K40" s="15">
        <f ca="1">_xll.DBRW($B$9,$C$11,$C$12,K$17,$C$13,$B40,K$18)</f>
        <v>167471</v>
      </c>
      <c r="L40" s="8">
        <f ca="1">_xll.DBRW($B$9,$C$11,$C$12,L$17,$C$13,$B40,L$18)</f>
        <v>5</v>
      </c>
      <c r="M40" s="8">
        <f ca="1">_xll.DBRW($B$9,$C$11,$C$12,M$17,$C$13,$B40,M$18)</f>
        <v>15113.133333333335</v>
      </c>
      <c r="N40" s="16">
        <f ca="1">_xll.DBRW($B$9,$C$11,$C$12,N$17,$C$13,$B40,N$18)</f>
        <v>75565.666666666672</v>
      </c>
      <c r="O40" s="8">
        <f ca="1">_xll.DBRW($B$9,$C$11,$C$12,O$17,$C$13,$B40,O$18)</f>
        <v>5</v>
      </c>
      <c r="P40" s="8">
        <f ca="1">_xll.DBRW($B$9,$C$11,$C$12,P$17,$C$13,$B40,P$18)</f>
        <v>15113.133333333335</v>
      </c>
      <c r="Q40" s="16">
        <f ca="1">_xll.DBRW($B$9,$C$11,$C$12,Q$17,$C$13,$B40,Q$18)</f>
        <v>75565.666666666672</v>
      </c>
      <c r="R40" s="8">
        <f ca="1">_xll.DBRW($B$9,$C$11,$C$12,R$17,$C$13,$B40,R$18)</f>
        <v>5</v>
      </c>
      <c r="S40" s="8">
        <f ca="1">_xll.DBRW($B$9,$C$11,$C$12,S$17,$C$13,$B40,S$18)</f>
        <v>15113.133333333335</v>
      </c>
      <c r="T40" s="16">
        <f ca="1">_xll.DBRW($B$9,$C$11,$C$12,T$17,$C$13,$B40,T$18)</f>
        <v>75565.666666666672</v>
      </c>
      <c r="U40" s="8">
        <f ca="1">_xll.DBRW($B$9,$C$11,$C$12,U$17,$C$13,$B40,U$18)</f>
        <v>5</v>
      </c>
      <c r="V40" s="8">
        <f ca="1">_xll.DBRW($B$9,$C$11,$C$12,V$17,$C$13,$B40,V$18)</f>
        <v>15113.133333333335</v>
      </c>
      <c r="W40" s="8">
        <f ca="1">_xll.DBRW($B$9,$C$11,$C$12,W$17,$C$13,$B40,W$18)</f>
        <v>75565.666666666672</v>
      </c>
    </row>
    <row r="41" spans="1:23" x14ac:dyDescent="0.25">
      <c r="A41" t="str">
        <f ca="1">IF(_xll.TM1RPTELISCONSOLIDATED($B$19,$B41),IF(_xll.TM1RPTELLEV($B$19,$B41)&lt;=3,_xll.TM1RPTELLEV($B$19,$B41),"D"),"N")</f>
        <v>N</v>
      </c>
      <c r="B41" s="22" t="s">
        <v>38</v>
      </c>
      <c r="C41" s="14">
        <f ca="1">_xll.DBRW($B$9,$C$11,$C$12,C$17,$C$13,$B41,C$18)</f>
        <v>14</v>
      </c>
      <c r="D41" s="11">
        <f ca="1">_xll.DBRW($B$9,$C$11,$C$12,D$17,$C$13,$B41,D$18)</f>
        <v>19859.971428571425</v>
      </c>
      <c r="E41" s="15">
        <f ca="1">_xll.DBRW($B$9,$C$11,$C$12,E$17,$C$13,$B41,E$18)</f>
        <v>278039.59999999998</v>
      </c>
      <c r="F41" s="14">
        <f ca="1">_xll.DBRW($B$9,$C$11,$C$12,F$17,$C$13,$B41,F$18)</f>
        <v>4</v>
      </c>
      <c r="G41" s="11">
        <f ca="1">_xll.DBRW($B$9,$C$11,$C$12,G$17,$C$13,$B41,G$18)</f>
        <v>29350.375</v>
      </c>
      <c r="H41" s="15">
        <f ca="1">_xll.DBRW($B$9,$C$11,$C$12,H$17,$C$13,$B41,H$18)</f>
        <v>117401.5</v>
      </c>
      <c r="I41" s="3">
        <f ca="1">_xll.DBRW($B$9,$C$11,$C$12,I$17,$C$13,$B41,I$18)</f>
        <v>3</v>
      </c>
      <c r="J41" s="3">
        <f ca="1">_xll.DBRW($B$9,$C$11,$C$12,J$17,$C$13,$B41,J$18)</f>
        <v>32472</v>
      </c>
      <c r="K41" s="15">
        <f ca="1">_xll.DBRW($B$9,$C$11,$C$12,K$17,$C$13,$B41,K$18)</f>
        <v>97416</v>
      </c>
      <c r="L41" s="8">
        <f ca="1">_xll.DBRW($B$9,$C$11,$C$12,L$17,$C$13,$B41,L$18)</f>
        <v>1</v>
      </c>
      <c r="M41" s="8">
        <f ca="1">_xll.DBRW($B$9,$C$11,$C$12,M$17,$C$13,$B41,M$18)</f>
        <v>71605.833333333328</v>
      </c>
      <c r="N41" s="16">
        <f ca="1">_xll.DBRW($B$9,$C$11,$C$12,N$17,$C$13,$B41,N$18)</f>
        <v>71605.833333333328</v>
      </c>
      <c r="O41" s="8">
        <f ca="1">_xll.DBRW($B$9,$C$11,$C$12,O$17,$C$13,$B41,O$18)</f>
        <v>1</v>
      </c>
      <c r="P41" s="8">
        <f ca="1">_xll.DBRW($B$9,$C$11,$C$12,P$17,$C$13,$B41,P$18)</f>
        <v>71605.833333333328</v>
      </c>
      <c r="Q41" s="16">
        <f ca="1">_xll.DBRW($B$9,$C$11,$C$12,Q$17,$C$13,$B41,Q$18)</f>
        <v>71605.833333333328</v>
      </c>
      <c r="R41" s="8">
        <f ca="1">_xll.DBRW($B$9,$C$11,$C$12,R$17,$C$13,$B41,R$18)</f>
        <v>1</v>
      </c>
      <c r="S41" s="8">
        <f ca="1">_xll.DBRW($B$9,$C$11,$C$12,S$17,$C$13,$B41,S$18)</f>
        <v>71605.833333333328</v>
      </c>
      <c r="T41" s="16">
        <f ca="1">_xll.DBRW($B$9,$C$11,$C$12,T$17,$C$13,$B41,T$18)</f>
        <v>71605.833333333328</v>
      </c>
      <c r="U41" s="8">
        <f ca="1">_xll.DBRW($B$9,$C$11,$C$12,U$17,$C$13,$B41,U$18)</f>
        <v>1</v>
      </c>
      <c r="V41" s="8">
        <f ca="1">_xll.DBRW($B$9,$C$11,$C$12,V$17,$C$13,$B41,V$18)</f>
        <v>71605.833333333328</v>
      </c>
      <c r="W41" s="8">
        <f ca="1">_xll.DBRW($B$9,$C$11,$C$12,W$17,$C$13,$B41,W$18)</f>
        <v>71605.833333333328</v>
      </c>
    </row>
    <row r="42" spans="1:23" x14ac:dyDescent="0.25">
      <c r="A42">
        <f ca="1">IF(_xll.TM1RPTELISCONSOLIDATED($B$19,$B42),IF(_xll.TM1RPTELLEV($B$19,$B42)&lt;=3,_xll.TM1RPTELLEV($B$19,$B42),"D"),"N")</f>
        <v>1</v>
      </c>
      <c r="B42" s="21" t="s">
        <v>39</v>
      </c>
      <c r="C42" s="14">
        <f ca="1">_xll.DBRW($B$9,$C$11,$C$12,C$17,$C$13,$B42,C$18)</f>
        <v>0</v>
      </c>
      <c r="D42" s="11">
        <f ca="1">_xll.DBRW($B$9,$C$11,$C$12,D$17,$C$13,$B42,D$18)</f>
        <v>0</v>
      </c>
      <c r="E42" s="15">
        <f ca="1">_xll.DBRW($B$9,$C$11,$C$12,E$17,$C$13,$B42,E$18)</f>
        <v>0</v>
      </c>
      <c r="F42" s="14">
        <f ca="1">_xll.DBRW($B$9,$C$11,$C$12,F$17,$C$13,$B42,F$18)</f>
        <v>0</v>
      </c>
      <c r="G42" s="11">
        <f ca="1">_xll.DBRW($B$9,$C$11,$C$12,G$17,$C$13,$B42,G$18)</f>
        <v>0</v>
      </c>
      <c r="H42" s="15">
        <f ca="1">_xll.DBRW($B$9,$C$11,$C$12,H$17,$C$13,$B42,H$18)</f>
        <v>0</v>
      </c>
      <c r="I42" s="3">
        <f ca="1">_xll.DBRW($B$9,$C$11,$C$12,I$17,$C$13,$B42,I$18)</f>
        <v>0</v>
      </c>
      <c r="J42" s="3">
        <f ca="1">_xll.DBRW($B$9,$C$11,$C$12,J$17,$C$13,$B42,J$18)</f>
        <v>0</v>
      </c>
      <c r="K42" s="15">
        <f ca="1">_xll.DBRW($B$9,$C$11,$C$12,K$17,$C$13,$B42,K$18)</f>
        <v>0</v>
      </c>
      <c r="L42" s="11">
        <f ca="1">_xll.DBRW($B$9,$C$11,$C$12,L$17,$C$13,$B42,L$18)</f>
        <v>0</v>
      </c>
      <c r="M42" s="11">
        <f ca="1">_xll.DBRW($B$9,$C$11,$C$12,M$17,$C$13,$B42,M$18)</f>
        <v>0</v>
      </c>
      <c r="N42" s="15">
        <f ca="1">_xll.DBRW($B$9,$C$11,$C$12,N$17,$C$13,$B42,N$18)</f>
        <v>0</v>
      </c>
      <c r="O42" s="3">
        <f ca="1">_xll.DBRW($B$9,$C$11,$C$12,O$17,$C$13,$B42,O$18)</f>
        <v>0</v>
      </c>
      <c r="P42" s="3">
        <f ca="1">_xll.DBRW($B$9,$C$11,$C$12,P$17,$C$13,$B42,P$18)</f>
        <v>0</v>
      </c>
      <c r="Q42" s="15">
        <f ca="1">_xll.DBRW($B$9,$C$11,$C$12,Q$17,$C$13,$B42,Q$18)</f>
        <v>0</v>
      </c>
      <c r="R42" s="3">
        <f ca="1">_xll.DBRW($B$9,$C$11,$C$12,R$17,$C$13,$B42,R$18)</f>
        <v>0</v>
      </c>
      <c r="S42" s="3">
        <f ca="1">_xll.DBRW($B$9,$C$11,$C$12,S$17,$C$13,$B42,S$18)</f>
        <v>0</v>
      </c>
      <c r="T42" s="15">
        <f ca="1">_xll.DBRW($B$9,$C$11,$C$12,T$17,$C$13,$B42,T$18)</f>
        <v>0</v>
      </c>
      <c r="U42" s="3">
        <f ca="1">_xll.DBRW($B$9,$C$11,$C$12,U$17,$C$13,$B42,U$18)</f>
        <v>0</v>
      </c>
      <c r="V42" s="3">
        <f ca="1">_xll.DBRW($B$9,$C$11,$C$12,V$17,$C$13,$B42,V$18)</f>
        <v>0</v>
      </c>
      <c r="W42" s="15">
        <f ca="1">_xll.DBRW($B$9,$C$11,$C$12,W$17,$C$13,$B42,W$18)</f>
        <v>0</v>
      </c>
    </row>
    <row r="43" spans="1:23" x14ac:dyDescent="0.25">
      <c r="A43" t="str">
        <f ca="1">IF(_xll.TM1RPTELISCONSOLIDATED($B$19,$B43),IF(_xll.TM1RPTELLEV($B$19,$B43)&lt;=3,_xll.TM1RPTELLEV($B$19,$B43),"D"),"N")</f>
        <v>N</v>
      </c>
      <c r="B43" s="22" t="s">
        <v>40</v>
      </c>
      <c r="C43" s="14">
        <f ca="1">_xll.DBRW($B$9,$C$11,$C$12,C$17,$C$13,$B43,C$18)</f>
        <v>0</v>
      </c>
      <c r="D43" s="11">
        <f ca="1">_xll.DBRW($B$9,$C$11,$C$12,D$17,$C$13,$B43,D$18)</f>
        <v>0</v>
      </c>
      <c r="E43" s="15">
        <f ca="1">_xll.DBRW($B$9,$C$11,$C$12,E$17,$C$13,$B43,E$18)</f>
        <v>0</v>
      </c>
      <c r="F43" s="14">
        <f ca="1">_xll.DBRW($B$9,$C$11,$C$12,F$17,$C$13,$B43,F$18)</f>
        <v>0</v>
      </c>
      <c r="G43" s="11">
        <f ca="1">_xll.DBRW($B$9,$C$11,$C$12,G$17,$C$13,$B43,G$18)</f>
        <v>0</v>
      </c>
      <c r="H43" s="15">
        <f ca="1">_xll.DBRW($B$9,$C$11,$C$12,H$17,$C$13,$B43,H$18)</f>
        <v>0</v>
      </c>
      <c r="I43" s="3">
        <f ca="1">_xll.DBRW($B$9,$C$11,$C$12,I$17,$C$13,$B43,I$18)</f>
        <v>0</v>
      </c>
      <c r="J43" s="3">
        <f ca="1">_xll.DBRW($B$9,$C$11,$C$12,J$17,$C$13,$B43,J$18)</f>
        <v>0</v>
      </c>
      <c r="K43" s="15">
        <f ca="1">_xll.DBRW($B$9,$C$11,$C$12,K$17,$C$13,$B43,K$18)</f>
        <v>0</v>
      </c>
      <c r="L43" s="8">
        <f ca="1">_xll.DBRW($B$9,$C$11,$C$12,L$17,$C$13,$B43,L$18)</f>
        <v>0</v>
      </c>
      <c r="M43" s="8">
        <f ca="1">_xll.DBRW($B$9,$C$11,$C$12,M$17,$C$13,$B43,M$18)</f>
        <v>0</v>
      </c>
      <c r="N43" s="16">
        <f ca="1">_xll.DBRW($B$9,$C$11,$C$12,N$17,$C$13,$B43,N$18)</f>
        <v>0</v>
      </c>
      <c r="O43" s="8">
        <f ca="1">_xll.DBRW($B$9,$C$11,$C$12,O$17,$C$13,$B43,O$18)</f>
        <v>0</v>
      </c>
      <c r="P43" s="8">
        <f ca="1">_xll.DBRW($B$9,$C$11,$C$12,P$17,$C$13,$B43,P$18)</f>
        <v>0</v>
      </c>
      <c r="Q43" s="16">
        <f ca="1">_xll.DBRW($B$9,$C$11,$C$12,Q$17,$C$13,$B43,Q$18)</f>
        <v>0</v>
      </c>
      <c r="R43" s="8">
        <f ca="1">_xll.DBRW($B$9,$C$11,$C$12,R$17,$C$13,$B43,R$18)</f>
        <v>0</v>
      </c>
      <c r="S43" s="8">
        <f ca="1">_xll.DBRW($B$9,$C$11,$C$12,S$17,$C$13,$B43,S$18)</f>
        <v>0</v>
      </c>
      <c r="T43" s="16">
        <f ca="1">_xll.DBRW($B$9,$C$11,$C$12,T$17,$C$13,$B43,T$18)</f>
        <v>0</v>
      </c>
      <c r="U43" s="8">
        <f ca="1">_xll.DBRW($B$9,$C$11,$C$12,U$17,$C$13,$B43,U$18)</f>
        <v>0</v>
      </c>
      <c r="V43" s="8">
        <f ca="1">_xll.DBRW($B$9,$C$11,$C$12,V$17,$C$13,$B43,V$18)</f>
        <v>0</v>
      </c>
      <c r="W43" s="8">
        <f ca="1">_xll.DBRW($B$9,$C$11,$C$12,W$17,$C$13,$B43,W$18)</f>
        <v>0</v>
      </c>
    </row>
    <row r="44" spans="1:23" hidden="1" x14ac:dyDescent="0.25"/>
    <row r="45" spans="1:23" hidden="1" x14ac:dyDescent="0.25"/>
    <row r="46" spans="1:23" hidden="1" x14ac:dyDescent="0.25"/>
    <row r="47" spans="1:23" hidden="1" x14ac:dyDescent="0.25"/>
    <row r="48" spans="1:23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</sheetData>
  <mergeCells count="7">
    <mergeCell ref="U16:W16"/>
    <mergeCell ref="L16:N16"/>
    <mergeCell ref="C16:E16"/>
    <mergeCell ref="F16:H16"/>
    <mergeCell ref="I16:K16"/>
    <mergeCell ref="O16:Q16"/>
    <mergeCell ref="R16:T16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Serveurs COGNOS</dc:creator>
  <cp:lastModifiedBy>Serveurs COGNOS</cp:lastModifiedBy>
  <dcterms:created xsi:type="dcterms:W3CDTF">2024-12-19T13:35:45Z</dcterms:created>
  <dcterms:modified xsi:type="dcterms:W3CDTF">2025-03-17T13:50:46Z</dcterms:modified>
</cp:coreProperties>
</file>