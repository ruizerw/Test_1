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v191\AppData\Local\Temp\27\"/>
    </mc:Choice>
  </mc:AlternateContent>
  <bookViews>
    <workbookView xWindow="0" yWindow="0" windowWidth="21600" windowHeight="9345"/>
  </bookViews>
  <sheets>
    <sheet name="Sheet1" sheetId="1" r:id="rId1"/>
    <sheet name="{AR}01" sheetId="2" state="hidden" r:id="rId2"/>
  </sheets>
  <definedNames>
    <definedName name="TM1REBUILDOPTION">1</definedName>
    <definedName name="TM1RPTDATARNGARPT1" localSheetId="0">Sheet1!$22:$197</definedName>
    <definedName name="TM1RPTFMTIDCOL" localSheetId="0">Sheet1!$A$1:$A$8</definedName>
    <definedName name="TM1RPTFMTRNG" localSheetId="0">Sheet1!$I$1:$AD$8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7" i="1" l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I9" i="1"/>
  <c r="J13" i="1"/>
  <c r="J15" i="1"/>
  <c r="J14" i="1"/>
  <c r="J16" i="1"/>
  <c r="J1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2" i="1"/>
  <c r="S22" i="1"/>
  <c r="T22" i="1"/>
  <c r="U22" i="1"/>
  <c r="V22" i="1"/>
  <c r="W22" i="1"/>
  <c r="X22" i="1"/>
  <c r="Y22" i="1"/>
  <c r="Z22" i="1"/>
  <c r="AA22" i="1"/>
  <c r="AB22" i="1"/>
  <c r="AC22" i="1"/>
  <c r="AD22" i="1"/>
  <c r="K22" i="1"/>
  <c r="J22" i="1"/>
  <c r="R22" i="1"/>
  <c r="Q22" i="1"/>
  <c r="P22" i="1"/>
  <c r="O22" i="1"/>
  <c r="N22" i="1"/>
  <c r="M22" i="1"/>
  <c r="L22" i="1"/>
  <c r="A22" i="1"/>
  <c r="A5" i="1"/>
  <c r="A4" i="1"/>
  <c r="A3" i="1"/>
  <c r="A2" i="1"/>
</calcChain>
</file>

<file path=xl/sharedStrings.xml><?xml version="1.0" encoding="utf-8"?>
<sst xmlns="http://schemas.openxmlformats.org/spreadsheetml/2006/main" count="393" uniqueCount="212">
  <si>
    <t>Currency</t>
  </si>
  <si>
    <t>Market_Actor</t>
  </si>
  <si>
    <t>Prev_IC_mapping</t>
  </si>
  <si>
    <t>Origin_Company</t>
  </si>
  <si>
    <t>Country</t>
  </si>
  <si>
    <t>AC2017</t>
  </si>
  <si>
    <t>BU2019draft</t>
  </si>
  <si>
    <t>WK3 - 2020</t>
  </si>
  <si>
    <t>WK5 - 2022</t>
  </si>
  <si>
    <t>WK6-2025</t>
  </si>
  <si>
    <t>WK7-2028</t>
  </si>
  <si>
    <t>QTY</t>
  </si>
  <si>
    <t>Unit.Price</t>
  </si>
  <si>
    <t>SALES</t>
  </si>
  <si>
    <t>TOTAL PRODUCT</t>
  </si>
  <si>
    <t>L - 000 -</t>
  </si>
  <si>
    <t>L - 750000 - SPARE PARTS</t>
  </si>
  <si>
    <t>P - CROP PRODUCTION</t>
  </si>
  <si>
    <t>L - 700000 - PLOUGHING</t>
  </si>
  <si>
    <t>F - 700000 - PLOUGHING</t>
  </si>
  <si>
    <t>F - 700100 - MOUNTED REV. PLOUGHS</t>
  </si>
  <si>
    <t>F - 700200 - SEMI-MOUNTED REV. PLOUGHS</t>
  </si>
  <si>
    <t>F - 700300 - SEMI MOUNTED PLOUGHS</t>
  </si>
  <si>
    <t>SF -  - PC-PC-LAB - EN</t>
  </si>
  <si>
    <t>L - 701000 - TILLAGE</t>
  </si>
  <si>
    <t>F - 701000 - TILLAGE</t>
  </si>
  <si>
    <t>F - 701100 - DEEP WORKING CULTIVATORS</t>
  </si>
  <si>
    <t>S - 701100 - DEEP WORKING CULTIVATORS</t>
  </si>
  <si>
    <t>S - 701110 - SUB SOILER</t>
  </si>
  <si>
    <t>S - 701120 - SOIL LOOSENERS</t>
  </si>
  <si>
    <t>S - 701130 - DISC/TINES CULTIVATIORS</t>
  </si>
  <si>
    <t>S - 701140 - TINES CULTIVATORS (CPR-D)</t>
  </si>
  <si>
    <t>F - 701200 - STUBBLE CULTIVATORS(DCH)</t>
  </si>
  <si>
    <t>S - 701200 - STUBBLE CULTIVATORS(DCH)</t>
  </si>
  <si>
    <t>S - 701210 - STUBBLE CULT. W DISC</t>
  </si>
  <si>
    <t>S - 701220 - STUBBLE CULT.W TINES</t>
  </si>
  <si>
    <t>F - 701300 - DISC HARROW (CCR)</t>
  </si>
  <si>
    <t>F - 701400 - VERTICAL TILLAGE (VTL)</t>
  </si>
  <si>
    <t>F - 701500 - STRIP TILL (STL)</t>
  </si>
  <si>
    <t>F - 701600 - SEED BED PREP.TOOLS(PLS)</t>
  </si>
  <si>
    <t>S - 701600 - SEED BED PREP.TOOLS(PLS)</t>
  </si>
  <si>
    <t>S - 701610 - SEED BED CULTIVATOR(PLS-A</t>
  </si>
  <si>
    <t>S - 701620 - INTEGRATED CULT. (PLS-B)</t>
  </si>
  <si>
    <t>S - 701630 - POWER TILLER (PLS-C)</t>
  </si>
  <si>
    <t>S - 701640 - POWER HARROWS (PLS-D)</t>
  </si>
  <si>
    <t>S - 701670 - DISC/TINE CULT.(PLS-F)</t>
  </si>
  <si>
    <t>F - 701700 - ROLLERS(ROL)</t>
  </si>
  <si>
    <t>F - 701800 - INTER ROW CULT. (BIN)</t>
  </si>
  <si>
    <t>SF -  - PC-PC-SOL - EN</t>
  </si>
  <si>
    <t>L - 702000 - SEEDING</t>
  </si>
  <si>
    <t>F - 702000 - SEEDING</t>
  </si>
  <si>
    <t>F - 702100 - MECHANICAL SEED DRILL(SLM</t>
  </si>
  <si>
    <t>S - 702100 - MECHANICAL SEED DRILL(SLM</t>
  </si>
  <si>
    <t>S - 702110 - MOUN.SEED DRILL MEC(SLM-A</t>
  </si>
  <si>
    <t>S - 702120 - INTEGR. SEED DRILL (SLM-B</t>
  </si>
  <si>
    <t>S - 702130 - TRAILED MIN TILL (SLM-C)</t>
  </si>
  <si>
    <t>S - 702140 - TRAILED NO TILL (SLM-D)</t>
  </si>
  <si>
    <t>F - 702200 - PNEUMATIC SEED DRILL (SLP</t>
  </si>
  <si>
    <t>S - 702200 - PNEUMATIC SEED DRILL (SLP</t>
  </si>
  <si>
    <t>S - 702210 - CONV MOUNTED SEED DRILL (SLP-A</t>
  </si>
  <si>
    <t>S - 702220 - INTÉGR PNEUM.C (SLP</t>
  </si>
  <si>
    <t>S - 702230 - SEEDING BAR (SLP-C)</t>
  </si>
  <si>
    <t>S - 702240 - CONV. TRAIL.SEED DRILL(SLP-D)</t>
  </si>
  <si>
    <t>S - 702250 - TRAIL.SEED NO TILL (SLP-E</t>
  </si>
  <si>
    <t>S - 702260 - MOUNTED MIN TILL (SLP-F)</t>
  </si>
  <si>
    <t>S - 702270 - TRAIL. MIN TILL (SLP-G)</t>
  </si>
  <si>
    <t>F - 702300 - FRONT HOP/SEED CART (TF)</t>
  </si>
  <si>
    <t>F - 702500 - MECHANICAL PLANTERS</t>
  </si>
  <si>
    <t>F - 702600 - PNEUMATIC PLANTER</t>
  </si>
  <si>
    <t>SF -  - PC-PC-SEM - EN</t>
  </si>
  <si>
    <t>L - 703000 - FERTILISING</t>
  </si>
  <si>
    <t>F - 703000 - FERTILISING</t>
  </si>
  <si>
    <t>F - 703100 - TWIN DISC &amp; UNIVERSAL</t>
  </si>
  <si>
    <t>F - 703200 - PNEUMATIC SPREADER</t>
  </si>
  <si>
    <t>S - 703200 - PNEUMATIC SPREADER</t>
  </si>
  <si>
    <t>G - 703200 - PNEUMATIC SPREADER</t>
  </si>
  <si>
    <t>S - 703220 - PNEUMATIC SPREADERS</t>
  </si>
  <si>
    <t>S - 703210 - PNEUMATIC TRAILED FERTILIZER SPREADER</t>
  </si>
  <si>
    <t>S - 703230 - PNEUMATIC MOUNTED FERTILIZER SPREADERS</t>
  </si>
  <si>
    <t>F - 703300 - SELF PROP FERTILIZING</t>
  </si>
  <si>
    <t>F - 703600 - FERTILIZER SPREADER CART</t>
  </si>
  <si>
    <t>F - 703800 - LIFTING EQUIPMENT (MAN)</t>
  </si>
  <si>
    <t>SF -  - PC-PC-FER - EN</t>
  </si>
  <si>
    <t>L - 704000 - SPRAYING</t>
  </si>
  <si>
    <t>F - 704000 - SPRAYING</t>
  </si>
  <si>
    <t>F - 704100 - MOUNTED SPRAYERS</t>
  </si>
  <si>
    <t>F - 704200 - TRAILED SPRAYERS</t>
  </si>
  <si>
    <t>F - 704300 - VINEYARD &amp; ORCHARD SPRAYE</t>
  </si>
  <si>
    <t>F - 704400 - SELF-PROP. FIELD SPRAYERS</t>
  </si>
  <si>
    <t>SF -  - PC-PC-PLV - EN</t>
  </si>
  <si>
    <t>L - 706000 - SHREDDING</t>
  </si>
  <si>
    <t>F - 706000 - SHREDDING</t>
  </si>
  <si>
    <t>F - 706100 - SHREDDER HORIZONTAL AXIS</t>
  </si>
  <si>
    <t>F - 706200 - ROTARY TOPPERS</t>
  </si>
  <si>
    <t>SF -  - PC-PC-BRO - EN</t>
  </si>
  <si>
    <t>P - HAY &amp; FORAGE</t>
  </si>
  <si>
    <t>L - 707000 - HAY &amp; FORAGE</t>
  </si>
  <si>
    <t>F - 707000 - HAY &amp; FORAGE</t>
  </si>
  <si>
    <t>F - 707100 - MOWERS</t>
  </si>
  <si>
    <t>S - 707100 - MOWERS</t>
  </si>
  <si>
    <t>S - 707110 - REAR MOUNTED DISC MOWERS</t>
  </si>
  <si>
    <t>S - 707121 - FRONT MOUNTED DISC MOWERS</t>
  </si>
  <si>
    <t>S - 707122 - TRIPLE HEAD DISC MOWERS REAR UNIT</t>
  </si>
  <si>
    <t>S - 707130 - DRUM MOWERS</t>
  </si>
  <si>
    <t>S - 707150 - TRAILED DISC MOWERS</t>
  </si>
  <si>
    <t>F - 707200 - MOWER CONDITIONERS</t>
  </si>
  <si>
    <t>S - 707200 - MOWER CONDITIONERS</t>
  </si>
  <si>
    <t>S - 707210 - REAR MOUNTED DISC MOWERS CONDI</t>
  </si>
  <si>
    <t>S - 707212 - FRONT MOUNTED DISC MOWER CONDITIONERS</t>
  </si>
  <si>
    <t>S - 707214 - TRIPLE HEAD DISC MOWER COND. - REAR UNIT</t>
  </si>
  <si>
    <t>S - 707220 - TRAILED DISC MOWER CONDIT</t>
  </si>
  <si>
    <t>S - 707230 - DRUM MOWER CONDITIONERS</t>
  </si>
  <si>
    <t>F - 707300 - CONDITIONERS</t>
  </si>
  <si>
    <t>F - 707400 - RAKES</t>
  </si>
  <si>
    <t>S - 707400 - RAKES</t>
  </si>
  <si>
    <t>S - 707414 - GA SINGLE ROTOR RAKES</t>
  </si>
  <si>
    <t>S - 707415 - GA TWIN ROTOR RAKES</t>
  </si>
  <si>
    <t>S - 707416 - 4+ ROTOR RAKES</t>
  </si>
  <si>
    <t>S - 707432 - FRONT MERGERS &amp; 1 BELT MERGERS</t>
  </si>
  <si>
    <t>S - 707433 - 2 BELT MERGERS</t>
  </si>
  <si>
    <t>S - 707434 - 3+ BELT MERGERS</t>
  </si>
  <si>
    <t>S - 707450 - TRAILED WHEEL RAKES</t>
  </si>
  <si>
    <t>F - 707500 - GYROTEDDERS</t>
  </si>
  <si>
    <t>S - 707500 - GYROTEDDERS</t>
  </si>
  <si>
    <t>S - 707540 - GYROTEDDERS &lt; 8 M</t>
  </si>
  <si>
    <t>S - 707550 - GYROTEDDERS 8 - 10 M</t>
  </si>
  <si>
    <t>S - 707560 - GYROTEDDERS &gt; 10 M</t>
  </si>
  <si>
    <t>F - 707600 - TEDDER-RAKE COMBINATIONS</t>
  </si>
  <si>
    <t>SF -  - PC-PC-RFO - EN</t>
  </si>
  <si>
    <t>L - 708000 - BALERS</t>
  </si>
  <si>
    <t>F - 708000 - BALERS</t>
  </si>
  <si>
    <t>F - 708100 - ROUND BALERS</t>
  </si>
  <si>
    <t>F - 708200 - ROUND BALER-WRAPPER COMBI</t>
  </si>
  <si>
    <t>F - 708300 - HIGH DENSITY BALERS</t>
  </si>
  <si>
    <t>F - 708400 - SMALL SQUARE BALER</t>
  </si>
  <si>
    <t>SF -  - PC-PC-PRE - EN</t>
  </si>
  <si>
    <t>L - 709000 - WRAPPERS</t>
  </si>
  <si>
    <t>F - 709000 - WRAPPERS</t>
  </si>
  <si>
    <t>F - 709600 - ROUND BALE WRAPPERS</t>
  </si>
  <si>
    <t>F - 709700 - SQUARE BALE WRAPPERS</t>
  </si>
  <si>
    <t>SF -  - PC-PC-ENR - EN</t>
  </si>
  <si>
    <t>L - 712000 - CHOPPERS</t>
  </si>
  <si>
    <t>F - 712000 - CHOPPERS</t>
  </si>
  <si>
    <t>F - 712100 - MAIZE CHOPPERS</t>
  </si>
  <si>
    <t>SF -  - PC-PC-ENS - EN</t>
  </si>
  <si>
    <t>L - 719000 - NON CONVENTIO. HARVESTING</t>
  </si>
  <si>
    <t>F - 719000 - NON CONVENTIO. HARVESTING</t>
  </si>
  <si>
    <t>F - 719100 - NON CONVENTIO. HARVESTING</t>
  </si>
  <si>
    <t>SF -  - PC-PC-NCH - EN</t>
  </si>
  <si>
    <t>P - LANSCAPE &amp; ROAD MAINT.</t>
  </si>
  <si>
    <t>L - 705000 - LANDSCAPE MAINTENANCE</t>
  </si>
  <si>
    <t>F - 705000 - LANDSCAPE MAINTENANCE</t>
  </si>
  <si>
    <t>F - 705100 - HEDGE GRASS CUTTERS &amp; SHR</t>
  </si>
  <si>
    <t>F - 705200 - SALT &amp; SAND SPREADERS</t>
  </si>
  <si>
    <t>F - 705400 - BUILDINGS &amp; AMENITY SPRAY</t>
  </si>
  <si>
    <t>F - 705500 - GREEN AREA SPRAYER</t>
  </si>
  <si>
    <t>SF -  - PC-PC-ENT - EN</t>
  </si>
  <si>
    <t>P - LIVESTOCK</t>
  </si>
  <si>
    <t>L - 715000 - BEDDING &amp; FEEDING</t>
  </si>
  <si>
    <t>F - 715000 - BEDDING &amp; FEEDING</t>
  </si>
  <si>
    <t>F - 715100 - SILAGE CUTTERS</t>
  </si>
  <si>
    <t>F - 715200 - BLOWERS &amp; FEEDERS &amp; RECYC</t>
  </si>
  <si>
    <t>F - 715300 - SELF-PROPELLED TMR MIXERS</t>
  </si>
  <si>
    <t>F - 715400 - TMR MIXERS</t>
  </si>
  <si>
    <t>S - 715400 - TMR MIXERS</t>
  </si>
  <si>
    <t>S - 715410 - 1 AUGER MIXERS</t>
  </si>
  <si>
    <t>S - 715420 - 2 AUGER MIXERS</t>
  </si>
  <si>
    <t>S - 715430 - 3 AUGER MIXERS</t>
  </si>
  <si>
    <t>S - 715440 - 4 AUGER MIXERS</t>
  </si>
  <si>
    <t>S - 715480 - REEL TMR MIXERS</t>
  </si>
  <si>
    <t>F - 715600 - AUTO. FEEDING SYSTEM.</t>
  </si>
  <si>
    <t>SF -  - PC-PC-CDE - EN</t>
  </si>
  <si>
    <t>L - 718000 - MANURE SPREADING</t>
  </si>
  <si>
    <t>F - 718000 - MANURE SPREADING</t>
  </si>
  <si>
    <t>F - 718200 - REAR DISCHARGES SPREADERS</t>
  </si>
  <si>
    <t>F - 718300 - SIDE SPREADERS</t>
  </si>
  <si>
    <t>SF -  - PC-PC-EPA - EN</t>
  </si>
  <si>
    <t>VARIOUS</t>
  </si>
  <si>
    <t>L - 745000 - TRUCKS</t>
  </si>
  <si>
    <t>L - 746000 - JD MACHINES</t>
  </si>
  <si>
    <t>OTHERS</t>
  </si>
  <si>
    <t>D</t>
  </si>
  <si>
    <t>N</t>
  </si>
  <si>
    <t>[Begin Format Range]</t>
  </si>
  <si>
    <t>[End Format Range]</t>
  </si>
  <si>
    <t>S - 705000 - LANDSCAPE MAINTENANCE</t>
  </si>
  <si>
    <t>F - 715500 - FEED DELIVERY BOXES</t>
  </si>
  <si>
    <t>AC2018</t>
  </si>
  <si>
    <t>SF - PARTS-LAB - Ploughing - EN</t>
  </si>
  <si>
    <t>SF - PARTS-SOL - Tillage - EN</t>
  </si>
  <si>
    <t>S - 702300 - FRONT HOP/SEED CART (TF)</t>
  </si>
  <si>
    <t>S - 702310 - FRONT HOOPER</t>
  </si>
  <si>
    <t>S - 702320 - SEED CART</t>
  </si>
  <si>
    <t>SF - PARTS-SEM - Seeding - EN</t>
  </si>
  <si>
    <t>S - 703100 - TWIN DISC &amp; UNIVERSAL</t>
  </si>
  <si>
    <t>S - 703110 - TWIN DISC MOUNTED</t>
  </si>
  <si>
    <t>S - 703120 - TRAILED TWIN DISC</t>
  </si>
  <si>
    <t>S - 703130 - UNIVERSAL SPREADER</t>
  </si>
  <si>
    <t>S - 703150 - TRAILED SPRAEDER</t>
  </si>
  <si>
    <t>S - 703190 -</t>
  </si>
  <si>
    <t>SF - PARTS-FER - Fertilisation - EN</t>
  </si>
  <si>
    <t>SF - PARTS-PLV - Spraying - EN</t>
  </si>
  <si>
    <t>SF - PARTS-BRO - Shredders - EN</t>
  </si>
  <si>
    <t>SF - PARTS-RFO - Hay / Silage Making - EN</t>
  </si>
  <si>
    <t>SF - PARTS-PRE - Balers - EN</t>
  </si>
  <si>
    <t>SF - PARTS-ENR - Wrappers - EN</t>
  </si>
  <si>
    <t>SF - PARTS-ENS - Choppers - EN</t>
  </si>
  <si>
    <t>SF - PARTS-NCH - Non-Conventional Harvesting - EN</t>
  </si>
  <si>
    <t>SF - PARTS-ENT - Landscape Maintenance - EN</t>
  </si>
  <si>
    <t>F - 715600 - AUTO. FEEDING &amp; BEDDING SYSTEM.</t>
  </si>
  <si>
    <t>SF - PARTS-CDE - Bedding &amp; Feeding - EN</t>
  </si>
  <si>
    <t>SF - PARTS-EPA - Manure spreading - 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</si>
</sst>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3" fontId="0" fillId="0" borderId="0" xfId="0" applyNumberFormat="1"/>
    <xf numFmtId="0" fontId="0" fillId="3" borderId="0" xfId="0" applyFill="1"/>
    <xf numFmtId="3" fontId="4" fillId="3" borderId="0" xfId="0" applyNumberFormat="1" applyFont="1" applyFill="1"/>
    <xf numFmtId="0" fontId="0" fillId="4" borderId="0" xfId="0" applyFill="1"/>
    <xf numFmtId="3" fontId="4" fillId="4" borderId="0" xfId="0" applyNumberFormat="1" applyFont="1" applyFill="1"/>
    <xf numFmtId="0" fontId="0" fillId="5" borderId="0" xfId="0" applyFill="1"/>
    <xf numFmtId="3" fontId="4" fillId="5" borderId="0" xfId="0" applyNumberFormat="1" applyFont="1" applyFill="1"/>
    <xf numFmtId="0" fontId="0" fillId="6" borderId="0" xfId="0" applyFill="1"/>
    <xf numFmtId="3" fontId="4" fillId="6" borderId="0" xfId="0" applyNumberFormat="1" applyFont="1" applyFill="1"/>
    <xf numFmtId="3" fontId="0" fillId="5" borderId="0" xfId="0" applyNumberFormat="1" applyFill="1"/>
    <xf numFmtId="3" fontId="3" fillId="7" borderId="0" xfId="0" applyNumberFormat="1" applyFont="1" applyFill="1" applyAlignment="1">
      <alignment horizontal="center"/>
    </xf>
    <xf numFmtId="3" fontId="5" fillId="5" borderId="0" xfId="0" applyNumberFormat="1" applyFont="1" applyFill="1"/>
    <xf numFmtId="0" fontId="1" fillId="5" borderId="0" xfId="0" applyFont="1" applyFill="1"/>
    <xf numFmtId="3" fontId="2" fillId="5" borderId="0" xfId="0" applyNumberFormat="1" applyFont="1" applyFill="1"/>
    <xf numFmtId="165" fontId="0" fillId="4" borderId="0" xfId="0" applyNumberFormat="1" applyFill="1" applyAlignment="1">
      <alignment horizontal="left" indent="1"/>
    </xf>
    <xf numFmtId="164" fontId="0" fillId="4" borderId="0" xfId="0" applyNumberFormat="1" applyFill="1" applyAlignment="1">
      <alignment horizontal="left" indent="1"/>
    </xf>
    <xf numFmtId="164" fontId="0" fillId="3" borderId="0" xfId="0" applyNumberFormat="1" applyFill="1" applyAlignment="1">
      <alignment horizontal="left" indent="2"/>
    </xf>
    <xf numFmtId="165" fontId="0" fillId="6" borderId="0" xfId="0" applyNumberFormat="1" applyFill="1" applyAlignment="1">
      <alignment horizontal="left" indent="4"/>
    </xf>
    <xf numFmtId="164" fontId="0" fillId="6" borderId="0" xfId="0" applyNumberFormat="1" applyFill="1" applyAlignment="1">
      <alignment horizontal="left" indent="4"/>
    </xf>
    <xf numFmtId="165" fontId="0" fillId="6" borderId="0" xfId="0" applyNumberFormat="1" applyFill="1" applyAlignment="1">
      <alignment horizontal="left" indent="5"/>
    </xf>
    <xf numFmtId="165" fontId="0" fillId="3" borderId="0" xfId="0" applyNumberFormat="1" applyFill="1" applyAlignment="1">
      <alignment horizontal="left" indent="2"/>
    </xf>
    <xf numFmtId="165" fontId="0" fillId="5" borderId="0" xfId="0" applyNumberFormat="1" applyFill="1" applyAlignment="1">
      <alignment horizontal="left" indent="3"/>
    </xf>
    <xf numFmtId="164" fontId="0" fillId="5" borderId="0" xfId="0" applyNumberFormat="1" applyFill="1" applyAlignment="1">
      <alignment horizontal="left" indent="3"/>
    </xf>
    <xf numFmtId="3" fontId="6" fillId="2" borderId="0" xfId="0" applyNumberFormat="1" applyFont="1" applyFill="1"/>
    <xf numFmtId="164" fontId="6" fillId="2" borderId="0" xfId="0" applyNumberFormat="1" applyFont="1" applyFill="1" applyAlignment="1"/>
    <xf numFmtId="0" fontId="0" fillId="5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482"/>
  <ax:ocxPr ax:name="_ExtentY" ax:value="767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3581400</xdr:colOff>
      <xdr:row>197</xdr:row>
      <xdr:rowOff>0</xdr:rowOff>
    </xdr:from>
    <xdr:to>
      <xdr:col>15</xdr:col>
      <xdr:colOff>295275</xdr:colOff>
      <xdr:row>202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62375" y="2247900"/>
          <a:ext cx="7153275" cy="1028700"/>
        </a:xfrm>
        <a:prstGeom prst="rect">
          <a:avLst/>
        </a:prstGeom>
      </xdr:spPr>
    </xdr:pic>
    <xdr:clientData/>
  </xdr:twoCellAnchor>
  <xdr:twoCellAnchor editAs="oneCell">
    <xdr:from>
      <xdr:col>16</xdr:col>
      <xdr:colOff>133350</xdr:colOff>
      <xdr:row>9</xdr:row>
      <xdr:rowOff>66675</xdr:rowOff>
    </xdr:from>
    <xdr:to>
      <xdr:col>17</xdr:col>
      <xdr:colOff>880444</xdr:colOff>
      <xdr:row>14</xdr:row>
      <xdr:rowOff>53476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0" y="66675"/>
          <a:ext cx="1794844" cy="939301"/>
        </a:xfrm>
        <a:prstGeom prst="rect">
          <a:avLst/>
        </a:prstGeom>
      </xdr:spPr>
    </xdr:pic>
    <xdr:clientData/>
  </xdr:twoCellAnchor>
  <xdr:twoCellAnchor editAs="oneCell">
    <xdr:from>
      <xdr:col>8</xdr:col>
      <xdr:colOff>1038225</xdr:colOff>
      <xdr:row>10</xdr:row>
      <xdr:rowOff>95250</xdr:rowOff>
    </xdr:from>
    <xdr:to>
      <xdr:col>8</xdr:col>
      <xdr:colOff>2048846</xdr:colOff>
      <xdr:row>14</xdr:row>
      <xdr:rowOff>57151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285750"/>
          <a:ext cx="1010621" cy="72390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8</xdr:col>
          <xdr:colOff>400050</xdr:colOff>
          <xdr:row>11</xdr:row>
          <xdr:rowOff>19050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9</xdr:col>
      <xdr:colOff>9525</xdr:colOff>
      <xdr:row>0</xdr:row>
      <xdr:rowOff>0</xdr:rowOff>
    </xdr:from>
    <xdr:to>
      <xdr:col>15</xdr:col>
      <xdr:colOff>876300</xdr:colOff>
      <xdr:row>15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2425" y="0"/>
          <a:ext cx="7153275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D197"/>
  <sheetViews>
    <sheetView showGridLines="0" tabSelected="1" topLeftCell="I10" workbookViewId="0">
      <pane xSplit="1" ySplit="13" topLeftCell="J23" activePane="bottomRight" state="frozen"/>
      <selection activeCell="I10" sqref="I10"/>
      <selection pane="topRight" activeCell="J10" sqref="J10"/>
      <selection pane="bottomLeft" activeCell="I23" sqref="I23"/>
      <selection pane="bottomRight" activeCell="I22" sqref="I22"/>
    </sheetView>
  </sheetViews>
  <sheetFormatPr defaultRowHeight="15" x14ac:dyDescent="0.25"/>
  <cols>
    <col min="1" max="1" width="2.7109375" hidden="1" customWidth="1"/>
    <col min="2" max="8" width="0" hidden="1" customWidth="1"/>
    <col min="9" max="9" width="62.28515625" bestFit="1" customWidth="1"/>
    <col min="10" max="30" width="15.7109375" style="1" customWidth="1"/>
  </cols>
  <sheetData>
    <row r="1" spans="1:30" hidden="1" x14ac:dyDescent="0.25">
      <c r="A1" t="s">
        <v>183</v>
      </c>
      <c r="I1" s="6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idden="1" x14ac:dyDescent="0.25">
      <c r="A2">
        <f>0</f>
        <v>0</v>
      </c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idden="1" x14ac:dyDescent="0.25">
      <c r="A3">
        <f>1</f>
        <v>1</v>
      </c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idden="1" x14ac:dyDescent="0.25">
      <c r="A4">
        <f>2</f>
        <v>2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idden="1" x14ac:dyDescent="0.25">
      <c r="A5">
        <f>3</f>
        <v>3</v>
      </c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idden="1" x14ac:dyDescent="0.25">
      <c r="A6" t="s">
        <v>181</v>
      </c>
      <c r="I6" s="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idden="1" x14ac:dyDescent="0.25">
      <c r="A7" t="s">
        <v>182</v>
      </c>
      <c r="I7" s="8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idden="1" x14ac:dyDescent="0.25">
      <c r="A8" t="s">
        <v>184</v>
      </c>
      <c r="I8" s="6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idden="1" x14ac:dyDescent="0.25">
      <c r="I9" t="str">
        <f ca="1">_xll.TM1RPTVIEW("CXMD:OTC_DATA_MARKET_ANALYSIS_DRAFT:ARPT1", 0, _xll.TM1RPTTITLE("CXMD:Currency",$J$13), _xll.TM1RPTTITLE("CXMD:DIM_Prev_IC_mapping",$J$15), _xll.TM1RPTTITLE("CXMD:Market_Actor",$J$14), _xll.TM1RPTTITLE("CXMD:DIM_Origin_Company",$J$16), _xll.TM1RPTTITLE("CXMD:DIM_Country",$J$17),TM1RPTFMTRNG,TM1RPTFMTIDCOL)</f>
        <v>CXMD:OTC_DATA_MARKET_ANALYSIS_DRAFT:ARPT1</v>
      </c>
    </row>
    <row r="10" spans="1:30" x14ac:dyDescent="0.25">
      <c r="I10" s="6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I12" s="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I13" s="13" t="s">
        <v>0</v>
      </c>
      <c r="J13" s="10" t="str">
        <f ca="1">_xll.SUBNM("CXMD:Currency","","CD_LC")</f>
        <v>CD_LC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I14" s="13" t="s">
        <v>1</v>
      </c>
      <c r="J14" s="10" t="str">
        <f ca="1">_xll.SUBNM("CXMD:Market_Actor","","KUHN_Market")</f>
        <v>KUHN_Market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ht="6" customHeight="1" x14ac:dyDescent="0.25">
      <c r="I15" s="13" t="s">
        <v>2</v>
      </c>
      <c r="J15" s="14" t="str">
        <f ca="1">_xll.SUBNM("CXMD:DIM_Prev_IC_mapping","","Total_Customer_Supplier")</f>
        <v>Total_Customer_Supplier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I16" s="26" t="s">
        <v>3</v>
      </c>
      <c r="J16" s="12" t="str">
        <f ca="1">_xll.SUBNM("CXMD:DIM_Origin_Company","","KUHN KRAUSE","Name EN")</f>
        <v>KUHN KRAUSE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I17" s="26" t="s">
        <v>4</v>
      </c>
      <c r="J17" s="12" t="str">
        <f ca="1">_xll.SUBNM("CXMD:DIM_Country","","North_America")</f>
        <v>North_America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ht="9" hidden="1" customHeight="1" x14ac:dyDescent="0.25">
      <c r="I18" s="6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ht="7.5" hidden="1" customHeight="1" x14ac:dyDescent="0.25">
      <c r="I19" s="6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ht="14.25" customHeight="1" x14ac:dyDescent="0.25">
      <c r="I20" s="11"/>
      <c r="J20" s="11" t="s">
        <v>5</v>
      </c>
      <c r="K20" s="11" t="s">
        <v>5</v>
      </c>
      <c r="L20" s="11" t="s">
        <v>5</v>
      </c>
      <c r="M20" s="11" t="s">
        <v>187</v>
      </c>
      <c r="N20" s="11" t="s">
        <v>187</v>
      </c>
      <c r="O20" s="11" t="s">
        <v>187</v>
      </c>
      <c r="P20" s="11" t="s">
        <v>6</v>
      </c>
      <c r="Q20" s="11" t="s">
        <v>6</v>
      </c>
      <c r="R20" s="11" t="s">
        <v>6</v>
      </c>
      <c r="S20" s="11" t="s">
        <v>7</v>
      </c>
      <c r="T20" s="11" t="s">
        <v>7</v>
      </c>
      <c r="U20" s="11" t="s">
        <v>7</v>
      </c>
      <c r="V20" s="11" t="s">
        <v>8</v>
      </c>
      <c r="W20" s="11" t="s">
        <v>8</v>
      </c>
      <c r="X20" s="11" t="s">
        <v>8</v>
      </c>
      <c r="Y20" s="11" t="s">
        <v>9</v>
      </c>
      <c r="Z20" s="11" t="s">
        <v>9</v>
      </c>
      <c r="AA20" s="11" t="s">
        <v>9</v>
      </c>
      <c r="AB20" s="11" t="s">
        <v>10</v>
      </c>
      <c r="AC20" s="11" t="s">
        <v>10</v>
      </c>
      <c r="AD20" s="11" t="s">
        <v>10</v>
      </c>
    </row>
    <row r="21" spans="1:30" x14ac:dyDescent="0.25">
      <c r="I21" s="11"/>
      <c r="J21" s="11" t="s">
        <v>11</v>
      </c>
      <c r="K21" s="11" t="s">
        <v>12</v>
      </c>
      <c r="L21" s="11" t="s">
        <v>13</v>
      </c>
      <c r="M21" s="11" t="s">
        <v>11</v>
      </c>
      <c r="N21" s="11" t="s">
        <v>12</v>
      </c>
      <c r="O21" s="11" t="s">
        <v>13</v>
      </c>
      <c r="P21" s="11" t="s">
        <v>11</v>
      </c>
      <c r="Q21" s="11" t="s">
        <v>12</v>
      </c>
      <c r="R21" s="11" t="s">
        <v>13</v>
      </c>
      <c r="S21" s="11" t="s">
        <v>11</v>
      </c>
      <c r="T21" s="11" t="s">
        <v>12</v>
      </c>
      <c r="U21" s="11" t="s">
        <v>13</v>
      </c>
      <c r="V21" s="11" t="s">
        <v>11</v>
      </c>
      <c r="W21" s="11" t="s">
        <v>12</v>
      </c>
      <c r="X21" s="11" t="s">
        <v>13</v>
      </c>
      <c r="Y21" s="11" t="s">
        <v>11</v>
      </c>
      <c r="Z21" s="11" t="s">
        <v>12</v>
      </c>
      <c r="AA21" s="11" t="s">
        <v>13</v>
      </c>
      <c r="AB21" s="11" t="s">
        <v>11</v>
      </c>
      <c r="AC21" s="11" t="s">
        <v>12</v>
      </c>
      <c r="AD21" s="11" t="s">
        <v>13</v>
      </c>
    </row>
    <row r="22" spans="1:30" x14ac:dyDescent="0.25">
      <c r="A22">
        <f ca="1">IF(_xll.TM1RPTELISCONSOLIDATED($I$22,$I22),IF(_xll.TM1RPTELLEV($I$22,$I22)&lt;=3,_xll.TM1RPTELLEV($I$22,$I22),"D"),"N")</f>
        <v>0</v>
      </c>
      <c r="I22" s="25" t="str">
        <f ca="1">_xll.TM1RPTROW($I$9,"CXMD:Configuration_Draft","Ariane",,"Description EN",0)</f>
        <v>TOTAL PRODUCT</v>
      </c>
      <c r="J22" s="24">
        <f ca="1">_xll.DBR($I$9,$J$13,$J$15,$J$14,J$20,$J$16,$J$17,$I22,J$21)</f>
        <v>0</v>
      </c>
      <c r="K22" s="24">
        <f ca="1">_xll.DBR($I$9,$J$13,$J$15,$J$14,K$20,$J$16,$J$17,$I22,K$21)</f>
        <v>0</v>
      </c>
      <c r="L22" s="24">
        <f ca="1">_xll.DBRW($I$9,$J$13,$J$15,$J$14,L$20,$J$16,$J$17,$I22,L$21)</f>
        <v>0</v>
      </c>
      <c r="M22" s="24">
        <f ca="1">_xll.DBRW($I$9,$J$13,$J$15,$J$14,M$20,$J$16,$J$17,$I22,M$21)</f>
        <v>0</v>
      </c>
      <c r="N22" s="24">
        <f ca="1">_xll.DBRW($I$9,$J$13,$J$15,$J$14,N$20,$J$16,$J$17,$I22,N$21)</f>
        <v>0</v>
      </c>
      <c r="O22" s="24">
        <f ca="1">_xll.DBRW($I$9,$J$13,$J$15,$J$14,O$20,$J$16,$J$17,$I22,O$21)</f>
        <v>0</v>
      </c>
      <c r="P22" s="24">
        <f ca="1">_xll.DBRW($I$9,$J$13,$J$15,$J$14,P$20,$J$16,$J$17,$I22,P$21)</f>
        <v>0</v>
      </c>
      <c r="Q22" s="24">
        <f ca="1">_xll.DBRW($I$9,$J$13,$J$15,$J$14,Q$20,$J$16,$J$17,$I22,Q$21)</f>
        <v>0</v>
      </c>
      <c r="R22" s="24">
        <f ca="1">_xll.DBRW($I$9,$J$13,$J$15,$J$14,R$20,$J$16,$J$17,$I22,R$21)</f>
        <v>0</v>
      </c>
      <c r="S22" s="24" t="str">
        <f ca="1">_xll.DBR($I$9,$J$13,$J$15,$J$14,S$20,$J$16,$J$17,$I22,S$21)</f>
        <v>*KEY_ERR</v>
      </c>
      <c r="T22" s="24" t="str">
        <f ca="1">_xll.DBR($I$9,$J$13,$J$15,$J$14,T$20,$J$16,$J$17,$I22,T$21)</f>
        <v>*KEY_ERR</v>
      </c>
      <c r="U22" s="24" t="str">
        <f ca="1">_xll.DBR($I$9,$J$13,$J$15,$J$14,U$20,$J$16,$J$17,$I22,U$21)</f>
        <v>*KEY_ERR</v>
      </c>
      <c r="V22" s="24">
        <f ca="1">_xll.DBR($I$9,$J$13,$J$15,$J$14,V$20,$J$16,$J$17,$I22,V$21)</f>
        <v>0</v>
      </c>
      <c r="W22" s="24">
        <f ca="1">_xll.DBR($I$9,$J$13,$J$15,$J$14,W$20,$J$16,$J$17,$I22,W$21)</f>
        <v>0</v>
      </c>
      <c r="X22" s="24">
        <f ca="1">_xll.DBR($I$9,$J$13,$J$15,$J$14,X$20,$J$16,$J$17,$I22,X$21)</f>
        <v>0</v>
      </c>
      <c r="Y22" s="24">
        <f ca="1">_xll.DBR($I$9,$J$13,$J$15,$J$14,Y$20,$J$16,$J$17,$I22,Y$21)</f>
        <v>0</v>
      </c>
      <c r="Z22" s="24">
        <f ca="1">_xll.DBR($I$9,$J$13,$J$15,$J$14,Z$20,$J$16,$J$17,$I22,Z$21)</f>
        <v>0</v>
      </c>
      <c r="AA22" s="24">
        <f ca="1">_xll.DBR($I$9,$J$13,$J$15,$J$14,AA$20,$J$16,$J$17,$I22,AA$21)</f>
        <v>0</v>
      </c>
      <c r="AB22" s="24">
        <f ca="1">_xll.DBR($I$9,$J$13,$J$15,$J$14,AB$20,$J$16,$J$17,$I22,AB$21)</f>
        <v>0</v>
      </c>
      <c r="AC22" s="24">
        <f ca="1">_xll.DBR($I$9,$J$13,$J$15,$J$14,AC$20,$J$16,$J$17,$I22,AC$21)</f>
        <v>0</v>
      </c>
      <c r="AD22" s="24">
        <f ca="1">_xll.DBR($I$9,$J$13,$J$15,$J$14,AD$20,$J$16,$J$17,$I22,AD$21)</f>
        <v>0</v>
      </c>
    </row>
    <row r="23" spans="1:30" x14ac:dyDescent="0.25">
      <c r="A23">
        <f ca="1">IF(_xll.TM1RPTELISCONSOLIDATED($I$22,$I23),IF(_xll.TM1RPTELLEV($I$22,$I23)&lt;=3,_xll.TM1RPTELLEV($I$22,$I23),"D"),"N")</f>
        <v>1</v>
      </c>
      <c r="I23" s="15" t="s">
        <v>15</v>
      </c>
      <c r="J23" s="5">
        <f ca="1">_xll.DBR($I$9,$J$13,$J$15,$J$14,J$20,$J$16,$J$17,$I23,J$21)</f>
        <v>0</v>
      </c>
      <c r="K23" s="5">
        <f ca="1">_xll.DBR($I$9,$J$13,$J$15,$J$14,K$20,$J$16,$J$17,$I23,K$21)</f>
        <v>0</v>
      </c>
      <c r="L23" s="5">
        <f ca="1">_xll.DBRW($I$9,$J$13,$J$15,$J$14,L$20,$J$16,$J$17,$I23,L$21)</f>
        <v>0</v>
      </c>
      <c r="M23" s="5">
        <f ca="1">_xll.DBRW($I$9,$J$13,$J$15,$J$14,M$20,$J$16,$J$17,$I23,M$21)</f>
        <v>0</v>
      </c>
      <c r="N23" s="5">
        <f ca="1">_xll.DBRW($I$9,$J$13,$J$15,$J$14,N$20,$J$16,$J$17,$I23,N$21)</f>
        <v>0</v>
      </c>
      <c r="O23" s="5">
        <f ca="1">_xll.DBRW($I$9,$J$13,$J$15,$J$14,O$20,$J$16,$J$17,$I23,O$21)</f>
        <v>0</v>
      </c>
      <c r="P23" s="5">
        <f ca="1">_xll.DBRW($I$9,$J$13,$J$15,$J$14,P$20,$J$16,$J$17,$I23,P$21)</f>
        <v>0</v>
      </c>
      <c r="Q23" s="5">
        <f ca="1">_xll.DBRW($I$9,$J$13,$J$15,$J$14,Q$20,$J$16,$J$17,$I23,Q$21)</f>
        <v>0</v>
      </c>
      <c r="R23" s="5">
        <f ca="1">_xll.DBRW($I$9,$J$13,$J$15,$J$14,R$20,$J$16,$J$17,$I23,R$21)</f>
        <v>0</v>
      </c>
      <c r="S23" s="5" t="str">
        <f ca="1">_xll.DBR($I$9,$J$13,$J$15,$J$14,S$20,$J$16,$J$17,$I23,S$21)</f>
        <v>*KEY_ERR</v>
      </c>
      <c r="T23" s="5" t="str">
        <f ca="1">_xll.DBR($I$9,$J$13,$J$15,$J$14,T$20,$J$16,$J$17,$I23,T$21)</f>
        <v>*KEY_ERR</v>
      </c>
      <c r="U23" s="5" t="str">
        <f ca="1">_xll.DBR($I$9,$J$13,$J$15,$J$14,U$20,$J$16,$J$17,$I23,U$21)</f>
        <v>*KEY_ERR</v>
      </c>
      <c r="V23" s="5">
        <f ca="1">_xll.DBR($I$9,$J$13,$J$15,$J$14,V$20,$J$16,$J$17,$I23,V$21)</f>
        <v>0</v>
      </c>
      <c r="W23" s="5">
        <f ca="1">_xll.DBR($I$9,$J$13,$J$15,$J$14,W$20,$J$16,$J$17,$I23,W$21)</f>
        <v>0</v>
      </c>
      <c r="X23" s="5">
        <f ca="1">_xll.DBR($I$9,$J$13,$J$15,$J$14,X$20,$J$16,$J$17,$I23,X$21)</f>
        <v>0</v>
      </c>
      <c r="Y23" s="5">
        <f ca="1">_xll.DBR($I$9,$J$13,$J$15,$J$14,Y$20,$J$16,$J$17,$I23,Y$21)</f>
        <v>0</v>
      </c>
      <c r="Z23" s="5">
        <f ca="1">_xll.DBR($I$9,$J$13,$J$15,$J$14,Z$20,$J$16,$J$17,$I23,Z$21)</f>
        <v>0</v>
      </c>
      <c r="AA23" s="5">
        <f ca="1">_xll.DBR($I$9,$J$13,$J$15,$J$14,AA$20,$J$16,$J$17,$I23,AA$21)</f>
        <v>0</v>
      </c>
      <c r="AB23" s="5">
        <f ca="1">_xll.DBR($I$9,$J$13,$J$15,$J$14,AB$20,$J$16,$J$17,$I23,AB$21)</f>
        <v>0</v>
      </c>
      <c r="AC23" s="5">
        <f ca="1">_xll.DBR($I$9,$J$13,$J$15,$J$14,AC$20,$J$16,$J$17,$I23,AC$21)</f>
        <v>0</v>
      </c>
      <c r="AD23" s="5">
        <f ca="1">_xll.DBR($I$9,$J$13,$J$15,$J$14,AD$20,$J$16,$J$17,$I23,AD$21)</f>
        <v>0</v>
      </c>
    </row>
    <row r="24" spans="1:30" x14ac:dyDescent="0.25">
      <c r="A24">
        <f ca="1">IF(_xll.TM1RPTELISCONSOLIDATED($I$22,$I24),IF(_xll.TM1RPTELLEV($I$22,$I24)&lt;=3,_xll.TM1RPTELLEV($I$22,$I24),"D"),"N")</f>
        <v>1</v>
      </c>
      <c r="I24" s="15" t="s">
        <v>16</v>
      </c>
      <c r="J24" s="5">
        <f ca="1">_xll.DBR($I$9,$J$13,$J$15,$J$14,J$20,$J$16,$J$17,$I24,J$21)</f>
        <v>0</v>
      </c>
      <c r="K24" s="5">
        <f ca="1">_xll.DBR($I$9,$J$13,$J$15,$J$14,K$20,$J$16,$J$17,$I24,K$21)</f>
        <v>0</v>
      </c>
      <c r="L24" s="5">
        <f ca="1">_xll.DBRW($I$9,$J$13,$J$15,$J$14,L$20,$J$16,$J$17,$I24,L$21)</f>
        <v>0</v>
      </c>
      <c r="M24" s="5">
        <f ca="1">_xll.DBRW($I$9,$J$13,$J$15,$J$14,M$20,$J$16,$J$17,$I24,M$21)</f>
        <v>0</v>
      </c>
      <c r="N24" s="5">
        <f ca="1">_xll.DBRW($I$9,$J$13,$J$15,$J$14,N$20,$J$16,$J$17,$I24,N$21)</f>
        <v>0</v>
      </c>
      <c r="O24" s="5">
        <f ca="1">_xll.DBRW($I$9,$J$13,$J$15,$J$14,O$20,$J$16,$J$17,$I24,O$21)</f>
        <v>0</v>
      </c>
      <c r="P24" s="5">
        <f ca="1">_xll.DBRW($I$9,$J$13,$J$15,$J$14,P$20,$J$16,$J$17,$I24,P$21)</f>
        <v>0</v>
      </c>
      <c r="Q24" s="5">
        <f ca="1">_xll.DBRW($I$9,$J$13,$J$15,$J$14,Q$20,$J$16,$J$17,$I24,Q$21)</f>
        <v>0</v>
      </c>
      <c r="R24" s="5">
        <f ca="1">_xll.DBRW($I$9,$J$13,$J$15,$J$14,R$20,$J$16,$J$17,$I24,R$21)</f>
        <v>0</v>
      </c>
      <c r="S24" s="5" t="str">
        <f ca="1">_xll.DBR($I$9,$J$13,$J$15,$J$14,S$20,$J$16,$J$17,$I24,S$21)</f>
        <v>*KEY_ERR</v>
      </c>
      <c r="T24" s="5" t="str">
        <f ca="1">_xll.DBR($I$9,$J$13,$J$15,$J$14,T$20,$J$16,$J$17,$I24,T$21)</f>
        <v>*KEY_ERR</v>
      </c>
      <c r="U24" s="5" t="str">
        <f ca="1">_xll.DBR($I$9,$J$13,$J$15,$J$14,U$20,$J$16,$J$17,$I24,U$21)</f>
        <v>*KEY_ERR</v>
      </c>
      <c r="V24" s="5">
        <f ca="1">_xll.DBR($I$9,$J$13,$J$15,$J$14,V$20,$J$16,$J$17,$I24,V$21)</f>
        <v>0</v>
      </c>
      <c r="W24" s="5">
        <f ca="1">_xll.DBR($I$9,$J$13,$J$15,$J$14,W$20,$J$16,$J$17,$I24,W$21)</f>
        <v>0</v>
      </c>
      <c r="X24" s="5">
        <f ca="1">_xll.DBR($I$9,$J$13,$J$15,$J$14,X$20,$J$16,$J$17,$I24,X$21)</f>
        <v>0</v>
      </c>
      <c r="Y24" s="5">
        <f ca="1">_xll.DBR($I$9,$J$13,$J$15,$J$14,Y$20,$J$16,$J$17,$I24,Y$21)</f>
        <v>0</v>
      </c>
      <c r="Z24" s="5">
        <f ca="1">_xll.DBR($I$9,$J$13,$J$15,$J$14,Z$20,$J$16,$J$17,$I24,Z$21)</f>
        <v>0</v>
      </c>
      <c r="AA24" s="5">
        <f ca="1">_xll.DBR($I$9,$J$13,$J$15,$J$14,AA$20,$J$16,$J$17,$I24,AA$21)</f>
        <v>0</v>
      </c>
      <c r="AB24" s="5">
        <f ca="1">_xll.DBR($I$9,$J$13,$J$15,$J$14,AB$20,$J$16,$J$17,$I24,AB$21)</f>
        <v>0</v>
      </c>
      <c r="AC24" s="5">
        <f ca="1">_xll.DBR($I$9,$J$13,$J$15,$J$14,AC$20,$J$16,$J$17,$I24,AC$21)</f>
        <v>0</v>
      </c>
      <c r="AD24" s="5">
        <f ca="1">_xll.DBR($I$9,$J$13,$J$15,$J$14,AD$20,$J$16,$J$17,$I24,AD$21)</f>
        <v>0</v>
      </c>
    </row>
    <row r="25" spans="1:30" x14ac:dyDescent="0.25">
      <c r="A25">
        <f ca="1">IF(_xll.TM1RPTELISCONSOLIDATED($I$22,$I25),IF(_xll.TM1RPTELLEV($I$22,$I25)&lt;=3,_xll.TM1RPTELLEV($I$22,$I25),"D"),"N")</f>
        <v>1</v>
      </c>
      <c r="I25" s="16" t="s">
        <v>17</v>
      </c>
      <c r="J25" s="5">
        <f ca="1">_xll.DBR($I$9,$J$13,$J$15,$J$14,J$20,$J$16,$J$17,$I25,J$21)</f>
        <v>0</v>
      </c>
      <c r="K25" s="5">
        <f ca="1">_xll.DBR($I$9,$J$13,$J$15,$J$14,K$20,$J$16,$J$17,$I25,K$21)</f>
        <v>0</v>
      </c>
      <c r="L25" s="5">
        <f ca="1">_xll.DBRW($I$9,$J$13,$J$15,$J$14,L$20,$J$16,$J$17,$I25,L$21)</f>
        <v>0</v>
      </c>
      <c r="M25" s="5">
        <f ca="1">_xll.DBRW($I$9,$J$13,$J$15,$J$14,M$20,$J$16,$J$17,$I25,M$21)</f>
        <v>0</v>
      </c>
      <c r="N25" s="5">
        <f ca="1">_xll.DBRW($I$9,$J$13,$J$15,$J$14,N$20,$J$16,$J$17,$I25,N$21)</f>
        <v>0</v>
      </c>
      <c r="O25" s="5">
        <f ca="1">_xll.DBRW($I$9,$J$13,$J$15,$J$14,O$20,$J$16,$J$17,$I25,O$21)</f>
        <v>0</v>
      </c>
      <c r="P25" s="5">
        <f ca="1">_xll.DBRW($I$9,$J$13,$J$15,$J$14,P$20,$J$16,$J$17,$I25,P$21)</f>
        <v>0</v>
      </c>
      <c r="Q25" s="5">
        <f ca="1">_xll.DBRW($I$9,$J$13,$J$15,$J$14,Q$20,$J$16,$J$17,$I25,Q$21)</f>
        <v>0</v>
      </c>
      <c r="R25" s="5">
        <f ca="1">_xll.DBRW($I$9,$J$13,$J$15,$J$14,R$20,$J$16,$J$17,$I25,R$21)</f>
        <v>0</v>
      </c>
      <c r="S25" s="5" t="str">
        <f ca="1">_xll.DBR($I$9,$J$13,$J$15,$J$14,S$20,$J$16,$J$17,$I25,S$21)</f>
        <v>*KEY_ERR</v>
      </c>
      <c r="T25" s="5" t="str">
        <f ca="1">_xll.DBR($I$9,$J$13,$J$15,$J$14,T$20,$J$16,$J$17,$I25,T$21)</f>
        <v>*KEY_ERR</v>
      </c>
      <c r="U25" s="5" t="str">
        <f ca="1">_xll.DBR($I$9,$J$13,$J$15,$J$14,U$20,$J$16,$J$17,$I25,U$21)</f>
        <v>*KEY_ERR</v>
      </c>
      <c r="V25" s="5">
        <f ca="1">_xll.DBR($I$9,$J$13,$J$15,$J$14,V$20,$J$16,$J$17,$I25,V$21)</f>
        <v>0</v>
      </c>
      <c r="W25" s="5">
        <f ca="1">_xll.DBR($I$9,$J$13,$J$15,$J$14,W$20,$J$16,$J$17,$I25,W$21)</f>
        <v>0</v>
      </c>
      <c r="X25" s="5">
        <f ca="1">_xll.DBR($I$9,$J$13,$J$15,$J$14,X$20,$J$16,$J$17,$I25,X$21)</f>
        <v>0</v>
      </c>
      <c r="Y25" s="5">
        <f ca="1">_xll.DBR($I$9,$J$13,$J$15,$J$14,Y$20,$J$16,$J$17,$I25,Y$21)</f>
        <v>0</v>
      </c>
      <c r="Z25" s="5">
        <f ca="1">_xll.DBR($I$9,$J$13,$J$15,$J$14,Z$20,$J$16,$J$17,$I25,Z$21)</f>
        <v>0</v>
      </c>
      <c r="AA25" s="5">
        <f ca="1">_xll.DBR($I$9,$J$13,$J$15,$J$14,AA$20,$J$16,$J$17,$I25,AA$21)</f>
        <v>0</v>
      </c>
      <c r="AB25" s="5">
        <f ca="1">_xll.DBR($I$9,$J$13,$J$15,$J$14,AB$20,$J$16,$J$17,$I25,AB$21)</f>
        <v>0</v>
      </c>
      <c r="AC25" s="5">
        <f ca="1">_xll.DBR($I$9,$J$13,$J$15,$J$14,AC$20,$J$16,$J$17,$I25,AC$21)</f>
        <v>0</v>
      </c>
      <c r="AD25" s="5">
        <f ca="1">_xll.DBR($I$9,$J$13,$J$15,$J$14,AD$20,$J$16,$J$17,$I25,AD$21)</f>
        <v>0</v>
      </c>
    </row>
    <row r="26" spans="1:30" x14ac:dyDescent="0.25">
      <c r="A26">
        <f ca="1">IF(_xll.TM1RPTELISCONSOLIDATED($I$22,$I26),IF(_xll.TM1RPTELLEV($I$22,$I26)&lt;=3,_xll.TM1RPTELLEV($I$22,$I26),"D"),"N")</f>
        <v>2</v>
      </c>
      <c r="I26" s="17" t="s">
        <v>18</v>
      </c>
      <c r="J26" s="3">
        <f ca="1">_xll.DBR($I$9,$J$13,$J$15,$J$14,J$20,$J$16,$J$17,$I26,J$21)</f>
        <v>0</v>
      </c>
      <c r="K26" s="3">
        <f ca="1">_xll.DBR($I$9,$J$13,$J$15,$J$14,K$20,$J$16,$J$17,$I26,K$21)</f>
        <v>0</v>
      </c>
      <c r="L26" s="3">
        <f ca="1">_xll.DBRW($I$9,$J$13,$J$15,$J$14,L$20,$J$16,$J$17,$I26,L$21)</f>
        <v>0</v>
      </c>
      <c r="M26" s="3">
        <f ca="1">_xll.DBRW($I$9,$J$13,$J$15,$J$14,M$20,$J$16,$J$17,$I26,M$21)</f>
        <v>0</v>
      </c>
      <c r="N26" s="3">
        <f ca="1">_xll.DBRW($I$9,$J$13,$J$15,$J$14,N$20,$J$16,$J$17,$I26,N$21)</f>
        <v>0</v>
      </c>
      <c r="O26" s="3">
        <f ca="1">_xll.DBRW($I$9,$J$13,$J$15,$J$14,O$20,$J$16,$J$17,$I26,O$21)</f>
        <v>0</v>
      </c>
      <c r="P26" s="3">
        <f ca="1">_xll.DBRW($I$9,$J$13,$J$15,$J$14,P$20,$J$16,$J$17,$I26,P$21)</f>
        <v>0</v>
      </c>
      <c r="Q26" s="3">
        <f ca="1">_xll.DBRW($I$9,$J$13,$J$15,$J$14,Q$20,$J$16,$J$17,$I26,Q$21)</f>
        <v>0</v>
      </c>
      <c r="R26" s="3">
        <f ca="1">_xll.DBRW($I$9,$J$13,$J$15,$J$14,R$20,$J$16,$J$17,$I26,R$21)</f>
        <v>0</v>
      </c>
      <c r="S26" s="3" t="str">
        <f ca="1">_xll.DBR($I$9,$J$13,$J$15,$J$14,S$20,$J$16,$J$17,$I26,S$21)</f>
        <v>*KEY_ERR</v>
      </c>
      <c r="T26" s="3" t="str">
        <f ca="1">_xll.DBR($I$9,$J$13,$J$15,$J$14,T$20,$J$16,$J$17,$I26,T$21)</f>
        <v>*KEY_ERR</v>
      </c>
      <c r="U26" s="3" t="str">
        <f ca="1">_xll.DBR($I$9,$J$13,$J$15,$J$14,U$20,$J$16,$J$17,$I26,U$21)</f>
        <v>*KEY_ERR</v>
      </c>
      <c r="V26" s="3">
        <f ca="1">_xll.DBR($I$9,$J$13,$J$15,$J$14,V$20,$J$16,$J$17,$I26,V$21)</f>
        <v>0</v>
      </c>
      <c r="W26" s="3">
        <f ca="1">_xll.DBR($I$9,$J$13,$J$15,$J$14,W$20,$J$16,$J$17,$I26,W$21)</f>
        <v>0</v>
      </c>
      <c r="X26" s="3">
        <f ca="1">_xll.DBR($I$9,$J$13,$J$15,$J$14,X$20,$J$16,$J$17,$I26,X$21)</f>
        <v>0</v>
      </c>
      <c r="Y26" s="3">
        <f ca="1">_xll.DBR($I$9,$J$13,$J$15,$J$14,Y$20,$J$16,$J$17,$I26,Y$21)</f>
        <v>0</v>
      </c>
      <c r="Z26" s="3">
        <f ca="1">_xll.DBR($I$9,$J$13,$J$15,$J$14,Z$20,$J$16,$J$17,$I26,Z$21)</f>
        <v>0</v>
      </c>
      <c r="AA26" s="3">
        <f ca="1">_xll.DBR($I$9,$J$13,$J$15,$J$14,AA$20,$J$16,$J$17,$I26,AA$21)</f>
        <v>0</v>
      </c>
      <c r="AB26" s="3">
        <f ca="1">_xll.DBR($I$9,$J$13,$J$15,$J$14,AB$20,$J$16,$J$17,$I26,AB$21)</f>
        <v>0</v>
      </c>
      <c r="AC26" s="3">
        <f ca="1">_xll.DBR($I$9,$J$13,$J$15,$J$14,AC$20,$J$16,$J$17,$I26,AC$21)</f>
        <v>0</v>
      </c>
      <c r="AD26" s="3">
        <f ca="1">_xll.DBR($I$9,$J$13,$J$15,$J$14,AD$20,$J$16,$J$17,$I26,AD$21)</f>
        <v>0</v>
      </c>
    </row>
    <row r="27" spans="1:30" x14ac:dyDescent="0.25">
      <c r="A27">
        <f ca="1">IF(_xll.TM1RPTELISCONSOLIDATED($I$22,$I27),IF(_xll.TM1RPTELLEV($I$22,$I27)&lt;=3,_xll.TM1RPTELLEV($I$22,$I27),"D"),"N")</f>
        <v>3</v>
      </c>
      <c r="I27" s="22" t="s">
        <v>19</v>
      </c>
      <c r="J27" s="7">
        <f ca="1">_xll.DBR($I$9,$J$13,$J$15,$J$14,J$20,$J$16,$J$17,$I27,J$21)</f>
        <v>0</v>
      </c>
      <c r="K27" s="7">
        <f ca="1">_xll.DBR($I$9,$J$13,$J$15,$J$14,K$20,$J$16,$J$17,$I27,K$21)</f>
        <v>0</v>
      </c>
      <c r="L27" s="7">
        <f ca="1">_xll.DBRW($I$9,$J$13,$J$15,$J$14,L$20,$J$16,$J$17,$I27,L$21)</f>
        <v>0</v>
      </c>
      <c r="M27" s="7">
        <f ca="1">_xll.DBRW($I$9,$J$13,$J$15,$J$14,M$20,$J$16,$J$17,$I27,M$21)</f>
        <v>0</v>
      </c>
      <c r="N27" s="7">
        <f ca="1">_xll.DBRW($I$9,$J$13,$J$15,$J$14,N$20,$J$16,$J$17,$I27,N$21)</f>
        <v>0</v>
      </c>
      <c r="O27" s="7">
        <f ca="1">_xll.DBRW($I$9,$J$13,$J$15,$J$14,O$20,$J$16,$J$17,$I27,O$21)</f>
        <v>0</v>
      </c>
      <c r="P27" s="7">
        <f ca="1">_xll.DBRW($I$9,$J$13,$J$15,$J$14,P$20,$J$16,$J$17,$I27,P$21)</f>
        <v>0</v>
      </c>
      <c r="Q27" s="7">
        <f ca="1">_xll.DBRW($I$9,$J$13,$J$15,$J$14,Q$20,$J$16,$J$17,$I27,Q$21)</f>
        <v>0</v>
      </c>
      <c r="R27" s="7">
        <f ca="1">_xll.DBRW($I$9,$J$13,$J$15,$J$14,R$20,$J$16,$J$17,$I27,R$21)</f>
        <v>0</v>
      </c>
      <c r="S27" s="7" t="str">
        <f ca="1">_xll.DBR($I$9,$J$13,$J$15,$J$14,S$20,$J$16,$J$17,$I27,S$21)</f>
        <v>*KEY_ERR</v>
      </c>
      <c r="T27" s="7" t="str">
        <f ca="1">_xll.DBR($I$9,$J$13,$J$15,$J$14,T$20,$J$16,$J$17,$I27,T$21)</f>
        <v>*KEY_ERR</v>
      </c>
      <c r="U27" s="7" t="str">
        <f ca="1">_xll.DBR($I$9,$J$13,$J$15,$J$14,U$20,$J$16,$J$17,$I27,U$21)</f>
        <v>*KEY_ERR</v>
      </c>
      <c r="V27" s="7">
        <f ca="1">_xll.DBR($I$9,$J$13,$J$15,$J$14,V$20,$J$16,$J$17,$I27,V$21)</f>
        <v>0</v>
      </c>
      <c r="W27" s="7">
        <f ca="1">_xll.DBR($I$9,$J$13,$J$15,$J$14,W$20,$J$16,$J$17,$I27,W$21)</f>
        <v>0</v>
      </c>
      <c r="X27" s="7">
        <f ca="1">_xll.DBR($I$9,$J$13,$J$15,$J$14,X$20,$J$16,$J$17,$I27,X$21)</f>
        <v>0</v>
      </c>
      <c r="Y27" s="7">
        <f ca="1">_xll.DBR($I$9,$J$13,$J$15,$J$14,Y$20,$J$16,$J$17,$I27,Y$21)</f>
        <v>0</v>
      </c>
      <c r="Z27" s="7">
        <f ca="1">_xll.DBR($I$9,$J$13,$J$15,$J$14,Z$20,$J$16,$J$17,$I27,Z$21)</f>
        <v>0</v>
      </c>
      <c r="AA27" s="7">
        <f ca="1">_xll.DBR($I$9,$J$13,$J$15,$J$14,AA$20,$J$16,$J$17,$I27,AA$21)</f>
        <v>0</v>
      </c>
      <c r="AB27" s="7">
        <f ca="1">_xll.DBR($I$9,$J$13,$J$15,$J$14,AB$20,$J$16,$J$17,$I27,AB$21)</f>
        <v>0</v>
      </c>
      <c r="AC27" s="7">
        <f ca="1">_xll.DBR($I$9,$J$13,$J$15,$J$14,AC$20,$J$16,$J$17,$I27,AC$21)</f>
        <v>0</v>
      </c>
      <c r="AD27" s="7">
        <f ca="1">_xll.DBR($I$9,$J$13,$J$15,$J$14,AD$20,$J$16,$J$17,$I27,AD$21)</f>
        <v>0</v>
      </c>
    </row>
    <row r="28" spans="1:30" x14ac:dyDescent="0.25">
      <c r="A28">
        <f ca="1">IF(_xll.TM1RPTELISCONSOLIDATED($I$22,$I28),IF(_xll.TM1RPTELLEV($I$22,$I28)&lt;=3,_xll.TM1RPTELLEV($I$22,$I28),"D"),"N")</f>
        <v>3</v>
      </c>
      <c r="I28" s="22" t="s">
        <v>20</v>
      </c>
      <c r="J28" s="7">
        <f ca="1">_xll.DBR($I$9,$J$13,$J$15,$J$14,J$20,$J$16,$J$17,$I28,J$21)</f>
        <v>0</v>
      </c>
      <c r="K28" s="7">
        <f ca="1">_xll.DBR($I$9,$J$13,$J$15,$J$14,K$20,$J$16,$J$17,$I28,K$21)</f>
        <v>0</v>
      </c>
      <c r="L28" s="7">
        <f ca="1">_xll.DBRW($I$9,$J$13,$J$15,$J$14,L$20,$J$16,$J$17,$I28,L$21)</f>
        <v>0</v>
      </c>
      <c r="M28" s="7">
        <f ca="1">_xll.DBRW($I$9,$J$13,$J$15,$J$14,M$20,$J$16,$J$17,$I28,M$21)</f>
        <v>0</v>
      </c>
      <c r="N28" s="7">
        <f ca="1">_xll.DBRW($I$9,$J$13,$J$15,$J$14,N$20,$J$16,$J$17,$I28,N$21)</f>
        <v>0</v>
      </c>
      <c r="O28" s="7">
        <f ca="1">_xll.DBRW($I$9,$J$13,$J$15,$J$14,O$20,$J$16,$J$17,$I28,O$21)</f>
        <v>0</v>
      </c>
      <c r="P28" s="7">
        <f ca="1">_xll.DBRW($I$9,$J$13,$J$15,$J$14,P$20,$J$16,$J$17,$I28,P$21)</f>
        <v>0</v>
      </c>
      <c r="Q28" s="7">
        <f ca="1">_xll.DBRW($I$9,$J$13,$J$15,$J$14,Q$20,$J$16,$J$17,$I28,Q$21)</f>
        <v>0</v>
      </c>
      <c r="R28" s="7">
        <f ca="1">_xll.DBRW($I$9,$J$13,$J$15,$J$14,R$20,$J$16,$J$17,$I28,R$21)</f>
        <v>0</v>
      </c>
      <c r="S28" s="7" t="str">
        <f ca="1">_xll.DBR($I$9,$J$13,$J$15,$J$14,S$20,$J$16,$J$17,$I28,S$21)</f>
        <v>*KEY_ERR</v>
      </c>
      <c r="T28" s="7" t="str">
        <f ca="1">_xll.DBR($I$9,$J$13,$J$15,$J$14,T$20,$J$16,$J$17,$I28,T$21)</f>
        <v>*KEY_ERR</v>
      </c>
      <c r="U28" s="7" t="str">
        <f ca="1">_xll.DBR($I$9,$J$13,$J$15,$J$14,U$20,$J$16,$J$17,$I28,U$21)</f>
        <v>*KEY_ERR</v>
      </c>
      <c r="V28" s="7">
        <f ca="1">_xll.DBR($I$9,$J$13,$J$15,$J$14,V$20,$J$16,$J$17,$I28,V$21)</f>
        <v>0</v>
      </c>
      <c r="W28" s="7">
        <f ca="1">_xll.DBR($I$9,$J$13,$J$15,$J$14,W$20,$J$16,$J$17,$I28,W$21)</f>
        <v>0</v>
      </c>
      <c r="X28" s="7">
        <f ca="1">_xll.DBR($I$9,$J$13,$J$15,$J$14,X$20,$J$16,$J$17,$I28,X$21)</f>
        <v>0</v>
      </c>
      <c r="Y28" s="7">
        <f ca="1">_xll.DBR($I$9,$J$13,$J$15,$J$14,Y$20,$J$16,$J$17,$I28,Y$21)</f>
        <v>0</v>
      </c>
      <c r="Z28" s="7">
        <f ca="1">_xll.DBR($I$9,$J$13,$J$15,$J$14,Z$20,$J$16,$J$17,$I28,Z$21)</f>
        <v>0</v>
      </c>
      <c r="AA28" s="7">
        <f ca="1">_xll.DBR($I$9,$J$13,$J$15,$J$14,AA$20,$J$16,$J$17,$I28,AA$21)</f>
        <v>0</v>
      </c>
      <c r="AB28" s="7">
        <f ca="1">_xll.DBR($I$9,$J$13,$J$15,$J$14,AB$20,$J$16,$J$17,$I28,AB$21)</f>
        <v>0</v>
      </c>
      <c r="AC28" s="7">
        <f ca="1">_xll.DBR($I$9,$J$13,$J$15,$J$14,AC$20,$J$16,$J$17,$I28,AC$21)</f>
        <v>0</v>
      </c>
      <c r="AD28" s="7">
        <f ca="1">_xll.DBR($I$9,$J$13,$J$15,$J$14,AD$20,$J$16,$J$17,$I28,AD$21)</f>
        <v>0</v>
      </c>
    </row>
    <row r="29" spans="1:30" x14ac:dyDescent="0.25">
      <c r="A29">
        <f ca="1">IF(_xll.TM1RPTELISCONSOLIDATED($I$22,$I29),IF(_xll.TM1RPTELLEV($I$22,$I29)&lt;=3,_xll.TM1RPTELLEV($I$22,$I29),"D"),"N")</f>
        <v>3</v>
      </c>
      <c r="I29" s="22" t="s">
        <v>21</v>
      </c>
      <c r="J29" s="7">
        <f ca="1">_xll.DBR($I$9,$J$13,$J$15,$J$14,J$20,$J$16,$J$17,$I29,J$21)</f>
        <v>0</v>
      </c>
      <c r="K29" s="7">
        <f ca="1">_xll.DBR($I$9,$J$13,$J$15,$J$14,K$20,$J$16,$J$17,$I29,K$21)</f>
        <v>0</v>
      </c>
      <c r="L29" s="7">
        <f ca="1">_xll.DBRW($I$9,$J$13,$J$15,$J$14,L$20,$J$16,$J$17,$I29,L$21)</f>
        <v>0</v>
      </c>
      <c r="M29" s="7">
        <f ca="1">_xll.DBRW($I$9,$J$13,$J$15,$J$14,M$20,$J$16,$J$17,$I29,M$21)</f>
        <v>0</v>
      </c>
      <c r="N29" s="7">
        <f ca="1">_xll.DBRW($I$9,$J$13,$J$15,$J$14,N$20,$J$16,$J$17,$I29,N$21)</f>
        <v>0</v>
      </c>
      <c r="O29" s="7">
        <f ca="1">_xll.DBRW($I$9,$J$13,$J$15,$J$14,O$20,$J$16,$J$17,$I29,O$21)</f>
        <v>0</v>
      </c>
      <c r="P29" s="7">
        <f ca="1">_xll.DBRW($I$9,$J$13,$J$15,$J$14,P$20,$J$16,$J$17,$I29,P$21)</f>
        <v>0</v>
      </c>
      <c r="Q29" s="7">
        <f ca="1">_xll.DBRW($I$9,$J$13,$J$15,$J$14,Q$20,$J$16,$J$17,$I29,Q$21)</f>
        <v>0</v>
      </c>
      <c r="R29" s="7">
        <f ca="1">_xll.DBRW($I$9,$J$13,$J$15,$J$14,R$20,$J$16,$J$17,$I29,R$21)</f>
        <v>0</v>
      </c>
      <c r="S29" s="7" t="str">
        <f ca="1">_xll.DBR($I$9,$J$13,$J$15,$J$14,S$20,$J$16,$J$17,$I29,S$21)</f>
        <v>*KEY_ERR</v>
      </c>
      <c r="T29" s="7" t="str">
        <f ca="1">_xll.DBR($I$9,$J$13,$J$15,$J$14,T$20,$J$16,$J$17,$I29,T$21)</f>
        <v>*KEY_ERR</v>
      </c>
      <c r="U29" s="7" t="str">
        <f ca="1">_xll.DBR($I$9,$J$13,$J$15,$J$14,U$20,$J$16,$J$17,$I29,U$21)</f>
        <v>*KEY_ERR</v>
      </c>
      <c r="V29" s="7">
        <f ca="1">_xll.DBR($I$9,$J$13,$J$15,$J$14,V$20,$J$16,$J$17,$I29,V$21)</f>
        <v>0</v>
      </c>
      <c r="W29" s="7">
        <f ca="1">_xll.DBR($I$9,$J$13,$J$15,$J$14,W$20,$J$16,$J$17,$I29,W$21)</f>
        <v>0</v>
      </c>
      <c r="X29" s="7">
        <f ca="1">_xll.DBR($I$9,$J$13,$J$15,$J$14,X$20,$J$16,$J$17,$I29,X$21)</f>
        <v>0</v>
      </c>
      <c r="Y29" s="7">
        <f ca="1">_xll.DBR($I$9,$J$13,$J$15,$J$14,Y$20,$J$16,$J$17,$I29,Y$21)</f>
        <v>0</v>
      </c>
      <c r="Z29" s="7">
        <f ca="1">_xll.DBR($I$9,$J$13,$J$15,$J$14,Z$20,$J$16,$J$17,$I29,Z$21)</f>
        <v>0</v>
      </c>
      <c r="AA29" s="7">
        <f ca="1">_xll.DBR($I$9,$J$13,$J$15,$J$14,AA$20,$J$16,$J$17,$I29,AA$21)</f>
        <v>0</v>
      </c>
      <c r="AB29" s="7">
        <f ca="1">_xll.DBR($I$9,$J$13,$J$15,$J$14,AB$20,$J$16,$J$17,$I29,AB$21)</f>
        <v>0</v>
      </c>
      <c r="AC29" s="7">
        <f ca="1">_xll.DBR($I$9,$J$13,$J$15,$J$14,AC$20,$J$16,$J$17,$I29,AC$21)</f>
        <v>0</v>
      </c>
      <c r="AD29" s="7">
        <f ca="1">_xll.DBR($I$9,$J$13,$J$15,$J$14,AD$20,$J$16,$J$17,$I29,AD$21)</f>
        <v>0</v>
      </c>
    </row>
    <row r="30" spans="1:30" x14ac:dyDescent="0.25">
      <c r="A30">
        <f ca="1">IF(_xll.TM1RPTELISCONSOLIDATED($I$22,$I30),IF(_xll.TM1RPTELLEV($I$22,$I30)&lt;=3,_xll.TM1RPTELLEV($I$22,$I30),"D"),"N")</f>
        <v>3</v>
      </c>
      <c r="I30" s="22" t="s">
        <v>22</v>
      </c>
      <c r="J30" s="7">
        <f ca="1">_xll.DBR($I$9,$J$13,$J$15,$J$14,J$20,$J$16,$J$17,$I30,J$21)</f>
        <v>0</v>
      </c>
      <c r="K30" s="7">
        <f ca="1">_xll.DBR($I$9,$J$13,$J$15,$J$14,K$20,$J$16,$J$17,$I30,K$21)</f>
        <v>0</v>
      </c>
      <c r="L30" s="7">
        <f ca="1">_xll.DBRW($I$9,$J$13,$J$15,$J$14,L$20,$J$16,$J$17,$I30,L$21)</f>
        <v>0</v>
      </c>
      <c r="M30" s="7">
        <f ca="1">_xll.DBRW($I$9,$J$13,$J$15,$J$14,M$20,$J$16,$J$17,$I30,M$21)</f>
        <v>0</v>
      </c>
      <c r="N30" s="7">
        <f ca="1">_xll.DBRW($I$9,$J$13,$J$15,$J$14,N$20,$J$16,$J$17,$I30,N$21)</f>
        <v>0</v>
      </c>
      <c r="O30" s="7">
        <f ca="1">_xll.DBRW($I$9,$J$13,$J$15,$J$14,O$20,$J$16,$J$17,$I30,O$21)</f>
        <v>0</v>
      </c>
      <c r="P30" s="7">
        <f ca="1">_xll.DBRW($I$9,$J$13,$J$15,$J$14,P$20,$J$16,$J$17,$I30,P$21)</f>
        <v>0</v>
      </c>
      <c r="Q30" s="7">
        <f ca="1">_xll.DBRW($I$9,$J$13,$J$15,$J$14,Q$20,$J$16,$J$17,$I30,Q$21)</f>
        <v>0</v>
      </c>
      <c r="R30" s="7">
        <f ca="1">_xll.DBRW($I$9,$J$13,$J$15,$J$14,R$20,$J$16,$J$17,$I30,R$21)</f>
        <v>0</v>
      </c>
      <c r="S30" s="7" t="str">
        <f ca="1">_xll.DBR($I$9,$J$13,$J$15,$J$14,S$20,$J$16,$J$17,$I30,S$21)</f>
        <v>*KEY_ERR</v>
      </c>
      <c r="T30" s="7" t="str">
        <f ca="1">_xll.DBR($I$9,$J$13,$J$15,$J$14,T$20,$J$16,$J$17,$I30,T$21)</f>
        <v>*KEY_ERR</v>
      </c>
      <c r="U30" s="7" t="str">
        <f ca="1">_xll.DBR($I$9,$J$13,$J$15,$J$14,U$20,$J$16,$J$17,$I30,U$21)</f>
        <v>*KEY_ERR</v>
      </c>
      <c r="V30" s="7">
        <f ca="1">_xll.DBR($I$9,$J$13,$J$15,$J$14,V$20,$J$16,$J$17,$I30,V$21)</f>
        <v>0</v>
      </c>
      <c r="W30" s="7">
        <f ca="1">_xll.DBR($I$9,$J$13,$J$15,$J$14,W$20,$J$16,$J$17,$I30,W$21)</f>
        <v>0</v>
      </c>
      <c r="X30" s="7">
        <f ca="1">_xll.DBR($I$9,$J$13,$J$15,$J$14,X$20,$J$16,$J$17,$I30,X$21)</f>
        <v>0</v>
      </c>
      <c r="Y30" s="7">
        <f ca="1">_xll.DBR($I$9,$J$13,$J$15,$J$14,Y$20,$J$16,$J$17,$I30,Y$21)</f>
        <v>0</v>
      </c>
      <c r="Z30" s="7">
        <f ca="1">_xll.DBR($I$9,$J$13,$J$15,$J$14,Z$20,$J$16,$J$17,$I30,Z$21)</f>
        <v>0</v>
      </c>
      <c r="AA30" s="7">
        <f ca="1">_xll.DBR($I$9,$J$13,$J$15,$J$14,AA$20,$J$16,$J$17,$I30,AA$21)</f>
        <v>0</v>
      </c>
      <c r="AB30" s="7">
        <f ca="1">_xll.DBR($I$9,$J$13,$J$15,$J$14,AB$20,$J$16,$J$17,$I30,AB$21)</f>
        <v>0</v>
      </c>
      <c r="AC30" s="7">
        <f ca="1">_xll.DBR($I$9,$J$13,$J$15,$J$14,AC$20,$J$16,$J$17,$I30,AC$21)</f>
        <v>0</v>
      </c>
      <c r="AD30" s="7">
        <f ca="1">_xll.DBR($I$9,$J$13,$J$15,$J$14,AD$20,$J$16,$J$17,$I30,AD$21)</f>
        <v>0</v>
      </c>
    </row>
    <row r="31" spans="1:30" x14ac:dyDescent="0.25">
      <c r="A31">
        <f ca="1">IF(_xll.TM1RPTELISCONSOLIDATED($I$22,$I31),IF(_xll.TM1RPTELLEV($I$22,$I31)&lt;=3,_xll.TM1RPTELLEV($I$22,$I31),"D"),"N")</f>
        <v>3</v>
      </c>
      <c r="I31" s="22" t="s">
        <v>188</v>
      </c>
      <c r="J31" s="7">
        <f ca="1">_xll.DBR($I$9,$J$13,$J$15,$J$14,J$20,$J$16,$J$17,$I31,J$21)</f>
        <v>0</v>
      </c>
      <c r="K31" s="7">
        <f ca="1">_xll.DBR($I$9,$J$13,$J$15,$J$14,K$20,$J$16,$J$17,$I31,K$21)</f>
        <v>0</v>
      </c>
      <c r="L31" s="7">
        <f ca="1">_xll.DBRW($I$9,$J$13,$J$15,$J$14,L$20,$J$16,$J$17,$I31,L$21)</f>
        <v>0</v>
      </c>
      <c r="M31" s="7">
        <f ca="1">_xll.DBRW($I$9,$J$13,$J$15,$J$14,M$20,$J$16,$J$17,$I31,M$21)</f>
        <v>0</v>
      </c>
      <c r="N31" s="7">
        <f ca="1">_xll.DBRW($I$9,$J$13,$J$15,$J$14,N$20,$J$16,$J$17,$I31,N$21)</f>
        <v>0</v>
      </c>
      <c r="O31" s="7">
        <f ca="1">_xll.DBRW($I$9,$J$13,$J$15,$J$14,O$20,$J$16,$J$17,$I31,O$21)</f>
        <v>0</v>
      </c>
      <c r="P31" s="7">
        <f ca="1">_xll.DBRW($I$9,$J$13,$J$15,$J$14,P$20,$J$16,$J$17,$I31,P$21)</f>
        <v>0</v>
      </c>
      <c r="Q31" s="7">
        <f ca="1">_xll.DBRW($I$9,$J$13,$J$15,$J$14,Q$20,$J$16,$J$17,$I31,Q$21)</f>
        <v>0</v>
      </c>
      <c r="R31" s="7">
        <f ca="1">_xll.DBRW($I$9,$J$13,$J$15,$J$14,R$20,$J$16,$J$17,$I31,R$21)</f>
        <v>0</v>
      </c>
      <c r="S31" s="7" t="str">
        <f ca="1">_xll.DBR($I$9,$J$13,$J$15,$J$14,S$20,$J$16,$J$17,$I31,S$21)</f>
        <v>*KEY_ERR</v>
      </c>
      <c r="T31" s="7" t="str">
        <f ca="1">_xll.DBR($I$9,$J$13,$J$15,$J$14,T$20,$J$16,$J$17,$I31,T$21)</f>
        <v>*KEY_ERR</v>
      </c>
      <c r="U31" s="7" t="str">
        <f ca="1">_xll.DBR($I$9,$J$13,$J$15,$J$14,U$20,$J$16,$J$17,$I31,U$21)</f>
        <v>*KEY_ERR</v>
      </c>
      <c r="V31" s="7">
        <f ca="1">_xll.DBR($I$9,$J$13,$J$15,$J$14,V$20,$J$16,$J$17,$I31,V$21)</f>
        <v>0</v>
      </c>
      <c r="W31" s="7">
        <f ca="1">_xll.DBR($I$9,$J$13,$J$15,$J$14,W$20,$J$16,$J$17,$I31,W$21)</f>
        <v>0</v>
      </c>
      <c r="X31" s="7">
        <f ca="1">_xll.DBR($I$9,$J$13,$J$15,$J$14,X$20,$J$16,$J$17,$I31,X$21)</f>
        <v>0</v>
      </c>
      <c r="Y31" s="7">
        <f ca="1">_xll.DBR($I$9,$J$13,$J$15,$J$14,Y$20,$J$16,$J$17,$I31,Y$21)</f>
        <v>0</v>
      </c>
      <c r="Z31" s="7">
        <f ca="1">_xll.DBR($I$9,$J$13,$J$15,$J$14,Z$20,$J$16,$J$17,$I31,Z$21)</f>
        <v>0</v>
      </c>
      <c r="AA31" s="7">
        <f ca="1">_xll.DBR($I$9,$J$13,$J$15,$J$14,AA$20,$J$16,$J$17,$I31,AA$21)</f>
        <v>0</v>
      </c>
      <c r="AB31" s="7">
        <f ca="1">_xll.DBR($I$9,$J$13,$J$15,$J$14,AB$20,$J$16,$J$17,$I31,AB$21)</f>
        <v>0</v>
      </c>
      <c r="AC31" s="7">
        <f ca="1">_xll.DBR($I$9,$J$13,$J$15,$J$14,AC$20,$J$16,$J$17,$I31,AC$21)</f>
        <v>0</v>
      </c>
      <c r="AD31" s="7">
        <f ca="1">_xll.DBR($I$9,$J$13,$J$15,$J$14,AD$20,$J$16,$J$17,$I31,AD$21)</f>
        <v>0</v>
      </c>
    </row>
    <row r="32" spans="1:30" x14ac:dyDescent="0.25">
      <c r="A32">
        <f ca="1">IF(_xll.TM1RPTELISCONSOLIDATED($I$22,$I32),IF(_xll.TM1RPTELLEV($I$22,$I32)&lt;=3,_xll.TM1RPTELLEV($I$22,$I32),"D"),"N")</f>
        <v>2</v>
      </c>
      <c r="I32" s="17" t="s">
        <v>24</v>
      </c>
      <c r="J32" s="3">
        <f ca="1">_xll.DBR($I$9,$J$13,$J$15,$J$14,J$20,$J$16,$J$17,$I32,J$21)</f>
        <v>0</v>
      </c>
      <c r="K32" s="3">
        <f ca="1">_xll.DBR($I$9,$J$13,$J$15,$J$14,K$20,$J$16,$J$17,$I32,K$21)</f>
        <v>0</v>
      </c>
      <c r="L32" s="3">
        <f ca="1">_xll.DBRW($I$9,$J$13,$J$15,$J$14,L$20,$J$16,$J$17,$I32,L$21)</f>
        <v>0</v>
      </c>
      <c r="M32" s="3">
        <f ca="1">_xll.DBRW($I$9,$J$13,$J$15,$J$14,M$20,$J$16,$J$17,$I32,M$21)</f>
        <v>0</v>
      </c>
      <c r="N32" s="3">
        <f ca="1">_xll.DBRW($I$9,$J$13,$J$15,$J$14,N$20,$J$16,$J$17,$I32,N$21)</f>
        <v>0</v>
      </c>
      <c r="O32" s="3">
        <f ca="1">_xll.DBRW($I$9,$J$13,$J$15,$J$14,O$20,$J$16,$J$17,$I32,O$21)</f>
        <v>0</v>
      </c>
      <c r="P32" s="3">
        <f ca="1">_xll.DBRW($I$9,$J$13,$J$15,$J$14,P$20,$J$16,$J$17,$I32,P$21)</f>
        <v>0</v>
      </c>
      <c r="Q32" s="3">
        <f ca="1">_xll.DBRW($I$9,$J$13,$J$15,$J$14,Q$20,$J$16,$J$17,$I32,Q$21)</f>
        <v>0</v>
      </c>
      <c r="R32" s="3">
        <f ca="1">_xll.DBRW($I$9,$J$13,$J$15,$J$14,R$20,$J$16,$J$17,$I32,R$21)</f>
        <v>0</v>
      </c>
      <c r="S32" s="3" t="str">
        <f ca="1">_xll.DBR($I$9,$J$13,$J$15,$J$14,S$20,$J$16,$J$17,$I32,S$21)</f>
        <v>*KEY_ERR</v>
      </c>
      <c r="T32" s="3" t="str">
        <f ca="1">_xll.DBR($I$9,$J$13,$J$15,$J$14,T$20,$J$16,$J$17,$I32,T$21)</f>
        <v>*KEY_ERR</v>
      </c>
      <c r="U32" s="3" t="str">
        <f ca="1">_xll.DBR($I$9,$J$13,$J$15,$J$14,U$20,$J$16,$J$17,$I32,U$21)</f>
        <v>*KEY_ERR</v>
      </c>
      <c r="V32" s="3">
        <f ca="1">_xll.DBR($I$9,$J$13,$J$15,$J$14,V$20,$J$16,$J$17,$I32,V$21)</f>
        <v>0</v>
      </c>
      <c r="W32" s="3">
        <f ca="1">_xll.DBR($I$9,$J$13,$J$15,$J$14,W$20,$J$16,$J$17,$I32,W$21)</f>
        <v>0</v>
      </c>
      <c r="X32" s="3">
        <f ca="1">_xll.DBR($I$9,$J$13,$J$15,$J$14,X$20,$J$16,$J$17,$I32,X$21)</f>
        <v>0</v>
      </c>
      <c r="Y32" s="3">
        <f ca="1">_xll.DBR($I$9,$J$13,$J$15,$J$14,Y$20,$J$16,$J$17,$I32,Y$21)</f>
        <v>0</v>
      </c>
      <c r="Z32" s="3">
        <f ca="1">_xll.DBR($I$9,$J$13,$J$15,$J$14,Z$20,$J$16,$J$17,$I32,Z$21)</f>
        <v>0</v>
      </c>
      <c r="AA32" s="3">
        <f ca="1">_xll.DBR($I$9,$J$13,$J$15,$J$14,AA$20,$J$16,$J$17,$I32,AA$21)</f>
        <v>0</v>
      </c>
      <c r="AB32" s="3">
        <f ca="1">_xll.DBR($I$9,$J$13,$J$15,$J$14,AB$20,$J$16,$J$17,$I32,AB$21)</f>
        <v>0</v>
      </c>
      <c r="AC32" s="3">
        <f ca="1">_xll.DBR($I$9,$J$13,$J$15,$J$14,AC$20,$J$16,$J$17,$I32,AC$21)</f>
        <v>0</v>
      </c>
      <c r="AD32" s="3">
        <f ca="1">_xll.DBR($I$9,$J$13,$J$15,$J$14,AD$20,$J$16,$J$17,$I32,AD$21)</f>
        <v>0</v>
      </c>
    </row>
    <row r="33" spans="1:30" x14ac:dyDescent="0.25">
      <c r="A33">
        <f ca="1">IF(_xll.TM1RPTELISCONSOLIDATED($I$22,$I33),IF(_xll.TM1RPTELLEV($I$22,$I33)&lt;=3,_xll.TM1RPTELLEV($I$22,$I33),"D"),"N")</f>
        <v>3</v>
      </c>
      <c r="I33" s="22" t="s">
        <v>25</v>
      </c>
      <c r="J33" s="7">
        <f ca="1">_xll.DBR($I$9,$J$13,$J$15,$J$14,J$20,$J$16,$J$17,$I33,J$21)</f>
        <v>0</v>
      </c>
      <c r="K33" s="7">
        <f ca="1">_xll.DBR($I$9,$J$13,$J$15,$J$14,K$20,$J$16,$J$17,$I33,K$21)</f>
        <v>0</v>
      </c>
      <c r="L33" s="7">
        <f ca="1">_xll.DBRW($I$9,$J$13,$J$15,$J$14,L$20,$J$16,$J$17,$I33,L$21)</f>
        <v>0</v>
      </c>
      <c r="M33" s="7">
        <f ca="1">_xll.DBRW($I$9,$J$13,$J$15,$J$14,M$20,$J$16,$J$17,$I33,M$21)</f>
        <v>0</v>
      </c>
      <c r="N33" s="7">
        <f ca="1">_xll.DBRW($I$9,$J$13,$J$15,$J$14,N$20,$J$16,$J$17,$I33,N$21)</f>
        <v>0</v>
      </c>
      <c r="O33" s="7">
        <f ca="1">_xll.DBRW($I$9,$J$13,$J$15,$J$14,O$20,$J$16,$J$17,$I33,O$21)</f>
        <v>0</v>
      </c>
      <c r="P33" s="7">
        <f ca="1">_xll.DBRW($I$9,$J$13,$J$15,$J$14,P$20,$J$16,$J$17,$I33,P$21)</f>
        <v>0</v>
      </c>
      <c r="Q33" s="7">
        <f ca="1">_xll.DBRW($I$9,$J$13,$J$15,$J$14,Q$20,$J$16,$J$17,$I33,Q$21)</f>
        <v>0</v>
      </c>
      <c r="R33" s="7">
        <f ca="1">_xll.DBRW($I$9,$J$13,$J$15,$J$14,R$20,$J$16,$J$17,$I33,R$21)</f>
        <v>0</v>
      </c>
      <c r="S33" s="7" t="str">
        <f ca="1">_xll.DBR($I$9,$J$13,$J$15,$J$14,S$20,$J$16,$J$17,$I33,S$21)</f>
        <v>*KEY_ERR</v>
      </c>
      <c r="T33" s="7" t="str">
        <f ca="1">_xll.DBR($I$9,$J$13,$J$15,$J$14,T$20,$J$16,$J$17,$I33,T$21)</f>
        <v>*KEY_ERR</v>
      </c>
      <c r="U33" s="7" t="str">
        <f ca="1">_xll.DBR($I$9,$J$13,$J$15,$J$14,U$20,$J$16,$J$17,$I33,U$21)</f>
        <v>*KEY_ERR</v>
      </c>
      <c r="V33" s="7">
        <f ca="1">_xll.DBR($I$9,$J$13,$J$15,$J$14,V$20,$J$16,$J$17,$I33,V$21)</f>
        <v>0</v>
      </c>
      <c r="W33" s="7">
        <f ca="1">_xll.DBR($I$9,$J$13,$J$15,$J$14,W$20,$J$16,$J$17,$I33,W$21)</f>
        <v>0</v>
      </c>
      <c r="X33" s="7">
        <f ca="1">_xll.DBR($I$9,$J$13,$J$15,$J$14,X$20,$J$16,$J$17,$I33,X$21)</f>
        <v>0</v>
      </c>
      <c r="Y33" s="7">
        <f ca="1">_xll.DBR($I$9,$J$13,$J$15,$J$14,Y$20,$J$16,$J$17,$I33,Y$21)</f>
        <v>0</v>
      </c>
      <c r="Z33" s="7">
        <f ca="1">_xll.DBR($I$9,$J$13,$J$15,$J$14,Z$20,$J$16,$J$17,$I33,Z$21)</f>
        <v>0</v>
      </c>
      <c r="AA33" s="7">
        <f ca="1">_xll.DBR($I$9,$J$13,$J$15,$J$14,AA$20,$J$16,$J$17,$I33,AA$21)</f>
        <v>0</v>
      </c>
      <c r="AB33" s="7">
        <f ca="1">_xll.DBR($I$9,$J$13,$J$15,$J$14,AB$20,$J$16,$J$17,$I33,AB$21)</f>
        <v>0</v>
      </c>
      <c r="AC33" s="7">
        <f ca="1">_xll.DBR($I$9,$J$13,$J$15,$J$14,AC$20,$J$16,$J$17,$I33,AC$21)</f>
        <v>0</v>
      </c>
      <c r="AD33" s="7">
        <f ca="1">_xll.DBR($I$9,$J$13,$J$15,$J$14,AD$20,$J$16,$J$17,$I33,AD$21)</f>
        <v>0</v>
      </c>
    </row>
    <row r="34" spans="1:30" x14ac:dyDescent="0.25">
      <c r="A34">
        <f ca="1">IF(_xll.TM1RPTELISCONSOLIDATED($I$22,$I34),IF(_xll.TM1RPTELLEV($I$22,$I34)&lt;=3,_xll.TM1RPTELLEV($I$22,$I34),"D"),"N")</f>
        <v>3</v>
      </c>
      <c r="I34" s="23" t="s">
        <v>26</v>
      </c>
      <c r="J34" s="7">
        <f ca="1">_xll.DBR($I$9,$J$13,$J$15,$J$14,J$20,$J$16,$J$17,$I34,J$21)</f>
        <v>0</v>
      </c>
      <c r="K34" s="7">
        <f ca="1">_xll.DBR($I$9,$J$13,$J$15,$J$14,K$20,$J$16,$J$17,$I34,K$21)</f>
        <v>0</v>
      </c>
      <c r="L34" s="7">
        <f ca="1">_xll.DBRW($I$9,$J$13,$J$15,$J$14,L$20,$J$16,$J$17,$I34,L$21)</f>
        <v>0</v>
      </c>
      <c r="M34" s="7">
        <f ca="1">_xll.DBRW($I$9,$J$13,$J$15,$J$14,M$20,$J$16,$J$17,$I34,M$21)</f>
        <v>0</v>
      </c>
      <c r="N34" s="7">
        <f ca="1">_xll.DBRW($I$9,$J$13,$J$15,$J$14,N$20,$J$16,$J$17,$I34,N$21)</f>
        <v>0</v>
      </c>
      <c r="O34" s="7">
        <f ca="1">_xll.DBRW($I$9,$J$13,$J$15,$J$14,O$20,$J$16,$J$17,$I34,O$21)</f>
        <v>0</v>
      </c>
      <c r="P34" s="7">
        <f ca="1">_xll.DBRW($I$9,$J$13,$J$15,$J$14,P$20,$J$16,$J$17,$I34,P$21)</f>
        <v>0</v>
      </c>
      <c r="Q34" s="7">
        <f ca="1">_xll.DBRW($I$9,$J$13,$J$15,$J$14,Q$20,$J$16,$J$17,$I34,Q$21)</f>
        <v>0</v>
      </c>
      <c r="R34" s="7">
        <f ca="1">_xll.DBRW($I$9,$J$13,$J$15,$J$14,R$20,$J$16,$J$17,$I34,R$21)</f>
        <v>0</v>
      </c>
      <c r="S34" s="7" t="str">
        <f ca="1">_xll.DBR($I$9,$J$13,$J$15,$J$14,S$20,$J$16,$J$17,$I34,S$21)</f>
        <v>*KEY_ERR</v>
      </c>
      <c r="T34" s="7" t="str">
        <f ca="1">_xll.DBR($I$9,$J$13,$J$15,$J$14,T$20,$J$16,$J$17,$I34,T$21)</f>
        <v>*KEY_ERR</v>
      </c>
      <c r="U34" s="7" t="str">
        <f ca="1">_xll.DBR($I$9,$J$13,$J$15,$J$14,U$20,$J$16,$J$17,$I34,U$21)</f>
        <v>*KEY_ERR</v>
      </c>
      <c r="V34" s="7">
        <f ca="1">_xll.DBR($I$9,$J$13,$J$15,$J$14,V$20,$J$16,$J$17,$I34,V$21)</f>
        <v>0</v>
      </c>
      <c r="W34" s="7">
        <f ca="1">_xll.DBR($I$9,$J$13,$J$15,$J$14,W$20,$J$16,$J$17,$I34,W$21)</f>
        <v>0</v>
      </c>
      <c r="X34" s="7">
        <f ca="1">_xll.DBR($I$9,$J$13,$J$15,$J$14,X$20,$J$16,$J$17,$I34,X$21)</f>
        <v>0</v>
      </c>
      <c r="Y34" s="7">
        <f ca="1">_xll.DBR($I$9,$J$13,$J$15,$J$14,Y$20,$J$16,$J$17,$I34,Y$21)</f>
        <v>0</v>
      </c>
      <c r="Z34" s="7">
        <f ca="1">_xll.DBR($I$9,$J$13,$J$15,$J$14,Z$20,$J$16,$J$17,$I34,Z$21)</f>
        <v>0</v>
      </c>
      <c r="AA34" s="7">
        <f ca="1">_xll.DBR($I$9,$J$13,$J$15,$J$14,AA$20,$J$16,$J$17,$I34,AA$21)</f>
        <v>0</v>
      </c>
      <c r="AB34" s="7">
        <f ca="1">_xll.DBR($I$9,$J$13,$J$15,$J$14,AB$20,$J$16,$J$17,$I34,AB$21)</f>
        <v>0</v>
      </c>
      <c r="AC34" s="7">
        <f ca="1">_xll.DBR($I$9,$J$13,$J$15,$J$14,AC$20,$J$16,$J$17,$I34,AC$21)</f>
        <v>0</v>
      </c>
      <c r="AD34" s="7">
        <f ca="1">_xll.DBR($I$9,$J$13,$J$15,$J$14,AD$20,$J$16,$J$17,$I34,AD$21)</f>
        <v>0</v>
      </c>
    </row>
    <row r="35" spans="1:30" x14ac:dyDescent="0.25">
      <c r="A35" t="str">
        <f ca="1">IF(_xll.TM1RPTELISCONSOLIDATED($I$22,$I35),IF(_xll.TM1RPTELLEV($I$22,$I35)&lt;=3,_xll.TM1RPTELLEV($I$22,$I35),"D"),"N")</f>
        <v>D</v>
      </c>
      <c r="I35" s="18" t="s">
        <v>27</v>
      </c>
      <c r="J35" s="9">
        <f ca="1">_xll.DBR($I$9,$J$13,$J$15,$J$14,J$20,$J$16,$J$17,$I35,J$21)</f>
        <v>0</v>
      </c>
      <c r="K35" s="9">
        <f ca="1">_xll.DBR($I$9,$J$13,$J$15,$J$14,K$20,$J$16,$J$17,$I35,K$21)</f>
        <v>0</v>
      </c>
      <c r="L35" s="9">
        <f ca="1">_xll.DBRW($I$9,$J$13,$J$15,$J$14,L$20,$J$16,$J$17,$I35,L$21)</f>
        <v>0</v>
      </c>
      <c r="M35" s="9">
        <f ca="1">_xll.DBRW($I$9,$J$13,$J$15,$J$14,M$20,$J$16,$J$17,$I35,M$21)</f>
        <v>0</v>
      </c>
      <c r="N35" s="9">
        <f ca="1">_xll.DBRW($I$9,$J$13,$J$15,$J$14,N$20,$J$16,$J$17,$I35,N$21)</f>
        <v>0</v>
      </c>
      <c r="O35" s="9">
        <f ca="1">_xll.DBRW($I$9,$J$13,$J$15,$J$14,O$20,$J$16,$J$17,$I35,O$21)</f>
        <v>0</v>
      </c>
      <c r="P35" s="9">
        <f ca="1">_xll.DBRW($I$9,$J$13,$J$15,$J$14,P$20,$J$16,$J$17,$I35,P$21)</f>
        <v>0</v>
      </c>
      <c r="Q35" s="9">
        <f ca="1">_xll.DBRW($I$9,$J$13,$J$15,$J$14,Q$20,$J$16,$J$17,$I35,Q$21)</f>
        <v>0</v>
      </c>
      <c r="R35" s="9">
        <f ca="1">_xll.DBRW($I$9,$J$13,$J$15,$J$14,R$20,$J$16,$J$17,$I35,R$21)</f>
        <v>0</v>
      </c>
      <c r="S35" s="9" t="str">
        <f ca="1">_xll.DBR($I$9,$J$13,$J$15,$J$14,S$20,$J$16,$J$17,$I35,S$21)</f>
        <v>*KEY_ERR</v>
      </c>
      <c r="T35" s="9" t="str">
        <f ca="1">_xll.DBR($I$9,$J$13,$J$15,$J$14,T$20,$J$16,$J$17,$I35,T$21)</f>
        <v>*KEY_ERR</v>
      </c>
      <c r="U35" s="9" t="str">
        <f ca="1">_xll.DBR($I$9,$J$13,$J$15,$J$14,U$20,$J$16,$J$17,$I35,U$21)</f>
        <v>*KEY_ERR</v>
      </c>
      <c r="V35" s="9">
        <f ca="1">_xll.DBR($I$9,$J$13,$J$15,$J$14,V$20,$J$16,$J$17,$I35,V$21)</f>
        <v>0</v>
      </c>
      <c r="W35" s="9">
        <f ca="1">_xll.DBR($I$9,$J$13,$J$15,$J$14,W$20,$J$16,$J$17,$I35,W$21)</f>
        <v>0</v>
      </c>
      <c r="X35" s="9">
        <f ca="1">_xll.DBR($I$9,$J$13,$J$15,$J$14,X$20,$J$16,$J$17,$I35,X$21)</f>
        <v>0</v>
      </c>
      <c r="Y35" s="9">
        <f ca="1">_xll.DBR($I$9,$J$13,$J$15,$J$14,Y$20,$J$16,$J$17,$I35,Y$21)</f>
        <v>0</v>
      </c>
      <c r="Z35" s="9">
        <f ca="1">_xll.DBR($I$9,$J$13,$J$15,$J$14,Z$20,$J$16,$J$17,$I35,Z$21)</f>
        <v>0</v>
      </c>
      <c r="AA35" s="9">
        <f ca="1">_xll.DBR($I$9,$J$13,$J$15,$J$14,AA$20,$J$16,$J$17,$I35,AA$21)</f>
        <v>0</v>
      </c>
      <c r="AB35" s="9">
        <f ca="1">_xll.DBR($I$9,$J$13,$J$15,$J$14,AB$20,$J$16,$J$17,$I35,AB$21)</f>
        <v>0</v>
      </c>
      <c r="AC35" s="9">
        <f ca="1">_xll.DBR($I$9,$J$13,$J$15,$J$14,AC$20,$J$16,$J$17,$I35,AC$21)</f>
        <v>0</v>
      </c>
      <c r="AD35" s="9">
        <f ca="1">_xll.DBR($I$9,$J$13,$J$15,$J$14,AD$20,$J$16,$J$17,$I35,AD$21)</f>
        <v>0</v>
      </c>
    </row>
    <row r="36" spans="1:30" x14ac:dyDescent="0.25">
      <c r="A36" t="str">
        <f ca="1">IF(_xll.TM1RPTELISCONSOLIDATED($I$22,$I36),IF(_xll.TM1RPTELLEV($I$22,$I36)&lt;=3,_xll.TM1RPTELLEV($I$22,$I36),"D"),"N")</f>
        <v>D</v>
      </c>
      <c r="I36" s="18" t="s">
        <v>28</v>
      </c>
      <c r="J36" s="9">
        <f ca="1">_xll.DBR($I$9,$J$13,$J$15,$J$14,J$20,$J$16,$J$17,$I36,J$21)</f>
        <v>0</v>
      </c>
      <c r="K36" s="9">
        <f ca="1">_xll.DBR($I$9,$J$13,$J$15,$J$14,K$20,$J$16,$J$17,$I36,K$21)</f>
        <v>0</v>
      </c>
      <c r="L36" s="9">
        <f ca="1">_xll.DBRW($I$9,$J$13,$J$15,$J$14,L$20,$J$16,$J$17,$I36,L$21)</f>
        <v>0</v>
      </c>
      <c r="M36" s="9">
        <f ca="1">_xll.DBRW($I$9,$J$13,$J$15,$J$14,M$20,$J$16,$J$17,$I36,M$21)</f>
        <v>0</v>
      </c>
      <c r="N36" s="9">
        <f ca="1">_xll.DBRW($I$9,$J$13,$J$15,$J$14,N$20,$J$16,$J$17,$I36,N$21)</f>
        <v>0</v>
      </c>
      <c r="O36" s="9">
        <f ca="1">_xll.DBRW($I$9,$J$13,$J$15,$J$14,O$20,$J$16,$J$17,$I36,O$21)</f>
        <v>0</v>
      </c>
      <c r="P36" s="9">
        <f ca="1">_xll.DBRW($I$9,$J$13,$J$15,$J$14,P$20,$J$16,$J$17,$I36,P$21)</f>
        <v>0</v>
      </c>
      <c r="Q36" s="9">
        <f ca="1">_xll.DBRW($I$9,$J$13,$J$15,$J$14,Q$20,$J$16,$J$17,$I36,Q$21)</f>
        <v>0</v>
      </c>
      <c r="R36" s="9">
        <f ca="1">_xll.DBRW($I$9,$J$13,$J$15,$J$14,R$20,$J$16,$J$17,$I36,R$21)</f>
        <v>0</v>
      </c>
      <c r="S36" s="9" t="str">
        <f ca="1">_xll.DBR($I$9,$J$13,$J$15,$J$14,S$20,$J$16,$J$17,$I36,S$21)</f>
        <v>*KEY_ERR</v>
      </c>
      <c r="T36" s="9" t="str">
        <f ca="1">_xll.DBR($I$9,$J$13,$J$15,$J$14,T$20,$J$16,$J$17,$I36,T$21)</f>
        <v>*KEY_ERR</v>
      </c>
      <c r="U36" s="9" t="str">
        <f ca="1">_xll.DBR($I$9,$J$13,$J$15,$J$14,U$20,$J$16,$J$17,$I36,U$21)</f>
        <v>*KEY_ERR</v>
      </c>
      <c r="V36" s="9">
        <f ca="1">_xll.DBR($I$9,$J$13,$J$15,$J$14,V$20,$J$16,$J$17,$I36,V$21)</f>
        <v>0</v>
      </c>
      <c r="W36" s="9">
        <f ca="1">_xll.DBR($I$9,$J$13,$J$15,$J$14,W$20,$J$16,$J$17,$I36,W$21)</f>
        <v>0</v>
      </c>
      <c r="X36" s="9">
        <f ca="1">_xll.DBR($I$9,$J$13,$J$15,$J$14,X$20,$J$16,$J$17,$I36,X$21)</f>
        <v>0</v>
      </c>
      <c r="Y36" s="9">
        <f ca="1">_xll.DBR($I$9,$J$13,$J$15,$J$14,Y$20,$J$16,$J$17,$I36,Y$21)</f>
        <v>0</v>
      </c>
      <c r="Z36" s="9">
        <f ca="1">_xll.DBR($I$9,$J$13,$J$15,$J$14,Z$20,$J$16,$J$17,$I36,Z$21)</f>
        <v>0</v>
      </c>
      <c r="AA36" s="9">
        <f ca="1">_xll.DBR($I$9,$J$13,$J$15,$J$14,AA$20,$J$16,$J$17,$I36,AA$21)</f>
        <v>0</v>
      </c>
      <c r="AB36" s="9">
        <f ca="1">_xll.DBR($I$9,$J$13,$J$15,$J$14,AB$20,$J$16,$J$17,$I36,AB$21)</f>
        <v>0</v>
      </c>
      <c r="AC36" s="9">
        <f ca="1">_xll.DBR($I$9,$J$13,$J$15,$J$14,AC$20,$J$16,$J$17,$I36,AC$21)</f>
        <v>0</v>
      </c>
      <c r="AD36" s="9">
        <f ca="1">_xll.DBR($I$9,$J$13,$J$15,$J$14,AD$20,$J$16,$J$17,$I36,AD$21)</f>
        <v>0</v>
      </c>
    </row>
    <row r="37" spans="1:30" x14ac:dyDescent="0.25">
      <c r="A37" t="str">
        <f ca="1">IF(_xll.TM1RPTELISCONSOLIDATED($I$22,$I37),IF(_xll.TM1RPTELLEV($I$22,$I37)&lt;=3,_xll.TM1RPTELLEV($I$22,$I37),"D"),"N")</f>
        <v>D</v>
      </c>
      <c r="I37" s="18" t="s">
        <v>29</v>
      </c>
      <c r="J37" s="9">
        <f ca="1">_xll.DBR($I$9,$J$13,$J$15,$J$14,J$20,$J$16,$J$17,$I37,J$21)</f>
        <v>0</v>
      </c>
      <c r="K37" s="9">
        <f ca="1">_xll.DBR($I$9,$J$13,$J$15,$J$14,K$20,$J$16,$J$17,$I37,K$21)</f>
        <v>0</v>
      </c>
      <c r="L37" s="9">
        <f ca="1">_xll.DBRW($I$9,$J$13,$J$15,$J$14,L$20,$J$16,$J$17,$I37,L$21)</f>
        <v>0</v>
      </c>
      <c r="M37" s="9">
        <f ca="1">_xll.DBRW($I$9,$J$13,$J$15,$J$14,M$20,$J$16,$J$17,$I37,M$21)</f>
        <v>0</v>
      </c>
      <c r="N37" s="9">
        <f ca="1">_xll.DBRW($I$9,$J$13,$J$15,$J$14,N$20,$J$16,$J$17,$I37,N$21)</f>
        <v>0</v>
      </c>
      <c r="O37" s="9">
        <f ca="1">_xll.DBRW($I$9,$J$13,$J$15,$J$14,O$20,$J$16,$J$17,$I37,O$21)</f>
        <v>0</v>
      </c>
      <c r="P37" s="9">
        <f ca="1">_xll.DBRW($I$9,$J$13,$J$15,$J$14,P$20,$J$16,$J$17,$I37,P$21)</f>
        <v>0</v>
      </c>
      <c r="Q37" s="9">
        <f ca="1">_xll.DBRW($I$9,$J$13,$J$15,$J$14,Q$20,$J$16,$J$17,$I37,Q$21)</f>
        <v>0</v>
      </c>
      <c r="R37" s="9">
        <f ca="1">_xll.DBRW($I$9,$J$13,$J$15,$J$14,R$20,$J$16,$J$17,$I37,R$21)</f>
        <v>0</v>
      </c>
      <c r="S37" s="9" t="str">
        <f ca="1">_xll.DBR($I$9,$J$13,$J$15,$J$14,S$20,$J$16,$J$17,$I37,S$21)</f>
        <v>*KEY_ERR</v>
      </c>
      <c r="T37" s="9" t="str">
        <f ca="1">_xll.DBR($I$9,$J$13,$J$15,$J$14,T$20,$J$16,$J$17,$I37,T$21)</f>
        <v>*KEY_ERR</v>
      </c>
      <c r="U37" s="9" t="str">
        <f ca="1">_xll.DBR($I$9,$J$13,$J$15,$J$14,U$20,$J$16,$J$17,$I37,U$21)</f>
        <v>*KEY_ERR</v>
      </c>
      <c r="V37" s="9">
        <f ca="1">_xll.DBR($I$9,$J$13,$J$15,$J$14,V$20,$J$16,$J$17,$I37,V$21)</f>
        <v>0</v>
      </c>
      <c r="W37" s="9">
        <f ca="1">_xll.DBR($I$9,$J$13,$J$15,$J$14,W$20,$J$16,$J$17,$I37,W$21)</f>
        <v>0</v>
      </c>
      <c r="X37" s="9">
        <f ca="1">_xll.DBR($I$9,$J$13,$J$15,$J$14,X$20,$J$16,$J$17,$I37,X$21)</f>
        <v>0</v>
      </c>
      <c r="Y37" s="9">
        <f ca="1">_xll.DBR($I$9,$J$13,$J$15,$J$14,Y$20,$J$16,$J$17,$I37,Y$21)</f>
        <v>0</v>
      </c>
      <c r="Z37" s="9">
        <f ca="1">_xll.DBR($I$9,$J$13,$J$15,$J$14,Z$20,$J$16,$J$17,$I37,Z$21)</f>
        <v>0</v>
      </c>
      <c r="AA37" s="9">
        <f ca="1">_xll.DBR($I$9,$J$13,$J$15,$J$14,AA$20,$J$16,$J$17,$I37,AA$21)</f>
        <v>0</v>
      </c>
      <c r="AB37" s="9">
        <f ca="1">_xll.DBR($I$9,$J$13,$J$15,$J$14,AB$20,$J$16,$J$17,$I37,AB$21)</f>
        <v>0</v>
      </c>
      <c r="AC37" s="9">
        <f ca="1">_xll.DBR($I$9,$J$13,$J$15,$J$14,AC$20,$J$16,$J$17,$I37,AC$21)</f>
        <v>0</v>
      </c>
      <c r="AD37" s="9">
        <f ca="1">_xll.DBR($I$9,$J$13,$J$15,$J$14,AD$20,$J$16,$J$17,$I37,AD$21)</f>
        <v>0</v>
      </c>
    </row>
    <row r="38" spans="1:30" x14ac:dyDescent="0.25">
      <c r="A38" t="str">
        <f ca="1">IF(_xll.TM1RPTELISCONSOLIDATED($I$22,$I38),IF(_xll.TM1RPTELLEV($I$22,$I38)&lt;=3,_xll.TM1RPTELLEV($I$22,$I38),"D"),"N")</f>
        <v>D</v>
      </c>
      <c r="I38" s="18" t="s">
        <v>30</v>
      </c>
      <c r="J38" s="9">
        <f ca="1">_xll.DBR($I$9,$J$13,$J$15,$J$14,J$20,$J$16,$J$17,$I38,J$21)</f>
        <v>0</v>
      </c>
      <c r="K38" s="9">
        <f ca="1">_xll.DBR($I$9,$J$13,$J$15,$J$14,K$20,$J$16,$J$17,$I38,K$21)</f>
        <v>0</v>
      </c>
      <c r="L38" s="9">
        <f ca="1">_xll.DBRW($I$9,$J$13,$J$15,$J$14,L$20,$J$16,$J$17,$I38,L$21)</f>
        <v>0</v>
      </c>
      <c r="M38" s="9">
        <f ca="1">_xll.DBRW($I$9,$J$13,$J$15,$J$14,M$20,$J$16,$J$17,$I38,M$21)</f>
        <v>0</v>
      </c>
      <c r="N38" s="9">
        <f ca="1">_xll.DBRW($I$9,$J$13,$J$15,$J$14,N$20,$J$16,$J$17,$I38,N$21)</f>
        <v>0</v>
      </c>
      <c r="O38" s="9">
        <f ca="1">_xll.DBRW($I$9,$J$13,$J$15,$J$14,O$20,$J$16,$J$17,$I38,O$21)</f>
        <v>0</v>
      </c>
      <c r="P38" s="9">
        <f ca="1">_xll.DBRW($I$9,$J$13,$J$15,$J$14,P$20,$J$16,$J$17,$I38,P$21)</f>
        <v>0</v>
      </c>
      <c r="Q38" s="9">
        <f ca="1">_xll.DBRW($I$9,$J$13,$J$15,$J$14,Q$20,$J$16,$J$17,$I38,Q$21)</f>
        <v>0</v>
      </c>
      <c r="R38" s="9">
        <f ca="1">_xll.DBRW($I$9,$J$13,$J$15,$J$14,R$20,$J$16,$J$17,$I38,R$21)</f>
        <v>0</v>
      </c>
      <c r="S38" s="9" t="str">
        <f ca="1">_xll.DBR($I$9,$J$13,$J$15,$J$14,S$20,$J$16,$J$17,$I38,S$21)</f>
        <v>*KEY_ERR</v>
      </c>
      <c r="T38" s="9" t="str">
        <f ca="1">_xll.DBR($I$9,$J$13,$J$15,$J$14,T$20,$J$16,$J$17,$I38,T$21)</f>
        <v>*KEY_ERR</v>
      </c>
      <c r="U38" s="9" t="str">
        <f ca="1">_xll.DBR($I$9,$J$13,$J$15,$J$14,U$20,$J$16,$J$17,$I38,U$21)</f>
        <v>*KEY_ERR</v>
      </c>
      <c r="V38" s="9">
        <f ca="1">_xll.DBR($I$9,$J$13,$J$15,$J$14,V$20,$J$16,$J$17,$I38,V$21)</f>
        <v>0</v>
      </c>
      <c r="W38" s="9">
        <f ca="1">_xll.DBR($I$9,$J$13,$J$15,$J$14,W$20,$J$16,$J$17,$I38,W$21)</f>
        <v>0</v>
      </c>
      <c r="X38" s="9">
        <f ca="1">_xll.DBR($I$9,$J$13,$J$15,$J$14,X$20,$J$16,$J$17,$I38,X$21)</f>
        <v>0</v>
      </c>
      <c r="Y38" s="9">
        <f ca="1">_xll.DBR($I$9,$J$13,$J$15,$J$14,Y$20,$J$16,$J$17,$I38,Y$21)</f>
        <v>0</v>
      </c>
      <c r="Z38" s="9">
        <f ca="1">_xll.DBR($I$9,$J$13,$J$15,$J$14,Z$20,$J$16,$J$17,$I38,Z$21)</f>
        <v>0</v>
      </c>
      <c r="AA38" s="9">
        <f ca="1">_xll.DBR($I$9,$J$13,$J$15,$J$14,AA$20,$J$16,$J$17,$I38,AA$21)</f>
        <v>0</v>
      </c>
      <c r="AB38" s="9">
        <f ca="1">_xll.DBR($I$9,$J$13,$J$15,$J$14,AB$20,$J$16,$J$17,$I38,AB$21)</f>
        <v>0</v>
      </c>
      <c r="AC38" s="9">
        <f ca="1">_xll.DBR($I$9,$J$13,$J$15,$J$14,AC$20,$J$16,$J$17,$I38,AC$21)</f>
        <v>0</v>
      </c>
      <c r="AD38" s="9">
        <f ca="1">_xll.DBR($I$9,$J$13,$J$15,$J$14,AD$20,$J$16,$J$17,$I38,AD$21)</f>
        <v>0</v>
      </c>
    </row>
    <row r="39" spans="1:30" x14ac:dyDescent="0.25">
      <c r="A39" t="str">
        <f ca="1">IF(_xll.TM1RPTELISCONSOLIDATED($I$22,$I39),IF(_xll.TM1RPTELLEV($I$22,$I39)&lt;=3,_xll.TM1RPTELLEV($I$22,$I39),"D"),"N")</f>
        <v>D</v>
      </c>
      <c r="I39" s="18" t="s">
        <v>31</v>
      </c>
      <c r="J39" s="9">
        <f ca="1">_xll.DBR($I$9,$J$13,$J$15,$J$14,J$20,$J$16,$J$17,$I39,J$21)</f>
        <v>0</v>
      </c>
      <c r="K39" s="9">
        <f ca="1">_xll.DBR($I$9,$J$13,$J$15,$J$14,K$20,$J$16,$J$17,$I39,K$21)</f>
        <v>0</v>
      </c>
      <c r="L39" s="9">
        <f ca="1">_xll.DBRW($I$9,$J$13,$J$15,$J$14,L$20,$J$16,$J$17,$I39,L$21)</f>
        <v>0</v>
      </c>
      <c r="M39" s="9">
        <f ca="1">_xll.DBRW($I$9,$J$13,$J$15,$J$14,M$20,$J$16,$J$17,$I39,M$21)</f>
        <v>0</v>
      </c>
      <c r="N39" s="9">
        <f ca="1">_xll.DBRW($I$9,$J$13,$J$15,$J$14,N$20,$J$16,$J$17,$I39,N$21)</f>
        <v>0</v>
      </c>
      <c r="O39" s="9">
        <f ca="1">_xll.DBRW($I$9,$J$13,$J$15,$J$14,O$20,$J$16,$J$17,$I39,O$21)</f>
        <v>0</v>
      </c>
      <c r="P39" s="9">
        <f ca="1">_xll.DBRW($I$9,$J$13,$J$15,$J$14,P$20,$J$16,$J$17,$I39,P$21)</f>
        <v>0</v>
      </c>
      <c r="Q39" s="9">
        <f ca="1">_xll.DBRW($I$9,$J$13,$J$15,$J$14,Q$20,$J$16,$J$17,$I39,Q$21)</f>
        <v>0</v>
      </c>
      <c r="R39" s="9">
        <f ca="1">_xll.DBRW($I$9,$J$13,$J$15,$J$14,R$20,$J$16,$J$17,$I39,R$21)</f>
        <v>0</v>
      </c>
      <c r="S39" s="9" t="str">
        <f ca="1">_xll.DBR($I$9,$J$13,$J$15,$J$14,S$20,$J$16,$J$17,$I39,S$21)</f>
        <v>*KEY_ERR</v>
      </c>
      <c r="T39" s="9" t="str">
        <f ca="1">_xll.DBR($I$9,$J$13,$J$15,$J$14,T$20,$J$16,$J$17,$I39,T$21)</f>
        <v>*KEY_ERR</v>
      </c>
      <c r="U39" s="9" t="str">
        <f ca="1">_xll.DBR($I$9,$J$13,$J$15,$J$14,U$20,$J$16,$J$17,$I39,U$21)</f>
        <v>*KEY_ERR</v>
      </c>
      <c r="V39" s="9">
        <f ca="1">_xll.DBR($I$9,$J$13,$J$15,$J$14,V$20,$J$16,$J$17,$I39,V$21)</f>
        <v>0</v>
      </c>
      <c r="W39" s="9">
        <f ca="1">_xll.DBR($I$9,$J$13,$J$15,$J$14,W$20,$J$16,$J$17,$I39,W$21)</f>
        <v>0</v>
      </c>
      <c r="X39" s="9">
        <f ca="1">_xll.DBR($I$9,$J$13,$J$15,$J$14,X$20,$J$16,$J$17,$I39,X$21)</f>
        <v>0</v>
      </c>
      <c r="Y39" s="9">
        <f ca="1">_xll.DBR($I$9,$J$13,$J$15,$J$14,Y$20,$J$16,$J$17,$I39,Y$21)</f>
        <v>0</v>
      </c>
      <c r="Z39" s="9">
        <f ca="1">_xll.DBR($I$9,$J$13,$J$15,$J$14,Z$20,$J$16,$J$17,$I39,Z$21)</f>
        <v>0</v>
      </c>
      <c r="AA39" s="9">
        <f ca="1">_xll.DBR($I$9,$J$13,$J$15,$J$14,AA$20,$J$16,$J$17,$I39,AA$21)</f>
        <v>0</v>
      </c>
      <c r="AB39" s="9">
        <f ca="1">_xll.DBR($I$9,$J$13,$J$15,$J$14,AB$20,$J$16,$J$17,$I39,AB$21)</f>
        <v>0</v>
      </c>
      <c r="AC39" s="9">
        <f ca="1">_xll.DBR($I$9,$J$13,$J$15,$J$14,AC$20,$J$16,$J$17,$I39,AC$21)</f>
        <v>0</v>
      </c>
      <c r="AD39" s="9">
        <f ca="1">_xll.DBR($I$9,$J$13,$J$15,$J$14,AD$20,$J$16,$J$17,$I39,AD$21)</f>
        <v>0</v>
      </c>
    </row>
    <row r="40" spans="1:30" x14ac:dyDescent="0.25">
      <c r="A40">
        <f ca="1">IF(_xll.TM1RPTELISCONSOLIDATED($I$22,$I40),IF(_xll.TM1RPTELLEV($I$22,$I40)&lt;=3,_xll.TM1RPTELLEV($I$22,$I40),"D"),"N")</f>
        <v>3</v>
      </c>
      <c r="I40" s="23" t="s">
        <v>32</v>
      </c>
      <c r="J40" s="7">
        <f ca="1">_xll.DBR($I$9,$J$13,$J$15,$J$14,J$20,$J$16,$J$17,$I40,J$21)</f>
        <v>0</v>
      </c>
      <c r="K40" s="7">
        <f ca="1">_xll.DBR($I$9,$J$13,$J$15,$J$14,K$20,$J$16,$J$17,$I40,K$21)</f>
        <v>0</v>
      </c>
      <c r="L40" s="7">
        <f ca="1">_xll.DBRW($I$9,$J$13,$J$15,$J$14,L$20,$J$16,$J$17,$I40,L$21)</f>
        <v>0</v>
      </c>
      <c r="M40" s="7">
        <f ca="1">_xll.DBRW($I$9,$J$13,$J$15,$J$14,M$20,$J$16,$J$17,$I40,M$21)</f>
        <v>0</v>
      </c>
      <c r="N40" s="7">
        <f ca="1">_xll.DBRW($I$9,$J$13,$J$15,$J$14,N$20,$J$16,$J$17,$I40,N$21)</f>
        <v>0</v>
      </c>
      <c r="O40" s="7">
        <f ca="1">_xll.DBRW($I$9,$J$13,$J$15,$J$14,O$20,$J$16,$J$17,$I40,O$21)</f>
        <v>0</v>
      </c>
      <c r="P40" s="7">
        <f ca="1">_xll.DBRW($I$9,$J$13,$J$15,$J$14,P$20,$J$16,$J$17,$I40,P$21)</f>
        <v>0</v>
      </c>
      <c r="Q40" s="7">
        <f ca="1">_xll.DBRW($I$9,$J$13,$J$15,$J$14,Q$20,$J$16,$J$17,$I40,Q$21)</f>
        <v>0</v>
      </c>
      <c r="R40" s="7">
        <f ca="1">_xll.DBRW($I$9,$J$13,$J$15,$J$14,R$20,$J$16,$J$17,$I40,R$21)</f>
        <v>0</v>
      </c>
      <c r="S40" s="7" t="str">
        <f ca="1">_xll.DBR($I$9,$J$13,$J$15,$J$14,S$20,$J$16,$J$17,$I40,S$21)</f>
        <v>*KEY_ERR</v>
      </c>
      <c r="T40" s="7" t="str">
        <f ca="1">_xll.DBR($I$9,$J$13,$J$15,$J$14,T$20,$J$16,$J$17,$I40,T$21)</f>
        <v>*KEY_ERR</v>
      </c>
      <c r="U40" s="7" t="str">
        <f ca="1">_xll.DBR($I$9,$J$13,$J$15,$J$14,U$20,$J$16,$J$17,$I40,U$21)</f>
        <v>*KEY_ERR</v>
      </c>
      <c r="V40" s="7">
        <f ca="1">_xll.DBR($I$9,$J$13,$J$15,$J$14,V$20,$J$16,$J$17,$I40,V$21)</f>
        <v>0</v>
      </c>
      <c r="W40" s="7">
        <f ca="1">_xll.DBR($I$9,$J$13,$J$15,$J$14,W$20,$J$16,$J$17,$I40,W$21)</f>
        <v>0</v>
      </c>
      <c r="X40" s="7">
        <f ca="1">_xll.DBR($I$9,$J$13,$J$15,$J$14,X$20,$J$16,$J$17,$I40,X$21)</f>
        <v>0</v>
      </c>
      <c r="Y40" s="7">
        <f ca="1">_xll.DBR($I$9,$J$13,$J$15,$J$14,Y$20,$J$16,$J$17,$I40,Y$21)</f>
        <v>0</v>
      </c>
      <c r="Z40" s="7">
        <f ca="1">_xll.DBR($I$9,$J$13,$J$15,$J$14,Z$20,$J$16,$J$17,$I40,Z$21)</f>
        <v>0</v>
      </c>
      <c r="AA40" s="7">
        <f ca="1">_xll.DBR($I$9,$J$13,$J$15,$J$14,AA$20,$J$16,$J$17,$I40,AA$21)</f>
        <v>0</v>
      </c>
      <c r="AB40" s="7">
        <f ca="1">_xll.DBR($I$9,$J$13,$J$15,$J$14,AB$20,$J$16,$J$17,$I40,AB$21)</f>
        <v>0</v>
      </c>
      <c r="AC40" s="7">
        <f ca="1">_xll.DBR($I$9,$J$13,$J$15,$J$14,AC$20,$J$16,$J$17,$I40,AC$21)</f>
        <v>0</v>
      </c>
      <c r="AD40" s="7">
        <f ca="1">_xll.DBR($I$9,$J$13,$J$15,$J$14,AD$20,$J$16,$J$17,$I40,AD$21)</f>
        <v>0</v>
      </c>
    </row>
    <row r="41" spans="1:30" x14ac:dyDescent="0.25">
      <c r="A41" t="str">
        <f ca="1">IF(_xll.TM1RPTELISCONSOLIDATED($I$22,$I41),IF(_xll.TM1RPTELLEV($I$22,$I41)&lt;=3,_xll.TM1RPTELLEV($I$22,$I41),"D"),"N")</f>
        <v>D</v>
      </c>
      <c r="I41" s="18" t="s">
        <v>33</v>
      </c>
      <c r="J41" s="9">
        <f ca="1">_xll.DBR($I$9,$J$13,$J$15,$J$14,J$20,$J$16,$J$17,$I41,J$21)</f>
        <v>0</v>
      </c>
      <c r="K41" s="9">
        <f ca="1">_xll.DBR($I$9,$J$13,$J$15,$J$14,K$20,$J$16,$J$17,$I41,K$21)</f>
        <v>0</v>
      </c>
      <c r="L41" s="9">
        <f ca="1">_xll.DBRW($I$9,$J$13,$J$15,$J$14,L$20,$J$16,$J$17,$I41,L$21)</f>
        <v>0</v>
      </c>
      <c r="M41" s="9">
        <f ca="1">_xll.DBRW($I$9,$J$13,$J$15,$J$14,M$20,$J$16,$J$17,$I41,M$21)</f>
        <v>0</v>
      </c>
      <c r="N41" s="9">
        <f ca="1">_xll.DBRW($I$9,$J$13,$J$15,$J$14,N$20,$J$16,$J$17,$I41,N$21)</f>
        <v>0</v>
      </c>
      <c r="O41" s="9">
        <f ca="1">_xll.DBRW($I$9,$J$13,$J$15,$J$14,O$20,$J$16,$J$17,$I41,O$21)</f>
        <v>0</v>
      </c>
      <c r="P41" s="9">
        <f ca="1">_xll.DBRW($I$9,$J$13,$J$15,$J$14,P$20,$J$16,$J$17,$I41,P$21)</f>
        <v>0</v>
      </c>
      <c r="Q41" s="9">
        <f ca="1">_xll.DBRW($I$9,$J$13,$J$15,$J$14,Q$20,$J$16,$J$17,$I41,Q$21)</f>
        <v>0</v>
      </c>
      <c r="R41" s="9">
        <f ca="1">_xll.DBRW($I$9,$J$13,$J$15,$J$14,R$20,$J$16,$J$17,$I41,R$21)</f>
        <v>0</v>
      </c>
      <c r="S41" s="9" t="str">
        <f ca="1">_xll.DBR($I$9,$J$13,$J$15,$J$14,S$20,$J$16,$J$17,$I41,S$21)</f>
        <v>*KEY_ERR</v>
      </c>
      <c r="T41" s="9" t="str">
        <f ca="1">_xll.DBR($I$9,$J$13,$J$15,$J$14,T$20,$J$16,$J$17,$I41,T$21)</f>
        <v>*KEY_ERR</v>
      </c>
      <c r="U41" s="9" t="str">
        <f ca="1">_xll.DBR($I$9,$J$13,$J$15,$J$14,U$20,$J$16,$J$17,$I41,U$21)</f>
        <v>*KEY_ERR</v>
      </c>
      <c r="V41" s="9">
        <f ca="1">_xll.DBR($I$9,$J$13,$J$15,$J$14,V$20,$J$16,$J$17,$I41,V$21)</f>
        <v>0</v>
      </c>
      <c r="W41" s="9">
        <f ca="1">_xll.DBR($I$9,$J$13,$J$15,$J$14,W$20,$J$16,$J$17,$I41,W$21)</f>
        <v>0</v>
      </c>
      <c r="X41" s="9">
        <f ca="1">_xll.DBR($I$9,$J$13,$J$15,$J$14,X$20,$J$16,$J$17,$I41,X$21)</f>
        <v>0</v>
      </c>
      <c r="Y41" s="9">
        <f ca="1">_xll.DBR($I$9,$J$13,$J$15,$J$14,Y$20,$J$16,$J$17,$I41,Y$21)</f>
        <v>0</v>
      </c>
      <c r="Z41" s="9">
        <f ca="1">_xll.DBR($I$9,$J$13,$J$15,$J$14,Z$20,$J$16,$J$17,$I41,Z$21)</f>
        <v>0</v>
      </c>
      <c r="AA41" s="9">
        <f ca="1">_xll.DBR($I$9,$J$13,$J$15,$J$14,AA$20,$J$16,$J$17,$I41,AA$21)</f>
        <v>0</v>
      </c>
      <c r="AB41" s="9">
        <f ca="1">_xll.DBR($I$9,$J$13,$J$15,$J$14,AB$20,$J$16,$J$17,$I41,AB$21)</f>
        <v>0</v>
      </c>
      <c r="AC41" s="9">
        <f ca="1">_xll.DBR($I$9,$J$13,$J$15,$J$14,AC$20,$J$16,$J$17,$I41,AC$21)</f>
        <v>0</v>
      </c>
      <c r="AD41" s="9">
        <f ca="1">_xll.DBR($I$9,$J$13,$J$15,$J$14,AD$20,$J$16,$J$17,$I41,AD$21)</f>
        <v>0</v>
      </c>
    </row>
    <row r="42" spans="1:30" x14ac:dyDescent="0.25">
      <c r="A42" t="str">
        <f ca="1">IF(_xll.TM1RPTELISCONSOLIDATED($I$22,$I42),IF(_xll.TM1RPTELLEV($I$22,$I42)&lt;=3,_xll.TM1RPTELLEV($I$22,$I42),"D"),"N")</f>
        <v>D</v>
      </c>
      <c r="I42" s="18" t="s">
        <v>34</v>
      </c>
      <c r="J42" s="9">
        <f ca="1">_xll.DBR($I$9,$J$13,$J$15,$J$14,J$20,$J$16,$J$17,$I42,J$21)</f>
        <v>0</v>
      </c>
      <c r="K42" s="9">
        <f ca="1">_xll.DBR($I$9,$J$13,$J$15,$J$14,K$20,$J$16,$J$17,$I42,K$21)</f>
        <v>0</v>
      </c>
      <c r="L42" s="9">
        <f ca="1">_xll.DBRW($I$9,$J$13,$J$15,$J$14,L$20,$J$16,$J$17,$I42,L$21)</f>
        <v>0</v>
      </c>
      <c r="M42" s="9">
        <f ca="1">_xll.DBRW($I$9,$J$13,$J$15,$J$14,M$20,$J$16,$J$17,$I42,M$21)</f>
        <v>0</v>
      </c>
      <c r="N42" s="9">
        <f ca="1">_xll.DBRW($I$9,$J$13,$J$15,$J$14,N$20,$J$16,$J$17,$I42,N$21)</f>
        <v>0</v>
      </c>
      <c r="O42" s="9">
        <f ca="1">_xll.DBRW($I$9,$J$13,$J$15,$J$14,O$20,$J$16,$J$17,$I42,O$21)</f>
        <v>0</v>
      </c>
      <c r="P42" s="9">
        <f ca="1">_xll.DBRW($I$9,$J$13,$J$15,$J$14,P$20,$J$16,$J$17,$I42,P$21)</f>
        <v>0</v>
      </c>
      <c r="Q42" s="9">
        <f ca="1">_xll.DBRW($I$9,$J$13,$J$15,$J$14,Q$20,$J$16,$J$17,$I42,Q$21)</f>
        <v>0</v>
      </c>
      <c r="R42" s="9">
        <f ca="1">_xll.DBRW($I$9,$J$13,$J$15,$J$14,R$20,$J$16,$J$17,$I42,R$21)</f>
        <v>0</v>
      </c>
      <c r="S42" s="9" t="str">
        <f ca="1">_xll.DBR($I$9,$J$13,$J$15,$J$14,S$20,$J$16,$J$17,$I42,S$21)</f>
        <v>*KEY_ERR</v>
      </c>
      <c r="T42" s="9" t="str">
        <f ca="1">_xll.DBR($I$9,$J$13,$J$15,$J$14,T$20,$J$16,$J$17,$I42,T$21)</f>
        <v>*KEY_ERR</v>
      </c>
      <c r="U42" s="9" t="str">
        <f ca="1">_xll.DBR($I$9,$J$13,$J$15,$J$14,U$20,$J$16,$J$17,$I42,U$21)</f>
        <v>*KEY_ERR</v>
      </c>
      <c r="V42" s="9">
        <f ca="1">_xll.DBR($I$9,$J$13,$J$15,$J$14,V$20,$J$16,$J$17,$I42,V$21)</f>
        <v>0</v>
      </c>
      <c r="W42" s="9">
        <f ca="1">_xll.DBR($I$9,$J$13,$J$15,$J$14,W$20,$J$16,$J$17,$I42,W$21)</f>
        <v>0</v>
      </c>
      <c r="X42" s="9">
        <f ca="1">_xll.DBR($I$9,$J$13,$J$15,$J$14,X$20,$J$16,$J$17,$I42,X$21)</f>
        <v>0</v>
      </c>
      <c r="Y42" s="9">
        <f ca="1">_xll.DBR($I$9,$J$13,$J$15,$J$14,Y$20,$J$16,$J$17,$I42,Y$21)</f>
        <v>0</v>
      </c>
      <c r="Z42" s="9">
        <f ca="1">_xll.DBR($I$9,$J$13,$J$15,$J$14,Z$20,$J$16,$J$17,$I42,Z$21)</f>
        <v>0</v>
      </c>
      <c r="AA42" s="9">
        <f ca="1">_xll.DBR($I$9,$J$13,$J$15,$J$14,AA$20,$J$16,$J$17,$I42,AA$21)</f>
        <v>0</v>
      </c>
      <c r="AB42" s="9">
        <f ca="1">_xll.DBR($I$9,$J$13,$J$15,$J$14,AB$20,$J$16,$J$17,$I42,AB$21)</f>
        <v>0</v>
      </c>
      <c r="AC42" s="9">
        <f ca="1">_xll.DBR($I$9,$J$13,$J$15,$J$14,AC$20,$J$16,$J$17,$I42,AC$21)</f>
        <v>0</v>
      </c>
      <c r="AD42" s="9">
        <f ca="1">_xll.DBR($I$9,$J$13,$J$15,$J$14,AD$20,$J$16,$J$17,$I42,AD$21)</f>
        <v>0</v>
      </c>
    </row>
    <row r="43" spans="1:30" x14ac:dyDescent="0.25">
      <c r="A43" t="str">
        <f ca="1">IF(_xll.TM1RPTELISCONSOLIDATED($I$22,$I43),IF(_xll.TM1RPTELLEV($I$22,$I43)&lt;=3,_xll.TM1RPTELLEV($I$22,$I43),"D"),"N")</f>
        <v>D</v>
      </c>
      <c r="I43" s="18" t="s">
        <v>35</v>
      </c>
      <c r="J43" s="9">
        <f ca="1">_xll.DBR($I$9,$J$13,$J$15,$J$14,J$20,$J$16,$J$17,$I43,J$21)</f>
        <v>0</v>
      </c>
      <c r="K43" s="9">
        <f ca="1">_xll.DBR($I$9,$J$13,$J$15,$J$14,K$20,$J$16,$J$17,$I43,K$21)</f>
        <v>0</v>
      </c>
      <c r="L43" s="9">
        <f ca="1">_xll.DBRW($I$9,$J$13,$J$15,$J$14,L$20,$J$16,$J$17,$I43,L$21)</f>
        <v>0</v>
      </c>
      <c r="M43" s="9">
        <f ca="1">_xll.DBRW($I$9,$J$13,$J$15,$J$14,M$20,$J$16,$J$17,$I43,M$21)</f>
        <v>0</v>
      </c>
      <c r="N43" s="9">
        <f ca="1">_xll.DBRW($I$9,$J$13,$J$15,$J$14,N$20,$J$16,$J$17,$I43,N$21)</f>
        <v>0</v>
      </c>
      <c r="O43" s="9">
        <f ca="1">_xll.DBRW($I$9,$J$13,$J$15,$J$14,O$20,$J$16,$J$17,$I43,O$21)</f>
        <v>0</v>
      </c>
      <c r="P43" s="9">
        <f ca="1">_xll.DBRW($I$9,$J$13,$J$15,$J$14,P$20,$J$16,$J$17,$I43,P$21)</f>
        <v>0</v>
      </c>
      <c r="Q43" s="9">
        <f ca="1">_xll.DBRW($I$9,$J$13,$J$15,$J$14,Q$20,$J$16,$J$17,$I43,Q$21)</f>
        <v>0</v>
      </c>
      <c r="R43" s="9">
        <f ca="1">_xll.DBRW($I$9,$J$13,$J$15,$J$14,R$20,$J$16,$J$17,$I43,R$21)</f>
        <v>0</v>
      </c>
      <c r="S43" s="9" t="str">
        <f ca="1">_xll.DBR($I$9,$J$13,$J$15,$J$14,S$20,$J$16,$J$17,$I43,S$21)</f>
        <v>*KEY_ERR</v>
      </c>
      <c r="T43" s="9" t="str">
        <f ca="1">_xll.DBR($I$9,$J$13,$J$15,$J$14,T$20,$J$16,$J$17,$I43,T$21)</f>
        <v>*KEY_ERR</v>
      </c>
      <c r="U43" s="9" t="str">
        <f ca="1">_xll.DBR($I$9,$J$13,$J$15,$J$14,U$20,$J$16,$J$17,$I43,U$21)</f>
        <v>*KEY_ERR</v>
      </c>
      <c r="V43" s="9">
        <f ca="1">_xll.DBR($I$9,$J$13,$J$15,$J$14,V$20,$J$16,$J$17,$I43,V$21)</f>
        <v>0</v>
      </c>
      <c r="W43" s="9">
        <f ca="1">_xll.DBR($I$9,$J$13,$J$15,$J$14,W$20,$J$16,$J$17,$I43,W$21)</f>
        <v>0</v>
      </c>
      <c r="X43" s="9">
        <f ca="1">_xll.DBR($I$9,$J$13,$J$15,$J$14,X$20,$J$16,$J$17,$I43,X$21)</f>
        <v>0</v>
      </c>
      <c r="Y43" s="9">
        <f ca="1">_xll.DBR($I$9,$J$13,$J$15,$J$14,Y$20,$J$16,$J$17,$I43,Y$21)</f>
        <v>0</v>
      </c>
      <c r="Z43" s="9">
        <f ca="1">_xll.DBR($I$9,$J$13,$J$15,$J$14,Z$20,$J$16,$J$17,$I43,Z$21)</f>
        <v>0</v>
      </c>
      <c r="AA43" s="9">
        <f ca="1">_xll.DBR($I$9,$J$13,$J$15,$J$14,AA$20,$J$16,$J$17,$I43,AA$21)</f>
        <v>0</v>
      </c>
      <c r="AB43" s="9">
        <f ca="1">_xll.DBR($I$9,$J$13,$J$15,$J$14,AB$20,$J$16,$J$17,$I43,AB$21)</f>
        <v>0</v>
      </c>
      <c r="AC43" s="9">
        <f ca="1">_xll.DBR($I$9,$J$13,$J$15,$J$14,AC$20,$J$16,$J$17,$I43,AC$21)</f>
        <v>0</v>
      </c>
      <c r="AD43" s="9">
        <f ca="1">_xll.DBR($I$9,$J$13,$J$15,$J$14,AD$20,$J$16,$J$17,$I43,AD$21)</f>
        <v>0</v>
      </c>
    </row>
    <row r="44" spans="1:30" x14ac:dyDescent="0.25">
      <c r="A44">
        <f ca="1">IF(_xll.TM1RPTELISCONSOLIDATED($I$22,$I44),IF(_xll.TM1RPTELLEV($I$22,$I44)&lt;=3,_xll.TM1RPTELLEV($I$22,$I44),"D"),"N")</f>
        <v>3</v>
      </c>
      <c r="I44" s="22" t="s">
        <v>36</v>
      </c>
      <c r="J44" s="7">
        <f ca="1">_xll.DBR($I$9,$J$13,$J$15,$J$14,J$20,$J$16,$J$17,$I44,J$21)</f>
        <v>0</v>
      </c>
      <c r="K44" s="7">
        <f ca="1">_xll.DBR($I$9,$J$13,$J$15,$J$14,K$20,$J$16,$J$17,$I44,K$21)</f>
        <v>0</v>
      </c>
      <c r="L44" s="7">
        <f ca="1">_xll.DBRW($I$9,$J$13,$J$15,$J$14,L$20,$J$16,$J$17,$I44,L$21)</f>
        <v>0</v>
      </c>
      <c r="M44" s="7">
        <f ca="1">_xll.DBRW($I$9,$J$13,$J$15,$J$14,M$20,$J$16,$J$17,$I44,M$21)</f>
        <v>0</v>
      </c>
      <c r="N44" s="7">
        <f ca="1">_xll.DBRW($I$9,$J$13,$J$15,$J$14,N$20,$J$16,$J$17,$I44,N$21)</f>
        <v>0</v>
      </c>
      <c r="O44" s="7">
        <f ca="1">_xll.DBRW($I$9,$J$13,$J$15,$J$14,O$20,$J$16,$J$17,$I44,O$21)</f>
        <v>0</v>
      </c>
      <c r="P44" s="7">
        <f ca="1">_xll.DBRW($I$9,$J$13,$J$15,$J$14,P$20,$J$16,$J$17,$I44,P$21)</f>
        <v>0</v>
      </c>
      <c r="Q44" s="7">
        <f ca="1">_xll.DBRW($I$9,$J$13,$J$15,$J$14,Q$20,$J$16,$J$17,$I44,Q$21)</f>
        <v>0</v>
      </c>
      <c r="R44" s="7">
        <f ca="1">_xll.DBRW($I$9,$J$13,$J$15,$J$14,R$20,$J$16,$J$17,$I44,R$21)</f>
        <v>0</v>
      </c>
      <c r="S44" s="7" t="str">
        <f ca="1">_xll.DBR($I$9,$J$13,$J$15,$J$14,S$20,$J$16,$J$17,$I44,S$21)</f>
        <v>*KEY_ERR</v>
      </c>
      <c r="T44" s="7" t="str">
        <f ca="1">_xll.DBR($I$9,$J$13,$J$15,$J$14,T$20,$J$16,$J$17,$I44,T$21)</f>
        <v>*KEY_ERR</v>
      </c>
      <c r="U44" s="7" t="str">
        <f ca="1">_xll.DBR($I$9,$J$13,$J$15,$J$14,U$20,$J$16,$J$17,$I44,U$21)</f>
        <v>*KEY_ERR</v>
      </c>
      <c r="V44" s="7">
        <f ca="1">_xll.DBR($I$9,$J$13,$J$15,$J$14,V$20,$J$16,$J$17,$I44,V$21)</f>
        <v>0</v>
      </c>
      <c r="W44" s="7">
        <f ca="1">_xll.DBR($I$9,$J$13,$J$15,$J$14,W$20,$J$16,$J$17,$I44,W$21)</f>
        <v>0</v>
      </c>
      <c r="X44" s="7">
        <f ca="1">_xll.DBR($I$9,$J$13,$J$15,$J$14,X$20,$J$16,$J$17,$I44,X$21)</f>
        <v>0</v>
      </c>
      <c r="Y44" s="7">
        <f ca="1">_xll.DBR($I$9,$J$13,$J$15,$J$14,Y$20,$J$16,$J$17,$I44,Y$21)</f>
        <v>0</v>
      </c>
      <c r="Z44" s="7">
        <f ca="1">_xll.DBR($I$9,$J$13,$J$15,$J$14,Z$20,$J$16,$J$17,$I44,Z$21)</f>
        <v>0</v>
      </c>
      <c r="AA44" s="7">
        <f ca="1">_xll.DBR($I$9,$J$13,$J$15,$J$14,AA$20,$J$16,$J$17,$I44,AA$21)</f>
        <v>0</v>
      </c>
      <c r="AB44" s="7">
        <f ca="1">_xll.DBR($I$9,$J$13,$J$15,$J$14,AB$20,$J$16,$J$17,$I44,AB$21)</f>
        <v>0</v>
      </c>
      <c r="AC44" s="7">
        <f ca="1">_xll.DBR($I$9,$J$13,$J$15,$J$14,AC$20,$J$16,$J$17,$I44,AC$21)</f>
        <v>0</v>
      </c>
      <c r="AD44" s="7">
        <f ca="1">_xll.DBR($I$9,$J$13,$J$15,$J$14,AD$20,$J$16,$J$17,$I44,AD$21)</f>
        <v>0</v>
      </c>
    </row>
    <row r="45" spans="1:30" x14ac:dyDescent="0.25">
      <c r="A45">
        <f ca="1">IF(_xll.TM1RPTELISCONSOLIDATED($I$22,$I45),IF(_xll.TM1RPTELLEV($I$22,$I45)&lt;=3,_xll.TM1RPTELLEV($I$22,$I45),"D"),"N")</f>
        <v>3</v>
      </c>
      <c r="I45" s="22" t="s">
        <v>37</v>
      </c>
      <c r="J45" s="7">
        <f ca="1">_xll.DBR($I$9,$J$13,$J$15,$J$14,J$20,$J$16,$J$17,$I45,J$21)</f>
        <v>0</v>
      </c>
      <c r="K45" s="7">
        <f ca="1">_xll.DBR($I$9,$J$13,$J$15,$J$14,K$20,$J$16,$J$17,$I45,K$21)</f>
        <v>0</v>
      </c>
      <c r="L45" s="7">
        <f ca="1">_xll.DBRW($I$9,$J$13,$J$15,$J$14,L$20,$J$16,$J$17,$I45,L$21)</f>
        <v>0</v>
      </c>
      <c r="M45" s="7">
        <f ca="1">_xll.DBRW($I$9,$J$13,$J$15,$J$14,M$20,$J$16,$J$17,$I45,M$21)</f>
        <v>0</v>
      </c>
      <c r="N45" s="7">
        <f ca="1">_xll.DBRW($I$9,$J$13,$J$15,$J$14,N$20,$J$16,$J$17,$I45,N$21)</f>
        <v>0</v>
      </c>
      <c r="O45" s="7">
        <f ca="1">_xll.DBRW($I$9,$J$13,$J$15,$J$14,O$20,$J$16,$J$17,$I45,O$21)</f>
        <v>0</v>
      </c>
      <c r="P45" s="7">
        <f ca="1">_xll.DBRW($I$9,$J$13,$J$15,$J$14,P$20,$J$16,$J$17,$I45,P$21)</f>
        <v>0</v>
      </c>
      <c r="Q45" s="7">
        <f ca="1">_xll.DBRW($I$9,$J$13,$J$15,$J$14,Q$20,$J$16,$J$17,$I45,Q$21)</f>
        <v>0</v>
      </c>
      <c r="R45" s="7">
        <f ca="1">_xll.DBRW($I$9,$J$13,$J$15,$J$14,R$20,$J$16,$J$17,$I45,R$21)</f>
        <v>0</v>
      </c>
      <c r="S45" s="7" t="str">
        <f ca="1">_xll.DBR($I$9,$J$13,$J$15,$J$14,S$20,$J$16,$J$17,$I45,S$21)</f>
        <v>*KEY_ERR</v>
      </c>
      <c r="T45" s="7" t="str">
        <f ca="1">_xll.DBR($I$9,$J$13,$J$15,$J$14,T$20,$J$16,$J$17,$I45,T$21)</f>
        <v>*KEY_ERR</v>
      </c>
      <c r="U45" s="7" t="str">
        <f ca="1">_xll.DBR($I$9,$J$13,$J$15,$J$14,U$20,$J$16,$J$17,$I45,U$21)</f>
        <v>*KEY_ERR</v>
      </c>
      <c r="V45" s="7">
        <f ca="1">_xll.DBR($I$9,$J$13,$J$15,$J$14,V$20,$J$16,$J$17,$I45,V$21)</f>
        <v>0</v>
      </c>
      <c r="W45" s="7">
        <f ca="1">_xll.DBR($I$9,$J$13,$J$15,$J$14,W$20,$J$16,$J$17,$I45,W$21)</f>
        <v>0</v>
      </c>
      <c r="X45" s="7">
        <f ca="1">_xll.DBR($I$9,$J$13,$J$15,$J$14,X$20,$J$16,$J$17,$I45,X$21)</f>
        <v>0</v>
      </c>
      <c r="Y45" s="7">
        <f ca="1">_xll.DBR($I$9,$J$13,$J$15,$J$14,Y$20,$J$16,$J$17,$I45,Y$21)</f>
        <v>0</v>
      </c>
      <c r="Z45" s="7">
        <f ca="1">_xll.DBR($I$9,$J$13,$J$15,$J$14,Z$20,$J$16,$J$17,$I45,Z$21)</f>
        <v>0</v>
      </c>
      <c r="AA45" s="7">
        <f ca="1">_xll.DBR($I$9,$J$13,$J$15,$J$14,AA$20,$J$16,$J$17,$I45,AA$21)</f>
        <v>0</v>
      </c>
      <c r="AB45" s="7">
        <f ca="1">_xll.DBR($I$9,$J$13,$J$15,$J$14,AB$20,$J$16,$J$17,$I45,AB$21)</f>
        <v>0</v>
      </c>
      <c r="AC45" s="7">
        <f ca="1">_xll.DBR($I$9,$J$13,$J$15,$J$14,AC$20,$J$16,$J$17,$I45,AC$21)</f>
        <v>0</v>
      </c>
      <c r="AD45" s="7">
        <f ca="1">_xll.DBR($I$9,$J$13,$J$15,$J$14,AD$20,$J$16,$J$17,$I45,AD$21)</f>
        <v>0</v>
      </c>
    </row>
    <row r="46" spans="1:30" x14ac:dyDescent="0.25">
      <c r="A46">
        <f ca="1">IF(_xll.TM1RPTELISCONSOLIDATED($I$22,$I46),IF(_xll.TM1RPTELLEV($I$22,$I46)&lt;=3,_xll.TM1RPTELLEV($I$22,$I46),"D"),"N")</f>
        <v>3</v>
      </c>
      <c r="I46" s="22" t="s">
        <v>38</v>
      </c>
      <c r="J46" s="7">
        <f ca="1">_xll.DBR($I$9,$J$13,$J$15,$J$14,J$20,$J$16,$J$17,$I46,J$21)</f>
        <v>0</v>
      </c>
      <c r="K46" s="7">
        <f ca="1">_xll.DBR($I$9,$J$13,$J$15,$J$14,K$20,$J$16,$J$17,$I46,K$21)</f>
        <v>0</v>
      </c>
      <c r="L46" s="7">
        <f ca="1">_xll.DBRW($I$9,$J$13,$J$15,$J$14,L$20,$J$16,$J$17,$I46,L$21)</f>
        <v>0</v>
      </c>
      <c r="M46" s="7">
        <f ca="1">_xll.DBRW($I$9,$J$13,$J$15,$J$14,M$20,$J$16,$J$17,$I46,M$21)</f>
        <v>0</v>
      </c>
      <c r="N46" s="7">
        <f ca="1">_xll.DBRW($I$9,$J$13,$J$15,$J$14,N$20,$J$16,$J$17,$I46,N$21)</f>
        <v>0</v>
      </c>
      <c r="O46" s="7">
        <f ca="1">_xll.DBRW($I$9,$J$13,$J$15,$J$14,O$20,$J$16,$J$17,$I46,O$21)</f>
        <v>0</v>
      </c>
      <c r="P46" s="7">
        <f ca="1">_xll.DBRW($I$9,$J$13,$J$15,$J$14,P$20,$J$16,$J$17,$I46,P$21)</f>
        <v>0</v>
      </c>
      <c r="Q46" s="7">
        <f ca="1">_xll.DBRW($I$9,$J$13,$J$15,$J$14,Q$20,$J$16,$J$17,$I46,Q$21)</f>
        <v>0</v>
      </c>
      <c r="R46" s="7">
        <f ca="1">_xll.DBRW($I$9,$J$13,$J$15,$J$14,R$20,$J$16,$J$17,$I46,R$21)</f>
        <v>0</v>
      </c>
      <c r="S46" s="7" t="str">
        <f ca="1">_xll.DBR($I$9,$J$13,$J$15,$J$14,S$20,$J$16,$J$17,$I46,S$21)</f>
        <v>*KEY_ERR</v>
      </c>
      <c r="T46" s="7" t="str">
        <f ca="1">_xll.DBR($I$9,$J$13,$J$15,$J$14,T$20,$J$16,$J$17,$I46,T$21)</f>
        <v>*KEY_ERR</v>
      </c>
      <c r="U46" s="7" t="str">
        <f ca="1">_xll.DBR($I$9,$J$13,$J$15,$J$14,U$20,$J$16,$J$17,$I46,U$21)</f>
        <v>*KEY_ERR</v>
      </c>
      <c r="V46" s="7">
        <f ca="1">_xll.DBR($I$9,$J$13,$J$15,$J$14,V$20,$J$16,$J$17,$I46,V$21)</f>
        <v>0</v>
      </c>
      <c r="W46" s="7">
        <f ca="1">_xll.DBR($I$9,$J$13,$J$15,$J$14,W$20,$J$16,$J$17,$I46,W$21)</f>
        <v>0</v>
      </c>
      <c r="X46" s="7">
        <f ca="1">_xll.DBR($I$9,$J$13,$J$15,$J$14,X$20,$J$16,$J$17,$I46,X$21)</f>
        <v>0</v>
      </c>
      <c r="Y46" s="7">
        <f ca="1">_xll.DBR($I$9,$J$13,$J$15,$J$14,Y$20,$J$16,$J$17,$I46,Y$21)</f>
        <v>0</v>
      </c>
      <c r="Z46" s="7">
        <f ca="1">_xll.DBR($I$9,$J$13,$J$15,$J$14,Z$20,$J$16,$J$17,$I46,Z$21)</f>
        <v>0</v>
      </c>
      <c r="AA46" s="7">
        <f ca="1">_xll.DBR($I$9,$J$13,$J$15,$J$14,AA$20,$J$16,$J$17,$I46,AA$21)</f>
        <v>0</v>
      </c>
      <c r="AB46" s="7">
        <f ca="1">_xll.DBR($I$9,$J$13,$J$15,$J$14,AB$20,$J$16,$J$17,$I46,AB$21)</f>
        <v>0</v>
      </c>
      <c r="AC46" s="7">
        <f ca="1">_xll.DBR($I$9,$J$13,$J$15,$J$14,AC$20,$J$16,$J$17,$I46,AC$21)</f>
        <v>0</v>
      </c>
      <c r="AD46" s="7">
        <f ca="1">_xll.DBR($I$9,$J$13,$J$15,$J$14,AD$20,$J$16,$J$17,$I46,AD$21)</f>
        <v>0</v>
      </c>
    </row>
    <row r="47" spans="1:30" x14ac:dyDescent="0.25">
      <c r="A47">
        <f ca="1">IF(_xll.TM1RPTELISCONSOLIDATED($I$22,$I47),IF(_xll.TM1RPTELLEV($I$22,$I47)&lt;=3,_xll.TM1RPTELLEV($I$22,$I47),"D"),"N")</f>
        <v>3</v>
      </c>
      <c r="I47" s="23" t="s">
        <v>39</v>
      </c>
      <c r="J47" s="7">
        <f ca="1">_xll.DBR($I$9,$J$13,$J$15,$J$14,J$20,$J$16,$J$17,$I47,J$21)</f>
        <v>0</v>
      </c>
      <c r="K47" s="7">
        <f ca="1">_xll.DBR($I$9,$J$13,$J$15,$J$14,K$20,$J$16,$J$17,$I47,K$21)</f>
        <v>0</v>
      </c>
      <c r="L47" s="7">
        <f ca="1">_xll.DBRW($I$9,$J$13,$J$15,$J$14,L$20,$J$16,$J$17,$I47,L$21)</f>
        <v>0</v>
      </c>
      <c r="M47" s="7">
        <f ca="1">_xll.DBRW($I$9,$J$13,$J$15,$J$14,M$20,$J$16,$J$17,$I47,M$21)</f>
        <v>0</v>
      </c>
      <c r="N47" s="7">
        <f ca="1">_xll.DBRW($I$9,$J$13,$J$15,$J$14,N$20,$J$16,$J$17,$I47,N$21)</f>
        <v>0</v>
      </c>
      <c r="O47" s="7">
        <f ca="1">_xll.DBRW($I$9,$J$13,$J$15,$J$14,O$20,$J$16,$J$17,$I47,O$21)</f>
        <v>0</v>
      </c>
      <c r="P47" s="7">
        <f ca="1">_xll.DBRW($I$9,$J$13,$J$15,$J$14,P$20,$J$16,$J$17,$I47,P$21)</f>
        <v>0</v>
      </c>
      <c r="Q47" s="7">
        <f ca="1">_xll.DBRW($I$9,$J$13,$J$15,$J$14,Q$20,$J$16,$J$17,$I47,Q$21)</f>
        <v>0</v>
      </c>
      <c r="R47" s="7">
        <f ca="1">_xll.DBRW($I$9,$J$13,$J$15,$J$14,R$20,$J$16,$J$17,$I47,R$21)</f>
        <v>0</v>
      </c>
      <c r="S47" s="7" t="str">
        <f ca="1">_xll.DBR($I$9,$J$13,$J$15,$J$14,S$20,$J$16,$J$17,$I47,S$21)</f>
        <v>*KEY_ERR</v>
      </c>
      <c r="T47" s="7" t="str">
        <f ca="1">_xll.DBR($I$9,$J$13,$J$15,$J$14,T$20,$J$16,$J$17,$I47,T$21)</f>
        <v>*KEY_ERR</v>
      </c>
      <c r="U47" s="7" t="str">
        <f ca="1">_xll.DBR($I$9,$J$13,$J$15,$J$14,U$20,$J$16,$J$17,$I47,U$21)</f>
        <v>*KEY_ERR</v>
      </c>
      <c r="V47" s="7">
        <f ca="1">_xll.DBR($I$9,$J$13,$J$15,$J$14,V$20,$J$16,$J$17,$I47,V$21)</f>
        <v>0</v>
      </c>
      <c r="W47" s="7">
        <f ca="1">_xll.DBR($I$9,$J$13,$J$15,$J$14,W$20,$J$16,$J$17,$I47,W$21)</f>
        <v>0</v>
      </c>
      <c r="X47" s="7">
        <f ca="1">_xll.DBR($I$9,$J$13,$J$15,$J$14,X$20,$J$16,$J$17,$I47,X$21)</f>
        <v>0</v>
      </c>
      <c r="Y47" s="7">
        <f ca="1">_xll.DBR($I$9,$J$13,$J$15,$J$14,Y$20,$J$16,$J$17,$I47,Y$21)</f>
        <v>0</v>
      </c>
      <c r="Z47" s="7">
        <f ca="1">_xll.DBR($I$9,$J$13,$J$15,$J$14,Z$20,$J$16,$J$17,$I47,Z$21)</f>
        <v>0</v>
      </c>
      <c r="AA47" s="7">
        <f ca="1">_xll.DBR($I$9,$J$13,$J$15,$J$14,AA$20,$J$16,$J$17,$I47,AA$21)</f>
        <v>0</v>
      </c>
      <c r="AB47" s="7">
        <f ca="1">_xll.DBR($I$9,$J$13,$J$15,$J$14,AB$20,$J$16,$J$17,$I47,AB$21)</f>
        <v>0</v>
      </c>
      <c r="AC47" s="7">
        <f ca="1">_xll.DBR($I$9,$J$13,$J$15,$J$14,AC$20,$J$16,$J$17,$I47,AC$21)</f>
        <v>0</v>
      </c>
      <c r="AD47" s="7">
        <f ca="1">_xll.DBR($I$9,$J$13,$J$15,$J$14,AD$20,$J$16,$J$17,$I47,AD$21)</f>
        <v>0</v>
      </c>
    </row>
    <row r="48" spans="1:30" x14ac:dyDescent="0.25">
      <c r="A48" t="str">
        <f ca="1">IF(_xll.TM1RPTELISCONSOLIDATED($I$22,$I48),IF(_xll.TM1RPTELLEV($I$22,$I48)&lt;=3,_xll.TM1RPTELLEV($I$22,$I48),"D"),"N")</f>
        <v>D</v>
      </c>
      <c r="I48" s="18" t="s">
        <v>40</v>
      </c>
      <c r="J48" s="9">
        <f ca="1">_xll.DBR($I$9,$J$13,$J$15,$J$14,J$20,$J$16,$J$17,$I48,J$21)</f>
        <v>0</v>
      </c>
      <c r="K48" s="9">
        <f ca="1">_xll.DBR($I$9,$J$13,$J$15,$J$14,K$20,$J$16,$J$17,$I48,K$21)</f>
        <v>0</v>
      </c>
      <c r="L48" s="9">
        <f ca="1">_xll.DBRW($I$9,$J$13,$J$15,$J$14,L$20,$J$16,$J$17,$I48,L$21)</f>
        <v>0</v>
      </c>
      <c r="M48" s="9">
        <f ca="1">_xll.DBRW($I$9,$J$13,$J$15,$J$14,M$20,$J$16,$J$17,$I48,M$21)</f>
        <v>0</v>
      </c>
      <c r="N48" s="9">
        <f ca="1">_xll.DBRW($I$9,$J$13,$J$15,$J$14,N$20,$J$16,$J$17,$I48,N$21)</f>
        <v>0</v>
      </c>
      <c r="O48" s="9">
        <f ca="1">_xll.DBRW($I$9,$J$13,$J$15,$J$14,O$20,$J$16,$J$17,$I48,O$21)</f>
        <v>0</v>
      </c>
      <c r="P48" s="9">
        <f ca="1">_xll.DBRW($I$9,$J$13,$J$15,$J$14,P$20,$J$16,$J$17,$I48,P$21)</f>
        <v>0</v>
      </c>
      <c r="Q48" s="9">
        <f ca="1">_xll.DBRW($I$9,$J$13,$J$15,$J$14,Q$20,$J$16,$J$17,$I48,Q$21)</f>
        <v>0</v>
      </c>
      <c r="R48" s="9">
        <f ca="1">_xll.DBRW($I$9,$J$13,$J$15,$J$14,R$20,$J$16,$J$17,$I48,R$21)</f>
        <v>0</v>
      </c>
      <c r="S48" s="9" t="str">
        <f ca="1">_xll.DBR($I$9,$J$13,$J$15,$J$14,S$20,$J$16,$J$17,$I48,S$21)</f>
        <v>*KEY_ERR</v>
      </c>
      <c r="T48" s="9" t="str">
        <f ca="1">_xll.DBR($I$9,$J$13,$J$15,$J$14,T$20,$J$16,$J$17,$I48,T$21)</f>
        <v>*KEY_ERR</v>
      </c>
      <c r="U48" s="9" t="str">
        <f ca="1">_xll.DBR($I$9,$J$13,$J$15,$J$14,U$20,$J$16,$J$17,$I48,U$21)</f>
        <v>*KEY_ERR</v>
      </c>
      <c r="V48" s="9">
        <f ca="1">_xll.DBR($I$9,$J$13,$J$15,$J$14,V$20,$J$16,$J$17,$I48,V$21)</f>
        <v>0</v>
      </c>
      <c r="W48" s="9">
        <f ca="1">_xll.DBR($I$9,$J$13,$J$15,$J$14,W$20,$J$16,$J$17,$I48,W$21)</f>
        <v>0</v>
      </c>
      <c r="X48" s="9">
        <f ca="1">_xll.DBR($I$9,$J$13,$J$15,$J$14,X$20,$J$16,$J$17,$I48,X$21)</f>
        <v>0</v>
      </c>
      <c r="Y48" s="9">
        <f ca="1">_xll.DBR($I$9,$J$13,$J$15,$J$14,Y$20,$J$16,$J$17,$I48,Y$21)</f>
        <v>0</v>
      </c>
      <c r="Z48" s="9">
        <f ca="1">_xll.DBR($I$9,$J$13,$J$15,$J$14,Z$20,$J$16,$J$17,$I48,Z$21)</f>
        <v>0</v>
      </c>
      <c r="AA48" s="9">
        <f ca="1">_xll.DBR($I$9,$J$13,$J$15,$J$14,AA$20,$J$16,$J$17,$I48,AA$21)</f>
        <v>0</v>
      </c>
      <c r="AB48" s="9">
        <f ca="1">_xll.DBR($I$9,$J$13,$J$15,$J$14,AB$20,$J$16,$J$17,$I48,AB$21)</f>
        <v>0</v>
      </c>
      <c r="AC48" s="9">
        <f ca="1">_xll.DBR($I$9,$J$13,$J$15,$J$14,AC$20,$J$16,$J$17,$I48,AC$21)</f>
        <v>0</v>
      </c>
      <c r="AD48" s="9">
        <f ca="1">_xll.DBR($I$9,$J$13,$J$15,$J$14,AD$20,$J$16,$J$17,$I48,AD$21)</f>
        <v>0</v>
      </c>
    </row>
    <row r="49" spans="1:30" x14ac:dyDescent="0.25">
      <c r="A49" t="str">
        <f ca="1">IF(_xll.TM1RPTELISCONSOLIDATED($I$22,$I49),IF(_xll.TM1RPTELLEV($I$22,$I49)&lt;=3,_xll.TM1RPTELLEV($I$22,$I49),"D"),"N")</f>
        <v>D</v>
      </c>
      <c r="I49" s="18" t="s">
        <v>41</v>
      </c>
      <c r="J49" s="9">
        <f ca="1">_xll.DBR($I$9,$J$13,$J$15,$J$14,J$20,$J$16,$J$17,$I49,J$21)</f>
        <v>0</v>
      </c>
      <c r="K49" s="9">
        <f ca="1">_xll.DBR($I$9,$J$13,$J$15,$J$14,K$20,$J$16,$J$17,$I49,K$21)</f>
        <v>0</v>
      </c>
      <c r="L49" s="9">
        <f ca="1">_xll.DBRW($I$9,$J$13,$J$15,$J$14,L$20,$J$16,$J$17,$I49,L$21)</f>
        <v>0</v>
      </c>
      <c r="M49" s="9">
        <f ca="1">_xll.DBRW($I$9,$J$13,$J$15,$J$14,M$20,$J$16,$J$17,$I49,M$21)</f>
        <v>0</v>
      </c>
      <c r="N49" s="9">
        <f ca="1">_xll.DBRW($I$9,$J$13,$J$15,$J$14,N$20,$J$16,$J$17,$I49,N$21)</f>
        <v>0</v>
      </c>
      <c r="O49" s="9">
        <f ca="1">_xll.DBRW($I$9,$J$13,$J$15,$J$14,O$20,$J$16,$J$17,$I49,O$21)</f>
        <v>0</v>
      </c>
      <c r="P49" s="9">
        <f ca="1">_xll.DBRW($I$9,$J$13,$J$15,$J$14,P$20,$J$16,$J$17,$I49,P$21)</f>
        <v>0</v>
      </c>
      <c r="Q49" s="9">
        <f ca="1">_xll.DBRW($I$9,$J$13,$J$15,$J$14,Q$20,$J$16,$J$17,$I49,Q$21)</f>
        <v>0</v>
      </c>
      <c r="R49" s="9">
        <f ca="1">_xll.DBRW($I$9,$J$13,$J$15,$J$14,R$20,$J$16,$J$17,$I49,R$21)</f>
        <v>0</v>
      </c>
      <c r="S49" s="9" t="str">
        <f ca="1">_xll.DBR($I$9,$J$13,$J$15,$J$14,S$20,$J$16,$J$17,$I49,S$21)</f>
        <v>*KEY_ERR</v>
      </c>
      <c r="T49" s="9" t="str">
        <f ca="1">_xll.DBR($I$9,$J$13,$J$15,$J$14,T$20,$J$16,$J$17,$I49,T$21)</f>
        <v>*KEY_ERR</v>
      </c>
      <c r="U49" s="9" t="str">
        <f ca="1">_xll.DBR($I$9,$J$13,$J$15,$J$14,U$20,$J$16,$J$17,$I49,U$21)</f>
        <v>*KEY_ERR</v>
      </c>
      <c r="V49" s="9">
        <f ca="1">_xll.DBR($I$9,$J$13,$J$15,$J$14,V$20,$J$16,$J$17,$I49,V$21)</f>
        <v>0</v>
      </c>
      <c r="W49" s="9">
        <f ca="1">_xll.DBR($I$9,$J$13,$J$15,$J$14,W$20,$J$16,$J$17,$I49,W$21)</f>
        <v>0</v>
      </c>
      <c r="X49" s="9">
        <f ca="1">_xll.DBR($I$9,$J$13,$J$15,$J$14,X$20,$J$16,$J$17,$I49,X$21)</f>
        <v>0</v>
      </c>
      <c r="Y49" s="9">
        <f ca="1">_xll.DBR($I$9,$J$13,$J$15,$J$14,Y$20,$J$16,$J$17,$I49,Y$21)</f>
        <v>0</v>
      </c>
      <c r="Z49" s="9">
        <f ca="1">_xll.DBR($I$9,$J$13,$J$15,$J$14,Z$20,$J$16,$J$17,$I49,Z$21)</f>
        <v>0</v>
      </c>
      <c r="AA49" s="9">
        <f ca="1">_xll.DBR($I$9,$J$13,$J$15,$J$14,AA$20,$J$16,$J$17,$I49,AA$21)</f>
        <v>0</v>
      </c>
      <c r="AB49" s="9">
        <f ca="1">_xll.DBR($I$9,$J$13,$J$15,$J$14,AB$20,$J$16,$J$17,$I49,AB$21)</f>
        <v>0</v>
      </c>
      <c r="AC49" s="9">
        <f ca="1">_xll.DBR($I$9,$J$13,$J$15,$J$14,AC$20,$J$16,$J$17,$I49,AC$21)</f>
        <v>0</v>
      </c>
      <c r="AD49" s="9">
        <f ca="1">_xll.DBR($I$9,$J$13,$J$15,$J$14,AD$20,$J$16,$J$17,$I49,AD$21)</f>
        <v>0</v>
      </c>
    </row>
    <row r="50" spans="1:30" x14ac:dyDescent="0.25">
      <c r="A50" t="str">
        <f ca="1">IF(_xll.TM1RPTELISCONSOLIDATED($I$22,$I50),IF(_xll.TM1RPTELLEV($I$22,$I50)&lt;=3,_xll.TM1RPTELLEV($I$22,$I50),"D"),"N")</f>
        <v>D</v>
      </c>
      <c r="I50" s="18" t="s">
        <v>42</v>
      </c>
      <c r="J50" s="9">
        <f ca="1">_xll.DBR($I$9,$J$13,$J$15,$J$14,J$20,$J$16,$J$17,$I50,J$21)</f>
        <v>0</v>
      </c>
      <c r="K50" s="9">
        <f ca="1">_xll.DBR($I$9,$J$13,$J$15,$J$14,K$20,$J$16,$J$17,$I50,K$21)</f>
        <v>0</v>
      </c>
      <c r="L50" s="9">
        <f ca="1">_xll.DBRW($I$9,$J$13,$J$15,$J$14,L$20,$J$16,$J$17,$I50,L$21)</f>
        <v>0</v>
      </c>
      <c r="M50" s="9">
        <f ca="1">_xll.DBRW($I$9,$J$13,$J$15,$J$14,M$20,$J$16,$J$17,$I50,M$21)</f>
        <v>0</v>
      </c>
      <c r="N50" s="9">
        <f ca="1">_xll.DBRW($I$9,$J$13,$J$15,$J$14,N$20,$J$16,$J$17,$I50,N$21)</f>
        <v>0</v>
      </c>
      <c r="O50" s="9">
        <f ca="1">_xll.DBRW($I$9,$J$13,$J$15,$J$14,O$20,$J$16,$J$17,$I50,O$21)</f>
        <v>0</v>
      </c>
      <c r="P50" s="9">
        <f ca="1">_xll.DBRW($I$9,$J$13,$J$15,$J$14,P$20,$J$16,$J$17,$I50,P$21)</f>
        <v>0</v>
      </c>
      <c r="Q50" s="9">
        <f ca="1">_xll.DBRW($I$9,$J$13,$J$15,$J$14,Q$20,$J$16,$J$17,$I50,Q$21)</f>
        <v>0</v>
      </c>
      <c r="R50" s="9">
        <f ca="1">_xll.DBRW($I$9,$J$13,$J$15,$J$14,R$20,$J$16,$J$17,$I50,R$21)</f>
        <v>0</v>
      </c>
      <c r="S50" s="9" t="str">
        <f ca="1">_xll.DBR($I$9,$J$13,$J$15,$J$14,S$20,$J$16,$J$17,$I50,S$21)</f>
        <v>*KEY_ERR</v>
      </c>
      <c r="T50" s="9" t="str">
        <f ca="1">_xll.DBR($I$9,$J$13,$J$15,$J$14,T$20,$J$16,$J$17,$I50,T$21)</f>
        <v>*KEY_ERR</v>
      </c>
      <c r="U50" s="9" t="str">
        <f ca="1">_xll.DBR($I$9,$J$13,$J$15,$J$14,U$20,$J$16,$J$17,$I50,U$21)</f>
        <v>*KEY_ERR</v>
      </c>
      <c r="V50" s="9">
        <f ca="1">_xll.DBR($I$9,$J$13,$J$15,$J$14,V$20,$J$16,$J$17,$I50,V$21)</f>
        <v>0</v>
      </c>
      <c r="W50" s="9">
        <f ca="1">_xll.DBR($I$9,$J$13,$J$15,$J$14,W$20,$J$16,$J$17,$I50,W$21)</f>
        <v>0</v>
      </c>
      <c r="X50" s="9">
        <f ca="1">_xll.DBR($I$9,$J$13,$J$15,$J$14,X$20,$J$16,$J$17,$I50,X$21)</f>
        <v>0</v>
      </c>
      <c r="Y50" s="9">
        <f ca="1">_xll.DBR($I$9,$J$13,$J$15,$J$14,Y$20,$J$16,$J$17,$I50,Y$21)</f>
        <v>0</v>
      </c>
      <c r="Z50" s="9">
        <f ca="1">_xll.DBR($I$9,$J$13,$J$15,$J$14,Z$20,$J$16,$J$17,$I50,Z$21)</f>
        <v>0</v>
      </c>
      <c r="AA50" s="9">
        <f ca="1">_xll.DBR($I$9,$J$13,$J$15,$J$14,AA$20,$J$16,$J$17,$I50,AA$21)</f>
        <v>0</v>
      </c>
      <c r="AB50" s="9">
        <f ca="1">_xll.DBR($I$9,$J$13,$J$15,$J$14,AB$20,$J$16,$J$17,$I50,AB$21)</f>
        <v>0</v>
      </c>
      <c r="AC50" s="9">
        <f ca="1">_xll.DBR($I$9,$J$13,$J$15,$J$14,AC$20,$J$16,$J$17,$I50,AC$21)</f>
        <v>0</v>
      </c>
      <c r="AD50" s="9">
        <f ca="1">_xll.DBR($I$9,$J$13,$J$15,$J$14,AD$20,$J$16,$J$17,$I50,AD$21)</f>
        <v>0</v>
      </c>
    </row>
    <row r="51" spans="1:30" x14ac:dyDescent="0.25">
      <c r="A51" t="str">
        <f ca="1">IF(_xll.TM1RPTELISCONSOLIDATED($I$22,$I51),IF(_xll.TM1RPTELLEV($I$22,$I51)&lt;=3,_xll.TM1RPTELLEV($I$22,$I51),"D"),"N")</f>
        <v>D</v>
      </c>
      <c r="I51" s="18" t="s">
        <v>43</v>
      </c>
      <c r="J51" s="9">
        <f ca="1">_xll.DBR($I$9,$J$13,$J$15,$J$14,J$20,$J$16,$J$17,$I51,J$21)</f>
        <v>0</v>
      </c>
      <c r="K51" s="9">
        <f ca="1">_xll.DBR($I$9,$J$13,$J$15,$J$14,K$20,$J$16,$J$17,$I51,K$21)</f>
        <v>0</v>
      </c>
      <c r="L51" s="9">
        <f ca="1">_xll.DBRW($I$9,$J$13,$J$15,$J$14,L$20,$J$16,$J$17,$I51,L$21)</f>
        <v>0</v>
      </c>
      <c r="M51" s="9">
        <f ca="1">_xll.DBRW($I$9,$J$13,$J$15,$J$14,M$20,$J$16,$J$17,$I51,M$21)</f>
        <v>0</v>
      </c>
      <c r="N51" s="9">
        <f ca="1">_xll.DBRW($I$9,$J$13,$J$15,$J$14,N$20,$J$16,$J$17,$I51,N$21)</f>
        <v>0</v>
      </c>
      <c r="O51" s="9">
        <f ca="1">_xll.DBRW($I$9,$J$13,$J$15,$J$14,O$20,$J$16,$J$17,$I51,O$21)</f>
        <v>0</v>
      </c>
      <c r="P51" s="9">
        <f ca="1">_xll.DBRW($I$9,$J$13,$J$15,$J$14,P$20,$J$16,$J$17,$I51,P$21)</f>
        <v>0</v>
      </c>
      <c r="Q51" s="9">
        <f ca="1">_xll.DBRW($I$9,$J$13,$J$15,$J$14,Q$20,$J$16,$J$17,$I51,Q$21)</f>
        <v>0</v>
      </c>
      <c r="R51" s="9">
        <f ca="1">_xll.DBRW($I$9,$J$13,$J$15,$J$14,R$20,$J$16,$J$17,$I51,R$21)</f>
        <v>0</v>
      </c>
      <c r="S51" s="9" t="str">
        <f ca="1">_xll.DBR($I$9,$J$13,$J$15,$J$14,S$20,$J$16,$J$17,$I51,S$21)</f>
        <v>*KEY_ERR</v>
      </c>
      <c r="T51" s="9" t="str">
        <f ca="1">_xll.DBR($I$9,$J$13,$J$15,$J$14,T$20,$J$16,$J$17,$I51,T$21)</f>
        <v>*KEY_ERR</v>
      </c>
      <c r="U51" s="9" t="str">
        <f ca="1">_xll.DBR($I$9,$J$13,$J$15,$J$14,U$20,$J$16,$J$17,$I51,U$21)</f>
        <v>*KEY_ERR</v>
      </c>
      <c r="V51" s="9">
        <f ca="1">_xll.DBR($I$9,$J$13,$J$15,$J$14,V$20,$J$16,$J$17,$I51,V$21)</f>
        <v>0</v>
      </c>
      <c r="W51" s="9">
        <f ca="1">_xll.DBR($I$9,$J$13,$J$15,$J$14,W$20,$J$16,$J$17,$I51,W$21)</f>
        <v>0</v>
      </c>
      <c r="X51" s="9">
        <f ca="1">_xll.DBR($I$9,$J$13,$J$15,$J$14,X$20,$J$16,$J$17,$I51,X$21)</f>
        <v>0</v>
      </c>
      <c r="Y51" s="9">
        <f ca="1">_xll.DBR($I$9,$J$13,$J$15,$J$14,Y$20,$J$16,$J$17,$I51,Y$21)</f>
        <v>0</v>
      </c>
      <c r="Z51" s="9">
        <f ca="1">_xll.DBR($I$9,$J$13,$J$15,$J$14,Z$20,$J$16,$J$17,$I51,Z$21)</f>
        <v>0</v>
      </c>
      <c r="AA51" s="9">
        <f ca="1">_xll.DBR($I$9,$J$13,$J$15,$J$14,AA$20,$J$16,$J$17,$I51,AA$21)</f>
        <v>0</v>
      </c>
      <c r="AB51" s="9">
        <f ca="1">_xll.DBR($I$9,$J$13,$J$15,$J$14,AB$20,$J$16,$J$17,$I51,AB$21)</f>
        <v>0</v>
      </c>
      <c r="AC51" s="9">
        <f ca="1">_xll.DBR($I$9,$J$13,$J$15,$J$14,AC$20,$J$16,$J$17,$I51,AC$21)</f>
        <v>0</v>
      </c>
      <c r="AD51" s="9">
        <f ca="1">_xll.DBR($I$9,$J$13,$J$15,$J$14,AD$20,$J$16,$J$17,$I51,AD$21)</f>
        <v>0</v>
      </c>
    </row>
    <row r="52" spans="1:30" x14ac:dyDescent="0.25">
      <c r="A52" t="str">
        <f ca="1">IF(_xll.TM1RPTELISCONSOLIDATED($I$22,$I52),IF(_xll.TM1RPTELLEV($I$22,$I52)&lt;=3,_xll.TM1RPTELLEV($I$22,$I52),"D"),"N")</f>
        <v>D</v>
      </c>
      <c r="I52" s="18" t="s">
        <v>44</v>
      </c>
      <c r="J52" s="9">
        <f ca="1">_xll.DBR($I$9,$J$13,$J$15,$J$14,J$20,$J$16,$J$17,$I52,J$21)</f>
        <v>0</v>
      </c>
      <c r="K52" s="9">
        <f ca="1">_xll.DBR($I$9,$J$13,$J$15,$J$14,K$20,$J$16,$J$17,$I52,K$21)</f>
        <v>0</v>
      </c>
      <c r="L52" s="9">
        <f ca="1">_xll.DBRW($I$9,$J$13,$J$15,$J$14,L$20,$J$16,$J$17,$I52,L$21)</f>
        <v>0</v>
      </c>
      <c r="M52" s="9">
        <f ca="1">_xll.DBRW($I$9,$J$13,$J$15,$J$14,M$20,$J$16,$J$17,$I52,M$21)</f>
        <v>0</v>
      </c>
      <c r="N52" s="9">
        <f ca="1">_xll.DBRW($I$9,$J$13,$J$15,$J$14,N$20,$J$16,$J$17,$I52,N$21)</f>
        <v>0</v>
      </c>
      <c r="O52" s="9">
        <f ca="1">_xll.DBRW($I$9,$J$13,$J$15,$J$14,O$20,$J$16,$J$17,$I52,O$21)</f>
        <v>0</v>
      </c>
      <c r="P52" s="9">
        <f ca="1">_xll.DBRW($I$9,$J$13,$J$15,$J$14,P$20,$J$16,$J$17,$I52,P$21)</f>
        <v>0</v>
      </c>
      <c r="Q52" s="9">
        <f ca="1">_xll.DBRW($I$9,$J$13,$J$15,$J$14,Q$20,$J$16,$J$17,$I52,Q$21)</f>
        <v>0</v>
      </c>
      <c r="R52" s="9">
        <f ca="1">_xll.DBRW($I$9,$J$13,$J$15,$J$14,R$20,$J$16,$J$17,$I52,R$21)</f>
        <v>0</v>
      </c>
      <c r="S52" s="9" t="str">
        <f ca="1">_xll.DBR($I$9,$J$13,$J$15,$J$14,S$20,$J$16,$J$17,$I52,S$21)</f>
        <v>*KEY_ERR</v>
      </c>
      <c r="T52" s="9" t="str">
        <f ca="1">_xll.DBR($I$9,$J$13,$J$15,$J$14,T$20,$J$16,$J$17,$I52,T$21)</f>
        <v>*KEY_ERR</v>
      </c>
      <c r="U52" s="9" t="str">
        <f ca="1">_xll.DBR($I$9,$J$13,$J$15,$J$14,U$20,$J$16,$J$17,$I52,U$21)</f>
        <v>*KEY_ERR</v>
      </c>
      <c r="V52" s="9">
        <f ca="1">_xll.DBR($I$9,$J$13,$J$15,$J$14,V$20,$J$16,$J$17,$I52,V$21)</f>
        <v>0</v>
      </c>
      <c r="W52" s="9">
        <f ca="1">_xll.DBR($I$9,$J$13,$J$15,$J$14,W$20,$J$16,$J$17,$I52,W$21)</f>
        <v>0</v>
      </c>
      <c r="X52" s="9">
        <f ca="1">_xll.DBR($I$9,$J$13,$J$15,$J$14,X$20,$J$16,$J$17,$I52,X$21)</f>
        <v>0</v>
      </c>
      <c r="Y52" s="9">
        <f ca="1">_xll.DBR($I$9,$J$13,$J$15,$J$14,Y$20,$J$16,$J$17,$I52,Y$21)</f>
        <v>0</v>
      </c>
      <c r="Z52" s="9">
        <f ca="1">_xll.DBR($I$9,$J$13,$J$15,$J$14,Z$20,$J$16,$J$17,$I52,Z$21)</f>
        <v>0</v>
      </c>
      <c r="AA52" s="9">
        <f ca="1">_xll.DBR($I$9,$J$13,$J$15,$J$14,AA$20,$J$16,$J$17,$I52,AA$21)</f>
        <v>0</v>
      </c>
      <c r="AB52" s="9">
        <f ca="1">_xll.DBR($I$9,$J$13,$J$15,$J$14,AB$20,$J$16,$J$17,$I52,AB$21)</f>
        <v>0</v>
      </c>
      <c r="AC52" s="9">
        <f ca="1">_xll.DBR($I$9,$J$13,$J$15,$J$14,AC$20,$J$16,$J$17,$I52,AC$21)</f>
        <v>0</v>
      </c>
      <c r="AD52" s="9">
        <f ca="1">_xll.DBR($I$9,$J$13,$J$15,$J$14,AD$20,$J$16,$J$17,$I52,AD$21)</f>
        <v>0</v>
      </c>
    </row>
    <row r="53" spans="1:30" x14ac:dyDescent="0.25">
      <c r="A53" t="str">
        <f ca="1">IF(_xll.TM1RPTELISCONSOLIDATED($I$22,$I53),IF(_xll.TM1RPTELLEV($I$22,$I53)&lt;=3,_xll.TM1RPTELLEV($I$22,$I53),"D"),"N")</f>
        <v>D</v>
      </c>
      <c r="I53" s="18" t="s">
        <v>45</v>
      </c>
      <c r="J53" s="9">
        <f ca="1">_xll.DBR($I$9,$J$13,$J$15,$J$14,J$20,$J$16,$J$17,$I53,J$21)</f>
        <v>0</v>
      </c>
      <c r="K53" s="9">
        <f ca="1">_xll.DBR($I$9,$J$13,$J$15,$J$14,K$20,$J$16,$J$17,$I53,K$21)</f>
        <v>0</v>
      </c>
      <c r="L53" s="9">
        <f ca="1">_xll.DBRW($I$9,$J$13,$J$15,$J$14,L$20,$J$16,$J$17,$I53,L$21)</f>
        <v>0</v>
      </c>
      <c r="M53" s="9">
        <f ca="1">_xll.DBRW($I$9,$J$13,$J$15,$J$14,M$20,$J$16,$J$17,$I53,M$21)</f>
        <v>0</v>
      </c>
      <c r="N53" s="9">
        <f ca="1">_xll.DBRW($I$9,$J$13,$J$15,$J$14,N$20,$J$16,$J$17,$I53,N$21)</f>
        <v>0</v>
      </c>
      <c r="O53" s="9">
        <f ca="1">_xll.DBRW($I$9,$J$13,$J$15,$J$14,O$20,$J$16,$J$17,$I53,O$21)</f>
        <v>0</v>
      </c>
      <c r="P53" s="9">
        <f ca="1">_xll.DBRW($I$9,$J$13,$J$15,$J$14,P$20,$J$16,$J$17,$I53,P$21)</f>
        <v>0</v>
      </c>
      <c r="Q53" s="9">
        <f ca="1">_xll.DBRW($I$9,$J$13,$J$15,$J$14,Q$20,$J$16,$J$17,$I53,Q$21)</f>
        <v>0</v>
      </c>
      <c r="R53" s="9">
        <f ca="1">_xll.DBRW($I$9,$J$13,$J$15,$J$14,R$20,$J$16,$J$17,$I53,R$21)</f>
        <v>0</v>
      </c>
      <c r="S53" s="9" t="str">
        <f ca="1">_xll.DBR($I$9,$J$13,$J$15,$J$14,S$20,$J$16,$J$17,$I53,S$21)</f>
        <v>*KEY_ERR</v>
      </c>
      <c r="T53" s="9" t="str">
        <f ca="1">_xll.DBR($I$9,$J$13,$J$15,$J$14,T$20,$J$16,$J$17,$I53,T$21)</f>
        <v>*KEY_ERR</v>
      </c>
      <c r="U53" s="9" t="str">
        <f ca="1">_xll.DBR($I$9,$J$13,$J$15,$J$14,U$20,$J$16,$J$17,$I53,U$21)</f>
        <v>*KEY_ERR</v>
      </c>
      <c r="V53" s="9">
        <f ca="1">_xll.DBR($I$9,$J$13,$J$15,$J$14,V$20,$J$16,$J$17,$I53,V$21)</f>
        <v>0</v>
      </c>
      <c r="W53" s="9">
        <f ca="1">_xll.DBR($I$9,$J$13,$J$15,$J$14,W$20,$J$16,$J$17,$I53,W$21)</f>
        <v>0</v>
      </c>
      <c r="X53" s="9">
        <f ca="1">_xll.DBR($I$9,$J$13,$J$15,$J$14,X$20,$J$16,$J$17,$I53,X$21)</f>
        <v>0</v>
      </c>
      <c r="Y53" s="9">
        <f ca="1">_xll.DBR($I$9,$J$13,$J$15,$J$14,Y$20,$J$16,$J$17,$I53,Y$21)</f>
        <v>0</v>
      </c>
      <c r="Z53" s="9">
        <f ca="1">_xll.DBR($I$9,$J$13,$J$15,$J$14,Z$20,$J$16,$J$17,$I53,Z$21)</f>
        <v>0</v>
      </c>
      <c r="AA53" s="9">
        <f ca="1">_xll.DBR($I$9,$J$13,$J$15,$J$14,AA$20,$J$16,$J$17,$I53,AA$21)</f>
        <v>0</v>
      </c>
      <c r="AB53" s="9">
        <f ca="1">_xll.DBR($I$9,$J$13,$J$15,$J$14,AB$20,$J$16,$J$17,$I53,AB$21)</f>
        <v>0</v>
      </c>
      <c r="AC53" s="9">
        <f ca="1">_xll.DBR($I$9,$J$13,$J$15,$J$14,AC$20,$J$16,$J$17,$I53,AC$21)</f>
        <v>0</v>
      </c>
      <c r="AD53" s="9">
        <f ca="1">_xll.DBR($I$9,$J$13,$J$15,$J$14,AD$20,$J$16,$J$17,$I53,AD$21)</f>
        <v>0</v>
      </c>
    </row>
    <row r="54" spans="1:30" x14ac:dyDescent="0.25">
      <c r="A54">
        <f ca="1">IF(_xll.TM1RPTELISCONSOLIDATED($I$22,$I54),IF(_xll.TM1RPTELLEV($I$22,$I54)&lt;=3,_xll.TM1RPTELLEV($I$22,$I54),"D"),"N")</f>
        <v>3</v>
      </c>
      <c r="I54" s="22" t="s">
        <v>46</v>
      </c>
      <c r="J54" s="7">
        <f ca="1">_xll.DBR($I$9,$J$13,$J$15,$J$14,J$20,$J$16,$J$17,$I54,J$21)</f>
        <v>0</v>
      </c>
      <c r="K54" s="7">
        <f ca="1">_xll.DBR($I$9,$J$13,$J$15,$J$14,K$20,$J$16,$J$17,$I54,K$21)</f>
        <v>0</v>
      </c>
      <c r="L54" s="7">
        <f ca="1">_xll.DBRW($I$9,$J$13,$J$15,$J$14,L$20,$J$16,$J$17,$I54,L$21)</f>
        <v>0</v>
      </c>
      <c r="M54" s="7">
        <f ca="1">_xll.DBRW($I$9,$J$13,$J$15,$J$14,M$20,$J$16,$J$17,$I54,M$21)</f>
        <v>0</v>
      </c>
      <c r="N54" s="7">
        <f ca="1">_xll.DBRW($I$9,$J$13,$J$15,$J$14,N$20,$J$16,$J$17,$I54,N$21)</f>
        <v>0</v>
      </c>
      <c r="O54" s="7">
        <f ca="1">_xll.DBRW($I$9,$J$13,$J$15,$J$14,O$20,$J$16,$J$17,$I54,O$21)</f>
        <v>0</v>
      </c>
      <c r="P54" s="7">
        <f ca="1">_xll.DBRW($I$9,$J$13,$J$15,$J$14,P$20,$J$16,$J$17,$I54,P$21)</f>
        <v>0</v>
      </c>
      <c r="Q54" s="7">
        <f ca="1">_xll.DBRW($I$9,$J$13,$J$15,$J$14,Q$20,$J$16,$J$17,$I54,Q$21)</f>
        <v>0</v>
      </c>
      <c r="R54" s="7">
        <f ca="1">_xll.DBRW($I$9,$J$13,$J$15,$J$14,R$20,$J$16,$J$17,$I54,R$21)</f>
        <v>0</v>
      </c>
      <c r="S54" s="7" t="str">
        <f ca="1">_xll.DBR($I$9,$J$13,$J$15,$J$14,S$20,$J$16,$J$17,$I54,S$21)</f>
        <v>*KEY_ERR</v>
      </c>
      <c r="T54" s="7" t="str">
        <f ca="1">_xll.DBR($I$9,$J$13,$J$15,$J$14,T$20,$J$16,$J$17,$I54,T$21)</f>
        <v>*KEY_ERR</v>
      </c>
      <c r="U54" s="7" t="str">
        <f ca="1">_xll.DBR($I$9,$J$13,$J$15,$J$14,U$20,$J$16,$J$17,$I54,U$21)</f>
        <v>*KEY_ERR</v>
      </c>
      <c r="V54" s="7">
        <f ca="1">_xll.DBR($I$9,$J$13,$J$15,$J$14,V$20,$J$16,$J$17,$I54,V$21)</f>
        <v>0</v>
      </c>
      <c r="W54" s="7">
        <f ca="1">_xll.DBR($I$9,$J$13,$J$15,$J$14,W$20,$J$16,$J$17,$I54,W$21)</f>
        <v>0</v>
      </c>
      <c r="X54" s="7">
        <f ca="1">_xll.DBR($I$9,$J$13,$J$15,$J$14,X$20,$J$16,$J$17,$I54,X$21)</f>
        <v>0</v>
      </c>
      <c r="Y54" s="7">
        <f ca="1">_xll.DBR($I$9,$J$13,$J$15,$J$14,Y$20,$J$16,$J$17,$I54,Y$21)</f>
        <v>0</v>
      </c>
      <c r="Z54" s="7">
        <f ca="1">_xll.DBR($I$9,$J$13,$J$15,$J$14,Z$20,$J$16,$J$17,$I54,Z$21)</f>
        <v>0</v>
      </c>
      <c r="AA54" s="7">
        <f ca="1">_xll.DBR($I$9,$J$13,$J$15,$J$14,AA$20,$J$16,$J$17,$I54,AA$21)</f>
        <v>0</v>
      </c>
      <c r="AB54" s="7">
        <f ca="1">_xll.DBR($I$9,$J$13,$J$15,$J$14,AB$20,$J$16,$J$17,$I54,AB$21)</f>
        <v>0</v>
      </c>
      <c r="AC54" s="7">
        <f ca="1">_xll.DBR($I$9,$J$13,$J$15,$J$14,AC$20,$J$16,$J$17,$I54,AC$21)</f>
        <v>0</v>
      </c>
      <c r="AD54" s="7">
        <f ca="1">_xll.DBR($I$9,$J$13,$J$15,$J$14,AD$20,$J$16,$J$17,$I54,AD$21)</f>
        <v>0</v>
      </c>
    </row>
    <row r="55" spans="1:30" x14ac:dyDescent="0.25">
      <c r="A55">
        <f ca="1">IF(_xll.TM1RPTELISCONSOLIDATED($I$22,$I55),IF(_xll.TM1RPTELLEV($I$22,$I55)&lt;=3,_xll.TM1RPTELLEV($I$22,$I55),"D"),"N")</f>
        <v>3</v>
      </c>
      <c r="I55" s="22" t="s">
        <v>47</v>
      </c>
      <c r="J55" s="7">
        <f ca="1">_xll.DBR($I$9,$J$13,$J$15,$J$14,J$20,$J$16,$J$17,$I55,J$21)</f>
        <v>0</v>
      </c>
      <c r="K55" s="7">
        <f ca="1">_xll.DBR($I$9,$J$13,$J$15,$J$14,K$20,$J$16,$J$17,$I55,K$21)</f>
        <v>0</v>
      </c>
      <c r="L55" s="7">
        <f ca="1">_xll.DBRW($I$9,$J$13,$J$15,$J$14,L$20,$J$16,$J$17,$I55,L$21)</f>
        <v>0</v>
      </c>
      <c r="M55" s="7">
        <f ca="1">_xll.DBRW($I$9,$J$13,$J$15,$J$14,M$20,$J$16,$J$17,$I55,M$21)</f>
        <v>0</v>
      </c>
      <c r="N55" s="7">
        <f ca="1">_xll.DBRW($I$9,$J$13,$J$15,$J$14,N$20,$J$16,$J$17,$I55,N$21)</f>
        <v>0</v>
      </c>
      <c r="O55" s="7">
        <f ca="1">_xll.DBRW($I$9,$J$13,$J$15,$J$14,O$20,$J$16,$J$17,$I55,O$21)</f>
        <v>0</v>
      </c>
      <c r="P55" s="7">
        <f ca="1">_xll.DBRW($I$9,$J$13,$J$15,$J$14,P$20,$J$16,$J$17,$I55,P$21)</f>
        <v>0</v>
      </c>
      <c r="Q55" s="7">
        <f ca="1">_xll.DBRW($I$9,$J$13,$J$15,$J$14,Q$20,$J$16,$J$17,$I55,Q$21)</f>
        <v>0</v>
      </c>
      <c r="R55" s="7">
        <f ca="1">_xll.DBRW($I$9,$J$13,$J$15,$J$14,R$20,$J$16,$J$17,$I55,R$21)</f>
        <v>0</v>
      </c>
      <c r="S55" s="7" t="str">
        <f ca="1">_xll.DBR($I$9,$J$13,$J$15,$J$14,S$20,$J$16,$J$17,$I55,S$21)</f>
        <v>*KEY_ERR</v>
      </c>
      <c r="T55" s="7" t="str">
        <f ca="1">_xll.DBR($I$9,$J$13,$J$15,$J$14,T$20,$J$16,$J$17,$I55,T$21)</f>
        <v>*KEY_ERR</v>
      </c>
      <c r="U55" s="7" t="str">
        <f ca="1">_xll.DBR($I$9,$J$13,$J$15,$J$14,U$20,$J$16,$J$17,$I55,U$21)</f>
        <v>*KEY_ERR</v>
      </c>
      <c r="V55" s="7">
        <f ca="1">_xll.DBR($I$9,$J$13,$J$15,$J$14,V$20,$J$16,$J$17,$I55,V$21)</f>
        <v>0</v>
      </c>
      <c r="W55" s="7">
        <f ca="1">_xll.DBR($I$9,$J$13,$J$15,$J$14,W$20,$J$16,$J$17,$I55,W$21)</f>
        <v>0</v>
      </c>
      <c r="X55" s="7">
        <f ca="1">_xll.DBR($I$9,$J$13,$J$15,$J$14,X$20,$J$16,$J$17,$I55,X$21)</f>
        <v>0</v>
      </c>
      <c r="Y55" s="7">
        <f ca="1">_xll.DBR($I$9,$J$13,$J$15,$J$14,Y$20,$J$16,$J$17,$I55,Y$21)</f>
        <v>0</v>
      </c>
      <c r="Z55" s="7">
        <f ca="1">_xll.DBR($I$9,$J$13,$J$15,$J$14,Z$20,$J$16,$J$17,$I55,Z$21)</f>
        <v>0</v>
      </c>
      <c r="AA55" s="7">
        <f ca="1">_xll.DBR($I$9,$J$13,$J$15,$J$14,AA$20,$J$16,$J$17,$I55,AA$21)</f>
        <v>0</v>
      </c>
      <c r="AB55" s="7">
        <f ca="1">_xll.DBR($I$9,$J$13,$J$15,$J$14,AB$20,$J$16,$J$17,$I55,AB$21)</f>
        <v>0</v>
      </c>
      <c r="AC55" s="7">
        <f ca="1">_xll.DBR($I$9,$J$13,$J$15,$J$14,AC$20,$J$16,$J$17,$I55,AC$21)</f>
        <v>0</v>
      </c>
      <c r="AD55" s="7">
        <f ca="1">_xll.DBR($I$9,$J$13,$J$15,$J$14,AD$20,$J$16,$J$17,$I55,AD$21)</f>
        <v>0</v>
      </c>
    </row>
    <row r="56" spans="1:30" x14ac:dyDescent="0.25">
      <c r="A56">
        <f ca="1">IF(_xll.TM1RPTELISCONSOLIDATED($I$22,$I56),IF(_xll.TM1RPTELLEV($I$22,$I56)&lt;=3,_xll.TM1RPTELLEV($I$22,$I56),"D"),"N")</f>
        <v>3</v>
      </c>
      <c r="I56" s="22" t="s">
        <v>189</v>
      </c>
      <c r="J56" s="7">
        <f ca="1">_xll.DBR($I$9,$J$13,$J$15,$J$14,J$20,$J$16,$J$17,$I56,J$21)</f>
        <v>0</v>
      </c>
      <c r="K56" s="7">
        <f ca="1">_xll.DBR($I$9,$J$13,$J$15,$J$14,K$20,$J$16,$J$17,$I56,K$21)</f>
        <v>0</v>
      </c>
      <c r="L56" s="7">
        <f ca="1">_xll.DBRW($I$9,$J$13,$J$15,$J$14,L$20,$J$16,$J$17,$I56,L$21)</f>
        <v>0</v>
      </c>
      <c r="M56" s="7">
        <f ca="1">_xll.DBRW($I$9,$J$13,$J$15,$J$14,M$20,$J$16,$J$17,$I56,M$21)</f>
        <v>0</v>
      </c>
      <c r="N56" s="7">
        <f ca="1">_xll.DBRW($I$9,$J$13,$J$15,$J$14,N$20,$J$16,$J$17,$I56,N$21)</f>
        <v>0</v>
      </c>
      <c r="O56" s="7">
        <f ca="1">_xll.DBRW($I$9,$J$13,$J$15,$J$14,O$20,$J$16,$J$17,$I56,O$21)</f>
        <v>0</v>
      </c>
      <c r="P56" s="7">
        <f ca="1">_xll.DBRW($I$9,$J$13,$J$15,$J$14,P$20,$J$16,$J$17,$I56,P$21)</f>
        <v>0</v>
      </c>
      <c r="Q56" s="7">
        <f ca="1">_xll.DBRW($I$9,$J$13,$J$15,$J$14,Q$20,$J$16,$J$17,$I56,Q$21)</f>
        <v>0</v>
      </c>
      <c r="R56" s="7">
        <f ca="1">_xll.DBRW($I$9,$J$13,$J$15,$J$14,R$20,$J$16,$J$17,$I56,R$21)</f>
        <v>0</v>
      </c>
      <c r="S56" s="7" t="str">
        <f ca="1">_xll.DBR($I$9,$J$13,$J$15,$J$14,S$20,$J$16,$J$17,$I56,S$21)</f>
        <v>*KEY_ERR</v>
      </c>
      <c r="T56" s="7" t="str">
        <f ca="1">_xll.DBR($I$9,$J$13,$J$15,$J$14,T$20,$J$16,$J$17,$I56,T$21)</f>
        <v>*KEY_ERR</v>
      </c>
      <c r="U56" s="7" t="str">
        <f ca="1">_xll.DBR($I$9,$J$13,$J$15,$J$14,U$20,$J$16,$J$17,$I56,U$21)</f>
        <v>*KEY_ERR</v>
      </c>
      <c r="V56" s="7">
        <f ca="1">_xll.DBR($I$9,$J$13,$J$15,$J$14,V$20,$J$16,$J$17,$I56,V$21)</f>
        <v>0</v>
      </c>
      <c r="W56" s="7">
        <f ca="1">_xll.DBR($I$9,$J$13,$J$15,$J$14,W$20,$J$16,$J$17,$I56,W$21)</f>
        <v>0</v>
      </c>
      <c r="X56" s="7">
        <f ca="1">_xll.DBR($I$9,$J$13,$J$15,$J$14,X$20,$J$16,$J$17,$I56,X$21)</f>
        <v>0</v>
      </c>
      <c r="Y56" s="7">
        <f ca="1">_xll.DBR($I$9,$J$13,$J$15,$J$14,Y$20,$J$16,$J$17,$I56,Y$21)</f>
        <v>0</v>
      </c>
      <c r="Z56" s="7">
        <f ca="1">_xll.DBR($I$9,$J$13,$J$15,$J$14,Z$20,$J$16,$J$17,$I56,Z$21)</f>
        <v>0</v>
      </c>
      <c r="AA56" s="7">
        <f ca="1">_xll.DBR($I$9,$J$13,$J$15,$J$14,AA$20,$J$16,$J$17,$I56,AA$21)</f>
        <v>0</v>
      </c>
      <c r="AB56" s="7">
        <f ca="1">_xll.DBR($I$9,$J$13,$J$15,$J$14,AB$20,$J$16,$J$17,$I56,AB$21)</f>
        <v>0</v>
      </c>
      <c r="AC56" s="7">
        <f ca="1">_xll.DBR($I$9,$J$13,$J$15,$J$14,AC$20,$J$16,$J$17,$I56,AC$21)</f>
        <v>0</v>
      </c>
      <c r="AD56" s="7">
        <f ca="1">_xll.DBR($I$9,$J$13,$J$15,$J$14,AD$20,$J$16,$J$17,$I56,AD$21)</f>
        <v>0</v>
      </c>
    </row>
    <row r="57" spans="1:30" x14ac:dyDescent="0.25">
      <c r="A57">
        <f ca="1">IF(_xll.TM1RPTELISCONSOLIDATED($I$22,$I57),IF(_xll.TM1RPTELLEV($I$22,$I57)&lt;=3,_xll.TM1RPTELLEV($I$22,$I57),"D"),"N")</f>
        <v>2</v>
      </c>
      <c r="I57" s="17" t="s">
        <v>49</v>
      </c>
      <c r="J57" s="3">
        <f ca="1">_xll.DBR($I$9,$J$13,$J$15,$J$14,J$20,$J$16,$J$17,$I57,J$21)</f>
        <v>0</v>
      </c>
      <c r="K57" s="3">
        <f ca="1">_xll.DBR($I$9,$J$13,$J$15,$J$14,K$20,$J$16,$J$17,$I57,K$21)</f>
        <v>0</v>
      </c>
      <c r="L57" s="3">
        <f ca="1">_xll.DBRW($I$9,$J$13,$J$15,$J$14,L$20,$J$16,$J$17,$I57,L$21)</f>
        <v>0</v>
      </c>
      <c r="M57" s="3">
        <f ca="1">_xll.DBRW($I$9,$J$13,$J$15,$J$14,M$20,$J$16,$J$17,$I57,M$21)</f>
        <v>0</v>
      </c>
      <c r="N57" s="3">
        <f ca="1">_xll.DBRW($I$9,$J$13,$J$15,$J$14,N$20,$J$16,$J$17,$I57,N$21)</f>
        <v>0</v>
      </c>
      <c r="O57" s="3">
        <f ca="1">_xll.DBRW($I$9,$J$13,$J$15,$J$14,O$20,$J$16,$J$17,$I57,O$21)</f>
        <v>0</v>
      </c>
      <c r="P57" s="3">
        <f ca="1">_xll.DBRW($I$9,$J$13,$J$15,$J$14,P$20,$J$16,$J$17,$I57,P$21)</f>
        <v>0</v>
      </c>
      <c r="Q57" s="3">
        <f ca="1">_xll.DBRW($I$9,$J$13,$J$15,$J$14,Q$20,$J$16,$J$17,$I57,Q$21)</f>
        <v>0</v>
      </c>
      <c r="R57" s="3">
        <f ca="1">_xll.DBRW($I$9,$J$13,$J$15,$J$14,R$20,$J$16,$J$17,$I57,R$21)</f>
        <v>0</v>
      </c>
      <c r="S57" s="3" t="str">
        <f ca="1">_xll.DBR($I$9,$J$13,$J$15,$J$14,S$20,$J$16,$J$17,$I57,S$21)</f>
        <v>*KEY_ERR</v>
      </c>
      <c r="T57" s="3" t="str">
        <f ca="1">_xll.DBR($I$9,$J$13,$J$15,$J$14,T$20,$J$16,$J$17,$I57,T$21)</f>
        <v>*KEY_ERR</v>
      </c>
      <c r="U57" s="3" t="str">
        <f ca="1">_xll.DBR($I$9,$J$13,$J$15,$J$14,U$20,$J$16,$J$17,$I57,U$21)</f>
        <v>*KEY_ERR</v>
      </c>
      <c r="V57" s="3">
        <f ca="1">_xll.DBR($I$9,$J$13,$J$15,$J$14,V$20,$J$16,$J$17,$I57,V$21)</f>
        <v>0</v>
      </c>
      <c r="W57" s="3">
        <f ca="1">_xll.DBR($I$9,$J$13,$J$15,$J$14,W$20,$J$16,$J$17,$I57,W$21)</f>
        <v>0</v>
      </c>
      <c r="X57" s="3">
        <f ca="1">_xll.DBR($I$9,$J$13,$J$15,$J$14,X$20,$J$16,$J$17,$I57,X$21)</f>
        <v>0</v>
      </c>
      <c r="Y57" s="3">
        <f ca="1">_xll.DBR($I$9,$J$13,$J$15,$J$14,Y$20,$J$16,$J$17,$I57,Y$21)</f>
        <v>0</v>
      </c>
      <c r="Z57" s="3">
        <f ca="1">_xll.DBR($I$9,$J$13,$J$15,$J$14,Z$20,$J$16,$J$17,$I57,Z$21)</f>
        <v>0</v>
      </c>
      <c r="AA57" s="3">
        <f ca="1">_xll.DBR($I$9,$J$13,$J$15,$J$14,AA$20,$J$16,$J$17,$I57,AA$21)</f>
        <v>0</v>
      </c>
      <c r="AB57" s="3">
        <f ca="1">_xll.DBR($I$9,$J$13,$J$15,$J$14,AB$20,$J$16,$J$17,$I57,AB$21)</f>
        <v>0</v>
      </c>
      <c r="AC57" s="3">
        <f ca="1">_xll.DBR($I$9,$J$13,$J$15,$J$14,AC$20,$J$16,$J$17,$I57,AC$21)</f>
        <v>0</v>
      </c>
      <c r="AD57" s="3">
        <f ca="1">_xll.DBR($I$9,$J$13,$J$15,$J$14,AD$20,$J$16,$J$17,$I57,AD$21)</f>
        <v>0</v>
      </c>
    </row>
    <row r="58" spans="1:30" x14ac:dyDescent="0.25">
      <c r="A58">
        <f ca="1">IF(_xll.TM1RPTELISCONSOLIDATED($I$22,$I58),IF(_xll.TM1RPTELLEV($I$22,$I58)&lt;=3,_xll.TM1RPTELLEV($I$22,$I58),"D"),"N")</f>
        <v>3</v>
      </c>
      <c r="I58" s="22" t="s">
        <v>50</v>
      </c>
      <c r="J58" s="7">
        <f ca="1">_xll.DBR($I$9,$J$13,$J$15,$J$14,J$20,$J$16,$J$17,$I58,J$21)</f>
        <v>0</v>
      </c>
      <c r="K58" s="7">
        <f ca="1">_xll.DBR($I$9,$J$13,$J$15,$J$14,K$20,$J$16,$J$17,$I58,K$21)</f>
        <v>0</v>
      </c>
      <c r="L58" s="7">
        <f ca="1">_xll.DBRW($I$9,$J$13,$J$15,$J$14,L$20,$J$16,$J$17,$I58,L$21)</f>
        <v>0</v>
      </c>
      <c r="M58" s="7">
        <f ca="1">_xll.DBRW($I$9,$J$13,$J$15,$J$14,M$20,$J$16,$J$17,$I58,M$21)</f>
        <v>0</v>
      </c>
      <c r="N58" s="7">
        <f ca="1">_xll.DBRW($I$9,$J$13,$J$15,$J$14,N$20,$J$16,$J$17,$I58,N$21)</f>
        <v>0</v>
      </c>
      <c r="O58" s="7">
        <f ca="1">_xll.DBRW($I$9,$J$13,$J$15,$J$14,O$20,$J$16,$J$17,$I58,O$21)</f>
        <v>0</v>
      </c>
      <c r="P58" s="7">
        <f ca="1">_xll.DBRW($I$9,$J$13,$J$15,$J$14,P$20,$J$16,$J$17,$I58,P$21)</f>
        <v>0</v>
      </c>
      <c r="Q58" s="7">
        <f ca="1">_xll.DBRW($I$9,$J$13,$J$15,$J$14,Q$20,$J$16,$J$17,$I58,Q$21)</f>
        <v>0</v>
      </c>
      <c r="R58" s="7">
        <f ca="1">_xll.DBRW($I$9,$J$13,$J$15,$J$14,R$20,$J$16,$J$17,$I58,R$21)</f>
        <v>0</v>
      </c>
      <c r="S58" s="7" t="str">
        <f ca="1">_xll.DBR($I$9,$J$13,$J$15,$J$14,S$20,$J$16,$J$17,$I58,S$21)</f>
        <v>*KEY_ERR</v>
      </c>
      <c r="T58" s="7" t="str">
        <f ca="1">_xll.DBR($I$9,$J$13,$J$15,$J$14,T$20,$J$16,$J$17,$I58,T$21)</f>
        <v>*KEY_ERR</v>
      </c>
      <c r="U58" s="7" t="str">
        <f ca="1">_xll.DBR($I$9,$J$13,$J$15,$J$14,U$20,$J$16,$J$17,$I58,U$21)</f>
        <v>*KEY_ERR</v>
      </c>
      <c r="V58" s="7">
        <f ca="1">_xll.DBR($I$9,$J$13,$J$15,$J$14,V$20,$J$16,$J$17,$I58,V$21)</f>
        <v>0</v>
      </c>
      <c r="W58" s="7">
        <f ca="1">_xll.DBR($I$9,$J$13,$J$15,$J$14,W$20,$J$16,$J$17,$I58,W$21)</f>
        <v>0</v>
      </c>
      <c r="X58" s="7">
        <f ca="1">_xll.DBR($I$9,$J$13,$J$15,$J$14,X$20,$J$16,$J$17,$I58,X$21)</f>
        <v>0</v>
      </c>
      <c r="Y58" s="7">
        <f ca="1">_xll.DBR($I$9,$J$13,$J$15,$J$14,Y$20,$J$16,$J$17,$I58,Y$21)</f>
        <v>0</v>
      </c>
      <c r="Z58" s="7">
        <f ca="1">_xll.DBR($I$9,$J$13,$J$15,$J$14,Z$20,$J$16,$J$17,$I58,Z$21)</f>
        <v>0</v>
      </c>
      <c r="AA58" s="7">
        <f ca="1">_xll.DBR($I$9,$J$13,$J$15,$J$14,AA$20,$J$16,$J$17,$I58,AA$21)</f>
        <v>0</v>
      </c>
      <c r="AB58" s="7">
        <f ca="1">_xll.DBR($I$9,$J$13,$J$15,$J$14,AB$20,$J$16,$J$17,$I58,AB$21)</f>
        <v>0</v>
      </c>
      <c r="AC58" s="7">
        <f ca="1">_xll.DBR($I$9,$J$13,$J$15,$J$14,AC$20,$J$16,$J$17,$I58,AC$21)</f>
        <v>0</v>
      </c>
      <c r="AD58" s="7">
        <f ca="1">_xll.DBR($I$9,$J$13,$J$15,$J$14,AD$20,$J$16,$J$17,$I58,AD$21)</f>
        <v>0</v>
      </c>
    </row>
    <row r="59" spans="1:30" x14ac:dyDescent="0.25">
      <c r="A59">
        <f ca="1">IF(_xll.TM1RPTELISCONSOLIDATED($I$22,$I59),IF(_xll.TM1RPTELLEV($I$22,$I59)&lt;=3,_xll.TM1RPTELLEV($I$22,$I59),"D"),"N")</f>
        <v>3</v>
      </c>
      <c r="I59" s="23" t="s">
        <v>51</v>
      </c>
      <c r="J59" s="7">
        <f ca="1">_xll.DBR($I$9,$J$13,$J$15,$J$14,J$20,$J$16,$J$17,$I59,J$21)</f>
        <v>0</v>
      </c>
      <c r="K59" s="7">
        <f ca="1">_xll.DBR($I$9,$J$13,$J$15,$J$14,K$20,$J$16,$J$17,$I59,K$21)</f>
        <v>0</v>
      </c>
      <c r="L59" s="7">
        <f ca="1">_xll.DBRW($I$9,$J$13,$J$15,$J$14,L$20,$J$16,$J$17,$I59,L$21)</f>
        <v>0</v>
      </c>
      <c r="M59" s="7">
        <f ca="1">_xll.DBRW($I$9,$J$13,$J$15,$J$14,M$20,$J$16,$J$17,$I59,M$21)</f>
        <v>0</v>
      </c>
      <c r="N59" s="7">
        <f ca="1">_xll.DBRW($I$9,$J$13,$J$15,$J$14,N$20,$J$16,$J$17,$I59,N$21)</f>
        <v>0</v>
      </c>
      <c r="O59" s="7">
        <f ca="1">_xll.DBRW($I$9,$J$13,$J$15,$J$14,O$20,$J$16,$J$17,$I59,O$21)</f>
        <v>0</v>
      </c>
      <c r="P59" s="7">
        <f ca="1">_xll.DBRW($I$9,$J$13,$J$15,$J$14,P$20,$J$16,$J$17,$I59,P$21)</f>
        <v>0</v>
      </c>
      <c r="Q59" s="7">
        <f ca="1">_xll.DBRW($I$9,$J$13,$J$15,$J$14,Q$20,$J$16,$J$17,$I59,Q$21)</f>
        <v>0</v>
      </c>
      <c r="R59" s="7">
        <f ca="1">_xll.DBRW($I$9,$J$13,$J$15,$J$14,R$20,$J$16,$J$17,$I59,R$21)</f>
        <v>0</v>
      </c>
      <c r="S59" s="7" t="str">
        <f ca="1">_xll.DBR($I$9,$J$13,$J$15,$J$14,S$20,$J$16,$J$17,$I59,S$21)</f>
        <v>*KEY_ERR</v>
      </c>
      <c r="T59" s="7" t="str">
        <f ca="1">_xll.DBR($I$9,$J$13,$J$15,$J$14,T$20,$J$16,$J$17,$I59,T$21)</f>
        <v>*KEY_ERR</v>
      </c>
      <c r="U59" s="7" t="str">
        <f ca="1">_xll.DBR($I$9,$J$13,$J$15,$J$14,U$20,$J$16,$J$17,$I59,U$21)</f>
        <v>*KEY_ERR</v>
      </c>
      <c r="V59" s="7">
        <f ca="1">_xll.DBR($I$9,$J$13,$J$15,$J$14,V$20,$J$16,$J$17,$I59,V$21)</f>
        <v>0</v>
      </c>
      <c r="W59" s="7">
        <f ca="1">_xll.DBR($I$9,$J$13,$J$15,$J$14,W$20,$J$16,$J$17,$I59,W$21)</f>
        <v>0</v>
      </c>
      <c r="X59" s="7">
        <f ca="1">_xll.DBR($I$9,$J$13,$J$15,$J$14,X$20,$J$16,$J$17,$I59,X$21)</f>
        <v>0</v>
      </c>
      <c r="Y59" s="7">
        <f ca="1">_xll.DBR($I$9,$J$13,$J$15,$J$14,Y$20,$J$16,$J$17,$I59,Y$21)</f>
        <v>0</v>
      </c>
      <c r="Z59" s="7">
        <f ca="1">_xll.DBR($I$9,$J$13,$J$15,$J$14,Z$20,$J$16,$J$17,$I59,Z$21)</f>
        <v>0</v>
      </c>
      <c r="AA59" s="7">
        <f ca="1">_xll.DBR($I$9,$J$13,$J$15,$J$14,AA$20,$J$16,$J$17,$I59,AA$21)</f>
        <v>0</v>
      </c>
      <c r="AB59" s="7">
        <f ca="1">_xll.DBR($I$9,$J$13,$J$15,$J$14,AB$20,$J$16,$J$17,$I59,AB$21)</f>
        <v>0</v>
      </c>
      <c r="AC59" s="7">
        <f ca="1">_xll.DBR($I$9,$J$13,$J$15,$J$14,AC$20,$J$16,$J$17,$I59,AC$21)</f>
        <v>0</v>
      </c>
      <c r="AD59" s="7">
        <f ca="1">_xll.DBR($I$9,$J$13,$J$15,$J$14,AD$20,$J$16,$J$17,$I59,AD$21)</f>
        <v>0</v>
      </c>
    </row>
    <row r="60" spans="1:30" x14ac:dyDescent="0.25">
      <c r="A60" t="str">
        <f ca="1">IF(_xll.TM1RPTELISCONSOLIDATED($I$22,$I60),IF(_xll.TM1RPTELLEV($I$22,$I60)&lt;=3,_xll.TM1RPTELLEV($I$22,$I60),"D"),"N")</f>
        <v>D</v>
      </c>
      <c r="I60" s="18" t="s">
        <v>52</v>
      </c>
      <c r="J60" s="9">
        <f ca="1">_xll.DBR($I$9,$J$13,$J$15,$J$14,J$20,$J$16,$J$17,$I60,J$21)</f>
        <v>0</v>
      </c>
      <c r="K60" s="9">
        <f ca="1">_xll.DBR($I$9,$J$13,$J$15,$J$14,K$20,$J$16,$J$17,$I60,K$21)</f>
        <v>0</v>
      </c>
      <c r="L60" s="9">
        <f ca="1">_xll.DBRW($I$9,$J$13,$J$15,$J$14,L$20,$J$16,$J$17,$I60,L$21)</f>
        <v>0</v>
      </c>
      <c r="M60" s="9">
        <f ca="1">_xll.DBRW($I$9,$J$13,$J$15,$J$14,M$20,$J$16,$J$17,$I60,M$21)</f>
        <v>0</v>
      </c>
      <c r="N60" s="9">
        <f ca="1">_xll.DBRW($I$9,$J$13,$J$15,$J$14,N$20,$J$16,$J$17,$I60,N$21)</f>
        <v>0</v>
      </c>
      <c r="O60" s="9">
        <f ca="1">_xll.DBRW($I$9,$J$13,$J$15,$J$14,O$20,$J$16,$J$17,$I60,O$21)</f>
        <v>0</v>
      </c>
      <c r="P60" s="9">
        <f ca="1">_xll.DBRW($I$9,$J$13,$J$15,$J$14,P$20,$J$16,$J$17,$I60,P$21)</f>
        <v>0</v>
      </c>
      <c r="Q60" s="9">
        <f ca="1">_xll.DBRW($I$9,$J$13,$J$15,$J$14,Q$20,$J$16,$J$17,$I60,Q$21)</f>
        <v>0</v>
      </c>
      <c r="R60" s="9">
        <f ca="1">_xll.DBRW($I$9,$J$13,$J$15,$J$14,R$20,$J$16,$J$17,$I60,R$21)</f>
        <v>0</v>
      </c>
      <c r="S60" s="9" t="str">
        <f ca="1">_xll.DBR($I$9,$J$13,$J$15,$J$14,S$20,$J$16,$J$17,$I60,S$21)</f>
        <v>*KEY_ERR</v>
      </c>
      <c r="T60" s="9" t="str">
        <f ca="1">_xll.DBR($I$9,$J$13,$J$15,$J$14,T$20,$J$16,$J$17,$I60,T$21)</f>
        <v>*KEY_ERR</v>
      </c>
      <c r="U60" s="9" t="str">
        <f ca="1">_xll.DBR($I$9,$J$13,$J$15,$J$14,U$20,$J$16,$J$17,$I60,U$21)</f>
        <v>*KEY_ERR</v>
      </c>
      <c r="V60" s="9">
        <f ca="1">_xll.DBR($I$9,$J$13,$J$15,$J$14,V$20,$J$16,$J$17,$I60,V$21)</f>
        <v>0</v>
      </c>
      <c r="W60" s="9">
        <f ca="1">_xll.DBR($I$9,$J$13,$J$15,$J$14,W$20,$J$16,$J$17,$I60,W$21)</f>
        <v>0</v>
      </c>
      <c r="X60" s="9">
        <f ca="1">_xll.DBR($I$9,$J$13,$J$15,$J$14,X$20,$J$16,$J$17,$I60,X$21)</f>
        <v>0</v>
      </c>
      <c r="Y60" s="9">
        <f ca="1">_xll.DBR($I$9,$J$13,$J$15,$J$14,Y$20,$J$16,$J$17,$I60,Y$21)</f>
        <v>0</v>
      </c>
      <c r="Z60" s="9">
        <f ca="1">_xll.DBR($I$9,$J$13,$J$15,$J$14,Z$20,$J$16,$J$17,$I60,Z$21)</f>
        <v>0</v>
      </c>
      <c r="AA60" s="9">
        <f ca="1">_xll.DBR($I$9,$J$13,$J$15,$J$14,AA$20,$J$16,$J$17,$I60,AA$21)</f>
        <v>0</v>
      </c>
      <c r="AB60" s="9">
        <f ca="1">_xll.DBR($I$9,$J$13,$J$15,$J$14,AB$20,$J$16,$J$17,$I60,AB$21)</f>
        <v>0</v>
      </c>
      <c r="AC60" s="9">
        <f ca="1">_xll.DBR($I$9,$J$13,$J$15,$J$14,AC$20,$J$16,$J$17,$I60,AC$21)</f>
        <v>0</v>
      </c>
      <c r="AD60" s="9">
        <f ca="1">_xll.DBR($I$9,$J$13,$J$15,$J$14,AD$20,$J$16,$J$17,$I60,AD$21)</f>
        <v>0</v>
      </c>
    </row>
    <row r="61" spans="1:30" x14ac:dyDescent="0.25">
      <c r="A61" t="str">
        <f ca="1">IF(_xll.TM1RPTELISCONSOLIDATED($I$22,$I61),IF(_xll.TM1RPTELLEV($I$22,$I61)&lt;=3,_xll.TM1RPTELLEV($I$22,$I61),"D"),"N")</f>
        <v>D</v>
      </c>
      <c r="I61" s="18" t="s">
        <v>53</v>
      </c>
      <c r="J61" s="9">
        <f ca="1">_xll.DBR($I$9,$J$13,$J$15,$J$14,J$20,$J$16,$J$17,$I61,J$21)</f>
        <v>0</v>
      </c>
      <c r="K61" s="9">
        <f ca="1">_xll.DBR($I$9,$J$13,$J$15,$J$14,K$20,$J$16,$J$17,$I61,K$21)</f>
        <v>0</v>
      </c>
      <c r="L61" s="9">
        <f ca="1">_xll.DBRW($I$9,$J$13,$J$15,$J$14,L$20,$J$16,$J$17,$I61,L$21)</f>
        <v>0</v>
      </c>
      <c r="M61" s="9">
        <f ca="1">_xll.DBRW($I$9,$J$13,$J$15,$J$14,M$20,$J$16,$J$17,$I61,M$21)</f>
        <v>0</v>
      </c>
      <c r="N61" s="9">
        <f ca="1">_xll.DBRW($I$9,$J$13,$J$15,$J$14,N$20,$J$16,$J$17,$I61,N$21)</f>
        <v>0</v>
      </c>
      <c r="O61" s="9">
        <f ca="1">_xll.DBRW($I$9,$J$13,$J$15,$J$14,O$20,$J$16,$J$17,$I61,O$21)</f>
        <v>0</v>
      </c>
      <c r="P61" s="9">
        <f ca="1">_xll.DBRW($I$9,$J$13,$J$15,$J$14,P$20,$J$16,$J$17,$I61,P$21)</f>
        <v>0</v>
      </c>
      <c r="Q61" s="9">
        <f ca="1">_xll.DBRW($I$9,$J$13,$J$15,$J$14,Q$20,$J$16,$J$17,$I61,Q$21)</f>
        <v>0</v>
      </c>
      <c r="R61" s="9">
        <f ca="1">_xll.DBRW($I$9,$J$13,$J$15,$J$14,R$20,$J$16,$J$17,$I61,R$21)</f>
        <v>0</v>
      </c>
      <c r="S61" s="9" t="str">
        <f ca="1">_xll.DBR($I$9,$J$13,$J$15,$J$14,S$20,$J$16,$J$17,$I61,S$21)</f>
        <v>*KEY_ERR</v>
      </c>
      <c r="T61" s="9" t="str">
        <f ca="1">_xll.DBR($I$9,$J$13,$J$15,$J$14,T$20,$J$16,$J$17,$I61,T$21)</f>
        <v>*KEY_ERR</v>
      </c>
      <c r="U61" s="9" t="str">
        <f ca="1">_xll.DBR($I$9,$J$13,$J$15,$J$14,U$20,$J$16,$J$17,$I61,U$21)</f>
        <v>*KEY_ERR</v>
      </c>
      <c r="V61" s="9">
        <f ca="1">_xll.DBR($I$9,$J$13,$J$15,$J$14,V$20,$J$16,$J$17,$I61,V$21)</f>
        <v>0</v>
      </c>
      <c r="W61" s="9">
        <f ca="1">_xll.DBR($I$9,$J$13,$J$15,$J$14,W$20,$J$16,$J$17,$I61,W$21)</f>
        <v>0</v>
      </c>
      <c r="X61" s="9">
        <f ca="1">_xll.DBR($I$9,$J$13,$J$15,$J$14,X$20,$J$16,$J$17,$I61,X$21)</f>
        <v>0</v>
      </c>
      <c r="Y61" s="9">
        <f ca="1">_xll.DBR($I$9,$J$13,$J$15,$J$14,Y$20,$J$16,$J$17,$I61,Y$21)</f>
        <v>0</v>
      </c>
      <c r="Z61" s="9">
        <f ca="1">_xll.DBR($I$9,$J$13,$J$15,$J$14,Z$20,$J$16,$J$17,$I61,Z$21)</f>
        <v>0</v>
      </c>
      <c r="AA61" s="9">
        <f ca="1">_xll.DBR($I$9,$J$13,$J$15,$J$14,AA$20,$J$16,$J$17,$I61,AA$21)</f>
        <v>0</v>
      </c>
      <c r="AB61" s="9">
        <f ca="1">_xll.DBR($I$9,$J$13,$J$15,$J$14,AB$20,$J$16,$J$17,$I61,AB$21)</f>
        <v>0</v>
      </c>
      <c r="AC61" s="9">
        <f ca="1">_xll.DBR($I$9,$J$13,$J$15,$J$14,AC$20,$J$16,$J$17,$I61,AC$21)</f>
        <v>0</v>
      </c>
      <c r="AD61" s="9">
        <f ca="1">_xll.DBR($I$9,$J$13,$J$15,$J$14,AD$20,$J$16,$J$17,$I61,AD$21)</f>
        <v>0</v>
      </c>
    </row>
    <row r="62" spans="1:30" x14ac:dyDescent="0.25">
      <c r="A62" t="str">
        <f ca="1">IF(_xll.TM1RPTELISCONSOLIDATED($I$22,$I62),IF(_xll.TM1RPTELLEV($I$22,$I62)&lt;=3,_xll.TM1RPTELLEV($I$22,$I62),"D"),"N")</f>
        <v>D</v>
      </c>
      <c r="I62" s="18" t="s">
        <v>54</v>
      </c>
      <c r="J62" s="9">
        <f ca="1">_xll.DBR($I$9,$J$13,$J$15,$J$14,J$20,$J$16,$J$17,$I62,J$21)</f>
        <v>0</v>
      </c>
      <c r="K62" s="9">
        <f ca="1">_xll.DBR($I$9,$J$13,$J$15,$J$14,K$20,$J$16,$J$17,$I62,K$21)</f>
        <v>0</v>
      </c>
      <c r="L62" s="9">
        <f ca="1">_xll.DBRW($I$9,$J$13,$J$15,$J$14,L$20,$J$16,$J$17,$I62,L$21)</f>
        <v>0</v>
      </c>
      <c r="M62" s="9">
        <f ca="1">_xll.DBRW($I$9,$J$13,$J$15,$J$14,M$20,$J$16,$J$17,$I62,M$21)</f>
        <v>0</v>
      </c>
      <c r="N62" s="9">
        <f ca="1">_xll.DBRW($I$9,$J$13,$J$15,$J$14,N$20,$J$16,$J$17,$I62,N$21)</f>
        <v>0</v>
      </c>
      <c r="O62" s="9">
        <f ca="1">_xll.DBRW($I$9,$J$13,$J$15,$J$14,O$20,$J$16,$J$17,$I62,O$21)</f>
        <v>0</v>
      </c>
      <c r="P62" s="9">
        <f ca="1">_xll.DBRW($I$9,$J$13,$J$15,$J$14,P$20,$J$16,$J$17,$I62,P$21)</f>
        <v>0</v>
      </c>
      <c r="Q62" s="9">
        <f ca="1">_xll.DBRW($I$9,$J$13,$J$15,$J$14,Q$20,$J$16,$J$17,$I62,Q$21)</f>
        <v>0</v>
      </c>
      <c r="R62" s="9">
        <f ca="1">_xll.DBRW($I$9,$J$13,$J$15,$J$14,R$20,$J$16,$J$17,$I62,R$21)</f>
        <v>0</v>
      </c>
      <c r="S62" s="9" t="str">
        <f ca="1">_xll.DBR($I$9,$J$13,$J$15,$J$14,S$20,$J$16,$J$17,$I62,S$21)</f>
        <v>*KEY_ERR</v>
      </c>
      <c r="T62" s="9" t="str">
        <f ca="1">_xll.DBR($I$9,$J$13,$J$15,$J$14,T$20,$J$16,$J$17,$I62,T$21)</f>
        <v>*KEY_ERR</v>
      </c>
      <c r="U62" s="9" t="str">
        <f ca="1">_xll.DBR($I$9,$J$13,$J$15,$J$14,U$20,$J$16,$J$17,$I62,U$21)</f>
        <v>*KEY_ERR</v>
      </c>
      <c r="V62" s="9">
        <f ca="1">_xll.DBR($I$9,$J$13,$J$15,$J$14,V$20,$J$16,$J$17,$I62,V$21)</f>
        <v>0</v>
      </c>
      <c r="W62" s="9">
        <f ca="1">_xll.DBR($I$9,$J$13,$J$15,$J$14,W$20,$J$16,$J$17,$I62,W$21)</f>
        <v>0</v>
      </c>
      <c r="X62" s="9">
        <f ca="1">_xll.DBR($I$9,$J$13,$J$15,$J$14,X$20,$J$16,$J$17,$I62,X$21)</f>
        <v>0</v>
      </c>
      <c r="Y62" s="9">
        <f ca="1">_xll.DBR($I$9,$J$13,$J$15,$J$14,Y$20,$J$16,$J$17,$I62,Y$21)</f>
        <v>0</v>
      </c>
      <c r="Z62" s="9">
        <f ca="1">_xll.DBR($I$9,$J$13,$J$15,$J$14,Z$20,$J$16,$J$17,$I62,Z$21)</f>
        <v>0</v>
      </c>
      <c r="AA62" s="9">
        <f ca="1">_xll.DBR($I$9,$J$13,$J$15,$J$14,AA$20,$J$16,$J$17,$I62,AA$21)</f>
        <v>0</v>
      </c>
      <c r="AB62" s="9">
        <f ca="1">_xll.DBR($I$9,$J$13,$J$15,$J$14,AB$20,$J$16,$J$17,$I62,AB$21)</f>
        <v>0</v>
      </c>
      <c r="AC62" s="9">
        <f ca="1">_xll.DBR($I$9,$J$13,$J$15,$J$14,AC$20,$J$16,$J$17,$I62,AC$21)</f>
        <v>0</v>
      </c>
      <c r="AD62" s="9">
        <f ca="1">_xll.DBR($I$9,$J$13,$J$15,$J$14,AD$20,$J$16,$J$17,$I62,AD$21)</f>
        <v>0</v>
      </c>
    </row>
    <row r="63" spans="1:30" x14ac:dyDescent="0.25">
      <c r="A63" t="str">
        <f ca="1">IF(_xll.TM1RPTELISCONSOLIDATED($I$22,$I63),IF(_xll.TM1RPTELLEV($I$22,$I63)&lt;=3,_xll.TM1RPTELLEV($I$22,$I63),"D"),"N")</f>
        <v>D</v>
      </c>
      <c r="I63" s="18" t="s">
        <v>55</v>
      </c>
      <c r="J63" s="9">
        <f ca="1">_xll.DBR($I$9,$J$13,$J$15,$J$14,J$20,$J$16,$J$17,$I63,J$21)</f>
        <v>0</v>
      </c>
      <c r="K63" s="9">
        <f ca="1">_xll.DBR($I$9,$J$13,$J$15,$J$14,K$20,$J$16,$J$17,$I63,K$21)</f>
        <v>0</v>
      </c>
      <c r="L63" s="9">
        <f ca="1">_xll.DBRW($I$9,$J$13,$J$15,$J$14,L$20,$J$16,$J$17,$I63,L$21)</f>
        <v>0</v>
      </c>
      <c r="M63" s="9">
        <f ca="1">_xll.DBRW($I$9,$J$13,$J$15,$J$14,M$20,$J$16,$J$17,$I63,M$21)</f>
        <v>0</v>
      </c>
      <c r="N63" s="9">
        <f ca="1">_xll.DBRW($I$9,$J$13,$J$15,$J$14,N$20,$J$16,$J$17,$I63,N$21)</f>
        <v>0</v>
      </c>
      <c r="O63" s="9">
        <f ca="1">_xll.DBRW($I$9,$J$13,$J$15,$J$14,O$20,$J$16,$J$17,$I63,O$21)</f>
        <v>0</v>
      </c>
      <c r="P63" s="9">
        <f ca="1">_xll.DBRW($I$9,$J$13,$J$15,$J$14,P$20,$J$16,$J$17,$I63,P$21)</f>
        <v>0</v>
      </c>
      <c r="Q63" s="9">
        <f ca="1">_xll.DBRW($I$9,$J$13,$J$15,$J$14,Q$20,$J$16,$J$17,$I63,Q$21)</f>
        <v>0</v>
      </c>
      <c r="R63" s="9">
        <f ca="1">_xll.DBRW($I$9,$J$13,$J$15,$J$14,R$20,$J$16,$J$17,$I63,R$21)</f>
        <v>0</v>
      </c>
      <c r="S63" s="9" t="str">
        <f ca="1">_xll.DBR($I$9,$J$13,$J$15,$J$14,S$20,$J$16,$J$17,$I63,S$21)</f>
        <v>*KEY_ERR</v>
      </c>
      <c r="T63" s="9" t="str">
        <f ca="1">_xll.DBR($I$9,$J$13,$J$15,$J$14,T$20,$J$16,$J$17,$I63,T$21)</f>
        <v>*KEY_ERR</v>
      </c>
      <c r="U63" s="9" t="str">
        <f ca="1">_xll.DBR($I$9,$J$13,$J$15,$J$14,U$20,$J$16,$J$17,$I63,U$21)</f>
        <v>*KEY_ERR</v>
      </c>
      <c r="V63" s="9">
        <f ca="1">_xll.DBR($I$9,$J$13,$J$15,$J$14,V$20,$J$16,$J$17,$I63,V$21)</f>
        <v>0</v>
      </c>
      <c r="W63" s="9">
        <f ca="1">_xll.DBR($I$9,$J$13,$J$15,$J$14,W$20,$J$16,$J$17,$I63,W$21)</f>
        <v>0</v>
      </c>
      <c r="X63" s="9">
        <f ca="1">_xll.DBR($I$9,$J$13,$J$15,$J$14,X$20,$J$16,$J$17,$I63,X$21)</f>
        <v>0</v>
      </c>
      <c r="Y63" s="9">
        <f ca="1">_xll.DBR($I$9,$J$13,$J$15,$J$14,Y$20,$J$16,$J$17,$I63,Y$21)</f>
        <v>0</v>
      </c>
      <c r="Z63" s="9">
        <f ca="1">_xll.DBR($I$9,$J$13,$J$15,$J$14,Z$20,$J$16,$J$17,$I63,Z$21)</f>
        <v>0</v>
      </c>
      <c r="AA63" s="9">
        <f ca="1">_xll.DBR($I$9,$J$13,$J$15,$J$14,AA$20,$J$16,$J$17,$I63,AA$21)</f>
        <v>0</v>
      </c>
      <c r="AB63" s="9">
        <f ca="1">_xll.DBR($I$9,$J$13,$J$15,$J$14,AB$20,$J$16,$J$17,$I63,AB$21)</f>
        <v>0</v>
      </c>
      <c r="AC63" s="9">
        <f ca="1">_xll.DBR($I$9,$J$13,$J$15,$J$14,AC$20,$J$16,$J$17,$I63,AC$21)</f>
        <v>0</v>
      </c>
      <c r="AD63" s="9">
        <f ca="1">_xll.DBR($I$9,$J$13,$J$15,$J$14,AD$20,$J$16,$J$17,$I63,AD$21)</f>
        <v>0</v>
      </c>
    </row>
    <row r="64" spans="1:30" x14ac:dyDescent="0.25">
      <c r="A64" t="str">
        <f ca="1">IF(_xll.TM1RPTELISCONSOLIDATED($I$22,$I64),IF(_xll.TM1RPTELLEV($I$22,$I64)&lt;=3,_xll.TM1RPTELLEV($I$22,$I64),"D"),"N")</f>
        <v>D</v>
      </c>
      <c r="I64" s="18" t="s">
        <v>56</v>
      </c>
      <c r="J64" s="9">
        <f ca="1">_xll.DBR($I$9,$J$13,$J$15,$J$14,J$20,$J$16,$J$17,$I64,J$21)</f>
        <v>0</v>
      </c>
      <c r="K64" s="9">
        <f ca="1">_xll.DBR($I$9,$J$13,$J$15,$J$14,K$20,$J$16,$J$17,$I64,K$21)</f>
        <v>0</v>
      </c>
      <c r="L64" s="9">
        <f ca="1">_xll.DBRW($I$9,$J$13,$J$15,$J$14,L$20,$J$16,$J$17,$I64,L$21)</f>
        <v>0</v>
      </c>
      <c r="M64" s="9">
        <f ca="1">_xll.DBRW($I$9,$J$13,$J$15,$J$14,M$20,$J$16,$J$17,$I64,M$21)</f>
        <v>0</v>
      </c>
      <c r="N64" s="9">
        <f ca="1">_xll.DBRW($I$9,$J$13,$J$15,$J$14,N$20,$J$16,$J$17,$I64,N$21)</f>
        <v>0</v>
      </c>
      <c r="O64" s="9">
        <f ca="1">_xll.DBRW($I$9,$J$13,$J$15,$J$14,O$20,$J$16,$J$17,$I64,O$21)</f>
        <v>0</v>
      </c>
      <c r="P64" s="9">
        <f ca="1">_xll.DBRW($I$9,$J$13,$J$15,$J$14,P$20,$J$16,$J$17,$I64,P$21)</f>
        <v>0</v>
      </c>
      <c r="Q64" s="9">
        <f ca="1">_xll.DBRW($I$9,$J$13,$J$15,$J$14,Q$20,$J$16,$J$17,$I64,Q$21)</f>
        <v>0</v>
      </c>
      <c r="R64" s="9">
        <f ca="1">_xll.DBRW($I$9,$J$13,$J$15,$J$14,R$20,$J$16,$J$17,$I64,R$21)</f>
        <v>0</v>
      </c>
      <c r="S64" s="9" t="str">
        <f ca="1">_xll.DBR($I$9,$J$13,$J$15,$J$14,S$20,$J$16,$J$17,$I64,S$21)</f>
        <v>*KEY_ERR</v>
      </c>
      <c r="T64" s="9" t="str">
        <f ca="1">_xll.DBR($I$9,$J$13,$J$15,$J$14,T$20,$J$16,$J$17,$I64,T$21)</f>
        <v>*KEY_ERR</v>
      </c>
      <c r="U64" s="9" t="str">
        <f ca="1">_xll.DBR($I$9,$J$13,$J$15,$J$14,U$20,$J$16,$J$17,$I64,U$21)</f>
        <v>*KEY_ERR</v>
      </c>
      <c r="V64" s="9">
        <f ca="1">_xll.DBR($I$9,$J$13,$J$15,$J$14,V$20,$J$16,$J$17,$I64,V$21)</f>
        <v>0</v>
      </c>
      <c r="W64" s="9">
        <f ca="1">_xll.DBR($I$9,$J$13,$J$15,$J$14,W$20,$J$16,$J$17,$I64,W$21)</f>
        <v>0</v>
      </c>
      <c r="X64" s="9">
        <f ca="1">_xll.DBR($I$9,$J$13,$J$15,$J$14,X$20,$J$16,$J$17,$I64,X$21)</f>
        <v>0</v>
      </c>
      <c r="Y64" s="9">
        <f ca="1">_xll.DBR($I$9,$J$13,$J$15,$J$14,Y$20,$J$16,$J$17,$I64,Y$21)</f>
        <v>0</v>
      </c>
      <c r="Z64" s="9">
        <f ca="1">_xll.DBR($I$9,$J$13,$J$15,$J$14,Z$20,$J$16,$J$17,$I64,Z$21)</f>
        <v>0</v>
      </c>
      <c r="AA64" s="9">
        <f ca="1">_xll.DBR($I$9,$J$13,$J$15,$J$14,AA$20,$J$16,$J$17,$I64,AA$21)</f>
        <v>0</v>
      </c>
      <c r="AB64" s="9">
        <f ca="1">_xll.DBR($I$9,$J$13,$J$15,$J$14,AB$20,$J$16,$J$17,$I64,AB$21)</f>
        <v>0</v>
      </c>
      <c r="AC64" s="9">
        <f ca="1">_xll.DBR($I$9,$J$13,$J$15,$J$14,AC$20,$J$16,$J$17,$I64,AC$21)</f>
        <v>0</v>
      </c>
      <c r="AD64" s="9">
        <f ca="1">_xll.DBR($I$9,$J$13,$J$15,$J$14,AD$20,$J$16,$J$17,$I64,AD$21)</f>
        <v>0</v>
      </c>
    </row>
    <row r="65" spans="1:30" x14ac:dyDescent="0.25">
      <c r="A65">
        <f ca="1">IF(_xll.TM1RPTELISCONSOLIDATED($I$22,$I65),IF(_xll.TM1RPTELLEV($I$22,$I65)&lt;=3,_xll.TM1RPTELLEV($I$22,$I65),"D"),"N")</f>
        <v>3</v>
      </c>
      <c r="I65" s="23" t="s">
        <v>57</v>
      </c>
      <c r="J65" s="7">
        <f ca="1">_xll.DBR($I$9,$J$13,$J$15,$J$14,J$20,$J$16,$J$17,$I65,J$21)</f>
        <v>0</v>
      </c>
      <c r="K65" s="7">
        <f ca="1">_xll.DBR($I$9,$J$13,$J$15,$J$14,K$20,$J$16,$J$17,$I65,K$21)</f>
        <v>0</v>
      </c>
      <c r="L65" s="7">
        <f ca="1">_xll.DBRW($I$9,$J$13,$J$15,$J$14,L$20,$J$16,$J$17,$I65,L$21)</f>
        <v>0</v>
      </c>
      <c r="M65" s="7">
        <f ca="1">_xll.DBRW($I$9,$J$13,$J$15,$J$14,M$20,$J$16,$J$17,$I65,M$21)</f>
        <v>0</v>
      </c>
      <c r="N65" s="7">
        <f ca="1">_xll.DBRW($I$9,$J$13,$J$15,$J$14,N$20,$J$16,$J$17,$I65,N$21)</f>
        <v>0</v>
      </c>
      <c r="O65" s="7">
        <f ca="1">_xll.DBRW($I$9,$J$13,$J$15,$J$14,O$20,$J$16,$J$17,$I65,O$21)</f>
        <v>0</v>
      </c>
      <c r="P65" s="7">
        <f ca="1">_xll.DBRW($I$9,$J$13,$J$15,$J$14,P$20,$J$16,$J$17,$I65,P$21)</f>
        <v>0</v>
      </c>
      <c r="Q65" s="7">
        <f ca="1">_xll.DBRW($I$9,$J$13,$J$15,$J$14,Q$20,$J$16,$J$17,$I65,Q$21)</f>
        <v>0</v>
      </c>
      <c r="R65" s="7">
        <f ca="1">_xll.DBRW($I$9,$J$13,$J$15,$J$14,R$20,$J$16,$J$17,$I65,R$21)</f>
        <v>0</v>
      </c>
      <c r="S65" s="7" t="str">
        <f ca="1">_xll.DBR($I$9,$J$13,$J$15,$J$14,S$20,$J$16,$J$17,$I65,S$21)</f>
        <v>*KEY_ERR</v>
      </c>
      <c r="T65" s="7" t="str">
        <f ca="1">_xll.DBR($I$9,$J$13,$J$15,$J$14,T$20,$J$16,$J$17,$I65,T$21)</f>
        <v>*KEY_ERR</v>
      </c>
      <c r="U65" s="7" t="str">
        <f ca="1">_xll.DBR($I$9,$J$13,$J$15,$J$14,U$20,$J$16,$J$17,$I65,U$21)</f>
        <v>*KEY_ERR</v>
      </c>
      <c r="V65" s="7">
        <f ca="1">_xll.DBR($I$9,$J$13,$J$15,$J$14,V$20,$J$16,$J$17,$I65,V$21)</f>
        <v>0</v>
      </c>
      <c r="W65" s="7">
        <f ca="1">_xll.DBR($I$9,$J$13,$J$15,$J$14,W$20,$J$16,$J$17,$I65,W$21)</f>
        <v>0</v>
      </c>
      <c r="X65" s="7">
        <f ca="1">_xll.DBR($I$9,$J$13,$J$15,$J$14,X$20,$J$16,$J$17,$I65,X$21)</f>
        <v>0</v>
      </c>
      <c r="Y65" s="7">
        <f ca="1">_xll.DBR($I$9,$J$13,$J$15,$J$14,Y$20,$J$16,$J$17,$I65,Y$21)</f>
        <v>0</v>
      </c>
      <c r="Z65" s="7">
        <f ca="1">_xll.DBR($I$9,$J$13,$J$15,$J$14,Z$20,$J$16,$J$17,$I65,Z$21)</f>
        <v>0</v>
      </c>
      <c r="AA65" s="7">
        <f ca="1">_xll.DBR($I$9,$J$13,$J$15,$J$14,AA$20,$J$16,$J$17,$I65,AA$21)</f>
        <v>0</v>
      </c>
      <c r="AB65" s="7">
        <f ca="1">_xll.DBR($I$9,$J$13,$J$15,$J$14,AB$20,$J$16,$J$17,$I65,AB$21)</f>
        <v>0</v>
      </c>
      <c r="AC65" s="7">
        <f ca="1">_xll.DBR($I$9,$J$13,$J$15,$J$14,AC$20,$J$16,$J$17,$I65,AC$21)</f>
        <v>0</v>
      </c>
      <c r="AD65" s="7">
        <f ca="1">_xll.DBR($I$9,$J$13,$J$15,$J$14,AD$20,$J$16,$J$17,$I65,AD$21)</f>
        <v>0</v>
      </c>
    </row>
    <row r="66" spans="1:30" x14ac:dyDescent="0.25">
      <c r="A66" t="str">
        <f ca="1">IF(_xll.TM1RPTELISCONSOLIDATED($I$22,$I66),IF(_xll.TM1RPTELLEV($I$22,$I66)&lt;=3,_xll.TM1RPTELLEV($I$22,$I66),"D"),"N")</f>
        <v>D</v>
      </c>
      <c r="I66" s="18" t="s">
        <v>58</v>
      </c>
      <c r="J66" s="9">
        <f ca="1">_xll.DBR($I$9,$J$13,$J$15,$J$14,J$20,$J$16,$J$17,$I66,J$21)</f>
        <v>0</v>
      </c>
      <c r="K66" s="9">
        <f ca="1">_xll.DBR($I$9,$J$13,$J$15,$J$14,K$20,$J$16,$J$17,$I66,K$21)</f>
        <v>0</v>
      </c>
      <c r="L66" s="9">
        <f ca="1">_xll.DBRW($I$9,$J$13,$J$15,$J$14,L$20,$J$16,$J$17,$I66,L$21)</f>
        <v>0</v>
      </c>
      <c r="M66" s="9">
        <f ca="1">_xll.DBRW($I$9,$J$13,$J$15,$J$14,M$20,$J$16,$J$17,$I66,M$21)</f>
        <v>0</v>
      </c>
      <c r="N66" s="9">
        <f ca="1">_xll.DBRW($I$9,$J$13,$J$15,$J$14,N$20,$J$16,$J$17,$I66,N$21)</f>
        <v>0</v>
      </c>
      <c r="O66" s="9">
        <f ca="1">_xll.DBRW($I$9,$J$13,$J$15,$J$14,O$20,$J$16,$J$17,$I66,O$21)</f>
        <v>0</v>
      </c>
      <c r="P66" s="9">
        <f ca="1">_xll.DBRW($I$9,$J$13,$J$15,$J$14,P$20,$J$16,$J$17,$I66,P$21)</f>
        <v>0</v>
      </c>
      <c r="Q66" s="9">
        <f ca="1">_xll.DBRW($I$9,$J$13,$J$15,$J$14,Q$20,$J$16,$J$17,$I66,Q$21)</f>
        <v>0</v>
      </c>
      <c r="R66" s="9">
        <f ca="1">_xll.DBRW($I$9,$J$13,$J$15,$J$14,R$20,$J$16,$J$17,$I66,R$21)</f>
        <v>0</v>
      </c>
      <c r="S66" s="9" t="str">
        <f ca="1">_xll.DBR($I$9,$J$13,$J$15,$J$14,S$20,$J$16,$J$17,$I66,S$21)</f>
        <v>*KEY_ERR</v>
      </c>
      <c r="T66" s="9" t="str">
        <f ca="1">_xll.DBR($I$9,$J$13,$J$15,$J$14,T$20,$J$16,$J$17,$I66,T$21)</f>
        <v>*KEY_ERR</v>
      </c>
      <c r="U66" s="9" t="str">
        <f ca="1">_xll.DBR($I$9,$J$13,$J$15,$J$14,U$20,$J$16,$J$17,$I66,U$21)</f>
        <v>*KEY_ERR</v>
      </c>
      <c r="V66" s="9">
        <f ca="1">_xll.DBR($I$9,$J$13,$J$15,$J$14,V$20,$J$16,$J$17,$I66,V$21)</f>
        <v>0</v>
      </c>
      <c r="W66" s="9">
        <f ca="1">_xll.DBR($I$9,$J$13,$J$15,$J$14,W$20,$J$16,$J$17,$I66,W$21)</f>
        <v>0</v>
      </c>
      <c r="X66" s="9">
        <f ca="1">_xll.DBR($I$9,$J$13,$J$15,$J$14,X$20,$J$16,$J$17,$I66,X$21)</f>
        <v>0</v>
      </c>
      <c r="Y66" s="9">
        <f ca="1">_xll.DBR($I$9,$J$13,$J$15,$J$14,Y$20,$J$16,$J$17,$I66,Y$21)</f>
        <v>0</v>
      </c>
      <c r="Z66" s="9">
        <f ca="1">_xll.DBR($I$9,$J$13,$J$15,$J$14,Z$20,$J$16,$J$17,$I66,Z$21)</f>
        <v>0</v>
      </c>
      <c r="AA66" s="9">
        <f ca="1">_xll.DBR($I$9,$J$13,$J$15,$J$14,AA$20,$J$16,$J$17,$I66,AA$21)</f>
        <v>0</v>
      </c>
      <c r="AB66" s="9">
        <f ca="1">_xll.DBR($I$9,$J$13,$J$15,$J$14,AB$20,$J$16,$J$17,$I66,AB$21)</f>
        <v>0</v>
      </c>
      <c r="AC66" s="9">
        <f ca="1">_xll.DBR($I$9,$J$13,$J$15,$J$14,AC$20,$J$16,$J$17,$I66,AC$21)</f>
        <v>0</v>
      </c>
      <c r="AD66" s="9">
        <f ca="1">_xll.DBR($I$9,$J$13,$J$15,$J$14,AD$20,$J$16,$J$17,$I66,AD$21)</f>
        <v>0</v>
      </c>
    </row>
    <row r="67" spans="1:30" x14ac:dyDescent="0.25">
      <c r="A67" t="str">
        <f ca="1">IF(_xll.TM1RPTELISCONSOLIDATED($I$22,$I67),IF(_xll.TM1RPTELLEV($I$22,$I67)&lt;=3,_xll.TM1RPTELLEV($I$22,$I67),"D"),"N")</f>
        <v>D</v>
      </c>
      <c r="I67" s="18" t="s">
        <v>59</v>
      </c>
      <c r="J67" s="9">
        <f ca="1">_xll.DBR($I$9,$J$13,$J$15,$J$14,J$20,$J$16,$J$17,$I67,J$21)</f>
        <v>0</v>
      </c>
      <c r="K67" s="9">
        <f ca="1">_xll.DBR($I$9,$J$13,$J$15,$J$14,K$20,$J$16,$J$17,$I67,K$21)</f>
        <v>0</v>
      </c>
      <c r="L67" s="9">
        <f ca="1">_xll.DBRW($I$9,$J$13,$J$15,$J$14,L$20,$J$16,$J$17,$I67,L$21)</f>
        <v>0</v>
      </c>
      <c r="M67" s="9">
        <f ca="1">_xll.DBRW($I$9,$J$13,$J$15,$J$14,M$20,$J$16,$J$17,$I67,M$21)</f>
        <v>0</v>
      </c>
      <c r="N67" s="9">
        <f ca="1">_xll.DBRW($I$9,$J$13,$J$15,$J$14,N$20,$J$16,$J$17,$I67,N$21)</f>
        <v>0</v>
      </c>
      <c r="O67" s="9">
        <f ca="1">_xll.DBRW($I$9,$J$13,$J$15,$J$14,O$20,$J$16,$J$17,$I67,O$21)</f>
        <v>0</v>
      </c>
      <c r="P67" s="9">
        <f ca="1">_xll.DBRW($I$9,$J$13,$J$15,$J$14,P$20,$J$16,$J$17,$I67,P$21)</f>
        <v>0</v>
      </c>
      <c r="Q67" s="9">
        <f ca="1">_xll.DBRW($I$9,$J$13,$J$15,$J$14,Q$20,$J$16,$J$17,$I67,Q$21)</f>
        <v>0</v>
      </c>
      <c r="R67" s="9">
        <f ca="1">_xll.DBRW($I$9,$J$13,$J$15,$J$14,R$20,$J$16,$J$17,$I67,R$21)</f>
        <v>0</v>
      </c>
      <c r="S67" s="9" t="str">
        <f ca="1">_xll.DBR($I$9,$J$13,$J$15,$J$14,S$20,$J$16,$J$17,$I67,S$21)</f>
        <v>*KEY_ERR</v>
      </c>
      <c r="T67" s="9" t="str">
        <f ca="1">_xll.DBR($I$9,$J$13,$J$15,$J$14,T$20,$J$16,$J$17,$I67,T$21)</f>
        <v>*KEY_ERR</v>
      </c>
      <c r="U67" s="9" t="str">
        <f ca="1">_xll.DBR($I$9,$J$13,$J$15,$J$14,U$20,$J$16,$J$17,$I67,U$21)</f>
        <v>*KEY_ERR</v>
      </c>
      <c r="V67" s="9">
        <f ca="1">_xll.DBR($I$9,$J$13,$J$15,$J$14,V$20,$J$16,$J$17,$I67,V$21)</f>
        <v>0</v>
      </c>
      <c r="W67" s="9">
        <f ca="1">_xll.DBR($I$9,$J$13,$J$15,$J$14,W$20,$J$16,$J$17,$I67,W$21)</f>
        <v>0</v>
      </c>
      <c r="X67" s="9">
        <f ca="1">_xll.DBR($I$9,$J$13,$J$15,$J$14,X$20,$J$16,$J$17,$I67,X$21)</f>
        <v>0</v>
      </c>
      <c r="Y67" s="9">
        <f ca="1">_xll.DBR($I$9,$J$13,$J$15,$J$14,Y$20,$J$16,$J$17,$I67,Y$21)</f>
        <v>0</v>
      </c>
      <c r="Z67" s="9">
        <f ca="1">_xll.DBR($I$9,$J$13,$J$15,$J$14,Z$20,$J$16,$J$17,$I67,Z$21)</f>
        <v>0</v>
      </c>
      <c r="AA67" s="9">
        <f ca="1">_xll.DBR($I$9,$J$13,$J$15,$J$14,AA$20,$J$16,$J$17,$I67,AA$21)</f>
        <v>0</v>
      </c>
      <c r="AB67" s="9">
        <f ca="1">_xll.DBR($I$9,$J$13,$J$15,$J$14,AB$20,$J$16,$J$17,$I67,AB$21)</f>
        <v>0</v>
      </c>
      <c r="AC67" s="9">
        <f ca="1">_xll.DBR($I$9,$J$13,$J$15,$J$14,AC$20,$J$16,$J$17,$I67,AC$21)</f>
        <v>0</v>
      </c>
      <c r="AD67" s="9">
        <f ca="1">_xll.DBR($I$9,$J$13,$J$15,$J$14,AD$20,$J$16,$J$17,$I67,AD$21)</f>
        <v>0</v>
      </c>
    </row>
    <row r="68" spans="1:30" x14ac:dyDescent="0.25">
      <c r="A68" t="str">
        <f ca="1">IF(_xll.TM1RPTELISCONSOLIDATED($I$22,$I68),IF(_xll.TM1RPTELLEV($I$22,$I68)&lt;=3,_xll.TM1RPTELLEV($I$22,$I68),"D"),"N")</f>
        <v>D</v>
      </c>
      <c r="I68" s="18" t="s">
        <v>60</v>
      </c>
      <c r="J68" s="9">
        <f ca="1">_xll.DBR($I$9,$J$13,$J$15,$J$14,J$20,$J$16,$J$17,$I68,J$21)</f>
        <v>0</v>
      </c>
      <c r="K68" s="9">
        <f ca="1">_xll.DBR($I$9,$J$13,$J$15,$J$14,K$20,$J$16,$J$17,$I68,K$21)</f>
        <v>0</v>
      </c>
      <c r="L68" s="9">
        <f ca="1">_xll.DBRW($I$9,$J$13,$J$15,$J$14,L$20,$J$16,$J$17,$I68,L$21)</f>
        <v>0</v>
      </c>
      <c r="M68" s="9">
        <f ca="1">_xll.DBRW($I$9,$J$13,$J$15,$J$14,M$20,$J$16,$J$17,$I68,M$21)</f>
        <v>0</v>
      </c>
      <c r="N68" s="9">
        <f ca="1">_xll.DBRW($I$9,$J$13,$J$15,$J$14,N$20,$J$16,$J$17,$I68,N$21)</f>
        <v>0</v>
      </c>
      <c r="O68" s="9">
        <f ca="1">_xll.DBRW($I$9,$J$13,$J$15,$J$14,O$20,$J$16,$J$17,$I68,O$21)</f>
        <v>0</v>
      </c>
      <c r="P68" s="9">
        <f ca="1">_xll.DBRW($I$9,$J$13,$J$15,$J$14,P$20,$J$16,$J$17,$I68,P$21)</f>
        <v>0</v>
      </c>
      <c r="Q68" s="9">
        <f ca="1">_xll.DBRW($I$9,$J$13,$J$15,$J$14,Q$20,$J$16,$J$17,$I68,Q$21)</f>
        <v>0</v>
      </c>
      <c r="R68" s="9">
        <f ca="1">_xll.DBRW($I$9,$J$13,$J$15,$J$14,R$20,$J$16,$J$17,$I68,R$21)</f>
        <v>0</v>
      </c>
      <c r="S68" s="9" t="str">
        <f ca="1">_xll.DBR($I$9,$J$13,$J$15,$J$14,S$20,$J$16,$J$17,$I68,S$21)</f>
        <v>*KEY_ERR</v>
      </c>
      <c r="T68" s="9" t="str">
        <f ca="1">_xll.DBR($I$9,$J$13,$J$15,$J$14,T$20,$J$16,$J$17,$I68,T$21)</f>
        <v>*KEY_ERR</v>
      </c>
      <c r="U68" s="9" t="str">
        <f ca="1">_xll.DBR($I$9,$J$13,$J$15,$J$14,U$20,$J$16,$J$17,$I68,U$21)</f>
        <v>*KEY_ERR</v>
      </c>
      <c r="V68" s="9">
        <f ca="1">_xll.DBR($I$9,$J$13,$J$15,$J$14,V$20,$J$16,$J$17,$I68,V$21)</f>
        <v>0</v>
      </c>
      <c r="W68" s="9">
        <f ca="1">_xll.DBR($I$9,$J$13,$J$15,$J$14,W$20,$J$16,$J$17,$I68,W$21)</f>
        <v>0</v>
      </c>
      <c r="X68" s="9">
        <f ca="1">_xll.DBR($I$9,$J$13,$J$15,$J$14,X$20,$J$16,$J$17,$I68,X$21)</f>
        <v>0</v>
      </c>
      <c r="Y68" s="9">
        <f ca="1">_xll.DBR($I$9,$J$13,$J$15,$J$14,Y$20,$J$16,$J$17,$I68,Y$21)</f>
        <v>0</v>
      </c>
      <c r="Z68" s="9">
        <f ca="1">_xll.DBR($I$9,$J$13,$J$15,$J$14,Z$20,$J$16,$J$17,$I68,Z$21)</f>
        <v>0</v>
      </c>
      <c r="AA68" s="9">
        <f ca="1">_xll.DBR($I$9,$J$13,$J$15,$J$14,AA$20,$J$16,$J$17,$I68,AA$21)</f>
        <v>0</v>
      </c>
      <c r="AB68" s="9">
        <f ca="1">_xll.DBR($I$9,$J$13,$J$15,$J$14,AB$20,$J$16,$J$17,$I68,AB$21)</f>
        <v>0</v>
      </c>
      <c r="AC68" s="9">
        <f ca="1">_xll.DBR($I$9,$J$13,$J$15,$J$14,AC$20,$J$16,$J$17,$I68,AC$21)</f>
        <v>0</v>
      </c>
      <c r="AD68" s="9">
        <f ca="1">_xll.DBR($I$9,$J$13,$J$15,$J$14,AD$20,$J$16,$J$17,$I68,AD$21)</f>
        <v>0</v>
      </c>
    </row>
    <row r="69" spans="1:30" x14ac:dyDescent="0.25">
      <c r="A69" t="str">
        <f ca="1">IF(_xll.TM1RPTELISCONSOLIDATED($I$22,$I69),IF(_xll.TM1RPTELLEV($I$22,$I69)&lt;=3,_xll.TM1RPTELLEV($I$22,$I69),"D"),"N")</f>
        <v>D</v>
      </c>
      <c r="I69" s="18" t="s">
        <v>61</v>
      </c>
      <c r="J69" s="9">
        <f ca="1">_xll.DBR($I$9,$J$13,$J$15,$J$14,J$20,$J$16,$J$17,$I69,J$21)</f>
        <v>0</v>
      </c>
      <c r="K69" s="9">
        <f ca="1">_xll.DBR($I$9,$J$13,$J$15,$J$14,K$20,$J$16,$J$17,$I69,K$21)</f>
        <v>0</v>
      </c>
      <c r="L69" s="9">
        <f ca="1">_xll.DBRW($I$9,$J$13,$J$15,$J$14,L$20,$J$16,$J$17,$I69,L$21)</f>
        <v>0</v>
      </c>
      <c r="M69" s="9">
        <f ca="1">_xll.DBRW($I$9,$J$13,$J$15,$J$14,M$20,$J$16,$J$17,$I69,M$21)</f>
        <v>0</v>
      </c>
      <c r="N69" s="9">
        <f ca="1">_xll.DBRW($I$9,$J$13,$J$15,$J$14,N$20,$J$16,$J$17,$I69,N$21)</f>
        <v>0</v>
      </c>
      <c r="O69" s="9">
        <f ca="1">_xll.DBRW($I$9,$J$13,$J$15,$J$14,O$20,$J$16,$J$17,$I69,O$21)</f>
        <v>0</v>
      </c>
      <c r="P69" s="9">
        <f ca="1">_xll.DBRW($I$9,$J$13,$J$15,$J$14,P$20,$J$16,$J$17,$I69,P$21)</f>
        <v>0</v>
      </c>
      <c r="Q69" s="9">
        <f ca="1">_xll.DBRW($I$9,$J$13,$J$15,$J$14,Q$20,$J$16,$J$17,$I69,Q$21)</f>
        <v>0</v>
      </c>
      <c r="R69" s="9">
        <f ca="1">_xll.DBRW($I$9,$J$13,$J$15,$J$14,R$20,$J$16,$J$17,$I69,R$21)</f>
        <v>0</v>
      </c>
      <c r="S69" s="9" t="str">
        <f ca="1">_xll.DBR($I$9,$J$13,$J$15,$J$14,S$20,$J$16,$J$17,$I69,S$21)</f>
        <v>*KEY_ERR</v>
      </c>
      <c r="T69" s="9" t="str">
        <f ca="1">_xll.DBR($I$9,$J$13,$J$15,$J$14,T$20,$J$16,$J$17,$I69,T$21)</f>
        <v>*KEY_ERR</v>
      </c>
      <c r="U69" s="9" t="str">
        <f ca="1">_xll.DBR($I$9,$J$13,$J$15,$J$14,U$20,$J$16,$J$17,$I69,U$21)</f>
        <v>*KEY_ERR</v>
      </c>
      <c r="V69" s="9">
        <f ca="1">_xll.DBR($I$9,$J$13,$J$15,$J$14,V$20,$J$16,$J$17,$I69,V$21)</f>
        <v>0</v>
      </c>
      <c r="W69" s="9">
        <f ca="1">_xll.DBR($I$9,$J$13,$J$15,$J$14,W$20,$J$16,$J$17,$I69,W$21)</f>
        <v>0</v>
      </c>
      <c r="X69" s="9">
        <f ca="1">_xll.DBR($I$9,$J$13,$J$15,$J$14,X$20,$J$16,$J$17,$I69,X$21)</f>
        <v>0</v>
      </c>
      <c r="Y69" s="9">
        <f ca="1">_xll.DBR($I$9,$J$13,$J$15,$J$14,Y$20,$J$16,$J$17,$I69,Y$21)</f>
        <v>0</v>
      </c>
      <c r="Z69" s="9">
        <f ca="1">_xll.DBR($I$9,$J$13,$J$15,$J$14,Z$20,$J$16,$J$17,$I69,Z$21)</f>
        <v>0</v>
      </c>
      <c r="AA69" s="9">
        <f ca="1">_xll.DBR($I$9,$J$13,$J$15,$J$14,AA$20,$J$16,$J$17,$I69,AA$21)</f>
        <v>0</v>
      </c>
      <c r="AB69" s="9">
        <f ca="1">_xll.DBR($I$9,$J$13,$J$15,$J$14,AB$20,$J$16,$J$17,$I69,AB$21)</f>
        <v>0</v>
      </c>
      <c r="AC69" s="9">
        <f ca="1">_xll.DBR($I$9,$J$13,$J$15,$J$14,AC$20,$J$16,$J$17,$I69,AC$21)</f>
        <v>0</v>
      </c>
      <c r="AD69" s="9">
        <f ca="1">_xll.DBR($I$9,$J$13,$J$15,$J$14,AD$20,$J$16,$J$17,$I69,AD$21)</f>
        <v>0</v>
      </c>
    </row>
    <row r="70" spans="1:30" x14ac:dyDescent="0.25">
      <c r="A70" t="str">
        <f ca="1">IF(_xll.TM1RPTELISCONSOLIDATED($I$22,$I70),IF(_xll.TM1RPTELLEV($I$22,$I70)&lt;=3,_xll.TM1RPTELLEV($I$22,$I70),"D"),"N")</f>
        <v>D</v>
      </c>
      <c r="I70" s="18" t="s">
        <v>62</v>
      </c>
      <c r="J70" s="9">
        <f ca="1">_xll.DBR($I$9,$J$13,$J$15,$J$14,J$20,$J$16,$J$17,$I70,J$21)</f>
        <v>0</v>
      </c>
      <c r="K70" s="9">
        <f ca="1">_xll.DBR($I$9,$J$13,$J$15,$J$14,K$20,$J$16,$J$17,$I70,K$21)</f>
        <v>0</v>
      </c>
      <c r="L70" s="9">
        <f ca="1">_xll.DBRW($I$9,$J$13,$J$15,$J$14,L$20,$J$16,$J$17,$I70,L$21)</f>
        <v>0</v>
      </c>
      <c r="M70" s="9">
        <f ca="1">_xll.DBRW($I$9,$J$13,$J$15,$J$14,M$20,$J$16,$J$17,$I70,M$21)</f>
        <v>0</v>
      </c>
      <c r="N70" s="9">
        <f ca="1">_xll.DBRW($I$9,$J$13,$J$15,$J$14,N$20,$J$16,$J$17,$I70,N$21)</f>
        <v>0</v>
      </c>
      <c r="O70" s="9">
        <f ca="1">_xll.DBRW($I$9,$J$13,$J$15,$J$14,O$20,$J$16,$J$17,$I70,O$21)</f>
        <v>0</v>
      </c>
      <c r="P70" s="9">
        <f ca="1">_xll.DBRW($I$9,$J$13,$J$15,$J$14,P$20,$J$16,$J$17,$I70,P$21)</f>
        <v>0</v>
      </c>
      <c r="Q70" s="9">
        <f ca="1">_xll.DBRW($I$9,$J$13,$J$15,$J$14,Q$20,$J$16,$J$17,$I70,Q$21)</f>
        <v>0</v>
      </c>
      <c r="R70" s="9">
        <f ca="1">_xll.DBRW($I$9,$J$13,$J$15,$J$14,R$20,$J$16,$J$17,$I70,R$21)</f>
        <v>0</v>
      </c>
      <c r="S70" s="9" t="str">
        <f ca="1">_xll.DBR($I$9,$J$13,$J$15,$J$14,S$20,$J$16,$J$17,$I70,S$21)</f>
        <v>*KEY_ERR</v>
      </c>
      <c r="T70" s="9" t="str">
        <f ca="1">_xll.DBR($I$9,$J$13,$J$15,$J$14,T$20,$J$16,$J$17,$I70,T$21)</f>
        <v>*KEY_ERR</v>
      </c>
      <c r="U70" s="9" t="str">
        <f ca="1">_xll.DBR($I$9,$J$13,$J$15,$J$14,U$20,$J$16,$J$17,$I70,U$21)</f>
        <v>*KEY_ERR</v>
      </c>
      <c r="V70" s="9">
        <f ca="1">_xll.DBR($I$9,$J$13,$J$15,$J$14,V$20,$J$16,$J$17,$I70,V$21)</f>
        <v>0</v>
      </c>
      <c r="W70" s="9">
        <f ca="1">_xll.DBR($I$9,$J$13,$J$15,$J$14,W$20,$J$16,$J$17,$I70,W$21)</f>
        <v>0</v>
      </c>
      <c r="X70" s="9">
        <f ca="1">_xll.DBR($I$9,$J$13,$J$15,$J$14,X$20,$J$16,$J$17,$I70,X$21)</f>
        <v>0</v>
      </c>
      <c r="Y70" s="9">
        <f ca="1">_xll.DBR($I$9,$J$13,$J$15,$J$14,Y$20,$J$16,$J$17,$I70,Y$21)</f>
        <v>0</v>
      </c>
      <c r="Z70" s="9">
        <f ca="1">_xll.DBR($I$9,$J$13,$J$15,$J$14,Z$20,$J$16,$J$17,$I70,Z$21)</f>
        <v>0</v>
      </c>
      <c r="AA70" s="9">
        <f ca="1">_xll.DBR($I$9,$J$13,$J$15,$J$14,AA$20,$J$16,$J$17,$I70,AA$21)</f>
        <v>0</v>
      </c>
      <c r="AB70" s="9">
        <f ca="1">_xll.DBR($I$9,$J$13,$J$15,$J$14,AB$20,$J$16,$J$17,$I70,AB$21)</f>
        <v>0</v>
      </c>
      <c r="AC70" s="9">
        <f ca="1">_xll.DBR($I$9,$J$13,$J$15,$J$14,AC$20,$J$16,$J$17,$I70,AC$21)</f>
        <v>0</v>
      </c>
      <c r="AD70" s="9">
        <f ca="1">_xll.DBR($I$9,$J$13,$J$15,$J$14,AD$20,$J$16,$J$17,$I70,AD$21)</f>
        <v>0</v>
      </c>
    </row>
    <row r="71" spans="1:30" x14ac:dyDescent="0.25">
      <c r="A71" t="str">
        <f ca="1">IF(_xll.TM1RPTELISCONSOLIDATED($I$22,$I71),IF(_xll.TM1RPTELLEV($I$22,$I71)&lt;=3,_xll.TM1RPTELLEV($I$22,$I71),"D"),"N")</f>
        <v>D</v>
      </c>
      <c r="I71" s="18" t="s">
        <v>63</v>
      </c>
      <c r="J71" s="9">
        <f ca="1">_xll.DBR($I$9,$J$13,$J$15,$J$14,J$20,$J$16,$J$17,$I71,J$21)</f>
        <v>0</v>
      </c>
      <c r="K71" s="9">
        <f ca="1">_xll.DBR($I$9,$J$13,$J$15,$J$14,K$20,$J$16,$J$17,$I71,K$21)</f>
        <v>0</v>
      </c>
      <c r="L71" s="9">
        <f ca="1">_xll.DBRW($I$9,$J$13,$J$15,$J$14,L$20,$J$16,$J$17,$I71,L$21)</f>
        <v>0</v>
      </c>
      <c r="M71" s="9">
        <f ca="1">_xll.DBRW($I$9,$J$13,$J$15,$J$14,M$20,$J$16,$J$17,$I71,M$21)</f>
        <v>0</v>
      </c>
      <c r="N71" s="9">
        <f ca="1">_xll.DBRW($I$9,$J$13,$J$15,$J$14,N$20,$J$16,$J$17,$I71,N$21)</f>
        <v>0</v>
      </c>
      <c r="O71" s="9">
        <f ca="1">_xll.DBRW($I$9,$J$13,$J$15,$J$14,O$20,$J$16,$J$17,$I71,O$21)</f>
        <v>0</v>
      </c>
      <c r="P71" s="9">
        <f ca="1">_xll.DBRW($I$9,$J$13,$J$15,$J$14,P$20,$J$16,$J$17,$I71,P$21)</f>
        <v>0</v>
      </c>
      <c r="Q71" s="9">
        <f ca="1">_xll.DBRW($I$9,$J$13,$J$15,$J$14,Q$20,$J$16,$J$17,$I71,Q$21)</f>
        <v>0</v>
      </c>
      <c r="R71" s="9">
        <f ca="1">_xll.DBRW($I$9,$J$13,$J$15,$J$14,R$20,$J$16,$J$17,$I71,R$21)</f>
        <v>0</v>
      </c>
      <c r="S71" s="9" t="str">
        <f ca="1">_xll.DBR($I$9,$J$13,$J$15,$J$14,S$20,$J$16,$J$17,$I71,S$21)</f>
        <v>*KEY_ERR</v>
      </c>
      <c r="T71" s="9" t="str">
        <f ca="1">_xll.DBR($I$9,$J$13,$J$15,$J$14,T$20,$J$16,$J$17,$I71,T$21)</f>
        <v>*KEY_ERR</v>
      </c>
      <c r="U71" s="9" t="str">
        <f ca="1">_xll.DBR($I$9,$J$13,$J$15,$J$14,U$20,$J$16,$J$17,$I71,U$21)</f>
        <v>*KEY_ERR</v>
      </c>
      <c r="V71" s="9">
        <f ca="1">_xll.DBR($I$9,$J$13,$J$15,$J$14,V$20,$J$16,$J$17,$I71,V$21)</f>
        <v>0</v>
      </c>
      <c r="W71" s="9">
        <f ca="1">_xll.DBR($I$9,$J$13,$J$15,$J$14,W$20,$J$16,$J$17,$I71,W$21)</f>
        <v>0</v>
      </c>
      <c r="X71" s="9">
        <f ca="1">_xll.DBR($I$9,$J$13,$J$15,$J$14,X$20,$J$16,$J$17,$I71,X$21)</f>
        <v>0</v>
      </c>
      <c r="Y71" s="9">
        <f ca="1">_xll.DBR($I$9,$J$13,$J$15,$J$14,Y$20,$J$16,$J$17,$I71,Y$21)</f>
        <v>0</v>
      </c>
      <c r="Z71" s="9">
        <f ca="1">_xll.DBR($I$9,$J$13,$J$15,$J$14,Z$20,$J$16,$J$17,$I71,Z$21)</f>
        <v>0</v>
      </c>
      <c r="AA71" s="9">
        <f ca="1">_xll.DBR($I$9,$J$13,$J$15,$J$14,AA$20,$J$16,$J$17,$I71,AA$21)</f>
        <v>0</v>
      </c>
      <c r="AB71" s="9">
        <f ca="1">_xll.DBR($I$9,$J$13,$J$15,$J$14,AB$20,$J$16,$J$17,$I71,AB$21)</f>
        <v>0</v>
      </c>
      <c r="AC71" s="9">
        <f ca="1">_xll.DBR($I$9,$J$13,$J$15,$J$14,AC$20,$J$16,$J$17,$I71,AC$21)</f>
        <v>0</v>
      </c>
      <c r="AD71" s="9">
        <f ca="1">_xll.DBR($I$9,$J$13,$J$15,$J$14,AD$20,$J$16,$J$17,$I71,AD$21)</f>
        <v>0</v>
      </c>
    </row>
    <row r="72" spans="1:30" x14ac:dyDescent="0.25">
      <c r="A72" t="str">
        <f ca="1">IF(_xll.TM1RPTELISCONSOLIDATED($I$22,$I72),IF(_xll.TM1RPTELLEV($I$22,$I72)&lt;=3,_xll.TM1RPTELLEV($I$22,$I72),"D"),"N")</f>
        <v>D</v>
      </c>
      <c r="I72" s="18" t="s">
        <v>64</v>
      </c>
      <c r="J72" s="9">
        <f ca="1">_xll.DBR($I$9,$J$13,$J$15,$J$14,J$20,$J$16,$J$17,$I72,J$21)</f>
        <v>0</v>
      </c>
      <c r="K72" s="9">
        <f ca="1">_xll.DBR($I$9,$J$13,$J$15,$J$14,K$20,$J$16,$J$17,$I72,K$21)</f>
        <v>0</v>
      </c>
      <c r="L72" s="9">
        <f ca="1">_xll.DBRW($I$9,$J$13,$J$15,$J$14,L$20,$J$16,$J$17,$I72,L$21)</f>
        <v>0</v>
      </c>
      <c r="M72" s="9">
        <f ca="1">_xll.DBRW($I$9,$J$13,$J$15,$J$14,M$20,$J$16,$J$17,$I72,M$21)</f>
        <v>0</v>
      </c>
      <c r="N72" s="9">
        <f ca="1">_xll.DBRW($I$9,$J$13,$J$15,$J$14,N$20,$J$16,$J$17,$I72,N$21)</f>
        <v>0</v>
      </c>
      <c r="O72" s="9">
        <f ca="1">_xll.DBRW($I$9,$J$13,$J$15,$J$14,O$20,$J$16,$J$17,$I72,O$21)</f>
        <v>0</v>
      </c>
      <c r="P72" s="9">
        <f ca="1">_xll.DBRW($I$9,$J$13,$J$15,$J$14,P$20,$J$16,$J$17,$I72,P$21)</f>
        <v>0</v>
      </c>
      <c r="Q72" s="9">
        <f ca="1">_xll.DBRW($I$9,$J$13,$J$15,$J$14,Q$20,$J$16,$J$17,$I72,Q$21)</f>
        <v>0</v>
      </c>
      <c r="R72" s="9">
        <f ca="1">_xll.DBRW($I$9,$J$13,$J$15,$J$14,R$20,$J$16,$J$17,$I72,R$21)</f>
        <v>0</v>
      </c>
      <c r="S72" s="9" t="str">
        <f ca="1">_xll.DBR($I$9,$J$13,$J$15,$J$14,S$20,$J$16,$J$17,$I72,S$21)</f>
        <v>*KEY_ERR</v>
      </c>
      <c r="T72" s="9" t="str">
        <f ca="1">_xll.DBR($I$9,$J$13,$J$15,$J$14,T$20,$J$16,$J$17,$I72,T$21)</f>
        <v>*KEY_ERR</v>
      </c>
      <c r="U72" s="9" t="str">
        <f ca="1">_xll.DBR($I$9,$J$13,$J$15,$J$14,U$20,$J$16,$J$17,$I72,U$21)</f>
        <v>*KEY_ERR</v>
      </c>
      <c r="V72" s="9">
        <f ca="1">_xll.DBR($I$9,$J$13,$J$15,$J$14,V$20,$J$16,$J$17,$I72,V$21)</f>
        <v>0</v>
      </c>
      <c r="W72" s="9">
        <f ca="1">_xll.DBR($I$9,$J$13,$J$15,$J$14,W$20,$J$16,$J$17,$I72,W$21)</f>
        <v>0</v>
      </c>
      <c r="X72" s="9">
        <f ca="1">_xll.DBR($I$9,$J$13,$J$15,$J$14,X$20,$J$16,$J$17,$I72,X$21)</f>
        <v>0</v>
      </c>
      <c r="Y72" s="9">
        <f ca="1">_xll.DBR($I$9,$J$13,$J$15,$J$14,Y$20,$J$16,$J$17,$I72,Y$21)</f>
        <v>0</v>
      </c>
      <c r="Z72" s="9">
        <f ca="1">_xll.DBR($I$9,$J$13,$J$15,$J$14,Z$20,$J$16,$J$17,$I72,Z$21)</f>
        <v>0</v>
      </c>
      <c r="AA72" s="9">
        <f ca="1">_xll.DBR($I$9,$J$13,$J$15,$J$14,AA$20,$J$16,$J$17,$I72,AA$21)</f>
        <v>0</v>
      </c>
      <c r="AB72" s="9">
        <f ca="1">_xll.DBR($I$9,$J$13,$J$15,$J$14,AB$20,$J$16,$J$17,$I72,AB$21)</f>
        <v>0</v>
      </c>
      <c r="AC72" s="9">
        <f ca="1">_xll.DBR($I$9,$J$13,$J$15,$J$14,AC$20,$J$16,$J$17,$I72,AC$21)</f>
        <v>0</v>
      </c>
      <c r="AD72" s="9">
        <f ca="1">_xll.DBR($I$9,$J$13,$J$15,$J$14,AD$20,$J$16,$J$17,$I72,AD$21)</f>
        <v>0</v>
      </c>
    </row>
    <row r="73" spans="1:30" x14ac:dyDescent="0.25">
      <c r="A73" t="str">
        <f ca="1">IF(_xll.TM1RPTELISCONSOLIDATED($I$22,$I73),IF(_xll.TM1RPTELLEV($I$22,$I73)&lt;=3,_xll.TM1RPTELLEV($I$22,$I73),"D"),"N")</f>
        <v>D</v>
      </c>
      <c r="I73" s="18" t="s">
        <v>65</v>
      </c>
      <c r="J73" s="9">
        <f ca="1">_xll.DBR($I$9,$J$13,$J$15,$J$14,J$20,$J$16,$J$17,$I73,J$21)</f>
        <v>0</v>
      </c>
      <c r="K73" s="9">
        <f ca="1">_xll.DBR($I$9,$J$13,$J$15,$J$14,K$20,$J$16,$J$17,$I73,K$21)</f>
        <v>0</v>
      </c>
      <c r="L73" s="9">
        <f ca="1">_xll.DBRW($I$9,$J$13,$J$15,$J$14,L$20,$J$16,$J$17,$I73,L$21)</f>
        <v>0</v>
      </c>
      <c r="M73" s="9">
        <f ca="1">_xll.DBRW($I$9,$J$13,$J$15,$J$14,M$20,$J$16,$J$17,$I73,M$21)</f>
        <v>0</v>
      </c>
      <c r="N73" s="9">
        <f ca="1">_xll.DBRW($I$9,$J$13,$J$15,$J$14,N$20,$J$16,$J$17,$I73,N$21)</f>
        <v>0</v>
      </c>
      <c r="O73" s="9">
        <f ca="1">_xll.DBRW($I$9,$J$13,$J$15,$J$14,O$20,$J$16,$J$17,$I73,O$21)</f>
        <v>0</v>
      </c>
      <c r="P73" s="9">
        <f ca="1">_xll.DBRW($I$9,$J$13,$J$15,$J$14,P$20,$J$16,$J$17,$I73,P$21)</f>
        <v>0</v>
      </c>
      <c r="Q73" s="9">
        <f ca="1">_xll.DBRW($I$9,$J$13,$J$15,$J$14,Q$20,$J$16,$J$17,$I73,Q$21)</f>
        <v>0</v>
      </c>
      <c r="R73" s="9">
        <f ca="1">_xll.DBRW($I$9,$J$13,$J$15,$J$14,R$20,$J$16,$J$17,$I73,R$21)</f>
        <v>0</v>
      </c>
      <c r="S73" s="9" t="str">
        <f ca="1">_xll.DBR($I$9,$J$13,$J$15,$J$14,S$20,$J$16,$J$17,$I73,S$21)</f>
        <v>*KEY_ERR</v>
      </c>
      <c r="T73" s="9" t="str">
        <f ca="1">_xll.DBR($I$9,$J$13,$J$15,$J$14,T$20,$J$16,$J$17,$I73,T$21)</f>
        <v>*KEY_ERR</v>
      </c>
      <c r="U73" s="9" t="str">
        <f ca="1">_xll.DBR($I$9,$J$13,$J$15,$J$14,U$20,$J$16,$J$17,$I73,U$21)</f>
        <v>*KEY_ERR</v>
      </c>
      <c r="V73" s="9">
        <f ca="1">_xll.DBR($I$9,$J$13,$J$15,$J$14,V$20,$J$16,$J$17,$I73,V$21)</f>
        <v>0</v>
      </c>
      <c r="W73" s="9">
        <f ca="1">_xll.DBR($I$9,$J$13,$J$15,$J$14,W$20,$J$16,$J$17,$I73,W$21)</f>
        <v>0</v>
      </c>
      <c r="X73" s="9">
        <f ca="1">_xll.DBR($I$9,$J$13,$J$15,$J$14,X$20,$J$16,$J$17,$I73,X$21)</f>
        <v>0</v>
      </c>
      <c r="Y73" s="9">
        <f ca="1">_xll.DBR($I$9,$J$13,$J$15,$J$14,Y$20,$J$16,$J$17,$I73,Y$21)</f>
        <v>0</v>
      </c>
      <c r="Z73" s="9">
        <f ca="1">_xll.DBR($I$9,$J$13,$J$15,$J$14,Z$20,$J$16,$J$17,$I73,Z$21)</f>
        <v>0</v>
      </c>
      <c r="AA73" s="9">
        <f ca="1">_xll.DBR($I$9,$J$13,$J$15,$J$14,AA$20,$J$16,$J$17,$I73,AA$21)</f>
        <v>0</v>
      </c>
      <c r="AB73" s="9">
        <f ca="1">_xll.DBR($I$9,$J$13,$J$15,$J$14,AB$20,$J$16,$J$17,$I73,AB$21)</f>
        <v>0</v>
      </c>
      <c r="AC73" s="9">
        <f ca="1">_xll.DBR($I$9,$J$13,$J$15,$J$14,AC$20,$J$16,$J$17,$I73,AC$21)</f>
        <v>0</v>
      </c>
      <c r="AD73" s="9">
        <f ca="1">_xll.DBR($I$9,$J$13,$J$15,$J$14,AD$20,$J$16,$J$17,$I73,AD$21)</f>
        <v>0</v>
      </c>
    </row>
    <row r="74" spans="1:30" x14ac:dyDescent="0.25">
      <c r="A74">
        <f ca="1">IF(_xll.TM1RPTELISCONSOLIDATED($I$22,$I74),IF(_xll.TM1RPTELLEV($I$22,$I74)&lt;=3,_xll.TM1RPTELLEV($I$22,$I74),"D"),"N")</f>
        <v>3</v>
      </c>
      <c r="I74" s="23" t="s">
        <v>66</v>
      </c>
      <c r="J74" s="7">
        <f ca="1">_xll.DBR($I$9,$J$13,$J$15,$J$14,J$20,$J$16,$J$17,$I74,J$21)</f>
        <v>0</v>
      </c>
      <c r="K74" s="7">
        <f ca="1">_xll.DBR($I$9,$J$13,$J$15,$J$14,K$20,$J$16,$J$17,$I74,K$21)</f>
        <v>0</v>
      </c>
      <c r="L74" s="7">
        <f ca="1">_xll.DBRW($I$9,$J$13,$J$15,$J$14,L$20,$J$16,$J$17,$I74,L$21)</f>
        <v>0</v>
      </c>
      <c r="M74" s="7">
        <f ca="1">_xll.DBRW($I$9,$J$13,$J$15,$J$14,M$20,$J$16,$J$17,$I74,M$21)</f>
        <v>0</v>
      </c>
      <c r="N74" s="7">
        <f ca="1">_xll.DBRW($I$9,$J$13,$J$15,$J$14,N$20,$J$16,$J$17,$I74,N$21)</f>
        <v>0</v>
      </c>
      <c r="O74" s="7">
        <f ca="1">_xll.DBRW($I$9,$J$13,$J$15,$J$14,O$20,$J$16,$J$17,$I74,O$21)</f>
        <v>0</v>
      </c>
      <c r="P74" s="7">
        <f ca="1">_xll.DBRW($I$9,$J$13,$J$15,$J$14,P$20,$J$16,$J$17,$I74,P$21)</f>
        <v>0</v>
      </c>
      <c r="Q74" s="7">
        <f ca="1">_xll.DBRW($I$9,$J$13,$J$15,$J$14,Q$20,$J$16,$J$17,$I74,Q$21)</f>
        <v>0</v>
      </c>
      <c r="R74" s="7">
        <f ca="1">_xll.DBRW($I$9,$J$13,$J$15,$J$14,R$20,$J$16,$J$17,$I74,R$21)</f>
        <v>0</v>
      </c>
      <c r="S74" s="7" t="str">
        <f ca="1">_xll.DBR($I$9,$J$13,$J$15,$J$14,S$20,$J$16,$J$17,$I74,S$21)</f>
        <v>*KEY_ERR</v>
      </c>
      <c r="T74" s="7" t="str">
        <f ca="1">_xll.DBR($I$9,$J$13,$J$15,$J$14,T$20,$J$16,$J$17,$I74,T$21)</f>
        <v>*KEY_ERR</v>
      </c>
      <c r="U74" s="7" t="str">
        <f ca="1">_xll.DBR($I$9,$J$13,$J$15,$J$14,U$20,$J$16,$J$17,$I74,U$21)</f>
        <v>*KEY_ERR</v>
      </c>
      <c r="V74" s="7">
        <f ca="1">_xll.DBR($I$9,$J$13,$J$15,$J$14,V$20,$J$16,$J$17,$I74,V$21)</f>
        <v>0</v>
      </c>
      <c r="W74" s="7">
        <f ca="1">_xll.DBR($I$9,$J$13,$J$15,$J$14,W$20,$J$16,$J$17,$I74,W$21)</f>
        <v>0</v>
      </c>
      <c r="X74" s="7">
        <f ca="1">_xll.DBR($I$9,$J$13,$J$15,$J$14,X$20,$J$16,$J$17,$I74,X$21)</f>
        <v>0</v>
      </c>
      <c r="Y74" s="7">
        <f ca="1">_xll.DBR($I$9,$J$13,$J$15,$J$14,Y$20,$J$16,$J$17,$I74,Y$21)</f>
        <v>0</v>
      </c>
      <c r="Z74" s="7">
        <f ca="1">_xll.DBR($I$9,$J$13,$J$15,$J$14,Z$20,$J$16,$J$17,$I74,Z$21)</f>
        <v>0</v>
      </c>
      <c r="AA74" s="7">
        <f ca="1">_xll.DBR($I$9,$J$13,$J$15,$J$14,AA$20,$J$16,$J$17,$I74,AA$21)</f>
        <v>0</v>
      </c>
      <c r="AB74" s="7">
        <f ca="1">_xll.DBR($I$9,$J$13,$J$15,$J$14,AB$20,$J$16,$J$17,$I74,AB$21)</f>
        <v>0</v>
      </c>
      <c r="AC74" s="7">
        <f ca="1">_xll.DBR($I$9,$J$13,$J$15,$J$14,AC$20,$J$16,$J$17,$I74,AC$21)</f>
        <v>0</v>
      </c>
      <c r="AD74" s="7">
        <f ca="1">_xll.DBR($I$9,$J$13,$J$15,$J$14,AD$20,$J$16,$J$17,$I74,AD$21)</f>
        <v>0</v>
      </c>
    </row>
    <row r="75" spans="1:30" x14ac:dyDescent="0.25">
      <c r="A75" t="str">
        <f ca="1">IF(_xll.TM1RPTELISCONSOLIDATED($I$22,$I75),IF(_xll.TM1RPTELLEV($I$22,$I75)&lt;=3,_xll.TM1RPTELLEV($I$22,$I75),"D"),"N")</f>
        <v>D</v>
      </c>
      <c r="I75" s="18" t="s">
        <v>190</v>
      </c>
      <c r="J75" s="9">
        <f ca="1">_xll.DBR($I$9,$J$13,$J$15,$J$14,J$20,$J$16,$J$17,$I75,J$21)</f>
        <v>0</v>
      </c>
      <c r="K75" s="9">
        <f ca="1">_xll.DBR($I$9,$J$13,$J$15,$J$14,K$20,$J$16,$J$17,$I75,K$21)</f>
        <v>0</v>
      </c>
      <c r="L75" s="9">
        <f ca="1">_xll.DBRW($I$9,$J$13,$J$15,$J$14,L$20,$J$16,$J$17,$I75,L$21)</f>
        <v>0</v>
      </c>
      <c r="M75" s="9">
        <f ca="1">_xll.DBRW($I$9,$J$13,$J$15,$J$14,M$20,$J$16,$J$17,$I75,M$21)</f>
        <v>0</v>
      </c>
      <c r="N75" s="9">
        <f ca="1">_xll.DBRW($I$9,$J$13,$J$15,$J$14,N$20,$J$16,$J$17,$I75,N$21)</f>
        <v>0</v>
      </c>
      <c r="O75" s="9">
        <f ca="1">_xll.DBRW($I$9,$J$13,$J$15,$J$14,O$20,$J$16,$J$17,$I75,O$21)</f>
        <v>0</v>
      </c>
      <c r="P75" s="9">
        <f ca="1">_xll.DBRW($I$9,$J$13,$J$15,$J$14,P$20,$J$16,$J$17,$I75,P$21)</f>
        <v>0</v>
      </c>
      <c r="Q75" s="9">
        <f ca="1">_xll.DBRW($I$9,$J$13,$J$15,$J$14,Q$20,$J$16,$J$17,$I75,Q$21)</f>
        <v>0</v>
      </c>
      <c r="R75" s="9">
        <f ca="1">_xll.DBRW($I$9,$J$13,$J$15,$J$14,R$20,$J$16,$J$17,$I75,R$21)</f>
        <v>0</v>
      </c>
      <c r="S75" s="9" t="str">
        <f ca="1">_xll.DBR($I$9,$J$13,$J$15,$J$14,S$20,$J$16,$J$17,$I75,S$21)</f>
        <v>*KEY_ERR</v>
      </c>
      <c r="T75" s="9" t="str">
        <f ca="1">_xll.DBR($I$9,$J$13,$J$15,$J$14,T$20,$J$16,$J$17,$I75,T$21)</f>
        <v>*KEY_ERR</v>
      </c>
      <c r="U75" s="9" t="str">
        <f ca="1">_xll.DBR($I$9,$J$13,$J$15,$J$14,U$20,$J$16,$J$17,$I75,U$21)</f>
        <v>*KEY_ERR</v>
      </c>
      <c r="V75" s="9">
        <f ca="1">_xll.DBR($I$9,$J$13,$J$15,$J$14,V$20,$J$16,$J$17,$I75,V$21)</f>
        <v>0</v>
      </c>
      <c r="W75" s="9">
        <f ca="1">_xll.DBR($I$9,$J$13,$J$15,$J$14,W$20,$J$16,$J$17,$I75,W$21)</f>
        <v>0</v>
      </c>
      <c r="X75" s="9">
        <f ca="1">_xll.DBR($I$9,$J$13,$J$15,$J$14,X$20,$J$16,$J$17,$I75,X$21)</f>
        <v>0</v>
      </c>
      <c r="Y75" s="9">
        <f ca="1">_xll.DBR($I$9,$J$13,$J$15,$J$14,Y$20,$J$16,$J$17,$I75,Y$21)</f>
        <v>0</v>
      </c>
      <c r="Z75" s="9">
        <f ca="1">_xll.DBR($I$9,$J$13,$J$15,$J$14,Z$20,$J$16,$J$17,$I75,Z$21)</f>
        <v>0</v>
      </c>
      <c r="AA75" s="9">
        <f ca="1">_xll.DBR($I$9,$J$13,$J$15,$J$14,AA$20,$J$16,$J$17,$I75,AA$21)</f>
        <v>0</v>
      </c>
      <c r="AB75" s="9">
        <f ca="1">_xll.DBR($I$9,$J$13,$J$15,$J$14,AB$20,$J$16,$J$17,$I75,AB$21)</f>
        <v>0</v>
      </c>
      <c r="AC75" s="9">
        <f ca="1">_xll.DBR($I$9,$J$13,$J$15,$J$14,AC$20,$J$16,$J$17,$I75,AC$21)</f>
        <v>0</v>
      </c>
      <c r="AD75" s="9">
        <f ca="1">_xll.DBR($I$9,$J$13,$J$15,$J$14,AD$20,$J$16,$J$17,$I75,AD$21)</f>
        <v>0</v>
      </c>
    </row>
    <row r="76" spans="1:30" x14ac:dyDescent="0.25">
      <c r="A76" t="str">
        <f ca="1">IF(_xll.TM1RPTELISCONSOLIDATED($I$22,$I76),IF(_xll.TM1RPTELLEV($I$22,$I76)&lt;=3,_xll.TM1RPTELLEV($I$22,$I76),"D"),"N")</f>
        <v>D</v>
      </c>
      <c r="I76" s="18" t="s">
        <v>191</v>
      </c>
      <c r="J76" s="9">
        <f ca="1">_xll.DBR($I$9,$J$13,$J$15,$J$14,J$20,$J$16,$J$17,$I76,J$21)</f>
        <v>0</v>
      </c>
      <c r="K76" s="9">
        <f ca="1">_xll.DBR($I$9,$J$13,$J$15,$J$14,K$20,$J$16,$J$17,$I76,K$21)</f>
        <v>0</v>
      </c>
      <c r="L76" s="9">
        <f ca="1">_xll.DBRW($I$9,$J$13,$J$15,$J$14,L$20,$J$16,$J$17,$I76,L$21)</f>
        <v>0</v>
      </c>
      <c r="M76" s="9">
        <f ca="1">_xll.DBRW($I$9,$J$13,$J$15,$J$14,M$20,$J$16,$J$17,$I76,M$21)</f>
        <v>0</v>
      </c>
      <c r="N76" s="9">
        <f ca="1">_xll.DBRW($I$9,$J$13,$J$15,$J$14,N$20,$J$16,$J$17,$I76,N$21)</f>
        <v>0</v>
      </c>
      <c r="O76" s="9">
        <f ca="1">_xll.DBRW($I$9,$J$13,$J$15,$J$14,O$20,$J$16,$J$17,$I76,O$21)</f>
        <v>0</v>
      </c>
      <c r="P76" s="9">
        <f ca="1">_xll.DBRW($I$9,$J$13,$J$15,$J$14,P$20,$J$16,$J$17,$I76,P$21)</f>
        <v>0</v>
      </c>
      <c r="Q76" s="9">
        <f ca="1">_xll.DBRW($I$9,$J$13,$J$15,$J$14,Q$20,$J$16,$J$17,$I76,Q$21)</f>
        <v>0</v>
      </c>
      <c r="R76" s="9">
        <f ca="1">_xll.DBRW($I$9,$J$13,$J$15,$J$14,R$20,$J$16,$J$17,$I76,R$21)</f>
        <v>0</v>
      </c>
      <c r="S76" s="9" t="str">
        <f ca="1">_xll.DBR($I$9,$J$13,$J$15,$J$14,S$20,$J$16,$J$17,$I76,S$21)</f>
        <v>*KEY_ERR</v>
      </c>
      <c r="T76" s="9" t="str">
        <f ca="1">_xll.DBR($I$9,$J$13,$J$15,$J$14,T$20,$J$16,$J$17,$I76,T$21)</f>
        <v>*KEY_ERR</v>
      </c>
      <c r="U76" s="9" t="str">
        <f ca="1">_xll.DBR($I$9,$J$13,$J$15,$J$14,U$20,$J$16,$J$17,$I76,U$21)</f>
        <v>*KEY_ERR</v>
      </c>
      <c r="V76" s="9">
        <f ca="1">_xll.DBR($I$9,$J$13,$J$15,$J$14,V$20,$J$16,$J$17,$I76,V$21)</f>
        <v>0</v>
      </c>
      <c r="W76" s="9">
        <f ca="1">_xll.DBR($I$9,$J$13,$J$15,$J$14,W$20,$J$16,$J$17,$I76,W$21)</f>
        <v>0</v>
      </c>
      <c r="X76" s="9">
        <f ca="1">_xll.DBR($I$9,$J$13,$J$15,$J$14,X$20,$J$16,$J$17,$I76,X$21)</f>
        <v>0</v>
      </c>
      <c r="Y76" s="9">
        <f ca="1">_xll.DBR($I$9,$J$13,$J$15,$J$14,Y$20,$J$16,$J$17,$I76,Y$21)</f>
        <v>0</v>
      </c>
      <c r="Z76" s="9">
        <f ca="1">_xll.DBR($I$9,$J$13,$J$15,$J$14,Z$20,$J$16,$J$17,$I76,Z$21)</f>
        <v>0</v>
      </c>
      <c r="AA76" s="9">
        <f ca="1">_xll.DBR($I$9,$J$13,$J$15,$J$14,AA$20,$J$16,$J$17,$I76,AA$21)</f>
        <v>0</v>
      </c>
      <c r="AB76" s="9">
        <f ca="1">_xll.DBR($I$9,$J$13,$J$15,$J$14,AB$20,$J$16,$J$17,$I76,AB$21)</f>
        <v>0</v>
      </c>
      <c r="AC76" s="9">
        <f ca="1">_xll.DBR($I$9,$J$13,$J$15,$J$14,AC$20,$J$16,$J$17,$I76,AC$21)</f>
        <v>0</v>
      </c>
      <c r="AD76" s="9">
        <f ca="1">_xll.DBR($I$9,$J$13,$J$15,$J$14,AD$20,$J$16,$J$17,$I76,AD$21)</f>
        <v>0</v>
      </c>
    </row>
    <row r="77" spans="1:30" x14ac:dyDescent="0.25">
      <c r="A77" t="str">
        <f ca="1">IF(_xll.TM1RPTELISCONSOLIDATED($I$22,$I77),IF(_xll.TM1RPTELLEV($I$22,$I77)&lt;=3,_xll.TM1RPTELLEV($I$22,$I77),"D"),"N")</f>
        <v>D</v>
      </c>
      <c r="I77" s="18" t="s">
        <v>192</v>
      </c>
      <c r="J77" s="9">
        <f ca="1">_xll.DBR($I$9,$J$13,$J$15,$J$14,J$20,$J$16,$J$17,$I77,J$21)</f>
        <v>0</v>
      </c>
      <c r="K77" s="9">
        <f ca="1">_xll.DBR($I$9,$J$13,$J$15,$J$14,K$20,$J$16,$J$17,$I77,K$21)</f>
        <v>0</v>
      </c>
      <c r="L77" s="9">
        <f ca="1">_xll.DBRW($I$9,$J$13,$J$15,$J$14,L$20,$J$16,$J$17,$I77,L$21)</f>
        <v>0</v>
      </c>
      <c r="M77" s="9">
        <f ca="1">_xll.DBRW($I$9,$J$13,$J$15,$J$14,M$20,$J$16,$J$17,$I77,M$21)</f>
        <v>0</v>
      </c>
      <c r="N77" s="9">
        <f ca="1">_xll.DBRW($I$9,$J$13,$J$15,$J$14,N$20,$J$16,$J$17,$I77,N$21)</f>
        <v>0</v>
      </c>
      <c r="O77" s="9">
        <f ca="1">_xll.DBRW($I$9,$J$13,$J$15,$J$14,O$20,$J$16,$J$17,$I77,O$21)</f>
        <v>0</v>
      </c>
      <c r="P77" s="9">
        <f ca="1">_xll.DBRW($I$9,$J$13,$J$15,$J$14,P$20,$J$16,$J$17,$I77,P$21)</f>
        <v>0</v>
      </c>
      <c r="Q77" s="9">
        <f ca="1">_xll.DBRW($I$9,$J$13,$J$15,$J$14,Q$20,$J$16,$J$17,$I77,Q$21)</f>
        <v>0</v>
      </c>
      <c r="R77" s="9">
        <f ca="1">_xll.DBRW($I$9,$J$13,$J$15,$J$14,R$20,$J$16,$J$17,$I77,R$21)</f>
        <v>0</v>
      </c>
      <c r="S77" s="9" t="str">
        <f ca="1">_xll.DBR($I$9,$J$13,$J$15,$J$14,S$20,$J$16,$J$17,$I77,S$21)</f>
        <v>*KEY_ERR</v>
      </c>
      <c r="T77" s="9" t="str">
        <f ca="1">_xll.DBR($I$9,$J$13,$J$15,$J$14,T$20,$J$16,$J$17,$I77,T$21)</f>
        <v>*KEY_ERR</v>
      </c>
      <c r="U77" s="9" t="str">
        <f ca="1">_xll.DBR($I$9,$J$13,$J$15,$J$14,U$20,$J$16,$J$17,$I77,U$21)</f>
        <v>*KEY_ERR</v>
      </c>
      <c r="V77" s="9">
        <f ca="1">_xll.DBR($I$9,$J$13,$J$15,$J$14,V$20,$J$16,$J$17,$I77,V$21)</f>
        <v>0</v>
      </c>
      <c r="W77" s="9">
        <f ca="1">_xll.DBR($I$9,$J$13,$J$15,$J$14,W$20,$J$16,$J$17,$I77,W$21)</f>
        <v>0</v>
      </c>
      <c r="X77" s="9">
        <f ca="1">_xll.DBR($I$9,$J$13,$J$15,$J$14,X$20,$J$16,$J$17,$I77,X$21)</f>
        <v>0</v>
      </c>
      <c r="Y77" s="9">
        <f ca="1">_xll.DBR($I$9,$J$13,$J$15,$J$14,Y$20,$J$16,$J$17,$I77,Y$21)</f>
        <v>0</v>
      </c>
      <c r="Z77" s="9">
        <f ca="1">_xll.DBR($I$9,$J$13,$J$15,$J$14,Z$20,$J$16,$J$17,$I77,Z$21)</f>
        <v>0</v>
      </c>
      <c r="AA77" s="9">
        <f ca="1">_xll.DBR($I$9,$J$13,$J$15,$J$14,AA$20,$J$16,$J$17,$I77,AA$21)</f>
        <v>0</v>
      </c>
      <c r="AB77" s="9">
        <f ca="1">_xll.DBR($I$9,$J$13,$J$15,$J$14,AB$20,$J$16,$J$17,$I77,AB$21)</f>
        <v>0</v>
      </c>
      <c r="AC77" s="9">
        <f ca="1">_xll.DBR($I$9,$J$13,$J$15,$J$14,AC$20,$J$16,$J$17,$I77,AC$21)</f>
        <v>0</v>
      </c>
      <c r="AD77" s="9">
        <f ca="1">_xll.DBR($I$9,$J$13,$J$15,$J$14,AD$20,$J$16,$J$17,$I77,AD$21)</f>
        <v>0</v>
      </c>
    </row>
    <row r="78" spans="1:30" x14ac:dyDescent="0.25">
      <c r="A78">
        <f ca="1">IF(_xll.TM1RPTELISCONSOLIDATED($I$22,$I78),IF(_xll.TM1RPTELLEV($I$22,$I78)&lt;=3,_xll.TM1RPTELLEV($I$22,$I78),"D"),"N")</f>
        <v>3</v>
      </c>
      <c r="I78" s="22" t="s">
        <v>67</v>
      </c>
      <c r="J78" s="7">
        <f ca="1">_xll.DBR($I$9,$J$13,$J$15,$J$14,J$20,$J$16,$J$17,$I78,J$21)</f>
        <v>0</v>
      </c>
      <c r="K78" s="7">
        <f ca="1">_xll.DBR($I$9,$J$13,$J$15,$J$14,K$20,$J$16,$J$17,$I78,K$21)</f>
        <v>0</v>
      </c>
      <c r="L78" s="7">
        <f ca="1">_xll.DBRW($I$9,$J$13,$J$15,$J$14,L$20,$J$16,$J$17,$I78,L$21)</f>
        <v>0</v>
      </c>
      <c r="M78" s="7">
        <f ca="1">_xll.DBRW($I$9,$J$13,$J$15,$J$14,M$20,$J$16,$J$17,$I78,M$21)</f>
        <v>0</v>
      </c>
      <c r="N78" s="7">
        <f ca="1">_xll.DBRW($I$9,$J$13,$J$15,$J$14,N$20,$J$16,$J$17,$I78,N$21)</f>
        <v>0</v>
      </c>
      <c r="O78" s="7">
        <f ca="1">_xll.DBRW($I$9,$J$13,$J$15,$J$14,O$20,$J$16,$J$17,$I78,O$21)</f>
        <v>0</v>
      </c>
      <c r="P78" s="7">
        <f ca="1">_xll.DBRW($I$9,$J$13,$J$15,$J$14,P$20,$J$16,$J$17,$I78,P$21)</f>
        <v>0</v>
      </c>
      <c r="Q78" s="7">
        <f ca="1">_xll.DBRW($I$9,$J$13,$J$15,$J$14,Q$20,$J$16,$J$17,$I78,Q$21)</f>
        <v>0</v>
      </c>
      <c r="R78" s="7">
        <f ca="1">_xll.DBRW($I$9,$J$13,$J$15,$J$14,R$20,$J$16,$J$17,$I78,R$21)</f>
        <v>0</v>
      </c>
      <c r="S78" s="7" t="str">
        <f ca="1">_xll.DBR($I$9,$J$13,$J$15,$J$14,S$20,$J$16,$J$17,$I78,S$21)</f>
        <v>*KEY_ERR</v>
      </c>
      <c r="T78" s="7" t="str">
        <f ca="1">_xll.DBR($I$9,$J$13,$J$15,$J$14,T$20,$J$16,$J$17,$I78,T$21)</f>
        <v>*KEY_ERR</v>
      </c>
      <c r="U78" s="7" t="str">
        <f ca="1">_xll.DBR($I$9,$J$13,$J$15,$J$14,U$20,$J$16,$J$17,$I78,U$21)</f>
        <v>*KEY_ERR</v>
      </c>
      <c r="V78" s="7">
        <f ca="1">_xll.DBR($I$9,$J$13,$J$15,$J$14,V$20,$J$16,$J$17,$I78,V$21)</f>
        <v>0</v>
      </c>
      <c r="W78" s="7">
        <f ca="1">_xll.DBR($I$9,$J$13,$J$15,$J$14,W$20,$J$16,$J$17,$I78,W$21)</f>
        <v>0</v>
      </c>
      <c r="X78" s="7">
        <f ca="1">_xll.DBR($I$9,$J$13,$J$15,$J$14,X$20,$J$16,$J$17,$I78,X$21)</f>
        <v>0</v>
      </c>
      <c r="Y78" s="7">
        <f ca="1">_xll.DBR($I$9,$J$13,$J$15,$J$14,Y$20,$J$16,$J$17,$I78,Y$21)</f>
        <v>0</v>
      </c>
      <c r="Z78" s="7">
        <f ca="1">_xll.DBR($I$9,$J$13,$J$15,$J$14,Z$20,$J$16,$J$17,$I78,Z$21)</f>
        <v>0</v>
      </c>
      <c r="AA78" s="7">
        <f ca="1">_xll.DBR($I$9,$J$13,$J$15,$J$14,AA$20,$J$16,$J$17,$I78,AA$21)</f>
        <v>0</v>
      </c>
      <c r="AB78" s="7">
        <f ca="1">_xll.DBR($I$9,$J$13,$J$15,$J$14,AB$20,$J$16,$J$17,$I78,AB$21)</f>
        <v>0</v>
      </c>
      <c r="AC78" s="7">
        <f ca="1">_xll.DBR($I$9,$J$13,$J$15,$J$14,AC$20,$J$16,$J$17,$I78,AC$21)</f>
        <v>0</v>
      </c>
      <c r="AD78" s="7">
        <f ca="1">_xll.DBR($I$9,$J$13,$J$15,$J$14,AD$20,$J$16,$J$17,$I78,AD$21)</f>
        <v>0</v>
      </c>
    </row>
    <row r="79" spans="1:30" x14ac:dyDescent="0.25">
      <c r="A79">
        <f ca="1">IF(_xll.TM1RPTELISCONSOLIDATED($I$22,$I79),IF(_xll.TM1RPTELLEV($I$22,$I79)&lt;=3,_xll.TM1RPTELLEV($I$22,$I79),"D"),"N")</f>
        <v>3</v>
      </c>
      <c r="I79" s="22" t="s">
        <v>68</v>
      </c>
      <c r="J79" s="7">
        <f ca="1">_xll.DBR($I$9,$J$13,$J$15,$J$14,J$20,$J$16,$J$17,$I79,J$21)</f>
        <v>0</v>
      </c>
      <c r="K79" s="7">
        <f ca="1">_xll.DBR($I$9,$J$13,$J$15,$J$14,K$20,$J$16,$J$17,$I79,K$21)</f>
        <v>0</v>
      </c>
      <c r="L79" s="7">
        <f ca="1">_xll.DBRW($I$9,$J$13,$J$15,$J$14,L$20,$J$16,$J$17,$I79,L$21)</f>
        <v>0</v>
      </c>
      <c r="M79" s="7">
        <f ca="1">_xll.DBRW($I$9,$J$13,$J$15,$J$14,M$20,$J$16,$J$17,$I79,M$21)</f>
        <v>0</v>
      </c>
      <c r="N79" s="7">
        <f ca="1">_xll.DBRW($I$9,$J$13,$J$15,$J$14,N$20,$J$16,$J$17,$I79,N$21)</f>
        <v>0</v>
      </c>
      <c r="O79" s="7">
        <f ca="1">_xll.DBRW($I$9,$J$13,$J$15,$J$14,O$20,$J$16,$J$17,$I79,O$21)</f>
        <v>0</v>
      </c>
      <c r="P79" s="7">
        <f ca="1">_xll.DBRW($I$9,$J$13,$J$15,$J$14,P$20,$J$16,$J$17,$I79,P$21)</f>
        <v>0</v>
      </c>
      <c r="Q79" s="7">
        <f ca="1">_xll.DBRW($I$9,$J$13,$J$15,$J$14,Q$20,$J$16,$J$17,$I79,Q$21)</f>
        <v>0</v>
      </c>
      <c r="R79" s="7">
        <f ca="1">_xll.DBRW($I$9,$J$13,$J$15,$J$14,R$20,$J$16,$J$17,$I79,R$21)</f>
        <v>0</v>
      </c>
      <c r="S79" s="7" t="str">
        <f ca="1">_xll.DBR($I$9,$J$13,$J$15,$J$14,S$20,$J$16,$J$17,$I79,S$21)</f>
        <v>*KEY_ERR</v>
      </c>
      <c r="T79" s="7" t="str">
        <f ca="1">_xll.DBR($I$9,$J$13,$J$15,$J$14,T$20,$J$16,$J$17,$I79,T$21)</f>
        <v>*KEY_ERR</v>
      </c>
      <c r="U79" s="7" t="str">
        <f ca="1">_xll.DBR($I$9,$J$13,$J$15,$J$14,U$20,$J$16,$J$17,$I79,U$21)</f>
        <v>*KEY_ERR</v>
      </c>
      <c r="V79" s="7">
        <f ca="1">_xll.DBR($I$9,$J$13,$J$15,$J$14,V$20,$J$16,$J$17,$I79,V$21)</f>
        <v>0</v>
      </c>
      <c r="W79" s="7">
        <f ca="1">_xll.DBR($I$9,$J$13,$J$15,$J$14,W$20,$J$16,$J$17,$I79,W$21)</f>
        <v>0</v>
      </c>
      <c r="X79" s="7">
        <f ca="1">_xll.DBR($I$9,$J$13,$J$15,$J$14,X$20,$J$16,$J$17,$I79,X$21)</f>
        <v>0</v>
      </c>
      <c r="Y79" s="7">
        <f ca="1">_xll.DBR($I$9,$J$13,$J$15,$J$14,Y$20,$J$16,$J$17,$I79,Y$21)</f>
        <v>0</v>
      </c>
      <c r="Z79" s="7">
        <f ca="1">_xll.DBR($I$9,$J$13,$J$15,$J$14,Z$20,$J$16,$J$17,$I79,Z$21)</f>
        <v>0</v>
      </c>
      <c r="AA79" s="7">
        <f ca="1">_xll.DBR($I$9,$J$13,$J$15,$J$14,AA$20,$J$16,$J$17,$I79,AA$21)</f>
        <v>0</v>
      </c>
      <c r="AB79" s="7">
        <f ca="1">_xll.DBR($I$9,$J$13,$J$15,$J$14,AB$20,$J$16,$J$17,$I79,AB$21)</f>
        <v>0</v>
      </c>
      <c r="AC79" s="7">
        <f ca="1">_xll.DBR($I$9,$J$13,$J$15,$J$14,AC$20,$J$16,$J$17,$I79,AC$21)</f>
        <v>0</v>
      </c>
      <c r="AD79" s="7">
        <f ca="1">_xll.DBR($I$9,$J$13,$J$15,$J$14,AD$20,$J$16,$J$17,$I79,AD$21)</f>
        <v>0</v>
      </c>
    </row>
    <row r="80" spans="1:30" x14ac:dyDescent="0.25">
      <c r="A80">
        <f ca="1">IF(_xll.TM1RPTELISCONSOLIDATED($I$22,$I80),IF(_xll.TM1RPTELLEV($I$22,$I80)&lt;=3,_xll.TM1RPTELLEV($I$22,$I80),"D"),"N")</f>
        <v>3</v>
      </c>
      <c r="I80" s="22" t="s">
        <v>193</v>
      </c>
      <c r="J80" s="7">
        <f ca="1">_xll.DBR($I$9,$J$13,$J$15,$J$14,J$20,$J$16,$J$17,$I80,J$21)</f>
        <v>0</v>
      </c>
      <c r="K80" s="7">
        <f ca="1">_xll.DBR($I$9,$J$13,$J$15,$J$14,K$20,$J$16,$J$17,$I80,K$21)</f>
        <v>0</v>
      </c>
      <c r="L80" s="7">
        <f ca="1">_xll.DBRW($I$9,$J$13,$J$15,$J$14,L$20,$J$16,$J$17,$I80,L$21)</f>
        <v>0</v>
      </c>
      <c r="M80" s="7">
        <f ca="1">_xll.DBRW($I$9,$J$13,$J$15,$J$14,M$20,$J$16,$J$17,$I80,M$21)</f>
        <v>0</v>
      </c>
      <c r="N80" s="7">
        <f ca="1">_xll.DBRW($I$9,$J$13,$J$15,$J$14,N$20,$J$16,$J$17,$I80,N$21)</f>
        <v>0</v>
      </c>
      <c r="O80" s="7">
        <f ca="1">_xll.DBRW($I$9,$J$13,$J$15,$J$14,O$20,$J$16,$J$17,$I80,O$21)</f>
        <v>0</v>
      </c>
      <c r="P80" s="7">
        <f ca="1">_xll.DBRW($I$9,$J$13,$J$15,$J$14,P$20,$J$16,$J$17,$I80,P$21)</f>
        <v>0</v>
      </c>
      <c r="Q80" s="7">
        <f ca="1">_xll.DBRW($I$9,$J$13,$J$15,$J$14,Q$20,$J$16,$J$17,$I80,Q$21)</f>
        <v>0</v>
      </c>
      <c r="R80" s="7">
        <f ca="1">_xll.DBRW($I$9,$J$13,$J$15,$J$14,R$20,$J$16,$J$17,$I80,R$21)</f>
        <v>0</v>
      </c>
      <c r="S80" s="7" t="str">
        <f ca="1">_xll.DBR($I$9,$J$13,$J$15,$J$14,S$20,$J$16,$J$17,$I80,S$21)</f>
        <v>*KEY_ERR</v>
      </c>
      <c r="T80" s="7" t="str">
        <f ca="1">_xll.DBR($I$9,$J$13,$J$15,$J$14,T$20,$J$16,$J$17,$I80,T$21)</f>
        <v>*KEY_ERR</v>
      </c>
      <c r="U80" s="7" t="str">
        <f ca="1">_xll.DBR($I$9,$J$13,$J$15,$J$14,U$20,$J$16,$J$17,$I80,U$21)</f>
        <v>*KEY_ERR</v>
      </c>
      <c r="V80" s="7">
        <f ca="1">_xll.DBR($I$9,$J$13,$J$15,$J$14,V$20,$J$16,$J$17,$I80,V$21)</f>
        <v>0</v>
      </c>
      <c r="W80" s="7">
        <f ca="1">_xll.DBR($I$9,$J$13,$J$15,$J$14,W$20,$J$16,$J$17,$I80,W$21)</f>
        <v>0</v>
      </c>
      <c r="X80" s="7">
        <f ca="1">_xll.DBR($I$9,$J$13,$J$15,$J$14,X$20,$J$16,$J$17,$I80,X$21)</f>
        <v>0</v>
      </c>
      <c r="Y80" s="7">
        <f ca="1">_xll.DBR($I$9,$J$13,$J$15,$J$14,Y$20,$J$16,$J$17,$I80,Y$21)</f>
        <v>0</v>
      </c>
      <c r="Z80" s="7">
        <f ca="1">_xll.DBR($I$9,$J$13,$J$15,$J$14,Z$20,$J$16,$J$17,$I80,Z$21)</f>
        <v>0</v>
      </c>
      <c r="AA80" s="7">
        <f ca="1">_xll.DBR($I$9,$J$13,$J$15,$J$14,AA$20,$J$16,$J$17,$I80,AA$21)</f>
        <v>0</v>
      </c>
      <c r="AB80" s="7">
        <f ca="1">_xll.DBR($I$9,$J$13,$J$15,$J$14,AB$20,$J$16,$J$17,$I80,AB$21)</f>
        <v>0</v>
      </c>
      <c r="AC80" s="7">
        <f ca="1">_xll.DBR($I$9,$J$13,$J$15,$J$14,AC$20,$J$16,$J$17,$I80,AC$21)</f>
        <v>0</v>
      </c>
      <c r="AD80" s="7">
        <f ca="1">_xll.DBR($I$9,$J$13,$J$15,$J$14,AD$20,$J$16,$J$17,$I80,AD$21)</f>
        <v>0</v>
      </c>
    </row>
    <row r="81" spans="1:30" x14ac:dyDescent="0.25">
      <c r="A81">
        <f ca="1">IF(_xll.TM1RPTELISCONSOLIDATED($I$22,$I81),IF(_xll.TM1RPTELLEV($I$22,$I81)&lt;=3,_xll.TM1RPTELLEV($I$22,$I81),"D"),"N")</f>
        <v>2</v>
      </c>
      <c r="I81" s="17" t="s">
        <v>70</v>
      </c>
      <c r="J81" s="3">
        <f ca="1">_xll.DBR($I$9,$J$13,$J$15,$J$14,J$20,$J$16,$J$17,$I81,J$21)</f>
        <v>0</v>
      </c>
      <c r="K81" s="3">
        <f ca="1">_xll.DBR($I$9,$J$13,$J$15,$J$14,K$20,$J$16,$J$17,$I81,K$21)</f>
        <v>0</v>
      </c>
      <c r="L81" s="3">
        <f ca="1">_xll.DBRW($I$9,$J$13,$J$15,$J$14,L$20,$J$16,$J$17,$I81,L$21)</f>
        <v>0</v>
      </c>
      <c r="M81" s="3">
        <f ca="1">_xll.DBRW($I$9,$J$13,$J$15,$J$14,M$20,$J$16,$J$17,$I81,M$21)</f>
        <v>0</v>
      </c>
      <c r="N81" s="3">
        <f ca="1">_xll.DBRW($I$9,$J$13,$J$15,$J$14,N$20,$J$16,$J$17,$I81,N$21)</f>
        <v>0</v>
      </c>
      <c r="O81" s="3">
        <f ca="1">_xll.DBRW($I$9,$J$13,$J$15,$J$14,O$20,$J$16,$J$17,$I81,O$21)</f>
        <v>0</v>
      </c>
      <c r="P81" s="3">
        <f ca="1">_xll.DBRW($I$9,$J$13,$J$15,$J$14,P$20,$J$16,$J$17,$I81,P$21)</f>
        <v>0</v>
      </c>
      <c r="Q81" s="3">
        <f ca="1">_xll.DBRW($I$9,$J$13,$J$15,$J$14,Q$20,$J$16,$J$17,$I81,Q$21)</f>
        <v>0</v>
      </c>
      <c r="R81" s="3">
        <f ca="1">_xll.DBRW($I$9,$J$13,$J$15,$J$14,R$20,$J$16,$J$17,$I81,R$21)</f>
        <v>0</v>
      </c>
      <c r="S81" s="3" t="str">
        <f ca="1">_xll.DBR($I$9,$J$13,$J$15,$J$14,S$20,$J$16,$J$17,$I81,S$21)</f>
        <v>*KEY_ERR</v>
      </c>
      <c r="T81" s="3" t="str">
        <f ca="1">_xll.DBR($I$9,$J$13,$J$15,$J$14,T$20,$J$16,$J$17,$I81,T$21)</f>
        <v>*KEY_ERR</v>
      </c>
      <c r="U81" s="3" t="str">
        <f ca="1">_xll.DBR($I$9,$J$13,$J$15,$J$14,U$20,$J$16,$J$17,$I81,U$21)</f>
        <v>*KEY_ERR</v>
      </c>
      <c r="V81" s="3">
        <f ca="1">_xll.DBR($I$9,$J$13,$J$15,$J$14,V$20,$J$16,$J$17,$I81,V$21)</f>
        <v>0</v>
      </c>
      <c r="W81" s="3">
        <f ca="1">_xll.DBR($I$9,$J$13,$J$15,$J$14,W$20,$J$16,$J$17,$I81,W$21)</f>
        <v>0</v>
      </c>
      <c r="X81" s="3">
        <f ca="1">_xll.DBR($I$9,$J$13,$J$15,$J$14,X$20,$J$16,$J$17,$I81,X$21)</f>
        <v>0</v>
      </c>
      <c r="Y81" s="3">
        <f ca="1">_xll.DBR($I$9,$J$13,$J$15,$J$14,Y$20,$J$16,$J$17,$I81,Y$21)</f>
        <v>0</v>
      </c>
      <c r="Z81" s="3">
        <f ca="1">_xll.DBR($I$9,$J$13,$J$15,$J$14,Z$20,$J$16,$J$17,$I81,Z$21)</f>
        <v>0</v>
      </c>
      <c r="AA81" s="3">
        <f ca="1">_xll.DBR($I$9,$J$13,$J$15,$J$14,AA$20,$J$16,$J$17,$I81,AA$21)</f>
        <v>0</v>
      </c>
      <c r="AB81" s="3">
        <f ca="1">_xll.DBR($I$9,$J$13,$J$15,$J$14,AB$20,$J$16,$J$17,$I81,AB$21)</f>
        <v>0</v>
      </c>
      <c r="AC81" s="3">
        <f ca="1">_xll.DBR($I$9,$J$13,$J$15,$J$14,AC$20,$J$16,$J$17,$I81,AC$21)</f>
        <v>0</v>
      </c>
      <c r="AD81" s="3">
        <f ca="1">_xll.DBR($I$9,$J$13,$J$15,$J$14,AD$20,$J$16,$J$17,$I81,AD$21)</f>
        <v>0</v>
      </c>
    </row>
    <row r="82" spans="1:30" x14ac:dyDescent="0.25">
      <c r="A82">
        <f ca="1">IF(_xll.TM1RPTELISCONSOLIDATED($I$22,$I82),IF(_xll.TM1RPTELLEV($I$22,$I82)&lt;=3,_xll.TM1RPTELLEV($I$22,$I82),"D"),"N")</f>
        <v>3</v>
      </c>
      <c r="I82" s="22" t="s">
        <v>71</v>
      </c>
      <c r="J82" s="7">
        <f ca="1">_xll.DBR($I$9,$J$13,$J$15,$J$14,J$20,$J$16,$J$17,$I82,J$21)</f>
        <v>0</v>
      </c>
      <c r="K82" s="7">
        <f ca="1">_xll.DBR($I$9,$J$13,$J$15,$J$14,K$20,$J$16,$J$17,$I82,K$21)</f>
        <v>0</v>
      </c>
      <c r="L82" s="7">
        <f ca="1">_xll.DBRW($I$9,$J$13,$J$15,$J$14,L$20,$J$16,$J$17,$I82,L$21)</f>
        <v>0</v>
      </c>
      <c r="M82" s="7">
        <f ca="1">_xll.DBRW($I$9,$J$13,$J$15,$J$14,M$20,$J$16,$J$17,$I82,M$21)</f>
        <v>0</v>
      </c>
      <c r="N82" s="7">
        <f ca="1">_xll.DBRW($I$9,$J$13,$J$15,$J$14,N$20,$J$16,$J$17,$I82,N$21)</f>
        <v>0</v>
      </c>
      <c r="O82" s="7">
        <f ca="1">_xll.DBRW($I$9,$J$13,$J$15,$J$14,O$20,$J$16,$J$17,$I82,O$21)</f>
        <v>0</v>
      </c>
      <c r="P82" s="7">
        <f ca="1">_xll.DBRW($I$9,$J$13,$J$15,$J$14,P$20,$J$16,$J$17,$I82,P$21)</f>
        <v>0</v>
      </c>
      <c r="Q82" s="7">
        <f ca="1">_xll.DBRW($I$9,$J$13,$J$15,$J$14,Q$20,$J$16,$J$17,$I82,Q$21)</f>
        <v>0</v>
      </c>
      <c r="R82" s="7">
        <f ca="1">_xll.DBRW($I$9,$J$13,$J$15,$J$14,R$20,$J$16,$J$17,$I82,R$21)</f>
        <v>0</v>
      </c>
      <c r="S82" s="7" t="str">
        <f ca="1">_xll.DBR($I$9,$J$13,$J$15,$J$14,S$20,$J$16,$J$17,$I82,S$21)</f>
        <v>*KEY_ERR</v>
      </c>
      <c r="T82" s="7" t="str">
        <f ca="1">_xll.DBR($I$9,$J$13,$J$15,$J$14,T$20,$J$16,$J$17,$I82,T$21)</f>
        <v>*KEY_ERR</v>
      </c>
      <c r="U82" s="7" t="str">
        <f ca="1">_xll.DBR($I$9,$J$13,$J$15,$J$14,U$20,$J$16,$J$17,$I82,U$21)</f>
        <v>*KEY_ERR</v>
      </c>
      <c r="V82" s="7">
        <f ca="1">_xll.DBR($I$9,$J$13,$J$15,$J$14,V$20,$J$16,$J$17,$I82,V$21)</f>
        <v>0</v>
      </c>
      <c r="W82" s="7">
        <f ca="1">_xll.DBR($I$9,$J$13,$J$15,$J$14,W$20,$J$16,$J$17,$I82,W$21)</f>
        <v>0</v>
      </c>
      <c r="X82" s="7">
        <f ca="1">_xll.DBR($I$9,$J$13,$J$15,$J$14,X$20,$J$16,$J$17,$I82,X$21)</f>
        <v>0</v>
      </c>
      <c r="Y82" s="7">
        <f ca="1">_xll.DBR($I$9,$J$13,$J$15,$J$14,Y$20,$J$16,$J$17,$I82,Y$21)</f>
        <v>0</v>
      </c>
      <c r="Z82" s="7">
        <f ca="1">_xll.DBR($I$9,$J$13,$J$15,$J$14,Z$20,$J$16,$J$17,$I82,Z$21)</f>
        <v>0</v>
      </c>
      <c r="AA82" s="7">
        <f ca="1">_xll.DBR($I$9,$J$13,$J$15,$J$14,AA$20,$J$16,$J$17,$I82,AA$21)</f>
        <v>0</v>
      </c>
      <c r="AB82" s="7">
        <f ca="1">_xll.DBR($I$9,$J$13,$J$15,$J$14,AB$20,$J$16,$J$17,$I82,AB$21)</f>
        <v>0</v>
      </c>
      <c r="AC82" s="7">
        <f ca="1">_xll.DBR($I$9,$J$13,$J$15,$J$14,AC$20,$J$16,$J$17,$I82,AC$21)</f>
        <v>0</v>
      </c>
      <c r="AD82" s="7">
        <f ca="1">_xll.DBR($I$9,$J$13,$J$15,$J$14,AD$20,$J$16,$J$17,$I82,AD$21)</f>
        <v>0</v>
      </c>
    </row>
    <row r="83" spans="1:30" x14ac:dyDescent="0.25">
      <c r="A83">
        <f ca="1">IF(_xll.TM1RPTELISCONSOLIDATED($I$22,$I83),IF(_xll.TM1RPTELLEV($I$22,$I83)&lt;=3,_xll.TM1RPTELLEV($I$22,$I83),"D"),"N")</f>
        <v>3</v>
      </c>
      <c r="I83" s="23" t="s">
        <v>72</v>
      </c>
      <c r="J83" s="7">
        <f ca="1">_xll.DBR($I$9,$J$13,$J$15,$J$14,J$20,$J$16,$J$17,$I83,J$21)</f>
        <v>0</v>
      </c>
      <c r="K83" s="7">
        <f ca="1">_xll.DBR($I$9,$J$13,$J$15,$J$14,K$20,$J$16,$J$17,$I83,K$21)</f>
        <v>0</v>
      </c>
      <c r="L83" s="7">
        <f ca="1">_xll.DBRW($I$9,$J$13,$J$15,$J$14,L$20,$J$16,$J$17,$I83,L$21)</f>
        <v>0</v>
      </c>
      <c r="M83" s="7">
        <f ca="1">_xll.DBRW($I$9,$J$13,$J$15,$J$14,M$20,$J$16,$J$17,$I83,M$21)</f>
        <v>0</v>
      </c>
      <c r="N83" s="7">
        <f ca="1">_xll.DBRW($I$9,$J$13,$J$15,$J$14,N$20,$J$16,$J$17,$I83,N$21)</f>
        <v>0</v>
      </c>
      <c r="O83" s="7">
        <f ca="1">_xll.DBRW($I$9,$J$13,$J$15,$J$14,O$20,$J$16,$J$17,$I83,O$21)</f>
        <v>0</v>
      </c>
      <c r="P83" s="7">
        <f ca="1">_xll.DBRW($I$9,$J$13,$J$15,$J$14,P$20,$J$16,$J$17,$I83,P$21)</f>
        <v>0</v>
      </c>
      <c r="Q83" s="7">
        <f ca="1">_xll.DBRW($I$9,$J$13,$J$15,$J$14,Q$20,$J$16,$J$17,$I83,Q$21)</f>
        <v>0</v>
      </c>
      <c r="R83" s="7">
        <f ca="1">_xll.DBRW($I$9,$J$13,$J$15,$J$14,R$20,$J$16,$J$17,$I83,R$21)</f>
        <v>0</v>
      </c>
      <c r="S83" s="7" t="str">
        <f ca="1">_xll.DBR($I$9,$J$13,$J$15,$J$14,S$20,$J$16,$J$17,$I83,S$21)</f>
        <v>*KEY_ERR</v>
      </c>
      <c r="T83" s="7" t="str">
        <f ca="1">_xll.DBR($I$9,$J$13,$J$15,$J$14,T$20,$J$16,$J$17,$I83,T$21)</f>
        <v>*KEY_ERR</v>
      </c>
      <c r="U83" s="7" t="str">
        <f ca="1">_xll.DBR($I$9,$J$13,$J$15,$J$14,U$20,$J$16,$J$17,$I83,U$21)</f>
        <v>*KEY_ERR</v>
      </c>
      <c r="V83" s="7">
        <f ca="1">_xll.DBR($I$9,$J$13,$J$15,$J$14,V$20,$J$16,$J$17,$I83,V$21)</f>
        <v>0</v>
      </c>
      <c r="W83" s="7">
        <f ca="1">_xll.DBR($I$9,$J$13,$J$15,$J$14,W$20,$J$16,$J$17,$I83,W$21)</f>
        <v>0</v>
      </c>
      <c r="X83" s="7">
        <f ca="1">_xll.DBR($I$9,$J$13,$J$15,$J$14,X$20,$J$16,$J$17,$I83,X$21)</f>
        <v>0</v>
      </c>
      <c r="Y83" s="7">
        <f ca="1">_xll.DBR($I$9,$J$13,$J$15,$J$14,Y$20,$J$16,$J$17,$I83,Y$21)</f>
        <v>0</v>
      </c>
      <c r="Z83" s="7">
        <f ca="1">_xll.DBR($I$9,$J$13,$J$15,$J$14,Z$20,$J$16,$J$17,$I83,Z$21)</f>
        <v>0</v>
      </c>
      <c r="AA83" s="7">
        <f ca="1">_xll.DBR($I$9,$J$13,$J$15,$J$14,AA$20,$J$16,$J$17,$I83,AA$21)</f>
        <v>0</v>
      </c>
      <c r="AB83" s="7">
        <f ca="1">_xll.DBR($I$9,$J$13,$J$15,$J$14,AB$20,$J$16,$J$17,$I83,AB$21)</f>
        <v>0</v>
      </c>
      <c r="AC83" s="7">
        <f ca="1">_xll.DBR($I$9,$J$13,$J$15,$J$14,AC$20,$J$16,$J$17,$I83,AC$21)</f>
        <v>0</v>
      </c>
      <c r="AD83" s="7">
        <f ca="1">_xll.DBR($I$9,$J$13,$J$15,$J$14,AD$20,$J$16,$J$17,$I83,AD$21)</f>
        <v>0</v>
      </c>
    </row>
    <row r="84" spans="1:30" x14ac:dyDescent="0.25">
      <c r="A84" t="str">
        <f ca="1">IF(_xll.TM1RPTELISCONSOLIDATED($I$22,$I84),IF(_xll.TM1RPTELLEV($I$22,$I84)&lt;=3,_xll.TM1RPTELLEV($I$22,$I84),"D"),"N")</f>
        <v>D</v>
      </c>
      <c r="I84" s="18" t="s">
        <v>194</v>
      </c>
      <c r="J84" s="9">
        <f ca="1">_xll.DBR($I$9,$J$13,$J$15,$J$14,J$20,$J$16,$J$17,$I84,J$21)</f>
        <v>0</v>
      </c>
      <c r="K84" s="9">
        <f ca="1">_xll.DBR($I$9,$J$13,$J$15,$J$14,K$20,$J$16,$J$17,$I84,K$21)</f>
        <v>0</v>
      </c>
      <c r="L84" s="9">
        <f ca="1">_xll.DBRW($I$9,$J$13,$J$15,$J$14,L$20,$J$16,$J$17,$I84,L$21)</f>
        <v>0</v>
      </c>
      <c r="M84" s="9">
        <f ca="1">_xll.DBRW($I$9,$J$13,$J$15,$J$14,M$20,$J$16,$J$17,$I84,M$21)</f>
        <v>0</v>
      </c>
      <c r="N84" s="9">
        <f ca="1">_xll.DBRW($I$9,$J$13,$J$15,$J$14,N$20,$J$16,$J$17,$I84,N$21)</f>
        <v>0</v>
      </c>
      <c r="O84" s="9">
        <f ca="1">_xll.DBRW($I$9,$J$13,$J$15,$J$14,O$20,$J$16,$J$17,$I84,O$21)</f>
        <v>0</v>
      </c>
      <c r="P84" s="9">
        <f ca="1">_xll.DBRW($I$9,$J$13,$J$15,$J$14,P$20,$J$16,$J$17,$I84,P$21)</f>
        <v>0</v>
      </c>
      <c r="Q84" s="9">
        <f ca="1">_xll.DBRW($I$9,$J$13,$J$15,$J$14,Q$20,$J$16,$J$17,$I84,Q$21)</f>
        <v>0</v>
      </c>
      <c r="R84" s="9">
        <f ca="1">_xll.DBRW($I$9,$J$13,$J$15,$J$14,R$20,$J$16,$J$17,$I84,R$21)</f>
        <v>0</v>
      </c>
      <c r="S84" s="9" t="str">
        <f ca="1">_xll.DBR($I$9,$J$13,$J$15,$J$14,S$20,$J$16,$J$17,$I84,S$21)</f>
        <v>*KEY_ERR</v>
      </c>
      <c r="T84" s="9" t="str">
        <f ca="1">_xll.DBR($I$9,$J$13,$J$15,$J$14,T$20,$J$16,$J$17,$I84,T$21)</f>
        <v>*KEY_ERR</v>
      </c>
      <c r="U84" s="9" t="str">
        <f ca="1">_xll.DBR($I$9,$J$13,$J$15,$J$14,U$20,$J$16,$J$17,$I84,U$21)</f>
        <v>*KEY_ERR</v>
      </c>
      <c r="V84" s="9">
        <f ca="1">_xll.DBR($I$9,$J$13,$J$15,$J$14,V$20,$J$16,$J$17,$I84,V$21)</f>
        <v>0</v>
      </c>
      <c r="W84" s="9">
        <f ca="1">_xll.DBR($I$9,$J$13,$J$15,$J$14,W$20,$J$16,$J$17,$I84,W$21)</f>
        <v>0</v>
      </c>
      <c r="X84" s="9">
        <f ca="1">_xll.DBR($I$9,$J$13,$J$15,$J$14,X$20,$J$16,$J$17,$I84,X$21)</f>
        <v>0</v>
      </c>
      <c r="Y84" s="9">
        <f ca="1">_xll.DBR($I$9,$J$13,$J$15,$J$14,Y$20,$J$16,$J$17,$I84,Y$21)</f>
        <v>0</v>
      </c>
      <c r="Z84" s="9">
        <f ca="1">_xll.DBR($I$9,$J$13,$J$15,$J$14,Z$20,$J$16,$J$17,$I84,Z$21)</f>
        <v>0</v>
      </c>
      <c r="AA84" s="9">
        <f ca="1">_xll.DBR($I$9,$J$13,$J$15,$J$14,AA$20,$J$16,$J$17,$I84,AA$21)</f>
        <v>0</v>
      </c>
      <c r="AB84" s="9">
        <f ca="1">_xll.DBR($I$9,$J$13,$J$15,$J$14,AB$20,$J$16,$J$17,$I84,AB$21)</f>
        <v>0</v>
      </c>
      <c r="AC84" s="9">
        <f ca="1">_xll.DBR($I$9,$J$13,$J$15,$J$14,AC$20,$J$16,$J$17,$I84,AC$21)</f>
        <v>0</v>
      </c>
      <c r="AD84" s="9">
        <f ca="1">_xll.DBR($I$9,$J$13,$J$15,$J$14,AD$20,$J$16,$J$17,$I84,AD$21)</f>
        <v>0</v>
      </c>
    </row>
    <row r="85" spans="1:30" x14ac:dyDescent="0.25">
      <c r="A85" t="str">
        <f ca="1">IF(_xll.TM1RPTELISCONSOLIDATED($I$22,$I85),IF(_xll.TM1RPTELLEV($I$22,$I85)&lt;=3,_xll.TM1RPTELLEV($I$22,$I85),"D"),"N")</f>
        <v>D</v>
      </c>
      <c r="I85" s="18" t="s">
        <v>195</v>
      </c>
      <c r="J85" s="9">
        <f ca="1">_xll.DBR($I$9,$J$13,$J$15,$J$14,J$20,$J$16,$J$17,$I85,J$21)</f>
        <v>0</v>
      </c>
      <c r="K85" s="9">
        <f ca="1">_xll.DBR($I$9,$J$13,$J$15,$J$14,K$20,$J$16,$J$17,$I85,K$21)</f>
        <v>0</v>
      </c>
      <c r="L85" s="9">
        <f ca="1">_xll.DBRW($I$9,$J$13,$J$15,$J$14,L$20,$J$16,$J$17,$I85,L$21)</f>
        <v>0</v>
      </c>
      <c r="M85" s="9">
        <f ca="1">_xll.DBRW($I$9,$J$13,$J$15,$J$14,M$20,$J$16,$J$17,$I85,M$21)</f>
        <v>0</v>
      </c>
      <c r="N85" s="9">
        <f ca="1">_xll.DBRW($I$9,$J$13,$J$15,$J$14,N$20,$J$16,$J$17,$I85,N$21)</f>
        <v>0</v>
      </c>
      <c r="O85" s="9">
        <f ca="1">_xll.DBRW($I$9,$J$13,$J$15,$J$14,O$20,$J$16,$J$17,$I85,O$21)</f>
        <v>0</v>
      </c>
      <c r="P85" s="9">
        <f ca="1">_xll.DBRW($I$9,$J$13,$J$15,$J$14,P$20,$J$16,$J$17,$I85,P$21)</f>
        <v>0</v>
      </c>
      <c r="Q85" s="9">
        <f ca="1">_xll.DBRW($I$9,$J$13,$J$15,$J$14,Q$20,$J$16,$J$17,$I85,Q$21)</f>
        <v>0</v>
      </c>
      <c r="R85" s="9">
        <f ca="1">_xll.DBRW($I$9,$J$13,$J$15,$J$14,R$20,$J$16,$J$17,$I85,R$21)</f>
        <v>0</v>
      </c>
      <c r="S85" s="9" t="str">
        <f ca="1">_xll.DBR($I$9,$J$13,$J$15,$J$14,S$20,$J$16,$J$17,$I85,S$21)</f>
        <v>*KEY_ERR</v>
      </c>
      <c r="T85" s="9" t="str">
        <f ca="1">_xll.DBR($I$9,$J$13,$J$15,$J$14,T$20,$J$16,$J$17,$I85,T$21)</f>
        <v>*KEY_ERR</v>
      </c>
      <c r="U85" s="9" t="str">
        <f ca="1">_xll.DBR($I$9,$J$13,$J$15,$J$14,U$20,$J$16,$J$17,$I85,U$21)</f>
        <v>*KEY_ERR</v>
      </c>
      <c r="V85" s="9">
        <f ca="1">_xll.DBR($I$9,$J$13,$J$15,$J$14,V$20,$J$16,$J$17,$I85,V$21)</f>
        <v>0</v>
      </c>
      <c r="W85" s="9">
        <f ca="1">_xll.DBR($I$9,$J$13,$J$15,$J$14,W$20,$J$16,$J$17,$I85,W$21)</f>
        <v>0</v>
      </c>
      <c r="X85" s="9">
        <f ca="1">_xll.DBR($I$9,$J$13,$J$15,$J$14,X$20,$J$16,$J$17,$I85,X$21)</f>
        <v>0</v>
      </c>
      <c r="Y85" s="9">
        <f ca="1">_xll.DBR($I$9,$J$13,$J$15,$J$14,Y$20,$J$16,$J$17,$I85,Y$21)</f>
        <v>0</v>
      </c>
      <c r="Z85" s="9">
        <f ca="1">_xll.DBR($I$9,$J$13,$J$15,$J$14,Z$20,$J$16,$J$17,$I85,Z$21)</f>
        <v>0</v>
      </c>
      <c r="AA85" s="9">
        <f ca="1">_xll.DBR($I$9,$J$13,$J$15,$J$14,AA$20,$J$16,$J$17,$I85,AA$21)</f>
        <v>0</v>
      </c>
      <c r="AB85" s="9">
        <f ca="1">_xll.DBR($I$9,$J$13,$J$15,$J$14,AB$20,$J$16,$J$17,$I85,AB$21)</f>
        <v>0</v>
      </c>
      <c r="AC85" s="9">
        <f ca="1">_xll.DBR($I$9,$J$13,$J$15,$J$14,AC$20,$J$16,$J$17,$I85,AC$21)</f>
        <v>0</v>
      </c>
      <c r="AD85" s="9">
        <f ca="1">_xll.DBR($I$9,$J$13,$J$15,$J$14,AD$20,$J$16,$J$17,$I85,AD$21)</f>
        <v>0</v>
      </c>
    </row>
    <row r="86" spans="1:30" x14ac:dyDescent="0.25">
      <c r="A86" t="str">
        <f ca="1">IF(_xll.TM1RPTELISCONSOLIDATED($I$22,$I86),IF(_xll.TM1RPTELLEV($I$22,$I86)&lt;=3,_xll.TM1RPTELLEV($I$22,$I86),"D"),"N")</f>
        <v>D</v>
      </c>
      <c r="I86" s="18" t="s">
        <v>196</v>
      </c>
      <c r="J86" s="9">
        <f ca="1">_xll.DBR($I$9,$J$13,$J$15,$J$14,J$20,$J$16,$J$17,$I86,J$21)</f>
        <v>0</v>
      </c>
      <c r="K86" s="9">
        <f ca="1">_xll.DBR($I$9,$J$13,$J$15,$J$14,K$20,$J$16,$J$17,$I86,K$21)</f>
        <v>0</v>
      </c>
      <c r="L86" s="9">
        <f ca="1">_xll.DBRW($I$9,$J$13,$J$15,$J$14,L$20,$J$16,$J$17,$I86,L$21)</f>
        <v>0</v>
      </c>
      <c r="M86" s="9">
        <f ca="1">_xll.DBRW($I$9,$J$13,$J$15,$J$14,M$20,$J$16,$J$17,$I86,M$21)</f>
        <v>0</v>
      </c>
      <c r="N86" s="9">
        <f ca="1">_xll.DBRW($I$9,$J$13,$J$15,$J$14,N$20,$J$16,$J$17,$I86,N$21)</f>
        <v>0</v>
      </c>
      <c r="O86" s="9">
        <f ca="1">_xll.DBRW($I$9,$J$13,$J$15,$J$14,O$20,$J$16,$J$17,$I86,O$21)</f>
        <v>0</v>
      </c>
      <c r="P86" s="9">
        <f ca="1">_xll.DBRW($I$9,$J$13,$J$15,$J$14,P$20,$J$16,$J$17,$I86,P$21)</f>
        <v>0</v>
      </c>
      <c r="Q86" s="9">
        <f ca="1">_xll.DBRW($I$9,$J$13,$J$15,$J$14,Q$20,$J$16,$J$17,$I86,Q$21)</f>
        <v>0</v>
      </c>
      <c r="R86" s="9">
        <f ca="1">_xll.DBRW($I$9,$J$13,$J$15,$J$14,R$20,$J$16,$J$17,$I86,R$21)</f>
        <v>0</v>
      </c>
      <c r="S86" s="9" t="str">
        <f ca="1">_xll.DBR($I$9,$J$13,$J$15,$J$14,S$20,$J$16,$J$17,$I86,S$21)</f>
        <v>*KEY_ERR</v>
      </c>
      <c r="T86" s="9" t="str">
        <f ca="1">_xll.DBR($I$9,$J$13,$J$15,$J$14,T$20,$J$16,$J$17,$I86,T$21)</f>
        <v>*KEY_ERR</v>
      </c>
      <c r="U86" s="9" t="str">
        <f ca="1">_xll.DBR($I$9,$J$13,$J$15,$J$14,U$20,$J$16,$J$17,$I86,U$21)</f>
        <v>*KEY_ERR</v>
      </c>
      <c r="V86" s="9">
        <f ca="1">_xll.DBR($I$9,$J$13,$J$15,$J$14,V$20,$J$16,$J$17,$I86,V$21)</f>
        <v>0</v>
      </c>
      <c r="W86" s="9">
        <f ca="1">_xll.DBR($I$9,$J$13,$J$15,$J$14,W$20,$J$16,$J$17,$I86,W$21)</f>
        <v>0</v>
      </c>
      <c r="X86" s="9">
        <f ca="1">_xll.DBR($I$9,$J$13,$J$15,$J$14,X$20,$J$16,$J$17,$I86,X$21)</f>
        <v>0</v>
      </c>
      <c r="Y86" s="9">
        <f ca="1">_xll.DBR($I$9,$J$13,$J$15,$J$14,Y$20,$J$16,$J$17,$I86,Y$21)</f>
        <v>0</v>
      </c>
      <c r="Z86" s="9">
        <f ca="1">_xll.DBR($I$9,$J$13,$J$15,$J$14,Z$20,$J$16,$J$17,$I86,Z$21)</f>
        <v>0</v>
      </c>
      <c r="AA86" s="9">
        <f ca="1">_xll.DBR($I$9,$J$13,$J$15,$J$14,AA$20,$J$16,$J$17,$I86,AA$21)</f>
        <v>0</v>
      </c>
      <c r="AB86" s="9">
        <f ca="1">_xll.DBR($I$9,$J$13,$J$15,$J$14,AB$20,$J$16,$J$17,$I86,AB$21)</f>
        <v>0</v>
      </c>
      <c r="AC86" s="9">
        <f ca="1">_xll.DBR($I$9,$J$13,$J$15,$J$14,AC$20,$J$16,$J$17,$I86,AC$21)</f>
        <v>0</v>
      </c>
      <c r="AD86" s="9">
        <f ca="1">_xll.DBR($I$9,$J$13,$J$15,$J$14,AD$20,$J$16,$J$17,$I86,AD$21)</f>
        <v>0</v>
      </c>
    </row>
    <row r="87" spans="1:30" x14ac:dyDescent="0.25">
      <c r="A87" t="str">
        <f ca="1">IF(_xll.TM1RPTELISCONSOLIDATED($I$22,$I87),IF(_xll.TM1RPTELLEV($I$22,$I87)&lt;=3,_xll.TM1RPTELLEV($I$22,$I87),"D"),"N")</f>
        <v>D</v>
      </c>
      <c r="I87" s="18" t="s">
        <v>197</v>
      </c>
      <c r="J87" s="9">
        <f ca="1">_xll.DBR($I$9,$J$13,$J$15,$J$14,J$20,$J$16,$J$17,$I87,J$21)</f>
        <v>0</v>
      </c>
      <c r="K87" s="9">
        <f ca="1">_xll.DBR($I$9,$J$13,$J$15,$J$14,K$20,$J$16,$J$17,$I87,K$21)</f>
        <v>0</v>
      </c>
      <c r="L87" s="9">
        <f ca="1">_xll.DBRW($I$9,$J$13,$J$15,$J$14,L$20,$J$16,$J$17,$I87,L$21)</f>
        <v>0</v>
      </c>
      <c r="M87" s="9">
        <f ca="1">_xll.DBRW($I$9,$J$13,$J$15,$J$14,M$20,$J$16,$J$17,$I87,M$21)</f>
        <v>0</v>
      </c>
      <c r="N87" s="9">
        <f ca="1">_xll.DBRW($I$9,$J$13,$J$15,$J$14,N$20,$J$16,$J$17,$I87,N$21)</f>
        <v>0</v>
      </c>
      <c r="O87" s="9">
        <f ca="1">_xll.DBRW($I$9,$J$13,$J$15,$J$14,O$20,$J$16,$J$17,$I87,O$21)</f>
        <v>0</v>
      </c>
      <c r="P87" s="9">
        <f ca="1">_xll.DBRW($I$9,$J$13,$J$15,$J$14,P$20,$J$16,$J$17,$I87,P$21)</f>
        <v>0</v>
      </c>
      <c r="Q87" s="9">
        <f ca="1">_xll.DBRW($I$9,$J$13,$J$15,$J$14,Q$20,$J$16,$J$17,$I87,Q$21)</f>
        <v>0</v>
      </c>
      <c r="R87" s="9">
        <f ca="1">_xll.DBRW($I$9,$J$13,$J$15,$J$14,R$20,$J$16,$J$17,$I87,R$21)</f>
        <v>0</v>
      </c>
      <c r="S87" s="9" t="str">
        <f ca="1">_xll.DBR($I$9,$J$13,$J$15,$J$14,S$20,$J$16,$J$17,$I87,S$21)</f>
        <v>*KEY_ERR</v>
      </c>
      <c r="T87" s="9" t="str">
        <f ca="1">_xll.DBR($I$9,$J$13,$J$15,$J$14,T$20,$J$16,$J$17,$I87,T$21)</f>
        <v>*KEY_ERR</v>
      </c>
      <c r="U87" s="9" t="str">
        <f ca="1">_xll.DBR($I$9,$J$13,$J$15,$J$14,U$20,$J$16,$J$17,$I87,U$21)</f>
        <v>*KEY_ERR</v>
      </c>
      <c r="V87" s="9">
        <f ca="1">_xll.DBR($I$9,$J$13,$J$15,$J$14,V$20,$J$16,$J$17,$I87,V$21)</f>
        <v>0</v>
      </c>
      <c r="W87" s="9">
        <f ca="1">_xll.DBR($I$9,$J$13,$J$15,$J$14,W$20,$J$16,$J$17,$I87,W$21)</f>
        <v>0</v>
      </c>
      <c r="X87" s="9">
        <f ca="1">_xll.DBR($I$9,$J$13,$J$15,$J$14,X$20,$J$16,$J$17,$I87,X$21)</f>
        <v>0</v>
      </c>
      <c r="Y87" s="9">
        <f ca="1">_xll.DBR($I$9,$J$13,$J$15,$J$14,Y$20,$J$16,$J$17,$I87,Y$21)</f>
        <v>0</v>
      </c>
      <c r="Z87" s="9">
        <f ca="1">_xll.DBR($I$9,$J$13,$J$15,$J$14,Z$20,$J$16,$J$17,$I87,Z$21)</f>
        <v>0</v>
      </c>
      <c r="AA87" s="9">
        <f ca="1">_xll.DBR($I$9,$J$13,$J$15,$J$14,AA$20,$J$16,$J$17,$I87,AA$21)</f>
        <v>0</v>
      </c>
      <c r="AB87" s="9">
        <f ca="1">_xll.DBR($I$9,$J$13,$J$15,$J$14,AB$20,$J$16,$J$17,$I87,AB$21)</f>
        <v>0</v>
      </c>
      <c r="AC87" s="9">
        <f ca="1">_xll.DBR($I$9,$J$13,$J$15,$J$14,AC$20,$J$16,$J$17,$I87,AC$21)</f>
        <v>0</v>
      </c>
      <c r="AD87" s="9">
        <f ca="1">_xll.DBR($I$9,$J$13,$J$15,$J$14,AD$20,$J$16,$J$17,$I87,AD$21)</f>
        <v>0</v>
      </c>
    </row>
    <row r="88" spans="1:30" x14ac:dyDescent="0.25">
      <c r="A88" t="str">
        <f ca="1">IF(_xll.TM1RPTELISCONSOLIDATED($I$22,$I88),IF(_xll.TM1RPTELLEV($I$22,$I88)&lt;=3,_xll.TM1RPTELLEV($I$22,$I88),"D"),"N")</f>
        <v>D</v>
      </c>
      <c r="I88" s="18" t="s">
        <v>198</v>
      </c>
      <c r="J88" s="9">
        <f ca="1">_xll.DBR($I$9,$J$13,$J$15,$J$14,J$20,$J$16,$J$17,$I88,J$21)</f>
        <v>0</v>
      </c>
      <c r="K88" s="9">
        <f ca="1">_xll.DBR($I$9,$J$13,$J$15,$J$14,K$20,$J$16,$J$17,$I88,K$21)</f>
        <v>0</v>
      </c>
      <c r="L88" s="9">
        <f ca="1">_xll.DBRW($I$9,$J$13,$J$15,$J$14,L$20,$J$16,$J$17,$I88,L$21)</f>
        <v>0</v>
      </c>
      <c r="M88" s="9">
        <f ca="1">_xll.DBRW($I$9,$J$13,$J$15,$J$14,M$20,$J$16,$J$17,$I88,M$21)</f>
        <v>0</v>
      </c>
      <c r="N88" s="9">
        <f ca="1">_xll.DBRW($I$9,$J$13,$J$15,$J$14,N$20,$J$16,$J$17,$I88,N$21)</f>
        <v>0</v>
      </c>
      <c r="O88" s="9">
        <f ca="1">_xll.DBRW($I$9,$J$13,$J$15,$J$14,O$20,$J$16,$J$17,$I88,O$21)</f>
        <v>0</v>
      </c>
      <c r="P88" s="9">
        <f ca="1">_xll.DBRW($I$9,$J$13,$J$15,$J$14,P$20,$J$16,$J$17,$I88,P$21)</f>
        <v>0</v>
      </c>
      <c r="Q88" s="9">
        <f ca="1">_xll.DBRW($I$9,$J$13,$J$15,$J$14,Q$20,$J$16,$J$17,$I88,Q$21)</f>
        <v>0</v>
      </c>
      <c r="R88" s="9">
        <f ca="1">_xll.DBRW($I$9,$J$13,$J$15,$J$14,R$20,$J$16,$J$17,$I88,R$21)</f>
        <v>0</v>
      </c>
      <c r="S88" s="9" t="str">
        <f ca="1">_xll.DBR($I$9,$J$13,$J$15,$J$14,S$20,$J$16,$J$17,$I88,S$21)</f>
        <v>*KEY_ERR</v>
      </c>
      <c r="T88" s="9" t="str">
        <f ca="1">_xll.DBR($I$9,$J$13,$J$15,$J$14,T$20,$J$16,$J$17,$I88,T$21)</f>
        <v>*KEY_ERR</v>
      </c>
      <c r="U88" s="9" t="str">
        <f ca="1">_xll.DBR($I$9,$J$13,$J$15,$J$14,U$20,$J$16,$J$17,$I88,U$21)</f>
        <v>*KEY_ERR</v>
      </c>
      <c r="V88" s="9">
        <f ca="1">_xll.DBR($I$9,$J$13,$J$15,$J$14,V$20,$J$16,$J$17,$I88,V$21)</f>
        <v>0</v>
      </c>
      <c r="W88" s="9">
        <f ca="1">_xll.DBR($I$9,$J$13,$J$15,$J$14,W$20,$J$16,$J$17,$I88,W$21)</f>
        <v>0</v>
      </c>
      <c r="X88" s="9">
        <f ca="1">_xll.DBR($I$9,$J$13,$J$15,$J$14,X$20,$J$16,$J$17,$I88,X$21)</f>
        <v>0</v>
      </c>
      <c r="Y88" s="9">
        <f ca="1">_xll.DBR($I$9,$J$13,$J$15,$J$14,Y$20,$J$16,$J$17,$I88,Y$21)</f>
        <v>0</v>
      </c>
      <c r="Z88" s="9">
        <f ca="1">_xll.DBR($I$9,$J$13,$J$15,$J$14,Z$20,$J$16,$J$17,$I88,Z$21)</f>
        <v>0</v>
      </c>
      <c r="AA88" s="9">
        <f ca="1">_xll.DBR($I$9,$J$13,$J$15,$J$14,AA$20,$J$16,$J$17,$I88,AA$21)</f>
        <v>0</v>
      </c>
      <c r="AB88" s="9">
        <f ca="1">_xll.DBR($I$9,$J$13,$J$15,$J$14,AB$20,$J$16,$J$17,$I88,AB$21)</f>
        <v>0</v>
      </c>
      <c r="AC88" s="9">
        <f ca="1">_xll.DBR($I$9,$J$13,$J$15,$J$14,AC$20,$J$16,$J$17,$I88,AC$21)</f>
        <v>0</v>
      </c>
      <c r="AD88" s="9">
        <f ca="1">_xll.DBR($I$9,$J$13,$J$15,$J$14,AD$20,$J$16,$J$17,$I88,AD$21)</f>
        <v>0</v>
      </c>
    </row>
    <row r="89" spans="1:30" x14ac:dyDescent="0.25">
      <c r="A89" t="str">
        <f ca="1">IF(_xll.TM1RPTELISCONSOLIDATED($I$22,$I89),IF(_xll.TM1RPTELLEV($I$22,$I89)&lt;=3,_xll.TM1RPTELLEV($I$22,$I89),"D"),"N")</f>
        <v>D</v>
      </c>
      <c r="I89" s="18" t="s">
        <v>199</v>
      </c>
      <c r="J89" s="9">
        <f ca="1">_xll.DBR($I$9,$J$13,$J$15,$J$14,J$20,$J$16,$J$17,$I89,J$21)</f>
        <v>0</v>
      </c>
      <c r="K89" s="9">
        <f ca="1">_xll.DBR($I$9,$J$13,$J$15,$J$14,K$20,$J$16,$J$17,$I89,K$21)</f>
        <v>0</v>
      </c>
      <c r="L89" s="9">
        <f ca="1">_xll.DBRW($I$9,$J$13,$J$15,$J$14,L$20,$J$16,$J$17,$I89,L$21)</f>
        <v>0</v>
      </c>
      <c r="M89" s="9">
        <f ca="1">_xll.DBRW($I$9,$J$13,$J$15,$J$14,M$20,$J$16,$J$17,$I89,M$21)</f>
        <v>0</v>
      </c>
      <c r="N89" s="9">
        <f ca="1">_xll.DBRW($I$9,$J$13,$J$15,$J$14,N$20,$J$16,$J$17,$I89,N$21)</f>
        <v>0</v>
      </c>
      <c r="O89" s="9">
        <f ca="1">_xll.DBRW($I$9,$J$13,$J$15,$J$14,O$20,$J$16,$J$17,$I89,O$21)</f>
        <v>0</v>
      </c>
      <c r="P89" s="9">
        <f ca="1">_xll.DBRW($I$9,$J$13,$J$15,$J$14,P$20,$J$16,$J$17,$I89,P$21)</f>
        <v>0</v>
      </c>
      <c r="Q89" s="9">
        <f ca="1">_xll.DBRW($I$9,$J$13,$J$15,$J$14,Q$20,$J$16,$J$17,$I89,Q$21)</f>
        <v>0</v>
      </c>
      <c r="R89" s="9">
        <f ca="1">_xll.DBRW($I$9,$J$13,$J$15,$J$14,R$20,$J$16,$J$17,$I89,R$21)</f>
        <v>0</v>
      </c>
      <c r="S89" s="9" t="str">
        <f ca="1">_xll.DBR($I$9,$J$13,$J$15,$J$14,S$20,$J$16,$J$17,$I89,S$21)</f>
        <v>*KEY_ERR</v>
      </c>
      <c r="T89" s="9" t="str">
        <f ca="1">_xll.DBR($I$9,$J$13,$J$15,$J$14,T$20,$J$16,$J$17,$I89,T$21)</f>
        <v>*KEY_ERR</v>
      </c>
      <c r="U89" s="9" t="str">
        <f ca="1">_xll.DBR($I$9,$J$13,$J$15,$J$14,U$20,$J$16,$J$17,$I89,U$21)</f>
        <v>*KEY_ERR</v>
      </c>
      <c r="V89" s="9">
        <f ca="1">_xll.DBR($I$9,$J$13,$J$15,$J$14,V$20,$J$16,$J$17,$I89,V$21)</f>
        <v>0</v>
      </c>
      <c r="W89" s="9">
        <f ca="1">_xll.DBR($I$9,$J$13,$J$15,$J$14,W$20,$J$16,$J$17,$I89,W$21)</f>
        <v>0</v>
      </c>
      <c r="X89" s="9">
        <f ca="1">_xll.DBR($I$9,$J$13,$J$15,$J$14,X$20,$J$16,$J$17,$I89,X$21)</f>
        <v>0</v>
      </c>
      <c r="Y89" s="9">
        <f ca="1">_xll.DBR($I$9,$J$13,$J$15,$J$14,Y$20,$J$16,$J$17,$I89,Y$21)</f>
        <v>0</v>
      </c>
      <c r="Z89" s="9">
        <f ca="1">_xll.DBR($I$9,$J$13,$J$15,$J$14,Z$20,$J$16,$J$17,$I89,Z$21)</f>
        <v>0</v>
      </c>
      <c r="AA89" s="9">
        <f ca="1">_xll.DBR($I$9,$J$13,$J$15,$J$14,AA$20,$J$16,$J$17,$I89,AA$21)</f>
        <v>0</v>
      </c>
      <c r="AB89" s="9">
        <f ca="1">_xll.DBR($I$9,$J$13,$J$15,$J$14,AB$20,$J$16,$J$17,$I89,AB$21)</f>
        <v>0</v>
      </c>
      <c r="AC89" s="9">
        <f ca="1">_xll.DBR($I$9,$J$13,$J$15,$J$14,AC$20,$J$16,$J$17,$I89,AC$21)</f>
        <v>0</v>
      </c>
      <c r="AD89" s="9">
        <f ca="1">_xll.DBR($I$9,$J$13,$J$15,$J$14,AD$20,$J$16,$J$17,$I89,AD$21)</f>
        <v>0</v>
      </c>
    </row>
    <row r="90" spans="1:30" x14ac:dyDescent="0.25">
      <c r="A90">
        <f ca="1">IF(_xll.TM1RPTELISCONSOLIDATED($I$22,$I90),IF(_xll.TM1RPTELLEV($I$22,$I90)&lt;=3,_xll.TM1RPTELLEV($I$22,$I90),"D"),"N")</f>
        <v>3</v>
      </c>
      <c r="I90" s="23" t="s">
        <v>73</v>
      </c>
      <c r="J90" s="7">
        <f ca="1">_xll.DBR($I$9,$J$13,$J$15,$J$14,J$20,$J$16,$J$17,$I90,J$21)</f>
        <v>0</v>
      </c>
      <c r="K90" s="7">
        <f ca="1">_xll.DBR($I$9,$J$13,$J$15,$J$14,K$20,$J$16,$J$17,$I90,K$21)</f>
        <v>0</v>
      </c>
      <c r="L90" s="7">
        <f ca="1">_xll.DBRW($I$9,$J$13,$J$15,$J$14,L$20,$J$16,$J$17,$I90,L$21)</f>
        <v>0</v>
      </c>
      <c r="M90" s="7">
        <f ca="1">_xll.DBRW($I$9,$J$13,$J$15,$J$14,M$20,$J$16,$J$17,$I90,M$21)</f>
        <v>0</v>
      </c>
      <c r="N90" s="7">
        <f ca="1">_xll.DBRW($I$9,$J$13,$J$15,$J$14,N$20,$J$16,$J$17,$I90,N$21)</f>
        <v>0</v>
      </c>
      <c r="O90" s="7">
        <f ca="1">_xll.DBRW($I$9,$J$13,$J$15,$J$14,O$20,$J$16,$J$17,$I90,O$21)</f>
        <v>0</v>
      </c>
      <c r="P90" s="7">
        <f ca="1">_xll.DBRW($I$9,$J$13,$J$15,$J$14,P$20,$J$16,$J$17,$I90,P$21)</f>
        <v>0</v>
      </c>
      <c r="Q90" s="7">
        <f ca="1">_xll.DBRW($I$9,$J$13,$J$15,$J$14,Q$20,$J$16,$J$17,$I90,Q$21)</f>
        <v>0</v>
      </c>
      <c r="R90" s="7">
        <f ca="1">_xll.DBRW($I$9,$J$13,$J$15,$J$14,R$20,$J$16,$J$17,$I90,R$21)</f>
        <v>0</v>
      </c>
      <c r="S90" s="7" t="str">
        <f ca="1">_xll.DBR($I$9,$J$13,$J$15,$J$14,S$20,$J$16,$J$17,$I90,S$21)</f>
        <v>*KEY_ERR</v>
      </c>
      <c r="T90" s="7" t="str">
        <f ca="1">_xll.DBR($I$9,$J$13,$J$15,$J$14,T$20,$J$16,$J$17,$I90,T$21)</f>
        <v>*KEY_ERR</v>
      </c>
      <c r="U90" s="7" t="str">
        <f ca="1">_xll.DBR($I$9,$J$13,$J$15,$J$14,U$20,$J$16,$J$17,$I90,U$21)</f>
        <v>*KEY_ERR</v>
      </c>
      <c r="V90" s="7">
        <f ca="1">_xll.DBR($I$9,$J$13,$J$15,$J$14,V$20,$J$16,$J$17,$I90,V$21)</f>
        <v>0</v>
      </c>
      <c r="W90" s="7">
        <f ca="1">_xll.DBR($I$9,$J$13,$J$15,$J$14,W$20,$J$16,$J$17,$I90,W$21)</f>
        <v>0</v>
      </c>
      <c r="X90" s="7">
        <f ca="1">_xll.DBR($I$9,$J$13,$J$15,$J$14,X$20,$J$16,$J$17,$I90,X$21)</f>
        <v>0</v>
      </c>
      <c r="Y90" s="7">
        <f ca="1">_xll.DBR($I$9,$J$13,$J$15,$J$14,Y$20,$J$16,$J$17,$I90,Y$21)</f>
        <v>0</v>
      </c>
      <c r="Z90" s="7">
        <f ca="1">_xll.DBR($I$9,$J$13,$J$15,$J$14,Z$20,$J$16,$J$17,$I90,Z$21)</f>
        <v>0</v>
      </c>
      <c r="AA90" s="7">
        <f ca="1">_xll.DBR($I$9,$J$13,$J$15,$J$14,AA$20,$J$16,$J$17,$I90,AA$21)</f>
        <v>0</v>
      </c>
      <c r="AB90" s="7">
        <f ca="1">_xll.DBR($I$9,$J$13,$J$15,$J$14,AB$20,$J$16,$J$17,$I90,AB$21)</f>
        <v>0</v>
      </c>
      <c r="AC90" s="7">
        <f ca="1">_xll.DBR($I$9,$J$13,$J$15,$J$14,AC$20,$J$16,$J$17,$I90,AC$21)</f>
        <v>0</v>
      </c>
      <c r="AD90" s="7">
        <f ca="1">_xll.DBR($I$9,$J$13,$J$15,$J$14,AD$20,$J$16,$J$17,$I90,AD$21)</f>
        <v>0</v>
      </c>
    </row>
    <row r="91" spans="1:30" x14ac:dyDescent="0.25">
      <c r="A91" t="str">
        <f ca="1">IF(_xll.TM1RPTELISCONSOLIDATED($I$22,$I91),IF(_xll.TM1RPTELLEV($I$22,$I91)&lt;=3,_xll.TM1RPTELLEV($I$22,$I91),"D"),"N")</f>
        <v>D</v>
      </c>
      <c r="I91" s="19" t="s">
        <v>74</v>
      </c>
      <c r="J91" s="9">
        <f ca="1">_xll.DBR($I$9,$J$13,$J$15,$J$14,J$20,$J$16,$J$17,$I91,J$21)</f>
        <v>0</v>
      </c>
      <c r="K91" s="9">
        <f ca="1">_xll.DBR($I$9,$J$13,$J$15,$J$14,K$20,$J$16,$J$17,$I91,K$21)</f>
        <v>0</v>
      </c>
      <c r="L91" s="9">
        <f ca="1">_xll.DBRW($I$9,$J$13,$J$15,$J$14,L$20,$J$16,$J$17,$I91,L$21)</f>
        <v>0</v>
      </c>
      <c r="M91" s="9">
        <f ca="1">_xll.DBRW($I$9,$J$13,$J$15,$J$14,M$20,$J$16,$J$17,$I91,M$21)</f>
        <v>0</v>
      </c>
      <c r="N91" s="9">
        <f ca="1">_xll.DBRW($I$9,$J$13,$J$15,$J$14,N$20,$J$16,$J$17,$I91,N$21)</f>
        <v>0</v>
      </c>
      <c r="O91" s="9">
        <f ca="1">_xll.DBRW($I$9,$J$13,$J$15,$J$14,O$20,$J$16,$J$17,$I91,O$21)</f>
        <v>0</v>
      </c>
      <c r="P91" s="9">
        <f ca="1">_xll.DBRW($I$9,$J$13,$J$15,$J$14,P$20,$J$16,$J$17,$I91,P$21)</f>
        <v>0</v>
      </c>
      <c r="Q91" s="9">
        <f ca="1">_xll.DBRW($I$9,$J$13,$J$15,$J$14,Q$20,$J$16,$J$17,$I91,Q$21)</f>
        <v>0</v>
      </c>
      <c r="R91" s="9">
        <f ca="1">_xll.DBRW($I$9,$J$13,$J$15,$J$14,R$20,$J$16,$J$17,$I91,R$21)</f>
        <v>0</v>
      </c>
      <c r="S91" s="9" t="str">
        <f ca="1">_xll.DBR($I$9,$J$13,$J$15,$J$14,S$20,$J$16,$J$17,$I91,S$21)</f>
        <v>*KEY_ERR</v>
      </c>
      <c r="T91" s="9" t="str">
        <f ca="1">_xll.DBR($I$9,$J$13,$J$15,$J$14,T$20,$J$16,$J$17,$I91,T$21)</f>
        <v>*KEY_ERR</v>
      </c>
      <c r="U91" s="9" t="str">
        <f ca="1">_xll.DBR($I$9,$J$13,$J$15,$J$14,U$20,$J$16,$J$17,$I91,U$21)</f>
        <v>*KEY_ERR</v>
      </c>
      <c r="V91" s="9">
        <f ca="1">_xll.DBR($I$9,$J$13,$J$15,$J$14,V$20,$J$16,$J$17,$I91,V$21)</f>
        <v>0</v>
      </c>
      <c r="W91" s="9">
        <f ca="1">_xll.DBR($I$9,$J$13,$J$15,$J$14,W$20,$J$16,$J$17,$I91,W$21)</f>
        <v>0</v>
      </c>
      <c r="X91" s="9">
        <f ca="1">_xll.DBR($I$9,$J$13,$J$15,$J$14,X$20,$J$16,$J$17,$I91,X$21)</f>
        <v>0</v>
      </c>
      <c r="Y91" s="9">
        <f ca="1">_xll.DBR($I$9,$J$13,$J$15,$J$14,Y$20,$J$16,$J$17,$I91,Y$21)</f>
        <v>0</v>
      </c>
      <c r="Z91" s="9">
        <f ca="1">_xll.DBR($I$9,$J$13,$J$15,$J$14,Z$20,$J$16,$J$17,$I91,Z$21)</f>
        <v>0</v>
      </c>
      <c r="AA91" s="9">
        <f ca="1">_xll.DBR($I$9,$J$13,$J$15,$J$14,AA$20,$J$16,$J$17,$I91,AA$21)</f>
        <v>0</v>
      </c>
      <c r="AB91" s="9">
        <f ca="1">_xll.DBR($I$9,$J$13,$J$15,$J$14,AB$20,$J$16,$J$17,$I91,AB$21)</f>
        <v>0</v>
      </c>
      <c r="AC91" s="9">
        <f ca="1">_xll.DBR($I$9,$J$13,$J$15,$J$14,AC$20,$J$16,$J$17,$I91,AC$21)</f>
        <v>0</v>
      </c>
      <c r="AD91" s="9">
        <f ca="1">_xll.DBR($I$9,$J$13,$J$15,$J$14,AD$20,$J$16,$J$17,$I91,AD$21)</f>
        <v>0</v>
      </c>
    </row>
    <row r="92" spans="1:30" x14ac:dyDescent="0.25">
      <c r="A92" t="str">
        <f ca="1">IF(_xll.TM1RPTELISCONSOLIDATED($I$22,$I92),IF(_xll.TM1RPTELLEV($I$22,$I92)&lt;=3,_xll.TM1RPTELLEV($I$22,$I92),"D"),"N")</f>
        <v>D</v>
      </c>
      <c r="I92" s="20" t="s">
        <v>75</v>
      </c>
      <c r="J92" s="9">
        <f ca="1">_xll.DBR($I$9,$J$13,$J$15,$J$14,J$20,$J$16,$J$17,$I92,J$21)</f>
        <v>0</v>
      </c>
      <c r="K92" s="9">
        <f ca="1">_xll.DBR($I$9,$J$13,$J$15,$J$14,K$20,$J$16,$J$17,$I92,K$21)</f>
        <v>0</v>
      </c>
      <c r="L92" s="9">
        <f ca="1">_xll.DBRW($I$9,$J$13,$J$15,$J$14,L$20,$J$16,$J$17,$I92,L$21)</f>
        <v>0</v>
      </c>
      <c r="M92" s="9">
        <f ca="1">_xll.DBRW($I$9,$J$13,$J$15,$J$14,M$20,$J$16,$J$17,$I92,M$21)</f>
        <v>0</v>
      </c>
      <c r="N92" s="9">
        <f ca="1">_xll.DBRW($I$9,$J$13,$J$15,$J$14,N$20,$J$16,$J$17,$I92,N$21)</f>
        <v>0</v>
      </c>
      <c r="O92" s="9">
        <f ca="1">_xll.DBRW($I$9,$J$13,$J$15,$J$14,O$20,$J$16,$J$17,$I92,O$21)</f>
        <v>0</v>
      </c>
      <c r="P92" s="9">
        <f ca="1">_xll.DBRW($I$9,$J$13,$J$15,$J$14,P$20,$J$16,$J$17,$I92,P$21)</f>
        <v>0</v>
      </c>
      <c r="Q92" s="9">
        <f ca="1">_xll.DBRW($I$9,$J$13,$J$15,$J$14,Q$20,$J$16,$J$17,$I92,Q$21)</f>
        <v>0</v>
      </c>
      <c r="R92" s="9">
        <f ca="1">_xll.DBRW($I$9,$J$13,$J$15,$J$14,R$20,$J$16,$J$17,$I92,R$21)</f>
        <v>0</v>
      </c>
      <c r="S92" s="9" t="str">
        <f ca="1">_xll.DBR($I$9,$J$13,$J$15,$J$14,S$20,$J$16,$J$17,$I92,S$21)</f>
        <v>*KEY_ERR</v>
      </c>
      <c r="T92" s="9" t="str">
        <f ca="1">_xll.DBR($I$9,$J$13,$J$15,$J$14,T$20,$J$16,$J$17,$I92,T$21)</f>
        <v>*KEY_ERR</v>
      </c>
      <c r="U92" s="9" t="str">
        <f ca="1">_xll.DBR($I$9,$J$13,$J$15,$J$14,U$20,$J$16,$J$17,$I92,U$21)</f>
        <v>*KEY_ERR</v>
      </c>
      <c r="V92" s="9">
        <f ca="1">_xll.DBR($I$9,$J$13,$J$15,$J$14,V$20,$J$16,$J$17,$I92,V$21)</f>
        <v>0</v>
      </c>
      <c r="W92" s="9">
        <f ca="1">_xll.DBR($I$9,$J$13,$J$15,$J$14,W$20,$J$16,$J$17,$I92,W$21)</f>
        <v>0</v>
      </c>
      <c r="X92" s="9">
        <f ca="1">_xll.DBR($I$9,$J$13,$J$15,$J$14,X$20,$J$16,$J$17,$I92,X$21)</f>
        <v>0</v>
      </c>
      <c r="Y92" s="9">
        <f ca="1">_xll.DBR($I$9,$J$13,$J$15,$J$14,Y$20,$J$16,$J$17,$I92,Y$21)</f>
        <v>0</v>
      </c>
      <c r="Z92" s="9">
        <f ca="1">_xll.DBR($I$9,$J$13,$J$15,$J$14,Z$20,$J$16,$J$17,$I92,Z$21)</f>
        <v>0</v>
      </c>
      <c r="AA92" s="9">
        <f ca="1">_xll.DBR($I$9,$J$13,$J$15,$J$14,AA$20,$J$16,$J$17,$I92,AA$21)</f>
        <v>0</v>
      </c>
      <c r="AB92" s="9">
        <f ca="1">_xll.DBR($I$9,$J$13,$J$15,$J$14,AB$20,$J$16,$J$17,$I92,AB$21)</f>
        <v>0</v>
      </c>
      <c r="AC92" s="9">
        <f ca="1">_xll.DBR($I$9,$J$13,$J$15,$J$14,AC$20,$J$16,$J$17,$I92,AC$21)</f>
        <v>0</v>
      </c>
      <c r="AD92" s="9">
        <f ca="1">_xll.DBR($I$9,$J$13,$J$15,$J$14,AD$20,$J$16,$J$17,$I92,AD$21)</f>
        <v>0</v>
      </c>
    </row>
    <row r="93" spans="1:30" x14ac:dyDescent="0.25">
      <c r="A93" t="str">
        <f ca="1">IF(_xll.TM1RPTELISCONSOLIDATED($I$22,$I93),IF(_xll.TM1RPTELLEV($I$22,$I93)&lt;=3,_xll.TM1RPTELLEV($I$22,$I93),"D"),"N")</f>
        <v>D</v>
      </c>
      <c r="I93" s="20" t="s">
        <v>76</v>
      </c>
      <c r="J93" s="9">
        <f ca="1">_xll.DBR($I$9,$J$13,$J$15,$J$14,J$20,$J$16,$J$17,$I93,J$21)</f>
        <v>0</v>
      </c>
      <c r="K93" s="9">
        <f ca="1">_xll.DBR($I$9,$J$13,$J$15,$J$14,K$20,$J$16,$J$17,$I93,K$21)</f>
        <v>0</v>
      </c>
      <c r="L93" s="9">
        <f ca="1">_xll.DBRW($I$9,$J$13,$J$15,$J$14,L$20,$J$16,$J$17,$I93,L$21)</f>
        <v>0</v>
      </c>
      <c r="M93" s="9">
        <f ca="1">_xll.DBRW($I$9,$J$13,$J$15,$J$14,M$20,$J$16,$J$17,$I93,M$21)</f>
        <v>0</v>
      </c>
      <c r="N93" s="9">
        <f ca="1">_xll.DBRW($I$9,$J$13,$J$15,$J$14,N$20,$J$16,$J$17,$I93,N$21)</f>
        <v>0</v>
      </c>
      <c r="O93" s="9">
        <f ca="1">_xll.DBRW($I$9,$J$13,$J$15,$J$14,O$20,$J$16,$J$17,$I93,O$21)</f>
        <v>0</v>
      </c>
      <c r="P93" s="9">
        <f ca="1">_xll.DBRW($I$9,$J$13,$J$15,$J$14,P$20,$J$16,$J$17,$I93,P$21)</f>
        <v>0</v>
      </c>
      <c r="Q93" s="9">
        <f ca="1">_xll.DBRW($I$9,$J$13,$J$15,$J$14,Q$20,$J$16,$J$17,$I93,Q$21)</f>
        <v>0</v>
      </c>
      <c r="R93" s="9">
        <f ca="1">_xll.DBRW($I$9,$J$13,$J$15,$J$14,R$20,$J$16,$J$17,$I93,R$21)</f>
        <v>0</v>
      </c>
      <c r="S93" s="9" t="str">
        <f ca="1">_xll.DBR($I$9,$J$13,$J$15,$J$14,S$20,$J$16,$J$17,$I93,S$21)</f>
        <v>*KEY_ERR</v>
      </c>
      <c r="T93" s="9" t="str">
        <f ca="1">_xll.DBR($I$9,$J$13,$J$15,$J$14,T$20,$J$16,$J$17,$I93,T$21)</f>
        <v>*KEY_ERR</v>
      </c>
      <c r="U93" s="9" t="str">
        <f ca="1">_xll.DBR($I$9,$J$13,$J$15,$J$14,U$20,$J$16,$J$17,$I93,U$21)</f>
        <v>*KEY_ERR</v>
      </c>
      <c r="V93" s="9">
        <f ca="1">_xll.DBR($I$9,$J$13,$J$15,$J$14,V$20,$J$16,$J$17,$I93,V$21)</f>
        <v>0</v>
      </c>
      <c r="W93" s="9">
        <f ca="1">_xll.DBR($I$9,$J$13,$J$15,$J$14,W$20,$J$16,$J$17,$I93,W$21)</f>
        <v>0</v>
      </c>
      <c r="X93" s="9">
        <f ca="1">_xll.DBR($I$9,$J$13,$J$15,$J$14,X$20,$J$16,$J$17,$I93,X$21)</f>
        <v>0</v>
      </c>
      <c r="Y93" s="9">
        <f ca="1">_xll.DBR($I$9,$J$13,$J$15,$J$14,Y$20,$J$16,$J$17,$I93,Y$21)</f>
        <v>0</v>
      </c>
      <c r="Z93" s="9">
        <f ca="1">_xll.DBR($I$9,$J$13,$J$15,$J$14,Z$20,$J$16,$J$17,$I93,Z$21)</f>
        <v>0</v>
      </c>
      <c r="AA93" s="9">
        <f ca="1">_xll.DBR($I$9,$J$13,$J$15,$J$14,AA$20,$J$16,$J$17,$I93,AA$21)</f>
        <v>0</v>
      </c>
      <c r="AB93" s="9">
        <f ca="1">_xll.DBR($I$9,$J$13,$J$15,$J$14,AB$20,$J$16,$J$17,$I93,AB$21)</f>
        <v>0</v>
      </c>
      <c r="AC93" s="9">
        <f ca="1">_xll.DBR($I$9,$J$13,$J$15,$J$14,AC$20,$J$16,$J$17,$I93,AC$21)</f>
        <v>0</v>
      </c>
      <c r="AD93" s="9">
        <f ca="1">_xll.DBR($I$9,$J$13,$J$15,$J$14,AD$20,$J$16,$J$17,$I93,AD$21)</f>
        <v>0</v>
      </c>
    </row>
    <row r="94" spans="1:30" x14ac:dyDescent="0.25">
      <c r="A94">
        <f ca="1">IF(_xll.TM1RPTELISCONSOLIDATED($I$22,$I94),IF(_xll.TM1RPTELLEV($I$22,$I94)&lt;=3,_xll.TM1RPTELLEV($I$22,$I94),"D"),"N")</f>
        <v>3</v>
      </c>
      <c r="I94" s="22" t="s">
        <v>79</v>
      </c>
      <c r="J94" s="7">
        <f ca="1">_xll.DBR($I$9,$J$13,$J$15,$J$14,J$20,$J$16,$J$17,$I94,J$21)</f>
        <v>0</v>
      </c>
      <c r="K94" s="7">
        <f ca="1">_xll.DBR($I$9,$J$13,$J$15,$J$14,K$20,$J$16,$J$17,$I94,K$21)</f>
        <v>0</v>
      </c>
      <c r="L94" s="7">
        <f ca="1">_xll.DBRW($I$9,$J$13,$J$15,$J$14,L$20,$J$16,$J$17,$I94,L$21)</f>
        <v>0</v>
      </c>
      <c r="M94" s="7">
        <f ca="1">_xll.DBRW($I$9,$J$13,$J$15,$J$14,M$20,$J$16,$J$17,$I94,M$21)</f>
        <v>0</v>
      </c>
      <c r="N94" s="7">
        <f ca="1">_xll.DBRW($I$9,$J$13,$J$15,$J$14,N$20,$J$16,$J$17,$I94,N$21)</f>
        <v>0</v>
      </c>
      <c r="O94" s="7">
        <f ca="1">_xll.DBRW($I$9,$J$13,$J$15,$J$14,O$20,$J$16,$J$17,$I94,O$21)</f>
        <v>0</v>
      </c>
      <c r="P94" s="7">
        <f ca="1">_xll.DBRW($I$9,$J$13,$J$15,$J$14,P$20,$J$16,$J$17,$I94,P$21)</f>
        <v>0</v>
      </c>
      <c r="Q94" s="7">
        <f ca="1">_xll.DBRW($I$9,$J$13,$J$15,$J$14,Q$20,$J$16,$J$17,$I94,Q$21)</f>
        <v>0</v>
      </c>
      <c r="R94" s="7">
        <f ca="1">_xll.DBRW($I$9,$J$13,$J$15,$J$14,R$20,$J$16,$J$17,$I94,R$21)</f>
        <v>0</v>
      </c>
      <c r="S94" s="7" t="str">
        <f ca="1">_xll.DBR($I$9,$J$13,$J$15,$J$14,S$20,$J$16,$J$17,$I94,S$21)</f>
        <v>*KEY_ERR</v>
      </c>
      <c r="T94" s="7" t="str">
        <f ca="1">_xll.DBR($I$9,$J$13,$J$15,$J$14,T$20,$J$16,$J$17,$I94,T$21)</f>
        <v>*KEY_ERR</v>
      </c>
      <c r="U94" s="7" t="str">
        <f ca="1">_xll.DBR($I$9,$J$13,$J$15,$J$14,U$20,$J$16,$J$17,$I94,U$21)</f>
        <v>*KEY_ERR</v>
      </c>
      <c r="V94" s="7">
        <f ca="1">_xll.DBR($I$9,$J$13,$J$15,$J$14,V$20,$J$16,$J$17,$I94,V$21)</f>
        <v>0</v>
      </c>
      <c r="W94" s="7">
        <f ca="1">_xll.DBR($I$9,$J$13,$J$15,$J$14,W$20,$J$16,$J$17,$I94,W$21)</f>
        <v>0</v>
      </c>
      <c r="X94" s="7">
        <f ca="1">_xll.DBR($I$9,$J$13,$J$15,$J$14,X$20,$J$16,$J$17,$I94,X$21)</f>
        <v>0</v>
      </c>
      <c r="Y94" s="7">
        <f ca="1">_xll.DBR($I$9,$J$13,$J$15,$J$14,Y$20,$J$16,$J$17,$I94,Y$21)</f>
        <v>0</v>
      </c>
      <c r="Z94" s="7">
        <f ca="1">_xll.DBR($I$9,$J$13,$J$15,$J$14,Z$20,$J$16,$J$17,$I94,Z$21)</f>
        <v>0</v>
      </c>
      <c r="AA94" s="7">
        <f ca="1">_xll.DBR($I$9,$J$13,$J$15,$J$14,AA$20,$J$16,$J$17,$I94,AA$21)</f>
        <v>0</v>
      </c>
      <c r="AB94" s="7">
        <f ca="1">_xll.DBR($I$9,$J$13,$J$15,$J$14,AB$20,$J$16,$J$17,$I94,AB$21)</f>
        <v>0</v>
      </c>
      <c r="AC94" s="7">
        <f ca="1">_xll.DBR($I$9,$J$13,$J$15,$J$14,AC$20,$J$16,$J$17,$I94,AC$21)</f>
        <v>0</v>
      </c>
      <c r="AD94" s="7">
        <f ca="1">_xll.DBR($I$9,$J$13,$J$15,$J$14,AD$20,$J$16,$J$17,$I94,AD$21)</f>
        <v>0</v>
      </c>
    </row>
    <row r="95" spans="1:30" x14ac:dyDescent="0.25">
      <c r="A95">
        <f ca="1">IF(_xll.TM1RPTELISCONSOLIDATED($I$22,$I95),IF(_xll.TM1RPTELLEV($I$22,$I95)&lt;=3,_xll.TM1RPTELLEV($I$22,$I95),"D"),"N")</f>
        <v>3</v>
      </c>
      <c r="I95" s="22" t="s">
        <v>80</v>
      </c>
      <c r="J95" s="7">
        <f ca="1">_xll.DBR($I$9,$J$13,$J$15,$J$14,J$20,$J$16,$J$17,$I95,J$21)</f>
        <v>0</v>
      </c>
      <c r="K95" s="7">
        <f ca="1">_xll.DBR($I$9,$J$13,$J$15,$J$14,K$20,$J$16,$J$17,$I95,K$21)</f>
        <v>0</v>
      </c>
      <c r="L95" s="7">
        <f ca="1">_xll.DBRW($I$9,$J$13,$J$15,$J$14,L$20,$J$16,$J$17,$I95,L$21)</f>
        <v>0</v>
      </c>
      <c r="M95" s="7">
        <f ca="1">_xll.DBRW($I$9,$J$13,$J$15,$J$14,M$20,$J$16,$J$17,$I95,M$21)</f>
        <v>0</v>
      </c>
      <c r="N95" s="7">
        <f ca="1">_xll.DBRW($I$9,$J$13,$J$15,$J$14,N$20,$J$16,$J$17,$I95,N$21)</f>
        <v>0</v>
      </c>
      <c r="O95" s="7">
        <f ca="1">_xll.DBRW($I$9,$J$13,$J$15,$J$14,O$20,$J$16,$J$17,$I95,O$21)</f>
        <v>0</v>
      </c>
      <c r="P95" s="7">
        <f ca="1">_xll.DBRW($I$9,$J$13,$J$15,$J$14,P$20,$J$16,$J$17,$I95,P$21)</f>
        <v>0</v>
      </c>
      <c r="Q95" s="7">
        <f ca="1">_xll.DBRW($I$9,$J$13,$J$15,$J$14,Q$20,$J$16,$J$17,$I95,Q$21)</f>
        <v>0</v>
      </c>
      <c r="R95" s="7">
        <f ca="1">_xll.DBRW($I$9,$J$13,$J$15,$J$14,R$20,$J$16,$J$17,$I95,R$21)</f>
        <v>0</v>
      </c>
      <c r="S95" s="7" t="str">
        <f ca="1">_xll.DBR($I$9,$J$13,$J$15,$J$14,S$20,$J$16,$J$17,$I95,S$21)</f>
        <v>*KEY_ERR</v>
      </c>
      <c r="T95" s="7" t="str">
        <f ca="1">_xll.DBR($I$9,$J$13,$J$15,$J$14,T$20,$J$16,$J$17,$I95,T$21)</f>
        <v>*KEY_ERR</v>
      </c>
      <c r="U95" s="7" t="str">
        <f ca="1">_xll.DBR($I$9,$J$13,$J$15,$J$14,U$20,$J$16,$J$17,$I95,U$21)</f>
        <v>*KEY_ERR</v>
      </c>
      <c r="V95" s="7">
        <f ca="1">_xll.DBR($I$9,$J$13,$J$15,$J$14,V$20,$J$16,$J$17,$I95,V$21)</f>
        <v>0</v>
      </c>
      <c r="W95" s="7">
        <f ca="1">_xll.DBR($I$9,$J$13,$J$15,$J$14,W$20,$J$16,$J$17,$I95,W$21)</f>
        <v>0</v>
      </c>
      <c r="X95" s="7">
        <f ca="1">_xll.DBR($I$9,$J$13,$J$15,$J$14,X$20,$J$16,$J$17,$I95,X$21)</f>
        <v>0</v>
      </c>
      <c r="Y95" s="7">
        <f ca="1">_xll.DBR($I$9,$J$13,$J$15,$J$14,Y$20,$J$16,$J$17,$I95,Y$21)</f>
        <v>0</v>
      </c>
      <c r="Z95" s="7">
        <f ca="1">_xll.DBR($I$9,$J$13,$J$15,$J$14,Z$20,$J$16,$J$17,$I95,Z$21)</f>
        <v>0</v>
      </c>
      <c r="AA95" s="7">
        <f ca="1">_xll.DBR($I$9,$J$13,$J$15,$J$14,AA$20,$J$16,$J$17,$I95,AA$21)</f>
        <v>0</v>
      </c>
      <c r="AB95" s="7">
        <f ca="1">_xll.DBR($I$9,$J$13,$J$15,$J$14,AB$20,$J$16,$J$17,$I95,AB$21)</f>
        <v>0</v>
      </c>
      <c r="AC95" s="7">
        <f ca="1">_xll.DBR($I$9,$J$13,$J$15,$J$14,AC$20,$J$16,$J$17,$I95,AC$21)</f>
        <v>0</v>
      </c>
      <c r="AD95" s="7">
        <f ca="1">_xll.DBR($I$9,$J$13,$J$15,$J$14,AD$20,$J$16,$J$17,$I95,AD$21)</f>
        <v>0</v>
      </c>
    </row>
    <row r="96" spans="1:30" x14ac:dyDescent="0.25">
      <c r="A96">
        <f ca="1">IF(_xll.TM1RPTELISCONSOLIDATED($I$22,$I96),IF(_xll.TM1RPTELLEV($I$22,$I96)&lt;=3,_xll.TM1RPTELLEV($I$22,$I96),"D"),"N")</f>
        <v>3</v>
      </c>
      <c r="I96" s="22" t="s">
        <v>81</v>
      </c>
      <c r="J96" s="7">
        <f ca="1">_xll.DBR($I$9,$J$13,$J$15,$J$14,J$20,$J$16,$J$17,$I96,J$21)</f>
        <v>0</v>
      </c>
      <c r="K96" s="7">
        <f ca="1">_xll.DBR($I$9,$J$13,$J$15,$J$14,K$20,$J$16,$J$17,$I96,K$21)</f>
        <v>0</v>
      </c>
      <c r="L96" s="7">
        <f ca="1">_xll.DBRW($I$9,$J$13,$J$15,$J$14,L$20,$J$16,$J$17,$I96,L$21)</f>
        <v>0</v>
      </c>
      <c r="M96" s="7">
        <f ca="1">_xll.DBRW($I$9,$J$13,$J$15,$J$14,M$20,$J$16,$J$17,$I96,M$21)</f>
        <v>0</v>
      </c>
      <c r="N96" s="7">
        <f ca="1">_xll.DBRW($I$9,$J$13,$J$15,$J$14,N$20,$J$16,$J$17,$I96,N$21)</f>
        <v>0</v>
      </c>
      <c r="O96" s="7">
        <f ca="1">_xll.DBRW($I$9,$J$13,$J$15,$J$14,O$20,$J$16,$J$17,$I96,O$21)</f>
        <v>0</v>
      </c>
      <c r="P96" s="7">
        <f ca="1">_xll.DBRW($I$9,$J$13,$J$15,$J$14,P$20,$J$16,$J$17,$I96,P$21)</f>
        <v>0</v>
      </c>
      <c r="Q96" s="7">
        <f ca="1">_xll.DBRW($I$9,$J$13,$J$15,$J$14,Q$20,$J$16,$J$17,$I96,Q$21)</f>
        <v>0</v>
      </c>
      <c r="R96" s="7">
        <f ca="1">_xll.DBRW($I$9,$J$13,$J$15,$J$14,R$20,$J$16,$J$17,$I96,R$21)</f>
        <v>0</v>
      </c>
      <c r="S96" s="7" t="str">
        <f ca="1">_xll.DBR($I$9,$J$13,$J$15,$J$14,S$20,$J$16,$J$17,$I96,S$21)</f>
        <v>*KEY_ERR</v>
      </c>
      <c r="T96" s="7" t="str">
        <f ca="1">_xll.DBR($I$9,$J$13,$J$15,$J$14,T$20,$J$16,$J$17,$I96,T$21)</f>
        <v>*KEY_ERR</v>
      </c>
      <c r="U96" s="7" t="str">
        <f ca="1">_xll.DBR($I$9,$J$13,$J$15,$J$14,U$20,$J$16,$J$17,$I96,U$21)</f>
        <v>*KEY_ERR</v>
      </c>
      <c r="V96" s="7">
        <f ca="1">_xll.DBR($I$9,$J$13,$J$15,$J$14,V$20,$J$16,$J$17,$I96,V$21)</f>
        <v>0</v>
      </c>
      <c r="W96" s="7">
        <f ca="1">_xll.DBR($I$9,$J$13,$J$15,$J$14,W$20,$J$16,$J$17,$I96,W$21)</f>
        <v>0</v>
      </c>
      <c r="X96" s="7">
        <f ca="1">_xll.DBR($I$9,$J$13,$J$15,$J$14,X$20,$J$16,$J$17,$I96,X$21)</f>
        <v>0</v>
      </c>
      <c r="Y96" s="7">
        <f ca="1">_xll.DBR($I$9,$J$13,$J$15,$J$14,Y$20,$J$16,$J$17,$I96,Y$21)</f>
        <v>0</v>
      </c>
      <c r="Z96" s="7">
        <f ca="1">_xll.DBR($I$9,$J$13,$J$15,$J$14,Z$20,$J$16,$J$17,$I96,Z$21)</f>
        <v>0</v>
      </c>
      <c r="AA96" s="7">
        <f ca="1">_xll.DBR($I$9,$J$13,$J$15,$J$14,AA$20,$J$16,$J$17,$I96,AA$21)</f>
        <v>0</v>
      </c>
      <c r="AB96" s="7">
        <f ca="1">_xll.DBR($I$9,$J$13,$J$15,$J$14,AB$20,$J$16,$J$17,$I96,AB$21)</f>
        <v>0</v>
      </c>
      <c r="AC96" s="7">
        <f ca="1">_xll.DBR($I$9,$J$13,$J$15,$J$14,AC$20,$J$16,$J$17,$I96,AC$21)</f>
        <v>0</v>
      </c>
      <c r="AD96" s="7">
        <f ca="1">_xll.DBR($I$9,$J$13,$J$15,$J$14,AD$20,$J$16,$J$17,$I96,AD$21)</f>
        <v>0</v>
      </c>
    </row>
    <row r="97" spans="1:30" x14ac:dyDescent="0.25">
      <c r="A97">
        <f ca="1">IF(_xll.TM1RPTELISCONSOLIDATED($I$22,$I97),IF(_xll.TM1RPTELLEV($I$22,$I97)&lt;=3,_xll.TM1RPTELLEV($I$22,$I97),"D"),"N")</f>
        <v>3</v>
      </c>
      <c r="I97" s="22" t="s">
        <v>200</v>
      </c>
      <c r="J97" s="7">
        <f ca="1">_xll.DBR($I$9,$J$13,$J$15,$J$14,J$20,$J$16,$J$17,$I97,J$21)</f>
        <v>0</v>
      </c>
      <c r="K97" s="7">
        <f ca="1">_xll.DBR($I$9,$J$13,$J$15,$J$14,K$20,$J$16,$J$17,$I97,K$21)</f>
        <v>0</v>
      </c>
      <c r="L97" s="7">
        <f ca="1">_xll.DBRW($I$9,$J$13,$J$15,$J$14,L$20,$J$16,$J$17,$I97,L$21)</f>
        <v>0</v>
      </c>
      <c r="M97" s="7">
        <f ca="1">_xll.DBRW($I$9,$J$13,$J$15,$J$14,M$20,$J$16,$J$17,$I97,M$21)</f>
        <v>0</v>
      </c>
      <c r="N97" s="7">
        <f ca="1">_xll.DBRW($I$9,$J$13,$J$15,$J$14,N$20,$J$16,$J$17,$I97,N$21)</f>
        <v>0</v>
      </c>
      <c r="O97" s="7">
        <f ca="1">_xll.DBRW($I$9,$J$13,$J$15,$J$14,O$20,$J$16,$J$17,$I97,O$21)</f>
        <v>0</v>
      </c>
      <c r="P97" s="7">
        <f ca="1">_xll.DBRW($I$9,$J$13,$J$15,$J$14,P$20,$J$16,$J$17,$I97,P$21)</f>
        <v>0</v>
      </c>
      <c r="Q97" s="7">
        <f ca="1">_xll.DBRW($I$9,$J$13,$J$15,$J$14,Q$20,$J$16,$J$17,$I97,Q$21)</f>
        <v>0</v>
      </c>
      <c r="R97" s="7">
        <f ca="1">_xll.DBRW($I$9,$J$13,$J$15,$J$14,R$20,$J$16,$J$17,$I97,R$21)</f>
        <v>0</v>
      </c>
      <c r="S97" s="7" t="str">
        <f ca="1">_xll.DBR($I$9,$J$13,$J$15,$J$14,S$20,$J$16,$J$17,$I97,S$21)</f>
        <v>*KEY_ERR</v>
      </c>
      <c r="T97" s="7" t="str">
        <f ca="1">_xll.DBR($I$9,$J$13,$J$15,$J$14,T$20,$J$16,$J$17,$I97,T$21)</f>
        <v>*KEY_ERR</v>
      </c>
      <c r="U97" s="7" t="str">
        <f ca="1">_xll.DBR($I$9,$J$13,$J$15,$J$14,U$20,$J$16,$J$17,$I97,U$21)</f>
        <v>*KEY_ERR</v>
      </c>
      <c r="V97" s="7">
        <f ca="1">_xll.DBR($I$9,$J$13,$J$15,$J$14,V$20,$J$16,$J$17,$I97,V$21)</f>
        <v>0</v>
      </c>
      <c r="W97" s="7">
        <f ca="1">_xll.DBR($I$9,$J$13,$J$15,$J$14,W$20,$J$16,$J$17,$I97,W$21)</f>
        <v>0</v>
      </c>
      <c r="X97" s="7">
        <f ca="1">_xll.DBR($I$9,$J$13,$J$15,$J$14,X$20,$J$16,$J$17,$I97,X$21)</f>
        <v>0</v>
      </c>
      <c r="Y97" s="7">
        <f ca="1">_xll.DBR($I$9,$J$13,$J$15,$J$14,Y$20,$J$16,$J$17,$I97,Y$21)</f>
        <v>0</v>
      </c>
      <c r="Z97" s="7">
        <f ca="1">_xll.DBR($I$9,$J$13,$J$15,$J$14,Z$20,$J$16,$J$17,$I97,Z$21)</f>
        <v>0</v>
      </c>
      <c r="AA97" s="7">
        <f ca="1">_xll.DBR($I$9,$J$13,$J$15,$J$14,AA$20,$J$16,$J$17,$I97,AA$21)</f>
        <v>0</v>
      </c>
      <c r="AB97" s="7">
        <f ca="1">_xll.DBR($I$9,$J$13,$J$15,$J$14,AB$20,$J$16,$J$17,$I97,AB$21)</f>
        <v>0</v>
      </c>
      <c r="AC97" s="7">
        <f ca="1">_xll.DBR($I$9,$J$13,$J$15,$J$14,AC$20,$J$16,$J$17,$I97,AC$21)</f>
        <v>0</v>
      </c>
      <c r="AD97" s="7">
        <f ca="1">_xll.DBR($I$9,$J$13,$J$15,$J$14,AD$20,$J$16,$J$17,$I97,AD$21)</f>
        <v>0</v>
      </c>
    </row>
    <row r="98" spans="1:30" x14ac:dyDescent="0.25">
      <c r="A98">
        <f ca="1">IF(_xll.TM1RPTELISCONSOLIDATED($I$22,$I98),IF(_xll.TM1RPTELLEV($I$22,$I98)&lt;=3,_xll.TM1RPTELLEV($I$22,$I98),"D"),"N")</f>
        <v>2</v>
      </c>
      <c r="I98" s="17" t="s">
        <v>83</v>
      </c>
      <c r="J98" s="3">
        <f ca="1">_xll.DBR($I$9,$J$13,$J$15,$J$14,J$20,$J$16,$J$17,$I98,J$21)</f>
        <v>0</v>
      </c>
      <c r="K98" s="3">
        <f ca="1">_xll.DBR($I$9,$J$13,$J$15,$J$14,K$20,$J$16,$J$17,$I98,K$21)</f>
        <v>0</v>
      </c>
      <c r="L98" s="3">
        <f ca="1">_xll.DBRW($I$9,$J$13,$J$15,$J$14,L$20,$J$16,$J$17,$I98,L$21)</f>
        <v>0</v>
      </c>
      <c r="M98" s="3">
        <f ca="1">_xll.DBRW($I$9,$J$13,$J$15,$J$14,M$20,$J$16,$J$17,$I98,M$21)</f>
        <v>0</v>
      </c>
      <c r="N98" s="3">
        <f ca="1">_xll.DBRW($I$9,$J$13,$J$15,$J$14,N$20,$J$16,$J$17,$I98,N$21)</f>
        <v>0</v>
      </c>
      <c r="O98" s="3">
        <f ca="1">_xll.DBRW($I$9,$J$13,$J$15,$J$14,O$20,$J$16,$J$17,$I98,O$21)</f>
        <v>0</v>
      </c>
      <c r="P98" s="3">
        <f ca="1">_xll.DBRW($I$9,$J$13,$J$15,$J$14,P$20,$J$16,$J$17,$I98,P$21)</f>
        <v>0</v>
      </c>
      <c r="Q98" s="3">
        <f ca="1">_xll.DBRW($I$9,$J$13,$J$15,$J$14,Q$20,$J$16,$J$17,$I98,Q$21)</f>
        <v>0</v>
      </c>
      <c r="R98" s="3">
        <f ca="1">_xll.DBRW($I$9,$J$13,$J$15,$J$14,R$20,$J$16,$J$17,$I98,R$21)</f>
        <v>0</v>
      </c>
      <c r="S98" s="3" t="str">
        <f ca="1">_xll.DBR($I$9,$J$13,$J$15,$J$14,S$20,$J$16,$J$17,$I98,S$21)</f>
        <v>*KEY_ERR</v>
      </c>
      <c r="T98" s="3" t="str">
        <f ca="1">_xll.DBR($I$9,$J$13,$J$15,$J$14,T$20,$J$16,$J$17,$I98,T$21)</f>
        <v>*KEY_ERR</v>
      </c>
      <c r="U98" s="3" t="str">
        <f ca="1">_xll.DBR($I$9,$J$13,$J$15,$J$14,U$20,$J$16,$J$17,$I98,U$21)</f>
        <v>*KEY_ERR</v>
      </c>
      <c r="V98" s="3">
        <f ca="1">_xll.DBR($I$9,$J$13,$J$15,$J$14,V$20,$J$16,$J$17,$I98,V$21)</f>
        <v>0</v>
      </c>
      <c r="W98" s="3">
        <f ca="1">_xll.DBR($I$9,$J$13,$J$15,$J$14,W$20,$J$16,$J$17,$I98,W$21)</f>
        <v>0</v>
      </c>
      <c r="X98" s="3">
        <f ca="1">_xll.DBR($I$9,$J$13,$J$15,$J$14,X$20,$J$16,$J$17,$I98,X$21)</f>
        <v>0</v>
      </c>
      <c r="Y98" s="3">
        <f ca="1">_xll.DBR($I$9,$J$13,$J$15,$J$14,Y$20,$J$16,$J$17,$I98,Y$21)</f>
        <v>0</v>
      </c>
      <c r="Z98" s="3">
        <f ca="1">_xll.DBR($I$9,$J$13,$J$15,$J$14,Z$20,$J$16,$J$17,$I98,Z$21)</f>
        <v>0</v>
      </c>
      <c r="AA98" s="3">
        <f ca="1">_xll.DBR($I$9,$J$13,$J$15,$J$14,AA$20,$J$16,$J$17,$I98,AA$21)</f>
        <v>0</v>
      </c>
      <c r="AB98" s="3">
        <f ca="1">_xll.DBR($I$9,$J$13,$J$15,$J$14,AB$20,$J$16,$J$17,$I98,AB$21)</f>
        <v>0</v>
      </c>
      <c r="AC98" s="3">
        <f ca="1">_xll.DBR($I$9,$J$13,$J$15,$J$14,AC$20,$J$16,$J$17,$I98,AC$21)</f>
        <v>0</v>
      </c>
      <c r="AD98" s="3">
        <f ca="1">_xll.DBR($I$9,$J$13,$J$15,$J$14,AD$20,$J$16,$J$17,$I98,AD$21)</f>
        <v>0</v>
      </c>
    </row>
    <row r="99" spans="1:30" x14ac:dyDescent="0.25">
      <c r="A99">
        <f ca="1">IF(_xll.TM1RPTELISCONSOLIDATED($I$22,$I99),IF(_xll.TM1RPTELLEV($I$22,$I99)&lt;=3,_xll.TM1RPTELLEV($I$22,$I99),"D"),"N")</f>
        <v>3</v>
      </c>
      <c r="I99" s="22" t="s">
        <v>84</v>
      </c>
      <c r="J99" s="7">
        <f ca="1">_xll.DBR($I$9,$J$13,$J$15,$J$14,J$20,$J$16,$J$17,$I99,J$21)</f>
        <v>0</v>
      </c>
      <c r="K99" s="7">
        <f ca="1">_xll.DBR($I$9,$J$13,$J$15,$J$14,K$20,$J$16,$J$17,$I99,K$21)</f>
        <v>0</v>
      </c>
      <c r="L99" s="7">
        <f ca="1">_xll.DBRW($I$9,$J$13,$J$15,$J$14,L$20,$J$16,$J$17,$I99,L$21)</f>
        <v>0</v>
      </c>
      <c r="M99" s="7">
        <f ca="1">_xll.DBRW($I$9,$J$13,$J$15,$J$14,M$20,$J$16,$J$17,$I99,M$21)</f>
        <v>0</v>
      </c>
      <c r="N99" s="7">
        <f ca="1">_xll.DBRW($I$9,$J$13,$J$15,$J$14,N$20,$J$16,$J$17,$I99,N$21)</f>
        <v>0</v>
      </c>
      <c r="O99" s="7">
        <f ca="1">_xll.DBRW($I$9,$J$13,$J$15,$J$14,O$20,$J$16,$J$17,$I99,O$21)</f>
        <v>0</v>
      </c>
      <c r="P99" s="7">
        <f ca="1">_xll.DBRW($I$9,$J$13,$J$15,$J$14,P$20,$J$16,$J$17,$I99,P$21)</f>
        <v>0</v>
      </c>
      <c r="Q99" s="7">
        <f ca="1">_xll.DBRW($I$9,$J$13,$J$15,$J$14,Q$20,$J$16,$J$17,$I99,Q$21)</f>
        <v>0</v>
      </c>
      <c r="R99" s="7">
        <f ca="1">_xll.DBRW($I$9,$J$13,$J$15,$J$14,R$20,$J$16,$J$17,$I99,R$21)</f>
        <v>0</v>
      </c>
      <c r="S99" s="7" t="str">
        <f ca="1">_xll.DBR($I$9,$J$13,$J$15,$J$14,S$20,$J$16,$J$17,$I99,S$21)</f>
        <v>*KEY_ERR</v>
      </c>
      <c r="T99" s="7" t="str">
        <f ca="1">_xll.DBR($I$9,$J$13,$J$15,$J$14,T$20,$J$16,$J$17,$I99,T$21)</f>
        <v>*KEY_ERR</v>
      </c>
      <c r="U99" s="7" t="str">
        <f ca="1">_xll.DBR($I$9,$J$13,$J$15,$J$14,U$20,$J$16,$J$17,$I99,U$21)</f>
        <v>*KEY_ERR</v>
      </c>
      <c r="V99" s="7">
        <f ca="1">_xll.DBR($I$9,$J$13,$J$15,$J$14,V$20,$J$16,$J$17,$I99,V$21)</f>
        <v>0</v>
      </c>
      <c r="W99" s="7">
        <f ca="1">_xll.DBR($I$9,$J$13,$J$15,$J$14,W$20,$J$16,$J$17,$I99,W$21)</f>
        <v>0</v>
      </c>
      <c r="X99" s="7">
        <f ca="1">_xll.DBR($I$9,$J$13,$J$15,$J$14,X$20,$J$16,$J$17,$I99,X$21)</f>
        <v>0</v>
      </c>
      <c r="Y99" s="7">
        <f ca="1">_xll.DBR($I$9,$J$13,$J$15,$J$14,Y$20,$J$16,$J$17,$I99,Y$21)</f>
        <v>0</v>
      </c>
      <c r="Z99" s="7">
        <f ca="1">_xll.DBR($I$9,$J$13,$J$15,$J$14,Z$20,$J$16,$J$17,$I99,Z$21)</f>
        <v>0</v>
      </c>
      <c r="AA99" s="7">
        <f ca="1">_xll.DBR($I$9,$J$13,$J$15,$J$14,AA$20,$J$16,$J$17,$I99,AA$21)</f>
        <v>0</v>
      </c>
      <c r="AB99" s="7">
        <f ca="1">_xll.DBR($I$9,$J$13,$J$15,$J$14,AB$20,$J$16,$J$17,$I99,AB$21)</f>
        <v>0</v>
      </c>
      <c r="AC99" s="7">
        <f ca="1">_xll.DBR($I$9,$J$13,$J$15,$J$14,AC$20,$J$16,$J$17,$I99,AC$21)</f>
        <v>0</v>
      </c>
      <c r="AD99" s="7">
        <f ca="1">_xll.DBR($I$9,$J$13,$J$15,$J$14,AD$20,$J$16,$J$17,$I99,AD$21)</f>
        <v>0</v>
      </c>
    </row>
    <row r="100" spans="1:30" x14ac:dyDescent="0.25">
      <c r="A100">
        <f ca="1">IF(_xll.TM1RPTELISCONSOLIDATED($I$22,$I100),IF(_xll.TM1RPTELLEV($I$22,$I100)&lt;=3,_xll.TM1RPTELLEV($I$22,$I100),"D"),"N")</f>
        <v>3</v>
      </c>
      <c r="I100" s="22" t="s">
        <v>85</v>
      </c>
      <c r="J100" s="7">
        <f ca="1">_xll.DBR($I$9,$J$13,$J$15,$J$14,J$20,$J$16,$J$17,$I100,J$21)</f>
        <v>0</v>
      </c>
      <c r="K100" s="7">
        <f ca="1">_xll.DBR($I$9,$J$13,$J$15,$J$14,K$20,$J$16,$J$17,$I100,K$21)</f>
        <v>0</v>
      </c>
      <c r="L100" s="7">
        <f ca="1">_xll.DBRW($I$9,$J$13,$J$15,$J$14,L$20,$J$16,$J$17,$I100,L$21)</f>
        <v>0</v>
      </c>
      <c r="M100" s="7">
        <f ca="1">_xll.DBRW($I$9,$J$13,$J$15,$J$14,M$20,$J$16,$J$17,$I100,M$21)</f>
        <v>0</v>
      </c>
      <c r="N100" s="7">
        <f ca="1">_xll.DBRW($I$9,$J$13,$J$15,$J$14,N$20,$J$16,$J$17,$I100,N$21)</f>
        <v>0</v>
      </c>
      <c r="O100" s="7">
        <f ca="1">_xll.DBRW($I$9,$J$13,$J$15,$J$14,O$20,$J$16,$J$17,$I100,O$21)</f>
        <v>0</v>
      </c>
      <c r="P100" s="7">
        <f ca="1">_xll.DBRW($I$9,$J$13,$J$15,$J$14,P$20,$J$16,$J$17,$I100,P$21)</f>
        <v>0</v>
      </c>
      <c r="Q100" s="7">
        <f ca="1">_xll.DBRW($I$9,$J$13,$J$15,$J$14,Q$20,$J$16,$J$17,$I100,Q$21)</f>
        <v>0</v>
      </c>
      <c r="R100" s="7">
        <f ca="1">_xll.DBRW($I$9,$J$13,$J$15,$J$14,R$20,$J$16,$J$17,$I100,R$21)</f>
        <v>0</v>
      </c>
      <c r="S100" s="7" t="str">
        <f ca="1">_xll.DBR($I$9,$J$13,$J$15,$J$14,S$20,$J$16,$J$17,$I100,S$21)</f>
        <v>*KEY_ERR</v>
      </c>
      <c r="T100" s="7" t="str">
        <f ca="1">_xll.DBR($I$9,$J$13,$J$15,$J$14,T$20,$J$16,$J$17,$I100,T$21)</f>
        <v>*KEY_ERR</v>
      </c>
      <c r="U100" s="7" t="str">
        <f ca="1">_xll.DBR($I$9,$J$13,$J$15,$J$14,U$20,$J$16,$J$17,$I100,U$21)</f>
        <v>*KEY_ERR</v>
      </c>
      <c r="V100" s="7">
        <f ca="1">_xll.DBR($I$9,$J$13,$J$15,$J$14,V$20,$J$16,$J$17,$I100,V$21)</f>
        <v>0</v>
      </c>
      <c r="W100" s="7">
        <f ca="1">_xll.DBR($I$9,$J$13,$J$15,$J$14,W$20,$J$16,$J$17,$I100,W$21)</f>
        <v>0</v>
      </c>
      <c r="X100" s="7">
        <f ca="1">_xll.DBR($I$9,$J$13,$J$15,$J$14,X$20,$J$16,$J$17,$I100,X$21)</f>
        <v>0</v>
      </c>
      <c r="Y100" s="7">
        <f ca="1">_xll.DBR($I$9,$J$13,$J$15,$J$14,Y$20,$J$16,$J$17,$I100,Y$21)</f>
        <v>0</v>
      </c>
      <c r="Z100" s="7">
        <f ca="1">_xll.DBR($I$9,$J$13,$J$15,$J$14,Z$20,$J$16,$J$17,$I100,Z$21)</f>
        <v>0</v>
      </c>
      <c r="AA100" s="7">
        <f ca="1">_xll.DBR($I$9,$J$13,$J$15,$J$14,AA$20,$J$16,$J$17,$I100,AA$21)</f>
        <v>0</v>
      </c>
      <c r="AB100" s="7">
        <f ca="1">_xll.DBR($I$9,$J$13,$J$15,$J$14,AB$20,$J$16,$J$17,$I100,AB$21)</f>
        <v>0</v>
      </c>
      <c r="AC100" s="7">
        <f ca="1">_xll.DBR($I$9,$J$13,$J$15,$J$14,AC$20,$J$16,$J$17,$I100,AC$21)</f>
        <v>0</v>
      </c>
      <c r="AD100" s="7">
        <f ca="1">_xll.DBR($I$9,$J$13,$J$15,$J$14,AD$20,$J$16,$J$17,$I100,AD$21)</f>
        <v>0</v>
      </c>
    </row>
    <row r="101" spans="1:30" x14ac:dyDescent="0.25">
      <c r="A101">
        <f ca="1">IF(_xll.TM1RPTELISCONSOLIDATED($I$22,$I101),IF(_xll.TM1RPTELLEV($I$22,$I101)&lt;=3,_xll.TM1RPTELLEV($I$22,$I101),"D"),"N")</f>
        <v>3</v>
      </c>
      <c r="I101" s="22" t="s">
        <v>86</v>
      </c>
      <c r="J101" s="7">
        <f ca="1">_xll.DBR($I$9,$J$13,$J$15,$J$14,J$20,$J$16,$J$17,$I101,J$21)</f>
        <v>0</v>
      </c>
      <c r="K101" s="7">
        <f ca="1">_xll.DBR($I$9,$J$13,$J$15,$J$14,K$20,$J$16,$J$17,$I101,K$21)</f>
        <v>0</v>
      </c>
      <c r="L101" s="7">
        <f ca="1">_xll.DBRW($I$9,$J$13,$J$15,$J$14,L$20,$J$16,$J$17,$I101,L$21)</f>
        <v>0</v>
      </c>
      <c r="M101" s="7">
        <f ca="1">_xll.DBRW($I$9,$J$13,$J$15,$J$14,M$20,$J$16,$J$17,$I101,M$21)</f>
        <v>0</v>
      </c>
      <c r="N101" s="7">
        <f ca="1">_xll.DBRW($I$9,$J$13,$J$15,$J$14,N$20,$J$16,$J$17,$I101,N$21)</f>
        <v>0</v>
      </c>
      <c r="O101" s="7">
        <f ca="1">_xll.DBRW($I$9,$J$13,$J$15,$J$14,O$20,$J$16,$J$17,$I101,O$21)</f>
        <v>0</v>
      </c>
      <c r="P101" s="7">
        <f ca="1">_xll.DBRW($I$9,$J$13,$J$15,$J$14,P$20,$J$16,$J$17,$I101,P$21)</f>
        <v>0</v>
      </c>
      <c r="Q101" s="7">
        <f ca="1">_xll.DBRW($I$9,$J$13,$J$15,$J$14,Q$20,$J$16,$J$17,$I101,Q$21)</f>
        <v>0</v>
      </c>
      <c r="R101" s="7">
        <f ca="1">_xll.DBRW($I$9,$J$13,$J$15,$J$14,R$20,$J$16,$J$17,$I101,R$21)</f>
        <v>0</v>
      </c>
      <c r="S101" s="7" t="str">
        <f ca="1">_xll.DBR($I$9,$J$13,$J$15,$J$14,S$20,$J$16,$J$17,$I101,S$21)</f>
        <v>*KEY_ERR</v>
      </c>
      <c r="T101" s="7" t="str">
        <f ca="1">_xll.DBR($I$9,$J$13,$J$15,$J$14,T$20,$J$16,$J$17,$I101,T$21)</f>
        <v>*KEY_ERR</v>
      </c>
      <c r="U101" s="7" t="str">
        <f ca="1">_xll.DBR($I$9,$J$13,$J$15,$J$14,U$20,$J$16,$J$17,$I101,U$21)</f>
        <v>*KEY_ERR</v>
      </c>
      <c r="V101" s="7">
        <f ca="1">_xll.DBR($I$9,$J$13,$J$15,$J$14,V$20,$J$16,$J$17,$I101,V$21)</f>
        <v>0</v>
      </c>
      <c r="W101" s="7">
        <f ca="1">_xll.DBR($I$9,$J$13,$J$15,$J$14,W$20,$J$16,$J$17,$I101,W$21)</f>
        <v>0</v>
      </c>
      <c r="X101" s="7">
        <f ca="1">_xll.DBR($I$9,$J$13,$J$15,$J$14,X$20,$J$16,$J$17,$I101,X$21)</f>
        <v>0</v>
      </c>
      <c r="Y101" s="7">
        <f ca="1">_xll.DBR($I$9,$J$13,$J$15,$J$14,Y$20,$J$16,$J$17,$I101,Y$21)</f>
        <v>0</v>
      </c>
      <c r="Z101" s="7">
        <f ca="1">_xll.DBR($I$9,$J$13,$J$15,$J$14,Z$20,$J$16,$J$17,$I101,Z$21)</f>
        <v>0</v>
      </c>
      <c r="AA101" s="7">
        <f ca="1">_xll.DBR($I$9,$J$13,$J$15,$J$14,AA$20,$J$16,$J$17,$I101,AA$21)</f>
        <v>0</v>
      </c>
      <c r="AB101" s="7">
        <f ca="1">_xll.DBR($I$9,$J$13,$J$15,$J$14,AB$20,$J$16,$J$17,$I101,AB$21)</f>
        <v>0</v>
      </c>
      <c r="AC101" s="7">
        <f ca="1">_xll.DBR($I$9,$J$13,$J$15,$J$14,AC$20,$J$16,$J$17,$I101,AC$21)</f>
        <v>0</v>
      </c>
      <c r="AD101" s="7">
        <f ca="1">_xll.DBR($I$9,$J$13,$J$15,$J$14,AD$20,$J$16,$J$17,$I101,AD$21)</f>
        <v>0</v>
      </c>
    </row>
    <row r="102" spans="1:30" x14ac:dyDescent="0.25">
      <c r="A102">
        <f ca="1">IF(_xll.TM1RPTELISCONSOLIDATED($I$22,$I102),IF(_xll.TM1RPTELLEV($I$22,$I102)&lt;=3,_xll.TM1RPTELLEV($I$22,$I102),"D"),"N")</f>
        <v>3</v>
      </c>
      <c r="I102" s="22" t="s">
        <v>87</v>
      </c>
      <c r="J102" s="7">
        <f ca="1">_xll.DBR($I$9,$J$13,$J$15,$J$14,J$20,$J$16,$J$17,$I102,J$21)</f>
        <v>0</v>
      </c>
      <c r="K102" s="7">
        <f ca="1">_xll.DBR($I$9,$J$13,$J$15,$J$14,K$20,$J$16,$J$17,$I102,K$21)</f>
        <v>0</v>
      </c>
      <c r="L102" s="7">
        <f ca="1">_xll.DBRW($I$9,$J$13,$J$15,$J$14,L$20,$J$16,$J$17,$I102,L$21)</f>
        <v>0</v>
      </c>
      <c r="M102" s="7">
        <f ca="1">_xll.DBRW($I$9,$J$13,$J$15,$J$14,M$20,$J$16,$J$17,$I102,M$21)</f>
        <v>0</v>
      </c>
      <c r="N102" s="7">
        <f ca="1">_xll.DBRW($I$9,$J$13,$J$15,$J$14,N$20,$J$16,$J$17,$I102,N$21)</f>
        <v>0</v>
      </c>
      <c r="O102" s="7">
        <f ca="1">_xll.DBRW($I$9,$J$13,$J$15,$J$14,O$20,$J$16,$J$17,$I102,O$21)</f>
        <v>0</v>
      </c>
      <c r="P102" s="7">
        <f ca="1">_xll.DBRW($I$9,$J$13,$J$15,$J$14,P$20,$J$16,$J$17,$I102,P$21)</f>
        <v>0</v>
      </c>
      <c r="Q102" s="7">
        <f ca="1">_xll.DBRW($I$9,$J$13,$J$15,$J$14,Q$20,$J$16,$J$17,$I102,Q$21)</f>
        <v>0</v>
      </c>
      <c r="R102" s="7">
        <f ca="1">_xll.DBRW($I$9,$J$13,$J$15,$J$14,R$20,$J$16,$J$17,$I102,R$21)</f>
        <v>0</v>
      </c>
      <c r="S102" s="7" t="str">
        <f ca="1">_xll.DBR($I$9,$J$13,$J$15,$J$14,S$20,$J$16,$J$17,$I102,S$21)</f>
        <v>*KEY_ERR</v>
      </c>
      <c r="T102" s="7" t="str">
        <f ca="1">_xll.DBR($I$9,$J$13,$J$15,$J$14,T$20,$J$16,$J$17,$I102,T$21)</f>
        <v>*KEY_ERR</v>
      </c>
      <c r="U102" s="7" t="str">
        <f ca="1">_xll.DBR($I$9,$J$13,$J$15,$J$14,U$20,$J$16,$J$17,$I102,U$21)</f>
        <v>*KEY_ERR</v>
      </c>
      <c r="V102" s="7">
        <f ca="1">_xll.DBR($I$9,$J$13,$J$15,$J$14,V$20,$J$16,$J$17,$I102,V$21)</f>
        <v>0</v>
      </c>
      <c r="W102" s="7">
        <f ca="1">_xll.DBR($I$9,$J$13,$J$15,$J$14,W$20,$J$16,$J$17,$I102,W$21)</f>
        <v>0</v>
      </c>
      <c r="X102" s="7">
        <f ca="1">_xll.DBR($I$9,$J$13,$J$15,$J$14,X$20,$J$16,$J$17,$I102,X$21)</f>
        <v>0</v>
      </c>
      <c r="Y102" s="7">
        <f ca="1">_xll.DBR($I$9,$J$13,$J$15,$J$14,Y$20,$J$16,$J$17,$I102,Y$21)</f>
        <v>0</v>
      </c>
      <c r="Z102" s="7">
        <f ca="1">_xll.DBR($I$9,$J$13,$J$15,$J$14,Z$20,$J$16,$J$17,$I102,Z$21)</f>
        <v>0</v>
      </c>
      <c r="AA102" s="7">
        <f ca="1">_xll.DBR($I$9,$J$13,$J$15,$J$14,AA$20,$J$16,$J$17,$I102,AA$21)</f>
        <v>0</v>
      </c>
      <c r="AB102" s="7">
        <f ca="1">_xll.DBR($I$9,$J$13,$J$15,$J$14,AB$20,$J$16,$J$17,$I102,AB$21)</f>
        <v>0</v>
      </c>
      <c r="AC102" s="7">
        <f ca="1">_xll.DBR($I$9,$J$13,$J$15,$J$14,AC$20,$J$16,$J$17,$I102,AC$21)</f>
        <v>0</v>
      </c>
      <c r="AD102" s="7">
        <f ca="1">_xll.DBR($I$9,$J$13,$J$15,$J$14,AD$20,$J$16,$J$17,$I102,AD$21)</f>
        <v>0</v>
      </c>
    </row>
    <row r="103" spans="1:30" x14ac:dyDescent="0.25">
      <c r="A103">
        <f ca="1">IF(_xll.TM1RPTELISCONSOLIDATED($I$22,$I103),IF(_xll.TM1RPTELLEV($I$22,$I103)&lt;=3,_xll.TM1RPTELLEV($I$22,$I103),"D"),"N")</f>
        <v>3</v>
      </c>
      <c r="I103" s="22" t="s">
        <v>88</v>
      </c>
      <c r="J103" s="7">
        <f ca="1">_xll.DBR($I$9,$J$13,$J$15,$J$14,J$20,$J$16,$J$17,$I103,J$21)</f>
        <v>0</v>
      </c>
      <c r="K103" s="7">
        <f ca="1">_xll.DBR($I$9,$J$13,$J$15,$J$14,K$20,$J$16,$J$17,$I103,K$21)</f>
        <v>0</v>
      </c>
      <c r="L103" s="7">
        <f ca="1">_xll.DBRW($I$9,$J$13,$J$15,$J$14,L$20,$J$16,$J$17,$I103,L$21)</f>
        <v>0</v>
      </c>
      <c r="M103" s="7">
        <f ca="1">_xll.DBRW($I$9,$J$13,$J$15,$J$14,M$20,$J$16,$J$17,$I103,M$21)</f>
        <v>0</v>
      </c>
      <c r="N103" s="7">
        <f ca="1">_xll.DBRW($I$9,$J$13,$J$15,$J$14,N$20,$J$16,$J$17,$I103,N$21)</f>
        <v>0</v>
      </c>
      <c r="O103" s="7">
        <f ca="1">_xll.DBRW($I$9,$J$13,$J$15,$J$14,O$20,$J$16,$J$17,$I103,O$21)</f>
        <v>0</v>
      </c>
      <c r="P103" s="7">
        <f ca="1">_xll.DBRW($I$9,$J$13,$J$15,$J$14,P$20,$J$16,$J$17,$I103,P$21)</f>
        <v>0</v>
      </c>
      <c r="Q103" s="7">
        <f ca="1">_xll.DBRW($I$9,$J$13,$J$15,$J$14,Q$20,$J$16,$J$17,$I103,Q$21)</f>
        <v>0</v>
      </c>
      <c r="R103" s="7">
        <f ca="1">_xll.DBRW($I$9,$J$13,$J$15,$J$14,R$20,$J$16,$J$17,$I103,R$21)</f>
        <v>0</v>
      </c>
      <c r="S103" s="7" t="str">
        <f ca="1">_xll.DBR($I$9,$J$13,$J$15,$J$14,S$20,$J$16,$J$17,$I103,S$21)</f>
        <v>*KEY_ERR</v>
      </c>
      <c r="T103" s="7" t="str">
        <f ca="1">_xll.DBR($I$9,$J$13,$J$15,$J$14,T$20,$J$16,$J$17,$I103,T$21)</f>
        <v>*KEY_ERR</v>
      </c>
      <c r="U103" s="7" t="str">
        <f ca="1">_xll.DBR($I$9,$J$13,$J$15,$J$14,U$20,$J$16,$J$17,$I103,U$21)</f>
        <v>*KEY_ERR</v>
      </c>
      <c r="V103" s="7">
        <f ca="1">_xll.DBR($I$9,$J$13,$J$15,$J$14,V$20,$J$16,$J$17,$I103,V$21)</f>
        <v>0</v>
      </c>
      <c r="W103" s="7">
        <f ca="1">_xll.DBR($I$9,$J$13,$J$15,$J$14,W$20,$J$16,$J$17,$I103,W$21)</f>
        <v>0</v>
      </c>
      <c r="X103" s="7">
        <f ca="1">_xll.DBR($I$9,$J$13,$J$15,$J$14,X$20,$J$16,$J$17,$I103,X$21)</f>
        <v>0</v>
      </c>
      <c r="Y103" s="7">
        <f ca="1">_xll.DBR($I$9,$J$13,$J$15,$J$14,Y$20,$J$16,$J$17,$I103,Y$21)</f>
        <v>0</v>
      </c>
      <c r="Z103" s="7">
        <f ca="1">_xll.DBR($I$9,$J$13,$J$15,$J$14,Z$20,$J$16,$J$17,$I103,Z$21)</f>
        <v>0</v>
      </c>
      <c r="AA103" s="7">
        <f ca="1">_xll.DBR($I$9,$J$13,$J$15,$J$14,AA$20,$J$16,$J$17,$I103,AA$21)</f>
        <v>0</v>
      </c>
      <c r="AB103" s="7">
        <f ca="1">_xll.DBR($I$9,$J$13,$J$15,$J$14,AB$20,$J$16,$J$17,$I103,AB$21)</f>
        <v>0</v>
      </c>
      <c r="AC103" s="7">
        <f ca="1">_xll.DBR($I$9,$J$13,$J$15,$J$14,AC$20,$J$16,$J$17,$I103,AC$21)</f>
        <v>0</v>
      </c>
      <c r="AD103" s="7">
        <f ca="1">_xll.DBR($I$9,$J$13,$J$15,$J$14,AD$20,$J$16,$J$17,$I103,AD$21)</f>
        <v>0</v>
      </c>
    </row>
    <row r="104" spans="1:30" x14ac:dyDescent="0.25">
      <c r="A104">
        <f ca="1">IF(_xll.TM1RPTELISCONSOLIDATED($I$22,$I104),IF(_xll.TM1RPTELLEV($I$22,$I104)&lt;=3,_xll.TM1RPTELLEV($I$22,$I104),"D"),"N")</f>
        <v>3</v>
      </c>
      <c r="I104" s="22" t="s">
        <v>201</v>
      </c>
      <c r="J104" s="7">
        <f ca="1">_xll.DBR($I$9,$J$13,$J$15,$J$14,J$20,$J$16,$J$17,$I104,J$21)</f>
        <v>0</v>
      </c>
      <c r="K104" s="7">
        <f ca="1">_xll.DBR($I$9,$J$13,$J$15,$J$14,K$20,$J$16,$J$17,$I104,K$21)</f>
        <v>0</v>
      </c>
      <c r="L104" s="7">
        <f ca="1">_xll.DBRW($I$9,$J$13,$J$15,$J$14,L$20,$J$16,$J$17,$I104,L$21)</f>
        <v>0</v>
      </c>
      <c r="M104" s="7">
        <f ca="1">_xll.DBRW($I$9,$J$13,$J$15,$J$14,M$20,$J$16,$J$17,$I104,M$21)</f>
        <v>0</v>
      </c>
      <c r="N104" s="7">
        <f ca="1">_xll.DBRW($I$9,$J$13,$J$15,$J$14,N$20,$J$16,$J$17,$I104,N$21)</f>
        <v>0</v>
      </c>
      <c r="O104" s="7">
        <f ca="1">_xll.DBRW($I$9,$J$13,$J$15,$J$14,O$20,$J$16,$J$17,$I104,O$21)</f>
        <v>0</v>
      </c>
      <c r="P104" s="7">
        <f ca="1">_xll.DBRW($I$9,$J$13,$J$15,$J$14,P$20,$J$16,$J$17,$I104,P$21)</f>
        <v>0</v>
      </c>
      <c r="Q104" s="7">
        <f ca="1">_xll.DBRW($I$9,$J$13,$J$15,$J$14,Q$20,$J$16,$J$17,$I104,Q$21)</f>
        <v>0</v>
      </c>
      <c r="R104" s="7">
        <f ca="1">_xll.DBRW($I$9,$J$13,$J$15,$J$14,R$20,$J$16,$J$17,$I104,R$21)</f>
        <v>0</v>
      </c>
      <c r="S104" s="7" t="str">
        <f ca="1">_xll.DBR($I$9,$J$13,$J$15,$J$14,S$20,$J$16,$J$17,$I104,S$21)</f>
        <v>*KEY_ERR</v>
      </c>
      <c r="T104" s="7" t="str">
        <f ca="1">_xll.DBR($I$9,$J$13,$J$15,$J$14,T$20,$J$16,$J$17,$I104,T$21)</f>
        <v>*KEY_ERR</v>
      </c>
      <c r="U104" s="7" t="str">
        <f ca="1">_xll.DBR($I$9,$J$13,$J$15,$J$14,U$20,$J$16,$J$17,$I104,U$21)</f>
        <v>*KEY_ERR</v>
      </c>
      <c r="V104" s="7">
        <f ca="1">_xll.DBR($I$9,$J$13,$J$15,$J$14,V$20,$J$16,$J$17,$I104,V$21)</f>
        <v>0</v>
      </c>
      <c r="W104" s="7">
        <f ca="1">_xll.DBR($I$9,$J$13,$J$15,$J$14,W$20,$J$16,$J$17,$I104,W$21)</f>
        <v>0</v>
      </c>
      <c r="X104" s="7">
        <f ca="1">_xll.DBR($I$9,$J$13,$J$15,$J$14,X$20,$J$16,$J$17,$I104,X$21)</f>
        <v>0</v>
      </c>
      <c r="Y104" s="7">
        <f ca="1">_xll.DBR($I$9,$J$13,$J$15,$J$14,Y$20,$J$16,$J$17,$I104,Y$21)</f>
        <v>0</v>
      </c>
      <c r="Z104" s="7">
        <f ca="1">_xll.DBR($I$9,$J$13,$J$15,$J$14,Z$20,$J$16,$J$17,$I104,Z$21)</f>
        <v>0</v>
      </c>
      <c r="AA104" s="7">
        <f ca="1">_xll.DBR($I$9,$J$13,$J$15,$J$14,AA$20,$J$16,$J$17,$I104,AA$21)</f>
        <v>0</v>
      </c>
      <c r="AB104" s="7">
        <f ca="1">_xll.DBR($I$9,$J$13,$J$15,$J$14,AB$20,$J$16,$J$17,$I104,AB$21)</f>
        <v>0</v>
      </c>
      <c r="AC104" s="7">
        <f ca="1">_xll.DBR($I$9,$J$13,$J$15,$J$14,AC$20,$J$16,$J$17,$I104,AC$21)</f>
        <v>0</v>
      </c>
      <c r="AD104" s="7">
        <f ca="1">_xll.DBR($I$9,$J$13,$J$15,$J$14,AD$20,$J$16,$J$17,$I104,AD$21)</f>
        <v>0</v>
      </c>
    </row>
    <row r="105" spans="1:30" x14ac:dyDescent="0.25">
      <c r="A105">
        <f ca="1">IF(_xll.TM1RPTELISCONSOLIDATED($I$22,$I105),IF(_xll.TM1RPTELLEV($I$22,$I105)&lt;=3,_xll.TM1RPTELLEV($I$22,$I105),"D"),"N")</f>
        <v>2</v>
      </c>
      <c r="I105" s="17" t="s">
        <v>90</v>
      </c>
      <c r="J105" s="3">
        <f ca="1">_xll.DBR($I$9,$J$13,$J$15,$J$14,J$20,$J$16,$J$17,$I105,J$21)</f>
        <v>0</v>
      </c>
      <c r="K105" s="3">
        <f ca="1">_xll.DBR($I$9,$J$13,$J$15,$J$14,K$20,$J$16,$J$17,$I105,K$21)</f>
        <v>0</v>
      </c>
      <c r="L105" s="3">
        <f ca="1">_xll.DBRW($I$9,$J$13,$J$15,$J$14,L$20,$J$16,$J$17,$I105,L$21)</f>
        <v>0</v>
      </c>
      <c r="M105" s="3">
        <f ca="1">_xll.DBRW($I$9,$J$13,$J$15,$J$14,M$20,$J$16,$J$17,$I105,M$21)</f>
        <v>0</v>
      </c>
      <c r="N105" s="3">
        <f ca="1">_xll.DBRW($I$9,$J$13,$J$15,$J$14,N$20,$J$16,$J$17,$I105,N$21)</f>
        <v>0</v>
      </c>
      <c r="O105" s="3">
        <f ca="1">_xll.DBRW($I$9,$J$13,$J$15,$J$14,O$20,$J$16,$J$17,$I105,O$21)</f>
        <v>0</v>
      </c>
      <c r="P105" s="3">
        <f ca="1">_xll.DBRW($I$9,$J$13,$J$15,$J$14,P$20,$J$16,$J$17,$I105,P$21)</f>
        <v>0</v>
      </c>
      <c r="Q105" s="3">
        <f ca="1">_xll.DBRW($I$9,$J$13,$J$15,$J$14,Q$20,$J$16,$J$17,$I105,Q$21)</f>
        <v>0</v>
      </c>
      <c r="R105" s="3">
        <f ca="1">_xll.DBRW($I$9,$J$13,$J$15,$J$14,R$20,$J$16,$J$17,$I105,R$21)</f>
        <v>0</v>
      </c>
      <c r="S105" s="3" t="str">
        <f ca="1">_xll.DBR($I$9,$J$13,$J$15,$J$14,S$20,$J$16,$J$17,$I105,S$21)</f>
        <v>*KEY_ERR</v>
      </c>
      <c r="T105" s="3" t="str">
        <f ca="1">_xll.DBR($I$9,$J$13,$J$15,$J$14,T$20,$J$16,$J$17,$I105,T$21)</f>
        <v>*KEY_ERR</v>
      </c>
      <c r="U105" s="3" t="str">
        <f ca="1">_xll.DBR($I$9,$J$13,$J$15,$J$14,U$20,$J$16,$J$17,$I105,U$21)</f>
        <v>*KEY_ERR</v>
      </c>
      <c r="V105" s="3">
        <f ca="1">_xll.DBR($I$9,$J$13,$J$15,$J$14,V$20,$J$16,$J$17,$I105,V$21)</f>
        <v>0</v>
      </c>
      <c r="W105" s="3">
        <f ca="1">_xll.DBR($I$9,$J$13,$J$15,$J$14,W$20,$J$16,$J$17,$I105,W$21)</f>
        <v>0</v>
      </c>
      <c r="X105" s="3">
        <f ca="1">_xll.DBR($I$9,$J$13,$J$15,$J$14,X$20,$J$16,$J$17,$I105,X$21)</f>
        <v>0</v>
      </c>
      <c r="Y105" s="3">
        <f ca="1">_xll.DBR($I$9,$J$13,$J$15,$J$14,Y$20,$J$16,$J$17,$I105,Y$21)</f>
        <v>0</v>
      </c>
      <c r="Z105" s="3">
        <f ca="1">_xll.DBR($I$9,$J$13,$J$15,$J$14,Z$20,$J$16,$J$17,$I105,Z$21)</f>
        <v>0</v>
      </c>
      <c r="AA105" s="3">
        <f ca="1">_xll.DBR($I$9,$J$13,$J$15,$J$14,AA$20,$J$16,$J$17,$I105,AA$21)</f>
        <v>0</v>
      </c>
      <c r="AB105" s="3">
        <f ca="1">_xll.DBR($I$9,$J$13,$J$15,$J$14,AB$20,$J$16,$J$17,$I105,AB$21)</f>
        <v>0</v>
      </c>
      <c r="AC105" s="3">
        <f ca="1">_xll.DBR($I$9,$J$13,$J$15,$J$14,AC$20,$J$16,$J$17,$I105,AC$21)</f>
        <v>0</v>
      </c>
      <c r="AD105" s="3">
        <f ca="1">_xll.DBR($I$9,$J$13,$J$15,$J$14,AD$20,$J$16,$J$17,$I105,AD$21)</f>
        <v>0</v>
      </c>
    </row>
    <row r="106" spans="1:30" x14ac:dyDescent="0.25">
      <c r="A106">
        <f ca="1">IF(_xll.TM1RPTELISCONSOLIDATED($I$22,$I106),IF(_xll.TM1RPTELLEV($I$22,$I106)&lt;=3,_xll.TM1RPTELLEV($I$22,$I106),"D"),"N")</f>
        <v>3</v>
      </c>
      <c r="I106" s="22" t="s">
        <v>91</v>
      </c>
      <c r="J106" s="7">
        <f ca="1">_xll.DBR($I$9,$J$13,$J$15,$J$14,J$20,$J$16,$J$17,$I106,J$21)</f>
        <v>0</v>
      </c>
      <c r="K106" s="7">
        <f ca="1">_xll.DBR($I$9,$J$13,$J$15,$J$14,K$20,$J$16,$J$17,$I106,K$21)</f>
        <v>0</v>
      </c>
      <c r="L106" s="7">
        <f ca="1">_xll.DBRW($I$9,$J$13,$J$15,$J$14,L$20,$J$16,$J$17,$I106,L$21)</f>
        <v>0</v>
      </c>
      <c r="M106" s="7">
        <f ca="1">_xll.DBRW($I$9,$J$13,$J$15,$J$14,M$20,$J$16,$J$17,$I106,M$21)</f>
        <v>0</v>
      </c>
      <c r="N106" s="7">
        <f ca="1">_xll.DBRW($I$9,$J$13,$J$15,$J$14,N$20,$J$16,$J$17,$I106,N$21)</f>
        <v>0</v>
      </c>
      <c r="O106" s="7">
        <f ca="1">_xll.DBRW($I$9,$J$13,$J$15,$J$14,O$20,$J$16,$J$17,$I106,O$21)</f>
        <v>0</v>
      </c>
      <c r="P106" s="7">
        <f ca="1">_xll.DBRW($I$9,$J$13,$J$15,$J$14,P$20,$J$16,$J$17,$I106,P$21)</f>
        <v>0</v>
      </c>
      <c r="Q106" s="7">
        <f ca="1">_xll.DBRW($I$9,$J$13,$J$15,$J$14,Q$20,$J$16,$J$17,$I106,Q$21)</f>
        <v>0</v>
      </c>
      <c r="R106" s="7">
        <f ca="1">_xll.DBRW($I$9,$J$13,$J$15,$J$14,R$20,$J$16,$J$17,$I106,R$21)</f>
        <v>0</v>
      </c>
      <c r="S106" s="7" t="str">
        <f ca="1">_xll.DBR($I$9,$J$13,$J$15,$J$14,S$20,$J$16,$J$17,$I106,S$21)</f>
        <v>*KEY_ERR</v>
      </c>
      <c r="T106" s="7" t="str">
        <f ca="1">_xll.DBR($I$9,$J$13,$J$15,$J$14,T$20,$J$16,$J$17,$I106,T$21)</f>
        <v>*KEY_ERR</v>
      </c>
      <c r="U106" s="7" t="str">
        <f ca="1">_xll.DBR($I$9,$J$13,$J$15,$J$14,U$20,$J$16,$J$17,$I106,U$21)</f>
        <v>*KEY_ERR</v>
      </c>
      <c r="V106" s="7">
        <f ca="1">_xll.DBR($I$9,$J$13,$J$15,$J$14,V$20,$J$16,$J$17,$I106,V$21)</f>
        <v>0</v>
      </c>
      <c r="W106" s="7">
        <f ca="1">_xll.DBR($I$9,$J$13,$J$15,$J$14,W$20,$J$16,$J$17,$I106,W$21)</f>
        <v>0</v>
      </c>
      <c r="X106" s="7">
        <f ca="1">_xll.DBR($I$9,$J$13,$J$15,$J$14,X$20,$J$16,$J$17,$I106,X$21)</f>
        <v>0</v>
      </c>
      <c r="Y106" s="7">
        <f ca="1">_xll.DBR($I$9,$J$13,$J$15,$J$14,Y$20,$J$16,$J$17,$I106,Y$21)</f>
        <v>0</v>
      </c>
      <c r="Z106" s="7">
        <f ca="1">_xll.DBR($I$9,$J$13,$J$15,$J$14,Z$20,$J$16,$J$17,$I106,Z$21)</f>
        <v>0</v>
      </c>
      <c r="AA106" s="7">
        <f ca="1">_xll.DBR($I$9,$J$13,$J$15,$J$14,AA$20,$J$16,$J$17,$I106,AA$21)</f>
        <v>0</v>
      </c>
      <c r="AB106" s="7">
        <f ca="1">_xll.DBR($I$9,$J$13,$J$15,$J$14,AB$20,$J$16,$J$17,$I106,AB$21)</f>
        <v>0</v>
      </c>
      <c r="AC106" s="7">
        <f ca="1">_xll.DBR($I$9,$J$13,$J$15,$J$14,AC$20,$J$16,$J$17,$I106,AC$21)</f>
        <v>0</v>
      </c>
      <c r="AD106" s="7">
        <f ca="1">_xll.DBR($I$9,$J$13,$J$15,$J$14,AD$20,$J$16,$J$17,$I106,AD$21)</f>
        <v>0</v>
      </c>
    </row>
    <row r="107" spans="1:30" x14ac:dyDescent="0.25">
      <c r="A107">
        <f ca="1">IF(_xll.TM1RPTELISCONSOLIDATED($I$22,$I107),IF(_xll.TM1RPTELLEV($I$22,$I107)&lt;=3,_xll.TM1RPTELLEV($I$22,$I107),"D"),"N")</f>
        <v>3</v>
      </c>
      <c r="I107" s="22" t="s">
        <v>92</v>
      </c>
      <c r="J107" s="7">
        <f ca="1">_xll.DBR($I$9,$J$13,$J$15,$J$14,J$20,$J$16,$J$17,$I107,J$21)</f>
        <v>0</v>
      </c>
      <c r="K107" s="7">
        <f ca="1">_xll.DBR($I$9,$J$13,$J$15,$J$14,K$20,$J$16,$J$17,$I107,K$21)</f>
        <v>0</v>
      </c>
      <c r="L107" s="7">
        <f ca="1">_xll.DBRW($I$9,$J$13,$J$15,$J$14,L$20,$J$16,$J$17,$I107,L$21)</f>
        <v>0</v>
      </c>
      <c r="M107" s="7">
        <f ca="1">_xll.DBRW($I$9,$J$13,$J$15,$J$14,M$20,$J$16,$J$17,$I107,M$21)</f>
        <v>0</v>
      </c>
      <c r="N107" s="7">
        <f ca="1">_xll.DBRW($I$9,$J$13,$J$15,$J$14,N$20,$J$16,$J$17,$I107,N$21)</f>
        <v>0</v>
      </c>
      <c r="O107" s="7">
        <f ca="1">_xll.DBRW($I$9,$J$13,$J$15,$J$14,O$20,$J$16,$J$17,$I107,O$21)</f>
        <v>0</v>
      </c>
      <c r="P107" s="7">
        <f ca="1">_xll.DBRW($I$9,$J$13,$J$15,$J$14,P$20,$J$16,$J$17,$I107,P$21)</f>
        <v>0</v>
      </c>
      <c r="Q107" s="7">
        <f ca="1">_xll.DBRW($I$9,$J$13,$J$15,$J$14,Q$20,$J$16,$J$17,$I107,Q$21)</f>
        <v>0</v>
      </c>
      <c r="R107" s="7">
        <f ca="1">_xll.DBRW($I$9,$J$13,$J$15,$J$14,R$20,$J$16,$J$17,$I107,R$21)</f>
        <v>0</v>
      </c>
      <c r="S107" s="7" t="str">
        <f ca="1">_xll.DBR($I$9,$J$13,$J$15,$J$14,S$20,$J$16,$J$17,$I107,S$21)</f>
        <v>*KEY_ERR</v>
      </c>
      <c r="T107" s="7" t="str">
        <f ca="1">_xll.DBR($I$9,$J$13,$J$15,$J$14,T$20,$J$16,$J$17,$I107,T$21)</f>
        <v>*KEY_ERR</v>
      </c>
      <c r="U107" s="7" t="str">
        <f ca="1">_xll.DBR($I$9,$J$13,$J$15,$J$14,U$20,$J$16,$J$17,$I107,U$21)</f>
        <v>*KEY_ERR</v>
      </c>
      <c r="V107" s="7">
        <f ca="1">_xll.DBR($I$9,$J$13,$J$15,$J$14,V$20,$J$16,$J$17,$I107,V$21)</f>
        <v>0</v>
      </c>
      <c r="W107" s="7">
        <f ca="1">_xll.DBR($I$9,$J$13,$J$15,$J$14,W$20,$J$16,$J$17,$I107,W$21)</f>
        <v>0</v>
      </c>
      <c r="X107" s="7">
        <f ca="1">_xll.DBR($I$9,$J$13,$J$15,$J$14,X$20,$J$16,$J$17,$I107,X$21)</f>
        <v>0</v>
      </c>
      <c r="Y107" s="7">
        <f ca="1">_xll.DBR($I$9,$J$13,$J$15,$J$14,Y$20,$J$16,$J$17,$I107,Y$21)</f>
        <v>0</v>
      </c>
      <c r="Z107" s="7">
        <f ca="1">_xll.DBR($I$9,$J$13,$J$15,$J$14,Z$20,$J$16,$J$17,$I107,Z$21)</f>
        <v>0</v>
      </c>
      <c r="AA107" s="7">
        <f ca="1">_xll.DBR($I$9,$J$13,$J$15,$J$14,AA$20,$J$16,$J$17,$I107,AA$21)</f>
        <v>0</v>
      </c>
      <c r="AB107" s="7">
        <f ca="1">_xll.DBR($I$9,$J$13,$J$15,$J$14,AB$20,$J$16,$J$17,$I107,AB$21)</f>
        <v>0</v>
      </c>
      <c r="AC107" s="7">
        <f ca="1">_xll.DBR($I$9,$J$13,$J$15,$J$14,AC$20,$J$16,$J$17,$I107,AC$21)</f>
        <v>0</v>
      </c>
      <c r="AD107" s="7">
        <f ca="1">_xll.DBR($I$9,$J$13,$J$15,$J$14,AD$20,$J$16,$J$17,$I107,AD$21)</f>
        <v>0</v>
      </c>
    </row>
    <row r="108" spans="1:30" x14ac:dyDescent="0.25">
      <c r="A108">
        <f ca="1">IF(_xll.TM1RPTELISCONSOLIDATED($I$22,$I108),IF(_xll.TM1RPTELLEV($I$22,$I108)&lt;=3,_xll.TM1RPTELLEV($I$22,$I108),"D"),"N")</f>
        <v>3</v>
      </c>
      <c r="I108" s="22" t="s">
        <v>93</v>
      </c>
      <c r="J108" s="7">
        <f ca="1">_xll.DBR($I$9,$J$13,$J$15,$J$14,J$20,$J$16,$J$17,$I108,J$21)</f>
        <v>0</v>
      </c>
      <c r="K108" s="7">
        <f ca="1">_xll.DBR($I$9,$J$13,$J$15,$J$14,K$20,$J$16,$J$17,$I108,K$21)</f>
        <v>0</v>
      </c>
      <c r="L108" s="7">
        <f ca="1">_xll.DBRW($I$9,$J$13,$J$15,$J$14,L$20,$J$16,$J$17,$I108,L$21)</f>
        <v>0</v>
      </c>
      <c r="M108" s="7">
        <f ca="1">_xll.DBRW($I$9,$J$13,$J$15,$J$14,M$20,$J$16,$J$17,$I108,M$21)</f>
        <v>0</v>
      </c>
      <c r="N108" s="7">
        <f ca="1">_xll.DBRW($I$9,$J$13,$J$15,$J$14,N$20,$J$16,$J$17,$I108,N$21)</f>
        <v>0</v>
      </c>
      <c r="O108" s="7">
        <f ca="1">_xll.DBRW($I$9,$J$13,$J$15,$J$14,O$20,$J$16,$J$17,$I108,O$21)</f>
        <v>0</v>
      </c>
      <c r="P108" s="7">
        <f ca="1">_xll.DBRW($I$9,$J$13,$J$15,$J$14,P$20,$J$16,$J$17,$I108,P$21)</f>
        <v>0</v>
      </c>
      <c r="Q108" s="7">
        <f ca="1">_xll.DBRW($I$9,$J$13,$J$15,$J$14,Q$20,$J$16,$J$17,$I108,Q$21)</f>
        <v>0</v>
      </c>
      <c r="R108" s="7">
        <f ca="1">_xll.DBRW($I$9,$J$13,$J$15,$J$14,R$20,$J$16,$J$17,$I108,R$21)</f>
        <v>0</v>
      </c>
      <c r="S108" s="7" t="str">
        <f ca="1">_xll.DBR($I$9,$J$13,$J$15,$J$14,S$20,$J$16,$J$17,$I108,S$21)</f>
        <v>*KEY_ERR</v>
      </c>
      <c r="T108" s="7" t="str">
        <f ca="1">_xll.DBR($I$9,$J$13,$J$15,$J$14,T$20,$J$16,$J$17,$I108,T$21)</f>
        <v>*KEY_ERR</v>
      </c>
      <c r="U108" s="7" t="str">
        <f ca="1">_xll.DBR($I$9,$J$13,$J$15,$J$14,U$20,$J$16,$J$17,$I108,U$21)</f>
        <v>*KEY_ERR</v>
      </c>
      <c r="V108" s="7">
        <f ca="1">_xll.DBR($I$9,$J$13,$J$15,$J$14,V$20,$J$16,$J$17,$I108,V$21)</f>
        <v>0</v>
      </c>
      <c r="W108" s="7">
        <f ca="1">_xll.DBR($I$9,$J$13,$J$15,$J$14,W$20,$J$16,$J$17,$I108,W$21)</f>
        <v>0</v>
      </c>
      <c r="X108" s="7">
        <f ca="1">_xll.DBR($I$9,$J$13,$J$15,$J$14,X$20,$J$16,$J$17,$I108,X$21)</f>
        <v>0</v>
      </c>
      <c r="Y108" s="7">
        <f ca="1">_xll.DBR($I$9,$J$13,$J$15,$J$14,Y$20,$J$16,$J$17,$I108,Y$21)</f>
        <v>0</v>
      </c>
      <c r="Z108" s="7">
        <f ca="1">_xll.DBR($I$9,$J$13,$J$15,$J$14,Z$20,$J$16,$J$17,$I108,Z$21)</f>
        <v>0</v>
      </c>
      <c r="AA108" s="7">
        <f ca="1">_xll.DBR($I$9,$J$13,$J$15,$J$14,AA$20,$J$16,$J$17,$I108,AA$21)</f>
        <v>0</v>
      </c>
      <c r="AB108" s="7">
        <f ca="1">_xll.DBR($I$9,$J$13,$J$15,$J$14,AB$20,$J$16,$J$17,$I108,AB$21)</f>
        <v>0</v>
      </c>
      <c r="AC108" s="7">
        <f ca="1">_xll.DBR($I$9,$J$13,$J$15,$J$14,AC$20,$J$16,$J$17,$I108,AC$21)</f>
        <v>0</v>
      </c>
      <c r="AD108" s="7">
        <f ca="1">_xll.DBR($I$9,$J$13,$J$15,$J$14,AD$20,$J$16,$J$17,$I108,AD$21)</f>
        <v>0</v>
      </c>
    </row>
    <row r="109" spans="1:30" x14ac:dyDescent="0.25">
      <c r="A109">
        <f ca="1">IF(_xll.TM1RPTELISCONSOLIDATED($I$22,$I109),IF(_xll.TM1RPTELLEV($I$22,$I109)&lt;=3,_xll.TM1RPTELLEV($I$22,$I109),"D"),"N")</f>
        <v>3</v>
      </c>
      <c r="I109" s="22" t="s">
        <v>202</v>
      </c>
      <c r="J109" s="7">
        <f ca="1">_xll.DBR($I$9,$J$13,$J$15,$J$14,J$20,$J$16,$J$17,$I109,J$21)</f>
        <v>0</v>
      </c>
      <c r="K109" s="7">
        <f ca="1">_xll.DBR($I$9,$J$13,$J$15,$J$14,K$20,$J$16,$J$17,$I109,K$21)</f>
        <v>0</v>
      </c>
      <c r="L109" s="7">
        <f ca="1">_xll.DBRW($I$9,$J$13,$J$15,$J$14,L$20,$J$16,$J$17,$I109,L$21)</f>
        <v>0</v>
      </c>
      <c r="M109" s="7">
        <f ca="1">_xll.DBRW($I$9,$J$13,$J$15,$J$14,M$20,$J$16,$J$17,$I109,M$21)</f>
        <v>0</v>
      </c>
      <c r="N109" s="7">
        <f ca="1">_xll.DBRW($I$9,$J$13,$J$15,$J$14,N$20,$J$16,$J$17,$I109,N$21)</f>
        <v>0</v>
      </c>
      <c r="O109" s="7">
        <f ca="1">_xll.DBRW($I$9,$J$13,$J$15,$J$14,O$20,$J$16,$J$17,$I109,O$21)</f>
        <v>0</v>
      </c>
      <c r="P109" s="7">
        <f ca="1">_xll.DBRW($I$9,$J$13,$J$15,$J$14,P$20,$J$16,$J$17,$I109,P$21)</f>
        <v>0</v>
      </c>
      <c r="Q109" s="7">
        <f ca="1">_xll.DBRW($I$9,$J$13,$J$15,$J$14,Q$20,$J$16,$J$17,$I109,Q$21)</f>
        <v>0</v>
      </c>
      <c r="R109" s="7">
        <f ca="1">_xll.DBRW($I$9,$J$13,$J$15,$J$14,R$20,$J$16,$J$17,$I109,R$21)</f>
        <v>0</v>
      </c>
      <c r="S109" s="7" t="str">
        <f ca="1">_xll.DBR($I$9,$J$13,$J$15,$J$14,S$20,$J$16,$J$17,$I109,S$21)</f>
        <v>*KEY_ERR</v>
      </c>
      <c r="T109" s="7" t="str">
        <f ca="1">_xll.DBR($I$9,$J$13,$J$15,$J$14,T$20,$J$16,$J$17,$I109,T$21)</f>
        <v>*KEY_ERR</v>
      </c>
      <c r="U109" s="7" t="str">
        <f ca="1">_xll.DBR($I$9,$J$13,$J$15,$J$14,U$20,$J$16,$J$17,$I109,U$21)</f>
        <v>*KEY_ERR</v>
      </c>
      <c r="V109" s="7">
        <f ca="1">_xll.DBR($I$9,$J$13,$J$15,$J$14,V$20,$J$16,$J$17,$I109,V$21)</f>
        <v>0</v>
      </c>
      <c r="W109" s="7">
        <f ca="1">_xll.DBR($I$9,$J$13,$J$15,$J$14,W$20,$J$16,$J$17,$I109,W$21)</f>
        <v>0</v>
      </c>
      <c r="X109" s="7">
        <f ca="1">_xll.DBR($I$9,$J$13,$J$15,$J$14,X$20,$J$16,$J$17,$I109,X$21)</f>
        <v>0</v>
      </c>
      <c r="Y109" s="7">
        <f ca="1">_xll.DBR($I$9,$J$13,$J$15,$J$14,Y$20,$J$16,$J$17,$I109,Y$21)</f>
        <v>0</v>
      </c>
      <c r="Z109" s="7">
        <f ca="1">_xll.DBR($I$9,$J$13,$J$15,$J$14,Z$20,$J$16,$J$17,$I109,Z$21)</f>
        <v>0</v>
      </c>
      <c r="AA109" s="7">
        <f ca="1">_xll.DBR($I$9,$J$13,$J$15,$J$14,AA$20,$J$16,$J$17,$I109,AA$21)</f>
        <v>0</v>
      </c>
      <c r="AB109" s="7">
        <f ca="1">_xll.DBR($I$9,$J$13,$J$15,$J$14,AB$20,$J$16,$J$17,$I109,AB$21)</f>
        <v>0</v>
      </c>
      <c r="AC109" s="7">
        <f ca="1">_xll.DBR($I$9,$J$13,$J$15,$J$14,AC$20,$J$16,$J$17,$I109,AC$21)</f>
        <v>0</v>
      </c>
      <c r="AD109" s="7">
        <f ca="1">_xll.DBR($I$9,$J$13,$J$15,$J$14,AD$20,$J$16,$J$17,$I109,AD$21)</f>
        <v>0</v>
      </c>
    </row>
    <row r="110" spans="1:30" x14ac:dyDescent="0.25">
      <c r="A110">
        <f ca="1">IF(_xll.TM1RPTELISCONSOLIDATED($I$22,$I110),IF(_xll.TM1RPTELLEV($I$22,$I110)&lt;=3,_xll.TM1RPTELLEV($I$22,$I110),"D"),"N")</f>
        <v>1</v>
      </c>
      <c r="I110" s="16" t="s">
        <v>95</v>
      </c>
      <c r="J110" s="5">
        <f ca="1">_xll.DBR($I$9,$J$13,$J$15,$J$14,J$20,$J$16,$J$17,$I110,J$21)</f>
        <v>0</v>
      </c>
      <c r="K110" s="5">
        <f ca="1">_xll.DBR($I$9,$J$13,$J$15,$J$14,K$20,$J$16,$J$17,$I110,K$21)</f>
        <v>0</v>
      </c>
      <c r="L110" s="5">
        <f ca="1">_xll.DBRW($I$9,$J$13,$J$15,$J$14,L$20,$J$16,$J$17,$I110,L$21)</f>
        <v>0</v>
      </c>
      <c r="M110" s="5">
        <f ca="1">_xll.DBRW($I$9,$J$13,$J$15,$J$14,M$20,$J$16,$J$17,$I110,M$21)</f>
        <v>0</v>
      </c>
      <c r="N110" s="5">
        <f ca="1">_xll.DBRW($I$9,$J$13,$J$15,$J$14,N$20,$J$16,$J$17,$I110,N$21)</f>
        <v>0</v>
      </c>
      <c r="O110" s="5">
        <f ca="1">_xll.DBRW($I$9,$J$13,$J$15,$J$14,O$20,$J$16,$J$17,$I110,O$21)</f>
        <v>0</v>
      </c>
      <c r="P110" s="5">
        <f ca="1">_xll.DBRW($I$9,$J$13,$J$15,$J$14,P$20,$J$16,$J$17,$I110,P$21)</f>
        <v>0</v>
      </c>
      <c r="Q110" s="5">
        <f ca="1">_xll.DBRW($I$9,$J$13,$J$15,$J$14,Q$20,$J$16,$J$17,$I110,Q$21)</f>
        <v>0</v>
      </c>
      <c r="R110" s="5">
        <f ca="1">_xll.DBRW($I$9,$J$13,$J$15,$J$14,R$20,$J$16,$J$17,$I110,R$21)</f>
        <v>0</v>
      </c>
      <c r="S110" s="5" t="str">
        <f ca="1">_xll.DBR($I$9,$J$13,$J$15,$J$14,S$20,$J$16,$J$17,$I110,S$21)</f>
        <v>*KEY_ERR</v>
      </c>
      <c r="T110" s="5" t="str">
        <f ca="1">_xll.DBR($I$9,$J$13,$J$15,$J$14,T$20,$J$16,$J$17,$I110,T$21)</f>
        <v>*KEY_ERR</v>
      </c>
      <c r="U110" s="5" t="str">
        <f ca="1">_xll.DBR($I$9,$J$13,$J$15,$J$14,U$20,$J$16,$J$17,$I110,U$21)</f>
        <v>*KEY_ERR</v>
      </c>
      <c r="V110" s="5">
        <f ca="1">_xll.DBR($I$9,$J$13,$J$15,$J$14,V$20,$J$16,$J$17,$I110,V$21)</f>
        <v>0</v>
      </c>
      <c r="W110" s="5">
        <f ca="1">_xll.DBR($I$9,$J$13,$J$15,$J$14,W$20,$J$16,$J$17,$I110,W$21)</f>
        <v>0</v>
      </c>
      <c r="X110" s="5">
        <f ca="1">_xll.DBR($I$9,$J$13,$J$15,$J$14,X$20,$J$16,$J$17,$I110,X$21)</f>
        <v>0</v>
      </c>
      <c r="Y110" s="5">
        <f ca="1">_xll.DBR($I$9,$J$13,$J$15,$J$14,Y$20,$J$16,$J$17,$I110,Y$21)</f>
        <v>0</v>
      </c>
      <c r="Z110" s="5">
        <f ca="1">_xll.DBR($I$9,$J$13,$J$15,$J$14,Z$20,$J$16,$J$17,$I110,Z$21)</f>
        <v>0</v>
      </c>
      <c r="AA110" s="5">
        <f ca="1">_xll.DBR($I$9,$J$13,$J$15,$J$14,AA$20,$J$16,$J$17,$I110,AA$21)</f>
        <v>0</v>
      </c>
      <c r="AB110" s="5">
        <f ca="1">_xll.DBR($I$9,$J$13,$J$15,$J$14,AB$20,$J$16,$J$17,$I110,AB$21)</f>
        <v>0</v>
      </c>
      <c r="AC110" s="5">
        <f ca="1">_xll.DBR($I$9,$J$13,$J$15,$J$14,AC$20,$J$16,$J$17,$I110,AC$21)</f>
        <v>0</v>
      </c>
      <c r="AD110" s="5">
        <f ca="1">_xll.DBR($I$9,$J$13,$J$15,$J$14,AD$20,$J$16,$J$17,$I110,AD$21)</f>
        <v>0</v>
      </c>
    </row>
    <row r="111" spans="1:30" x14ac:dyDescent="0.25">
      <c r="A111">
        <f ca="1">IF(_xll.TM1RPTELISCONSOLIDATED($I$22,$I111),IF(_xll.TM1RPTELLEV($I$22,$I111)&lt;=3,_xll.TM1RPTELLEV($I$22,$I111),"D"),"N")</f>
        <v>2</v>
      </c>
      <c r="I111" s="17" t="s">
        <v>96</v>
      </c>
      <c r="J111" s="3">
        <f ca="1">_xll.DBR($I$9,$J$13,$J$15,$J$14,J$20,$J$16,$J$17,$I111,J$21)</f>
        <v>0</v>
      </c>
      <c r="K111" s="3">
        <f ca="1">_xll.DBR($I$9,$J$13,$J$15,$J$14,K$20,$J$16,$J$17,$I111,K$21)</f>
        <v>0</v>
      </c>
      <c r="L111" s="3">
        <f ca="1">_xll.DBRW($I$9,$J$13,$J$15,$J$14,L$20,$J$16,$J$17,$I111,L$21)</f>
        <v>0</v>
      </c>
      <c r="M111" s="3">
        <f ca="1">_xll.DBRW($I$9,$J$13,$J$15,$J$14,M$20,$J$16,$J$17,$I111,M$21)</f>
        <v>0</v>
      </c>
      <c r="N111" s="3">
        <f ca="1">_xll.DBRW($I$9,$J$13,$J$15,$J$14,N$20,$J$16,$J$17,$I111,N$21)</f>
        <v>0</v>
      </c>
      <c r="O111" s="3">
        <f ca="1">_xll.DBRW($I$9,$J$13,$J$15,$J$14,O$20,$J$16,$J$17,$I111,O$21)</f>
        <v>0</v>
      </c>
      <c r="P111" s="3">
        <f ca="1">_xll.DBRW($I$9,$J$13,$J$15,$J$14,P$20,$J$16,$J$17,$I111,P$21)</f>
        <v>0</v>
      </c>
      <c r="Q111" s="3">
        <f ca="1">_xll.DBRW($I$9,$J$13,$J$15,$J$14,Q$20,$J$16,$J$17,$I111,Q$21)</f>
        <v>0</v>
      </c>
      <c r="R111" s="3">
        <f ca="1">_xll.DBRW($I$9,$J$13,$J$15,$J$14,R$20,$J$16,$J$17,$I111,R$21)</f>
        <v>0</v>
      </c>
      <c r="S111" s="3" t="str">
        <f ca="1">_xll.DBR($I$9,$J$13,$J$15,$J$14,S$20,$J$16,$J$17,$I111,S$21)</f>
        <v>*KEY_ERR</v>
      </c>
      <c r="T111" s="3" t="str">
        <f ca="1">_xll.DBR($I$9,$J$13,$J$15,$J$14,T$20,$J$16,$J$17,$I111,T$21)</f>
        <v>*KEY_ERR</v>
      </c>
      <c r="U111" s="3" t="str">
        <f ca="1">_xll.DBR($I$9,$J$13,$J$15,$J$14,U$20,$J$16,$J$17,$I111,U$21)</f>
        <v>*KEY_ERR</v>
      </c>
      <c r="V111" s="3">
        <f ca="1">_xll.DBR($I$9,$J$13,$J$15,$J$14,V$20,$J$16,$J$17,$I111,V$21)</f>
        <v>0</v>
      </c>
      <c r="W111" s="3">
        <f ca="1">_xll.DBR($I$9,$J$13,$J$15,$J$14,W$20,$J$16,$J$17,$I111,W$21)</f>
        <v>0</v>
      </c>
      <c r="X111" s="3">
        <f ca="1">_xll.DBR($I$9,$J$13,$J$15,$J$14,X$20,$J$16,$J$17,$I111,X$21)</f>
        <v>0</v>
      </c>
      <c r="Y111" s="3">
        <f ca="1">_xll.DBR($I$9,$J$13,$J$15,$J$14,Y$20,$J$16,$J$17,$I111,Y$21)</f>
        <v>0</v>
      </c>
      <c r="Z111" s="3">
        <f ca="1">_xll.DBR($I$9,$J$13,$J$15,$J$14,Z$20,$J$16,$J$17,$I111,Z$21)</f>
        <v>0</v>
      </c>
      <c r="AA111" s="3">
        <f ca="1">_xll.DBR($I$9,$J$13,$J$15,$J$14,AA$20,$J$16,$J$17,$I111,AA$21)</f>
        <v>0</v>
      </c>
      <c r="AB111" s="3">
        <f ca="1">_xll.DBR($I$9,$J$13,$J$15,$J$14,AB$20,$J$16,$J$17,$I111,AB$21)</f>
        <v>0</v>
      </c>
      <c r="AC111" s="3">
        <f ca="1">_xll.DBR($I$9,$J$13,$J$15,$J$14,AC$20,$J$16,$J$17,$I111,AC$21)</f>
        <v>0</v>
      </c>
      <c r="AD111" s="3">
        <f ca="1">_xll.DBR($I$9,$J$13,$J$15,$J$14,AD$20,$J$16,$J$17,$I111,AD$21)</f>
        <v>0</v>
      </c>
    </row>
    <row r="112" spans="1:30" x14ac:dyDescent="0.25">
      <c r="A112">
        <f ca="1">IF(_xll.TM1RPTELISCONSOLIDATED($I$22,$I112),IF(_xll.TM1RPTELLEV($I$22,$I112)&lt;=3,_xll.TM1RPTELLEV($I$22,$I112),"D"),"N")</f>
        <v>3</v>
      </c>
      <c r="I112" s="22" t="s">
        <v>97</v>
      </c>
      <c r="J112" s="7">
        <f ca="1">_xll.DBR($I$9,$J$13,$J$15,$J$14,J$20,$J$16,$J$17,$I112,J$21)</f>
        <v>0</v>
      </c>
      <c r="K112" s="7">
        <f ca="1">_xll.DBR($I$9,$J$13,$J$15,$J$14,K$20,$J$16,$J$17,$I112,K$21)</f>
        <v>0</v>
      </c>
      <c r="L112" s="7">
        <f ca="1">_xll.DBRW($I$9,$J$13,$J$15,$J$14,L$20,$J$16,$J$17,$I112,L$21)</f>
        <v>0</v>
      </c>
      <c r="M112" s="7">
        <f ca="1">_xll.DBRW($I$9,$J$13,$J$15,$J$14,M$20,$J$16,$J$17,$I112,M$21)</f>
        <v>0</v>
      </c>
      <c r="N112" s="7">
        <f ca="1">_xll.DBRW($I$9,$J$13,$J$15,$J$14,N$20,$J$16,$J$17,$I112,N$21)</f>
        <v>0</v>
      </c>
      <c r="O112" s="7">
        <f ca="1">_xll.DBRW($I$9,$J$13,$J$15,$J$14,O$20,$J$16,$J$17,$I112,O$21)</f>
        <v>0</v>
      </c>
      <c r="P112" s="7">
        <f ca="1">_xll.DBRW($I$9,$J$13,$J$15,$J$14,P$20,$J$16,$J$17,$I112,P$21)</f>
        <v>0</v>
      </c>
      <c r="Q112" s="7">
        <f ca="1">_xll.DBRW($I$9,$J$13,$J$15,$J$14,Q$20,$J$16,$J$17,$I112,Q$21)</f>
        <v>0</v>
      </c>
      <c r="R112" s="7">
        <f ca="1">_xll.DBRW($I$9,$J$13,$J$15,$J$14,R$20,$J$16,$J$17,$I112,R$21)</f>
        <v>0</v>
      </c>
      <c r="S112" s="7" t="str">
        <f ca="1">_xll.DBR($I$9,$J$13,$J$15,$J$14,S$20,$J$16,$J$17,$I112,S$21)</f>
        <v>*KEY_ERR</v>
      </c>
      <c r="T112" s="7" t="str">
        <f ca="1">_xll.DBR($I$9,$J$13,$J$15,$J$14,T$20,$J$16,$J$17,$I112,T$21)</f>
        <v>*KEY_ERR</v>
      </c>
      <c r="U112" s="7" t="str">
        <f ca="1">_xll.DBR($I$9,$J$13,$J$15,$J$14,U$20,$J$16,$J$17,$I112,U$21)</f>
        <v>*KEY_ERR</v>
      </c>
      <c r="V112" s="7">
        <f ca="1">_xll.DBR($I$9,$J$13,$J$15,$J$14,V$20,$J$16,$J$17,$I112,V$21)</f>
        <v>0</v>
      </c>
      <c r="W112" s="7">
        <f ca="1">_xll.DBR($I$9,$J$13,$J$15,$J$14,W$20,$J$16,$J$17,$I112,W$21)</f>
        <v>0</v>
      </c>
      <c r="X112" s="7">
        <f ca="1">_xll.DBR($I$9,$J$13,$J$15,$J$14,X$20,$J$16,$J$17,$I112,X$21)</f>
        <v>0</v>
      </c>
      <c r="Y112" s="7">
        <f ca="1">_xll.DBR($I$9,$J$13,$J$15,$J$14,Y$20,$J$16,$J$17,$I112,Y$21)</f>
        <v>0</v>
      </c>
      <c r="Z112" s="7">
        <f ca="1">_xll.DBR($I$9,$J$13,$J$15,$J$14,Z$20,$J$16,$J$17,$I112,Z$21)</f>
        <v>0</v>
      </c>
      <c r="AA112" s="7">
        <f ca="1">_xll.DBR($I$9,$J$13,$J$15,$J$14,AA$20,$J$16,$J$17,$I112,AA$21)</f>
        <v>0</v>
      </c>
      <c r="AB112" s="7">
        <f ca="1">_xll.DBR($I$9,$J$13,$J$15,$J$14,AB$20,$J$16,$J$17,$I112,AB$21)</f>
        <v>0</v>
      </c>
      <c r="AC112" s="7">
        <f ca="1">_xll.DBR($I$9,$J$13,$J$15,$J$14,AC$20,$J$16,$J$17,$I112,AC$21)</f>
        <v>0</v>
      </c>
      <c r="AD112" s="7">
        <f ca="1">_xll.DBR($I$9,$J$13,$J$15,$J$14,AD$20,$J$16,$J$17,$I112,AD$21)</f>
        <v>0</v>
      </c>
    </row>
    <row r="113" spans="1:30" x14ac:dyDescent="0.25">
      <c r="A113">
        <f ca="1">IF(_xll.TM1RPTELISCONSOLIDATED($I$22,$I113),IF(_xll.TM1RPTELLEV($I$22,$I113)&lt;=3,_xll.TM1RPTELLEV($I$22,$I113),"D"),"N")</f>
        <v>3</v>
      </c>
      <c r="I113" s="23" t="s">
        <v>98</v>
      </c>
      <c r="J113" s="7">
        <f ca="1">_xll.DBR($I$9,$J$13,$J$15,$J$14,J$20,$J$16,$J$17,$I113,J$21)</f>
        <v>0</v>
      </c>
      <c r="K113" s="7">
        <f ca="1">_xll.DBR($I$9,$J$13,$J$15,$J$14,K$20,$J$16,$J$17,$I113,K$21)</f>
        <v>0</v>
      </c>
      <c r="L113" s="7">
        <f ca="1">_xll.DBRW($I$9,$J$13,$J$15,$J$14,L$20,$J$16,$J$17,$I113,L$21)</f>
        <v>0</v>
      </c>
      <c r="M113" s="7">
        <f ca="1">_xll.DBRW($I$9,$J$13,$J$15,$J$14,M$20,$J$16,$J$17,$I113,M$21)</f>
        <v>0</v>
      </c>
      <c r="N113" s="7">
        <f ca="1">_xll.DBRW($I$9,$J$13,$J$15,$J$14,N$20,$J$16,$J$17,$I113,N$21)</f>
        <v>0</v>
      </c>
      <c r="O113" s="7">
        <f ca="1">_xll.DBRW($I$9,$J$13,$J$15,$J$14,O$20,$J$16,$J$17,$I113,O$21)</f>
        <v>0</v>
      </c>
      <c r="P113" s="7">
        <f ca="1">_xll.DBRW($I$9,$J$13,$J$15,$J$14,P$20,$J$16,$J$17,$I113,P$21)</f>
        <v>0</v>
      </c>
      <c r="Q113" s="7">
        <f ca="1">_xll.DBRW($I$9,$J$13,$J$15,$J$14,Q$20,$J$16,$J$17,$I113,Q$21)</f>
        <v>0</v>
      </c>
      <c r="R113" s="7">
        <f ca="1">_xll.DBRW($I$9,$J$13,$J$15,$J$14,R$20,$J$16,$J$17,$I113,R$21)</f>
        <v>0</v>
      </c>
      <c r="S113" s="7" t="str">
        <f ca="1">_xll.DBR($I$9,$J$13,$J$15,$J$14,S$20,$J$16,$J$17,$I113,S$21)</f>
        <v>*KEY_ERR</v>
      </c>
      <c r="T113" s="7" t="str">
        <f ca="1">_xll.DBR($I$9,$J$13,$J$15,$J$14,T$20,$J$16,$J$17,$I113,T$21)</f>
        <v>*KEY_ERR</v>
      </c>
      <c r="U113" s="7" t="str">
        <f ca="1">_xll.DBR($I$9,$J$13,$J$15,$J$14,U$20,$J$16,$J$17,$I113,U$21)</f>
        <v>*KEY_ERR</v>
      </c>
      <c r="V113" s="7">
        <f ca="1">_xll.DBR($I$9,$J$13,$J$15,$J$14,V$20,$J$16,$J$17,$I113,V$21)</f>
        <v>0</v>
      </c>
      <c r="W113" s="7">
        <f ca="1">_xll.DBR($I$9,$J$13,$J$15,$J$14,W$20,$J$16,$J$17,$I113,W$21)</f>
        <v>0</v>
      </c>
      <c r="X113" s="7">
        <f ca="1">_xll.DBR($I$9,$J$13,$J$15,$J$14,X$20,$J$16,$J$17,$I113,X$21)</f>
        <v>0</v>
      </c>
      <c r="Y113" s="7">
        <f ca="1">_xll.DBR($I$9,$J$13,$J$15,$J$14,Y$20,$J$16,$J$17,$I113,Y$21)</f>
        <v>0</v>
      </c>
      <c r="Z113" s="7">
        <f ca="1">_xll.DBR($I$9,$J$13,$J$15,$J$14,Z$20,$J$16,$J$17,$I113,Z$21)</f>
        <v>0</v>
      </c>
      <c r="AA113" s="7">
        <f ca="1">_xll.DBR($I$9,$J$13,$J$15,$J$14,AA$20,$J$16,$J$17,$I113,AA$21)</f>
        <v>0</v>
      </c>
      <c r="AB113" s="7">
        <f ca="1">_xll.DBR($I$9,$J$13,$J$15,$J$14,AB$20,$J$16,$J$17,$I113,AB$21)</f>
        <v>0</v>
      </c>
      <c r="AC113" s="7">
        <f ca="1">_xll.DBR($I$9,$J$13,$J$15,$J$14,AC$20,$J$16,$J$17,$I113,AC$21)</f>
        <v>0</v>
      </c>
      <c r="AD113" s="7">
        <f ca="1">_xll.DBR($I$9,$J$13,$J$15,$J$14,AD$20,$J$16,$J$17,$I113,AD$21)</f>
        <v>0</v>
      </c>
    </row>
    <row r="114" spans="1:30" x14ac:dyDescent="0.25">
      <c r="A114" t="str">
        <f ca="1">IF(_xll.TM1RPTELISCONSOLIDATED($I$22,$I114),IF(_xll.TM1RPTELLEV($I$22,$I114)&lt;=3,_xll.TM1RPTELLEV($I$22,$I114),"D"),"N")</f>
        <v>D</v>
      </c>
      <c r="I114" s="18" t="s">
        <v>99</v>
      </c>
      <c r="J114" s="9">
        <f ca="1">_xll.DBR($I$9,$J$13,$J$15,$J$14,J$20,$J$16,$J$17,$I114,J$21)</f>
        <v>0</v>
      </c>
      <c r="K114" s="9">
        <f ca="1">_xll.DBR($I$9,$J$13,$J$15,$J$14,K$20,$J$16,$J$17,$I114,K$21)</f>
        <v>0</v>
      </c>
      <c r="L114" s="9">
        <f ca="1">_xll.DBRW($I$9,$J$13,$J$15,$J$14,L$20,$J$16,$J$17,$I114,L$21)</f>
        <v>0</v>
      </c>
      <c r="M114" s="9">
        <f ca="1">_xll.DBRW($I$9,$J$13,$J$15,$J$14,M$20,$J$16,$J$17,$I114,M$21)</f>
        <v>0</v>
      </c>
      <c r="N114" s="9">
        <f ca="1">_xll.DBRW($I$9,$J$13,$J$15,$J$14,N$20,$J$16,$J$17,$I114,N$21)</f>
        <v>0</v>
      </c>
      <c r="O114" s="9">
        <f ca="1">_xll.DBRW($I$9,$J$13,$J$15,$J$14,O$20,$J$16,$J$17,$I114,O$21)</f>
        <v>0</v>
      </c>
      <c r="P114" s="9">
        <f ca="1">_xll.DBRW($I$9,$J$13,$J$15,$J$14,P$20,$J$16,$J$17,$I114,P$21)</f>
        <v>0</v>
      </c>
      <c r="Q114" s="9">
        <f ca="1">_xll.DBRW($I$9,$J$13,$J$15,$J$14,Q$20,$J$16,$J$17,$I114,Q$21)</f>
        <v>0</v>
      </c>
      <c r="R114" s="9">
        <f ca="1">_xll.DBRW($I$9,$J$13,$J$15,$J$14,R$20,$J$16,$J$17,$I114,R$21)</f>
        <v>0</v>
      </c>
      <c r="S114" s="9" t="str">
        <f ca="1">_xll.DBR($I$9,$J$13,$J$15,$J$14,S$20,$J$16,$J$17,$I114,S$21)</f>
        <v>*KEY_ERR</v>
      </c>
      <c r="T114" s="9" t="str">
        <f ca="1">_xll.DBR($I$9,$J$13,$J$15,$J$14,T$20,$J$16,$J$17,$I114,T$21)</f>
        <v>*KEY_ERR</v>
      </c>
      <c r="U114" s="9" t="str">
        <f ca="1">_xll.DBR($I$9,$J$13,$J$15,$J$14,U$20,$J$16,$J$17,$I114,U$21)</f>
        <v>*KEY_ERR</v>
      </c>
      <c r="V114" s="9">
        <f ca="1">_xll.DBR($I$9,$J$13,$J$15,$J$14,V$20,$J$16,$J$17,$I114,V$21)</f>
        <v>0</v>
      </c>
      <c r="W114" s="9">
        <f ca="1">_xll.DBR($I$9,$J$13,$J$15,$J$14,W$20,$J$16,$J$17,$I114,W$21)</f>
        <v>0</v>
      </c>
      <c r="X114" s="9">
        <f ca="1">_xll.DBR($I$9,$J$13,$J$15,$J$14,X$20,$J$16,$J$17,$I114,X$21)</f>
        <v>0</v>
      </c>
      <c r="Y114" s="9">
        <f ca="1">_xll.DBR($I$9,$J$13,$J$15,$J$14,Y$20,$J$16,$J$17,$I114,Y$21)</f>
        <v>0</v>
      </c>
      <c r="Z114" s="9">
        <f ca="1">_xll.DBR($I$9,$J$13,$J$15,$J$14,Z$20,$J$16,$J$17,$I114,Z$21)</f>
        <v>0</v>
      </c>
      <c r="AA114" s="9">
        <f ca="1">_xll.DBR($I$9,$J$13,$J$15,$J$14,AA$20,$J$16,$J$17,$I114,AA$21)</f>
        <v>0</v>
      </c>
      <c r="AB114" s="9">
        <f ca="1">_xll.DBR($I$9,$J$13,$J$15,$J$14,AB$20,$J$16,$J$17,$I114,AB$21)</f>
        <v>0</v>
      </c>
      <c r="AC114" s="9">
        <f ca="1">_xll.DBR($I$9,$J$13,$J$15,$J$14,AC$20,$J$16,$J$17,$I114,AC$21)</f>
        <v>0</v>
      </c>
      <c r="AD114" s="9">
        <f ca="1">_xll.DBR($I$9,$J$13,$J$15,$J$14,AD$20,$J$16,$J$17,$I114,AD$21)</f>
        <v>0</v>
      </c>
    </row>
    <row r="115" spans="1:30" x14ac:dyDescent="0.25">
      <c r="A115" t="str">
        <f ca="1">IF(_xll.TM1RPTELISCONSOLIDATED($I$22,$I115),IF(_xll.TM1RPTELLEV($I$22,$I115)&lt;=3,_xll.TM1RPTELLEV($I$22,$I115),"D"),"N")</f>
        <v>D</v>
      </c>
      <c r="I115" s="18" t="s">
        <v>100</v>
      </c>
      <c r="J115" s="9">
        <f ca="1">_xll.DBR($I$9,$J$13,$J$15,$J$14,J$20,$J$16,$J$17,$I115,J$21)</f>
        <v>0</v>
      </c>
      <c r="K115" s="9">
        <f ca="1">_xll.DBR($I$9,$J$13,$J$15,$J$14,K$20,$J$16,$J$17,$I115,K$21)</f>
        <v>0</v>
      </c>
      <c r="L115" s="9">
        <f ca="1">_xll.DBRW($I$9,$J$13,$J$15,$J$14,L$20,$J$16,$J$17,$I115,L$21)</f>
        <v>0</v>
      </c>
      <c r="M115" s="9">
        <f ca="1">_xll.DBRW($I$9,$J$13,$J$15,$J$14,M$20,$J$16,$J$17,$I115,M$21)</f>
        <v>0</v>
      </c>
      <c r="N115" s="9">
        <f ca="1">_xll.DBRW($I$9,$J$13,$J$15,$J$14,N$20,$J$16,$J$17,$I115,N$21)</f>
        <v>0</v>
      </c>
      <c r="O115" s="9">
        <f ca="1">_xll.DBRW($I$9,$J$13,$J$15,$J$14,O$20,$J$16,$J$17,$I115,O$21)</f>
        <v>0</v>
      </c>
      <c r="P115" s="9">
        <f ca="1">_xll.DBRW($I$9,$J$13,$J$15,$J$14,P$20,$J$16,$J$17,$I115,P$21)</f>
        <v>0</v>
      </c>
      <c r="Q115" s="9">
        <f ca="1">_xll.DBRW($I$9,$J$13,$J$15,$J$14,Q$20,$J$16,$J$17,$I115,Q$21)</f>
        <v>0</v>
      </c>
      <c r="R115" s="9">
        <f ca="1">_xll.DBRW($I$9,$J$13,$J$15,$J$14,R$20,$J$16,$J$17,$I115,R$21)</f>
        <v>0</v>
      </c>
      <c r="S115" s="9" t="str">
        <f ca="1">_xll.DBR($I$9,$J$13,$J$15,$J$14,S$20,$J$16,$J$17,$I115,S$21)</f>
        <v>*KEY_ERR</v>
      </c>
      <c r="T115" s="9" t="str">
        <f ca="1">_xll.DBR($I$9,$J$13,$J$15,$J$14,T$20,$J$16,$J$17,$I115,T$21)</f>
        <v>*KEY_ERR</v>
      </c>
      <c r="U115" s="9" t="str">
        <f ca="1">_xll.DBR($I$9,$J$13,$J$15,$J$14,U$20,$J$16,$J$17,$I115,U$21)</f>
        <v>*KEY_ERR</v>
      </c>
      <c r="V115" s="9">
        <f ca="1">_xll.DBR($I$9,$J$13,$J$15,$J$14,V$20,$J$16,$J$17,$I115,V$21)</f>
        <v>0</v>
      </c>
      <c r="W115" s="9">
        <f ca="1">_xll.DBR($I$9,$J$13,$J$15,$J$14,W$20,$J$16,$J$17,$I115,W$21)</f>
        <v>0</v>
      </c>
      <c r="X115" s="9">
        <f ca="1">_xll.DBR($I$9,$J$13,$J$15,$J$14,X$20,$J$16,$J$17,$I115,X$21)</f>
        <v>0</v>
      </c>
      <c r="Y115" s="9">
        <f ca="1">_xll.DBR($I$9,$J$13,$J$15,$J$14,Y$20,$J$16,$J$17,$I115,Y$21)</f>
        <v>0</v>
      </c>
      <c r="Z115" s="9">
        <f ca="1">_xll.DBR($I$9,$J$13,$J$15,$J$14,Z$20,$J$16,$J$17,$I115,Z$21)</f>
        <v>0</v>
      </c>
      <c r="AA115" s="9">
        <f ca="1">_xll.DBR($I$9,$J$13,$J$15,$J$14,AA$20,$J$16,$J$17,$I115,AA$21)</f>
        <v>0</v>
      </c>
      <c r="AB115" s="9">
        <f ca="1">_xll.DBR($I$9,$J$13,$J$15,$J$14,AB$20,$J$16,$J$17,$I115,AB$21)</f>
        <v>0</v>
      </c>
      <c r="AC115" s="9">
        <f ca="1">_xll.DBR($I$9,$J$13,$J$15,$J$14,AC$20,$J$16,$J$17,$I115,AC$21)</f>
        <v>0</v>
      </c>
      <c r="AD115" s="9">
        <f ca="1">_xll.DBR($I$9,$J$13,$J$15,$J$14,AD$20,$J$16,$J$17,$I115,AD$21)</f>
        <v>0</v>
      </c>
    </row>
    <row r="116" spans="1:30" x14ac:dyDescent="0.25">
      <c r="A116" t="str">
        <f ca="1">IF(_xll.TM1RPTELISCONSOLIDATED($I$22,$I116),IF(_xll.TM1RPTELLEV($I$22,$I116)&lt;=3,_xll.TM1RPTELLEV($I$22,$I116),"D"),"N")</f>
        <v>D</v>
      </c>
      <c r="I116" s="18" t="s">
        <v>101</v>
      </c>
      <c r="J116" s="9">
        <f ca="1">_xll.DBR($I$9,$J$13,$J$15,$J$14,J$20,$J$16,$J$17,$I116,J$21)</f>
        <v>0</v>
      </c>
      <c r="K116" s="9">
        <f ca="1">_xll.DBR($I$9,$J$13,$J$15,$J$14,K$20,$J$16,$J$17,$I116,K$21)</f>
        <v>0</v>
      </c>
      <c r="L116" s="9">
        <f ca="1">_xll.DBRW($I$9,$J$13,$J$15,$J$14,L$20,$J$16,$J$17,$I116,L$21)</f>
        <v>0</v>
      </c>
      <c r="M116" s="9">
        <f ca="1">_xll.DBRW($I$9,$J$13,$J$15,$J$14,M$20,$J$16,$J$17,$I116,M$21)</f>
        <v>0</v>
      </c>
      <c r="N116" s="9">
        <f ca="1">_xll.DBRW($I$9,$J$13,$J$15,$J$14,N$20,$J$16,$J$17,$I116,N$21)</f>
        <v>0</v>
      </c>
      <c r="O116" s="9">
        <f ca="1">_xll.DBRW($I$9,$J$13,$J$15,$J$14,O$20,$J$16,$J$17,$I116,O$21)</f>
        <v>0</v>
      </c>
      <c r="P116" s="9">
        <f ca="1">_xll.DBRW($I$9,$J$13,$J$15,$J$14,P$20,$J$16,$J$17,$I116,P$21)</f>
        <v>0</v>
      </c>
      <c r="Q116" s="9">
        <f ca="1">_xll.DBRW($I$9,$J$13,$J$15,$J$14,Q$20,$J$16,$J$17,$I116,Q$21)</f>
        <v>0</v>
      </c>
      <c r="R116" s="9">
        <f ca="1">_xll.DBRW($I$9,$J$13,$J$15,$J$14,R$20,$J$16,$J$17,$I116,R$21)</f>
        <v>0</v>
      </c>
      <c r="S116" s="9" t="str">
        <f ca="1">_xll.DBR($I$9,$J$13,$J$15,$J$14,S$20,$J$16,$J$17,$I116,S$21)</f>
        <v>*KEY_ERR</v>
      </c>
      <c r="T116" s="9" t="str">
        <f ca="1">_xll.DBR($I$9,$J$13,$J$15,$J$14,T$20,$J$16,$J$17,$I116,T$21)</f>
        <v>*KEY_ERR</v>
      </c>
      <c r="U116" s="9" t="str">
        <f ca="1">_xll.DBR($I$9,$J$13,$J$15,$J$14,U$20,$J$16,$J$17,$I116,U$21)</f>
        <v>*KEY_ERR</v>
      </c>
      <c r="V116" s="9">
        <f ca="1">_xll.DBR($I$9,$J$13,$J$15,$J$14,V$20,$J$16,$J$17,$I116,V$21)</f>
        <v>0</v>
      </c>
      <c r="W116" s="9">
        <f ca="1">_xll.DBR($I$9,$J$13,$J$15,$J$14,W$20,$J$16,$J$17,$I116,W$21)</f>
        <v>0</v>
      </c>
      <c r="X116" s="9">
        <f ca="1">_xll.DBR($I$9,$J$13,$J$15,$J$14,X$20,$J$16,$J$17,$I116,X$21)</f>
        <v>0</v>
      </c>
      <c r="Y116" s="9">
        <f ca="1">_xll.DBR($I$9,$J$13,$J$15,$J$14,Y$20,$J$16,$J$17,$I116,Y$21)</f>
        <v>0</v>
      </c>
      <c r="Z116" s="9">
        <f ca="1">_xll.DBR($I$9,$J$13,$J$15,$J$14,Z$20,$J$16,$J$17,$I116,Z$21)</f>
        <v>0</v>
      </c>
      <c r="AA116" s="9">
        <f ca="1">_xll.DBR($I$9,$J$13,$J$15,$J$14,AA$20,$J$16,$J$17,$I116,AA$21)</f>
        <v>0</v>
      </c>
      <c r="AB116" s="9">
        <f ca="1">_xll.DBR($I$9,$J$13,$J$15,$J$14,AB$20,$J$16,$J$17,$I116,AB$21)</f>
        <v>0</v>
      </c>
      <c r="AC116" s="9">
        <f ca="1">_xll.DBR($I$9,$J$13,$J$15,$J$14,AC$20,$J$16,$J$17,$I116,AC$21)</f>
        <v>0</v>
      </c>
      <c r="AD116" s="9">
        <f ca="1">_xll.DBR($I$9,$J$13,$J$15,$J$14,AD$20,$J$16,$J$17,$I116,AD$21)</f>
        <v>0</v>
      </c>
    </row>
    <row r="117" spans="1:30" x14ac:dyDescent="0.25">
      <c r="A117" t="str">
        <f ca="1">IF(_xll.TM1RPTELISCONSOLIDATED($I$22,$I117),IF(_xll.TM1RPTELLEV($I$22,$I117)&lt;=3,_xll.TM1RPTELLEV($I$22,$I117),"D"),"N")</f>
        <v>D</v>
      </c>
      <c r="I117" s="18" t="s">
        <v>102</v>
      </c>
      <c r="J117" s="9">
        <f ca="1">_xll.DBR($I$9,$J$13,$J$15,$J$14,J$20,$J$16,$J$17,$I117,J$21)</f>
        <v>0</v>
      </c>
      <c r="K117" s="9">
        <f ca="1">_xll.DBR($I$9,$J$13,$J$15,$J$14,K$20,$J$16,$J$17,$I117,K$21)</f>
        <v>0</v>
      </c>
      <c r="L117" s="9">
        <f ca="1">_xll.DBRW($I$9,$J$13,$J$15,$J$14,L$20,$J$16,$J$17,$I117,L$21)</f>
        <v>0</v>
      </c>
      <c r="M117" s="9">
        <f ca="1">_xll.DBRW($I$9,$J$13,$J$15,$J$14,M$20,$J$16,$J$17,$I117,M$21)</f>
        <v>0</v>
      </c>
      <c r="N117" s="9">
        <f ca="1">_xll.DBRW($I$9,$J$13,$J$15,$J$14,N$20,$J$16,$J$17,$I117,N$21)</f>
        <v>0</v>
      </c>
      <c r="O117" s="9">
        <f ca="1">_xll.DBRW($I$9,$J$13,$J$15,$J$14,O$20,$J$16,$J$17,$I117,O$21)</f>
        <v>0</v>
      </c>
      <c r="P117" s="9">
        <f ca="1">_xll.DBRW($I$9,$J$13,$J$15,$J$14,P$20,$J$16,$J$17,$I117,P$21)</f>
        <v>0</v>
      </c>
      <c r="Q117" s="9">
        <f ca="1">_xll.DBRW($I$9,$J$13,$J$15,$J$14,Q$20,$J$16,$J$17,$I117,Q$21)</f>
        <v>0</v>
      </c>
      <c r="R117" s="9">
        <f ca="1">_xll.DBRW($I$9,$J$13,$J$15,$J$14,R$20,$J$16,$J$17,$I117,R$21)</f>
        <v>0</v>
      </c>
      <c r="S117" s="9" t="str">
        <f ca="1">_xll.DBR($I$9,$J$13,$J$15,$J$14,S$20,$J$16,$J$17,$I117,S$21)</f>
        <v>*KEY_ERR</v>
      </c>
      <c r="T117" s="9" t="str">
        <f ca="1">_xll.DBR($I$9,$J$13,$J$15,$J$14,T$20,$J$16,$J$17,$I117,T$21)</f>
        <v>*KEY_ERR</v>
      </c>
      <c r="U117" s="9" t="str">
        <f ca="1">_xll.DBR($I$9,$J$13,$J$15,$J$14,U$20,$J$16,$J$17,$I117,U$21)</f>
        <v>*KEY_ERR</v>
      </c>
      <c r="V117" s="9">
        <f ca="1">_xll.DBR($I$9,$J$13,$J$15,$J$14,V$20,$J$16,$J$17,$I117,V$21)</f>
        <v>0</v>
      </c>
      <c r="W117" s="9">
        <f ca="1">_xll.DBR($I$9,$J$13,$J$15,$J$14,W$20,$J$16,$J$17,$I117,W$21)</f>
        <v>0</v>
      </c>
      <c r="X117" s="9">
        <f ca="1">_xll.DBR($I$9,$J$13,$J$15,$J$14,X$20,$J$16,$J$17,$I117,X$21)</f>
        <v>0</v>
      </c>
      <c r="Y117" s="9">
        <f ca="1">_xll.DBR($I$9,$J$13,$J$15,$J$14,Y$20,$J$16,$J$17,$I117,Y$21)</f>
        <v>0</v>
      </c>
      <c r="Z117" s="9">
        <f ca="1">_xll.DBR($I$9,$J$13,$J$15,$J$14,Z$20,$J$16,$J$17,$I117,Z$21)</f>
        <v>0</v>
      </c>
      <c r="AA117" s="9">
        <f ca="1">_xll.DBR($I$9,$J$13,$J$15,$J$14,AA$20,$J$16,$J$17,$I117,AA$21)</f>
        <v>0</v>
      </c>
      <c r="AB117" s="9">
        <f ca="1">_xll.DBR($I$9,$J$13,$J$15,$J$14,AB$20,$J$16,$J$17,$I117,AB$21)</f>
        <v>0</v>
      </c>
      <c r="AC117" s="9">
        <f ca="1">_xll.DBR($I$9,$J$13,$J$15,$J$14,AC$20,$J$16,$J$17,$I117,AC$21)</f>
        <v>0</v>
      </c>
      <c r="AD117" s="9">
        <f ca="1">_xll.DBR($I$9,$J$13,$J$15,$J$14,AD$20,$J$16,$J$17,$I117,AD$21)</f>
        <v>0</v>
      </c>
    </row>
    <row r="118" spans="1:30" x14ac:dyDescent="0.25">
      <c r="A118" t="str">
        <f ca="1">IF(_xll.TM1RPTELISCONSOLIDATED($I$22,$I118),IF(_xll.TM1RPTELLEV($I$22,$I118)&lt;=3,_xll.TM1RPTELLEV($I$22,$I118),"D"),"N")</f>
        <v>D</v>
      </c>
      <c r="I118" s="18" t="s">
        <v>103</v>
      </c>
      <c r="J118" s="9">
        <f ca="1">_xll.DBR($I$9,$J$13,$J$15,$J$14,J$20,$J$16,$J$17,$I118,J$21)</f>
        <v>0</v>
      </c>
      <c r="K118" s="9">
        <f ca="1">_xll.DBR($I$9,$J$13,$J$15,$J$14,K$20,$J$16,$J$17,$I118,K$21)</f>
        <v>0</v>
      </c>
      <c r="L118" s="9">
        <f ca="1">_xll.DBRW($I$9,$J$13,$J$15,$J$14,L$20,$J$16,$J$17,$I118,L$21)</f>
        <v>0</v>
      </c>
      <c r="M118" s="9">
        <f ca="1">_xll.DBRW($I$9,$J$13,$J$15,$J$14,M$20,$J$16,$J$17,$I118,M$21)</f>
        <v>0</v>
      </c>
      <c r="N118" s="9">
        <f ca="1">_xll.DBRW($I$9,$J$13,$J$15,$J$14,N$20,$J$16,$J$17,$I118,N$21)</f>
        <v>0</v>
      </c>
      <c r="O118" s="9">
        <f ca="1">_xll.DBRW($I$9,$J$13,$J$15,$J$14,O$20,$J$16,$J$17,$I118,O$21)</f>
        <v>0</v>
      </c>
      <c r="P118" s="9">
        <f ca="1">_xll.DBRW($I$9,$J$13,$J$15,$J$14,P$20,$J$16,$J$17,$I118,P$21)</f>
        <v>0</v>
      </c>
      <c r="Q118" s="9">
        <f ca="1">_xll.DBRW($I$9,$J$13,$J$15,$J$14,Q$20,$J$16,$J$17,$I118,Q$21)</f>
        <v>0</v>
      </c>
      <c r="R118" s="9">
        <f ca="1">_xll.DBRW($I$9,$J$13,$J$15,$J$14,R$20,$J$16,$J$17,$I118,R$21)</f>
        <v>0</v>
      </c>
      <c r="S118" s="9" t="str">
        <f ca="1">_xll.DBR($I$9,$J$13,$J$15,$J$14,S$20,$J$16,$J$17,$I118,S$21)</f>
        <v>*KEY_ERR</v>
      </c>
      <c r="T118" s="9" t="str">
        <f ca="1">_xll.DBR($I$9,$J$13,$J$15,$J$14,T$20,$J$16,$J$17,$I118,T$21)</f>
        <v>*KEY_ERR</v>
      </c>
      <c r="U118" s="9" t="str">
        <f ca="1">_xll.DBR($I$9,$J$13,$J$15,$J$14,U$20,$J$16,$J$17,$I118,U$21)</f>
        <v>*KEY_ERR</v>
      </c>
      <c r="V118" s="9">
        <f ca="1">_xll.DBR($I$9,$J$13,$J$15,$J$14,V$20,$J$16,$J$17,$I118,V$21)</f>
        <v>0</v>
      </c>
      <c r="W118" s="9">
        <f ca="1">_xll.DBR($I$9,$J$13,$J$15,$J$14,W$20,$J$16,$J$17,$I118,W$21)</f>
        <v>0</v>
      </c>
      <c r="X118" s="9">
        <f ca="1">_xll.DBR($I$9,$J$13,$J$15,$J$14,X$20,$J$16,$J$17,$I118,X$21)</f>
        <v>0</v>
      </c>
      <c r="Y118" s="9">
        <f ca="1">_xll.DBR($I$9,$J$13,$J$15,$J$14,Y$20,$J$16,$J$17,$I118,Y$21)</f>
        <v>0</v>
      </c>
      <c r="Z118" s="9">
        <f ca="1">_xll.DBR($I$9,$J$13,$J$15,$J$14,Z$20,$J$16,$J$17,$I118,Z$21)</f>
        <v>0</v>
      </c>
      <c r="AA118" s="9">
        <f ca="1">_xll.DBR($I$9,$J$13,$J$15,$J$14,AA$20,$J$16,$J$17,$I118,AA$21)</f>
        <v>0</v>
      </c>
      <c r="AB118" s="9">
        <f ca="1">_xll.DBR($I$9,$J$13,$J$15,$J$14,AB$20,$J$16,$J$17,$I118,AB$21)</f>
        <v>0</v>
      </c>
      <c r="AC118" s="9">
        <f ca="1">_xll.DBR($I$9,$J$13,$J$15,$J$14,AC$20,$J$16,$J$17,$I118,AC$21)</f>
        <v>0</v>
      </c>
      <c r="AD118" s="9">
        <f ca="1">_xll.DBR($I$9,$J$13,$J$15,$J$14,AD$20,$J$16,$J$17,$I118,AD$21)</f>
        <v>0</v>
      </c>
    </row>
    <row r="119" spans="1:30" x14ac:dyDescent="0.25">
      <c r="A119" t="str">
        <f ca="1">IF(_xll.TM1RPTELISCONSOLIDATED($I$22,$I119),IF(_xll.TM1RPTELLEV($I$22,$I119)&lt;=3,_xll.TM1RPTELLEV($I$22,$I119),"D"),"N")</f>
        <v>D</v>
      </c>
      <c r="I119" s="18" t="s">
        <v>104</v>
      </c>
      <c r="J119" s="9">
        <f ca="1">_xll.DBR($I$9,$J$13,$J$15,$J$14,J$20,$J$16,$J$17,$I119,J$21)</f>
        <v>0</v>
      </c>
      <c r="K119" s="9">
        <f ca="1">_xll.DBR($I$9,$J$13,$J$15,$J$14,K$20,$J$16,$J$17,$I119,K$21)</f>
        <v>0</v>
      </c>
      <c r="L119" s="9">
        <f ca="1">_xll.DBRW($I$9,$J$13,$J$15,$J$14,L$20,$J$16,$J$17,$I119,L$21)</f>
        <v>0</v>
      </c>
      <c r="M119" s="9">
        <f ca="1">_xll.DBRW($I$9,$J$13,$J$15,$J$14,M$20,$J$16,$J$17,$I119,M$21)</f>
        <v>0</v>
      </c>
      <c r="N119" s="9">
        <f ca="1">_xll.DBRW($I$9,$J$13,$J$15,$J$14,N$20,$J$16,$J$17,$I119,N$21)</f>
        <v>0</v>
      </c>
      <c r="O119" s="9">
        <f ca="1">_xll.DBRW($I$9,$J$13,$J$15,$J$14,O$20,$J$16,$J$17,$I119,O$21)</f>
        <v>0</v>
      </c>
      <c r="P119" s="9">
        <f ca="1">_xll.DBRW($I$9,$J$13,$J$15,$J$14,P$20,$J$16,$J$17,$I119,P$21)</f>
        <v>0</v>
      </c>
      <c r="Q119" s="9">
        <f ca="1">_xll.DBRW($I$9,$J$13,$J$15,$J$14,Q$20,$J$16,$J$17,$I119,Q$21)</f>
        <v>0</v>
      </c>
      <c r="R119" s="9">
        <f ca="1">_xll.DBRW($I$9,$J$13,$J$15,$J$14,R$20,$J$16,$J$17,$I119,R$21)</f>
        <v>0</v>
      </c>
      <c r="S119" s="9" t="str">
        <f ca="1">_xll.DBR($I$9,$J$13,$J$15,$J$14,S$20,$J$16,$J$17,$I119,S$21)</f>
        <v>*KEY_ERR</v>
      </c>
      <c r="T119" s="9" t="str">
        <f ca="1">_xll.DBR($I$9,$J$13,$J$15,$J$14,T$20,$J$16,$J$17,$I119,T$21)</f>
        <v>*KEY_ERR</v>
      </c>
      <c r="U119" s="9" t="str">
        <f ca="1">_xll.DBR($I$9,$J$13,$J$15,$J$14,U$20,$J$16,$J$17,$I119,U$21)</f>
        <v>*KEY_ERR</v>
      </c>
      <c r="V119" s="9">
        <f ca="1">_xll.DBR($I$9,$J$13,$J$15,$J$14,V$20,$J$16,$J$17,$I119,V$21)</f>
        <v>0</v>
      </c>
      <c r="W119" s="9">
        <f ca="1">_xll.DBR($I$9,$J$13,$J$15,$J$14,W$20,$J$16,$J$17,$I119,W$21)</f>
        <v>0</v>
      </c>
      <c r="X119" s="9">
        <f ca="1">_xll.DBR($I$9,$J$13,$J$15,$J$14,X$20,$J$16,$J$17,$I119,X$21)</f>
        <v>0</v>
      </c>
      <c r="Y119" s="9">
        <f ca="1">_xll.DBR($I$9,$J$13,$J$15,$J$14,Y$20,$J$16,$J$17,$I119,Y$21)</f>
        <v>0</v>
      </c>
      <c r="Z119" s="9">
        <f ca="1">_xll.DBR($I$9,$J$13,$J$15,$J$14,Z$20,$J$16,$J$17,$I119,Z$21)</f>
        <v>0</v>
      </c>
      <c r="AA119" s="9">
        <f ca="1">_xll.DBR($I$9,$J$13,$J$15,$J$14,AA$20,$J$16,$J$17,$I119,AA$21)</f>
        <v>0</v>
      </c>
      <c r="AB119" s="9">
        <f ca="1">_xll.DBR($I$9,$J$13,$J$15,$J$14,AB$20,$J$16,$J$17,$I119,AB$21)</f>
        <v>0</v>
      </c>
      <c r="AC119" s="9">
        <f ca="1">_xll.DBR($I$9,$J$13,$J$15,$J$14,AC$20,$J$16,$J$17,$I119,AC$21)</f>
        <v>0</v>
      </c>
      <c r="AD119" s="9">
        <f ca="1">_xll.DBR($I$9,$J$13,$J$15,$J$14,AD$20,$J$16,$J$17,$I119,AD$21)</f>
        <v>0</v>
      </c>
    </row>
    <row r="120" spans="1:30" x14ac:dyDescent="0.25">
      <c r="A120">
        <f ca="1">IF(_xll.TM1RPTELISCONSOLIDATED($I$22,$I120),IF(_xll.TM1RPTELLEV($I$22,$I120)&lt;=3,_xll.TM1RPTELLEV($I$22,$I120),"D"),"N")</f>
        <v>3</v>
      </c>
      <c r="I120" s="23" t="s">
        <v>105</v>
      </c>
      <c r="J120" s="7">
        <f ca="1">_xll.DBR($I$9,$J$13,$J$15,$J$14,J$20,$J$16,$J$17,$I120,J$21)</f>
        <v>0</v>
      </c>
      <c r="K120" s="7">
        <f ca="1">_xll.DBR($I$9,$J$13,$J$15,$J$14,K$20,$J$16,$J$17,$I120,K$21)</f>
        <v>0</v>
      </c>
      <c r="L120" s="7">
        <f ca="1">_xll.DBRW($I$9,$J$13,$J$15,$J$14,L$20,$J$16,$J$17,$I120,L$21)</f>
        <v>0</v>
      </c>
      <c r="M120" s="7">
        <f ca="1">_xll.DBRW($I$9,$J$13,$J$15,$J$14,M$20,$J$16,$J$17,$I120,M$21)</f>
        <v>0</v>
      </c>
      <c r="N120" s="7">
        <f ca="1">_xll.DBRW($I$9,$J$13,$J$15,$J$14,N$20,$J$16,$J$17,$I120,N$21)</f>
        <v>0</v>
      </c>
      <c r="O120" s="7">
        <f ca="1">_xll.DBRW($I$9,$J$13,$J$15,$J$14,O$20,$J$16,$J$17,$I120,O$21)</f>
        <v>0</v>
      </c>
      <c r="P120" s="7">
        <f ca="1">_xll.DBRW($I$9,$J$13,$J$15,$J$14,P$20,$J$16,$J$17,$I120,P$21)</f>
        <v>0</v>
      </c>
      <c r="Q120" s="7">
        <f ca="1">_xll.DBRW($I$9,$J$13,$J$15,$J$14,Q$20,$J$16,$J$17,$I120,Q$21)</f>
        <v>0</v>
      </c>
      <c r="R120" s="7">
        <f ca="1">_xll.DBRW($I$9,$J$13,$J$15,$J$14,R$20,$J$16,$J$17,$I120,R$21)</f>
        <v>0</v>
      </c>
      <c r="S120" s="7" t="str">
        <f ca="1">_xll.DBR($I$9,$J$13,$J$15,$J$14,S$20,$J$16,$J$17,$I120,S$21)</f>
        <v>*KEY_ERR</v>
      </c>
      <c r="T120" s="7" t="str">
        <f ca="1">_xll.DBR($I$9,$J$13,$J$15,$J$14,T$20,$J$16,$J$17,$I120,T$21)</f>
        <v>*KEY_ERR</v>
      </c>
      <c r="U120" s="7" t="str">
        <f ca="1">_xll.DBR($I$9,$J$13,$J$15,$J$14,U$20,$J$16,$J$17,$I120,U$21)</f>
        <v>*KEY_ERR</v>
      </c>
      <c r="V120" s="7">
        <f ca="1">_xll.DBR($I$9,$J$13,$J$15,$J$14,V$20,$J$16,$J$17,$I120,V$21)</f>
        <v>0</v>
      </c>
      <c r="W120" s="7">
        <f ca="1">_xll.DBR($I$9,$J$13,$J$15,$J$14,W$20,$J$16,$J$17,$I120,W$21)</f>
        <v>0</v>
      </c>
      <c r="X120" s="7">
        <f ca="1">_xll.DBR($I$9,$J$13,$J$15,$J$14,X$20,$J$16,$J$17,$I120,X$21)</f>
        <v>0</v>
      </c>
      <c r="Y120" s="7">
        <f ca="1">_xll.DBR($I$9,$J$13,$J$15,$J$14,Y$20,$J$16,$J$17,$I120,Y$21)</f>
        <v>0</v>
      </c>
      <c r="Z120" s="7">
        <f ca="1">_xll.DBR($I$9,$J$13,$J$15,$J$14,Z$20,$J$16,$J$17,$I120,Z$21)</f>
        <v>0</v>
      </c>
      <c r="AA120" s="7">
        <f ca="1">_xll.DBR($I$9,$J$13,$J$15,$J$14,AA$20,$J$16,$J$17,$I120,AA$21)</f>
        <v>0</v>
      </c>
      <c r="AB120" s="7">
        <f ca="1">_xll.DBR($I$9,$J$13,$J$15,$J$14,AB$20,$J$16,$J$17,$I120,AB$21)</f>
        <v>0</v>
      </c>
      <c r="AC120" s="7">
        <f ca="1">_xll.DBR($I$9,$J$13,$J$15,$J$14,AC$20,$J$16,$J$17,$I120,AC$21)</f>
        <v>0</v>
      </c>
      <c r="AD120" s="7">
        <f ca="1">_xll.DBR($I$9,$J$13,$J$15,$J$14,AD$20,$J$16,$J$17,$I120,AD$21)</f>
        <v>0</v>
      </c>
    </row>
    <row r="121" spans="1:30" x14ac:dyDescent="0.25">
      <c r="A121" t="str">
        <f ca="1">IF(_xll.TM1RPTELISCONSOLIDATED($I$22,$I121),IF(_xll.TM1RPTELLEV($I$22,$I121)&lt;=3,_xll.TM1RPTELLEV($I$22,$I121),"D"),"N")</f>
        <v>D</v>
      </c>
      <c r="I121" s="18" t="s">
        <v>106</v>
      </c>
      <c r="J121" s="9">
        <f ca="1">_xll.DBR($I$9,$J$13,$J$15,$J$14,J$20,$J$16,$J$17,$I121,J$21)</f>
        <v>0</v>
      </c>
      <c r="K121" s="9">
        <f ca="1">_xll.DBR($I$9,$J$13,$J$15,$J$14,K$20,$J$16,$J$17,$I121,K$21)</f>
        <v>0</v>
      </c>
      <c r="L121" s="9">
        <f ca="1">_xll.DBRW($I$9,$J$13,$J$15,$J$14,L$20,$J$16,$J$17,$I121,L$21)</f>
        <v>0</v>
      </c>
      <c r="M121" s="9">
        <f ca="1">_xll.DBRW($I$9,$J$13,$J$15,$J$14,M$20,$J$16,$J$17,$I121,M$21)</f>
        <v>0</v>
      </c>
      <c r="N121" s="9">
        <f ca="1">_xll.DBRW($I$9,$J$13,$J$15,$J$14,N$20,$J$16,$J$17,$I121,N$21)</f>
        <v>0</v>
      </c>
      <c r="O121" s="9">
        <f ca="1">_xll.DBRW($I$9,$J$13,$J$15,$J$14,O$20,$J$16,$J$17,$I121,O$21)</f>
        <v>0</v>
      </c>
      <c r="P121" s="9">
        <f ca="1">_xll.DBRW($I$9,$J$13,$J$15,$J$14,P$20,$J$16,$J$17,$I121,P$21)</f>
        <v>0</v>
      </c>
      <c r="Q121" s="9">
        <f ca="1">_xll.DBRW($I$9,$J$13,$J$15,$J$14,Q$20,$J$16,$J$17,$I121,Q$21)</f>
        <v>0</v>
      </c>
      <c r="R121" s="9">
        <f ca="1">_xll.DBRW($I$9,$J$13,$J$15,$J$14,R$20,$J$16,$J$17,$I121,R$21)</f>
        <v>0</v>
      </c>
      <c r="S121" s="9" t="str">
        <f ca="1">_xll.DBR($I$9,$J$13,$J$15,$J$14,S$20,$J$16,$J$17,$I121,S$21)</f>
        <v>*KEY_ERR</v>
      </c>
      <c r="T121" s="9" t="str">
        <f ca="1">_xll.DBR($I$9,$J$13,$J$15,$J$14,T$20,$J$16,$J$17,$I121,T$21)</f>
        <v>*KEY_ERR</v>
      </c>
      <c r="U121" s="9" t="str">
        <f ca="1">_xll.DBR($I$9,$J$13,$J$15,$J$14,U$20,$J$16,$J$17,$I121,U$21)</f>
        <v>*KEY_ERR</v>
      </c>
      <c r="V121" s="9">
        <f ca="1">_xll.DBR($I$9,$J$13,$J$15,$J$14,V$20,$J$16,$J$17,$I121,V$21)</f>
        <v>0</v>
      </c>
      <c r="W121" s="9">
        <f ca="1">_xll.DBR($I$9,$J$13,$J$15,$J$14,W$20,$J$16,$J$17,$I121,W$21)</f>
        <v>0</v>
      </c>
      <c r="X121" s="9">
        <f ca="1">_xll.DBR($I$9,$J$13,$J$15,$J$14,X$20,$J$16,$J$17,$I121,X$21)</f>
        <v>0</v>
      </c>
      <c r="Y121" s="9">
        <f ca="1">_xll.DBR($I$9,$J$13,$J$15,$J$14,Y$20,$J$16,$J$17,$I121,Y$21)</f>
        <v>0</v>
      </c>
      <c r="Z121" s="9">
        <f ca="1">_xll.DBR($I$9,$J$13,$J$15,$J$14,Z$20,$J$16,$J$17,$I121,Z$21)</f>
        <v>0</v>
      </c>
      <c r="AA121" s="9">
        <f ca="1">_xll.DBR($I$9,$J$13,$J$15,$J$14,AA$20,$J$16,$J$17,$I121,AA$21)</f>
        <v>0</v>
      </c>
      <c r="AB121" s="9">
        <f ca="1">_xll.DBR($I$9,$J$13,$J$15,$J$14,AB$20,$J$16,$J$17,$I121,AB$21)</f>
        <v>0</v>
      </c>
      <c r="AC121" s="9">
        <f ca="1">_xll.DBR($I$9,$J$13,$J$15,$J$14,AC$20,$J$16,$J$17,$I121,AC$21)</f>
        <v>0</v>
      </c>
      <c r="AD121" s="9">
        <f ca="1">_xll.DBR($I$9,$J$13,$J$15,$J$14,AD$20,$J$16,$J$17,$I121,AD$21)</f>
        <v>0</v>
      </c>
    </row>
    <row r="122" spans="1:30" x14ac:dyDescent="0.25">
      <c r="A122" t="str">
        <f ca="1">IF(_xll.TM1RPTELISCONSOLIDATED($I$22,$I122),IF(_xll.TM1RPTELLEV($I$22,$I122)&lt;=3,_xll.TM1RPTELLEV($I$22,$I122),"D"),"N")</f>
        <v>D</v>
      </c>
      <c r="I122" s="18" t="s">
        <v>107</v>
      </c>
      <c r="J122" s="9">
        <f ca="1">_xll.DBR($I$9,$J$13,$J$15,$J$14,J$20,$J$16,$J$17,$I122,J$21)</f>
        <v>0</v>
      </c>
      <c r="K122" s="9">
        <f ca="1">_xll.DBR($I$9,$J$13,$J$15,$J$14,K$20,$J$16,$J$17,$I122,K$21)</f>
        <v>0</v>
      </c>
      <c r="L122" s="9">
        <f ca="1">_xll.DBRW($I$9,$J$13,$J$15,$J$14,L$20,$J$16,$J$17,$I122,L$21)</f>
        <v>0</v>
      </c>
      <c r="M122" s="9">
        <f ca="1">_xll.DBRW($I$9,$J$13,$J$15,$J$14,M$20,$J$16,$J$17,$I122,M$21)</f>
        <v>0</v>
      </c>
      <c r="N122" s="9">
        <f ca="1">_xll.DBRW($I$9,$J$13,$J$15,$J$14,N$20,$J$16,$J$17,$I122,N$21)</f>
        <v>0</v>
      </c>
      <c r="O122" s="9">
        <f ca="1">_xll.DBRW($I$9,$J$13,$J$15,$J$14,O$20,$J$16,$J$17,$I122,O$21)</f>
        <v>0</v>
      </c>
      <c r="P122" s="9">
        <f ca="1">_xll.DBRW($I$9,$J$13,$J$15,$J$14,P$20,$J$16,$J$17,$I122,P$21)</f>
        <v>0</v>
      </c>
      <c r="Q122" s="9">
        <f ca="1">_xll.DBRW($I$9,$J$13,$J$15,$J$14,Q$20,$J$16,$J$17,$I122,Q$21)</f>
        <v>0</v>
      </c>
      <c r="R122" s="9">
        <f ca="1">_xll.DBRW($I$9,$J$13,$J$15,$J$14,R$20,$J$16,$J$17,$I122,R$21)</f>
        <v>0</v>
      </c>
      <c r="S122" s="9" t="str">
        <f ca="1">_xll.DBR($I$9,$J$13,$J$15,$J$14,S$20,$J$16,$J$17,$I122,S$21)</f>
        <v>*KEY_ERR</v>
      </c>
      <c r="T122" s="9" t="str">
        <f ca="1">_xll.DBR($I$9,$J$13,$J$15,$J$14,T$20,$J$16,$J$17,$I122,T$21)</f>
        <v>*KEY_ERR</v>
      </c>
      <c r="U122" s="9" t="str">
        <f ca="1">_xll.DBR($I$9,$J$13,$J$15,$J$14,U$20,$J$16,$J$17,$I122,U$21)</f>
        <v>*KEY_ERR</v>
      </c>
      <c r="V122" s="9">
        <f ca="1">_xll.DBR($I$9,$J$13,$J$15,$J$14,V$20,$J$16,$J$17,$I122,V$21)</f>
        <v>0</v>
      </c>
      <c r="W122" s="9">
        <f ca="1">_xll.DBR($I$9,$J$13,$J$15,$J$14,W$20,$J$16,$J$17,$I122,W$21)</f>
        <v>0</v>
      </c>
      <c r="X122" s="9">
        <f ca="1">_xll.DBR($I$9,$J$13,$J$15,$J$14,X$20,$J$16,$J$17,$I122,X$21)</f>
        <v>0</v>
      </c>
      <c r="Y122" s="9">
        <f ca="1">_xll.DBR($I$9,$J$13,$J$15,$J$14,Y$20,$J$16,$J$17,$I122,Y$21)</f>
        <v>0</v>
      </c>
      <c r="Z122" s="9">
        <f ca="1">_xll.DBR($I$9,$J$13,$J$15,$J$14,Z$20,$J$16,$J$17,$I122,Z$21)</f>
        <v>0</v>
      </c>
      <c r="AA122" s="9">
        <f ca="1">_xll.DBR($I$9,$J$13,$J$15,$J$14,AA$20,$J$16,$J$17,$I122,AA$21)</f>
        <v>0</v>
      </c>
      <c r="AB122" s="9">
        <f ca="1">_xll.DBR($I$9,$J$13,$J$15,$J$14,AB$20,$J$16,$J$17,$I122,AB$21)</f>
        <v>0</v>
      </c>
      <c r="AC122" s="9">
        <f ca="1">_xll.DBR($I$9,$J$13,$J$15,$J$14,AC$20,$J$16,$J$17,$I122,AC$21)</f>
        <v>0</v>
      </c>
      <c r="AD122" s="9">
        <f ca="1">_xll.DBR($I$9,$J$13,$J$15,$J$14,AD$20,$J$16,$J$17,$I122,AD$21)</f>
        <v>0</v>
      </c>
    </row>
    <row r="123" spans="1:30" x14ac:dyDescent="0.25">
      <c r="A123" t="str">
        <f ca="1">IF(_xll.TM1RPTELISCONSOLIDATED($I$22,$I123),IF(_xll.TM1RPTELLEV($I$22,$I123)&lt;=3,_xll.TM1RPTELLEV($I$22,$I123),"D"),"N")</f>
        <v>D</v>
      </c>
      <c r="I123" s="18" t="s">
        <v>108</v>
      </c>
      <c r="J123" s="9">
        <f ca="1">_xll.DBR($I$9,$J$13,$J$15,$J$14,J$20,$J$16,$J$17,$I123,J$21)</f>
        <v>0</v>
      </c>
      <c r="K123" s="9">
        <f ca="1">_xll.DBR($I$9,$J$13,$J$15,$J$14,K$20,$J$16,$J$17,$I123,K$21)</f>
        <v>0</v>
      </c>
      <c r="L123" s="9">
        <f ca="1">_xll.DBRW($I$9,$J$13,$J$15,$J$14,L$20,$J$16,$J$17,$I123,L$21)</f>
        <v>0</v>
      </c>
      <c r="M123" s="9">
        <f ca="1">_xll.DBRW($I$9,$J$13,$J$15,$J$14,M$20,$J$16,$J$17,$I123,M$21)</f>
        <v>0</v>
      </c>
      <c r="N123" s="9">
        <f ca="1">_xll.DBRW($I$9,$J$13,$J$15,$J$14,N$20,$J$16,$J$17,$I123,N$21)</f>
        <v>0</v>
      </c>
      <c r="O123" s="9">
        <f ca="1">_xll.DBRW($I$9,$J$13,$J$15,$J$14,O$20,$J$16,$J$17,$I123,O$21)</f>
        <v>0</v>
      </c>
      <c r="P123" s="9">
        <f ca="1">_xll.DBRW($I$9,$J$13,$J$15,$J$14,P$20,$J$16,$J$17,$I123,P$21)</f>
        <v>0</v>
      </c>
      <c r="Q123" s="9">
        <f ca="1">_xll.DBRW($I$9,$J$13,$J$15,$J$14,Q$20,$J$16,$J$17,$I123,Q$21)</f>
        <v>0</v>
      </c>
      <c r="R123" s="9">
        <f ca="1">_xll.DBRW($I$9,$J$13,$J$15,$J$14,R$20,$J$16,$J$17,$I123,R$21)</f>
        <v>0</v>
      </c>
      <c r="S123" s="9" t="str">
        <f ca="1">_xll.DBR($I$9,$J$13,$J$15,$J$14,S$20,$J$16,$J$17,$I123,S$21)</f>
        <v>*KEY_ERR</v>
      </c>
      <c r="T123" s="9" t="str">
        <f ca="1">_xll.DBR($I$9,$J$13,$J$15,$J$14,T$20,$J$16,$J$17,$I123,T$21)</f>
        <v>*KEY_ERR</v>
      </c>
      <c r="U123" s="9" t="str">
        <f ca="1">_xll.DBR($I$9,$J$13,$J$15,$J$14,U$20,$J$16,$J$17,$I123,U$21)</f>
        <v>*KEY_ERR</v>
      </c>
      <c r="V123" s="9">
        <f ca="1">_xll.DBR($I$9,$J$13,$J$15,$J$14,V$20,$J$16,$J$17,$I123,V$21)</f>
        <v>0</v>
      </c>
      <c r="W123" s="9">
        <f ca="1">_xll.DBR($I$9,$J$13,$J$15,$J$14,W$20,$J$16,$J$17,$I123,W$21)</f>
        <v>0</v>
      </c>
      <c r="X123" s="9">
        <f ca="1">_xll.DBR($I$9,$J$13,$J$15,$J$14,X$20,$J$16,$J$17,$I123,X$21)</f>
        <v>0</v>
      </c>
      <c r="Y123" s="9">
        <f ca="1">_xll.DBR($I$9,$J$13,$J$15,$J$14,Y$20,$J$16,$J$17,$I123,Y$21)</f>
        <v>0</v>
      </c>
      <c r="Z123" s="9">
        <f ca="1">_xll.DBR($I$9,$J$13,$J$15,$J$14,Z$20,$J$16,$J$17,$I123,Z$21)</f>
        <v>0</v>
      </c>
      <c r="AA123" s="9">
        <f ca="1">_xll.DBR($I$9,$J$13,$J$15,$J$14,AA$20,$J$16,$J$17,$I123,AA$21)</f>
        <v>0</v>
      </c>
      <c r="AB123" s="9">
        <f ca="1">_xll.DBR($I$9,$J$13,$J$15,$J$14,AB$20,$J$16,$J$17,$I123,AB$21)</f>
        <v>0</v>
      </c>
      <c r="AC123" s="9">
        <f ca="1">_xll.DBR($I$9,$J$13,$J$15,$J$14,AC$20,$J$16,$J$17,$I123,AC$21)</f>
        <v>0</v>
      </c>
      <c r="AD123" s="9">
        <f ca="1">_xll.DBR($I$9,$J$13,$J$15,$J$14,AD$20,$J$16,$J$17,$I123,AD$21)</f>
        <v>0</v>
      </c>
    </row>
    <row r="124" spans="1:30" x14ac:dyDescent="0.25">
      <c r="A124" t="str">
        <f ca="1">IF(_xll.TM1RPTELISCONSOLIDATED($I$22,$I124),IF(_xll.TM1RPTELLEV($I$22,$I124)&lt;=3,_xll.TM1RPTELLEV($I$22,$I124),"D"),"N")</f>
        <v>D</v>
      </c>
      <c r="I124" s="18" t="s">
        <v>109</v>
      </c>
      <c r="J124" s="9">
        <f ca="1">_xll.DBR($I$9,$J$13,$J$15,$J$14,J$20,$J$16,$J$17,$I124,J$21)</f>
        <v>0</v>
      </c>
      <c r="K124" s="9">
        <f ca="1">_xll.DBR($I$9,$J$13,$J$15,$J$14,K$20,$J$16,$J$17,$I124,K$21)</f>
        <v>0</v>
      </c>
      <c r="L124" s="9">
        <f ca="1">_xll.DBRW($I$9,$J$13,$J$15,$J$14,L$20,$J$16,$J$17,$I124,L$21)</f>
        <v>0</v>
      </c>
      <c r="M124" s="9">
        <f ca="1">_xll.DBRW($I$9,$J$13,$J$15,$J$14,M$20,$J$16,$J$17,$I124,M$21)</f>
        <v>0</v>
      </c>
      <c r="N124" s="9">
        <f ca="1">_xll.DBRW($I$9,$J$13,$J$15,$J$14,N$20,$J$16,$J$17,$I124,N$21)</f>
        <v>0</v>
      </c>
      <c r="O124" s="9">
        <f ca="1">_xll.DBRW($I$9,$J$13,$J$15,$J$14,O$20,$J$16,$J$17,$I124,O$21)</f>
        <v>0</v>
      </c>
      <c r="P124" s="9">
        <f ca="1">_xll.DBRW($I$9,$J$13,$J$15,$J$14,P$20,$J$16,$J$17,$I124,P$21)</f>
        <v>0</v>
      </c>
      <c r="Q124" s="9">
        <f ca="1">_xll.DBRW($I$9,$J$13,$J$15,$J$14,Q$20,$J$16,$J$17,$I124,Q$21)</f>
        <v>0</v>
      </c>
      <c r="R124" s="9">
        <f ca="1">_xll.DBRW($I$9,$J$13,$J$15,$J$14,R$20,$J$16,$J$17,$I124,R$21)</f>
        <v>0</v>
      </c>
      <c r="S124" s="9" t="str">
        <f ca="1">_xll.DBR($I$9,$J$13,$J$15,$J$14,S$20,$J$16,$J$17,$I124,S$21)</f>
        <v>*KEY_ERR</v>
      </c>
      <c r="T124" s="9" t="str">
        <f ca="1">_xll.DBR($I$9,$J$13,$J$15,$J$14,T$20,$J$16,$J$17,$I124,T$21)</f>
        <v>*KEY_ERR</v>
      </c>
      <c r="U124" s="9" t="str">
        <f ca="1">_xll.DBR($I$9,$J$13,$J$15,$J$14,U$20,$J$16,$J$17,$I124,U$21)</f>
        <v>*KEY_ERR</v>
      </c>
      <c r="V124" s="9">
        <f ca="1">_xll.DBR($I$9,$J$13,$J$15,$J$14,V$20,$J$16,$J$17,$I124,V$21)</f>
        <v>0</v>
      </c>
      <c r="W124" s="9">
        <f ca="1">_xll.DBR($I$9,$J$13,$J$15,$J$14,W$20,$J$16,$J$17,$I124,W$21)</f>
        <v>0</v>
      </c>
      <c r="X124" s="9">
        <f ca="1">_xll.DBR($I$9,$J$13,$J$15,$J$14,X$20,$J$16,$J$17,$I124,X$21)</f>
        <v>0</v>
      </c>
      <c r="Y124" s="9">
        <f ca="1">_xll.DBR($I$9,$J$13,$J$15,$J$14,Y$20,$J$16,$J$17,$I124,Y$21)</f>
        <v>0</v>
      </c>
      <c r="Z124" s="9">
        <f ca="1">_xll.DBR($I$9,$J$13,$J$15,$J$14,Z$20,$J$16,$J$17,$I124,Z$21)</f>
        <v>0</v>
      </c>
      <c r="AA124" s="9">
        <f ca="1">_xll.DBR($I$9,$J$13,$J$15,$J$14,AA$20,$J$16,$J$17,$I124,AA$21)</f>
        <v>0</v>
      </c>
      <c r="AB124" s="9">
        <f ca="1">_xll.DBR($I$9,$J$13,$J$15,$J$14,AB$20,$J$16,$J$17,$I124,AB$21)</f>
        <v>0</v>
      </c>
      <c r="AC124" s="9">
        <f ca="1">_xll.DBR($I$9,$J$13,$J$15,$J$14,AC$20,$J$16,$J$17,$I124,AC$21)</f>
        <v>0</v>
      </c>
      <c r="AD124" s="9">
        <f ca="1">_xll.DBR($I$9,$J$13,$J$15,$J$14,AD$20,$J$16,$J$17,$I124,AD$21)</f>
        <v>0</v>
      </c>
    </row>
    <row r="125" spans="1:30" x14ac:dyDescent="0.25">
      <c r="A125" t="str">
        <f ca="1">IF(_xll.TM1RPTELISCONSOLIDATED($I$22,$I125),IF(_xll.TM1RPTELLEV($I$22,$I125)&lt;=3,_xll.TM1RPTELLEV($I$22,$I125),"D"),"N")</f>
        <v>D</v>
      </c>
      <c r="I125" s="18" t="s">
        <v>110</v>
      </c>
      <c r="J125" s="9">
        <f ca="1">_xll.DBR($I$9,$J$13,$J$15,$J$14,J$20,$J$16,$J$17,$I125,J$21)</f>
        <v>0</v>
      </c>
      <c r="K125" s="9">
        <f ca="1">_xll.DBR($I$9,$J$13,$J$15,$J$14,K$20,$J$16,$J$17,$I125,K$21)</f>
        <v>0</v>
      </c>
      <c r="L125" s="9">
        <f ca="1">_xll.DBRW($I$9,$J$13,$J$15,$J$14,L$20,$J$16,$J$17,$I125,L$21)</f>
        <v>0</v>
      </c>
      <c r="M125" s="9">
        <f ca="1">_xll.DBRW($I$9,$J$13,$J$15,$J$14,M$20,$J$16,$J$17,$I125,M$21)</f>
        <v>0</v>
      </c>
      <c r="N125" s="9">
        <f ca="1">_xll.DBRW($I$9,$J$13,$J$15,$J$14,N$20,$J$16,$J$17,$I125,N$21)</f>
        <v>0</v>
      </c>
      <c r="O125" s="9">
        <f ca="1">_xll.DBRW($I$9,$J$13,$J$15,$J$14,O$20,$J$16,$J$17,$I125,O$21)</f>
        <v>0</v>
      </c>
      <c r="P125" s="9">
        <f ca="1">_xll.DBRW($I$9,$J$13,$J$15,$J$14,P$20,$J$16,$J$17,$I125,P$21)</f>
        <v>0</v>
      </c>
      <c r="Q125" s="9">
        <f ca="1">_xll.DBRW($I$9,$J$13,$J$15,$J$14,Q$20,$J$16,$J$17,$I125,Q$21)</f>
        <v>0</v>
      </c>
      <c r="R125" s="9">
        <f ca="1">_xll.DBRW($I$9,$J$13,$J$15,$J$14,R$20,$J$16,$J$17,$I125,R$21)</f>
        <v>0</v>
      </c>
      <c r="S125" s="9" t="str">
        <f ca="1">_xll.DBR($I$9,$J$13,$J$15,$J$14,S$20,$J$16,$J$17,$I125,S$21)</f>
        <v>*KEY_ERR</v>
      </c>
      <c r="T125" s="9" t="str">
        <f ca="1">_xll.DBR($I$9,$J$13,$J$15,$J$14,T$20,$J$16,$J$17,$I125,T$21)</f>
        <v>*KEY_ERR</v>
      </c>
      <c r="U125" s="9" t="str">
        <f ca="1">_xll.DBR($I$9,$J$13,$J$15,$J$14,U$20,$J$16,$J$17,$I125,U$21)</f>
        <v>*KEY_ERR</v>
      </c>
      <c r="V125" s="9">
        <f ca="1">_xll.DBR($I$9,$J$13,$J$15,$J$14,V$20,$J$16,$J$17,$I125,V$21)</f>
        <v>0</v>
      </c>
      <c r="W125" s="9">
        <f ca="1">_xll.DBR($I$9,$J$13,$J$15,$J$14,W$20,$J$16,$J$17,$I125,W$21)</f>
        <v>0</v>
      </c>
      <c r="X125" s="9">
        <f ca="1">_xll.DBR($I$9,$J$13,$J$15,$J$14,X$20,$J$16,$J$17,$I125,X$21)</f>
        <v>0</v>
      </c>
      <c r="Y125" s="9">
        <f ca="1">_xll.DBR($I$9,$J$13,$J$15,$J$14,Y$20,$J$16,$J$17,$I125,Y$21)</f>
        <v>0</v>
      </c>
      <c r="Z125" s="9">
        <f ca="1">_xll.DBR($I$9,$J$13,$J$15,$J$14,Z$20,$J$16,$J$17,$I125,Z$21)</f>
        <v>0</v>
      </c>
      <c r="AA125" s="9">
        <f ca="1">_xll.DBR($I$9,$J$13,$J$15,$J$14,AA$20,$J$16,$J$17,$I125,AA$21)</f>
        <v>0</v>
      </c>
      <c r="AB125" s="9">
        <f ca="1">_xll.DBR($I$9,$J$13,$J$15,$J$14,AB$20,$J$16,$J$17,$I125,AB$21)</f>
        <v>0</v>
      </c>
      <c r="AC125" s="9">
        <f ca="1">_xll.DBR($I$9,$J$13,$J$15,$J$14,AC$20,$J$16,$J$17,$I125,AC$21)</f>
        <v>0</v>
      </c>
      <c r="AD125" s="9">
        <f ca="1">_xll.DBR($I$9,$J$13,$J$15,$J$14,AD$20,$J$16,$J$17,$I125,AD$21)</f>
        <v>0</v>
      </c>
    </row>
    <row r="126" spans="1:30" x14ac:dyDescent="0.25">
      <c r="A126" t="str">
        <f ca="1">IF(_xll.TM1RPTELISCONSOLIDATED($I$22,$I126),IF(_xll.TM1RPTELLEV($I$22,$I126)&lt;=3,_xll.TM1RPTELLEV($I$22,$I126),"D"),"N")</f>
        <v>D</v>
      </c>
      <c r="I126" s="18" t="s">
        <v>111</v>
      </c>
      <c r="J126" s="9">
        <f ca="1">_xll.DBR($I$9,$J$13,$J$15,$J$14,J$20,$J$16,$J$17,$I126,J$21)</f>
        <v>0</v>
      </c>
      <c r="K126" s="9">
        <f ca="1">_xll.DBR($I$9,$J$13,$J$15,$J$14,K$20,$J$16,$J$17,$I126,K$21)</f>
        <v>0</v>
      </c>
      <c r="L126" s="9">
        <f ca="1">_xll.DBRW($I$9,$J$13,$J$15,$J$14,L$20,$J$16,$J$17,$I126,L$21)</f>
        <v>0</v>
      </c>
      <c r="M126" s="9">
        <f ca="1">_xll.DBRW($I$9,$J$13,$J$15,$J$14,M$20,$J$16,$J$17,$I126,M$21)</f>
        <v>0</v>
      </c>
      <c r="N126" s="9">
        <f ca="1">_xll.DBRW($I$9,$J$13,$J$15,$J$14,N$20,$J$16,$J$17,$I126,N$21)</f>
        <v>0</v>
      </c>
      <c r="O126" s="9">
        <f ca="1">_xll.DBRW($I$9,$J$13,$J$15,$J$14,O$20,$J$16,$J$17,$I126,O$21)</f>
        <v>0</v>
      </c>
      <c r="P126" s="9">
        <f ca="1">_xll.DBRW($I$9,$J$13,$J$15,$J$14,P$20,$J$16,$J$17,$I126,P$21)</f>
        <v>0</v>
      </c>
      <c r="Q126" s="9">
        <f ca="1">_xll.DBRW($I$9,$J$13,$J$15,$J$14,Q$20,$J$16,$J$17,$I126,Q$21)</f>
        <v>0</v>
      </c>
      <c r="R126" s="9">
        <f ca="1">_xll.DBRW($I$9,$J$13,$J$15,$J$14,R$20,$J$16,$J$17,$I126,R$21)</f>
        <v>0</v>
      </c>
      <c r="S126" s="9" t="str">
        <f ca="1">_xll.DBR($I$9,$J$13,$J$15,$J$14,S$20,$J$16,$J$17,$I126,S$21)</f>
        <v>*KEY_ERR</v>
      </c>
      <c r="T126" s="9" t="str">
        <f ca="1">_xll.DBR($I$9,$J$13,$J$15,$J$14,T$20,$J$16,$J$17,$I126,T$21)</f>
        <v>*KEY_ERR</v>
      </c>
      <c r="U126" s="9" t="str">
        <f ca="1">_xll.DBR($I$9,$J$13,$J$15,$J$14,U$20,$J$16,$J$17,$I126,U$21)</f>
        <v>*KEY_ERR</v>
      </c>
      <c r="V126" s="9">
        <f ca="1">_xll.DBR($I$9,$J$13,$J$15,$J$14,V$20,$J$16,$J$17,$I126,V$21)</f>
        <v>0</v>
      </c>
      <c r="W126" s="9">
        <f ca="1">_xll.DBR($I$9,$J$13,$J$15,$J$14,W$20,$J$16,$J$17,$I126,W$21)</f>
        <v>0</v>
      </c>
      <c r="X126" s="9">
        <f ca="1">_xll.DBR($I$9,$J$13,$J$15,$J$14,X$20,$J$16,$J$17,$I126,X$21)</f>
        <v>0</v>
      </c>
      <c r="Y126" s="9">
        <f ca="1">_xll.DBR($I$9,$J$13,$J$15,$J$14,Y$20,$J$16,$J$17,$I126,Y$21)</f>
        <v>0</v>
      </c>
      <c r="Z126" s="9">
        <f ca="1">_xll.DBR($I$9,$J$13,$J$15,$J$14,Z$20,$J$16,$J$17,$I126,Z$21)</f>
        <v>0</v>
      </c>
      <c r="AA126" s="9">
        <f ca="1">_xll.DBR($I$9,$J$13,$J$15,$J$14,AA$20,$J$16,$J$17,$I126,AA$21)</f>
        <v>0</v>
      </c>
      <c r="AB126" s="9">
        <f ca="1">_xll.DBR($I$9,$J$13,$J$15,$J$14,AB$20,$J$16,$J$17,$I126,AB$21)</f>
        <v>0</v>
      </c>
      <c r="AC126" s="9">
        <f ca="1">_xll.DBR($I$9,$J$13,$J$15,$J$14,AC$20,$J$16,$J$17,$I126,AC$21)</f>
        <v>0</v>
      </c>
      <c r="AD126" s="9">
        <f ca="1">_xll.DBR($I$9,$J$13,$J$15,$J$14,AD$20,$J$16,$J$17,$I126,AD$21)</f>
        <v>0</v>
      </c>
    </row>
    <row r="127" spans="1:30" x14ac:dyDescent="0.25">
      <c r="A127">
        <f ca="1">IF(_xll.TM1RPTELISCONSOLIDATED($I$22,$I127),IF(_xll.TM1RPTELLEV($I$22,$I127)&lt;=3,_xll.TM1RPTELLEV($I$22,$I127),"D"),"N")</f>
        <v>3</v>
      </c>
      <c r="I127" s="22" t="s">
        <v>112</v>
      </c>
      <c r="J127" s="7">
        <f ca="1">_xll.DBR($I$9,$J$13,$J$15,$J$14,J$20,$J$16,$J$17,$I127,J$21)</f>
        <v>0</v>
      </c>
      <c r="K127" s="7">
        <f ca="1">_xll.DBR($I$9,$J$13,$J$15,$J$14,K$20,$J$16,$J$17,$I127,K$21)</f>
        <v>0</v>
      </c>
      <c r="L127" s="7">
        <f ca="1">_xll.DBRW($I$9,$J$13,$J$15,$J$14,L$20,$J$16,$J$17,$I127,L$21)</f>
        <v>0</v>
      </c>
      <c r="M127" s="7">
        <f ca="1">_xll.DBRW($I$9,$J$13,$J$15,$J$14,M$20,$J$16,$J$17,$I127,M$21)</f>
        <v>0</v>
      </c>
      <c r="N127" s="7">
        <f ca="1">_xll.DBRW($I$9,$J$13,$J$15,$J$14,N$20,$J$16,$J$17,$I127,N$21)</f>
        <v>0</v>
      </c>
      <c r="O127" s="7">
        <f ca="1">_xll.DBRW($I$9,$J$13,$J$15,$J$14,O$20,$J$16,$J$17,$I127,O$21)</f>
        <v>0</v>
      </c>
      <c r="P127" s="7">
        <f ca="1">_xll.DBRW($I$9,$J$13,$J$15,$J$14,P$20,$J$16,$J$17,$I127,P$21)</f>
        <v>0</v>
      </c>
      <c r="Q127" s="7">
        <f ca="1">_xll.DBRW($I$9,$J$13,$J$15,$J$14,Q$20,$J$16,$J$17,$I127,Q$21)</f>
        <v>0</v>
      </c>
      <c r="R127" s="7">
        <f ca="1">_xll.DBRW($I$9,$J$13,$J$15,$J$14,R$20,$J$16,$J$17,$I127,R$21)</f>
        <v>0</v>
      </c>
      <c r="S127" s="7" t="str">
        <f ca="1">_xll.DBR($I$9,$J$13,$J$15,$J$14,S$20,$J$16,$J$17,$I127,S$21)</f>
        <v>*KEY_ERR</v>
      </c>
      <c r="T127" s="7" t="str">
        <f ca="1">_xll.DBR($I$9,$J$13,$J$15,$J$14,T$20,$J$16,$J$17,$I127,T$21)</f>
        <v>*KEY_ERR</v>
      </c>
      <c r="U127" s="7" t="str">
        <f ca="1">_xll.DBR($I$9,$J$13,$J$15,$J$14,U$20,$J$16,$J$17,$I127,U$21)</f>
        <v>*KEY_ERR</v>
      </c>
      <c r="V127" s="7">
        <f ca="1">_xll.DBR($I$9,$J$13,$J$15,$J$14,V$20,$J$16,$J$17,$I127,V$21)</f>
        <v>0</v>
      </c>
      <c r="W127" s="7">
        <f ca="1">_xll.DBR($I$9,$J$13,$J$15,$J$14,W$20,$J$16,$J$17,$I127,W$21)</f>
        <v>0</v>
      </c>
      <c r="X127" s="7">
        <f ca="1">_xll.DBR($I$9,$J$13,$J$15,$J$14,X$20,$J$16,$J$17,$I127,X$21)</f>
        <v>0</v>
      </c>
      <c r="Y127" s="7">
        <f ca="1">_xll.DBR($I$9,$J$13,$J$15,$J$14,Y$20,$J$16,$J$17,$I127,Y$21)</f>
        <v>0</v>
      </c>
      <c r="Z127" s="7">
        <f ca="1">_xll.DBR($I$9,$J$13,$J$15,$J$14,Z$20,$J$16,$J$17,$I127,Z$21)</f>
        <v>0</v>
      </c>
      <c r="AA127" s="7">
        <f ca="1">_xll.DBR($I$9,$J$13,$J$15,$J$14,AA$20,$J$16,$J$17,$I127,AA$21)</f>
        <v>0</v>
      </c>
      <c r="AB127" s="7">
        <f ca="1">_xll.DBR($I$9,$J$13,$J$15,$J$14,AB$20,$J$16,$J$17,$I127,AB$21)</f>
        <v>0</v>
      </c>
      <c r="AC127" s="7">
        <f ca="1">_xll.DBR($I$9,$J$13,$J$15,$J$14,AC$20,$J$16,$J$17,$I127,AC$21)</f>
        <v>0</v>
      </c>
      <c r="AD127" s="7">
        <f ca="1">_xll.DBR($I$9,$J$13,$J$15,$J$14,AD$20,$J$16,$J$17,$I127,AD$21)</f>
        <v>0</v>
      </c>
    </row>
    <row r="128" spans="1:30" x14ac:dyDescent="0.25">
      <c r="A128">
        <f ca="1">IF(_xll.TM1RPTELISCONSOLIDATED($I$22,$I128),IF(_xll.TM1RPTELLEV($I$22,$I128)&lt;=3,_xll.TM1RPTELLEV($I$22,$I128),"D"),"N")</f>
        <v>3</v>
      </c>
      <c r="I128" s="23" t="s">
        <v>113</v>
      </c>
      <c r="J128" s="7">
        <f ca="1">_xll.DBR($I$9,$J$13,$J$15,$J$14,J$20,$J$16,$J$17,$I128,J$21)</f>
        <v>0</v>
      </c>
      <c r="K128" s="7">
        <f ca="1">_xll.DBR($I$9,$J$13,$J$15,$J$14,K$20,$J$16,$J$17,$I128,K$21)</f>
        <v>0</v>
      </c>
      <c r="L128" s="7">
        <f ca="1">_xll.DBRW($I$9,$J$13,$J$15,$J$14,L$20,$J$16,$J$17,$I128,L$21)</f>
        <v>0</v>
      </c>
      <c r="M128" s="7">
        <f ca="1">_xll.DBRW($I$9,$J$13,$J$15,$J$14,M$20,$J$16,$J$17,$I128,M$21)</f>
        <v>0</v>
      </c>
      <c r="N128" s="7">
        <f ca="1">_xll.DBRW($I$9,$J$13,$J$15,$J$14,N$20,$J$16,$J$17,$I128,N$21)</f>
        <v>0</v>
      </c>
      <c r="O128" s="7">
        <f ca="1">_xll.DBRW($I$9,$J$13,$J$15,$J$14,O$20,$J$16,$J$17,$I128,O$21)</f>
        <v>0</v>
      </c>
      <c r="P128" s="7">
        <f ca="1">_xll.DBRW($I$9,$J$13,$J$15,$J$14,P$20,$J$16,$J$17,$I128,P$21)</f>
        <v>0</v>
      </c>
      <c r="Q128" s="7">
        <f ca="1">_xll.DBRW($I$9,$J$13,$J$15,$J$14,Q$20,$J$16,$J$17,$I128,Q$21)</f>
        <v>0</v>
      </c>
      <c r="R128" s="7">
        <f ca="1">_xll.DBRW($I$9,$J$13,$J$15,$J$14,R$20,$J$16,$J$17,$I128,R$21)</f>
        <v>0</v>
      </c>
      <c r="S128" s="7" t="str">
        <f ca="1">_xll.DBR($I$9,$J$13,$J$15,$J$14,S$20,$J$16,$J$17,$I128,S$21)</f>
        <v>*KEY_ERR</v>
      </c>
      <c r="T128" s="7" t="str">
        <f ca="1">_xll.DBR($I$9,$J$13,$J$15,$J$14,T$20,$J$16,$J$17,$I128,T$21)</f>
        <v>*KEY_ERR</v>
      </c>
      <c r="U128" s="7" t="str">
        <f ca="1">_xll.DBR($I$9,$J$13,$J$15,$J$14,U$20,$J$16,$J$17,$I128,U$21)</f>
        <v>*KEY_ERR</v>
      </c>
      <c r="V128" s="7">
        <f ca="1">_xll.DBR($I$9,$J$13,$J$15,$J$14,V$20,$J$16,$J$17,$I128,V$21)</f>
        <v>0</v>
      </c>
      <c r="W128" s="7">
        <f ca="1">_xll.DBR($I$9,$J$13,$J$15,$J$14,W$20,$J$16,$J$17,$I128,W$21)</f>
        <v>0</v>
      </c>
      <c r="X128" s="7">
        <f ca="1">_xll.DBR($I$9,$J$13,$J$15,$J$14,X$20,$J$16,$J$17,$I128,X$21)</f>
        <v>0</v>
      </c>
      <c r="Y128" s="7">
        <f ca="1">_xll.DBR($I$9,$J$13,$J$15,$J$14,Y$20,$J$16,$J$17,$I128,Y$21)</f>
        <v>0</v>
      </c>
      <c r="Z128" s="7">
        <f ca="1">_xll.DBR($I$9,$J$13,$J$15,$J$14,Z$20,$J$16,$J$17,$I128,Z$21)</f>
        <v>0</v>
      </c>
      <c r="AA128" s="7">
        <f ca="1">_xll.DBR($I$9,$J$13,$J$15,$J$14,AA$20,$J$16,$J$17,$I128,AA$21)</f>
        <v>0</v>
      </c>
      <c r="AB128" s="7">
        <f ca="1">_xll.DBR($I$9,$J$13,$J$15,$J$14,AB$20,$J$16,$J$17,$I128,AB$21)</f>
        <v>0</v>
      </c>
      <c r="AC128" s="7">
        <f ca="1">_xll.DBR($I$9,$J$13,$J$15,$J$14,AC$20,$J$16,$J$17,$I128,AC$21)</f>
        <v>0</v>
      </c>
      <c r="AD128" s="7">
        <f ca="1">_xll.DBR($I$9,$J$13,$J$15,$J$14,AD$20,$J$16,$J$17,$I128,AD$21)</f>
        <v>0</v>
      </c>
    </row>
    <row r="129" spans="1:30" x14ac:dyDescent="0.25">
      <c r="A129" t="str">
        <f ca="1">IF(_xll.TM1RPTELISCONSOLIDATED($I$22,$I129),IF(_xll.TM1RPTELLEV($I$22,$I129)&lt;=3,_xll.TM1RPTELLEV($I$22,$I129),"D"),"N")</f>
        <v>D</v>
      </c>
      <c r="I129" s="18" t="s">
        <v>114</v>
      </c>
      <c r="J129" s="9">
        <f ca="1">_xll.DBR($I$9,$J$13,$J$15,$J$14,J$20,$J$16,$J$17,$I129,J$21)</f>
        <v>0</v>
      </c>
      <c r="K129" s="9">
        <f ca="1">_xll.DBR($I$9,$J$13,$J$15,$J$14,K$20,$J$16,$J$17,$I129,K$21)</f>
        <v>0</v>
      </c>
      <c r="L129" s="9">
        <f ca="1">_xll.DBRW($I$9,$J$13,$J$15,$J$14,L$20,$J$16,$J$17,$I129,L$21)</f>
        <v>0</v>
      </c>
      <c r="M129" s="9">
        <f ca="1">_xll.DBRW($I$9,$J$13,$J$15,$J$14,M$20,$J$16,$J$17,$I129,M$21)</f>
        <v>0</v>
      </c>
      <c r="N129" s="9">
        <f ca="1">_xll.DBRW($I$9,$J$13,$J$15,$J$14,N$20,$J$16,$J$17,$I129,N$21)</f>
        <v>0</v>
      </c>
      <c r="O129" s="9">
        <f ca="1">_xll.DBRW($I$9,$J$13,$J$15,$J$14,O$20,$J$16,$J$17,$I129,O$21)</f>
        <v>0</v>
      </c>
      <c r="P129" s="9">
        <f ca="1">_xll.DBRW($I$9,$J$13,$J$15,$J$14,P$20,$J$16,$J$17,$I129,P$21)</f>
        <v>0</v>
      </c>
      <c r="Q129" s="9">
        <f ca="1">_xll.DBRW($I$9,$J$13,$J$15,$J$14,Q$20,$J$16,$J$17,$I129,Q$21)</f>
        <v>0</v>
      </c>
      <c r="R129" s="9">
        <f ca="1">_xll.DBRW($I$9,$J$13,$J$15,$J$14,R$20,$J$16,$J$17,$I129,R$21)</f>
        <v>0</v>
      </c>
      <c r="S129" s="9" t="str">
        <f ca="1">_xll.DBR($I$9,$J$13,$J$15,$J$14,S$20,$J$16,$J$17,$I129,S$21)</f>
        <v>*KEY_ERR</v>
      </c>
      <c r="T129" s="9" t="str">
        <f ca="1">_xll.DBR($I$9,$J$13,$J$15,$J$14,T$20,$J$16,$J$17,$I129,T$21)</f>
        <v>*KEY_ERR</v>
      </c>
      <c r="U129" s="9" t="str">
        <f ca="1">_xll.DBR($I$9,$J$13,$J$15,$J$14,U$20,$J$16,$J$17,$I129,U$21)</f>
        <v>*KEY_ERR</v>
      </c>
      <c r="V129" s="9">
        <f ca="1">_xll.DBR($I$9,$J$13,$J$15,$J$14,V$20,$J$16,$J$17,$I129,V$21)</f>
        <v>0</v>
      </c>
      <c r="W129" s="9">
        <f ca="1">_xll.DBR($I$9,$J$13,$J$15,$J$14,W$20,$J$16,$J$17,$I129,W$21)</f>
        <v>0</v>
      </c>
      <c r="X129" s="9">
        <f ca="1">_xll.DBR($I$9,$J$13,$J$15,$J$14,X$20,$J$16,$J$17,$I129,X$21)</f>
        <v>0</v>
      </c>
      <c r="Y129" s="9">
        <f ca="1">_xll.DBR($I$9,$J$13,$J$15,$J$14,Y$20,$J$16,$J$17,$I129,Y$21)</f>
        <v>0</v>
      </c>
      <c r="Z129" s="9">
        <f ca="1">_xll.DBR($I$9,$J$13,$J$15,$J$14,Z$20,$J$16,$J$17,$I129,Z$21)</f>
        <v>0</v>
      </c>
      <c r="AA129" s="9">
        <f ca="1">_xll.DBR($I$9,$J$13,$J$15,$J$14,AA$20,$J$16,$J$17,$I129,AA$21)</f>
        <v>0</v>
      </c>
      <c r="AB129" s="9">
        <f ca="1">_xll.DBR($I$9,$J$13,$J$15,$J$14,AB$20,$J$16,$J$17,$I129,AB$21)</f>
        <v>0</v>
      </c>
      <c r="AC129" s="9">
        <f ca="1">_xll.DBR($I$9,$J$13,$J$15,$J$14,AC$20,$J$16,$J$17,$I129,AC$21)</f>
        <v>0</v>
      </c>
      <c r="AD129" s="9">
        <f ca="1">_xll.DBR($I$9,$J$13,$J$15,$J$14,AD$20,$J$16,$J$17,$I129,AD$21)</f>
        <v>0</v>
      </c>
    </row>
    <row r="130" spans="1:30" x14ac:dyDescent="0.25">
      <c r="A130" t="str">
        <f ca="1">IF(_xll.TM1RPTELISCONSOLIDATED($I$22,$I130),IF(_xll.TM1RPTELLEV($I$22,$I130)&lt;=3,_xll.TM1RPTELLEV($I$22,$I130),"D"),"N")</f>
        <v>D</v>
      </c>
      <c r="I130" s="18" t="s">
        <v>115</v>
      </c>
      <c r="J130" s="9">
        <f ca="1">_xll.DBR($I$9,$J$13,$J$15,$J$14,J$20,$J$16,$J$17,$I130,J$21)</f>
        <v>0</v>
      </c>
      <c r="K130" s="9">
        <f ca="1">_xll.DBR($I$9,$J$13,$J$15,$J$14,K$20,$J$16,$J$17,$I130,K$21)</f>
        <v>0</v>
      </c>
      <c r="L130" s="9">
        <f ca="1">_xll.DBRW($I$9,$J$13,$J$15,$J$14,L$20,$J$16,$J$17,$I130,L$21)</f>
        <v>0</v>
      </c>
      <c r="M130" s="9">
        <f ca="1">_xll.DBRW($I$9,$J$13,$J$15,$J$14,M$20,$J$16,$J$17,$I130,M$21)</f>
        <v>0</v>
      </c>
      <c r="N130" s="9">
        <f ca="1">_xll.DBRW($I$9,$J$13,$J$15,$J$14,N$20,$J$16,$J$17,$I130,N$21)</f>
        <v>0</v>
      </c>
      <c r="O130" s="9">
        <f ca="1">_xll.DBRW($I$9,$J$13,$J$15,$J$14,O$20,$J$16,$J$17,$I130,O$21)</f>
        <v>0</v>
      </c>
      <c r="P130" s="9">
        <f ca="1">_xll.DBRW($I$9,$J$13,$J$15,$J$14,P$20,$J$16,$J$17,$I130,P$21)</f>
        <v>0</v>
      </c>
      <c r="Q130" s="9">
        <f ca="1">_xll.DBRW($I$9,$J$13,$J$15,$J$14,Q$20,$J$16,$J$17,$I130,Q$21)</f>
        <v>0</v>
      </c>
      <c r="R130" s="9">
        <f ca="1">_xll.DBRW($I$9,$J$13,$J$15,$J$14,R$20,$J$16,$J$17,$I130,R$21)</f>
        <v>0</v>
      </c>
      <c r="S130" s="9" t="str">
        <f ca="1">_xll.DBR($I$9,$J$13,$J$15,$J$14,S$20,$J$16,$J$17,$I130,S$21)</f>
        <v>*KEY_ERR</v>
      </c>
      <c r="T130" s="9" t="str">
        <f ca="1">_xll.DBR($I$9,$J$13,$J$15,$J$14,T$20,$J$16,$J$17,$I130,T$21)</f>
        <v>*KEY_ERR</v>
      </c>
      <c r="U130" s="9" t="str">
        <f ca="1">_xll.DBR($I$9,$J$13,$J$15,$J$14,U$20,$J$16,$J$17,$I130,U$21)</f>
        <v>*KEY_ERR</v>
      </c>
      <c r="V130" s="9">
        <f ca="1">_xll.DBR($I$9,$J$13,$J$15,$J$14,V$20,$J$16,$J$17,$I130,V$21)</f>
        <v>0</v>
      </c>
      <c r="W130" s="9">
        <f ca="1">_xll.DBR($I$9,$J$13,$J$15,$J$14,W$20,$J$16,$J$17,$I130,W$21)</f>
        <v>0</v>
      </c>
      <c r="X130" s="9">
        <f ca="1">_xll.DBR($I$9,$J$13,$J$15,$J$14,X$20,$J$16,$J$17,$I130,X$21)</f>
        <v>0</v>
      </c>
      <c r="Y130" s="9">
        <f ca="1">_xll.DBR($I$9,$J$13,$J$15,$J$14,Y$20,$J$16,$J$17,$I130,Y$21)</f>
        <v>0</v>
      </c>
      <c r="Z130" s="9">
        <f ca="1">_xll.DBR($I$9,$J$13,$J$15,$J$14,Z$20,$J$16,$J$17,$I130,Z$21)</f>
        <v>0</v>
      </c>
      <c r="AA130" s="9">
        <f ca="1">_xll.DBR($I$9,$J$13,$J$15,$J$14,AA$20,$J$16,$J$17,$I130,AA$21)</f>
        <v>0</v>
      </c>
      <c r="AB130" s="9">
        <f ca="1">_xll.DBR($I$9,$J$13,$J$15,$J$14,AB$20,$J$16,$J$17,$I130,AB$21)</f>
        <v>0</v>
      </c>
      <c r="AC130" s="9">
        <f ca="1">_xll.DBR($I$9,$J$13,$J$15,$J$14,AC$20,$J$16,$J$17,$I130,AC$21)</f>
        <v>0</v>
      </c>
      <c r="AD130" s="9">
        <f ca="1">_xll.DBR($I$9,$J$13,$J$15,$J$14,AD$20,$J$16,$J$17,$I130,AD$21)</f>
        <v>0</v>
      </c>
    </row>
    <row r="131" spans="1:30" x14ac:dyDescent="0.25">
      <c r="A131" t="str">
        <f ca="1">IF(_xll.TM1RPTELISCONSOLIDATED($I$22,$I131),IF(_xll.TM1RPTELLEV($I$22,$I131)&lt;=3,_xll.TM1RPTELLEV($I$22,$I131),"D"),"N")</f>
        <v>D</v>
      </c>
      <c r="I131" s="18" t="s">
        <v>116</v>
      </c>
      <c r="J131" s="9">
        <f ca="1">_xll.DBR($I$9,$J$13,$J$15,$J$14,J$20,$J$16,$J$17,$I131,J$21)</f>
        <v>0</v>
      </c>
      <c r="K131" s="9">
        <f ca="1">_xll.DBR($I$9,$J$13,$J$15,$J$14,K$20,$J$16,$J$17,$I131,K$21)</f>
        <v>0</v>
      </c>
      <c r="L131" s="9">
        <f ca="1">_xll.DBRW($I$9,$J$13,$J$15,$J$14,L$20,$J$16,$J$17,$I131,L$21)</f>
        <v>0</v>
      </c>
      <c r="M131" s="9">
        <f ca="1">_xll.DBRW($I$9,$J$13,$J$15,$J$14,M$20,$J$16,$J$17,$I131,M$21)</f>
        <v>0</v>
      </c>
      <c r="N131" s="9">
        <f ca="1">_xll.DBRW($I$9,$J$13,$J$15,$J$14,N$20,$J$16,$J$17,$I131,N$21)</f>
        <v>0</v>
      </c>
      <c r="O131" s="9">
        <f ca="1">_xll.DBRW($I$9,$J$13,$J$15,$J$14,O$20,$J$16,$J$17,$I131,O$21)</f>
        <v>0</v>
      </c>
      <c r="P131" s="9">
        <f ca="1">_xll.DBRW($I$9,$J$13,$J$15,$J$14,P$20,$J$16,$J$17,$I131,P$21)</f>
        <v>0</v>
      </c>
      <c r="Q131" s="9">
        <f ca="1">_xll.DBRW($I$9,$J$13,$J$15,$J$14,Q$20,$J$16,$J$17,$I131,Q$21)</f>
        <v>0</v>
      </c>
      <c r="R131" s="9">
        <f ca="1">_xll.DBRW($I$9,$J$13,$J$15,$J$14,R$20,$J$16,$J$17,$I131,R$21)</f>
        <v>0</v>
      </c>
      <c r="S131" s="9" t="str">
        <f ca="1">_xll.DBR($I$9,$J$13,$J$15,$J$14,S$20,$J$16,$J$17,$I131,S$21)</f>
        <v>*KEY_ERR</v>
      </c>
      <c r="T131" s="9" t="str">
        <f ca="1">_xll.DBR($I$9,$J$13,$J$15,$J$14,T$20,$J$16,$J$17,$I131,T$21)</f>
        <v>*KEY_ERR</v>
      </c>
      <c r="U131" s="9" t="str">
        <f ca="1">_xll.DBR($I$9,$J$13,$J$15,$J$14,U$20,$J$16,$J$17,$I131,U$21)</f>
        <v>*KEY_ERR</v>
      </c>
      <c r="V131" s="9">
        <f ca="1">_xll.DBR($I$9,$J$13,$J$15,$J$14,V$20,$J$16,$J$17,$I131,V$21)</f>
        <v>0</v>
      </c>
      <c r="W131" s="9">
        <f ca="1">_xll.DBR($I$9,$J$13,$J$15,$J$14,W$20,$J$16,$J$17,$I131,W$21)</f>
        <v>0</v>
      </c>
      <c r="X131" s="9">
        <f ca="1">_xll.DBR($I$9,$J$13,$J$15,$J$14,X$20,$J$16,$J$17,$I131,X$21)</f>
        <v>0</v>
      </c>
      <c r="Y131" s="9">
        <f ca="1">_xll.DBR($I$9,$J$13,$J$15,$J$14,Y$20,$J$16,$J$17,$I131,Y$21)</f>
        <v>0</v>
      </c>
      <c r="Z131" s="9">
        <f ca="1">_xll.DBR($I$9,$J$13,$J$15,$J$14,Z$20,$J$16,$J$17,$I131,Z$21)</f>
        <v>0</v>
      </c>
      <c r="AA131" s="9">
        <f ca="1">_xll.DBR($I$9,$J$13,$J$15,$J$14,AA$20,$J$16,$J$17,$I131,AA$21)</f>
        <v>0</v>
      </c>
      <c r="AB131" s="9">
        <f ca="1">_xll.DBR($I$9,$J$13,$J$15,$J$14,AB$20,$J$16,$J$17,$I131,AB$21)</f>
        <v>0</v>
      </c>
      <c r="AC131" s="9">
        <f ca="1">_xll.DBR($I$9,$J$13,$J$15,$J$14,AC$20,$J$16,$J$17,$I131,AC$21)</f>
        <v>0</v>
      </c>
      <c r="AD131" s="9">
        <f ca="1">_xll.DBR($I$9,$J$13,$J$15,$J$14,AD$20,$J$16,$J$17,$I131,AD$21)</f>
        <v>0</v>
      </c>
    </row>
    <row r="132" spans="1:30" x14ac:dyDescent="0.25">
      <c r="A132" t="str">
        <f ca="1">IF(_xll.TM1RPTELISCONSOLIDATED($I$22,$I132),IF(_xll.TM1RPTELLEV($I$22,$I132)&lt;=3,_xll.TM1RPTELLEV($I$22,$I132),"D"),"N")</f>
        <v>D</v>
      </c>
      <c r="I132" s="18" t="s">
        <v>117</v>
      </c>
      <c r="J132" s="9">
        <f ca="1">_xll.DBR($I$9,$J$13,$J$15,$J$14,J$20,$J$16,$J$17,$I132,J$21)</f>
        <v>0</v>
      </c>
      <c r="K132" s="9">
        <f ca="1">_xll.DBR($I$9,$J$13,$J$15,$J$14,K$20,$J$16,$J$17,$I132,K$21)</f>
        <v>0</v>
      </c>
      <c r="L132" s="9">
        <f ca="1">_xll.DBRW($I$9,$J$13,$J$15,$J$14,L$20,$J$16,$J$17,$I132,L$21)</f>
        <v>0</v>
      </c>
      <c r="M132" s="9">
        <f ca="1">_xll.DBRW($I$9,$J$13,$J$15,$J$14,M$20,$J$16,$J$17,$I132,M$21)</f>
        <v>0</v>
      </c>
      <c r="N132" s="9">
        <f ca="1">_xll.DBRW($I$9,$J$13,$J$15,$J$14,N$20,$J$16,$J$17,$I132,N$21)</f>
        <v>0</v>
      </c>
      <c r="O132" s="9">
        <f ca="1">_xll.DBRW($I$9,$J$13,$J$15,$J$14,O$20,$J$16,$J$17,$I132,O$21)</f>
        <v>0</v>
      </c>
      <c r="P132" s="9">
        <f ca="1">_xll.DBRW($I$9,$J$13,$J$15,$J$14,P$20,$J$16,$J$17,$I132,P$21)</f>
        <v>0</v>
      </c>
      <c r="Q132" s="9">
        <f ca="1">_xll.DBRW($I$9,$J$13,$J$15,$J$14,Q$20,$J$16,$J$17,$I132,Q$21)</f>
        <v>0</v>
      </c>
      <c r="R132" s="9">
        <f ca="1">_xll.DBRW($I$9,$J$13,$J$15,$J$14,R$20,$J$16,$J$17,$I132,R$21)</f>
        <v>0</v>
      </c>
      <c r="S132" s="9" t="str">
        <f ca="1">_xll.DBR($I$9,$J$13,$J$15,$J$14,S$20,$J$16,$J$17,$I132,S$21)</f>
        <v>*KEY_ERR</v>
      </c>
      <c r="T132" s="9" t="str">
        <f ca="1">_xll.DBR($I$9,$J$13,$J$15,$J$14,T$20,$J$16,$J$17,$I132,T$21)</f>
        <v>*KEY_ERR</v>
      </c>
      <c r="U132" s="9" t="str">
        <f ca="1">_xll.DBR($I$9,$J$13,$J$15,$J$14,U$20,$J$16,$J$17,$I132,U$21)</f>
        <v>*KEY_ERR</v>
      </c>
      <c r="V132" s="9">
        <f ca="1">_xll.DBR($I$9,$J$13,$J$15,$J$14,V$20,$J$16,$J$17,$I132,V$21)</f>
        <v>0</v>
      </c>
      <c r="W132" s="9">
        <f ca="1">_xll.DBR($I$9,$J$13,$J$15,$J$14,W$20,$J$16,$J$17,$I132,W$21)</f>
        <v>0</v>
      </c>
      <c r="X132" s="9">
        <f ca="1">_xll.DBR($I$9,$J$13,$J$15,$J$14,X$20,$J$16,$J$17,$I132,X$21)</f>
        <v>0</v>
      </c>
      <c r="Y132" s="9">
        <f ca="1">_xll.DBR($I$9,$J$13,$J$15,$J$14,Y$20,$J$16,$J$17,$I132,Y$21)</f>
        <v>0</v>
      </c>
      <c r="Z132" s="9">
        <f ca="1">_xll.DBR($I$9,$J$13,$J$15,$J$14,Z$20,$J$16,$J$17,$I132,Z$21)</f>
        <v>0</v>
      </c>
      <c r="AA132" s="9">
        <f ca="1">_xll.DBR($I$9,$J$13,$J$15,$J$14,AA$20,$J$16,$J$17,$I132,AA$21)</f>
        <v>0</v>
      </c>
      <c r="AB132" s="9">
        <f ca="1">_xll.DBR($I$9,$J$13,$J$15,$J$14,AB$20,$J$16,$J$17,$I132,AB$21)</f>
        <v>0</v>
      </c>
      <c r="AC132" s="9">
        <f ca="1">_xll.DBR($I$9,$J$13,$J$15,$J$14,AC$20,$J$16,$J$17,$I132,AC$21)</f>
        <v>0</v>
      </c>
      <c r="AD132" s="9">
        <f ca="1">_xll.DBR($I$9,$J$13,$J$15,$J$14,AD$20,$J$16,$J$17,$I132,AD$21)</f>
        <v>0</v>
      </c>
    </row>
    <row r="133" spans="1:30" x14ac:dyDescent="0.25">
      <c r="A133" t="str">
        <f ca="1">IF(_xll.TM1RPTELISCONSOLIDATED($I$22,$I133),IF(_xll.TM1RPTELLEV($I$22,$I133)&lt;=3,_xll.TM1RPTELLEV($I$22,$I133),"D"),"N")</f>
        <v>D</v>
      </c>
      <c r="I133" s="18" t="s">
        <v>118</v>
      </c>
      <c r="J133" s="9">
        <f ca="1">_xll.DBR($I$9,$J$13,$J$15,$J$14,J$20,$J$16,$J$17,$I133,J$21)</f>
        <v>0</v>
      </c>
      <c r="K133" s="9">
        <f ca="1">_xll.DBR($I$9,$J$13,$J$15,$J$14,K$20,$J$16,$J$17,$I133,K$21)</f>
        <v>0</v>
      </c>
      <c r="L133" s="9">
        <f ca="1">_xll.DBRW($I$9,$J$13,$J$15,$J$14,L$20,$J$16,$J$17,$I133,L$21)</f>
        <v>0</v>
      </c>
      <c r="M133" s="9">
        <f ca="1">_xll.DBRW($I$9,$J$13,$J$15,$J$14,M$20,$J$16,$J$17,$I133,M$21)</f>
        <v>0</v>
      </c>
      <c r="N133" s="9">
        <f ca="1">_xll.DBRW($I$9,$J$13,$J$15,$J$14,N$20,$J$16,$J$17,$I133,N$21)</f>
        <v>0</v>
      </c>
      <c r="O133" s="9">
        <f ca="1">_xll.DBRW($I$9,$J$13,$J$15,$J$14,O$20,$J$16,$J$17,$I133,O$21)</f>
        <v>0</v>
      </c>
      <c r="P133" s="9">
        <f ca="1">_xll.DBRW($I$9,$J$13,$J$15,$J$14,P$20,$J$16,$J$17,$I133,P$21)</f>
        <v>0</v>
      </c>
      <c r="Q133" s="9">
        <f ca="1">_xll.DBRW($I$9,$J$13,$J$15,$J$14,Q$20,$J$16,$J$17,$I133,Q$21)</f>
        <v>0</v>
      </c>
      <c r="R133" s="9">
        <f ca="1">_xll.DBRW($I$9,$J$13,$J$15,$J$14,R$20,$J$16,$J$17,$I133,R$21)</f>
        <v>0</v>
      </c>
      <c r="S133" s="9" t="str">
        <f ca="1">_xll.DBR($I$9,$J$13,$J$15,$J$14,S$20,$J$16,$J$17,$I133,S$21)</f>
        <v>*KEY_ERR</v>
      </c>
      <c r="T133" s="9" t="str">
        <f ca="1">_xll.DBR($I$9,$J$13,$J$15,$J$14,T$20,$J$16,$J$17,$I133,T$21)</f>
        <v>*KEY_ERR</v>
      </c>
      <c r="U133" s="9" t="str">
        <f ca="1">_xll.DBR($I$9,$J$13,$J$15,$J$14,U$20,$J$16,$J$17,$I133,U$21)</f>
        <v>*KEY_ERR</v>
      </c>
      <c r="V133" s="9">
        <f ca="1">_xll.DBR($I$9,$J$13,$J$15,$J$14,V$20,$J$16,$J$17,$I133,V$21)</f>
        <v>0</v>
      </c>
      <c r="W133" s="9">
        <f ca="1">_xll.DBR($I$9,$J$13,$J$15,$J$14,W$20,$J$16,$J$17,$I133,W$21)</f>
        <v>0</v>
      </c>
      <c r="X133" s="9">
        <f ca="1">_xll.DBR($I$9,$J$13,$J$15,$J$14,X$20,$J$16,$J$17,$I133,X$21)</f>
        <v>0</v>
      </c>
      <c r="Y133" s="9">
        <f ca="1">_xll.DBR($I$9,$J$13,$J$15,$J$14,Y$20,$J$16,$J$17,$I133,Y$21)</f>
        <v>0</v>
      </c>
      <c r="Z133" s="9">
        <f ca="1">_xll.DBR($I$9,$J$13,$J$15,$J$14,Z$20,$J$16,$J$17,$I133,Z$21)</f>
        <v>0</v>
      </c>
      <c r="AA133" s="9">
        <f ca="1">_xll.DBR($I$9,$J$13,$J$15,$J$14,AA$20,$J$16,$J$17,$I133,AA$21)</f>
        <v>0</v>
      </c>
      <c r="AB133" s="9">
        <f ca="1">_xll.DBR($I$9,$J$13,$J$15,$J$14,AB$20,$J$16,$J$17,$I133,AB$21)</f>
        <v>0</v>
      </c>
      <c r="AC133" s="9">
        <f ca="1">_xll.DBR($I$9,$J$13,$J$15,$J$14,AC$20,$J$16,$J$17,$I133,AC$21)</f>
        <v>0</v>
      </c>
      <c r="AD133" s="9">
        <f ca="1">_xll.DBR($I$9,$J$13,$J$15,$J$14,AD$20,$J$16,$J$17,$I133,AD$21)</f>
        <v>0</v>
      </c>
    </row>
    <row r="134" spans="1:30" x14ac:dyDescent="0.25">
      <c r="A134" t="str">
        <f ca="1">IF(_xll.TM1RPTELISCONSOLIDATED($I$22,$I134),IF(_xll.TM1RPTELLEV($I$22,$I134)&lt;=3,_xll.TM1RPTELLEV($I$22,$I134),"D"),"N")</f>
        <v>D</v>
      </c>
      <c r="I134" s="18" t="s">
        <v>119</v>
      </c>
      <c r="J134" s="9">
        <f ca="1">_xll.DBR($I$9,$J$13,$J$15,$J$14,J$20,$J$16,$J$17,$I134,J$21)</f>
        <v>0</v>
      </c>
      <c r="K134" s="9">
        <f ca="1">_xll.DBR($I$9,$J$13,$J$15,$J$14,K$20,$J$16,$J$17,$I134,K$21)</f>
        <v>0</v>
      </c>
      <c r="L134" s="9">
        <f ca="1">_xll.DBRW($I$9,$J$13,$J$15,$J$14,L$20,$J$16,$J$17,$I134,L$21)</f>
        <v>0</v>
      </c>
      <c r="M134" s="9">
        <f ca="1">_xll.DBRW($I$9,$J$13,$J$15,$J$14,M$20,$J$16,$J$17,$I134,M$21)</f>
        <v>0</v>
      </c>
      <c r="N134" s="9">
        <f ca="1">_xll.DBRW($I$9,$J$13,$J$15,$J$14,N$20,$J$16,$J$17,$I134,N$21)</f>
        <v>0</v>
      </c>
      <c r="O134" s="9">
        <f ca="1">_xll.DBRW($I$9,$J$13,$J$15,$J$14,O$20,$J$16,$J$17,$I134,O$21)</f>
        <v>0</v>
      </c>
      <c r="P134" s="9">
        <f ca="1">_xll.DBRW($I$9,$J$13,$J$15,$J$14,P$20,$J$16,$J$17,$I134,P$21)</f>
        <v>0</v>
      </c>
      <c r="Q134" s="9">
        <f ca="1">_xll.DBRW($I$9,$J$13,$J$15,$J$14,Q$20,$J$16,$J$17,$I134,Q$21)</f>
        <v>0</v>
      </c>
      <c r="R134" s="9">
        <f ca="1">_xll.DBRW($I$9,$J$13,$J$15,$J$14,R$20,$J$16,$J$17,$I134,R$21)</f>
        <v>0</v>
      </c>
      <c r="S134" s="9" t="str">
        <f ca="1">_xll.DBR($I$9,$J$13,$J$15,$J$14,S$20,$J$16,$J$17,$I134,S$21)</f>
        <v>*KEY_ERR</v>
      </c>
      <c r="T134" s="9" t="str">
        <f ca="1">_xll.DBR($I$9,$J$13,$J$15,$J$14,T$20,$J$16,$J$17,$I134,T$21)</f>
        <v>*KEY_ERR</v>
      </c>
      <c r="U134" s="9" t="str">
        <f ca="1">_xll.DBR($I$9,$J$13,$J$15,$J$14,U$20,$J$16,$J$17,$I134,U$21)</f>
        <v>*KEY_ERR</v>
      </c>
      <c r="V134" s="9">
        <f ca="1">_xll.DBR($I$9,$J$13,$J$15,$J$14,V$20,$J$16,$J$17,$I134,V$21)</f>
        <v>0</v>
      </c>
      <c r="W134" s="9">
        <f ca="1">_xll.DBR($I$9,$J$13,$J$15,$J$14,W$20,$J$16,$J$17,$I134,W$21)</f>
        <v>0</v>
      </c>
      <c r="X134" s="9">
        <f ca="1">_xll.DBR($I$9,$J$13,$J$15,$J$14,X$20,$J$16,$J$17,$I134,X$21)</f>
        <v>0</v>
      </c>
      <c r="Y134" s="9">
        <f ca="1">_xll.DBR($I$9,$J$13,$J$15,$J$14,Y$20,$J$16,$J$17,$I134,Y$21)</f>
        <v>0</v>
      </c>
      <c r="Z134" s="9">
        <f ca="1">_xll.DBR($I$9,$J$13,$J$15,$J$14,Z$20,$J$16,$J$17,$I134,Z$21)</f>
        <v>0</v>
      </c>
      <c r="AA134" s="9">
        <f ca="1">_xll.DBR($I$9,$J$13,$J$15,$J$14,AA$20,$J$16,$J$17,$I134,AA$21)</f>
        <v>0</v>
      </c>
      <c r="AB134" s="9">
        <f ca="1">_xll.DBR($I$9,$J$13,$J$15,$J$14,AB$20,$J$16,$J$17,$I134,AB$21)</f>
        <v>0</v>
      </c>
      <c r="AC134" s="9">
        <f ca="1">_xll.DBR($I$9,$J$13,$J$15,$J$14,AC$20,$J$16,$J$17,$I134,AC$21)</f>
        <v>0</v>
      </c>
      <c r="AD134" s="9">
        <f ca="1">_xll.DBR($I$9,$J$13,$J$15,$J$14,AD$20,$J$16,$J$17,$I134,AD$21)</f>
        <v>0</v>
      </c>
    </row>
    <row r="135" spans="1:30" x14ac:dyDescent="0.25">
      <c r="A135" t="str">
        <f ca="1">IF(_xll.TM1RPTELISCONSOLIDATED($I$22,$I135),IF(_xll.TM1RPTELLEV($I$22,$I135)&lt;=3,_xll.TM1RPTELLEV($I$22,$I135),"D"),"N")</f>
        <v>D</v>
      </c>
      <c r="I135" s="18" t="s">
        <v>120</v>
      </c>
      <c r="J135" s="9">
        <f ca="1">_xll.DBR($I$9,$J$13,$J$15,$J$14,J$20,$J$16,$J$17,$I135,J$21)</f>
        <v>0</v>
      </c>
      <c r="K135" s="9">
        <f ca="1">_xll.DBR($I$9,$J$13,$J$15,$J$14,K$20,$J$16,$J$17,$I135,K$21)</f>
        <v>0</v>
      </c>
      <c r="L135" s="9">
        <f ca="1">_xll.DBRW($I$9,$J$13,$J$15,$J$14,L$20,$J$16,$J$17,$I135,L$21)</f>
        <v>0</v>
      </c>
      <c r="M135" s="9">
        <f ca="1">_xll.DBRW($I$9,$J$13,$J$15,$J$14,M$20,$J$16,$J$17,$I135,M$21)</f>
        <v>0</v>
      </c>
      <c r="N135" s="9">
        <f ca="1">_xll.DBRW($I$9,$J$13,$J$15,$J$14,N$20,$J$16,$J$17,$I135,N$21)</f>
        <v>0</v>
      </c>
      <c r="O135" s="9">
        <f ca="1">_xll.DBRW($I$9,$J$13,$J$15,$J$14,O$20,$J$16,$J$17,$I135,O$21)</f>
        <v>0</v>
      </c>
      <c r="P135" s="9">
        <f ca="1">_xll.DBRW($I$9,$J$13,$J$15,$J$14,P$20,$J$16,$J$17,$I135,P$21)</f>
        <v>0</v>
      </c>
      <c r="Q135" s="9">
        <f ca="1">_xll.DBRW($I$9,$J$13,$J$15,$J$14,Q$20,$J$16,$J$17,$I135,Q$21)</f>
        <v>0</v>
      </c>
      <c r="R135" s="9">
        <f ca="1">_xll.DBRW($I$9,$J$13,$J$15,$J$14,R$20,$J$16,$J$17,$I135,R$21)</f>
        <v>0</v>
      </c>
      <c r="S135" s="9" t="str">
        <f ca="1">_xll.DBR($I$9,$J$13,$J$15,$J$14,S$20,$J$16,$J$17,$I135,S$21)</f>
        <v>*KEY_ERR</v>
      </c>
      <c r="T135" s="9" t="str">
        <f ca="1">_xll.DBR($I$9,$J$13,$J$15,$J$14,T$20,$J$16,$J$17,$I135,T$21)</f>
        <v>*KEY_ERR</v>
      </c>
      <c r="U135" s="9" t="str">
        <f ca="1">_xll.DBR($I$9,$J$13,$J$15,$J$14,U$20,$J$16,$J$17,$I135,U$21)</f>
        <v>*KEY_ERR</v>
      </c>
      <c r="V135" s="9">
        <f ca="1">_xll.DBR($I$9,$J$13,$J$15,$J$14,V$20,$J$16,$J$17,$I135,V$21)</f>
        <v>0</v>
      </c>
      <c r="W135" s="9">
        <f ca="1">_xll.DBR($I$9,$J$13,$J$15,$J$14,W$20,$J$16,$J$17,$I135,W$21)</f>
        <v>0</v>
      </c>
      <c r="X135" s="9">
        <f ca="1">_xll.DBR($I$9,$J$13,$J$15,$J$14,X$20,$J$16,$J$17,$I135,X$21)</f>
        <v>0</v>
      </c>
      <c r="Y135" s="9">
        <f ca="1">_xll.DBR($I$9,$J$13,$J$15,$J$14,Y$20,$J$16,$J$17,$I135,Y$21)</f>
        <v>0</v>
      </c>
      <c r="Z135" s="9">
        <f ca="1">_xll.DBR($I$9,$J$13,$J$15,$J$14,Z$20,$J$16,$J$17,$I135,Z$21)</f>
        <v>0</v>
      </c>
      <c r="AA135" s="9">
        <f ca="1">_xll.DBR($I$9,$J$13,$J$15,$J$14,AA$20,$J$16,$J$17,$I135,AA$21)</f>
        <v>0</v>
      </c>
      <c r="AB135" s="9">
        <f ca="1">_xll.DBR($I$9,$J$13,$J$15,$J$14,AB$20,$J$16,$J$17,$I135,AB$21)</f>
        <v>0</v>
      </c>
      <c r="AC135" s="9">
        <f ca="1">_xll.DBR($I$9,$J$13,$J$15,$J$14,AC$20,$J$16,$J$17,$I135,AC$21)</f>
        <v>0</v>
      </c>
      <c r="AD135" s="9">
        <f ca="1">_xll.DBR($I$9,$J$13,$J$15,$J$14,AD$20,$J$16,$J$17,$I135,AD$21)</f>
        <v>0</v>
      </c>
    </row>
    <row r="136" spans="1:30" x14ac:dyDescent="0.25">
      <c r="A136" t="str">
        <f ca="1">IF(_xll.TM1RPTELISCONSOLIDATED($I$22,$I136),IF(_xll.TM1RPTELLEV($I$22,$I136)&lt;=3,_xll.TM1RPTELLEV($I$22,$I136),"D"),"N")</f>
        <v>D</v>
      </c>
      <c r="I136" s="18" t="s">
        <v>121</v>
      </c>
      <c r="J136" s="9">
        <f ca="1">_xll.DBR($I$9,$J$13,$J$15,$J$14,J$20,$J$16,$J$17,$I136,J$21)</f>
        <v>0</v>
      </c>
      <c r="K136" s="9">
        <f ca="1">_xll.DBR($I$9,$J$13,$J$15,$J$14,K$20,$J$16,$J$17,$I136,K$21)</f>
        <v>0</v>
      </c>
      <c r="L136" s="9">
        <f ca="1">_xll.DBRW($I$9,$J$13,$J$15,$J$14,L$20,$J$16,$J$17,$I136,L$21)</f>
        <v>0</v>
      </c>
      <c r="M136" s="9">
        <f ca="1">_xll.DBRW($I$9,$J$13,$J$15,$J$14,M$20,$J$16,$J$17,$I136,M$21)</f>
        <v>0</v>
      </c>
      <c r="N136" s="9">
        <f ca="1">_xll.DBRW($I$9,$J$13,$J$15,$J$14,N$20,$J$16,$J$17,$I136,N$21)</f>
        <v>0</v>
      </c>
      <c r="O136" s="9">
        <f ca="1">_xll.DBRW($I$9,$J$13,$J$15,$J$14,O$20,$J$16,$J$17,$I136,O$21)</f>
        <v>0</v>
      </c>
      <c r="P136" s="9">
        <f ca="1">_xll.DBRW($I$9,$J$13,$J$15,$J$14,P$20,$J$16,$J$17,$I136,P$21)</f>
        <v>0</v>
      </c>
      <c r="Q136" s="9">
        <f ca="1">_xll.DBRW($I$9,$J$13,$J$15,$J$14,Q$20,$J$16,$J$17,$I136,Q$21)</f>
        <v>0</v>
      </c>
      <c r="R136" s="9">
        <f ca="1">_xll.DBRW($I$9,$J$13,$J$15,$J$14,R$20,$J$16,$J$17,$I136,R$21)</f>
        <v>0</v>
      </c>
      <c r="S136" s="9" t="str">
        <f ca="1">_xll.DBR($I$9,$J$13,$J$15,$J$14,S$20,$J$16,$J$17,$I136,S$21)</f>
        <v>*KEY_ERR</v>
      </c>
      <c r="T136" s="9" t="str">
        <f ca="1">_xll.DBR($I$9,$J$13,$J$15,$J$14,T$20,$J$16,$J$17,$I136,T$21)</f>
        <v>*KEY_ERR</v>
      </c>
      <c r="U136" s="9" t="str">
        <f ca="1">_xll.DBR($I$9,$J$13,$J$15,$J$14,U$20,$J$16,$J$17,$I136,U$21)</f>
        <v>*KEY_ERR</v>
      </c>
      <c r="V136" s="9">
        <f ca="1">_xll.DBR($I$9,$J$13,$J$15,$J$14,V$20,$J$16,$J$17,$I136,V$21)</f>
        <v>0</v>
      </c>
      <c r="W136" s="9">
        <f ca="1">_xll.DBR($I$9,$J$13,$J$15,$J$14,W$20,$J$16,$J$17,$I136,W$21)</f>
        <v>0</v>
      </c>
      <c r="X136" s="9">
        <f ca="1">_xll.DBR($I$9,$J$13,$J$15,$J$14,X$20,$J$16,$J$17,$I136,X$21)</f>
        <v>0</v>
      </c>
      <c r="Y136" s="9">
        <f ca="1">_xll.DBR($I$9,$J$13,$J$15,$J$14,Y$20,$J$16,$J$17,$I136,Y$21)</f>
        <v>0</v>
      </c>
      <c r="Z136" s="9">
        <f ca="1">_xll.DBR($I$9,$J$13,$J$15,$J$14,Z$20,$J$16,$J$17,$I136,Z$21)</f>
        <v>0</v>
      </c>
      <c r="AA136" s="9">
        <f ca="1">_xll.DBR($I$9,$J$13,$J$15,$J$14,AA$20,$J$16,$J$17,$I136,AA$21)</f>
        <v>0</v>
      </c>
      <c r="AB136" s="9">
        <f ca="1">_xll.DBR($I$9,$J$13,$J$15,$J$14,AB$20,$J$16,$J$17,$I136,AB$21)</f>
        <v>0</v>
      </c>
      <c r="AC136" s="9">
        <f ca="1">_xll.DBR($I$9,$J$13,$J$15,$J$14,AC$20,$J$16,$J$17,$I136,AC$21)</f>
        <v>0</v>
      </c>
      <c r="AD136" s="9">
        <f ca="1">_xll.DBR($I$9,$J$13,$J$15,$J$14,AD$20,$J$16,$J$17,$I136,AD$21)</f>
        <v>0</v>
      </c>
    </row>
    <row r="137" spans="1:30" x14ac:dyDescent="0.25">
      <c r="A137">
        <f ca="1">IF(_xll.TM1RPTELISCONSOLIDATED($I$22,$I137),IF(_xll.TM1RPTELLEV($I$22,$I137)&lt;=3,_xll.TM1RPTELLEV($I$22,$I137),"D"),"N")</f>
        <v>3</v>
      </c>
      <c r="I137" s="23" t="s">
        <v>122</v>
      </c>
      <c r="J137" s="7">
        <f ca="1">_xll.DBR($I$9,$J$13,$J$15,$J$14,J$20,$J$16,$J$17,$I137,J$21)</f>
        <v>0</v>
      </c>
      <c r="K137" s="7">
        <f ca="1">_xll.DBR($I$9,$J$13,$J$15,$J$14,K$20,$J$16,$J$17,$I137,K$21)</f>
        <v>0</v>
      </c>
      <c r="L137" s="7">
        <f ca="1">_xll.DBRW($I$9,$J$13,$J$15,$J$14,L$20,$J$16,$J$17,$I137,L$21)</f>
        <v>0</v>
      </c>
      <c r="M137" s="7">
        <f ca="1">_xll.DBRW($I$9,$J$13,$J$15,$J$14,M$20,$J$16,$J$17,$I137,M$21)</f>
        <v>0</v>
      </c>
      <c r="N137" s="7">
        <f ca="1">_xll.DBRW($I$9,$J$13,$J$15,$J$14,N$20,$J$16,$J$17,$I137,N$21)</f>
        <v>0</v>
      </c>
      <c r="O137" s="7">
        <f ca="1">_xll.DBRW($I$9,$J$13,$J$15,$J$14,O$20,$J$16,$J$17,$I137,O$21)</f>
        <v>0</v>
      </c>
      <c r="P137" s="7">
        <f ca="1">_xll.DBRW($I$9,$J$13,$J$15,$J$14,P$20,$J$16,$J$17,$I137,P$21)</f>
        <v>0</v>
      </c>
      <c r="Q137" s="7">
        <f ca="1">_xll.DBRW($I$9,$J$13,$J$15,$J$14,Q$20,$J$16,$J$17,$I137,Q$21)</f>
        <v>0</v>
      </c>
      <c r="R137" s="7">
        <f ca="1">_xll.DBRW($I$9,$J$13,$J$15,$J$14,R$20,$J$16,$J$17,$I137,R$21)</f>
        <v>0</v>
      </c>
      <c r="S137" s="7" t="str">
        <f ca="1">_xll.DBR($I$9,$J$13,$J$15,$J$14,S$20,$J$16,$J$17,$I137,S$21)</f>
        <v>*KEY_ERR</v>
      </c>
      <c r="T137" s="7" t="str">
        <f ca="1">_xll.DBR($I$9,$J$13,$J$15,$J$14,T$20,$J$16,$J$17,$I137,T$21)</f>
        <v>*KEY_ERR</v>
      </c>
      <c r="U137" s="7" t="str">
        <f ca="1">_xll.DBR($I$9,$J$13,$J$15,$J$14,U$20,$J$16,$J$17,$I137,U$21)</f>
        <v>*KEY_ERR</v>
      </c>
      <c r="V137" s="7">
        <f ca="1">_xll.DBR($I$9,$J$13,$J$15,$J$14,V$20,$J$16,$J$17,$I137,V$21)</f>
        <v>0</v>
      </c>
      <c r="W137" s="7">
        <f ca="1">_xll.DBR($I$9,$J$13,$J$15,$J$14,W$20,$J$16,$J$17,$I137,W$21)</f>
        <v>0</v>
      </c>
      <c r="X137" s="7">
        <f ca="1">_xll.DBR($I$9,$J$13,$J$15,$J$14,X$20,$J$16,$J$17,$I137,X$21)</f>
        <v>0</v>
      </c>
      <c r="Y137" s="7">
        <f ca="1">_xll.DBR($I$9,$J$13,$J$15,$J$14,Y$20,$J$16,$J$17,$I137,Y$21)</f>
        <v>0</v>
      </c>
      <c r="Z137" s="7">
        <f ca="1">_xll.DBR($I$9,$J$13,$J$15,$J$14,Z$20,$J$16,$J$17,$I137,Z$21)</f>
        <v>0</v>
      </c>
      <c r="AA137" s="7">
        <f ca="1">_xll.DBR($I$9,$J$13,$J$15,$J$14,AA$20,$J$16,$J$17,$I137,AA$21)</f>
        <v>0</v>
      </c>
      <c r="AB137" s="7">
        <f ca="1">_xll.DBR($I$9,$J$13,$J$15,$J$14,AB$20,$J$16,$J$17,$I137,AB$21)</f>
        <v>0</v>
      </c>
      <c r="AC137" s="7">
        <f ca="1">_xll.DBR($I$9,$J$13,$J$15,$J$14,AC$20,$J$16,$J$17,$I137,AC$21)</f>
        <v>0</v>
      </c>
      <c r="AD137" s="7">
        <f ca="1">_xll.DBR($I$9,$J$13,$J$15,$J$14,AD$20,$J$16,$J$17,$I137,AD$21)</f>
        <v>0</v>
      </c>
    </row>
    <row r="138" spans="1:30" x14ac:dyDescent="0.25">
      <c r="A138" t="str">
        <f ca="1">IF(_xll.TM1RPTELISCONSOLIDATED($I$22,$I138),IF(_xll.TM1RPTELLEV($I$22,$I138)&lt;=3,_xll.TM1RPTELLEV($I$22,$I138),"D"),"N")</f>
        <v>D</v>
      </c>
      <c r="I138" s="18" t="s">
        <v>123</v>
      </c>
      <c r="J138" s="9">
        <f ca="1">_xll.DBR($I$9,$J$13,$J$15,$J$14,J$20,$J$16,$J$17,$I138,J$21)</f>
        <v>0</v>
      </c>
      <c r="K138" s="9">
        <f ca="1">_xll.DBR($I$9,$J$13,$J$15,$J$14,K$20,$J$16,$J$17,$I138,K$21)</f>
        <v>0</v>
      </c>
      <c r="L138" s="9">
        <f ca="1">_xll.DBRW($I$9,$J$13,$J$15,$J$14,L$20,$J$16,$J$17,$I138,L$21)</f>
        <v>0</v>
      </c>
      <c r="M138" s="9">
        <f ca="1">_xll.DBRW($I$9,$J$13,$J$15,$J$14,M$20,$J$16,$J$17,$I138,M$21)</f>
        <v>0</v>
      </c>
      <c r="N138" s="9">
        <f ca="1">_xll.DBRW($I$9,$J$13,$J$15,$J$14,N$20,$J$16,$J$17,$I138,N$21)</f>
        <v>0</v>
      </c>
      <c r="O138" s="9">
        <f ca="1">_xll.DBRW($I$9,$J$13,$J$15,$J$14,O$20,$J$16,$J$17,$I138,O$21)</f>
        <v>0</v>
      </c>
      <c r="P138" s="9">
        <f ca="1">_xll.DBRW($I$9,$J$13,$J$15,$J$14,P$20,$J$16,$J$17,$I138,P$21)</f>
        <v>0</v>
      </c>
      <c r="Q138" s="9">
        <f ca="1">_xll.DBRW($I$9,$J$13,$J$15,$J$14,Q$20,$J$16,$J$17,$I138,Q$21)</f>
        <v>0</v>
      </c>
      <c r="R138" s="9">
        <f ca="1">_xll.DBRW($I$9,$J$13,$J$15,$J$14,R$20,$J$16,$J$17,$I138,R$21)</f>
        <v>0</v>
      </c>
      <c r="S138" s="9" t="str">
        <f ca="1">_xll.DBR($I$9,$J$13,$J$15,$J$14,S$20,$J$16,$J$17,$I138,S$21)</f>
        <v>*KEY_ERR</v>
      </c>
      <c r="T138" s="9" t="str">
        <f ca="1">_xll.DBR($I$9,$J$13,$J$15,$J$14,T$20,$J$16,$J$17,$I138,T$21)</f>
        <v>*KEY_ERR</v>
      </c>
      <c r="U138" s="9" t="str">
        <f ca="1">_xll.DBR($I$9,$J$13,$J$15,$J$14,U$20,$J$16,$J$17,$I138,U$21)</f>
        <v>*KEY_ERR</v>
      </c>
      <c r="V138" s="9">
        <f ca="1">_xll.DBR($I$9,$J$13,$J$15,$J$14,V$20,$J$16,$J$17,$I138,V$21)</f>
        <v>0</v>
      </c>
      <c r="W138" s="9">
        <f ca="1">_xll.DBR($I$9,$J$13,$J$15,$J$14,W$20,$J$16,$J$17,$I138,W$21)</f>
        <v>0</v>
      </c>
      <c r="X138" s="9">
        <f ca="1">_xll.DBR($I$9,$J$13,$J$15,$J$14,X$20,$J$16,$J$17,$I138,X$21)</f>
        <v>0</v>
      </c>
      <c r="Y138" s="9">
        <f ca="1">_xll.DBR($I$9,$J$13,$J$15,$J$14,Y$20,$J$16,$J$17,$I138,Y$21)</f>
        <v>0</v>
      </c>
      <c r="Z138" s="9">
        <f ca="1">_xll.DBR($I$9,$J$13,$J$15,$J$14,Z$20,$J$16,$J$17,$I138,Z$21)</f>
        <v>0</v>
      </c>
      <c r="AA138" s="9">
        <f ca="1">_xll.DBR($I$9,$J$13,$J$15,$J$14,AA$20,$J$16,$J$17,$I138,AA$21)</f>
        <v>0</v>
      </c>
      <c r="AB138" s="9">
        <f ca="1">_xll.DBR($I$9,$J$13,$J$15,$J$14,AB$20,$J$16,$J$17,$I138,AB$21)</f>
        <v>0</v>
      </c>
      <c r="AC138" s="9">
        <f ca="1">_xll.DBR($I$9,$J$13,$J$15,$J$14,AC$20,$J$16,$J$17,$I138,AC$21)</f>
        <v>0</v>
      </c>
      <c r="AD138" s="9">
        <f ca="1">_xll.DBR($I$9,$J$13,$J$15,$J$14,AD$20,$J$16,$J$17,$I138,AD$21)</f>
        <v>0</v>
      </c>
    </row>
    <row r="139" spans="1:30" x14ac:dyDescent="0.25">
      <c r="A139" t="str">
        <f ca="1">IF(_xll.TM1RPTELISCONSOLIDATED($I$22,$I139),IF(_xll.TM1RPTELLEV($I$22,$I139)&lt;=3,_xll.TM1RPTELLEV($I$22,$I139),"D"),"N")</f>
        <v>D</v>
      </c>
      <c r="I139" s="18" t="s">
        <v>124</v>
      </c>
      <c r="J139" s="9">
        <f ca="1">_xll.DBR($I$9,$J$13,$J$15,$J$14,J$20,$J$16,$J$17,$I139,J$21)</f>
        <v>0</v>
      </c>
      <c r="K139" s="9">
        <f ca="1">_xll.DBR($I$9,$J$13,$J$15,$J$14,K$20,$J$16,$J$17,$I139,K$21)</f>
        <v>0</v>
      </c>
      <c r="L139" s="9">
        <f ca="1">_xll.DBRW($I$9,$J$13,$J$15,$J$14,L$20,$J$16,$J$17,$I139,L$21)</f>
        <v>0</v>
      </c>
      <c r="M139" s="9">
        <f ca="1">_xll.DBRW($I$9,$J$13,$J$15,$J$14,M$20,$J$16,$J$17,$I139,M$21)</f>
        <v>0</v>
      </c>
      <c r="N139" s="9">
        <f ca="1">_xll.DBRW($I$9,$J$13,$J$15,$J$14,N$20,$J$16,$J$17,$I139,N$21)</f>
        <v>0</v>
      </c>
      <c r="O139" s="9">
        <f ca="1">_xll.DBRW($I$9,$J$13,$J$15,$J$14,O$20,$J$16,$J$17,$I139,O$21)</f>
        <v>0</v>
      </c>
      <c r="P139" s="9">
        <f ca="1">_xll.DBRW($I$9,$J$13,$J$15,$J$14,P$20,$J$16,$J$17,$I139,P$21)</f>
        <v>0</v>
      </c>
      <c r="Q139" s="9">
        <f ca="1">_xll.DBRW($I$9,$J$13,$J$15,$J$14,Q$20,$J$16,$J$17,$I139,Q$21)</f>
        <v>0</v>
      </c>
      <c r="R139" s="9">
        <f ca="1">_xll.DBRW($I$9,$J$13,$J$15,$J$14,R$20,$J$16,$J$17,$I139,R$21)</f>
        <v>0</v>
      </c>
      <c r="S139" s="9" t="str">
        <f ca="1">_xll.DBR($I$9,$J$13,$J$15,$J$14,S$20,$J$16,$J$17,$I139,S$21)</f>
        <v>*KEY_ERR</v>
      </c>
      <c r="T139" s="9" t="str">
        <f ca="1">_xll.DBR($I$9,$J$13,$J$15,$J$14,T$20,$J$16,$J$17,$I139,T$21)</f>
        <v>*KEY_ERR</v>
      </c>
      <c r="U139" s="9" t="str">
        <f ca="1">_xll.DBR($I$9,$J$13,$J$15,$J$14,U$20,$J$16,$J$17,$I139,U$21)</f>
        <v>*KEY_ERR</v>
      </c>
      <c r="V139" s="9">
        <f ca="1">_xll.DBR($I$9,$J$13,$J$15,$J$14,V$20,$J$16,$J$17,$I139,V$21)</f>
        <v>0</v>
      </c>
      <c r="W139" s="9">
        <f ca="1">_xll.DBR($I$9,$J$13,$J$15,$J$14,W$20,$J$16,$J$17,$I139,W$21)</f>
        <v>0</v>
      </c>
      <c r="X139" s="9">
        <f ca="1">_xll.DBR($I$9,$J$13,$J$15,$J$14,X$20,$J$16,$J$17,$I139,X$21)</f>
        <v>0</v>
      </c>
      <c r="Y139" s="9">
        <f ca="1">_xll.DBR($I$9,$J$13,$J$15,$J$14,Y$20,$J$16,$J$17,$I139,Y$21)</f>
        <v>0</v>
      </c>
      <c r="Z139" s="9">
        <f ca="1">_xll.DBR($I$9,$J$13,$J$15,$J$14,Z$20,$J$16,$J$17,$I139,Z$21)</f>
        <v>0</v>
      </c>
      <c r="AA139" s="9">
        <f ca="1">_xll.DBR($I$9,$J$13,$J$15,$J$14,AA$20,$J$16,$J$17,$I139,AA$21)</f>
        <v>0</v>
      </c>
      <c r="AB139" s="9">
        <f ca="1">_xll.DBR($I$9,$J$13,$J$15,$J$14,AB$20,$J$16,$J$17,$I139,AB$21)</f>
        <v>0</v>
      </c>
      <c r="AC139" s="9">
        <f ca="1">_xll.DBR($I$9,$J$13,$J$15,$J$14,AC$20,$J$16,$J$17,$I139,AC$21)</f>
        <v>0</v>
      </c>
      <c r="AD139" s="9">
        <f ca="1">_xll.DBR($I$9,$J$13,$J$15,$J$14,AD$20,$J$16,$J$17,$I139,AD$21)</f>
        <v>0</v>
      </c>
    </row>
    <row r="140" spans="1:30" x14ac:dyDescent="0.25">
      <c r="A140" t="str">
        <f ca="1">IF(_xll.TM1RPTELISCONSOLIDATED($I$22,$I140),IF(_xll.TM1RPTELLEV($I$22,$I140)&lt;=3,_xll.TM1RPTELLEV($I$22,$I140),"D"),"N")</f>
        <v>D</v>
      </c>
      <c r="I140" s="18" t="s">
        <v>125</v>
      </c>
      <c r="J140" s="9">
        <f ca="1">_xll.DBR($I$9,$J$13,$J$15,$J$14,J$20,$J$16,$J$17,$I140,J$21)</f>
        <v>0</v>
      </c>
      <c r="K140" s="9">
        <f ca="1">_xll.DBR($I$9,$J$13,$J$15,$J$14,K$20,$J$16,$J$17,$I140,K$21)</f>
        <v>0</v>
      </c>
      <c r="L140" s="9">
        <f ca="1">_xll.DBRW($I$9,$J$13,$J$15,$J$14,L$20,$J$16,$J$17,$I140,L$21)</f>
        <v>0</v>
      </c>
      <c r="M140" s="9">
        <f ca="1">_xll.DBRW($I$9,$J$13,$J$15,$J$14,M$20,$J$16,$J$17,$I140,M$21)</f>
        <v>0</v>
      </c>
      <c r="N140" s="9">
        <f ca="1">_xll.DBRW($I$9,$J$13,$J$15,$J$14,N$20,$J$16,$J$17,$I140,N$21)</f>
        <v>0</v>
      </c>
      <c r="O140" s="9">
        <f ca="1">_xll.DBRW($I$9,$J$13,$J$15,$J$14,O$20,$J$16,$J$17,$I140,O$21)</f>
        <v>0</v>
      </c>
      <c r="P140" s="9">
        <f ca="1">_xll.DBRW($I$9,$J$13,$J$15,$J$14,P$20,$J$16,$J$17,$I140,P$21)</f>
        <v>0</v>
      </c>
      <c r="Q140" s="9">
        <f ca="1">_xll.DBRW($I$9,$J$13,$J$15,$J$14,Q$20,$J$16,$J$17,$I140,Q$21)</f>
        <v>0</v>
      </c>
      <c r="R140" s="9">
        <f ca="1">_xll.DBRW($I$9,$J$13,$J$15,$J$14,R$20,$J$16,$J$17,$I140,R$21)</f>
        <v>0</v>
      </c>
      <c r="S140" s="9" t="str">
        <f ca="1">_xll.DBR($I$9,$J$13,$J$15,$J$14,S$20,$J$16,$J$17,$I140,S$21)</f>
        <v>*KEY_ERR</v>
      </c>
      <c r="T140" s="9" t="str">
        <f ca="1">_xll.DBR($I$9,$J$13,$J$15,$J$14,T$20,$J$16,$J$17,$I140,T$21)</f>
        <v>*KEY_ERR</v>
      </c>
      <c r="U140" s="9" t="str">
        <f ca="1">_xll.DBR($I$9,$J$13,$J$15,$J$14,U$20,$J$16,$J$17,$I140,U$21)</f>
        <v>*KEY_ERR</v>
      </c>
      <c r="V140" s="9">
        <f ca="1">_xll.DBR($I$9,$J$13,$J$15,$J$14,V$20,$J$16,$J$17,$I140,V$21)</f>
        <v>0</v>
      </c>
      <c r="W140" s="9">
        <f ca="1">_xll.DBR($I$9,$J$13,$J$15,$J$14,W$20,$J$16,$J$17,$I140,W$21)</f>
        <v>0</v>
      </c>
      <c r="X140" s="9">
        <f ca="1">_xll.DBR($I$9,$J$13,$J$15,$J$14,X$20,$J$16,$J$17,$I140,X$21)</f>
        <v>0</v>
      </c>
      <c r="Y140" s="9">
        <f ca="1">_xll.DBR($I$9,$J$13,$J$15,$J$14,Y$20,$J$16,$J$17,$I140,Y$21)</f>
        <v>0</v>
      </c>
      <c r="Z140" s="9">
        <f ca="1">_xll.DBR($I$9,$J$13,$J$15,$J$14,Z$20,$J$16,$J$17,$I140,Z$21)</f>
        <v>0</v>
      </c>
      <c r="AA140" s="9">
        <f ca="1">_xll.DBR($I$9,$J$13,$J$15,$J$14,AA$20,$J$16,$J$17,$I140,AA$21)</f>
        <v>0</v>
      </c>
      <c r="AB140" s="9">
        <f ca="1">_xll.DBR($I$9,$J$13,$J$15,$J$14,AB$20,$J$16,$J$17,$I140,AB$21)</f>
        <v>0</v>
      </c>
      <c r="AC140" s="9">
        <f ca="1">_xll.DBR($I$9,$J$13,$J$15,$J$14,AC$20,$J$16,$J$17,$I140,AC$21)</f>
        <v>0</v>
      </c>
      <c r="AD140" s="9">
        <f ca="1">_xll.DBR($I$9,$J$13,$J$15,$J$14,AD$20,$J$16,$J$17,$I140,AD$21)</f>
        <v>0</v>
      </c>
    </row>
    <row r="141" spans="1:30" x14ac:dyDescent="0.25">
      <c r="A141" t="str">
        <f ca="1">IF(_xll.TM1RPTELISCONSOLIDATED($I$22,$I141),IF(_xll.TM1RPTELLEV($I$22,$I141)&lt;=3,_xll.TM1RPTELLEV($I$22,$I141),"D"),"N")</f>
        <v>D</v>
      </c>
      <c r="I141" s="18" t="s">
        <v>126</v>
      </c>
      <c r="J141" s="9">
        <f ca="1">_xll.DBR($I$9,$J$13,$J$15,$J$14,J$20,$J$16,$J$17,$I141,J$21)</f>
        <v>0</v>
      </c>
      <c r="K141" s="9">
        <f ca="1">_xll.DBR($I$9,$J$13,$J$15,$J$14,K$20,$J$16,$J$17,$I141,K$21)</f>
        <v>0</v>
      </c>
      <c r="L141" s="9">
        <f ca="1">_xll.DBRW($I$9,$J$13,$J$15,$J$14,L$20,$J$16,$J$17,$I141,L$21)</f>
        <v>0</v>
      </c>
      <c r="M141" s="9">
        <f ca="1">_xll.DBRW($I$9,$J$13,$J$15,$J$14,M$20,$J$16,$J$17,$I141,M$21)</f>
        <v>0</v>
      </c>
      <c r="N141" s="9">
        <f ca="1">_xll.DBRW($I$9,$J$13,$J$15,$J$14,N$20,$J$16,$J$17,$I141,N$21)</f>
        <v>0</v>
      </c>
      <c r="O141" s="9">
        <f ca="1">_xll.DBRW($I$9,$J$13,$J$15,$J$14,O$20,$J$16,$J$17,$I141,O$21)</f>
        <v>0</v>
      </c>
      <c r="P141" s="9">
        <f ca="1">_xll.DBRW($I$9,$J$13,$J$15,$J$14,P$20,$J$16,$J$17,$I141,P$21)</f>
        <v>0</v>
      </c>
      <c r="Q141" s="9">
        <f ca="1">_xll.DBRW($I$9,$J$13,$J$15,$J$14,Q$20,$J$16,$J$17,$I141,Q$21)</f>
        <v>0</v>
      </c>
      <c r="R141" s="9">
        <f ca="1">_xll.DBRW($I$9,$J$13,$J$15,$J$14,R$20,$J$16,$J$17,$I141,R$21)</f>
        <v>0</v>
      </c>
      <c r="S141" s="9" t="str">
        <f ca="1">_xll.DBR($I$9,$J$13,$J$15,$J$14,S$20,$J$16,$J$17,$I141,S$21)</f>
        <v>*KEY_ERR</v>
      </c>
      <c r="T141" s="9" t="str">
        <f ca="1">_xll.DBR($I$9,$J$13,$J$15,$J$14,T$20,$J$16,$J$17,$I141,T$21)</f>
        <v>*KEY_ERR</v>
      </c>
      <c r="U141" s="9" t="str">
        <f ca="1">_xll.DBR($I$9,$J$13,$J$15,$J$14,U$20,$J$16,$J$17,$I141,U$21)</f>
        <v>*KEY_ERR</v>
      </c>
      <c r="V141" s="9">
        <f ca="1">_xll.DBR($I$9,$J$13,$J$15,$J$14,V$20,$J$16,$J$17,$I141,V$21)</f>
        <v>0</v>
      </c>
      <c r="W141" s="9">
        <f ca="1">_xll.DBR($I$9,$J$13,$J$15,$J$14,W$20,$J$16,$J$17,$I141,W$21)</f>
        <v>0</v>
      </c>
      <c r="X141" s="9">
        <f ca="1">_xll.DBR($I$9,$J$13,$J$15,$J$14,X$20,$J$16,$J$17,$I141,X$21)</f>
        <v>0</v>
      </c>
      <c r="Y141" s="9">
        <f ca="1">_xll.DBR($I$9,$J$13,$J$15,$J$14,Y$20,$J$16,$J$17,$I141,Y$21)</f>
        <v>0</v>
      </c>
      <c r="Z141" s="9">
        <f ca="1">_xll.DBR($I$9,$J$13,$J$15,$J$14,Z$20,$J$16,$J$17,$I141,Z$21)</f>
        <v>0</v>
      </c>
      <c r="AA141" s="9">
        <f ca="1">_xll.DBR($I$9,$J$13,$J$15,$J$14,AA$20,$J$16,$J$17,$I141,AA$21)</f>
        <v>0</v>
      </c>
      <c r="AB141" s="9">
        <f ca="1">_xll.DBR($I$9,$J$13,$J$15,$J$14,AB$20,$J$16,$J$17,$I141,AB$21)</f>
        <v>0</v>
      </c>
      <c r="AC141" s="9">
        <f ca="1">_xll.DBR($I$9,$J$13,$J$15,$J$14,AC$20,$J$16,$J$17,$I141,AC$21)</f>
        <v>0</v>
      </c>
      <c r="AD141" s="9">
        <f ca="1">_xll.DBR($I$9,$J$13,$J$15,$J$14,AD$20,$J$16,$J$17,$I141,AD$21)</f>
        <v>0</v>
      </c>
    </row>
    <row r="142" spans="1:30" x14ac:dyDescent="0.25">
      <c r="A142">
        <f ca="1">IF(_xll.TM1RPTELISCONSOLIDATED($I$22,$I142),IF(_xll.TM1RPTELLEV($I$22,$I142)&lt;=3,_xll.TM1RPTELLEV($I$22,$I142),"D"),"N")</f>
        <v>3</v>
      </c>
      <c r="I142" s="22" t="s">
        <v>127</v>
      </c>
      <c r="J142" s="7">
        <f ca="1">_xll.DBR($I$9,$J$13,$J$15,$J$14,J$20,$J$16,$J$17,$I142,J$21)</f>
        <v>0</v>
      </c>
      <c r="K142" s="7">
        <f ca="1">_xll.DBR($I$9,$J$13,$J$15,$J$14,K$20,$J$16,$J$17,$I142,K$21)</f>
        <v>0</v>
      </c>
      <c r="L142" s="7">
        <f ca="1">_xll.DBRW($I$9,$J$13,$J$15,$J$14,L$20,$J$16,$J$17,$I142,L$21)</f>
        <v>0</v>
      </c>
      <c r="M142" s="7">
        <f ca="1">_xll.DBRW($I$9,$J$13,$J$15,$J$14,M$20,$J$16,$J$17,$I142,M$21)</f>
        <v>0</v>
      </c>
      <c r="N142" s="7">
        <f ca="1">_xll.DBRW($I$9,$J$13,$J$15,$J$14,N$20,$J$16,$J$17,$I142,N$21)</f>
        <v>0</v>
      </c>
      <c r="O142" s="7">
        <f ca="1">_xll.DBRW($I$9,$J$13,$J$15,$J$14,O$20,$J$16,$J$17,$I142,O$21)</f>
        <v>0</v>
      </c>
      <c r="P142" s="7">
        <f ca="1">_xll.DBRW($I$9,$J$13,$J$15,$J$14,P$20,$J$16,$J$17,$I142,P$21)</f>
        <v>0</v>
      </c>
      <c r="Q142" s="7">
        <f ca="1">_xll.DBRW($I$9,$J$13,$J$15,$J$14,Q$20,$J$16,$J$17,$I142,Q$21)</f>
        <v>0</v>
      </c>
      <c r="R142" s="7">
        <f ca="1">_xll.DBRW($I$9,$J$13,$J$15,$J$14,R$20,$J$16,$J$17,$I142,R$21)</f>
        <v>0</v>
      </c>
      <c r="S142" s="7" t="str">
        <f ca="1">_xll.DBR($I$9,$J$13,$J$15,$J$14,S$20,$J$16,$J$17,$I142,S$21)</f>
        <v>*KEY_ERR</v>
      </c>
      <c r="T142" s="7" t="str">
        <f ca="1">_xll.DBR($I$9,$J$13,$J$15,$J$14,T$20,$J$16,$J$17,$I142,T$21)</f>
        <v>*KEY_ERR</v>
      </c>
      <c r="U142" s="7" t="str">
        <f ca="1">_xll.DBR($I$9,$J$13,$J$15,$J$14,U$20,$J$16,$J$17,$I142,U$21)</f>
        <v>*KEY_ERR</v>
      </c>
      <c r="V142" s="7">
        <f ca="1">_xll.DBR($I$9,$J$13,$J$15,$J$14,V$20,$J$16,$J$17,$I142,V$21)</f>
        <v>0</v>
      </c>
      <c r="W142" s="7">
        <f ca="1">_xll.DBR($I$9,$J$13,$J$15,$J$14,W$20,$J$16,$J$17,$I142,W$21)</f>
        <v>0</v>
      </c>
      <c r="X142" s="7">
        <f ca="1">_xll.DBR($I$9,$J$13,$J$15,$J$14,X$20,$J$16,$J$17,$I142,X$21)</f>
        <v>0</v>
      </c>
      <c r="Y142" s="7">
        <f ca="1">_xll.DBR($I$9,$J$13,$J$15,$J$14,Y$20,$J$16,$J$17,$I142,Y$21)</f>
        <v>0</v>
      </c>
      <c r="Z142" s="7">
        <f ca="1">_xll.DBR($I$9,$J$13,$J$15,$J$14,Z$20,$J$16,$J$17,$I142,Z$21)</f>
        <v>0</v>
      </c>
      <c r="AA142" s="7">
        <f ca="1">_xll.DBR($I$9,$J$13,$J$15,$J$14,AA$20,$J$16,$J$17,$I142,AA$21)</f>
        <v>0</v>
      </c>
      <c r="AB142" s="7">
        <f ca="1">_xll.DBR($I$9,$J$13,$J$15,$J$14,AB$20,$J$16,$J$17,$I142,AB$21)</f>
        <v>0</v>
      </c>
      <c r="AC142" s="7">
        <f ca="1">_xll.DBR($I$9,$J$13,$J$15,$J$14,AC$20,$J$16,$J$17,$I142,AC$21)</f>
        <v>0</v>
      </c>
      <c r="AD142" s="7">
        <f ca="1">_xll.DBR($I$9,$J$13,$J$15,$J$14,AD$20,$J$16,$J$17,$I142,AD$21)</f>
        <v>0</v>
      </c>
    </row>
    <row r="143" spans="1:30" x14ac:dyDescent="0.25">
      <c r="A143">
        <f ca="1">IF(_xll.TM1RPTELISCONSOLIDATED($I$22,$I143),IF(_xll.TM1RPTELLEV($I$22,$I143)&lt;=3,_xll.TM1RPTELLEV($I$22,$I143),"D"),"N")</f>
        <v>3</v>
      </c>
      <c r="I143" s="22" t="s">
        <v>203</v>
      </c>
      <c r="J143" s="7">
        <f ca="1">_xll.DBR($I$9,$J$13,$J$15,$J$14,J$20,$J$16,$J$17,$I143,J$21)</f>
        <v>0</v>
      </c>
      <c r="K143" s="7">
        <f ca="1">_xll.DBR($I$9,$J$13,$J$15,$J$14,K$20,$J$16,$J$17,$I143,K$21)</f>
        <v>0</v>
      </c>
      <c r="L143" s="7">
        <f ca="1">_xll.DBRW($I$9,$J$13,$J$15,$J$14,L$20,$J$16,$J$17,$I143,L$21)</f>
        <v>0</v>
      </c>
      <c r="M143" s="7">
        <f ca="1">_xll.DBRW($I$9,$J$13,$J$15,$J$14,M$20,$J$16,$J$17,$I143,M$21)</f>
        <v>0</v>
      </c>
      <c r="N143" s="7">
        <f ca="1">_xll.DBRW($I$9,$J$13,$J$15,$J$14,N$20,$J$16,$J$17,$I143,N$21)</f>
        <v>0</v>
      </c>
      <c r="O143" s="7">
        <f ca="1">_xll.DBRW($I$9,$J$13,$J$15,$J$14,O$20,$J$16,$J$17,$I143,O$21)</f>
        <v>0</v>
      </c>
      <c r="P143" s="7">
        <f ca="1">_xll.DBRW($I$9,$J$13,$J$15,$J$14,P$20,$J$16,$J$17,$I143,P$21)</f>
        <v>0</v>
      </c>
      <c r="Q143" s="7">
        <f ca="1">_xll.DBRW($I$9,$J$13,$J$15,$J$14,Q$20,$J$16,$J$17,$I143,Q$21)</f>
        <v>0</v>
      </c>
      <c r="R143" s="7">
        <f ca="1">_xll.DBRW($I$9,$J$13,$J$15,$J$14,R$20,$J$16,$J$17,$I143,R$21)</f>
        <v>0</v>
      </c>
      <c r="S143" s="7" t="str">
        <f ca="1">_xll.DBR($I$9,$J$13,$J$15,$J$14,S$20,$J$16,$J$17,$I143,S$21)</f>
        <v>*KEY_ERR</v>
      </c>
      <c r="T143" s="7" t="str">
        <f ca="1">_xll.DBR($I$9,$J$13,$J$15,$J$14,T$20,$J$16,$J$17,$I143,T$21)</f>
        <v>*KEY_ERR</v>
      </c>
      <c r="U143" s="7" t="str">
        <f ca="1">_xll.DBR($I$9,$J$13,$J$15,$J$14,U$20,$J$16,$J$17,$I143,U$21)</f>
        <v>*KEY_ERR</v>
      </c>
      <c r="V143" s="7">
        <f ca="1">_xll.DBR($I$9,$J$13,$J$15,$J$14,V$20,$J$16,$J$17,$I143,V$21)</f>
        <v>0</v>
      </c>
      <c r="W143" s="7">
        <f ca="1">_xll.DBR($I$9,$J$13,$J$15,$J$14,W$20,$J$16,$J$17,$I143,W$21)</f>
        <v>0</v>
      </c>
      <c r="X143" s="7">
        <f ca="1">_xll.DBR($I$9,$J$13,$J$15,$J$14,X$20,$J$16,$J$17,$I143,X$21)</f>
        <v>0</v>
      </c>
      <c r="Y143" s="7">
        <f ca="1">_xll.DBR($I$9,$J$13,$J$15,$J$14,Y$20,$J$16,$J$17,$I143,Y$21)</f>
        <v>0</v>
      </c>
      <c r="Z143" s="7">
        <f ca="1">_xll.DBR($I$9,$J$13,$J$15,$J$14,Z$20,$J$16,$J$17,$I143,Z$21)</f>
        <v>0</v>
      </c>
      <c r="AA143" s="7">
        <f ca="1">_xll.DBR($I$9,$J$13,$J$15,$J$14,AA$20,$J$16,$J$17,$I143,AA$21)</f>
        <v>0</v>
      </c>
      <c r="AB143" s="7">
        <f ca="1">_xll.DBR($I$9,$J$13,$J$15,$J$14,AB$20,$J$16,$J$17,$I143,AB$21)</f>
        <v>0</v>
      </c>
      <c r="AC143" s="7">
        <f ca="1">_xll.DBR($I$9,$J$13,$J$15,$J$14,AC$20,$J$16,$J$17,$I143,AC$21)</f>
        <v>0</v>
      </c>
      <c r="AD143" s="7">
        <f ca="1">_xll.DBR($I$9,$J$13,$J$15,$J$14,AD$20,$J$16,$J$17,$I143,AD$21)</f>
        <v>0</v>
      </c>
    </row>
    <row r="144" spans="1:30" x14ac:dyDescent="0.25">
      <c r="A144">
        <f ca="1">IF(_xll.TM1RPTELISCONSOLIDATED($I$22,$I144),IF(_xll.TM1RPTELLEV($I$22,$I144)&lt;=3,_xll.TM1RPTELLEV($I$22,$I144),"D"),"N")</f>
        <v>2</v>
      </c>
      <c r="I144" s="17" t="s">
        <v>129</v>
      </c>
      <c r="J144" s="3">
        <f ca="1">_xll.DBR($I$9,$J$13,$J$15,$J$14,J$20,$J$16,$J$17,$I144,J$21)</f>
        <v>0</v>
      </c>
      <c r="K144" s="3">
        <f ca="1">_xll.DBR($I$9,$J$13,$J$15,$J$14,K$20,$J$16,$J$17,$I144,K$21)</f>
        <v>0</v>
      </c>
      <c r="L144" s="3">
        <f ca="1">_xll.DBRW($I$9,$J$13,$J$15,$J$14,L$20,$J$16,$J$17,$I144,L$21)</f>
        <v>0</v>
      </c>
      <c r="M144" s="3">
        <f ca="1">_xll.DBRW($I$9,$J$13,$J$15,$J$14,M$20,$J$16,$J$17,$I144,M$21)</f>
        <v>0</v>
      </c>
      <c r="N144" s="3">
        <f ca="1">_xll.DBRW($I$9,$J$13,$J$15,$J$14,N$20,$J$16,$J$17,$I144,N$21)</f>
        <v>0</v>
      </c>
      <c r="O144" s="3">
        <f ca="1">_xll.DBRW($I$9,$J$13,$J$15,$J$14,O$20,$J$16,$J$17,$I144,O$21)</f>
        <v>0</v>
      </c>
      <c r="P144" s="3">
        <f ca="1">_xll.DBRW($I$9,$J$13,$J$15,$J$14,P$20,$J$16,$J$17,$I144,P$21)</f>
        <v>0</v>
      </c>
      <c r="Q144" s="3">
        <f ca="1">_xll.DBRW($I$9,$J$13,$J$15,$J$14,Q$20,$J$16,$J$17,$I144,Q$21)</f>
        <v>0</v>
      </c>
      <c r="R144" s="3">
        <f ca="1">_xll.DBRW($I$9,$J$13,$J$15,$J$14,R$20,$J$16,$J$17,$I144,R$21)</f>
        <v>0</v>
      </c>
      <c r="S144" s="3" t="str">
        <f ca="1">_xll.DBR($I$9,$J$13,$J$15,$J$14,S$20,$J$16,$J$17,$I144,S$21)</f>
        <v>*KEY_ERR</v>
      </c>
      <c r="T144" s="3" t="str">
        <f ca="1">_xll.DBR($I$9,$J$13,$J$15,$J$14,T$20,$J$16,$J$17,$I144,T$21)</f>
        <v>*KEY_ERR</v>
      </c>
      <c r="U144" s="3" t="str">
        <f ca="1">_xll.DBR($I$9,$J$13,$J$15,$J$14,U$20,$J$16,$J$17,$I144,U$21)</f>
        <v>*KEY_ERR</v>
      </c>
      <c r="V144" s="3">
        <f ca="1">_xll.DBR($I$9,$J$13,$J$15,$J$14,V$20,$J$16,$J$17,$I144,V$21)</f>
        <v>0</v>
      </c>
      <c r="W144" s="3">
        <f ca="1">_xll.DBR($I$9,$J$13,$J$15,$J$14,W$20,$J$16,$J$17,$I144,W$21)</f>
        <v>0</v>
      </c>
      <c r="X144" s="3">
        <f ca="1">_xll.DBR($I$9,$J$13,$J$15,$J$14,X$20,$J$16,$J$17,$I144,X$21)</f>
        <v>0</v>
      </c>
      <c r="Y144" s="3">
        <f ca="1">_xll.DBR($I$9,$J$13,$J$15,$J$14,Y$20,$J$16,$J$17,$I144,Y$21)</f>
        <v>0</v>
      </c>
      <c r="Z144" s="3">
        <f ca="1">_xll.DBR($I$9,$J$13,$J$15,$J$14,Z$20,$J$16,$J$17,$I144,Z$21)</f>
        <v>0</v>
      </c>
      <c r="AA144" s="3">
        <f ca="1">_xll.DBR($I$9,$J$13,$J$15,$J$14,AA$20,$J$16,$J$17,$I144,AA$21)</f>
        <v>0</v>
      </c>
      <c r="AB144" s="3">
        <f ca="1">_xll.DBR($I$9,$J$13,$J$15,$J$14,AB$20,$J$16,$J$17,$I144,AB$21)</f>
        <v>0</v>
      </c>
      <c r="AC144" s="3">
        <f ca="1">_xll.DBR($I$9,$J$13,$J$15,$J$14,AC$20,$J$16,$J$17,$I144,AC$21)</f>
        <v>0</v>
      </c>
      <c r="AD144" s="3">
        <f ca="1">_xll.DBR($I$9,$J$13,$J$15,$J$14,AD$20,$J$16,$J$17,$I144,AD$21)</f>
        <v>0</v>
      </c>
    </row>
    <row r="145" spans="1:30" x14ac:dyDescent="0.25">
      <c r="A145">
        <f ca="1">IF(_xll.TM1RPTELISCONSOLIDATED($I$22,$I145),IF(_xll.TM1RPTELLEV($I$22,$I145)&lt;=3,_xll.TM1RPTELLEV($I$22,$I145),"D"),"N")</f>
        <v>3</v>
      </c>
      <c r="I145" s="22" t="s">
        <v>130</v>
      </c>
      <c r="J145" s="7">
        <f ca="1">_xll.DBR($I$9,$J$13,$J$15,$J$14,J$20,$J$16,$J$17,$I145,J$21)</f>
        <v>0</v>
      </c>
      <c r="K145" s="7">
        <f ca="1">_xll.DBR($I$9,$J$13,$J$15,$J$14,K$20,$J$16,$J$17,$I145,K$21)</f>
        <v>0</v>
      </c>
      <c r="L145" s="7">
        <f ca="1">_xll.DBRW($I$9,$J$13,$J$15,$J$14,L$20,$J$16,$J$17,$I145,L$21)</f>
        <v>0</v>
      </c>
      <c r="M145" s="7">
        <f ca="1">_xll.DBRW($I$9,$J$13,$J$15,$J$14,M$20,$J$16,$J$17,$I145,M$21)</f>
        <v>0</v>
      </c>
      <c r="N145" s="7">
        <f ca="1">_xll.DBRW($I$9,$J$13,$J$15,$J$14,N$20,$J$16,$J$17,$I145,N$21)</f>
        <v>0</v>
      </c>
      <c r="O145" s="7">
        <f ca="1">_xll.DBRW($I$9,$J$13,$J$15,$J$14,O$20,$J$16,$J$17,$I145,O$21)</f>
        <v>0</v>
      </c>
      <c r="P145" s="7">
        <f ca="1">_xll.DBRW($I$9,$J$13,$J$15,$J$14,P$20,$J$16,$J$17,$I145,P$21)</f>
        <v>0</v>
      </c>
      <c r="Q145" s="7">
        <f ca="1">_xll.DBRW($I$9,$J$13,$J$15,$J$14,Q$20,$J$16,$J$17,$I145,Q$21)</f>
        <v>0</v>
      </c>
      <c r="R145" s="7">
        <f ca="1">_xll.DBRW($I$9,$J$13,$J$15,$J$14,R$20,$J$16,$J$17,$I145,R$21)</f>
        <v>0</v>
      </c>
      <c r="S145" s="7" t="str">
        <f ca="1">_xll.DBR($I$9,$J$13,$J$15,$J$14,S$20,$J$16,$J$17,$I145,S$21)</f>
        <v>*KEY_ERR</v>
      </c>
      <c r="T145" s="7" t="str">
        <f ca="1">_xll.DBR($I$9,$J$13,$J$15,$J$14,T$20,$J$16,$J$17,$I145,T$21)</f>
        <v>*KEY_ERR</v>
      </c>
      <c r="U145" s="7" t="str">
        <f ca="1">_xll.DBR($I$9,$J$13,$J$15,$J$14,U$20,$J$16,$J$17,$I145,U$21)</f>
        <v>*KEY_ERR</v>
      </c>
      <c r="V145" s="7">
        <f ca="1">_xll.DBR($I$9,$J$13,$J$15,$J$14,V$20,$J$16,$J$17,$I145,V$21)</f>
        <v>0</v>
      </c>
      <c r="W145" s="7">
        <f ca="1">_xll.DBR($I$9,$J$13,$J$15,$J$14,W$20,$J$16,$J$17,$I145,W$21)</f>
        <v>0</v>
      </c>
      <c r="X145" s="7">
        <f ca="1">_xll.DBR($I$9,$J$13,$J$15,$J$14,X$20,$J$16,$J$17,$I145,X$21)</f>
        <v>0</v>
      </c>
      <c r="Y145" s="7">
        <f ca="1">_xll.DBR($I$9,$J$13,$J$15,$J$14,Y$20,$J$16,$J$17,$I145,Y$21)</f>
        <v>0</v>
      </c>
      <c r="Z145" s="7">
        <f ca="1">_xll.DBR($I$9,$J$13,$J$15,$J$14,Z$20,$J$16,$J$17,$I145,Z$21)</f>
        <v>0</v>
      </c>
      <c r="AA145" s="7">
        <f ca="1">_xll.DBR($I$9,$J$13,$J$15,$J$14,AA$20,$J$16,$J$17,$I145,AA$21)</f>
        <v>0</v>
      </c>
      <c r="AB145" s="7">
        <f ca="1">_xll.DBR($I$9,$J$13,$J$15,$J$14,AB$20,$J$16,$J$17,$I145,AB$21)</f>
        <v>0</v>
      </c>
      <c r="AC145" s="7">
        <f ca="1">_xll.DBR($I$9,$J$13,$J$15,$J$14,AC$20,$J$16,$J$17,$I145,AC$21)</f>
        <v>0</v>
      </c>
      <c r="AD145" s="7">
        <f ca="1">_xll.DBR($I$9,$J$13,$J$15,$J$14,AD$20,$J$16,$J$17,$I145,AD$21)</f>
        <v>0</v>
      </c>
    </row>
    <row r="146" spans="1:30" x14ac:dyDescent="0.25">
      <c r="A146">
        <f ca="1">IF(_xll.TM1RPTELISCONSOLIDATED($I$22,$I146),IF(_xll.TM1RPTELLEV($I$22,$I146)&lt;=3,_xll.TM1RPTELLEV($I$22,$I146),"D"),"N")</f>
        <v>3</v>
      </c>
      <c r="I146" s="22" t="s">
        <v>131</v>
      </c>
      <c r="J146" s="7">
        <f ca="1">_xll.DBR($I$9,$J$13,$J$15,$J$14,J$20,$J$16,$J$17,$I146,J$21)</f>
        <v>0</v>
      </c>
      <c r="K146" s="7">
        <f ca="1">_xll.DBR($I$9,$J$13,$J$15,$J$14,K$20,$J$16,$J$17,$I146,K$21)</f>
        <v>0</v>
      </c>
      <c r="L146" s="7">
        <f ca="1">_xll.DBRW($I$9,$J$13,$J$15,$J$14,L$20,$J$16,$J$17,$I146,L$21)</f>
        <v>0</v>
      </c>
      <c r="M146" s="7">
        <f ca="1">_xll.DBRW($I$9,$J$13,$J$15,$J$14,M$20,$J$16,$J$17,$I146,M$21)</f>
        <v>0</v>
      </c>
      <c r="N146" s="7">
        <f ca="1">_xll.DBRW($I$9,$J$13,$J$15,$J$14,N$20,$J$16,$J$17,$I146,N$21)</f>
        <v>0</v>
      </c>
      <c r="O146" s="7">
        <f ca="1">_xll.DBRW($I$9,$J$13,$J$15,$J$14,O$20,$J$16,$J$17,$I146,O$21)</f>
        <v>0</v>
      </c>
      <c r="P146" s="7">
        <f ca="1">_xll.DBRW($I$9,$J$13,$J$15,$J$14,P$20,$J$16,$J$17,$I146,P$21)</f>
        <v>0</v>
      </c>
      <c r="Q146" s="7">
        <f ca="1">_xll.DBRW($I$9,$J$13,$J$15,$J$14,Q$20,$J$16,$J$17,$I146,Q$21)</f>
        <v>0</v>
      </c>
      <c r="R146" s="7">
        <f ca="1">_xll.DBRW($I$9,$J$13,$J$15,$J$14,R$20,$J$16,$J$17,$I146,R$21)</f>
        <v>0</v>
      </c>
      <c r="S146" s="7" t="str">
        <f ca="1">_xll.DBR($I$9,$J$13,$J$15,$J$14,S$20,$J$16,$J$17,$I146,S$21)</f>
        <v>*KEY_ERR</v>
      </c>
      <c r="T146" s="7" t="str">
        <f ca="1">_xll.DBR($I$9,$J$13,$J$15,$J$14,T$20,$J$16,$J$17,$I146,T$21)</f>
        <v>*KEY_ERR</v>
      </c>
      <c r="U146" s="7" t="str">
        <f ca="1">_xll.DBR($I$9,$J$13,$J$15,$J$14,U$20,$J$16,$J$17,$I146,U$21)</f>
        <v>*KEY_ERR</v>
      </c>
      <c r="V146" s="7">
        <f ca="1">_xll.DBR($I$9,$J$13,$J$15,$J$14,V$20,$J$16,$J$17,$I146,V$21)</f>
        <v>0</v>
      </c>
      <c r="W146" s="7">
        <f ca="1">_xll.DBR($I$9,$J$13,$J$15,$J$14,W$20,$J$16,$J$17,$I146,W$21)</f>
        <v>0</v>
      </c>
      <c r="X146" s="7">
        <f ca="1">_xll.DBR($I$9,$J$13,$J$15,$J$14,X$20,$J$16,$J$17,$I146,X$21)</f>
        <v>0</v>
      </c>
      <c r="Y146" s="7">
        <f ca="1">_xll.DBR($I$9,$J$13,$J$15,$J$14,Y$20,$J$16,$J$17,$I146,Y$21)</f>
        <v>0</v>
      </c>
      <c r="Z146" s="7">
        <f ca="1">_xll.DBR($I$9,$J$13,$J$15,$J$14,Z$20,$J$16,$J$17,$I146,Z$21)</f>
        <v>0</v>
      </c>
      <c r="AA146" s="7">
        <f ca="1">_xll.DBR($I$9,$J$13,$J$15,$J$14,AA$20,$J$16,$J$17,$I146,AA$21)</f>
        <v>0</v>
      </c>
      <c r="AB146" s="7">
        <f ca="1">_xll.DBR($I$9,$J$13,$J$15,$J$14,AB$20,$J$16,$J$17,$I146,AB$21)</f>
        <v>0</v>
      </c>
      <c r="AC146" s="7">
        <f ca="1">_xll.DBR($I$9,$J$13,$J$15,$J$14,AC$20,$J$16,$J$17,$I146,AC$21)</f>
        <v>0</v>
      </c>
      <c r="AD146" s="7">
        <f ca="1">_xll.DBR($I$9,$J$13,$J$15,$J$14,AD$20,$J$16,$J$17,$I146,AD$21)</f>
        <v>0</v>
      </c>
    </row>
    <row r="147" spans="1:30" x14ac:dyDescent="0.25">
      <c r="A147">
        <f ca="1">IF(_xll.TM1RPTELISCONSOLIDATED($I$22,$I147),IF(_xll.TM1RPTELLEV($I$22,$I147)&lt;=3,_xll.TM1RPTELLEV($I$22,$I147),"D"),"N")</f>
        <v>3</v>
      </c>
      <c r="I147" s="22" t="s">
        <v>132</v>
      </c>
      <c r="J147" s="7">
        <f ca="1">_xll.DBR($I$9,$J$13,$J$15,$J$14,J$20,$J$16,$J$17,$I147,J$21)</f>
        <v>0</v>
      </c>
      <c r="K147" s="7">
        <f ca="1">_xll.DBR($I$9,$J$13,$J$15,$J$14,K$20,$J$16,$J$17,$I147,K$21)</f>
        <v>0</v>
      </c>
      <c r="L147" s="7">
        <f ca="1">_xll.DBRW($I$9,$J$13,$J$15,$J$14,L$20,$J$16,$J$17,$I147,L$21)</f>
        <v>0</v>
      </c>
      <c r="M147" s="7">
        <f ca="1">_xll.DBRW($I$9,$J$13,$J$15,$J$14,M$20,$J$16,$J$17,$I147,M$21)</f>
        <v>0</v>
      </c>
      <c r="N147" s="7">
        <f ca="1">_xll.DBRW($I$9,$J$13,$J$15,$J$14,N$20,$J$16,$J$17,$I147,N$21)</f>
        <v>0</v>
      </c>
      <c r="O147" s="7">
        <f ca="1">_xll.DBRW($I$9,$J$13,$J$15,$J$14,O$20,$J$16,$J$17,$I147,O$21)</f>
        <v>0</v>
      </c>
      <c r="P147" s="7">
        <f ca="1">_xll.DBRW($I$9,$J$13,$J$15,$J$14,P$20,$J$16,$J$17,$I147,P$21)</f>
        <v>0</v>
      </c>
      <c r="Q147" s="7">
        <f ca="1">_xll.DBRW($I$9,$J$13,$J$15,$J$14,Q$20,$J$16,$J$17,$I147,Q$21)</f>
        <v>0</v>
      </c>
      <c r="R147" s="7">
        <f ca="1">_xll.DBRW($I$9,$J$13,$J$15,$J$14,R$20,$J$16,$J$17,$I147,R$21)</f>
        <v>0</v>
      </c>
      <c r="S147" s="7" t="str">
        <f ca="1">_xll.DBR($I$9,$J$13,$J$15,$J$14,S$20,$J$16,$J$17,$I147,S$21)</f>
        <v>*KEY_ERR</v>
      </c>
      <c r="T147" s="7" t="str">
        <f ca="1">_xll.DBR($I$9,$J$13,$J$15,$J$14,T$20,$J$16,$J$17,$I147,T$21)</f>
        <v>*KEY_ERR</v>
      </c>
      <c r="U147" s="7" t="str">
        <f ca="1">_xll.DBR($I$9,$J$13,$J$15,$J$14,U$20,$J$16,$J$17,$I147,U$21)</f>
        <v>*KEY_ERR</v>
      </c>
      <c r="V147" s="7">
        <f ca="1">_xll.DBR($I$9,$J$13,$J$15,$J$14,V$20,$J$16,$J$17,$I147,V$21)</f>
        <v>0</v>
      </c>
      <c r="W147" s="7">
        <f ca="1">_xll.DBR($I$9,$J$13,$J$15,$J$14,W$20,$J$16,$J$17,$I147,W$21)</f>
        <v>0</v>
      </c>
      <c r="X147" s="7">
        <f ca="1">_xll.DBR($I$9,$J$13,$J$15,$J$14,X$20,$J$16,$J$17,$I147,X$21)</f>
        <v>0</v>
      </c>
      <c r="Y147" s="7">
        <f ca="1">_xll.DBR($I$9,$J$13,$J$15,$J$14,Y$20,$J$16,$J$17,$I147,Y$21)</f>
        <v>0</v>
      </c>
      <c r="Z147" s="7">
        <f ca="1">_xll.DBR($I$9,$J$13,$J$15,$J$14,Z$20,$J$16,$J$17,$I147,Z$21)</f>
        <v>0</v>
      </c>
      <c r="AA147" s="7">
        <f ca="1">_xll.DBR($I$9,$J$13,$J$15,$J$14,AA$20,$J$16,$J$17,$I147,AA$21)</f>
        <v>0</v>
      </c>
      <c r="AB147" s="7">
        <f ca="1">_xll.DBR($I$9,$J$13,$J$15,$J$14,AB$20,$J$16,$J$17,$I147,AB$21)</f>
        <v>0</v>
      </c>
      <c r="AC147" s="7">
        <f ca="1">_xll.DBR($I$9,$J$13,$J$15,$J$14,AC$20,$J$16,$J$17,$I147,AC$21)</f>
        <v>0</v>
      </c>
      <c r="AD147" s="7">
        <f ca="1">_xll.DBR($I$9,$J$13,$J$15,$J$14,AD$20,$J$16,$J$17,$I147,AD$21)</f>
        <v>0</v>
      </c>
    </row>
    <row r="148" spans="1:30" x14ac:dyDescent="0.25">
      <c r="A148">
        <f ca="1">IF(_xll.TM1RPTELISCONSOLIDATED($I$22,$I148),IF(_xll.TM1RPTELLEV($I$22,$I148)&lt;=3,_xll.TM1RPTELLEV($I$22,$I148),"D"),"N")</f>
        <v>3</v>
      </c>
      <c r="I148" s="22" t="s">
        <v>133</v>
      </c>
      <c r="J148" s="7">
        <f ca="1">_xll.DBR($I$9,$J$13,$J$15,$J$14,J$20,$J$16,$J$17,$I148,J$21)</f>
        <v>0</v>
      </c>
      <c r="K148" s="7">
        <f ca="1">_xll.DBR($I$9,$J$13,$J$15,$J$14,K$20,$J$16,$J$17,$I148,K$21)</f>
        <v>0</v>
      </c>
      <c r="L148" s="7">
        <f ca="1">_xll.DBRW($I$9,$J$13,$J$15,$J$14,L$20,$J$16,$J$17,$I148,L$21)</f>
        <v>0</v>
      </c>
      <c r="M148" s="7">
        <f ca="1">_xll.DBRW($I$9,$J$13,$J$15,$J$14,M$20,$J$16,$J$17,$I148,M$21)</f>
        <v>0</v>
      </c>
      <c r="N148" s="7">
        <f ca="1">_xll.DBRW($I$9,$J$13,$J$15,$J$14,N$20,$J$16,$J$17,$I148,N$21)</f>
        <v>0</v>
      </c>
      <c r="O148" s="7">
        <f ca="1">_xll.DBRW($I$9,$J$13,$J$15,$J$14,O$20,$J$16,$J$17,$I148,O$21)</f>
        <v>0</v>
      </c>
      <c r="P148" s="7">
        <f ca="1">_xll.DBRW($I$9,$J$13,$J$15,$J$14,P$20,$J$16,$J$17,$I148,P$21)</f>
        <v>0</v>
      </c>
      <c r="Q148" s="7">
        <f ca="1">_xll.DBRW($I$9,$J$13,$J$15,$J$14,Q$20,$J$16,$J$17,$I148,Q$21)</f>
        <v>0</v>
      </c>
      <c r="R148" s="7">
        <f ca="1">_xll.DBRW($I$9,$J$13,$J$15,$J$14,R$20,$J$16,$J$17,$I148,R$21)</f>
        <v>0</v>
      </c>
      <c r="S148" s="7" t="str">
        <f ca="1">_xll.DBR($I$9,$J$13,$J$15,$J$14,S$20,$J$16,$J$17,$I148,S$21)</f>
        <v>*KEY_ERR</v>
      </c>
      <c r="T148" s="7" t="str">
        <f ca="1">_xll.DBR($I$9,$J$13,$J$15,$J$14,T$20,$J$16,$J$17,$I148,T$21)</f>
        <v>*KEY_ERR</v>
      </c>
      <c r="U148" s="7" t="str">
        <f ca="1">_xll.DBR($I$9,$J$13,$J$15,$J$14,U$20,$J$16,$J$17,$I148,U$21)</f>
        <v>*KEY_ERR</v>
      </c>
      <c r="V148" s="7">
        <f ca="1">_xll.DBR($I$9,$J$13,$J$15,$J$14,V$20,$J$16,$J$17,$I148,V$21)</f>
        <v>0</v>
      </c>
      <c r="W148" s="7">
        <f ca="1">_xll.DBR($I$9,$J$13,$J$15,$J$14,W$20,$J$16,$J$17,$I148,W$21)</f>
        <v>0</v>
      </c>
      <c r="X148" s="7">
        <f ca="1">_xll.DBR($I$9,$J$13,$J$15,$J$14,X$20,$J$16,$J$17,$I148,X$21)</f>
        <v>0</v>
      </c>
      <c r="Y148" s="7">
        <f ca="1">_xll.DBR($I$9,$J$13,$J$15,$J$14,Y$20,$J$16,$J$17,$I148,Y$21)</f>
        <v>0</v>
      </c>
      <c r="Z148" s="7">
        <f ca="1">_xll.DBR($I$9,$J$13,$J$15,$J$14,Z$20,$J$16,$J$17,$I148,Z$21)</f>
        <v>0</v>
      </c>
      <c r="AA148" s="7">
        <f ca="1">_xll.DBR($I$9,$J$13,$J$15,$J$14,AA$20,$J$16,$J$17,$I148,AA$21)</f>
        <v>0</v>
      </c>
      <c r="AB148" s="7">
        <f ca="1">_xll.DBR($I$9,$J$13,$J$15,$J$14,AB$20,$J$16,$J$17,$I148,AB$21)</f>
        <v>0</v>
      </c>
      <c r="AC148" s="7">
        <f ca="1">_xll.DBR($I$9,$J$13,$J$15,$J$14,AC$20,$J$16,$J$17,$I148,AC$21)</f>
        <v>0</v>
      </c>
      <c r="AD148" s="7">
        <f ca="1">_xll.DBR($I$9,$J$13,$J$15,$J$14,AD$20,$J$16,$J$17,$I148,AD$21)</f>
        <v>0</v>
      </c>
    </row>
    <row r="149" spans="1:30" x14ac:dyDescent="0.25">
      <c r="A149">
        <f ca="1">IF(_xll.TM1RPTELISCONSOLIDATED($I$22,$I149),IF(_xll.TM1RPTELLEV($I$22,$I149)&lt;=3,_xll.TM1RPTELLEV($I$22,$I149),"D"),"N")</f>
        <v>3</v>
      </c>
      <c r="I149" s="22" t="s">
        <v>134</v>
      </c>
      <c r="J149" s="7">
        <f ca="1">_xll.DBR($I$9,$J$13,$J$15,$J$14,J$20,$J$16,$J$17,$I149,J$21)</f>
        <v>0</v>
      </c>
      <c r="K149" s="7">
        <f ca="1">_xll.DBR($I$9,$J$13,$J$15,$J$14,K$20,$J$16,$J$17,$I149,K$21)</f>
        <v>0</v>
      </c>
      <c r="L149" s="7">
        <f ca="1">_xll.DBRW($I$9,$J$13,$J$15,$J$14,L$20,$J$16,$J$17,$I149,L$21)</f>
        <v>0</v>
      </c>
      <c r="M149" s="7">
        <f ca="1">_xll.DBRW($I$9,$J$13,$J$15,$J$14,M$20,$J$16,$J$17,$I149,M$21)</f>
        <v>0</v>
      </c>
      <c r="N149" s="7">
        <f ca="1">_xll.DBRW($I$9,$J$13,$J$15,$J$14,N$20,$J$16,$J$17,$I149,N$21)</f>
        <v>0</v>
      </c>
      <c r="O149" s="7">
        <f ca="1">_xll.DBRW($I$9,$J$13,$J$15,$J$14,O$20,$J$16,$J$17,$I149,O$21)</f>
        <v>0</v>
      </c>
      <c r="P149" s="7">
        <f ca="1">_xll.DBRW($I$9,$J$13,$J$15,$J$14,P$20,$J$16,$J$17,$I149,P$21)</f>
        <v>0</v>
      </c>
      <c r="Q149" s="7">
        <f ca="1">_xll.DBRW($I$9,$J$13,$J$15,$J$14,Q$20,$J$16,$J$17,$I149,Q$21)</f>
        <v>0</v>
      </c>
      <c r="R149" s="7">
        <f ca="1">_xll.DBRW($I$9,$J$13,$J$15,$J$14,R$20,$J$16,$J$17,$I149,R$21)</f>
        <v>0</v>
      </c>
      <c r="S149" s="7" t="str">
        <f ca="1">_xll.DBR($I$9,$J$13,$J$15,$J$14,S$20,$J$16,$J$17,$I149,S$21)</f>
        <v>*KEY_ERR</v>
      </c>
      <c r="T149" s="7" t="str">
        <f ca="1">_xll.DBR($I$9,$J$13,$J$15,$J$14,T$20,$J$16,$J$17,$I149,T$21)</f>
        <v>*KEY_ERR</v>
      </c>
      <c r="U149" s="7" t="str">
        <f ca="1">_xll.DBR($I$9,$J$13,$J$15,$J$14,U$20,$J$16,$J$17,$I149,U$21)</f>
        <v>*KEY_ERR</v>
      </c>
      <c r="V149" s="7">
        <f ca="1">_xll.DBR($I$9,$J$13,$J$15,$J$14,V$20,$J$16,$J$17,$I149,V$21)</f>
        <v>0</v>
      </c>
      <c r="W149" s="7">
        <f ca="1">_xll.DBR($I$9,$J$13,$J$15,$J$14,W$20,$J$16,$J$17,$I149,W$21)</f>
        <v>0</v>
      </c>
      <c r="X149" s="7">
        <f ca="1">_xll.DBR($I$9,$J$13,$J$15,$J$14,X$20,$J$16,$J$17,$I149,X$21)</f>
        <v>0</v>
      </c>
      <c r="Y149" s="7">
        <f ca="1">_xll.DBR($I$9,$J$13,$J$15,$J$14,Y$20,$J$16,$J$17,$I149,Y$21)</f>
        <v>0</v>
      </c>
      <c r="Z149" s="7">
        <f ca="1">_xll.DBR($I$9,$J$13,$J$15,$J$14,Z$20,$J$16,$J$17,$I149,Z$21)</f>
        <v>0</v>
      </c>
      <c r="AA149" s="7">
        <f ca="1">_xll.DBR($I$9,$J$13,$J$15,$J$14,AA$20,$J$16,$J$17,$I149,AA$21)</f>
        <v>0</v>
      </c>
      <c r="AB149" s="7">
        <f ca="1">_xll.DBR($I$9,$J$13,$J$15,$J$14,AB$20,$J$16,$J$17,$I149,AB$21)</f>
        <v>0</v>
      </c>
      <c r="AC149" s="7">
        <f ca="1">_xll.DBR($I$9,$J$13,$J$15,$J$14,AC$20,$J$16,$J$17,$I149,AC$21)</f>
        <v>0</v>
      </c>
      <c r="AD149" s="7">
        <f ca="1">_xll.DBR($I$9,$J$13,$J$15,$J$14,AD$20,$J$16,$J$17,$I149,AD$21)</f>
        <v>0</v>
      </c>
    </row>
    <row r="150" spans="1:30" x14ac:dyDescent="0.25">
      <c r="A150">
        <f ca="1">IF(_xll.TM1RPTELISCONSOLIDATED($I$22,$I150),IF(_xll.TM1RPTELLEV($I$22,$I150)&lt;=3,_xll.TM1RPTELLEV($I$22,$I150),"D"),"N")</f>
        <v>3</v>
      </c>
      <c r="I150" s="22" t="s">
        <v>204</v>
      </c>
      <c r="J150" s="7">
        <f ca="1">_xll.DBR($I$9,$J$13,$J$15,$J$14,J$20,$J$16,$J$17,$I150,J$21)</f>
        <v>0</v>
      </c>
      <c r="K150" s="7">
        <f ca="1">_xll.DBR($I$9,$J$13,$J$15,$J$14,K$20,$J$16,$J$17,$I150,K$21)</f>
        <v>0</v>
      </c>
      <c r="L150" s="7">
        <f ca="1">_xll.DBRW($I$9,$J$13,$J$15,$J$14,L$20,$J$16,$J$17,$I150,L$21)</f>
        <v>0</v>
      </c>
      <c r="M150" s="7">
        <f ca="1">_xll.DBRW($I$9,$J$13,$J$15,$J$14,M$20,$J$16,$J$17,$I150,M$21)</f>
        <v>0</v>
      </c>
      <c r="N150" s="7">
        <f ca="1">_xll.DBRW($I$9,$J$13,$J$15,$J$14,N$20,$J$16,$J$17,$I150,N$21)</f>
        <v>0</v>
      </c>
      <c r="O150" s="7">
        <f ca="1">_xll.DBRW($I$9,$J$13,$J$15,$J$14,O$20,$J$16,$J$17,$I150,O$21)</f>
        <v>0</v>
      </c>
      <c r="P150" s="7">
        <f ca="1">_xll.DBRW($I$9,$J$13,$J$15,$J$14,P$20,$J$16,$J$17,$I150,P$21)</f>
        <v>0</v>
      </c>
      <c r="Q150" s="7">
        <f ca="1">_xll.DBRW($I$9,$J$13,$J$15,$J$14,Q$20,$J$16,$J$17,$I150,Q$21)</f>
        <v>0</v>
      </c>
      <c r="R150" s="7">
        <f ca="1">_xll.DBRW($I$9,$J$13,$J$15,$J$14,R$20,$J$16,$J$17,$I150,R$21)</f>
        <v>0</v>
      </c>
      <c r="S150" s="7" t="str">
        <f ca="1">_xll.DBR($I$9,$J$13,$J$15,$J$14,S$20,$J$16,$J$17,$I150,S$21)</f>
        <v>*KEY_ERR</v>
      </c>
      <c r="T150" s="7" t="str">
        <f ca="1">_xll.DBR($I$9,$J$13,$J$15,$J$14,T$20,$J$16,$J$17,$I150,T$21)</f>
        <v>*KEY_ERR</v>
      </c>
      <c r="U150" s="7" t="str">
        <f ca="1">_xll.DBR($I$9,$J$13,$J$15,$J$14,U$20,$J$16,$J$17,$I150,U$21)</f>
        <v>*KEY_ERR</v>
      </c>
      <c r="V150" s="7">
        <f ca="1">_xll.DBR($I$9,$J$13,$J$15,$J$14,V$20,$J$16,$J$17,$I150,V$21)</f>
        <v>0</v>
      </c>
      <c r="W150" s="7">
        <f ca="1">_xll.DBR($I$9,$J$13,$J$15,$J$14,W$20,$J$16,$J$17,$I150,W$21)</f>
        <v>0</v>
      </c>
      <c r="X150" s="7">
        <f ca="1">_xll.DBR($I$9,$J$13,$J$15,$J$14,X$20,$J$16,$J$17,$I150,X$21)</f>
        <v>0</v>
      </c>
      <c r="Y150" s="7">
        <f ca="1">_xll.DBR($I$9,$J$13,$J$15,$J$14,Y$20,$J$16,$J$17,$I150,Y$21)</f>
        <v>0</v>
      </c>
      <c r="Z150" s="7">
        <f ca="1">_xll.DBR($I$9,$J$13,$J$15,$J$14,Z$20,$J$16,$J$17,$I150,Z$21)</f>
        <v>0</v>
      </c>
      <c r="AA150" s="7">
        <f ca="1">_xll.DBR($I$9,$J$13,$J$15,$J$14,AA$20,$J$16,$J$17,$I150,AA$21)</f>
        <v>0</v>
      </c>
      <c r="AB150" s="7">
        <f ca="1">_xll.DBR($I$9,$J$13,$J$15,$J$14,AB$20,$J$16,$J$17,$I150,AB$21)</f>
        <v>0</v>
      </c>
      <c r="AC150" s="7">
        <f ca="1">_xll.DBR($I$9,$J$13,$J$15,$J$14,AC$20,$J$16,$J$17,$I150,AC$21)</f>
        <v>0</v>
      </c>
      <c r="AD150" s="7">
        <f ca="1">_xll.DBR($I$9,$J$13,$J$15,$J$14,AD$20,$J$16,$J$17,$I150,AD$21)</f>
        <v>0</v>
      </c>
    </row>
    <row r="151" spans="1:30" x14ac:dyDescent="0.25">
      <c r="A151">
        <f ca="1">IF(_xll.TM1RPTELISCONSOLIDATED($I$22,$I151),IF(_xll.TM1RPTELLEV($I$22,$I151)&lt;=3,_xll.TM1RPTELLEV($I$22,$I151),"D"),"N")</f>
        <v>2</v>
      </c>
      <c r="I151" s="17" t="s">
        <v>136</v>
      </c>
      <c r="J151" s="3">
        <f ca="1">_xll.DBR($I$9,$J$13,$J$15,$J$14,J$20,$J$16,$J$17,$I151,J$21)</f>
        <v>0</v>
      </c>
      <c r="K151" s="3">
        <f ca="1">_xll.DBR($I$9,$J$13,$J$15,$J$14,K$20,$J$16,$J$17,$I151,K$21)</f>
        <v>0</v>
      </c>
      <c r="L151" s="3">
        <f ca="1">_xll.DBRW($I$9,$J$13,$J$15,$J$14,L$20,$J$16,$J$17,$I151,L$21)</f>
        <v>0</v>
      </c>
      <c r="M151" s="3">
        <f ca="1">_xll.DBRW($I$9,$J$13,$J$15,$J$14,M$20,$J$16,$J$17,$I151,M$21)</f>
        <v>0</v>
      </c>
      <c r="N151" s="3">
        <f ca="1">_xll.DBRW($I$9,$J$13,$J$15,$J$14,N$20,$J$16,$J$17,$I151,N$21)</f>
        <v>0</v>
      </c>
      <c r="O151" s="3">
        <f ca="1">_xll.DBRW($I$9,$J$13,$J$15,$J$14,O$20,$J$16,$J$17,$I151,O$21)</f>
        <v>0</v>
      </c>
      <c r="P151" s="3">
        <f ca="1">_xll.DBRW($I$9,$J$13,$J$15,$J$14,P$20,$J$16,$J$17,$I151,P$21)</f>
        <v>0</v>
      </c>
      <c r="Q151" s="3">
        <f ca="1">_xll.DBRW($I$9,$J$13,$J$15,$J$14,Q$20,$J$16,$J$17,$I151,Q$21)</f>
        <v>0</v>
      </c>
      <c r="R151" s="3">
        <f ca="1">_xll.DBRW($I$9,$J$13,$J$15,$J$14,R$20,$J$16,$J$17,$I151,R$21)</f>
        <v>0</v>
      </c>
      <c r="S151" s="3" t="str">
        <f ca="1">_xll.DBR($I$9,$J$13,$J$15,$J$14,S$20,$J$16,$J$17,$I151,S$21)</f>
        <v>*KEY_ERR</v>
      </c>
      <c r="T151" s="3" t="str">
        <f ca="1">_xll.DBR($I$9,$J$13,$J$15,$J$14,T$20,$J$16,$J$17,$I151,T$21)</f>
        <v>*KEY_ERR</v>
      </c>
      <c r="U151" s="3" t="str">
        <f ca="1">_xll.DBR($I$9,$J$13,$J$15,$J$14,U$20,$J$16,$J$17,$I151,U$21)</f>
        <v>*KEY_ERR</v>
      </c>
      <c r="V151" s="3">
        <f ca="1">_xll.DBR($I$9,$J$13,$J$15,$J$14,V$20,$J$16,$J$17,$I151,V$21)</f>
        <v>0</v>
      </c>
      <c r="W151" s="3">
        <f ca="1">_xll.DBR($I$9,$J$13,$J$15,$J$14,W$20,$J$16,$J$17,$I151,W$21)</f>
        <v>0</v>
      </c>
      <c r="X151" s="3">
        <f ca="1">_xll.DBR($I$9,$J$13,$J$15,$J$14,X$20,$J$16,$J$17,$I151,X$21)</f>
        <v>0</v>
      </c>
      <c r="Y151" s="3">
        <f ca="1">_xll.DBR($I$9,$J$13,$J$15,$J$14,Y$20,$J$16,$J$17,$I151,Y$21)</f>
        <v>0</v>
      </c>
      <c r="Z151" s="3">
        <f ca="1">_xll.DBR($I$9,$J$13,$J$15,$J$14,Z$20,$J$16,$J$17,$I151,Z$21)</f>
        <v>0</v>
      </c>
      <c r="AA151" s="3">
        <f ca="1">_xll.DBR($I$9,$J$13,$J$15,$J$14,AA$20,$J$16,$J$17,$I151,AA$21)</f>
        <v>0</v>
      </c>
      <c r="AB151" s="3">
        <f ca="1">_xll.DBR($I$9,$J$13,$J$15,$J$14,AB$20,$J$16,$J$17,$I151,AB$21)</f>
        <v>0</v>
      </c>
      <c r="AC151" s="3">
        <f ca="1">_xll.DBR($I$9,$J$13,$J$15,$J$14,AC$20,$J$16,$J$17,$I151,AC$21)</f>
        <v>0</v>
      </c>
      <c r="AD151" s="3">
        <f ca="1">_xll.DBR($I$9,$J$13,$J$15,$J$14,AD$20,$J$16,$J$17,$I151,AD$21)</f>
        <v>0</v>
      </c>
    </row>
    <row r="152" spans="1:30" x14ac:dyDescent="0.25">
      <c r="A152">
        <f ca="1">IF(_xll.TM1RPTELISCONSOLIDATED($I$22,$I152),IF(_xll.TM1RPTELLEV($I$22,$I152)&lt;=3,_xll.TM1RPTELLEV($I$22,$I152),"D"),"N")</f>
        <v>3</v>
      </c>
      <c r="I152" s="22" t="s">
        <v>137</v>
      </c>
      <c r="J152" s="7">
        <f ca="1">_xll.DBR($I$9,$J$13,$J$15,$J$14,J$20,$J$16,$J$17,$I152,J$21)</f>
        <v>0</v>
      </c>
      <c r="K152" s="7">
        <f ca="1">_xll.DBR($I$9,$J$13,$J$15,$J$14,K$20,$J$16,$J$17,$I152,K$21)</f>
        <v>0</v>
      </c>
      <c r="L152" s="7">
        <f ca="1">_xll.DBRW($I$9,$J$13,$J$15,$J$14,L$20,$J$16,$J$17,$I152,L$21)</f>
        <v>0</v>
      </c>
      <c r="M152" s="7">
        <f ca="1">_xll.DBRW($I$9,$J$13,$J$15,$J$14,M$20,$J$16,$J$17,$I152,M$21)</f>
        <v>0</v>
      </c>
      <c r="N152" s="7">
        <f ca="1">_xll.DBRW($I$9,$J$13,$J$15,$J$14,N$20,$J$16,$J$17,$I152,N$21)</f>
        <v>0</v>
      </c>
      <c r="O152" s="7">
        <f ca="1">_xll.DBRW($I$9,$J$13,$J$15,$J$14,O$20,$J$16,$J$17,$I152,O$21)</f>
        <v>0</v>
      </c>
      <c r="P152" s="7">
        <f ca="1">_xll.DBRW($I$9,$J$13,$J$15,$J$14,P$20,$J$16,$J$17,$I152,P$21)</f>
        <v>0</v>
      </c>
      <c r="Q152" s="7">
        <f ca="1">_xll.DBRW($I$9,$J$13,$J$15,$J$14,Q$20,$J$16,$J$17,$I152,Q$21)</f>
        <v>0</v>
      </c>
      <c r="R152" s="7">
        <f ca="1">_xll.DBRW($I$9,$J$13,$J$15,$J$14,R$20,$J$16,$J$17,$I152,R$21)</f>
        <v>0</v>
      </c>
      <c r="S152" s="7" t="str">
        <f ca="1">_xll.DBR($I$9,$J$13,$J$15,$J$14,S$20,$J$16,$J$17,$I152,S$21)</f>
        <v>*KEY_ERR</v>
      </c>
      <c r="T152" s="7" t="str">
        <f ca="1">_xll.DBR($I$9,$J$13,$J$15,$J$14,T$20,$J$16,$J$17,$I152,T$21)</f>
        <v>*KEY_ERR</v>
      </c>
      <c r="U152" s="7" t="str">
        <f ca="1">_xll.DBR($I$9,$J$13,$J$15,$J$14,U$20,$J$16,$J$17,$I152,U$21)</f>
        <v>*KEY_ERR</v>
      </c>
      <c r="V152" s="7">
        <f ca="1">_xll.DBR($I$9,$J$13,$J$15,$J$14,V$20,$J$16,$J$17,$I152,V$21)</f>
        <v>0</v>
      </c>
      <c r="W152" s="7">
        <f ca="1">_xll.DBR($I$9,$J$13,$J$15,$J$14,W$20,$J$16,$J$17,$I152,W$21)</f>
        <v>0</v>
      </c>
      <c r="X152" s="7">
        <f ca="1">_xll.DBR($I$9,$J$13,$J$15,$J$14,X$20,$J$16,$J$17,$I152,X$21)</f>
        <v>0</v>
      </c>
      <c r="Y152" s="7">
        <f ca="1">_xll.DBR($I$9,$J$13,$J$15,$J$14,Y$20,$J$16,$J$17,$I152,Y$21)</f>
        <v>0</v>
      </c>
      <c r="Z152" s="7">
        <f ca="1">_xll.DBR($I$9,$J$13,$J$15,$J$14,Z$20,$J$16,$J$17,$I152,Z$21)</f>
        <v>0</v>
      </c>
      <c r="AA152" s="7">
        <f ca="1">_xll.DBR($I$9,$J$13,$J$15,$J$14,AA$20,$J$16,$J$17,$I152,AA$21)</f>
        <v>0</v>
      </c>
      <c r="AB152" s="7">
        <f ca="1">_xll.DBR($I$9,$J$13,$J$15,$J$14,AB$20,$J$16,$J$17,$I152,AB$21)</f>
        <v>0</v>
      </c>
      <c r="AC152" s="7">
        <f ca="1">_xll.DBR($I$9,$J$13,$J$15,$J$14,AC$20,$J$16,$J$17,$I152,AC$21)</f>
        <v>0</v>
      </c>
      <c r="AD152" s="7">
        <f ca="1">_xll.DBR($I$9,$J$13,$J$15,$J$14,AD$20,$J$16,$J$17,$I152,AD$21)</f>
        <v>0</v>
      </c>
    </row>
    <row r="153" spans="1:30" x14ac:dyDescent="0.25">
      <c r="A153">
        <f ca="1">IF(_xll.TM1RPTELISCONSOLIDATED($I$22,$I153),IF(_xll.TM1RPTELLEV($I$22,$I153)&lt;=3,_xll.TM1RPTELLEV($I$22,$I153),"D"),"N")</f>
        <v>3</v>
      </c>
      <c r="I153" s="22" t="s">
        <v>138</v>
      </c>
      <c r="J153" s="7">
        <f ca="1">_xll.DBR($I$9,$J$13,$J$15,$J$14,J$20,$J$16,$J$17,$I153,J$21)</f>
        <v>0</v>
      </c>
      <c r="K153" s="7">
        <f ca="1">_xll.DBR($I$9,$J$13,$J$15,$J$14,K$20,$J$16,$J$17,$I153,K$21)</f>
        <v>0</v>
      </c>
      <c r="L153" s="7">
        <f ca="1">_xll.DBRW($I$9,$J$13,$J$15,$J$14,L$20,$J$16,$J$17,$I153,L$21)</f>
        <v>0</v>
      </c>
      <c r="M153" s="7">
        <f ca="1">_xll.DBRW($I$9,$J$13,$J$15,$J$14,M$20,$J$16,$J$17,$I153,M$21)</f>
        <v>0</v>
      </c>
      <c r="N153" s="7">
        <f ca="1">_xll.DBRW($I$9,$J$13,$J$15,$J$14,N$20,$J$16,$J$17,$I153,N$21)</f>
        <v>0</v>
      </c>
      <c r="O153" s="7">
        <f ca="1">_xll.DBRW($I$9,$J$13,$J$15,$J$14,O$20,$J$16,$J$17,$I153,O$21)</f>
        <v>0</v>
      </c>
      <c r="P153" s="7">
        <f ca="1">_xll.DBRW($I$9,$J$13,$J$15,$J$14,P$20,$J$16,$J$17,$I153,P$21)</f>
        <v>0</v>
      </c>
      <c r="Q153" s="7">
        <f ca="1">_xll.DBRW($I$9,$J$13,$J$15,$J$14,Q$20,$J$16,$J$17,$I153,Q$21)</f>
        <v>0</v>
      </c>
      <c r="R153" s="7">
        <f ca="1">_xll.DBRW($I$9,$J$13,$J$15,$J$14,R$20,$J$16,$J$17,$I153,R$21)</f>
        <v>0</v>
      </c>
      <c r="S153" s="7" t="str">
        <f ca="1">_xll.DBR($I$9,$J$13,$J$15,$J$14,S$20,$J$16,$J$17,$I153,S$21)</f>
        <v>*KEY_ERR</v>
      </c>
      <c r="T153" s="7" t="str">
        <f ca="1">_xll.DBR($I$9,$J$13,$J$15,$J$14,T$20,$J$16,$J$17,$I153,T$21)</f>
        <v>*KEY_ERR</v>
      </c>
      <c r="U153" s="7" t="str">
        <f ca="1">_xll.DBR($I$9,$J$13,$J$15,$J$14,U$20,$J$16,$J$17,$I153,U$21)</f>
        <v>*KEY_ERR</v>
      </c>
      <c r="V153" s="7">
        <f ca="1">_xll.DBR($I$9,$J$13,$J$15,$J$14,V$20,$J$16,$J$17,$I153,V$21)</f>
        <v>0</v>
      </c>
      <c r="W153" s="7">
        <f ca="1">_xll.DBR($I$9,$J$13,$J$15,$J$14,W$20,$J$16,$J$17,$I153,W$21)</f>
        <v>0</v>
      </c>
      <c r="X153" s="7">
        <f ca="1">_xll.DBR($I$9,$J$13,$J$15,$J$14,X$20,$J$16,$J$17,$I153,X$21)</f>
        <v>0</v>
      </c>
      <c r="Y153" s="7">
        <f ca="1">_xll.DBR($I$9,$J$13,$J$15,$J$14,Y$20,$J$16,$J$17,$I153,Y$21)</f>
        <v>0</v>
      </c>
      <c r="Z153" s="7">
        <f ca="1">_xll.DBR($I$9,$J$13,$J$15,$J$14,Z$20,$J$16,$J$17,$I153,Z$21)</f>
        <v>0</v>
      </c>
      <c r="AA153" s="7">
        <f ca="1">_xll.DBR($I$9,$J$13,$J$15,$J$14,AA$20,$J$16,$J$17,$I153,AA$21)</f>
        <v>0</v>
      </c>
      <c r="AB153" s="7">
        <f ca="1">_xll.DBR($I$9,$J$13,$J$15,$J$14,AB$20,$J$16,$J$17,$I153,AB$21)</f>
        <v>0</v>
      </c>
      <c r="AC153" s="7">
        <f ca="1">_xll.DBR($I$9,$J$13,$J$15,$J$14,AC$20,$J$16,$J$17,$I153,AC$21)</f>
        <v>0</v>
      </c>
      <c r="AD153" s="7">
        <f ca="1">_xll.DBR($I$9,$J$13,$J$15,$J$14,AD$20,$J$16,$J$17,$I153,AD$21)</f>
        <v>0</v>
      </c>
    </row>
    <row r="154" spans="1:30" x14ac:dyDescent="0.25">
      <c r="A154">
        <f ca="1">IF(_xll.TM1RPTELISCONSOLIDATED($I$22,$I154),IF(_xll.TM1RPTELLEV($I$22,$I154)&lt;=3,_xll.TM1RPTELLEV($I$22,$I154),"D"),"N")</f>
        <v>3</v>
      </c>
      <c r="I154" s="22" t="s">
        <v>139</v>
      </c>
      <c r="J154" s="7">
        <f ca="1">_xll.DBR($I$9,$J$13,$J$15,$J$14,J$20,$J$16,$J$17,$I154,J$21)</f>
        <v>0</v>
      </c>
      <c r="K154" s="7">
        <f ca="1">_xll.DBR($I$9,$J$13,$J$15,$J$14,K$20,$J$16,$J$17,$I154,K$21)</f>
        <v>0</v>
      </c>
      <c r="L154" s="7">
        <f ca="1">_xll.DBRW($I$9,$J$13,$J$15,$J$14,L$20,$J$16,$J$17,$I154,L$21)</f>
        <v>0</v>
      </c>
      <c r="M154" s="7">
        <f ca="1">_xll.DBRW($I$9,$J$13,$J$15,$J$14,M$20,$J$16,$J$17,$I154,M$21)</f>
        <v>0</v>
      </c>
      <c r="N154" s="7">
        <f ca="1">_xll.DBRW($I$9,$J$13,$J$15,$J$14,N$20,$J$16,$J$17,$I154,N$21)</f>
        <v>0</v>
      </c>
      <c r="O154" s="7">
        <f ca="1">_xll.DBRW($I$9,$J$13,$J$15,$J$14,O$20,$J$16,$J$17,$I154,O$21)</f>
        <v>0</v>
      </c>
      <c r="P154" s="7">
        <f ca="1">_xll.DBRW($I$9,$J$13,$J$15,$J$14,P$20,$J$16,$J$17,$I154,P$21)</f>
        <v>0</v>
      </c>
      <c r="Q154" s="7">
        <f ca="1">_xll.DBRW($I$9,$J$13,$J$15,$J$14,Q$20,$J$16,$J$17,$I154,Q$21)</f>
        <v>0</v>
      </c>
      <c r="R154" s="7">
        <f ca="1">_xll.DBRW($I$9,$J$13,$J$15,$J$14,R$20,$J$16,$J$17,$I154,R$21)</f>
        <v>0</v>
      </c>
      <c r="S154" s="7" t="str">
        <f ca="1">_xll.DBR($I$9,$J$13,$J$15,$J$14,S$20,$J$16,$J$17,$I154,S$21)</f>
        <v>*KEY_ERR</v>
      </c>
      <c r="T154" s="7" t="str">
        <f ca="1">_xll.DBR($I$9,$J$13,$J$15,$J$14,T$20,$J$16,$J$17,$I154,T$21)</f>
        <v>*KEY_ERR</v>
      </c>
      <c r="U154" s="7" t="str">
        <f ca="1">_xll.DBR($I$9,$J$13,$J$15,$J$14,U$20,$J$16,$J$17,$I154,U$21)</f>
        <v>*KEY_ERR</v>
      </c>
      <c r="V154" s="7">
        <f ca="1">_xll.DBR($I$9,$J$13,$J$15,$J$14,V$20,$J$16,$J$17,$I154,V$21)</f>
        <v>0</v>
      </c>
      <c r="W154" s="7">
        <f ca="1">_xll.DBR($I$9,$J$13,$J$15,$J$14,W$20,$J$16,$J$17,$I154,W$21)</f>
        <v>0</v>
      </c>
      <c r="X154" s="7">
        <f ca="1">_xll.DBR($I$9,$J$13,$J$15,$J$14,X$20,$J$16,$J$17,$I154,X$21)</f>
        <v>0</v>
      </c>
      <c r="Y154" s="7">
        <f ca="1">_xll.DBR($I$9,$J$13,$J$15,$J$14,Y$20,$J$16,$J$17,$I154,Y$21)</f>
        <v>0</v>
      </c>
      <c r="Z154" s="7">
        <f ca="1">_xll.DBR($I$9,$J$13,$J$15,$J$14,Z$20,$J$16,$J$17,$I154,Z$21)</f>
        <v>0</v>
      </c>
      <c r="AA154" s="7">
        <f ca="1">_xll.DBR($I$9,$J$13,$J$15,$J$14,AA$20,$J$16,$J$17,$I154,AA$21)</f>
        <v>0</v>
      </c>
      <c r="AB154" s="7">
        <f ca="1">_xll.DBR($I$9,$J$13,$J$15,$J$14,AB$20,$J$16,$J$17,$I154,AB$21)</f>
        <v>0</v>
      </c>
      <c r="AC154" s="7">
        <f ca="1">_xll.DBR($I$9,$J$13,$J$15,$J$14,AC$20,$J$16,$J$17,$I154,AC$21)</f>
        <v>0</v>
      </c>
      <c r="AD154" s="7">
        <f ca="1">_xll.DBR($I$9,$J$13,$J$15,$J$14,AD$20,$J$16,$J$17,$I154,AD$21)</f>
        <v>0</v>
      </c>
    </row>
    <row r="155" spans="1:30" x14ac:dyDescent="0.25">
      <c r="A155">
        <f ca="1">IF(_xll.TM1RPTELISCONSOLIDATED($I$22,$I155),IF(_xll.TM1RPTELLEV($I$22,$I155)&lt;=3,_xll.TM1RPTELLEV($I$22,$I155),"D"),"N")</f>
        <v>3</v>
      </c>
      <c r="I155" s="22" t="s">
        <v>205</v>
      </c>
      <c r="J155" s="7">
        <f ca="1">_xll.DBR($I$9,$J$13,$J$15,$J$14,J$20,$J$16,$J$17,$I155,J$21)</f>
        <v>0</v>
      </c>
      <c r="K155" s="7">
        <f ca="1">_xll.DBR($I$9,$J$13,$J$15,$J$14,K$20,$J$16,$J$17,$I155,K$21)</f>
        <v>0</v>
      </c>
      <c r="L155" s="7">
        <f ca="1">_xll.DBRW($I$9,$J$13,$J$15,$J$14,L$20,$J$16,$J$17,$I155,L$21)</f>
        <v>0</v>
      </c>
      <c r="M155" s="7">
        <f ca="1">_xll.DBRW($I$9,$J$13,$J$15,$J$14,M$20,$J$16,$J$17,$I155,M$21)</f>
        <v>0</v>
      </c>
      <c r="N155" s="7">
        <f ca="1">_xll.DBRW($I$9,$J$13,$J$15,$J$14,N$20,$J$16,$J$17,$I155,N$21)</f>
        <v>0</v>
      </c>
      <c r="O155" s="7">
        <f ca="1">_xll.DBRW($I$9,$J$13,$J$15,$J$14,O$20,$J$16,$J$17,$I155,O$21)</f>
        <v>0</v>
      </c>
      <c r="P155" s="7">
        <f ca="1">_xll.DBRW($I$9,$J$13,$J$15,$J$14,P$20,$J$16,$J$17,$I155,P$21)</f>
        <v>0</v>
      </c>
      <c r="Q155" s="7">
        <f ca="1">_xll.DBRW($I$9,$J$13,$J$15,$J$14,Q$20,$J$16,$J$17,$I155,Q$21)</f>
        <v>0</v>
      </c>
      <c r="R155" s="7">
        <f ca="1">_xll.DBRW($I$9,$J$13,$J$15,$J$14,R$20,$J$16,$J$17,$I155,R$21)</f>
        <v>0</v>
      </c>
      <c r="S155" s="7" t="str">
        <f ca="1">_xll.DBR($I$9,$J$13,$J$15,$J$14,S$20,$J$16,$J$17,$I155,S$21)</f>
        <v>*KEY_ERR</v>
      </c>
      <c r="T155" s="7" t="str">
        <f ca="1">_xll.DBR($I$9,$J$13,$J$15,$J$14,T$20,$J$16,$J$17,$I155,T$21)</f>
        <v>*KEY_ERR</v>
      </c>
      <c r="U155" s="7" t="str">
        <f ca="1">_xll.DBR($I$9,$J$13,$J$15,$J$14,U$20,$J$16,$J$17,$I155,U$21)</f>
        <v>*KEY_ERR</v>
      </c>
      <c r="V155" s="7">
        <f ca="1">_xll.DBR($I$9,$J$13,$J$15,$J$14,V$20,$J$16,$J$17,$I155,V$21)</f>
        <v>0</v>
      </c>
      <c r="W155" s="7">
        <f ca="1">_xll.DBR($I$9,$J$13,$J$15,$J$14,W$20,$J$16,$J$17,$I155,W$21)</f>
        <v>0</v>
      </c>
      <c r="X155" s="7">
        <f ca="1">_xll.DBR($I$9,$J$13,$J$15,$J$14,X$20,$J$16,$J$17,$I155,X$21)</f>
        <v>0</v>
      </c>
      <c r="Y155" s="7">
        <f ca="1">_xll.DBR($I$9,$J$13,$J$15,$J$14,Y$20,$J$16,$J$17,$I155,Y$21)</f>
        <v>0</v>
      </c>
      <c r="Z155" s="7">
        <f ca="1">_xll.DBR($I$9,$J$13,$J$15,$J$14,Z$20,$J$16,$J$17,$I155,Z$21)</f>
        <v>0</v>
      </c>
      <c r="AA155" s="7">
        <f ca="1">_xll.DBR($I$9,$J$13,$J$15,$J$14,AA$20,$J$16,$J$17,$I155,AA$21)</f>
        <v>0</v>
      </c>
      <c r="AB155" s="7">
        <f ca="1">_xll.DBR($I$9,$J$13,$J$15,$J$14,AB$20,$J$16,$J$17,$I155,AB$21)</f>
        <v>0</v>
      </c>
      <c r="AC155" s="7">
        <f ca="1">_xll.DBR($I$9,$J$13,$J$15,$J$14,AC$20,$J$16,$J$17,$I155,AC$21)</f>
        <v>0</v>
      </c>
      <c r="AD155" s="7">
        <f ca="1">_xll.DBR($I$9,$J$13,$J$15,$J$14,AD$20,$J$16,$J$17,$I155,AD$21)</f>
        <v>0</v>
      </c>
    </row>
    <row r="156" spans="1:30" x14ac:dyDescent="0.25">
      <c r="A156">
        <f ca="1">IF(_xll.TM1RPTELISCONSOLIDATED($I$22,$I156),IF(_xll.TM1RPTELLEV($I$22,$I156)&lt;=3,_xll.TM1RPTELLEV($I$22,$I156),"D"),"N")</f>
        <v>2</v>
      </c>
      <c r="I156" s="17" t="s">
        <v>141</v>
      </c>
      <c r="J156" s="3">
        <f ca="1">_xll.DBR($I$9,$J$13,$J$15,$J$14,J$20,$J$16,$J$17,$I156,J$21)</f>
        <v>0</v>
      </c>
      <c r="K156" s="3">
        <f ca="1">_xll.DBR($I$9,$J$13,$J$15,$J$14,K$20,$J$16,$J$17,$I156,K$21)</f>
        <v>0</v>
      </c>
      <c r="L156" s="3">
        <f ca="1">_xll.DBRW($I$9,$J$13,$J$15,$J$14,L$20,$J$16,$J$17,$I156,L$21)</f>
        <v>0</v>
      </c>
      <c r="M156" s="3">
        <f ca="1">_xll.DBRW($I$9,$J$13,$J$15,$J$14,M$20,$J$16,$J$17,$I156,M$21)</f>
        <v>0</v>
      </c>
      <c r="N156" s="3">
        <f ca="1">_xll.DBRW($I$9,$J$13,$J$15,$J$14,N$20,$J$16,$J$17,$I156,N$21)</f>
        <v>0</v>
      </c>
      <c r="O156" s="3">
        <f ca="1">_xll.DBRW($I$9,$J$13,$J$15,$J$14,O$20,$J$16,$J$17,$I156,O$21)</f>
        <v>0</v>
      </c>
      <c r="P156" s="3">
        <f ca="1">_xll.DBRW($I$9,$J$13,$J$15,$J$14,P$20,$J$16,$J$17,$I156,P$21)</f>
        <v>0</v>
      </c>
      <c r="Q156" s="3">
        <f ca="1">_xll.DBRW($I$9,$J$13,$J$15,$J$14,Q$20,$J$16,$J$17,$I156,Q$21)</f>
        <v>0</v>
      </c>
      <c r="R156" s="3">
        <f ca="1">_xll.DBRW($I$9,$J$13,$J$15,$J$14,R$20,$J$16,$J$17,$I156,R$21)</f>
        <v>0</v>
      </c>
      <c r="S156" s="3" t="str">
        <f ca="1">_xll.DBR($I$9,$J$13,$J$15,$J$14,S$20,$J$16,$J$17,$I156,S$21)</f>
        <v>*KEY_ERR</v>
      </c>
      <c r="T156" s="3" t="str">
        <f ca="1">_xll.DBR($I$9,$J$13,$J$15,$J$14,T$20,$J$16,$J$17,$I156,T$21)</f>
        <v>*KEY_ERR</v>
      </c>
      <c r="U156" s="3" t="str">
        <f ca="1">_xll.DBR($I$9,$J$13,$J$15,$J$14,U$20,$J$16,$J$17,$I156,U$21)</f>
        <v>*KEY_ERR</v>
      </c>
      <c r="V156" s="3">
        <f ca="1">_xll.DBR($I$9,$J$13,$J$15,$J$14,V$20,$J$16,$J$17,$I156,V$21)</f>
        <v>0</v>
      </c>
      <c r="W156" s="3">
        <f ca="1">_xll.DBR($I$9,$J$13,$J$15,$J$14,W$20,$J$16,$J$17,$I156,W$21)</f>
        <v>0</v>
      </c>
      <c r="X156" s="3">
        <f ca="1">_xll.DBR($I$9,$J$13,$J$15,$J$14,X$20,$J$16,$J$17,$I156,X$21)</f>
        <v>0</v>
      </c>
      <c r="Y156" s="3">
        <f ca="1">_xll.DBR($I$9,$J$13,$J$15,$J$14,Y$20,$J$16,$J$17,$I156,Y$21)</f>
        <v>0</v>
      </c>
      <c r="Z156" s="3">
        <f ca="1">_xll.DBR($I$9,$J$13,$J$15,$J$14,Z$20,$J$16,$J$17,$I156,Z$21)</f>
        <v>0</v>
      </c>
      <c r="AA156" s="3">
        <f ca="1">_xll.DBR($I$9,$J$13,$J$15,$J$14,AA$20,$J$16,$J$17,$I156,AA$21)</f>
        <v>0</v>
      </c>
      <c r="AB156" s="3">
        <f ca="1">_xll.DBR($I$9,$J$13,$J$15,$J$14,AB$20,$J$16,$J$17,$I156,AB$21)</f>
        <v>0</v>
      </c>
      <c r="AC156" s="3">
        <f ca="1">_xll.DBR($I$9,$J$13,$J$15,$J$14,AC$20,$J$16,$J$17,$I156,AC$21)</f>
        <v>0</v>
      </c>
      <c r="AD156" s="3">
        <f ca="1">_xll.DBR($I$9,$J$13,$J$15,$J$14,AD$20,$J$16,$J$17,$I156,AD$21)</f>
        <v>0</v>
      </c>
    </row>
    <row r="157" spans="1:30" x14ac:dyDescent="0.25">
      <c r="A157">
        <f ca="1">IF(_xll.TM1RPTELISCONSOLIDATED($I$22,$I157),IF(_xll.TM1RPTELLEV($I$22,$I157)&lt;=3,_xll.TM1RPTELLEV($I$22,$I157),"D"),"N")</f>
        <v>3</v>
      </c>
      <c r="I157" s="22" t="s">
        <v>142</v>
      </c>
      <c r="J157" s="7">
        <f ca="1">_xll.DBR($I$9,$J$13,$J$15,$J$14,J$20,$J$16,$J$17,$I157,J$21)</f>
        <v>0</v>
      </c>
      <c r="K157" s="7">
        <f ca="1">_xll.DBR($I$9,$J$13,$J$15,$J$14,K$20,$J$16,$J$17,$I157,K$21)</f>
        <v>0</v>
      </c>
      <c r="L157" s="7">
        <f ca="1">_xll.DBRW($I$9,$J$13,$J$15,$J$14,L$20,$J$16,$J$17,$I157,L$21)</f>
        <v>0</v>
      </c>
      <c r="M157" s="7">
        <f ca="1">_xll.DBRW($I$9,$J$13,$J$15,$J$14,M$20,$J$16,$J$17,$I157,M$21)</f>
        <v>0</v>
      </c>
      <c r="N157" s="7">
        <f ca="1">_xll.DBRW($I$9,$J$13,$J$15,$J$14,N$20,$J$16,$J$17,$I157,N$21)</f>
        <v>0</v>
      </c>
      <c r="O157" s="7">
        <f ca="1">_xll.DBRW($I$9,$J$13,$J$15,$J$14,O$20,$J$16,$J$17,$I157,O$21)</f>
        <v>0</v>
      </c>
      <c r="P157" s="7">
        <f ca="1">_xll.DBRW($I$9,$J$13,$J$15,$J$14,P$20,$J$16,$J$17,$I157,P$21)</f>
        <v>0</v>
      </c>
      <c r="Q157" s="7">
        <f ca="1">_xll.DBRW($I$9,$J$13,$J$15,$J$14,Q$20,$J$16,$J$17,$I157,Q$21)</f>
        <v>0</v>
      </c>
      <c r="R157" s="7">
        <f ca="1">_xll.DBRW($I$9,$J$13,$J$15,$J$14,R$20,$J$16,$J$17,$I157,R$21)</f>
        <v>0</v>
      </c>
      <c r="S157" s="7" t="str">
        <f ca="1">_xll.DBR($I$9,$J$13,$J$15,$J$14,S$20,$J$16,$J$17,$I157,S$21)</f>
        <v>*KEY_ERR</v>
      </c>
      <c r="T157" s="7" t="str">
        <f ca="1">_xll.DBR($I$9,$J$13,$J$15,$J$14,T$20,$J$16,$J$17,$I157,T$21)</f>
        <v>*KEY_ERR</v>
      </c>
      <c r="U157" s="7" t="str">
        <f ca="1">_xll.DBR($I$9,$J$13,$J$15,$J$14,U$20,$J$16,$J$17,$I157,U$21)</f>
        <v>*KEY_ERR</v>
      </c>
      <c r="V157" s="7">
        <f ca="1">_xll.DBR($I$9,$J$13,$J$15,$J$14,V$20,$J$16,$J$17,$I157,V$21)</f>
        <v>0</v>
      </c>
      <c r="W157" s="7">
        <f ca="1">_xll.DBR($I$9,$J$13,$J$15,$J$14,W$20,$J$16,$J$17,$I157,W$21)</f>
        <v>0</v>
      </c>
      <c r="X157" s="7">
        <f ca="1">_xll.DBR($I$9,$J$13,$J$15,$J$14,X$20,$J$16,$J$17,$I157,X$21)</f>
        <v>0</v>
      </c>
      <c r="Y157" s="7">
        <f ca="1">_xll.DBR($I$9,$J$13,$J$15,$J$14,Y$20,$J$16,$J$17,$I157,Y$21)</f>
        <v>0</v>
      </c>
      <c r="Z157" s="7">
        <f ca="1">_xll.DBR($I$9,$J$13,$J$15,$J$14,Z$20,$J$16,$J$17,$I157,Z$21)</f>
        <v>0</v>
      </c>
      <c r="AA157" s="7">
        <f ca="1">_xll.DBR($I$9,$J$13,$J$15,$J$14,AA$20,$J$16,$J$17,$I157,AA$21)</f>
        <v>0</v>
      </c>
      <c r="AB157" s="7">
        <f ca="1">_xll.DBR($I$9,$J$13,$J$15,$J$14,AB$20,$J$16,$J$17,$I157,AB$21)</f>
        <v>0</v>
      </c>
      <c r="AC157" s="7">
        <f ca="1">_xll.DBR($I$9,$J$13,$J$15,$J$14,AC$20,$J$16,$J$17,$I157,AC$21)</f>
        <v>0</v>
      </c>
      <c r="AD157" s="7">
        <f ca="1">_xll.DBR($I$9,$J$13,$J$15,$J$14,AD$20,$J$16,$J$17,$I157,AD$21)</f>
        <v>0</v>
      </c>
    </row>
    <row r="158" spans="1:30" x14ac:dyDescent="0.25">
      <c r="A158">
        <f ca="1">IF(_xll.TM1RPTELISCONSOLIDATED($I$22,$I158),IF(_xll.TM1RPTELLEV($I$22,$I158)&lt;=3,_xll.TM1RPTELLEV($I$22,$I158),"D"),"N")</f>
        <v>3</v>
      </c>
      <c r="I158" s="22" t="s">
        <v>143</v>
      </c>
      <c r="J158" s="7">
        <f ca="1">_xll.DBR($I$9,$J$13,$J$15,$J$14,J$20,$J$16,$J$17,$I158,J$21)</f>
        <v>0</v>
      </c>
      <c r="K158" s="7">
        <f ca="1">_xll.DBR($I$9,$J$13,$J$15,$J$14,K$20,$J$16,$J$17,$I158,K$21)</f>
        <v>0</v>
      </c>
      <c r="L158" s="7">
        <f ca="1">_xll.DBRW($I$9,$J$13,$J$15,$J$14,L$20,$J$16,$J$17,$I158,L$21)</f>
        <v>0</v>
      </c>
      <c r="M158" s="7">
        <f ca="1">_xll.DBRW($I$9,$J$13,$J$15,$J$14,M$20,$J$16,$J$17,$I158,M$21)</f>
        <v>0</v>
      </c>
      <c r="N158" s="7">
        <f ca="1">_xll.DBRW($I$9,$J$13,$J$15,$J$14,N$20,$J$16,$J$17,$I158,N$21)</f>
        <v>0</v>
      </c>
      <c r="O158" s="7">
        <f ca="1">_xll.DBRW($I$9,$J$13,$J$15,$J$14,O$20,$J$16,$J$17,$I158,O$21)</f>
        <v>0</v>
      </c>
      <c r="P158" s="7">
        <f ca="1">_xll.DBRW($I$9,$J$13,$J$15,$J$14,P$20,$J$16,$J$17,$I158,P$21)</f>
        <v>0</v>
      </c>
      <c r="Q158" s="7">
        <f ca="1">_xll.DBRW($I$9,$J$13,$J$15,$J$14,Q$20,$J$16,$J$17,$I158,Q$21)</f>
        <v>0</v>
      </c>
      <c r="R158" s="7">
        <f ca="1">_xll.DBRW($I$9,$J$13,$J$15,$J$14,R$20,$J$16,$J$17,$I158,R$21)</f>
        <v>0</v>
      </c>
      <c r="S158" s="7" t="str">
        <f ca="1">_xll.DBR($I$9,$J$13,$J$15,$J$14,S$20,$J$16,$J$17,$I158,S$21)</f>
        <v>*KEY_ERR</v>
      </c>
      <c r="T158" s="7" t="str">
        <f ca="1">_xll.DBR($I$9,$J$13,$J$15,$J$14,T$20,$J$16,$J$17,$I158,T$21)</f>
        <v>*KEY_ERR</v>
      </c>
      <c r="U158" s="7" t="str">
        <f ca="1">_xll.DBR($I$9,$J$13,$J$15,$J$14,U$20,$J$16,$J$17,$I158,U$21)</f>
        <v>*KEY_ERR</v>
      </c>
      <c r="V158" s="7">
        <f ca="1">_xll.DBR($I$9,$J$13,$J$15,$J$14,V$20,$J$16,$J$17,$I158,V$21)</f>
        <v>0</v>
      </c>
      <c r="W158" s="7">
        <f ca="1">_xll.DBR($I$9,$J$13,$J$15,$J$14,W$20,$J$16,$J$17,$I158,W$21)</f>
        <v>0</v>
      </c>
      <c r="X158" s="7">
        <f ca="1">_xll.DBR($I$9,$J$13,$J$15,$J$14,X$20,$J$16,$J$17,$I158,X$21)</f>
        <v>0</v>
      </c>
      <c r="Y158" s="7">
        <f ca="1">_xll.DBR($I$9,$J$13,$J$15,$J$14,Y$20,$J$16,$J$17,$I158,Y$21)</f>
        <v>0</v>
      </c>
      <c r="Z158" s="7">
        <f ca="1">_xll.DBR($I$9,$J$13,$J$15,$J$14,Z$20,$J$16,$J$17,$I158,Z$21)</f>
        <v>0</v>
      </c>
      <c r="AA158" s="7">
        <f ca="1">_xll.DBR($I$9,$J$13,$J$15,$J$14,AA$20,$J$16,$J$17,$I158,AA$21)</f>
        <v>0</v>
      </c>
      <c r="AB158" s="7">
        <f ca="1">_xll.DBR($I$9,$J$13,$J$15,$J$14,AB$20,$J$16,$J$17,$I158,AB$21)</f>
        <v>0</v>
      </c>
      <c r="AC158" s="7">
        <f ca="1">_xll.DBR($I$9,$J$13,$J$15,$J$14,AC$20,$J$16,$J$17,$I158,AC$21)</f>
        <v>0</v>
      </c>
      <c r="AD158" s="7">
        <f ca="1">_xll.DBR($I$9,$J$13,$J$15,$J$14,AD$20,$J$16,$J$17,$I158,AD$21)</f>
        <v>0</v>
      </c>
    </row>
    <row r="159" spans="1:30" x14ac:dyDescent="0.25">
      <c r="A159">
        <f ca="1">IF(_xll.TM1RPTELISCONSOLIDATED($I$22,$I159),IF(_xll.TM1RPTELLEV($I$22,$I159)&lt;=3,_xll.TM1RPTELLEV($I$22,$I159),"D"),"N")</f>
        <v>3</v>
      </c>
      <c r="I159" s="22" t="s">
        <v>206</v>
      </c>
      <c r="J159" s="7">
        <f ca="1">_xll.DBR($I$9,$J$13,$J$15,$J$14,J$20,$J$16,$J$17,$I159,J$21)</f>
        <v>0</v>
      </c>
      <c r="K159" s="7">
        <f ca="1">_xll.DBR($I$9,$J$13,$J$15,$J$14,K$20,$J$16,$J$17,$I159,K$21)</f>
        <v>0</v>
      </c>
      <c r="L159" s="7">
        <f ca="1">_xll.DBRW($I$9,$J$13,$J$15,$J$14,L$20,$J$16,$J$17,$I159,L$21)</f>
        <v>0</v>
      </c>
      <c r="M159" s="7">
        <f ca="1">_xll.DBRW($I$9,$J$13,$J$15,$J$14,M$20,$J$16,$J$17,$I159,M$21)</f>
        <v>0</v>
      </c>
      <c r="N159" s="7">
        <f ca="1">_xll.DBRW($I$9,$J$13,$J$15,$J$14,N$20,$J$16,$J$17,$I159,N$21)</f>
        <v>0</v>
      </c>
      <c r="O159" s="7">
        <f ca="1">_xll.DBRW($I$9,$J$13,$J$15,$J$14,O$20,$J$16,$J$17,$I159,O$21)</f>
        <v>0</v>
      </c>
      <c r="P159" s="7">
        <f ca="1">_xll.DBRW($I$9,$J$13,$J$15,$J$14,P$20,$J$16,$J$17,$I159,P$21)</f>
        <v>0</v>
      </c>
      <c r="Q159" s="7">
        <f ca="1">_xll.DBRW($I$9,$J$13,$J$15,$J$14,Q$20,$J$16,$J$17,$I159,Q$21)</f>
        <v>0</v>
      </c>
      <c r="R159" s="7">
        <f ca="1">_xll.DBRW($I$9,$J$13,$J$15,$J$14,R$20,$J$16,$J$17,$I159,R$21)</f>
        <v>0</v>
      </c>
      <c r="S159" s="7" t="str">
        <f ca="1">_xll.DBR($I$9,$J$13,$J$15,$J$14,S$20,$J$16,$J$17,$I159,S$21)</f>
        <v>*KEY_ERR</v>
      </c>
      <c r="T159" s="7" t="str">
        <f ca="1">_xll.DBR($I$9,$J$13,$J$15,$J$14,T$20,$J$16,$J$17,$I159,T$21)</f>
        <v>*KEY_ERR</v>
      </c>
      <c r="U159" s="7" t="str">
        <f ca="1">_xll.DBR($I$9,$J$13,$J$15,$J$14,U$20,$J$16,$J$17,$I159,U$21)</f>
        <v>*KEY_ERR</v>
      </c>
      <c r="V159" s="7">
        <f ca="1">_xll.DBR($I$9,$J$13,$J$15,$J$14,V$20,$J$16,$J$17,$I159,V$21)</f>
        <v>0</v>
      </c>
      <c r="W159" s="7">
        <f ca="1">_xll.DBR($I$9,$J$13,$J$15,$J$14,W$20,$J$16,$J$17,$I159,W$21)</f>
        <v>0</v>
      </c>
      <c r="X159" s="7">
        <f ca="1">_xll.DBR($I$9,$J$13,$J$15,$J$14,X$20,$J$16,$J$17,$I159,X$21)</f>
        <v>0</v>
      </c>
      <c r="Y159" s="7">
        <f ca="1">_xll.DBR($I$9,$J$13,$J$15,$J$14,Y$20,$J$16,$J$17,$I159,Y$21)</f>
        <v>0</v>
      </c>
      <c r="Z159" s="7">
        <f ca="1">_xll.DBR($I$9,$J$13,$J$15,$J$14,Z$20,$J$16,$J$17,$I159,Z$21)</f>
        <v>0</v>
      </c>
      <c r="AA159" s="7">
        <f ca="1">_xll.DBR($I$9,$J$13,$J$15,$J$14,AA$20,$J$16,$J$17,$I159,AA$21)</f>
        <v>0</v>
      </c>
      <c r="AB159" s="7">
        <f ca="1">_xll.DBR($I$9,$J$13,$J$15,$J$14,AB$20,$J$16,$J$17,$I159,AB$21)</f>
        <v>0</v>
      </c>
      <c r="AC159" s="7">
        <f ca="1">_xll.DBR($I$9,$J$13,$J$15,$J$14,AC$20,$J$16,$J$17,$I159,AC$21)</f>
        <v>0</v>
      </c>
      <c r="AD159" s="7">
        <f ca="1">_xll.DBR($I$9,$J$13,$J$15,$J$14,AD$20,$J$16,$J$17,$I159,AD$21)</f>
        <v>0</v>
      </c>
    </row>
    <row r="160" spans="1:30" x14ac:dyDescent="0.25">
      <c r="A160">
        <f ca="1">IF(_xll.TM1RPTELISCONSOLIDATED($I$22,$I160),IF(_xll.TM1RPTELLEV($I$22,$I160)&lt;=3,_xll.TM1RPTELLEV($I$22,$I160),"D"),"N")</f>
        <v>2</v>
      </c>
      <c r="I160" s="17" t="s">
        <v>145</v>
      </c>
      <c r="J160" s="3">
        <f ca="1">_xll.DBR($I$9,$J$13,$J$15,$J$14,J$20,$J$16,$J$17,$I160,J$21)</f>
        <v>0</v>
      </c>
      <c r="K160" s="3">
        <f ca="1">_xll.DBR($I$9,$J$13,$J$15,$J$14,K$20,$J$16,$J$17,$I160,K$21)</f>
        <v>0</v>
      </c>
      <c r="L160" s="3">
        <f ca="1">_xll.DBRW($I$9,$J$13,$J$15,$J$14,L$20,$J$16,$J$17,$I160,L$21)</f>
        <v>0</v>
      </c>
      <c r="M160" s="3">
        <f ca="1">_xll.DBRW($I$9,$J$13,$J$15,$J$14,M$20,$J$16,$J$17,$I160,M$21)</f>
        <v>0</v>
      </c>
      <c r="N160" s="3">
        <f ca="1">_xll.DBRW($I$9,$J$13,$J$15,$J$14,N$20,$J$16,$J$17,$I160,N$21)</f>
        <v>0</v>
      </c>
      <c r="O160" s="3">
        <f ca="1">_xll.DBRW($I$9,$J$13,$J$15,$J$14,O$20,$J$16,$J$17,$I160,O$21)</f>
        <v>0</v>
      </c>
      <c r="P160" s="3">
        <f ca="1">_xll.DBRW($I$9,$J$13,$J$15,$J$14,P$20,$J$16,$J$17,$I160,P$21)</f>
        <v>0</v>
      </c>
      <c r="Q160" s="3">
        <f ca="1">_xll.DBRW($I$9,$J$13,$J$15,$J$14,Q$20,$J$16,$J$17,$I160,Q$21)</f>
        <v>0</v>
      </c>
      <c r="R160" s="3">
        <f ca="1">_xll.DBRW($I$9,$J$13,$J$15,$J$14,R$20,$J$16,$J$17,$I160,R$21)</f>
        <v>0</v>
      </c>
      <c r="S160" s="3" t="str">
        <f ca="1">_xll.DBR($I$9,$J$13,$J$15,$J$14,S$20,$J$16,$J$17,$I160,S$21)</f>
        <v>*KEY_ERR</v>
      </c>
      <c r="T160" s="3" t="str">
        <f ca="1">_xll.DBR($I$9,$J$13,$J$15,$J$14,T$20,$J$16,$J$17,$I160,T$21)</f>
        <v>*KEY_ERR</v>
      </c>
      <c r="U160" s="3" t="str">
        <f ca="1">_xll.DBR($I$9,$J$13,$J$15,$J$14,U$20,$J$16,$J$17,$I160,U$21)</f>
        <v>*KEY_ERR</v>
      </c>
      <c r="V160" s="3">
        <f ca="1">_xll.DBR($I$9,$J$13,$J$15,$J$14,V$20,$J$16,$J$17,$I160,V$21)</f>
        <v>0</v>
      </c>
      <c r="W160" s="3">
        <f ca="1">_xll.DBR($I$9,$J$13,$J$15,$J$14,W$20,$J$16,$J$17,$I160,W$21)</f>
        <v>0</v>
      </c>
      <c r="X160" s="3">
        <f ca="1">_xll.DBR($I$9,$J$13,$J$15,$J$14,X$20,$J$16,$J$17,$I160,X$21)</f>
        <v>0</v>
      </c>
      <c r="Y160" s="3">
        <f ca="1">_xll.DBR($I$9,$J$13,$J$15,$J$14,Y$20,$J$16,$J$17,$I160,Y$21)</f>
        <v>0</v>
      </c>
      <c r="Z160" s="3">
        <f ca="1">_xll.DBR($I$9,$J$13,$J$15,$J$14,Z$20,$J$16,$J$17,$I160,Z$21)</f>
        <v>0</v>
      </c>
      <c r="AA160" s="3">
        <f ca="1">_xll.DBR($I$9,$J$13,$J$15,$J$14,AA$20,$J$16,$J$17,$I160,AA$21)</f>
        <v>0</v>
      </c>
      <c r="AB160" s="3">
        <f ca="1">_xll.DBR($I$9,$J$13,$J$15,$J$14,AB$20,$J$16,$J$17,$I160,AB$21)</f>
        <v>0</v>
      </c>
      <c r="AC160" s="3">
        <f ca="1">_xll.DBR($I$9,$J$13,$J$15,$J$14,AC$20,$J$16,$J$17,$I160,AC$21)</f>
        <v>0</v>
      </c>
      <c r="AD160" s="3">
        <f ca="1">_xll.DBR($I$9,$J$13,$J$15,$J$14,AD$20,$J$16,$J$17,$I160,AD$21)</f>
        <v>0</v>
      </c>
    </row>
    <row r="161" spans="1:30" x14ac:dyDescent="0.25">
      <c r="A161">
        <f ca="1">IF(_xll.TM1RPTELISCONSOLIDATED($I$22,$I161),IF(_xll.TM1RPTELLEV($I$22,$I161)&lt;=3,_xll.TM1RPTELLEV($I$22,$I161),"D"),"N")</f>
        <v>3</v>
      </c>
      <c r="I161" s="22" t="s">
        <v>146</v>
      </c>
      <c r="J161" s="7">
        <f ca="1">_xll.DBR($I$9,$J$13,$J$15,$J$14,J$20,$J$16,$J$17,$I161,J$21)</f>
        <v>0</v>
      </c>
      <c r="K161" s="7">
        <f ca="1">_xll.DBR($I$9,$J$13,$J$15,$J$14,K$20,$J$16,$J$17,$I161,K$21)</f>
        <v>0</v>
      </c>
      <c r="L161" s="7">
        <f ca="1">_xll.DBRW($I$9,$J$13,$J$15,$J$14,L$20,$J$16,$J$17,$I161,L$21)</f>
        <v>0</v>
      </c>
      <c r="M161" s="7">
        <f ca="1">_xll.DBRW($I$9,$J$13,$J$15,$J$14,M$20,$J$16,$J$17,$I161,M$21)</f>
        <v>0</v>
      </c>
      <c r="N161" s="7">
        <f ca="1">_xll.DBRW($I$9,$J$13,$J$15,$J$14,N$20,$J$16,$J$17,$I161,N$21)</f>
        <v>0</v>
      </c>
      <c r="O161" s="7">
        <f ca="1">_xll.DBRW($I$9,$J$13,$J$15,$J$14,O$20,$J$16,$J$17,$I161,O$21)</f>
        <v>0</v>
      </c>
      <c r="P161" s="7">
        <f ca="1">_xll.DBRW($I$9,$J$13,$J$15,$J$14,P$20,$J$16,$J$17,$I161,P$21)</f>
        <v>0</v>
      </c>
      <c r="Q161" s="7">
        <f ca="1">_xll.DBRW($I$9,$J$13,$J$15,$J$14,Q$20,$J$16,$J$17,$I161,Q$21)</f>
        <v>0</v>
      </c>
      <c r="R161" s="7">
        <f ca="1">_xll.DBRW($I$9,$J$13,$J$15,$J$14,R$20,$J$16,$J$17,$I161,R$21)</f>
        <v>0</v>
      </c>
      <c r="S161" s="7" t="str">
        <f ca="1">_xll.DBR($I$9,$J$13,$J$15,$J$14,S$20,$J$16,$J$17,$I161,S$21)</f>
        <v>*KEY_ERR</v>
      </c>
      <c r="T161" s="7" t="str">
        <f ca="1">_xll.DBR($I$9,$J$13,$J$15,$J$14,T$20,$J$16,$J$17,$I161,T$21)</f>
        <v>*KEY_ERR</v>
      </c>
      <c r="U161" s="7" t="str">
        <f ca="1">_xll.DBR($I$9,$J$13,$J$15,$J$14,U$20,$J$16,$J$17,$I161,U$21)</f>
        <v>*KEY_ERR</v>
      </c>
      <c r="V161" s="7">
        <f ca="1">_xll.DBR($I$9,$J$13,$J$15,$J$14,V$20,$J$16,$J$17,$I161,V$21)</f>
        <v>0</v>
      </c>
      <c r="W161" s="7">
        <f ca="1">_xll.DBR($I$9,$J$13,$J$15,$J$14,W$20,$J$16,$J$17,$I161,W$21)</f>
        <v>0</v>
      </c>
      <c r="X161" s="7">
        <f ca="1">_xll.DBR($I$9,$J$13,$J$15,$J$14,X$20,$J$16,$J$17,$I161,X$21)</f>
        <v>0</v>
      </c>
      <c r="Y161" s="7">
        <f ca="1">_xll.DBR($I$9,$J$13,$J$15,$J$14,Y$20,$J$16,$J$17,$I161,Y$21)</f>
        <v>0</v>
      </c>
      <c r="Z161" s="7">
        <f ca="1">_xll.DBR($I$9,$J$13,$J$15,$J$14,Z$20,$J$16,$J$17,$I161,Z$21)</f>
        <v>0</v>
      </c>
      <c r="AA161" s="7">
        <f ca="1">_xll.DBR($I$9,$J$13,$J$15,$J$14,AA$20,$J$16,$J$17,$I161,AA$21)</f>
        <v>0</v>
      </c>
      <c r="AB161" s="7">
        <f ca="1">_xll.DBR($I$9,$J$13,$J$15,$J$14,AB$20,$J$16,$J$17,$I161,AB$21)</f>
        <v>0</v>
      </c>
      <c r="AC161" s="7">
        <f ca="1">_xll.DBR($I$9,$J$13,$J$15,$J$14,AC$20,$J$16,$J$17,$I161,AC$21)</f>
        <v>0</v>
      </c>
      <c r="AD161" s="7">
        <f ca="1">_xll.DBR($I$9,$J$13,$J$15,$J$14,AD$20,$J$16,$J$17,$I161,AD$21)</f>
        <v>0</v>
      </c>
    </row>
    <row r="162" spans="1:30" x14ac:dyDescent="0.25">
      <c r="A162">
        <f ca="1">IF(_xll.TM1RPTELISCONSOLIDATED($I$22,$I162),IF(_xll.TM1RPTELLEV($I$22,$I162)&lt;=3,_xll.TM1RPTELLEV($I$22,$I162),"D"),"N")</f>
        <v>3</v>
      </c>
      <c r="I162" s="22" t="s">
        <v>147</v>
      </c>
      <c r="J162" s="7">
        <f ca="1">_xll.DBR($I$9,$J$13,$J$15,$J$14,J$20,$J$16,$J$17,$I162,J$21)</f>
        <v>0</v>
      </c>
      <c r="K162" s="7">
        <f ca="1">_xll.DBR($I$9,$J$13,$J$15,$J$14,K$20,$J$16,$J$17,$I162,K$21)</f>
        <v>0</v>
      </c>
      <c r="L162" s="7">
        <f ca="1">_xll.DBRW($I$9,$J$13,$J$15,$J$14,L$20,$J$16,$J$17,$I162,L$21)</f>
        <v>0</v>
      </c>
      <c r="M162" s="7">
        <f ca="1">_xll.DBRW($I$9,$J$13,$J$15,$J$14,M$20,$J$16,$J$17,$I162,M$21)</f>
        <v>0</v>
      </c>
      <c r="N162" s="7">
        <f ca="1">_xll.DBRW($I$9,$J$13,$J$15,$J$14,N$20,$J$16,$J$17,$I162,N$21)</f>
        <v>0</v>
      </c>
      <c r="O162" s="7">
        <f ca="1">_xll.DBRW($I$9,$J$13,$J$15,$J$14,O$20,$J$16,$J$17,$I162,O$21)</f>
        <v>0</v>
      </c>
      <c r="P162" s="7">
        <f ca="1">_xll.DBRW($I$9,$J$13,$J$15,$J$14,P$20,$J$16,$J$17,$I162,P$21)</f>
        <v>0</v>
      </c>
      <c r="Q162" s="7">
        <f ca="1">_xll.DBRW($I$9,$J$13,$J$15,$J$14,Q$20,$J$16,$J$17,$I162,Q$21)</f>
        <v>0</v>
      </c>
      <c r="R162" s="7">
        <f ca="1">_xll.DBRW($I$9,$J$13,$J$15,$J$14,R$20,$J$16,$J$17,$I162,R$21)</f>
        <v>0</v>
      </c>
      <c r="S162" s="7" t="str">
        <f ca="1">_xll.DBR($I$9,$J$13,$J$15,$J$14,S$20,$J$16,$J$17,$I162,S$21)</f>
        <v>*KEY_ERR</v>
      </c>
      <c r="T162" s="7" t="str">
        <f ca="1">_xll.DBR($I$9,$J$13,$J$15,$J$14,T$20,$J$16,$J$17,$I162,T$21)</f>
        <v>*KEY_ERR</v>
      </c>
      <c r="U162" s="7" t="str">
        <f ca="1">_xll.DBR($I$9,$J$13,$J$15,$J$14,U$20,$J$16,$J$17,$I162,U$21)</f>
        <v>*KEY_ERR</v>
      </c>
      <c r="V162" s="7">
        <f ca="1">_xll.DBR($I$9,$J$13,$J$15,$J$14,V$20,$J$16,$J$17,$I162,V$21)</f>
        <v>0</v>
      </c>
      <c r="W162" s="7">
        <f ca="1">_xll.DBR($I$9,$J$13,$J$15,$J$14,W$20,$J$16,$J$17,$I162,W$21)</f>
        <v>0</v>
      </c>
      <c r="X162" s="7">
        <f ca="1">_xll.DBR($I$9,$J$13,$J$15,$J$14,X$20,$J$16,$J$17,$I162,X$21)</f>
        <v>0</v>
      </c>
      <c r="Y162" s="7">
        <f ca="1">_xll.DBR($I$9,$J$13,$J$15,$J$14,Y$20,$J$16,$J$17,$I162,Y$21)</f>
        <v>0</v>
      </c>
      <c r="Z162" s="7">
        <f ca="1">_xll.DBR($I$9,$J$13,$J$15,$J$14,Z$20,$J$16,$J$17,$I162,Z$21)</f>
        <v>0</v>
      </c>
      <c r="AA162" s="7">
        <f ca="1">_xll.DBR($I$9,$J$13,$J$15,$J$14,AA$20,$J$16,$J$17,$I162,AA$21)</f>
        <v>0</v>
      </c>
      <c r="AB162" s="7">
        <f ca="1">_xll.DBR($I$9,$J$13,$J$15,$J$14,AB$20,$J$16,$J$17,$I162,AB$21)</f>
        <v>0</v>
      </c>
      <c r="AC162" s="7">
        <f ca="1">_xll.DBR($I$9,$J$13,$J$15,$J$14,AC$20,$J$16,$J$17,$I162,AC$21)</f>
        <v>0</v>
      </c>
      <c r="AD162" s="7">
        <f ca="1">_xll.DBR($I$9,$J$13,$J$15,$J$14,AD$20,$J$16,$J$17,$I162,AD$21)</f>
        <v>0</v>
      </c>
    </row>
    <row r="163" spans="1:30" x14ac:dyDescent="0.25">
      <c r="A163">
        <f ca="1">IF(_xll.TM1RPTELISCONSOLIDATED($I$22,$I163),IF(_xll.TM1RPTELLEV($I$22,$I163)&lt;=3,_xll.TM1RPTELLEV($I$22,$I163),"D"),"N")</f>
        <v>3</v>
      </c>
      <c r="I163" s="22" t="s">
        <v>207</v>
      </c>
      <c r="J163" s="7">
        <f ca="1">_xll.DBR($I$9,$J$13,$J$15,$J$14,J$20,$J$16,$J$17,$I163,J$21)</f>
        <v>0</v>
      </c>
      <c r="K163" s="7">
        <f ca="1">_xll.DBR($I$9,$J$13,$J$15,$J$14,K$20,$J$16,$J$17,$I163,K$21)</f>
        <v>0</v>
      </c>
      <c r="L163" s="7">
        <f ca="1">_xll.DBRW($I$9,$J$13,$J$15,$J$14,L$20,$J$16,$J$17,$I163,L$21)</f>
        <v>0</v>
      </c>
      <c r="M163" s="7">
        <f ca="1">_xll.DBRW($I$9,$J$13,$J$15,$J$14,M$20,$J$16,$J$17,$I163,M$21)</f>
        <v>0</v>
      </c>
      <c r="N163" s="7">
        <f ca="1">_xll.DBRW($I$9,$J$13,$J$15,$J$14,N$20,$J$16,$J$17,$I163,N$21)</f>
        <v>0</v>
      </c>
      <c r="O163" s="7">
        <f ca="1">_xll.DBRW($I$9,$J$13,$J$15,$J$14,O$20,$J$16,$J$17,$I163,O$21)</f>
        <v>0</v>
      </c>
      <c r="P163" s="7">
        <f ca="1">_xll.DBRW($I$9,$J$13,$J$15,$J$14,P$20,$J$16,$J$17,$I163,P$21)</f>
        <v>0</v>
      </c>
      <c r="Q163" s="7">
        <f ca="1">_xll.DBRW($I$9,$J$13,$J$15,$J$14,Q$20,$J$16,$J$17,$I163,Q$21)</f>
        <v>0</v>
      </c>
      <c r="R163" s="7">
        <f ca="1">_xll.DBRW($I$9,$J$13,$J$15,$J$14,R$20,$J$16,$J$17,$I163,R$21)</f>
        <v>0</v>
      </c>
      <c r="S163" s="7" t="str">
        <f ca="1">_xll.DBR($I$9,$J$13,$J$15,$J$14,S$20,$J$16,$J$17,$I163,S$21)</f>
        <v>*KEY_ERR</v>
      </c>
      <c r="T163" s="7" t="str">
        <f ca="1">_xll.DBR($I$9,$J$13,$J$15,$J$14,T$20,$J$16,$J$17,$I163,T$21)</f>
        <v>*KEY_ERR</v>
      </c>
      <c r="U163" s="7" t="str">
        <f ca="1">_xll.DBR($I$9,$J$13,$J$15,$J$14,U$20,$J$16,$J$17,$I163,U$21)</f>
        <v>*KEY_ERR</v>
      </c>
      <c r="V163" s="7">
        <f ca="1">_xll.DBR($I$9,$J$13,$J$15,$J$14,V$20,$J$16,$J$17,$I163,V$21)</f>
        <v>0</v>
      </c>
      <c r="W163" s="7">
        <f ca="1">_xll.DBR($I$9,$J$13,$J$15,$J$14,W$20,$J$16,$J$17,$I163,W$21)</f>
        <v>0</v>
      </c>
      <c r="X163" s="7">
        <f ca="1">_xll.DBR($I$9,$J$13,$J$15,$J$14,X$20,$J$16,$J$17,$I163,X$21)</f>
        <v>0</v>
      </c>
      <c r="Y163" s="7">
        <f ca="1">_xll.DBR($I$9,$J$13,$J$15,$J$14,Y$20,$J$16,$J$17,$I163,Y$21)</f>
        <v>0</v>
      </c>
      <c r="Z163" s="7">
        <f ca="1">_xll.DBR($I$9,$J$13,$J$15,$J$14,Z$20,$J$16,$J$17,$I163,Z$21)</f>
        <v>0</v>
      </c>
      <c r="AA163" s="7">
        <f ca="1">_xll.DBR($I$9,$J$13,$J$15,$J$14,AA$20,$J$16,$J$17,$I163,AA$21)</f>
        <v>0</v>
      </c>
      <c r="AB163" s="7">
        <f ca="1">_xll.DBR($I$9,$J$13,$J$15,$J$14,AB$20,$J$16,$J$17,$I163,AB$21)</f>
        <v>0</v>
      </c>
      <c r="AC163" s="7">
        <f ca="1">_xll.DBR($I$9,$J$13,$J$15,$J$14,AC$20,$J$16,$J$17,$I163,AC$21)</f>
        <v>0</v>
      </c>
      <c r="AD163" s="7">
        <f ca="1">_xll.DBR($I$9,$J$13,$J$15,$J$14,AD$20,$J$16,$J$17,$I163,AD$21)</f>
        <v>0</v>
      </c>
    </row>
    <row r="164" spans="1:30" x14ac:dyDescent="0.25">
      <c r="A164">
        <f ca="1">IF(_xll.TM1RPTELISCONSOLIDATED($I$22,$I164),IF(_xll.TM1RPTELLEV($I$22,$I164)&lt;=3,_xll.TM1RPTELLEV($I$22,$I164),"D"),"N")</f>
        <v>1</v>
      </c>
      <c r="I164" s="16" t="s">
        <v>149</v>
      </c>
      <c r="J164" s="5">
        <f ca="1">_xll.DBR($I$9,$J$13,$J$15,$J$14,J$20,$J$16,$J$17,$I164,J$21)</f>
        <v>0</v>
      </c>
      <c r="K164" s="5">
        <f ca="1">_xll.DBR($I$9,$J$13,$J$15,$J$14,K$20,$J$16,$J$17,$I164,K$21)</f>
        <v>0</v>
      </c>
      <c r="L164" s="5">
        <f ca="1">_xll.DBRW($I$9,$J$13,$J$15,$J$14,L$20,$J$16,$J$17,$I164,L$21)</f>
        <v>0</v>
      </c>
      <c r="M164" s="5">
        <f ca="1">_xll.DBRW($I$9,$J$13,$J$15,$J$14,M$20,$J$16,$J$17,$I164,M$21)</f>
        <v>0</v>
      </c>
      <c r="N164" s="5">
        <f ca="1">_xll.DBRW($I$9,$J$13,$J$15,$J$14,N$20,$J$16,$J$17,$I164,N$21)</f>
        <v>0</v>
      </c>
      <c r="O164" s="5">
        <f ca="1">_xll.DBRW($I$9,$J$13,$J$15,$J$14,O$20,$J$16,$J$17,$I164,O$21)</f>
        <v>0</v>
      </c>
      <c r="P164" s="5">
        <f ca="1">_xll.DBRW($I$9,$J$13,$J$15,$J$14,P$20,$J$16,$J$17,$I164,P$21)</f>
        <v>0</v>
      </c>
      <c r="Q164" s="5">
        <f ca="1">_xll.DBRW($I$9,$J$13,$J$15,$J$14,Q$20,$J$16,$J$17,$I164,Q$21)</f>
        <v>0</v>
      </c>
      <c r="R164" s="5">
        <f ca="1">_xll.DBRW($I$9,$J$13,$J$15,$J$14,R$20,$J$16,$J$17,$I164,R$21)</f>
        <v>0</v>
      </c>
      <c r="S164" s="5" t="str">
        <f ca="1">_xll.DBR($I$9,$J$13,$J$15,$J$14,S$20,$J$16,$J$17,$I164,S$21)</f>
        <v>*KEY_ERR</v>
      </c>
      <c r="T164" s="5" t="str">
        <f ca="1">_xll.DBR($I$9,$J$13,$J$15,$J$14,T$20,$J$16,$J$17,$I164,T$21)</f>
        <v>*KEY_ERR</v>
      </c>
      <c r="U164" s="5" t="str">
        <f ca="1">_xll.DBR($I$9,$J$13,$J$15,$J$14,U$20,$J$16,$J$17,$I164,U$21)</f>
        <v>*KEY_ERR</v>
      </c>
      <c r="V164" s="5">
        <f ca="1">_xll.DBR($I$9,$J$13,$J$15,$J$14,V$20,$J$16,$J$17,$I164,V$21)</f>
        <v>0</v>
      </c>
      <c r="W164" s="5">
        <f ca="1">_xll.DBR($I$9,$J$13,$J$15,$J$14,W$20,$J$16,$J$17,$I164,W$21)</f>
        <v>0</v>
      </c>
      <c r="X164" s="5">
        <f ca="1">_xll.DBR($I$9,$J$13,$J$15,$J$14,X$20,$J$16,$J$17,$I164,X$21)</f>
        <v>0</v>
      </c>
      <c r="Y164" s="5">
        <f ca="1">_xll.DBR($I$9,$J$13,$J$15,$J$14,Y$20,$J$16,$J$17,$I164,Y$21)</f>
        <v>0</v>
      </c>
      <c r="Z164" s="5">
        <f ca="1">_xll.DBR($I$9,$J$13,$J$15,$J$14,Z$20,$J$16,$J$17,$I164,Z$21)</f>
        <v>0</v>
      </c>
      <c r="AA164" s="5">
        <f ca="1">_xll.DBR($I$9,$J$13,$J$15,$J$14,AA$20,$J$16,$J$17,$I164,AA$21)</f>
        <v>0</v>
      </c>
      <c r="AB164" s="5">
        <f ca="1">_xll.DBR($I$9,$J$13,$J$15,$J$14,AB$20,$J$16,$J$17,$I164,AB$21)</f>
        <v>0</v>
      </c>
      <c r="AC164" s="5">
        <f ca="1">_xll.DBR($I$9,$J$13,$J$15,$J$14,AC$20,$J$16,$J$17,$I164,AC$21)</f>
        <v>0</v>
      </c>
      <c r="AD164" s="5">
        <f ca="1">_xll.DBR($I$9,$J$13,$J$15,$J$14,AD$20,$J$16,$J$17,$I164,AD$21)</f>
        <v>0</v>
      </c>
    </row>
    <row r="165" spans="1:30" x14ac:dyDescent="0.25">
      <c r="A165">
        <f ca="1">IF(_xll.TM1RPTELISCONSOLIDATED($I$22,$I165),IF(_xll.TM1RPTELLEV($I$22,$I165)&lt;=3,_xll.TM1RPTELLEV($I$22,$I165),"D"),"N")</f>
        <v>2</v>
      </c>
      <c r="I165" s="17" t="s">
        <v>150</v>
      </c>
      <c r="J165" s="3">
        <f ca="1">_xll.DBR($I$9,$J$13,$J$15,$J$14,J$20,$J$16,$J$17,$I165,J$21)</f>
        <v>0</v>
      </c>
      <c r="K165" s="3">
        <f ca="1">_xll.DBR($I$9,$J$13,$J$15,$J$14,K$20,$J$16,$J$17,$I165,K$21)</f>
        <v>0</v>
      </c>
      <c r="L165" s="3">
        <f ca="1">_xll.DBRW($I$9,$J$13,$J$15,$J$14,L$20,$J$16,$J$17,$I165,L$21)</f>
        <v>0</v>
      </c>
      <c r="M165" s="3">
        <f ca="1">_xll.DBRW($I$9,$J$13,$J$15,$J$14,M$20,$J$16,$J$17,$I165,M$21)</f>
        <v>0</v>
      </c>
      <c r="N165" s="3">
        <f ca="1">_xll.DBRW($I$9,$J$13,$J$15,$J$14,N$20,$J$16,$J$17,$I165,N$21)</f>
        <v>0</v>
      </c>
      <c r="O165" s="3">
        <f ca="1">_xll.DBRW($I$9,$J$13,$J$15,$J$14,O$20,$J$16,$J$17,$I165,O$21)</f>
        <v>0</v>
      </c>
      <c r="P165" s="3">
        <f ca="1">_xll.DBRW($I$9,$J$13,$J$15,$J$14,P$20,$J$16,$J$17,$I165,P$21)</f>
        <v>0</v>
      </c>
      <c r="Q165" s="3">
        <f ca="1">_xll.DBRW($I$9,$J$13,$J$15,$J$14,Q$20,$J$16,$J$17,$I165,Q$21)</f>
        <v>0</v>
      </c>
      <c r="R165" s="3">
        <f ca="1">_xll.DBRW($I$9,$J$13,$J$15,$J$14,R$20,$J$16,$J$17,$I165,R$21)</f>
        <v>0</v>
      </c>
      <c r="S165" s="3" t="str">
        <f ca="1">_xll.DBR($I$9,$J$13,$J$15,$J$14,S$20,$J$16,$J$17,$I165,S$21)</f>
        <v>*KEY_ERR</v>
      </c>
      <c r="T165" s="3" t="str">
        <f ca="1">_xll.DBR($I$9,$J$13,$J$15,$J$14,T$20,$J$16,$J$17,$I165,T$21)</f>
        <v>*KEY_ERR</v>
      </c>
      <c r="U165" s="3" t="str">
        <f ca="1">_xll.DBR($I$9,$J$13,$J$15,$J$14,U$20,$J$16,$J$17,$I165,U$21)</f>
        <v>*KEY_ERR</v>
      </c>
      <c r="V165" s="3">
        <f ca="1">_xll.DBR($I$9,$J$13,$J$15,$J$14,V$20,$J$16,$J$17,$I165,V$21)</f>
        <v>0</v>
      </c>
      <c r="W165" s="3">
        <f ca="1">_xll.DBR($I$9,$J$13,$J$15,$J$14,W$20,$J$16,$J$17,$I165,W$21)</f>
        <v>0</v>
      </c>
      <c r="X165" s="3">
        <f ca="1">_xll.DBR($I$9,$J$13,$J$15,$J$14,X$20,$J$16,$J$17,$I165,X$21)</f>
        <v>0</v>
      </c>
      <c r="Y165" s="3">
        <f ca="1">_xll.DBR($I$9,$J$13,$J$15,$J$14,Y$20,$J$16,$J$17,$I165,Y$21)</f>
        <v>0</v>
      </c>
      <c r="Z165" s="3">
        <f ca="1">_xll.DBR($I$9,$J$13,$J$15,$J$14,Z$20,$J$16,$J$17,$I165,Z$21)</f>
        <v>0</v>
      </c>
      <c r="AA165" s="3">
        <f ca="1">_xll.DBR($I$9,$J$13,$J$15,$J$14,AA$20,$J$16,$J$17,$I165,AA$21)</f>
        <v>0</v>
      </c>
      <c r="AB165" s="3">
        <f ca="1">_xll.DBR($I$9,$J$13,$J$15,$J$14,AB$20,$J$16,$J$17,$I165,AB$21)</f>
        <v>0</v>
      </c>
      <c r="AC165" s="3">
        <f ca="1">_xll.DBR($I$9,$J$13,$J$15,$J$14,AC$20,$J$16,$J$17,$I165,AC$21)</f>
        <v>0</v>
      </c>
      <c r="AD165" s="3">
        <f ca="1">_xll.DBR($I$9,$J$13,$J$15,$J$14,AD$20,$J$16,$J$17,$I165,AD$21)</f>
        <v>0</v>
      </c>
    </row>
    <row r="166" spans="1:30" x14ac:dyDescent="0.25">
      <c r="A166">
        <f ca="1">IF(_xll.TM1RPTELISCONSOLIDATED($I$22,$I166),IF(_xll.TM1RPTELLEV($I$22,$I166)&lt;=3,_xll.TM1RPTELLEV($I$22,$I166),"D"),"N")</f>
        <v>3</v>
      </c>
      <c r="I166" s="23" t="s">
        <v>151</v>
      </c>
      <c r="J166" s="7">
        <f ca="1">_xll.DBR($I$9,$J$13,$J$15,$J$14,J$20,$J$16,$J$17,$I166,J$21)</f>
        <v>0</v>
      </c>
      <c r="K166" s="7">
        <f ca="1">_xll.DBR($I$9,$J$13,$J$15,$J$14,K$20,$J$16,$J$17,$I166,K$21)</f>
        <v>0</v>
      </c>
      <c r="L166" s="7">
        <f ca="1">_xll.DBRW($I$9,$J$13,$J$15,$J$14,L$20,$J$16,$J$17,$I166,L$21)</f>
        <v>0</v>
      </c>
      <c r="M166" s="7">
        <f ca="1">_xll.DBRW($I$9,$J$13,$J$15,$J$14,M$20,$J$16,$J$17,$I166,M$21)</f>
        <v>0</v>
      </c>
      <c r="N166" s="7">
        <f ca="1">_xll.DBRW($I$9,$J$13,$J$15,$J$14,N$20,$J$16,$J$17,$I166,N$21)</f>
        <v>0</v>
      </c>
      <c r="O166" s="7">
        <f ca="1">_xll.DBRW($I$9,$J$13,$J$15,$J$14,O$20,$J$16,$J$17,$I166,O$21)</f>
        <v>0</v>
      </c>
      <c r="P166" s="7">
        <f ca="1">_xll.DBRW($I$9,$J$13,$J$15,$J$14,P$20,$J$16,$J$17,$I166,P$21)</f>
        <v>0</v>
      </c>
      <c r="Q166" s="7">
        <f ca="1">_xll.DBRW($I$9,$J$13,$J$15,$J$14,Q$20,$J$16,$J$17,$I166,Q$21)</f>
        <v>0</v>
      </c>
      <c r="R166" s="7">
        <f ca="1">_xll.DBRW($I$9,$J$13,$J$15,$J$14,R$20,$J$16,$J$17,$I166,R$21)</f>
        <v>0</v>
      </c>
      <c r="S166" s="7" t="str">
        <f ca="1">_xll.DBR($I$9,$J$13,$J$15,$J$14,S$20,$J$16,$J$17,$I166,S$21)</f>
        <v>*KEY_ERR</v>
      </c>
      <c r="T166" s="7" t="str">
        <f ca="1">_xll.DBR($I$9,$J$13,$J$15,$J$14,T$20,$J$16,$J$17,$I166,T$21)</f>
        <v>*KEY_ERR</v>
      </c>
      <c r="U166" s="7" t="str">
        <f ca="1">_xll.DBR($I$9,$J$13,$J$15,$J$14,U$20,$J$16,$J$17,$I166,U$21)</f>
        <v>*KEY_ERR</v>
      </c>
      <c r="V166" s="7">
        <f ca="1">_xll.DBR($I$9,$J$13,$J$15,$J$14,V$20,$J$16,$J$17,$I166,V$21)</f>
        <v>0</v>
      </c>
      <c r="W166" s="7">
        <f ca="1">_xll.DBR($I$9,$J$13,$J$15,$J$14,W$20,$J$16,$J$17,$I166,W$21)</f>
        <v>0</v>
      </c>
      <c r="X166" s="7">
        <f ca="1">_xll.DBR($I$9,$J$13,$J$15,$J$14,X$20,$J$16,$J$17,$I166,X$21)</f>
        <v>0</v>
      </c>
      <c r="Y166" s="7">
        <f ca="1">_xll.DBR($I$9,$J$13,$J$15,$J$14,Y$20,$J$16,$J$17,$I166,Y$21)</f>
        <v>0</v>
      </c>
      <c r="Z166" s="7">
        <f ca="1">_xll.DBR($I$9,$J$13,$J$15,$J$14,Z$20,$J$16,$J$17,$I166,Z$21)</f>
        <v>0</v>
      </c>
      <c r="AA166" s="7">
        <f ca="1">_xll.DBR($I$9,$J$13,$J$15,$J$14,AA$20,$J$16,$J$17,$I166,AA$21)</f>
        <v>0</v>
      </c>
      <c r="AB166" s="7">
        <f ca="1">_xll.DBR($I$9,$J$13,$J$15,$J$14,AB$20,$J$16,$J$17,$I166,AB$21)</f>
        <v>0</v>
      </c>
      <c r="AC166" s="7">
        <f ca="1">_xll.DBR($I$9,$J$13,$J$15,$J$14,AC$20,$J$16,$J$17,$I166,AC$21)</f>
        <v>0</v>
      </c>
      <c r="AD166" s="7">
        <f ca="1">_xll.DBR($I$9,$J$13,$J$15,$J$14,AD$20,$J$16,$J$17,$I166,AD$21)</f>
        <v>0</v>
      </c>
    </row>
    <row r="167" spans="1:30" x14ac:dyDescent="0.25">
      <c r="A167" t="str">
        <f ca="1">IF(_xll.TM1RPTELISCONSOLIDATED($I$22,$I167),IF(_xll.TM1RPTELLEV($I$22,$I167)&lt;=3,_xll.TM1RPTELLEV($I$22,$I167),"D"),"N")</f>
        <v>D</v>
      </c>
      <c r="I167" s="18" t="s">
        <v>155</v>
      </c>
      <c r="J167" s="9">
        <f ca="1">_xll.DBR($I$9,$J$13,$J$15,$J$14,J$20,$J$16,$J$17,$I167,J$21)</f>
        <v>0</v>
      </c>
      <c r="K167" s="9">
        <f ca="1">_xll.DBR($I$9,$J$13,$J$15,$J$14,K$20,$J$16,$J$17,$I167,K$21)</f>
        <v>0</v>
      </c>
      <c r="L167" s="9">
        <f ca="1">_xll.DBRW($I$9,$J$13,$J$15,$J$14,L$20,$J$16,$J$17,$I167,L$21)</f>
        <v>0</v>
      </c>
      <c r="M167" s="9">
        <f ca="1">_xll.DBRW($I$9,$J$13,$J$15,$J$14,M$20,$J$16,$J$17,$I167,M$21)</f>
        <v>0</v>
      </c>
      <c r="N167" s="9">
        <f ca="1">_xll.DBRW($I$9,$J$13,$J$15,$J$14,N$20,$J$16,$J$17,$I167,N$21)</f>
        <v>0</v>
      </c>
      <c r="O167" s="9">
        <f ca="1">_xll.DBRW($I$9,$J$13,$J$15,$J$14,O$20,$J$16,$J$17,$I167,O$21)</f>
        <v>0</v>
      </c>
      <c r="P167" s="9">
        <f ca="1">_xll.DBRW($I$9,$J$13,$J$15,$J$14,P$20,$J$16,$J$17,$I167,P$21)</f>
        <v>0</v>
      </c>
      <c r="Q167" s="9">
        <f ca="1">_xll.DBRW($I$9,$J$13,$J$15,$J$14,Q$20,$J$16,$J$17,$I167,Q$21)</f>
        <v>0</v>
      </c>
      <c r="R167" s="9">
        <f ca="1">_xll.DBRW($I$9,$J$13,$J$15,$J$14,R$20,$J$16,$J$17,$I167,R$21)</f>
        <v>0</v>
      </c>
      <c r="S167" s="9" t="str">
        <f ca="1">_xll.DBR($I$9,$J$13,$J$15,$J$14,S$20,$J$16,$J$17,$I167,S$21)</f>
        <v>*KEY_ERR</v>
      </c>
      <c r="T167" s="9" t="str">
        <f ca="1">_xll.DBR($I$9,$J$13,$J$15,$J$14,T$20,$J$16,$J$17,$I167,T$21)</f>
        <v>*KEY_ERR</v>
      </c>
      <c r="U167" s="9" t="str">
        <f ca="1">_xll.DBR($I$9,$J$13,$J$15,$J$14,U$20,$J$16,$J$17,$I167,U$21)</f>
        <v>*KEY_ERR</v>
      </c>
      <c r="V167" s="9">
        <f ca="1">_xll.DBR($I$9,$J$13,$J$15,$J$14,V$20,$J$16,$J$17,$I167,V$21)</f>
        <v>0</v>
      </c>
      <c r="W167" s="9">
        <f ca="1">_xll.DBR($I$9,$J$13,$J$15,$J$14,W$20,$J$16,$J$17,$I167,W$21)</f>
        <v>0</v>
      </c>
      <c r="X167" s="9">
        <f ca="1">_xll.DBR($I$9,$J$13,$J$15,$J$14,X$20,$J$16,$J$17,$I167,X$21)</f>
        <v>0</v>
      </c>
      <c r="Y167" s="9">
        <f ca="1">_xll.DBR($I$9,$J$13,$J$15,$J$14,Y$20,$J$16,$J$17,$I167,Y$21)</f>
        <v>0</v>
      </c>
      <c r="Z167" s="9">
        <f ca="1">_xll.DBR($I$9,$J$13,$J$15,$J$14,Z$20,$J$16,$J$17,$I167,Z$21)</f>
        <v>0</v>
      </c>
      <c r="AA167" s="9">
        <f ca="1">_xll.DBR($I$9,$J$13,$J$15,$J$14,AA$20,$J$16,$J$17,$I167,AA$21)</f>
        <v>0</v>
      </c>
      <c r="AB167" s="9">
        <f ca="1">_xll.DBR($I$9,$J$13,$J$15,$J$14,AB$20,$J$16,$J$17,$I167,AB$21)</f>
        <v>0</v>
      </c>
      <c r="AC167" s="9">
        <f ca="1">_xll.DBR($I$9,$J$13,$J$15,$J$14,AC$20,$J$16,$J$17,$I167,AC$21)</f>
        <v>0</v>
      </c>
      <c r="AD167" s="9">
        <f ca="1">_xll.DBR($I$9,$J$13,$J$15,$J$14,AD$20,$J$16,$J$17,$I167,AD$21)</f>
        <v>0</v>
      </c>
    </row>
    <row r="168" spans="1:30" x14ac:dyDescent="0.25">
      <c r="A168" t="str">
        <f ca="1">IF(_xll.TM1RPTELISCONSOLIDATED($I$22,$I168),IF(_xll.TM1RPTELLEV($I$22,$I168)&lt;=3,_xll.TM1RPTELLEV($I$22,$I168),"D"),"N")</f>
        <v>D</v>
      </c>
      <c r="I168" s="18" t="s">
        <v>185</v>
      </c>
      <c r="J168" s="9">
        <f ca="1">_xll.DBR($I$9,$J$13,$J$15,$J$14,J$20,$J$16,$J$17,$I168,J$21)</f>
        <v>0</v>
      </c>
      <c r="K168" s="9">
        <f ca="1">_xll.DBR($I$9,$J$13,$J$15,$J$14,K$20,$J$16,$J$17,$I168,K$21)</f>
        <v>0</v>
      </c>
      <c r="L168" s="9">
        <f ca="1">_xll.DBRW($I$9,$J$13,$J$15,$J$14,L$20,$J$16,$J$17,$I168,L$21)</f>
        <v>0</v>
      </c>
      <c r="M168" s="9">
        <f ca="1">_xll.DBRW($I$9,$J$13,$J$15,$J$14,M$20,$J$16,$J$17,$I168,M$21)</f>
        <v>0</v>
      </c>
      <c r="N168" s="9">
        <f ca="1">_xll.DBRW($I$9,$J$13,$J$15,$J$14,N$20,$J$16,$J$17,$I168,N$21)</f>
        <v>0</v>
      </c>
      <c r="O168" s="9">
        <f ca="1">_xll.DBRW($I$9,$J$13,$J$15,$J$14,O$20,$J$16,$J$17,$I168,O$21)</f>
        <v>0</v>
      </c>
      <c r="P168" s="9">
        <f ca="1">_xll.DBRW($I$9,$J$13,$J$15,$J$14,P$20,$J$16,$J$17,$I168,P$21)</f>
        <v>0</v>
      </c>
      <c r="Q168" s="9">
        <f ca="1">_xll.DBRW($I$9,$J$13,$J$15,$J$14,Q$20,$J$16,$J$17,$I168,Q$21)</f>
        <v>0</v>
      </c>
      <c r="R168" s="9">
        <f ca="1">_xll.DBRW($I$9,$J$13,$J$15,$J$14,R$20,$J$16,$J$17,$I168,R$21)</f>
        <v>0</v>
      </c>
      <c r="S168" s="9" t="str">
        <f ca="1">_xll.DBR($I$9,$J$13,$J$15,$J$14,S$20,$J$16,$J$17,$I168,S$21)</f>
        <v>*KEY_ERR</v>
      </c>
      <c r="T168" s="9" t="str">
        <f ca="1">_xll.DBR($I$9,$J$13,$J$15,$J$14,T$20,$J$16,$J$17,$I168,T$21)</f>
        <v>*KEY_ERR</v>
      </c>
      <c r="U168" s="9" t="str">
        <f ca="1">_xll.DBR($I$9,$J$13,$J$15,$J$14,U$20,$J$16,$J$17,$I168,U$21)</f>
        <v>*KEY_ERR</v>
      </c>
      <c r="V168" s="9">
        <f ca="1">_xll.DBR($I$9,$J$13,$J$15,$J$14,V$20,$J$16,$J$17,$I168,V$21)</f>
        <v>0</v>
      </c>
      <c r="W168" s="9">
        <f ca="1">_xll.DBR($I$9,$J$13,$J$15,$J$14,W$20,$J$16,$J$17,$I168,W$21)</f>
        <v>0</v>
      </c>
      <c r="X168" s="9">
        <f ca="1">_xll.DBR($I$9,$J$13,$J$15,$J$14,X$20,$J$16,$J$17,$I168,X$21)</f>
        <v>0</v>
      </c>
      <c r="Y168" s="9">
        <f ca="1">_xll.DBR($I$9,$J$13,$J$15,$J$14,Y$20,$J$16,$J$17,$I168,Y$21)</f>
        <v>0</v>
      </c>
      <c r="Z168" s="9">
        <f ca="1">_xll.DBR($I$9,$J$13,$J$15,$J$14,Z$20,$J$16,$J$17,$I168,Z$21)</f>
        <v>0</v>
      </c>
      <c r="AA168" s="9">
        <f ca="1">_xll.DBR($I$9,$J$13,$J$15,$J$14,AA$20,$J$16,$J$17,$I168,AA$21)</f>
        <v>0</v>
      </c>
      <c r="AB168" s="9">
        <f ca="1">_xll.DBR($I$9,$J$13,$J$15,$J$14,AB$20,$J$16,$J$17,$I168,AB$21)</f>
        <v>0</v>
      </c>
      <c r="AC168" s="9">
        <f ca="1">_xll.DBR($I$9,$J$13,$J$15,$J$14,AC$20,$J$16,$J$17,$I168,AC$21)</f>
        <v>0</v>
      </c>
      <c r="AD168" s="9">
        <f ca="1">_xll.DBR($I$9,$J$13,$J$15,$J$14,AD$20,$J$16,$J$17,$I168,AD$21)</f>
        <v>0</v>
      </c>
    </row>
    <row r="169" spans="1:30" x14ac:dyDescent="0.25">
      <c r="A169">
        <f ca="1">IF(_xll.TM1RPTELISCONSOLIDATED($I$22,$I169),IF(_xll.TM1RPTELLEV($I$22,$I169)&lt;=3,_xll.TM1RPTELLEV($I$22,$I169),"D"),"N")</f>
        <v>3</v>
      </c>
      <c r="I169" s="22" t="s">
        <v>152</v>
      </c>
      <c r="J169" s="7">
        <f ca="1">_xll.DBR($I$9,$J$13,$J$15,$J$14,J$20,$J$16,$J$17,$I169,J$21)</f>
        <v>0</v>
      </c>
      <c r="K169" s="7">
        <f ca="1">_xll.DBR($I$9,$J$13,$J$15,$J$14,K$20,$J$16,$J$17,$I169,K$21)</f>
        <v>0</v>
      </c>
      <c r="L169" s="7">
        <f ca="1">_xll.DBRW($I$9,$J$13,$J$15,$J$14,L$20,$J$16,$J$17,$I169,L$21)</f>
        <v>0</v>
      </c>
      <c r="M169" s="7">
        <f ca="1">_xll.DBRW($I$9,$J$13,$J$15,$J$14,M$20,$J$16,$J$17,$I169,M$21)</f>
        <v>0</v>
      </c>
      <c r="N169" s="7">
        <f ca="1">_xll.DBRW($I$9,$J$13,$J$15,$J$14,N$20,$J$16,$J$17,$I169,N$21)</f>
        <v>0</v>
      </c>
      <c r="O169" s="7">
        <f ca="1">_xll.DBRW($I$9,$J$13,$J$15,$J$14,O$20,$J$16,$J$17,$I169,O$21)</f>
        <v>0</v>
      </c>
      <c r="P169" s="7">
        <f ca="1">_xll.DBRW($I$9,$J$13,$J$15,$J$14,P$20,$J$16,$J$17,$I169,P$21)</f>
        <v>0</v>
      </c>
      <c r="Q169" s="7">
        <f ca="1">_xll.DBRW($I$9,$J$13,$J$15,$J$14,Q$20,$J$16,$J$17,$I169,Q$21)</f>
        <v>0</v>
      </c>
      <c r="R169" s="7">
        <f ca="1">_xll.DBRW($I$9,$J$13,$J$15,$J$14,R$20,$J$16,$J$17,$I169,R$21)</f>
        <v>0</v>
      </c>
      <c r="S169" s="7" t="str">
        <f ca="1">_xll.DBR($I$9,$J$13,$J$15,$J$14,S$20,$J$16,$J$17,$I169,S$21)</f>
        <v>*KEY_ERR</v>
      </c>
      <c r="T169" s="7" t="str">
        <f ca="1">_xll.DBR($I$9,$J$13,$J$15,$J$14,T$20,$J$16,$J$17,$I169,T$21)</f>
        <v>*KEY_ERR</v>
      </c>
      <c r="U169" s="7" t="str">
        <f ca="1">_xll.DBR($I$9,$J$13,$J$15,$J$14,U$20,$J$16,$J$17,$I169,U$21)</f>
        <v>*KEY_ERR</v>
      </c>
      <c r="V169" s="7">
        <f ca="1">_xll.DBR($I$9,$J$13,$J$15,$J$14,V$20,$J$16,$J$17,$I169,V$21)</f>
        <v>0</v>
      </c>
      <c r="W169" s="7">
        <f ca="1">_xll.DBR($I$9,$J$13,$J$15,$J$14,W$20,$J$16,$J$17,$I169,W$21)</f>
        <v>0</v>
      </c>
      <c r="X169" s="7">
        <f ca="1">_xll.DBR($I$9,$J$13,$J$15,$J$14,X$20,$J$16,$J$17,$I169,X$21)</f>
        <v>0</v>
      </c>
      <c r="Y169" s="7">
        <f ca="1">_xll.DBR($I$9,$J$13,$J$15,$J$14,Y$20,$J$16,$J$17,$I169,Y$21)</f>
        <v>0</v>
      </c>
      <c r="Z169" s="7">
        <f ca="1">_xll.DBR($I$9,$J$13,$J$15,$J$14,Z$20,$J$16,$J$17,$I169,Z$21)</f>
        <v>0</v>
      </c>
      <c r="AA169" s="7">
        <f ca="1">_xll.DBR($I$9,$J$13,$J$15,$J$14,AA$20,$J$16,$J$17,$I169,AA$21)</f>
        <v>0</v>
      </c>
      <c r="AB169" s="7">
        <f ca="1">_xll.DBR($I$9,$J$13,$J$15,$J$14,AB$20,$J$16,$J$17,$I169,AB$21)</f>
        <v>0</v>
      </c>
      <c r="AC169" s="7">
        <f ca="1">_xll.DBR($I$9,$J$13,$J$15,$J$14,AC$20,$J$16,$J$17,$I169,AC$21)</f>
        <v>0</v>
      </c>
      <c r="AD169" s="7">
        <f ca="1">_xll.DBR($I$9,$J$13,$J$15,$J$14,AD$20,$J$16,$J$17,$I169,AD$21)</f>
        <v>0</v>
      </c>
    </row>
    <row r="170" spans="1:30" x14ac:dyDescent="0.25">
      <c r="A170">
        <f ca="1">IF(_xll.TM1RPTELISCONSOLIDATED($I$22,$I170),IF(_xll.TM1RPTELLEV($I$22,$I170)&lt;=3,_xll.TM1RPTELLEV($I$22,$I170),"D"),"N")</f>
        <v>3</v>
      </c>
      <c r="I170" s="22" t="s">
        <v>153</v>
      </c>
      <c r="J170" s="7">
        <f ca="1">_xll.DBR($I$9,$J$13,$J$15,$J$14,J$20,$J$16,$J$17,$I170,J$21)</f>
        <v>0</v>
      </c>
      <c r="K170" s="7">
        <f ca="1">_xll.DBR($I$9,$J$13,$J$15,$J$14,K$20,$J$16,$J$17,$I170,K$21)</f>
        <v>0</v>
      </c>
      <c r="L170" s="7">
        <f ca="1">_xll.DBRW($I$9,$J$13,$J$15,$J$14,L$20,$J$16,$J$17,$I170,L$21)</f>
        <v>0</v>
      </c>
      <c r="M170" s="7">
        <f ca="1">_xll.DBRW($I$9,$J$13,$J$15,$J$14,M$20,$J$16,$J$17,$I170,M$21)</f>
        <v>0</v>
      </c>
      <c r="N170" s="7">
        <f ca="1">_xll.DBRW($I$9,$J$13,$J$15,$J$14,N$20,$J$16,$J$17,$I170,N$21)</f>
        <v>0</v>
      </c>
      <c r="O170" s="7">
        <f ca="1">_xll.DBRW($I$9,$J$13,$J$15,$J$14,O$20,$J$16,$J$17,$I170,O$21)</f>
        <v>0</v>
      </c>
      <c r="P170" s="7">
        <f ca="1">_xll.DBRW($I$9,$J$13,$J$15,$J$14,P$20,$J$16,$J$17,$I170,P$21)</f>
        <v>0</v>
      </c>
      <c r="Q170" s="7">
        <f ca="1">_xll.DBRW($I$9,$J$13,$J$15,$J$14,Q$20,$J$16,$J$17,$I170,Q$21)</f>
        <v>0</v>
      </c>
      <c r="R170" s="7">
        <f ca="1">_xll.DBRW($I$9,$J$13,$J$15,$J$14,R$20,$J$16,$J$17,$I170,R$21)</f>
        <v>0</v>
      </c>
      <c r="S170" s="7" t="str">
        <f ca="1">_xll.DBR($I$9,$J$13,$J$15,$J$14,S$20,$J$16,$J$17,$I170,S$21)</f>
        <v>*KEY_ERR</v>
      </c>
      <c r="T170" s="7" t="str">
        <f ca="1">_xll.DBR($I$9,$J$13,$J$15,$J$14,T$20,$J$16,$J$17,$I170,T$21)</f>
        <v>*KEY_ERR</v>
      </c>
      <c r="U170" s="7" t="str">
        <f ca="1">_xll.DBR($I$9,$J$13,$J$15,$J$14,U$20,$J$16,$J$17,$I170,U$21)</f>
        <v>*KEY_ERR</v>
      </c>
      <c r="V170" s="7">
        <f ca="1">_xll.DBR($I$9,$J$13,$J$15,$J$14,V$20,$J$16,$J$17,$I170,V$21)</f>
        <v>0</v>
      </c>
      <c r="W170" s="7">
        <f ca="1">_xll.DBR($I$9,$J$13,$J$15,$J$14,W$20,$J$16,$J$17,$I170,W$21)</f>
        <v>0</v>
      </c>
      <c r="X170" s="7">
        <f ca="1">_xll.DBR($I$9,$J$13,$J$15,$J$14,X$20,$J$16,$J$17,$I170,X$21)</f>
        <v>0</v>
      </c>
      <c r="Y170" s="7">
        <f ca="1">_xll.DBR($I$9,$J$13,$J$15,$J$14,Y$20,$J$16,$J$17,$I170,Y$21)</f>
        <v>0</v>
      </c>
      <c r="Z170" s="7">
        <f ca="1">_xll.DBR($I$9,$J$13,$J$15,$J$14,Z$20,$J$16,$J$17,$I170,Z$21)</f>
        <v>0</v>
      </c>
      <c r="AA170" s="7">
        <f ca="1">_xll.DBR($I$9,$J$13,$J$15,$J$14,AA$20,$J$16,$J$17,$I170,AA$21)</f>
        <v>0</v>
      </c>
      <c r="AB170" s="7">
        <f ca="1">_xll.DBR($I$9,$J$13,$J$15,$J$14,AB$20,$J$16,$J$17,$I170,AB$21)</f>
        <v>0</v>
      </c>
      <c r="AC170" s="7">
        <f ca="1">_xll.DBR($I$9,$J$13,$J$15,$J$14,AC$20,$J$16,$J$17,$I170,AC$21)</f>
        <v>0</v>
      </c>
      <c r="AD170" s="7">
        <f ca="1">_xll.DBR($I$9,$J$13,$J$15,$J$14,AD$20,$J$16,$J$17,$I170,AD$21)</f>
        <v>0</v>
      </c>
    </row>
    <row r="171" spans="1:30" x14ac:dyDescent="0.25">
      <c r="A171">
        <f ca="1">IF(_xll.TM1RPTELISCONSOLIDATED($I$22,$I171),IF(_xll.TM1RPTELLEV($I$22,$I171)&lt;=3,_xll.TM1RPTELLEV($I$22,$I171),"D"),"N")</f>
        <v>3</v>
      </c>
      <c r="I171" s="22" t="s">
        <v>154</v>
      </c>
      <c r="J171" s="7">
        <f ca="1">_xll.DBR($I$9,$J$13,$J$15,$J$14,J$20,$J$16,$J$17,$I171,J$21)</f>
        <v>0</v>
      </c>
      <c r="K171" s="7">
        <f ca="1">_xll.DBR($I$9,$J$13,$J$15,$J$14,K$20,$J$16,$J$17,$I171,K$21)</f>
        <v>0</v>
      </c>
      <c r="L171" s="7">
        <f ca="1">_xll.DBRW($I$9,$J$13,$J$15,$J$14,L$20,$J$16,$J$17,$I171,L$21)</f>
        <v>0</v>
      </c>
      <c r="M171" s="7">
        <f ca="1">_xll.DBRW($I$9,$J$13,$J$15,$J$14,M$20,$J$16,$J$17,$I171,M$21)</f>
        <v>0</v>
      </c>
      <c r="N171" s="7">
        <f ca="1">_xll.DBRW($I$9,$J$13,$J$15,$J$14,N$20,$J$16,$J$17,$I171,N$21)</f>
        <v>0</v>
      </c>
      <c r="O171" s="7">
        <f ca="1">_xll.DBRW($I$9,$J$13,$J$15,$J$14,O$20,$J$16,$J$17,$I171,O$21)</f>
        <v>0</v>
      </c>
      <c r="P171" s="7">
        <f ca="1">_xll.DBRW($I$9,$J$13,$J$15,$J$14,P$20,$J$16,$J$17,$I171,P$21)</f>
        <v>0</v>
      </c>
      <c r="Q171" s="7">
        <f ca="1">_xll.DBRW($I$9,$J$13,$J$15,$J$14,Q$20,$J$16,$J$17,$I171,Q$21)</f>
        <v>0</v>
      </c>
      <c r="R171" s="7">
        <f ca="1">_xll.DBRW($I$9,$J$13,$J$15,$J$14,R$20,$J$16,$J$17,$I171,R$21)</f>
        <v>0</v>
      </c>
      <c r="S171" s="7" t="str">
        <f ca="1">_xll.DBR($I$9,$J$13,$J$15,$J$14,S$20,$J$16,$J$17,$I171,S$21)</f>
        <v>*KEY_ERR</v>
      </c>
      <c r="T171" s="7" t="str">
        <f ca="1">_xll.DBR($I$9,$J$13,$J$15,$J$14,T$20,$J$16,$J$17,$I171,T$21)</f>
        <v>*KEY_ERR</v>
      </c>
      <c r="U171" s="7" t="str">
        <f ca="1">_xll.DBR($I$9,$J$13,$J$15,$J$14,U$20,$J$16,$J$17,$I171,U$21)</f>
        <v>*KEY_ERR</v>
      </c>
      <c r="V171" s="7">
        <f ca="1">_xll.DBR($I$9,$J$13,$J$15,$J$14,V$20,$J$16,$J$17,$I171,V$21)</f>
        <v>0</v>
      </c>
      <c r="W171" s="7">
        <f ca="1">_xll.DBR($I$9,$J$13,$J$15,$J$14,W$20,$J$16,$J$17,$I171,W$21)</f>
        <v>0</v>
      </c>
      <c r="X171" s="7">
        <f ca="1">_xll.DBR($I$9,$J$13,$J$15,$J$14,X$20,$J$16,$J$17,$I171,X$21)</f>
        <v>0</v>
      </c>
      <c r="Y171" s="7">
        <f ca="1">_xll.DBR($I$9,$J$13,$J$15,$J$14,Y$20,$J$16,$J$17,$I171,Y$21)</f>
        <v>0</v>
      </c>
      <c r="Z171" s="7">
        <f ca="1">_xll.DBR($I$9,$J$13,$J$15,$J$14,Z$20,$J$16,$J$17,$I171,Z$21)</f>
        <v>0</v>
      </c>
      <c r="AA171" s="7">
        <f ca="1">_xll.DBR($I$9,$J$13,$J$15,$J$14,AA$20,$J$16,$J$17,$I171,AA$21)</f>
        <v>0</v>
      </c>
      <c r="AB171" s="7">
        <f ca="1">_xll.DBR($I$9,$J$13,$J$15,$J$14,AB$20,$J$16,$J$17,$I171,AB$21)</f>
        <v>0</v>
      </c>
      <c r="AC171" s="7">
        <f ca="1">_xll.DBR($I$9,$J$13,$J$15,$J$14,AC$20,$J$16,$J$17,$I171,AC$21)</f>
        <v>0</v>
      </c>
      <c r="AD171" s="7">
        <f ca="1">_xll.DBR($I$9,$J$13,$J$15,$J$14,AD$20,$J$16,$J$17,$I171,AD$21)</f>
        <v>0</v>
      </c>
    </row>
    <row r="172" spans="1:30" x14ac:dyDescent="0.25">
      <c r="A172">
        <f ca="1">IF(_xll.TM1RPTELISCONSOLIDATED($I$22,$I172),IF(_xll.TM1RPTELLEV($I$22,$I172)&lt;=3,_xll.TM1RPTELLEV($I$22,$I172),"D"),"N")</f>
        <v>3</v>
      </c>
      <c r="I172" s="22" t="s">
        <v>208</v>
      </c>
      <c r="J172" s="7">
        <f ca="1">_xll.DBR($I$9,$J$13,$J$15,$J$14,J$20,$J$16,$J$17,$I172,J$21)</f>
        <v>0</v>
      </c>
      <c r="K172" s="7">
        <f ca="1">_xll.DBR($I$9,$J$13,$J$15,$J$14,K$20,$J$16,$J$17,$I172,K$21)</f>
        <v>0</v>
      </c>
      <c r="L172" s="7">
        <f ca="1">_xll.DBRW($I$9,$J$13,$J$15,$J$14,L$20,$J$16,$J$17,$I172,L$21)</f>
        <v>0</v>
      </c>
      <c r="M172" s="7">
        <f ca="1">_xll.DBRW($I$9,$J$13,$J$15,$J$14,M$20,$J$16,$J$17,$I172,M$21)</f>
        <v>0</v>
      </c>
      <c r="N172" s="7">
        <f ca="1">_xll.DBRW($I$9,$J$13,$J$15,$J$14,N$20,$J$16,$J$17,$I172,N$21)</f>
        <v>0</v>
      </c>
      <c r="O172" s="7">
        <f ca="1">_xll.DBRW($I$9,$J$13,$J$15,$J$14,O$20,$J$16,$J$17,$I172,O$21)</f>
        <v>0</v>
      </c>
      <c r="P172" s="7">
        <f ca="1">_xll.DBRW($I$9,$J$13,$J$15,$J$14,P$20,$J$16,$J$17,$I172,P$21)</f>
        <v>0</v>
      </c>
      <c r="Q172" s="7">
        <f ca="1">_xll.DBRW($I$9,$J$13,$J$15,$J$14,Q$20,$J$16,$J$17,$I172,Q$21)</f>
        <v>0</v>
      </c>
      <c r="R172" s="7">
        <f ca="1">_xll.DBRW($I$9,$J$13,$J$15,$J$14,R$20,$J$16,$J$17,$I172,R$21)</f>
        <v>0</v>
      </c>
      <c r="S172" s="7" t="str">
        <f ca="1">_xll.DBR($I$9,$J$13,$J$15,$J$14,S$20,$J$16,$J$17,$I172,S$21)</f>
        <v>*KEY_ERR</v>
      </c>
      <c r="T172" s="7" t="str">
        <f ca="1">_xll.DBR($I$9,$J$13,$J$15,$J$14,T$20,$J$16,$J$17,$I172,T$21)</f>
        <v>*KEY_ERR</v>
      </c>
      <c r="U172" s="7" t="str">
        <f ca="1">_xll.DBR($I$9,$J$13,$J$15,$J$14,U$20,$J$16,$J$17,$I172,U$21)</f>
        <v>*KEY_ERR</v>
      </c>
      <c r="V172" s="7">
        <f ca="1">_xll.DBR($I$9,$J$13,$J$15,$J$14,V$20,$J$16,$J$17,$I172,V$21)</f>
        <v>0</v>
      </c>
      <c r="W172" s="7">
        <f ca="1">_xll.DBR($I$9,$J$13,$J$15,$J$14,W$20,$J$16,$J$17,$I172,W$21)</f>
        <v>0</v>
      </c>
      <c r="X172" s="7">
        <f ca="1">_xll.DBR($I$9,$J$13,$J$15,$J$14,X$20,$J$16,$J$17,$I172,X$21)</f>
        <v>0</v>
      </c>
      <c r="Y172" s="7">
        <f ca="1">_xll.DBR($I$9,$J$13,$J$15,$J$14,Y$20,$J$16,$J$17,$I172,Y$21)</f>
        <v>0</v>
      </c>
      <c r="Z172" s="7">
        <f ca="1">_xll.DBR($I$9,$J$13,$J$15,$J$14,Z$20,$J$16,$J$17,$I172,Z$21)</f>
        <v>0</v>
      </c>
      <c r="AA172" s="7">
        <f ca="1">_xll.DBR($I$9,$J$13,$J$15,$J$14,AA$20,$J$16,$J$17,$I172,AA$21)</f>
        <v>0</v>
      </c>
      <c r="AB172" s="7">
        <f ca="1">_xll.DBR($I$9,$J$13,$J$15,$J$14,AB$20,$J$16,$J$17,$I172,AB$21)</f>
        <v>0</v>
      </c>
      <c r="AC172" s="7">
        <f ca="1">_xll.DBR($I$9,$J$13,$J$15,$J$14,AC$20,$J$16,$J$17,$I172,AC$21)</f>
        <v>0</v>
      </c>
      <c r="AD172" s="7">
        <f ca="1">_xll.DBR($I$9,$J$13,$J$15,$J$14,AD$20,$J$16,$J$17,$I172,AD$21)</f>
        <v>0</v>
      </c>
    </row>
    <row r="173" spans="1:30" x14ac:dyDescent="0.25">
      <c r="A173">
        <f ca="1">IF(_xll.TM1RPTELISCONSOLIDATED($I$22,$I173),IF(_xll.TM1RPTELLEV($I$22,$I173)&lt;=3,_xll.TM1RPTELLEV($I$22,$I173),"D"),"N")</f>
        <v>1</v>
      </c>
      <c r="I173" s="16" t="s">
        <v>157</v>
      </c>
      <c r="J173" s="5">
        <f ca="1">_xll.DBR($I$9,$J$13,$J$15,$J$14,J$20,$J$16,$J$17,$I173,J$21)</f>
        <v>0</v>
      </c>
      <c r="K173" s="5">
        <f ca="1">_xll.DBR($I$9,$J$13,$J$15,$J$14,K$20,$J$16,$J$17,$I173,K$21)</f>
        <v>0</v>
      </c>
      <c r="L173" s="5">
        <f ca="1">_xll.DBRW($I$9,$J$13,$J$15,$J$14,L$20,$J$16,$J$17,$I173,L$21)</f>
        <v>0</v>
      </c>
      <c r="M173" s="5">
        <f ca="1">_xll.DBRW($I$9,$J$13,$J$15,$J$14,M$20,$J$16,$J$17,$I173,M$21)</f>
        <v>0</v>
      </c>
      <c r="N173" s="5">
        <f ca="1">_xll.DBRW($I$9,$J$13,$J$15,$J$14,N$20,$J$16,$J$17,$I173,N$21)</f>
        <v>0</v>
      </c>
      <c r="O173" s="5">
        <f ca="1">_xll.DBRW($I$9,$J$13,$J$15,$J$14,O$20,$J$16,$J$17,$I173,O$21)</f>
        <v>0</v>
      </c>
      <c r="P173" s="5">
        <f ca="1">_xll.DBRW($I$9,$J$13,$J$15,$J$14,P$20,$J$16,$J$17,$I173,P$21)</f>
        <v>0</v>
      </c>
      <c r="Q173" s="5">
        <f ca="1">_xll.DBRW($I$9,$J$13,$J$15,$J$14,Q$20,$J$16,$J$17,$I173,Q$21)</f>
        <v>0</v>
      </c>
      <c r="R173" s="5">
        <f ca="1">_xll.DBRW($I$9,$J$13,$J$15,$J$14,R$20,$J$16,$J$17,$I173,R$21)</f>
        <v>0</v>
      </c>
      <c r="S173" s="5" t="str">
        <f ca="1">_xll.DBR($I$9,$J$13,$J$15,$J$14,S$20,$J$16,$J$17,$I173,S$21)</f>
        <v>*KEY_ERR</v>
      </c>
      <c r="T173" s="5" t="str">
        <f ca="1">_xll.DBR($I$9,$J$13,$J$15,$J$14,T$20,$J$16,$J$17,$I173,T$21)</f>
        <v>*KEY_ERR</v>
      </c>
      <c r="U173" s="5" t="str">
        <f ca="1">_xll.DBR($I$9,$J$13,$J$15,$J$14,U$20,$J$16,$J$17,$I173,U$21)</f>
        <v>*KEY_ERR</v>
      </c>
      <c r="V173" s="5">
        <f ca="1">_xll.DBR($I$9,$J$13,$J$15,$J$14,V$20,$J$16,$J$17,$I173,V$21)</f>
        <v>0</v>
      </c>
      <c r="W173" s="5">
        <f ca="1">_xll.DBR($I$9,$J$13,$J$15,$J$14,W$20,$J$16,$J$17,$I173,W$21)</f>
        <v>0</v>
      </c>
      <c r="X173" s="5">
        <f ca="1">_xll.DBR($I$9,$J$13,$J$15,$J$14,X$20,$J$16,$J$17,$I173,X$21)</f>
        <v>0</v>
      </c>
      <c r="Y173" s="5">
        <f ca="1">_xll.DBR($I$9,$J$13,$J$15,$J$14,Y$20,$J$16,$J$17,$I173,Y$21)</f>
        <v>0</v>
      </c>
      <c r="Z173" s="5">
        <f ca="1">_xll.DBR($I$9,$J$13,$J$15,$J$14,Z$20,$J$16,$J$17,$I173,Z$21)</f>
        <v>0</v>
      </c>
      <c r="AA173" s="5">
        <f ca="1">_xll.DBR($I$9,$J$13,$J$15,$J$14,AA$20,$J$16,$J$17,$I173,AA$21)</f>
        <v>0</v>
      </c>
      <c r="AB173" s="5">
        <f ca="1">_xll.DBR($I$9,$J$13,$J$15,$J$14,AB$20,$J$16,$J$17,$I173,AB$21)</f>
        <v>0</v>
      </c>
      <c r="AC173" s="5">
        <f ca="1">_xll.DBR($I$9,$J$13,$J$15,$J$14,AC$20,$J$16,$J$17,$I173,AC$21)</f>
        <v>0</v>
      </c>
      <c r="AD173" s="5">
        <f ca="1">_xll.DBR($I$9,$J$13,$J$15,$J$14,AD$20,$J$16,$J$17,$I173,AD$21)</f>
        <v>0</v>
      </c>
    </row>
    <row r="174" spans="1:30" x14ac:dyDescent="0.25">
      <c r="A174">
        <f ca="1">IF(_xll.TM1RPTELISCONSOLIDATED($I$22,$I174),IF(_xll.TM1RPTELLEV($I$22,$I174)&lt;=3,_xll.TM1RPTELLEV($I$22,$I174),"D"),"N")</f>
        <v>2</v>
      </c>
      <c r="I174" s="17" t="s">
        <v>158</v>
      </c>
      <c r="J174" s="3">
        <f ca="1">_xll.DBR($I$9,$J$13,$J$15,$J$14,J$20,$J$16,$J$17,$I174,J$21)</f>
        <v>0</v>
      </c>
      <c r="K174" s="3">
        <f ca="1">_xll.DBR($I$9,$J$13,$J$15,$J$14,K$20,$J$16,$J$17,$I174,K$21)</f>
        <v>0</v>
      </c>
      <c r="L174" s="3">
        <f ca="1">_xll.DBRW($I$9,$J$13,$J$15,$J$14,L$20,$J$16,$J$17,$I174,L$21)</f>
        <v>0</v>
      </c>
      <c r="M174" s="3">
        <f ca="1">_xll.DBRW($I$9,$J$13,$J$15,$J$14,M$20,$J$16,$J$17,$I174,M$21)</f>
        <v>0</v>
      </c>
      <c r="N174" s="3">
        <f ca="1">_xll.DBRW($I$9,$J$13,$J$15,$J$14,N$20,$J$16,$J$17,$I174,N$21)</f>
        <v>0</v>
      </c>
      <c r="O174" s="3">
        <f ca="1">_xll.DBRW($I$9,$J$13,$J$15,$J$14,O$20,$J$16,$J$17,$I174,O$21)</f>
        <v>0</v>
      </c>
      <c r="P174" s="3">
        <f ca="1">_xll.DBRW($I$9,$J$13,$J$15,$J$14,P$20,$J$16,$J$17,$I174,P$21)</f>
        <v>0</v>
      </c>
      <c r="Q174" s="3">
        <f ca="1">_xll.DBRW($I$9,$J$13,$J$15,$J$14,Q$20,$J$16,$J$17,$I174,Q$21)</f>
        <v>0</v>
      </c>
      <c r="R174" s="3">
        <f ca="1">_xll.DBRW($I$9,$J$13,$J$15,$J$14,R$20,$J$16,$J$17,$I174,R$21)</f>
        <v>0</v>
      </c>
      <c r="S174" s="3" t="str">
        <f ca="1">_xll.DBR($I$9,$J$13,$J$15,$J$14,S$20,$J$16,$J$17,$I174,S$21)</f>
        <v>*KEY_ERR</v>
      </c>
      <c r="T174" s="3" t="str">
        <f ca="1">_xll.DBR($I$9,$J$13,$J$15,$J$14,T$20,$J$16,$J$17,$I174,T$21)</f>
        <v>*KEY_ERR</v>
      </c>
      <c r="U174" s="3" t="str">
        <f ca="1">_xll.DBR($I$9,$J$13,$J$15,$J$14,U$20,$J$16,$J$17,$I174,U$21)</f>
        <v>*KEY_ERR</v>
      </c>
      <c r="V174" s="3">
        <f ca="1">_xll.DBR($I$9,$J$13,$J$15,$J$14,V$20,$J$16,$J$17,$I174,V$21)</f>
        <v>0</v>
      </c>
      <c r="W174" s="3">
        <f ca="1">_xll.DBR($I$9,$J$13,$J$15,$J$14,W$20,$J$16,$J$17,$I174,W$21)</f>
        <v>0</v>
      </c>
      <c r="X174" s="3">
        <f ca="1">_xll.DBR($I$9,$J$13,$J$15,$J$14,X$20,$J$16,$J$17,$I174,X$21)</f>
        <v>0</v>
      </c>
      <c r="Y174" s="3">
        <f ca="1">_xll.DBR($I$9,$J$13,$J$15,$J$14,Y$20,$J$16,$J$17,$I174,Y$21)</f>
        <v>0</v>
      </c>
      <c r="Z174" s="3">
        <f ca="1">_xll.DBR($I$9,$J$13,$J$15,$J$14,Z$20,$J$16,$J$17,$I174,Z$21)</f>
        <v>0</v>
      </c>
      <c r="AA174" s="3">
        <f ca="1">_xll.DBR($I$9,$J$13,$J$15,$J$14,AA$20,$J$16,$J$17,$I174,AA$21)</f>
        <v>0</v>
      </c>
      <c r="AB174" s="3">
        <f ca="1">_xll.DBR($I$9,$J$13,$J$15,$J$14,AB$20,$J$16,$J$17,$I174,AB$21)</f>
        <v>0</v>
      </c>
      <c r="AC174" s="3">
        <f ca="1">_xll.DBR($I$9,$J$13,$J$15,$J$14,AC$20,$J$16,$J$17,$I174,AC$21)</f>
        <v>0</v>
      </c>
      <c r="AD174" s="3">
        <f ca="1">_xll.DBR($I$9,$J$13,$J$15,$J$14,AD$20,$J$16,$J$17,$I174,AD$21)</f>
        <v>0</v>
      </c>
    </row>
    <row r="175" spans="1:30" x14ac:dyDescent="0.25">
      <c r="A175">
        <f ca="1">IF(_xll.TM1RPTELISCONSOLIDATED($I$22,$I175),IF(_xll.TM1RPTELLEV($I$22,$I175)&lt;=3,_xll.TM1RPTELLEV($I$22,$I175),"D"),"N")</f>
        <v>3</v>
      </c>
      <c r="I175" s="22" t="s">
        <v>159</v>
      </c>
      <c r="J175" s="7">
        <f ca="1">_xll.DBR($I$9,$J$13,$J$15,$J$14,J$20,$J$16,$J$17,$I175,J$21)</f>
        <v>0</v>
      </c>
      <c r="K175" s="7">
        <f ca="1">_xll.DBR($I$9,$J$13,$J$15,$J$14,K$20,$J$16,$J$17,$I175,K$21)</f>
        <v>0</v>
      </c>
      <c r="L175" s="7">
        <f ca="1">_xll.DBRW($I$9,$J$13,$J$15,$J$14,L$20,$J$16,$J$17,$I175,L$21)</f>
        <v>0</v>
      </c>
      <c r="M175" s="7">
        <f ca="1">_xll.DBRW($I$9,$J$13,$J$15,$J$14,M$20,$J$16,$J$17,$I175,M$21)</f>
        <v>0</v>
      </c>
      <c r="N175" s="7">
        <f ca="1">_xll.DBRW($I$9,$J$13,$J$15,$J$14,N$20,$J$16,$J$17,$I175,N$21)</f>
        <v>0</v>
      </c>
      <c r="O175" s="7">
        <f ca="1">_xll.DBRW($I$9,$J$13,$J$15,$J$14,O$20,$J$16,$J$17,$I175,O$21)</f>
        <v>0</v>
      </c>
      <c r="P175" s="7">
        <f ca="1">_xll.DBRW($I$9,$J$13,$J$15,$J$14,P$20,$J$16,$J$17,$I175,P$21)</f>
        <v>0</v>
      </c>
      <c r="Q175" s="7">
        <f ca="1">_xll.DBRW($I$9,$J$13,$J$15,$J$14,Q$20,$J$16,$J$17,$I175,Q$21)</f>
        <v>0</v>
      </c>
      <c r="R175" s="7">
        <f ca="1">_xll.DBRW($I$9,$J$13,$J$15,$J$14,R$20,$J$16,$J$17,$I175,R$21)</f>
        <v>0</v>
      </c>
      <c r="S175" s="7" t="str">
        <f ca="1">_xll.DBR($I$9,$J$13,$J$15,$J$14,S$20,$J$16,$J$17,$I175,S$21)</f>
        <v>*KEY_ERR</v>
      </c>
      <c r="T175" s="7" t="str">
        <f ca="1">_xll.DBR($I$9,$J$13,$J$15,$J$14,T$20,$J$16,$J$17,$I175,T$21)</f>
        <v>*KEY_ERR</v>
      </c>
      <c r="U175" s="7" t="str">
        <f ca="1">_xll.DBR($I$9,$J$13,$J$15,$J$14,U$20,$J$16,$J$17,$I175,U$21)</f>
        <v>*KEY_ERR</v>
      </c>
      <c r="V175" s="7">
        <f ca="1">_xll.DBR($I$9,$J$13,$J$15,$J$14,V$20,$J$16,$J$17,$I175,V$21)</f>
        <v>0</v>
      </c>
      <c r="W175" s="7">
        <f ca="1">_xll.DBR($I$9,$J$13,$J$15,$J$14,W$20,$J$16,$J$17,$I175,W$21)</f>
        <v>0</v>
      </c>
      <c r="X175" s="7">
        <f ca="1">_xll.DBR($I$9,$J$13,$J$15,$J$14,X$20,$J$16,$J$17,$I175,X$21)</f>
        <v>0</v>
      </c>
      <c r="Y175" s="7">
        <f ca="1">_xll.DBR($I$9,$J$13,$J$15,$J$14,Y$20,$J$16,$J$17,$I175,Y$21)</f>
        <v>0</v>
      </c>
      <c r="Z175" s="7">
        <f ca="1">_xll.DBR($I$9,$J$13,$J$15,$J$14,Z$20,$J$16,$J$17,$I175,Z$21)</f>
        <v>0</v>
      </c>
      <c r="AA175" s="7">
        <f ca="1">_xll.DBR($I$9,$J$13,$J$15,$J$14,AA$20,$J$16,$J$17,$I175,AA$21)</f>
        <v>0</v>
      </c>
      <c r="AB175" s="7">
        <f ca="1">_xll.DBR($I$9,$J$13,$J$15,$J$14,AB$20,$J$16,$J$17,$I175,AB$21)</f>
        <v>0</v>
      </c>
      <c r="AC175" s="7">
        <f ca="1">_xll.DBR($I$9,$J$13,$J$15,$J$14,AC$20,$J$16,$J$17,$I175,AC$21)</f>
        <v>0</v>
      </c>
      <c r="AD175" s="7">
        <f ca="1">_xll.DBR($I$9,$J$13,$J$15,$J$14,AD$20,$J$16,$J$17,$I175,AD$21)</f>
        <v>0</v>
      </c>
    </row>
    <row r="176" spans="1:30" x14ac:dyDescent="0.25">
      <c r="A176">
        <f ca="1">IF(_xll.TM1RPTELISCONSOLIDATED($I$22,$I176),IF(_xll.TM1RPTELLEV($I$22,$I176)&lt;=3,_xll.TM1RPTELLEV($I$22,$I176),"D"),"N")</f>
        <v>3</v>
      </c>
      <c r="I176" s="22" t="s">
        <v>160</v>
      </c>
      <c r="J176" s="7">
        <f ca="1">_xll.DBR($I$9,$J$13,$J$15,$J$14,J$20,$J$16,$J$17,$I176,J$21)</f>
        <v>0</v>
      </c>
      <c r="K176" s="7">
        <f ca="1">_xll.DBR($I$9,$J$13,$J$15,$J$14,K$20,$J$16,$J$17,$I176,K$21)</f>
        <v>0</v>
      </c>
      <c r="L176" s="7">
        <f ca="1">_xll.DBRW($I$9,$J$13,$J$15,$J$14,L$20,$J$16,$J$17,$I176,L$21)</f>
        <v>0</v>
      </c>
      <c r="M176" s="7">
        <f ca="1">_xll.DBRW($I$9,$J$13,$J$15,$J$14,M$20,$J$16,$J$17,$I176,M$21)</f>
        <v>0</v>
      </c>
      <c r="N176" s="7">
        <f ca="1">_xll.DBRW($I$9,$J$13,$J$15,$J$14,N$20,$J$16,$J$17,$I176,N$21)</f>
        <v>0</v>
      </c>
      <c r="O176" s="7">
        <f ca="1">_xll.DBRW($I$9,$J$13,$J$15,$J$14,O$20,$J$16,$J$17,$I176,O$21)</f>
        <v>0</v>
      </c>
      <c r="P176" s="7">
        <f ca="1">_xll.DBRW($I$9,$J$13,$J$15,$J$14,P$20,$J$16,$J$17,$I176,P$21)</f>
        <v>0</v>
      </c>
      <c r="Q176" s="7">
        <f ca="1">_xll.DBRW($I$9,$J$13,$J$15,$J$14,Q$20,$J$16,$J$17,$I176,Q$21)</f>
        <v>0</v>
      </c>
      <c r="R176" s="7">
        <f ca="1">_xll.DBRW($I$9,$J$13,$J$15,$J$14,R$20,$J$16,$J$17,$I176,R$21)</f>
        <v>0</v>
      </c>
      <c r="S176" s="7" t="str">
        <f ca="1">_xll.DBR($I$9,$J$13,$J$15,$J$14,S$20,$J$16,$J$17,$I176,S$21)</f>
        <v>*KEY_ERR</v>
      </c>
      <c r="T176" s="7" t="str">
        <f ca="1">_xll.DBR($I$9,$J$13,$J$15,$J$14,T$20,$J$16,$J$17,$I176,T$21)</f>
        <v>*KEY_ERR</v>
      </c>
      <c r="U176" s="7" t="str">
        <f ca="1">_xll.DBR($I$9,$J$13,$J$15,$J$14,U$20,$J$16,$J$17,$I176,U$21)</f>
        <v>*KEY_ERR</v>
      </c>
      <c r="V176" s="7">
        <f ca="1">_xll.DBR($I$9,$J$13,$J$15,$J$14,V$20,$J$16,$J$17,$I176,V$21)</f>
        <v>0</v>
      </c>
      <c r="W176" s="7">
        <f ca="1">_xll.DBR($I$9,$J$13,$J$15,$J$14,W$20,$J$16,$J$17,$I176,W$21)</f>
        <v>0</v>
      </c>
      <c r="X176" s="7">
        <f ca="1">_xll.DBR($I$9,$J$13,$J$15,$J$14,X$20,$J$16,$J$17,$I176,X$21)</f>
        <v>0</v>
      </c>
      <c r="Y176" s="7">
        <f ca="1">_xll.DBR($I$9,$J$13,$J$15,$J$14,Y$20,$J$16,$J$17,$I176,Y$21)</f>
        <v>0</v>
      </c>
      <c r="Z176" s="7">
        <f ca="1">_xll.DBR($I$9,$J$13,$J$15,$J$14,Z$20,$J$16,$J$17,$I176,Z$21)</f>
        <v>0</v>
      </c>
      <c r="AA176" s="7">
        <f ca="1">_xll.DBR($I$9,$J$13,$J$15,$J$14,AA$20,$J$16,$J$17,$I176,AA$21)</f>
        <v>0</v>
      </c>
      <c r="AB176" s="7">
        <f ca="1">_xll.DBR($I$9,$J$13,$J$15,$J$14,AB$20,$J$16,$J$17,$I176,AB$21)</f>
        <v>0</v>
      </c>
      <c r="AC176" s="7">
        <f ca="1">_xll.DBR($I$9,$J$13,$J$15,$J$14,AC$20,$J$16,$J$17,$I176,AC$21)</f>
        <v>0</v>
      </c>
      <c r="AD176" s="7">
        <f ca="1">_xll.DBR($I$9,$J$13,$J$15,$J$14,AD$20,$J$16,$J$17,$I176,AD$21)</f>
        <v>0</v>
      </c>
    </row>
    <row r="177" spans="1:30" x14ac:dyDescent="0.25">
      <c r="A177">
        <f ca="1">IF(_xll.TM1RPTELISCONSOLIDATED($I$22,$I177),IF(_xll.TM1RPTELLEV($I$22,$I177)&lt;=3,_xll.TM1RPTELLEV($I$22,$I177),"D"),"N")</f>
        <v>3</v>
      </c>
      <c r="I177" s="22" t="s">
        <v>161</v>
      </c>
      <c r="J177" s="7">
        <f ca="1">_xll.DBR($I$9,$J$13,$J$15,$J$14,J$20,$J$16,$J$17,$I177,J$21)</f>
        <v>0</v>
      </c>
      <c r="K177" s="7">
        <f ca="1">_xll.DBR($I$9,$J$13,$J$15,$J$14,K$20,$J$16,$J$17,$I177,K$21)</f>
        <v>0</v>
      </c>
      <c r="L177" s="7">
        <f ca="1">_xll.DBRW($I$9,$J$13,$J$15,$J$14,L$20,$J$16,$J$17,$I177,L$21)</f>
        <v>0</v>
      </c>
      <c r="M177" s="7">
        <f ca="1">_xll.DBRW($I$9,$J$13,$J$15,$J$14,M$20,$J$16,$J$17,$I177,M$21)</f>
        <v>0</v>
      </c>
      <c r="N177" s="7">
        <f ca="1">_xll.DBRW($I$9,$J$13,$J$15,$J$14,N$20,$J$16,$J$17,$I177,N$21)</f>
        <v>0</v>
      </c>
      <c r="O177" s="7">
        <f ca="1">_xll.DBRW($I$9,$J$13,$J$15,$J$14,O$20,$J$16,$J$17,$I177,O$21)</f>
        <v>0</v>
      </c>
      <c r="P177" s="7">
        <f ca="1">_xll.DBRW($I$9,$J$13,$J$15,$J$14,P$20,$J$16,$J$17,$I177,P$21)</f>
        <v>0</v>
      </c>
      <c r="Q177" s="7">
        <f ca="1">_xll.DBRW($I$9,$J$13,$J$15,$J$14,Q$20,$J$16,$J$17,$I177,Q$21)</f>
        <v>0</v>
      </c>
      <c r="R177" s="7">
        <f ca="1">_xll.DBRW($I$9,$J$13,$J$15,$J$14,R$20,$J$16,$J$17,$I177,R$21)</f>
        <v>0</v>
      </c>
      <c r="S177" s="7" t="str">
        <f ca="1">_xll.DBR($I$9,$J$13,$J$15,$J$14,S$20,$J$16,$J$17,$I177,S$21)</f>
        <v>*KEY_ERR</v>
      </c>
      <c r="T177" s="7" t="str">
        <f ca="1">_xll.DBR($I$9,$J$13,$J$15,$J$14,T$20,$J$16,$J$17,$I177,T$21)</f>
        <v>*KEY_ERR</v>
      </c>
      <c r="U177" s="7" t="str">
        <f ca="1">_xll.DBR($I$9,$J$13,$J$15,$J$14,U$20,$J$16,$J$17,$I177,U$21)</f>
        <v>*KEY_ERR</v>
      </c>
      <c r="V177" s="7">
        <f ca="1">_xll.DBR($I$9,$J$13,$J$15,$J$14,V$20,$J$16,$J$17,$I177,V$21)</f>
        <v>0</v>
      </c>
      <c r="W177" s="7">
        <f ca="1">_xll.DBR($I$9,$J$13,$J$15,$J$14,W$20,$J$16,$J$17,$I177,W$21)</f>
        <v>0</v>
      </c>
      <c r="X177" s="7">
        <f ca="1">_xll.DBR($I$9,$J$13,$J$15,$J$14,X$20,$J$16,$J$17,$I177,X$21)</f>
        <v>0</v>
      </c>
      <c r="Y177" s="7">
        <f ca="1">_xll.DBR($I$9,$J$13,$J$15,$J$14,Y$20,$J$16,$J$17,$I177,Y$21)</f>
        <v>0</v>
      </c>
      <c r="Z177" s="7">
        <f ca="1">_xll.DBR($I$9,$J$13,$J$15,$J$14,Z$20,$J$16,$J$17,$I177,Z$21)</f>
        <v>0</v>
      </c>
      <c r="AA177" s="7">
        <f ca="1">_xll.DBR($I$9,$J$13,$J$15,$J$14,AA$20,$J$16,$J$17,$I177,AA$21)</f>
        <v>0</v>
      </c>
      <c r="AB177" s="7">
        <f ca="1">_xll.DBR($I$9,$J$13,$J$15,$J$14,AB$20,$J$16,$J$17,$I177,AB$21)</f>
        <v>0</v>
      </c>
      <c r="AC177" s="7">
        <f ca="1">_xll.DBR($I$9,$J$13,$J$15,$J$14,AC$20,$J$16,$J$17,$I177,AC$21)</f>
        <v>0</v>
      </c>
      <c r="AD177" s="7">
        <f ca="1">_xll.DBR($I$9,$J$13,$J$15,$J$14,AD$20,$J$16,$J$17,$I177,AD$21)</f>
        <v>0</v>
      </c>
    </row>
    <row r="178" spans="1:30" x14ac:dyDescent="0.25">
      <c r="A178">
        <f ca="1">IF(_xll.TM1RPTELISCONSOLIDATED($I$22,$I178),IF(_xll.TM1RPTELLEV($I$22,$I178)&lt;=3,_xll.TM1RPTELLEV($I$22,$I178),"D"),"N")</f>
        <v>3</v>
      </c>
      <c r="I178" s="22" t="s">
        <v>162</v>
      </c>
      <c r="J178" s="7">
        <f ca="1">_xll.DBR($I$9,$J$13,$J$15,$J$14,J$20,$J$16,$J$17,$I178,J$21)</f>
        <v>0</v>
      </c>
      <c r="K178" s="7">
        <f ca="1">_xll.DBR($I$9,$J$13,$J$15,$J$14,K$20,$J$16,$J$17,$I178,K$21)</f>
        <v>0</v>
      </c>
      <c r="L178" s="7">
        <f ca="1">_xll.DBRW($I$9,$J$13,$J$15,$J$14,L$20,$J$16,$J$17,$I178,L$21)</f>
        <v>0</v>
      </c>
      <c r="M178" s="7">
        <f ca="1">_xll.DBRW($I$9,$J$13,$J$15,$J$14,M$20,$J$16,$J$17,$I178,M$21)</f>
        <v>0</v>
      </c>
      <c r="N178" s="7">
        <f ca="1">_xll.DBRW($I$9,$J$13,$J$15,$J$14,N$20,$J$16,$J$17,$I178,N$21)</f>
        <v>0</v>
      </c>
      <c r="O178" s="7">
        <f ca="1">_xll.DBRW($I$9,$J$13,$J$15,$J$14,O$20,$J$16,$J$17,$I178,O$21)</f>
        <v>0</v>
      </c>
      <c r="P178" s="7">
        <f ca="1">_xll.DBRW($I$9,$J$13,$J$15,$J$14,P$20,$J$16,$J$17,$I178,P$21)</f>
        <v>0</v>
      </c>
      <c r="Q178" s="7">
        <f ca="1">_xll.DBRW($I$9,$J$13,$J$15,$J$14,Q$20,$J$16,$J$17,$I178,Q$21)</f>
        <v>0</v>
      </c>
      <c r="R178" s="7">
        <f ca="1">_xll.DBRW($I$9,$J$13,$J$15,$J$14,R$20,$J$16,$J$17,$I178,R$21)</f>
        <v>0</v>
      </c>
      <c r="S178" s="7" t="str">
        <f ca="1">_xll.DBR($I$9,$J$13,$J$15,$J$14,S$20,$J$16,$J$17,$I178,S$21)</f>
        <v>*KEY_ERR</v>
      </c>
      <c r="T178" s="7" t="str">
        <f ca="1">_xll.DBR($I$9,$J$13,$J$15,$J$14,T$20,$J$16,$J$17,$I178,T$21)</f>
        <v>*KEY_ERR</v>
      </c>
      <c r="U178" s="7" t="str">
        <f ca="1">_xll.DBR($I$9,$J$13,$J$15,$J$14,U$20,$J$16,$J$17,$I178,U$21)</f>
        <v>*KEY_ERR</v>
      </c>
      <c r="V178" s="7">
        <f ca="1">_xll.DBR($I$9,$J$13,$J$15,$J$14,V$20,$J$16,$J$17,$I178,V$21)</f>
        <v>0</v>
      </c>
      <c r="W178" s="7">
        <f ca="1">_xll.DBR($I$9,$J$13,$J$15,$J$14,W$20,$J$16,$J$17,$I178,W$21)</f>
        <v>0</v>
      </c>
      <c r="X178" s="7">
        <f ca="1">_xll.DBR($I$9,$J$13,$J$15,$J$14,X$20,$J$16,$J$17,$I178,X$21)</f>
        <v>0</v>
      </c>
      <c r="Y178" s="7">
        <f ca="1">_xll.DBR($I$9,$J$13,$J$15,$J$14,Y$20,$J$16,$J$17,$I178,Y$21)</f>
        <v>0</v>
      </c>
      <c r="Z178" s="7">
        <f ca="1">_xll.DBR($I$9,$J$13,$J$15,$J$14,Z$20,$J$16,$J$17,$I178,Z$21)</f>
        <v>0</v>
      </c>
      <c r="AA178" s="7">
        <f ca="1">_xll.DBR($I$9,$J$13,$J$15,$J$14,AA$20,$J$16,$J$17,$I178,AA$21)</f>
        <v>0</v>
      </c>
      <c r="AB178" s="7">
        <f ca="1">_xll.DBR($I$9,$J$13,$J$15,$J$14,AB$20,$J$16,$J$17,$I178,AB$21)</f>
        <v>0</v>
      </c>
      <c r="AC178" s="7">
        <f ca="1">_xll.DBR($I$9,$J$13,$J$15,$J$14,AC$20,$J$16,$J$17,$I178,AC$21)</f>
        <v>0</v>
      </c>
      <c r="AD178" s="7">
        <f ca="1">_xll.DBR($I$9,$J$13,$J$15,$J$14,AD$20,$J$16,$J$17,$I178,AD$21)</f>
        <v>0</v>
      </c>
    </row>
    <row r="179" spans="1:30" x14ac:dyDescent="0.25">
      <c r="A179">
        <f ca="1">IF(_xll.TM1RPTELISCONSOLIDATED($I$22,$I179),IF(_xll.TM1RPTELLEV($I$22,$I179)&lt;=3,_xll.TM1RPTELLEV($I$22,$I179),"D"),"N")</f>
        <v>3</v>
      </c>
      <c r="I179" s="23" t="s">
        <v>163</v>
      </c>
      <c r="J179" s="7">
        <f ca="1">_xll.DBR($I$9,$J$13,$J$15,$J$14,J$20,$J$16,$J$17,$I179,J$21)</f>
        <v>0</v>
      </c>
      <c r="K179" s="7">
        <f ca="1">_xll.DBR($I$9,$J$13,$J$15,$J$14,K$20,$J$16,$J$17,$I179,K$21)</f>
        <v>0</v>
      </c>
      <c r="L179" s="7">
        <f ca="1">_xll.DBRW($I$9,$J$13,$J$15,$J$14,L$20,$J$16,$J$17,$I179,L$21)</f>
        <v>0</v>
      </c>
      <c r="M179" s="7">
        <f ca="1">_xll.DBRW($I$9,$J$13,$J$15,$J$14,M$20,$J$16,$J$17,$I179,M$21)</f>
        <v>0</v>
      </c>
      <c r="N179" s="7">
        <f ca="1">_xll.DBRW($I$9,$J$13,$J$15,$J$14,N$20,$J$16,$J$17,$I179,N$21)</f>
        <v>0</v>
      </c>
      <c r="O179" s="7">
        <f ca="1">_xll.DBRW($I$9,$J$13,$J$15,$J$14,O$20,$J$16,$J$17,$I179,O$21)</f>
        <v>0</v>
      </c>
      <c r="P179" s="7">
        <f ca="1">_xll.DBRW($I$9,$J$13,$J$15,$J$14,P$20,$J$16,$J$17,$I179,P$21)</f>
        <v>0</v>
      </c>
      <c r="Q179" s="7">
        <f ca="1">_xll.DBRW($I$9,$J$13,$J$15,$J$14,Q$20,$J$16,$J$17,$I179,Q$21)</f>
        <v>0</v>
      </c>
      <c r="R179" s="7">
        <f ca="1">_xll.DBRW($I$9,$J$13,$J$15,$J$14,R$20,$J$16,$J$17,$I179,R$21)</f>
        <v>0</v>
      </c>
      <c r="S179" s="7" t="str">
        <f ca="1">_xll.DBR($I$9,$J$13,$J$15,$J$14,S$20,$J$16,$J$17,$I179,S$21)</f>
        <v>*KEY_ERR</v>
      </c>
      <c r="T179" s="7" t="str">
        <f ca="1">_xll.DBR($I$9,$J$13,$J$15,$J$14,T$20,$J$16,$J$17,$I179,T$21)</f>
        <v>*KEY_ERR</v>
      </c>
      <c r="U179" s="7" t="str">
        <f ca="1">_xll.DBR($I$9,$J$13,$J$15,$J$14,U$20,$J$16,$J$17,$I179,U$21)</f>
        <v>*KEY_ERR</v>
      </c>
      <c r="V179" s="7">
        <f ca="1">_xll.DBR($I$9,$J$13,$J$15,$J$14,V$20,$J$16,$J$17,$I179,V$21)</f>
        <v>0</v>
      </c>
      <c r="W179" s="7">
        <f ca="1">_xll.DBR($I$9,$J$13,$J$15,$J$14,W$20,$J$16,$J$17,$I179,W$21)</f>
        <v>0</v>
      </c>
      <c r="X179" s="7">
        <f ca="1">_xll.DBR($I$9,$J$13,$J$15,$J$14,X$20,$J$16,$J$17,$I179,X$21)</f>
        <v>0</v>
      </c>
      <c r="Y179" s="7">
        <f ca="1">_xll.DBR($I$9,$J$13,$J$15,$J$14,Y$20,$J$16,$J$17,$I179,Y$21)</f>
        <v>0</v>
      </c>
      <c r="Z179" s="7">
        <f ca="1">_xll.DBR($I$9,$J$13,$J$15,$J$14,Z$20,$J$16,$J$17,$I179,Z$21)</f>
        <v>0</v>
      </c>
      <c r="AA179" s="7">
        <f ca="1">_xll.DBR($I$9,$J$13,$J$15,$J$14,AA$20,$J$16,$J$17,$I179,AA$21)</f>
        <v>0</v>
      </c>
      <c r="AB179" s="7">
        <f ca="1">_xll.DBR($I$9,$J$13,$J$15,$J$14,AB$20,$J$16,$J$17,$I179,AB$21)</f>
        <v>0</v>
      </c>
      <c r="AC179" s="7">
        <f ca="1">_xll.DBR($I$9,$J$13,$J$15,$J$14,AC$20,$J$16,$J$17,$I179,AC$21)</f>
        <v>0</v>
      </c>
      <c r="AD179" s="7">
        <f ca="1">_xll.DBR($I$9,$J$13,$J$15,$J$14,AD$20,$J$16,$J$17,$I179,AD$21)</f>
        <v>0</v>
      </c>
    </row>
    <row r="180" spans="1:30" x14ac:dyDescent="0.25">
      <c r="A180" t="str">
        <f ca="1">IF(_xll.TM1RPTELISCONSOLIDATED($I$22,$I180),IF(_xll.TM1RPTELLEV($I$22,$I180)&lt;=3,_xll.TM1RPTELLEV($I$22,$I180),"D"),"N")</f>
        <v>D</v>
      </c>
      <c r="I180" s="18" t="s">
        <v>164</v>
      </c>
      <c r="J180" s="9">
        <f ca="1">_xll.DBR($I$9,$J$13,$J$15,$J$14,J$20,$J$16,$J$17,$I180,J$21)</f>
        <v>0</v>
      </c>
      <c r="K180" s="9">
        <f ca="1">_xll.DBR($I$9,$J$13,$J$15,$J$14,K$20,$J$16,$J$17,$I180,K$21)</f>
        <v>0</v>
      </c>
      <c r="L180" s="9">
        <f ca="1">_xll.DBRW($I$9,$J$13,$J$15,$J$14,L$20,$J$16,$J$17,$I180,L$21)</f>
        <v>0</v>
      </c>
      <c r="M180" s="9">
        <f ca="1">_xll.DBRW($I$9,$J$13,$J$15,$J$14,M$20,$J$16,$J$17,$I180,M$21)</f>
        <v>0</v>
      </c>
      <c r="N180" s="9">
        <f ca="1">_xll.DBRW($I$9,$J$13,$J$15,$J$14,N$20,$J$16,$J$17,$I180,N$21)</f>
        <v>0</v>
      </c>
      <c r="O180" s="9">
        <f ca="1">_xll.DBRW($I$9,$J$13,$J$15,$J$14,O$20,$J$16,$J$17,$I180,O$21)</f>
        <v>0</v>
      </c>
      <c r="P180" s="9">
        <f ca="1">_xll.DBRW($I$9,$J$13,$J$15,$J$14,P$20,$J$16,$J$17,$I180,P$21)</f>
        <v>0</v>
      </c>
      <c r="Q180" s="9">
        <f ca="1">_xll.DBRW($I$9,$J$13,$J$15,$J$14,Q$20,$J$16,$J$17,$I180,Q$21)</f>
        <v>0</v>
      </c>
      <c r="R180" s="9">
        <f ca="1">_xll.DBRW($I$9,$J$13,$J$15,$J$14,R$20,$J$16,$J$17,$I180,R$21)</f>
        <v>0</v>
      </c>
      <c r="S180" s="9" t="str">
        <f ca="1">_xll.DBR($I$9,$J$13,$J$15,$J$14,S$20,$J$16,$J$17,$I180,S$21)</f>
        <v>*KEY_ERR</v>
      </c>
      <c r="T180" s="9" t="str">
        <f ca="1">_xll.DBR($I$9,$J$13,$J$15,$J$14,T$20,$J$16,$J$17,$I180,T$21)</f>
        <v>*KEY_ERR</v>
      </c>
      <c r="U180" s="9" t="str">
        <f ca="1">_xll.DBR($I$9,$J$13,$J$15,$J$14,U$20,$J$16,$J$17,$I180,U$21)</f>
        <v>*KEY_ERR</v>
      </c>
      <c r="V180" s="9">
        <f ca="1">_xll.DBR($I$9,$J$13,$J$15,$J$14,V$20,$J$16,$J$17,$I180,V$21)</f>
        <v>0</v>
      </c>
      <c r="W180" s="9">
        <f ca="1">_xll.DBR($I$9,$J$13,$J$15,$J$14,W$20,$J$16,$J$17,$I180,W$21)</f>
        <v>0</v>
      </c>
      <c r="X180" s="9">
        <f ca="1">_xll.DBR($I$9,$J$13,$J$15,$J$14,X$20,$J$16,$J$17,$I180,X$21)</f>
        <v>0</v>
      </c>
      <c r="Y180" s="9">
        <f ca="1">_xll.DBR($I$9,$J$13,$J$15,$J$14,Y$20,$J$16,$J$17,$I180,Y$21)</f>
        <v>0</v>
      </c>
      <c r="Z180" s="9">
        <f ca="1">_xll.DBR($I$9,$J$13,$J$15,$J$14,Z$20,$J$16,$J$17,$I180,Z$21)</f>
        <v>0</v>
      </c>
      <c r="AA180" s="9">
        <f ca="1">_xll.DBR($I$9,$J$13,$J$15,$J$14,AA$20,$J$16,$J$17,$I180,AA$21)</f>
        <v>0</v>
      </c>
      <c r="AB180" s="9">
        <f ca="1">_xll.DBR($I$9,$J$13,$J$15,$J$14,AB$20,$J$16,$J$17,$I180,AB$21)</f>
        <v>0</v>
      </c>
      <c r="AC180" s="9">
        <f ca="1">_xll.DBR($I$9,$J$13,$J$15,$J$14,AC$20,$J$16,$J$17,$I180,AC$21)</f>
        <v>0</v>
      </c>
      <c r="AD180" s="9">
        <f ca="1">_xll.DBR($I$9,$J$13,$J$15,$J$14,AD$20,$J$16,$J$17,$I180,AD$21)</f>
        <v>0</v>
      </c>
    </row>
    <row r="181" spans="1:30" x14ac:dyDescent="0.25">
      <c r="A181" t="str">
        <f ca="1">IF(_xll.TM1RPTELISCONSOLIDATED($I$22,$I181),IF(_xll.TM1RPTELLEV($I$22,$I181)&lt;=3,_xll.TM1RPTELLEV($I$22,$I181),"D"),"N")</f>
        <v>D</v>
      </c>
      <c r="I181" s="18" t="s">
        <v>165</v>
      </c>
      <c r="J181" s="9">
        <f ca="1">_xll.DBR($I$9,$J$13,$J$15,$J$14,J$20,$J$16,$J$17,$I181,J$21)</f>
        <v>0</v>
      </c>
      <c r="K181" s="9">
        <f ca="1">_xll.DBR($I$9,$J$13,$J$15,$J$14,K$20,$J$16,$J$17,$I181,K$21)</f>
        <v>0</v>
      </c>
      <c r="L181" s="9">
        <f ca="1">_xll.DBRW($I$9,$J$13,$J$15,$J$14,L$20,$J$16,$J$17,$I181,L$21)</f>
        <v>0</v>
      </c>
      <c r="M181" s="9">
        <f ca="1">_xll.DBRW($I$9,$J$13,$J$15,$J$14,M$20,$J$16,$J$17,$I181,M$21)</f>
        <v>0</v>
      </c>
      <c r="N181" s="9">
        <f ca="1">_xll.DBRW($I$9,$J$13,$J$15,$J$14,N$20,$J$16,$J$17,$I181,N$21)</f>
        <v>0</v>
      </c>
      <c r="O181" s="9">
        <f ca="1">_xll.DBRW($I$9,$J$13,$J$15,$J$14,O$20,$J$16,$J$17,$I181,O$21)</f>
        <v>0</v>
      </c>
      <c r="P181" s="9">
        <f ca="1">_xll.DBRW($I$9,$J$13,$J$15,$J$14,P$20,$J$16,$J$17,$I181,P$21)</f>
        <v>0</v>
      </c>
      <c r="Q181" s="9">
        <f ca="1">_xll.DBRW($I$9,$J$13,$J$15,$J$14,Q$20,$J$16,$J$17,$I181,Q$21)</f>
        <v>0</v>
      </c>
      <c r="R181" s="9">
        <f ca="1">_xll.DBRW($I$9,$J$13,$J$15,$J$14,R$20,$J$16,$J$17,$I181,R$21)</f>
        <v>0</v>
      </c>
      <c r="S181" s="9" t="str">
        <f ca="1">_xll.DBR($I$9,$J$13,$J$15,$J$14,S$20,$J$16,$J$17,$I181,S$21)</f>
        <v>*KEY_ERR</v>
      </c>
      <c r="T181" s="9" t="str">
        <f ca="1">_xll.DBR($I$9,$J$13,$J$15,$J$14,T$20,$J$16,$J$17,$I181,T$21)</f>
        <v>*KEY_ERR</v>
      </c>
      <c r="U181" s="9" t="str">
        <f ca="1">_xll.DBR($I$9,$J$13,$J$15,$J$14,U$20,$J$16,$J$17,$I181,U$21)</f>
        <v>*KEY_ERR</v>
      </c>
      <c r="V181" s="9">
        <f ca="1">_xll.DBR($I$9,$J$13,$J$15,$J$14,V$20,$J$16,$J$17,$I181,V$21)</f>
        <v>0</v>
      </c>
      <c r="W181" s="9">
        <f ca="1">_xll.DBR($I$9,$J$13,$J$15,$J$14,W$20,$J$16,$J$17,$I181,W$21)</f>
        <v>0</v>
      </c>
      <c r="X181" s="9">
        <f ca="1">_xll.DBR($I$9,$J$13,$J$15,$J$14,X$20,$J$16,$J$17,$I181,X$21)</f>
        <v>0</v>
      </c>
      <c r="Y181" s="9">
        <f ca="1">_xll.DBR($I$9,$J$13,$J$15,$J$14,Y$20,$J$16,$J$17,$I181,Y$21)</f>
        <v>0</v>
      </c>
      <c r="Z181" s="9">
        <f ca="1">_xll.DBR($I$9,$J$13,$J$15,$J$14,Z$20,$J$16,$J$17,$I181,Z$21)</f>
        <v>0</v>
      </c>
      <c r="AA181" s="9">
        <f ca="1">_xll.DBR($I$9,$J$13,$J$15,$J$14,AA$20,$J$16,$J$17,$I181,AA$21)</f>
        <v>0</v>
      </c>
      <c r="AB181" s="9">
        <f ca="1">_xll.DBR($I$9,$J$13,$J$15,$J$14,AB$20,$J$16,$J$17,$I181,AB$21)</f>
        <v>0</v>
      </c>
      <c r="AC181" s="9">
        <f ca="1">_xll.DBR($I$9,$J$13,$J$15,$J$14,AC$20,$J$16,$J$17,$I181,AC$21)</f>
        <v>0</v>
      </c>
      <c r="AD181" s="9">
        <f ca="1">_xll.DBR($I$9,$J$13,$J$15,$J$14,AD$20,$J$16,$J$17,$I181,AD$21)</f>
        <v>0</v>
      </c>
    </row>
    <row r="182" spans="1:30" x14ac:dyDescent="0.25">
      <c r="A182" t="str">
        <f ca="1">IF(_xll.TM1RPTELISCONSOLIDATED($I$22,$I182),IF(_xll.TM1RPTELLEV($I$22,$I182)&lt;=3,_xll.TM1RPTELLEV($I$22,$I182),"D"),"N")</f>
        <v>D</v>
      </c>
      <c r="I182" s="18" t="s">
        <v>166</v>
      </c>
      <c r="J182" s="9">
        <f ca="1">_xll.DBR($I$9,$J$13,$J$15,$J$14,J$20,$J$16,$J$17,$I182,J$21)</f>
        <v>0</v>
      </c>
      <c r="K182" s="9">
        <f ca="1">_xll.DBR($I$9,$J$13,$J$15,$J$14,K$20,$J$16,$J$17,$I182,K$21)</f>
        <v>0</v>
      </c>
      <c r="L182" s="9">
        <f ca="1">_xll.DBRW($I$9,$J$13,$J$15,$J$14,L$20,$J$16,$J$17,$I182,L$21)</f>
        <v>0</v>
      </c>
      <c r="M182" s="9">
        <f ca="1">_xll.DBRW($I$9,$J$13,$J$15,$J$14,M$20,$J$16,$J$17,$I182,M$21)</f>
        <v>0</v>
      </c>
      <c r="N182" s="9">
        <f ca="1">_xll.DBRW($I$9,$J$13,$J$15,$J$14,N$20,$J$16,$J$17,$I182,N$21)</f>
        <v>0</v>
      </c>
      <c r="O182" s="9">
        <f ca="1">_xll.DBRW($I$9,$J$13,$J$15,$J$14,O$20,$J$16,$J$17,$I182,O$21)</f>
        <v>0</v>
      </c>
      <c r="P182" s="9">
        <f ca="1">_xll.DBRW($I$9,$J$13,$J$15,$J$14,P$20,$J$16,$J$17,$I182,P$21)</f>
        <v>0</v>
      </c>
      <c r="Q182" s="9">
        <f ca="1">_xll.DBRW($I$9,$J$13,$J$15,$J$14,Q$20,$J$16,$J$17,$I182,Q$21)</f>
        <v>0</v>
      </c>
      <c r="R182" s="9">
        <f ca="1">_xll.DBRW($I$9,$J$13,$J$15,$J$14,R$20,$J$16,$J$17,$I182,R$21)</f>
        <v>0</v>
      </c>
      <c r="S182" s="9" t="str">
        <f ca="1">_xll.DBR($I$9,$J$13,$J$15,$J$14,S$20,$J$16,$J$17,$I182,S$21)</f>
        <v>*KEY_ERR</v>
      </c>
      <c r="T182" s="9" t="str">
        <f ca="1">_xll.DBR($I$9,$J$13,$J$15,$J$14,T$20,$J$16,$J$17,$I182,T$21)</f>
        <v>*KEY_ERR</v>
      </c>
      <c r="U182" s="9" t="str">
        <f ca="1">_xll.DBR($I$9,$J$13,$J$15,$J$14,U$20,$J$16,$J$17,$I182,U$21)</f>
        <v>*KEY_ERR</v>
      </c>
      <c r="V182" s="9">
        <f ca="1">_xll.DBR($I$9,$J$13,$J$15,$J$14,V$20,$J$16,$J$17,$I182,V$21)</f>
        <v>0</v>
      </c>
      <c r="W182" s="9">
        <f ca="1">_xll.DBR($I$9,$J$13,$J$15,$J$14,W$20,$J$16,$J$17,$I182,W$21)</f>
        <v>0</v>
      </c>
      <c r="X182" s="9">
        <f ca="1">_xll.DBR($I$9,$J$13,$J$15,$J$14,X$20,$J$16,$J$17,$I182,X$21)</f>
        <v>0</v>
      </c>
      <c r="Y182" s="9">
        <f ca="1">_xll.DBR($I$9,$J$13,$J$15,$J$14,Y$20,$J$16,$J$17,$I182,Y$21)</f>
        <v>0</v>
      </c>
      <c r="Z182" s="9">
        <f ca="1">_xll.DBR($I$9,$J$13,$J$15,$J$14,Z$20,$J$16,$J$17,$I182,Z$21)</f>
        <v>0</v>
      </c>
      <c r="AA182" s="9">
        <f ca="1">_xll.DBR($I$9,$J$13,$J$15,$J$14,AA$20,$J$16,$J$17,$I182,AA$21)</f>
        <v>0</v>
      </c>
      <c r="AB182" s="9">
        <f ca="1">_xll.DBR($I$9,$J$13,$J$15,$J$14,AB$20,$J$16,$J$17,$I182,AB$21)</f>
        <v>0</v>
      </c>
      <c r="AC182" s="9">
        <f ca="1">_xll.DBR($I$9,$J$13,$J$15,$J$14,AC$20,$J$16,$J$17,$I182,AC$21)</f>
        <v>0</v>
      </c>
      <c r="AD182" s="9">
        <f ca="1">_xll.DBR($I$9,$J$13,$J$15,$J$14,AD$20,$J$16,$J$17,$I182,AD$21)</f>
        <v>0</v>
      </c>
    </row>
    <row r="183" spans="1:30" x14ac:dyDescent="0.25">
      <c r="A183" t="str">
        <f ca="1">IF(_xll.TM1RPTELISCONSOLIDATED($I$22,$I183),IF(_xll.TM1RPTELLEV($I$22,$I183)&lt;=3,_xll.TM1RPTELLEV($I$22,$I183),"D"),"N")</f>
        <v>D</v>
      </c>
      <c r="I183" s="18" t="s">
        <v>167</v>
      </c>
      <c r="J183" s="9">
        <f ca="1">_xll.DBR($I$9,$J$13,$J$15,$J$14,J$20,$J$16,$J$17,$I183,J$21)</f>
        <v>0</v>
      </c>
      <c r="K183" s="9">
        <f ca="1">_xll.DBR($I$9,$J$13,$J$15,$J$14,K$20,$J$16,$J$17,$I183,K$21)</f>
        <v>0</v>
      </c>
      <c r="L183" s="9">
        <f ca="1">_xll.DBRW($I$9,$J$13,$J$15,$J$14,L$20,$J$16,$J$17,$I183,L$21)</f>
        <v>0</v>
      </c>
      <c r="M183" s="9">
        <f ca="1">_xll.DBRW($I$9,$J$13,$J$15,$J$14,M$20,$J$16,$J$17,$I183,M$21)</f>
        <v>0</v>
      </c>
      <c r="N183" s="9">
        <f ca="1">_xll.DBRW($I$9,$J$13,$J$15,$J$14,N$20,$J$16,$J$17,$I183,N$21)</f>
        <v>0</v>
      </c>
      <c r="O183" s="9">
        <f ca="1">_xll.DBRW($I$9,$J$13,$J$15,$J$14,O$20,$J$16,$J$17,$I183,O$21)</f>
        <v>0</v>
      </c>
      <c r="P183" s="9">
        <f ca="1">_xll.DBRW($I$9,$J$13,$J$15,$J$14,P$20,$J$16,$J$17,$I183,P$21)</f>
        <v>0</v>
      </c>
      <c r="Q183" s="9">
        <f ca="1">_xll.DBRW($I$9,$J$13,$J$15,$J$14,Q$20,$J$16,$J$17,$I183,Q$21)</f>
        <v>0</v>
      </c>
      <c r="R183" s="9">
        <f ca="1">_xll.DBRW($I$9,$J$13,$J$15,$J$14,R$20,$J$16,$J$17,$I183,R$21)</f>
        <v>0</v>
      </c>
      <c r="S183" s="9" t="str">
        <f ca="1">_xll.DBR($I$9,$J$13,$J$15,$J$14,S$20,$J$16,$J$17,$I183,S$21)</f>
        <v>*KEY_ERR</v>
      </c>
      <c r="T183" s="9" t="str">
        <f ca="1">_xll.DBR($I$9,$J$13,$J$15,$J$14,T$20,$J$16,$J$17,$I183,T$21)</f>
        <v>*KEY_ERR</v>
      </c>
      <c r="U183" s="9" t="str">
        <f ca="1">_xll.DBR($I$9,$J$13,$J$15,$J$14,U$20,$J$16,$J$17,$I183,U$21)</f>
        <v>*KEY_ERR</v>
      </c>
      <c r="V183" s="9">
        <f ca="1">_xll.DBR($I$9,$J$13,$J$15,$J$14,V$20,$J$16,$J$17,$I183,V$21)</f>
        <v>0</v>
      </c>
      <c r="W183" s="9">
        <f ca="1">_xll.DBR($I$9,$J$13,$J$15,$J$14,W$20,$J$16,$J$17,$I183,W$21)</f>
        <v>0</v>
      </c>
      <c r="X183" s="9">
        <f ca="1">_xll.DBR($I$9,$J$13,$J$15,$J$14,X$20,$J$16,$J$17,$I183,X$21)</f>
        <v>0</v>
      </c>
      <c r="Y183" s="9">
        <f ca="1">_xll.DBR($I$9,$J$13,$J$15,$J$14,Y$20,$J$16,$J$17,$I183,Y$21)</f>
        <v>0</v>
      </c>
      <c r="Z183" s="9">
        <f ca="1">_xll.DBR($I$9,$J$13,$J$15,$J$14,Z$20,$J$16,$J$17,$I183,Z$21)</f>
        <v>0</v>
      </c>
      <c r="AA183" s="9">
        <f ca="1">_xll.DBR($I$9,$J$13,$J$15,$J$14,AA$20,$J$16,$J$17,$I183,AA$21)</f>
        <v>0</v>
      </c>
      <c r="AB183" s="9">
        <f ca="1">_xll.DBR($I$9,$J$13,$J$15,$J$14,AB$20,$J$16,$J$17,$I183,AB$21)</f>
        <v>0</v>
      </c>
      <c r="AC183" s="9">
        <f ca="1">_xll.DBR($I$9,$J$13,$J$15,$J$14,AC$20,$J$16,$J$17,$I183,AC$21)</f>
        <v>0</v>
      </c>
      <c r="AD183" s="9">
        <f ca="1">_xll.DBR($I$9,$J$13,$J$15,$J$14,AD$20,$J$16,$J$17,$I183,AD$21)</f>
        <v>0</v>
      </c>
    </row>
    <row r="184" spans="1:30" x14ac:dyDescent="0.25">
      <c r="A184" t="str">
        <f ca="1">IF(_xll.TM1RPTELISCONSOLIDATED($I$22,$I184),IF(_xll.TM1RPTELLEV($I$22,$I184)&lt;=3,_xll.TM1RPTELLEV($I$22,$I184),"D"),"N")</f>
        <v>D</v>
      </c>
      <c r="I184" s="18" t="s">
        <v>168</v>
      </c>
      <c r="J184" s="9">
        <f ca="1">_xll.DBR($I$9,$J$13,$J$15,$J$14,J$20,$J$16,$J$17,$I184,J$21)</f>
        <v>0</v>
      </c>
      <c r="K184" s="9">
        <f ca="1">_xll.DBR($I$9,$J$13,$J$15,$J$14,K$20,$J$16,$J$17,$I184,K$21)</f>
        <v>0</v>
      </c>
      <c r="L184" s="9">
        <f ca="1">_xll.DBRW($I$9,$J$13,$J$15,$J$14,L$20,$J$16,$J$17,$I184,L$21)</f>
        <v>0</v>
      </c>
      <c r="M184" s="9">
        <f ca="1">_xll.DBRW($I$9,$J$13,$J$15,$J$14,M$20,$J$16,$J$17,$I184,M$21)</f>
        <v>0</v>
      </c>
      <c r="N184" s="9">
        <f ca="1">_xll.DBRW($I$9,$J$13,$J$15,$J$14,N$20,$J$16,$J$17,$I184,N$21)</f>
        <v>0</v>
      </c>
      <c r="O184" s="9">
        <f ca="1">_xll.DBRW($I$9,$J$13,$J$15,$J$14,O$20,$J$16,$J$17,$I184,O$21)</f>
        <v>0</v>
      </c>
      <c r="P184" s="9">
        <f ca="1">_xll.DBRW($I$9,$J$13,$J$15,$J$14,P$20,$J$16,$J$17,$I184,P$21)</f>
        <v>0</v>
      </c>
      <c r="Q184" s="9">
        <f ca="1">_xll.DBRW($I$9,$J$13,$J$15,$J$14,Q$20,$J$16,$J$17,$I184,Q$21)</f>
        <v>0</v>
      </c>
      <c r="R184" s="9">
        <f ca="1">_xll.DBRW($I$9,$J$13,$J$15,$J$14,R$20,$J$16,$J$17,$I184,R$21)</f>
        <v>0</v>
      </c>
      <c r="S184" s="9" t="str">
        <f ca="1">_xll.DBR($I$9,$J$13,$J$15,$J$14,S$20,$J$16,$J$17,$I184,S$21)</f>
        <v>*KEY_ERR</v>
      </c>
      <c r="T184" s="9" t="str">
        <f ca="1">_xll.DBR($I$9,$J$13,$J$15,$J$14,T$20,$J$16,$J$17,$I184,T$21)</f>
        <v>*KEY_ERR</v>
      </c>
      <c r="U184" s="9" t="str">
        <f ca="1">_xll.DBR($I$9,$J$13,$J$15,$J$14,U$20,$J$16,$J$17,$I184,U$21)</f>
        <v>*KEY_ERR</v>
      </c>
      <c r="V184" s="9">
        <f ca="1">_xll.DBR($I$9,$J$13,$J$15,$J$14,V$20,$J$16,$J$17,$I184,V$21)</f>
        <v>0</v>
      </c>
      <c r="W184" s="9">
        <f ca="1">_xll.DBR($I$9,$J$13,$J$15,$J$14,W$20,$J$16,$J$17,$I184,W$21)</f>
        <v>0</v>
      </c>
      <c r="X184" s="9">
        <f ca="1">_xll.DBR($I$9,$J$13,$J$15,$J$14,X$20,$J$16,$J$17,$I184,X$21)</f>
        <v>0</v>
      </c>
      <c r="Y184" s="9">
        <f ca="1">_xll.DBR($I$9,$J$13,$J$15,$J$14,Y$20,$J$16,$J$17,$I184,Y$21)</f>
        <v>0</v>
      </c>
      <c r="Z184" s="9">
        <f ca="1">_xll.DBR($I$9,$J$13,$J$15,$J$14,Z$20,$J$16,$J$17,$I184,Z$21)</f>
        <v>0</v>
      </c>
      <c r="AA184" s="9">
        <f ca="1">_xll.DBR($I$9,$J$13,$J$15,$J$14,AA$20,$J$16,$J$17,$I184,AA$21)</f>
        <v>0</v>
      </c>
      <c r="AB184" s="9">
        <f ca="1">_xll.DBR($I$9,$J$13,$J$15,$J$14,AB$20,$J$16,$J$17,$I184,AB$21)</f>
        <v>0</v>
      </c>
      <c r="AC184" s="9">
        <f ca="1">_xll.DBR($I$9,$J$13,$J$15,$J$14,AC$20,$J$16,$J$17,$I184,AC$21)</f>
        <v>0</v>
      </c>
      <c r="AD184" s="9">
        <f ca="1">_xll.DBR($I$9,$J$13,$J$15,$J$14,AD$20,$J$16,$J$17,$I184,AD$21)</f>
        <v>0</v>
      </c>
    </row>
    <row r="185" spans="1:30" x14ac:dyDescent="0.25">
      <c r="A185" t="str">
        <f ca="1">IF(_xll.TM1RPTELISCONSOLIDATED($I$22,$I185),IF(_xll.TM1RPTELLEV($I$22,$I185)&lt;=3,_xll.TM1RPTELLEV($I$22,$I185),"D"),"N")</f>
        <v>D</v>
      </c>
      <c r="I185" s="18" t="s">
        <v>169</v>
      </c>
      <c r="J185" s="9">
        <f ca="1">_xll.DBR($I$9,$J$13,$J$15,$J$14,J$20,$J$16,$J$17,$I185,J$21)</f>
        <v>0</v>
      </c>
      <c r="K185" s="9">
        <f ca="1">_xll.DBR($I$9,$J$13,$J$15,$J$14,K$20,$J$16,$J$17,$I185,K$21)</f>
        <v>0</v>
      </c>
      <c r="L185" s="9">
        <f ca="1">_xll.DBRW($I$9,$J$13,$J$15,$J$14,L$20,$J$16,$J$17,$I185,L$21)</f>
        <v>0</v>
      </c>
      <c r="M185" s="9">
        <f ca="1">_xll.DBRW($I$9,$J$13,$J$15,$J$14,M$20,$J$16,$J$17,$I185,M$21)</f>
        <v>0</v>
      </c>
      <c r="N185" s="9">
        <f ca="1">_xll.DBRW($I$9,$J$13,$J$15,$J$14,N$20,$J$16,$J$17,$I185,N$21)</f>
        <v>0</v>
      </c>
      <c r="O185" s="9">
        <f ca="1">_xll.DBRW($I$9,$J$13,$J$15,$J$14,O$20,$J$16,$J$17,$I185,O$21)</f>
        <v>0</v>
      </c>
      <c r="P185" s="9">
        <f ca="1">_xll.DBRW($I$9,$J$13,$J$15,$J$14,P$20,$J$16,$J$17,$I185,P$21)</f>
        <v>0</v>
      </c>
      <c r="Q185" s="9">
        <f ca="1">_xll.DBRW($I$9,$J$13,$J$15,$J$14,Q$20,$J$16,$J$17,$I185,Q$21)</f>
        <v>0</v>
      </c>
      <c r="R185" s="9">
        <f ca="1">_xll.DBRW($I$9,$J$13,$J$15,$J$14,R$20,$J$16,$J$17,$I185,R$21)</f>
        <v>0</v>
      </c>
      <c r="S185" s="9" t="str">
        <f ca="1">_xll.DBR($I$9,$J$13,$J$15,$J$14,S$20,$J$16,$J$17,$I185,S$21)</f>
        <v>*KEY_ERR</v>
      </c>
      <c r="T185" s="9" t="str">
        <f ca="1">_xll.DBR($I$9,$J$13,$J$15,$J$14,T$20,$J$16,$J$17,$I185,T$21)</f>
        <v>*KEY_ERR</v>
      </c>
      <c r="U185" s="9" t="str">
        <f ca="1">_xll.DBR($I$9,$J$13,$J$15,$J$14,U$20,$J$16,$J$17,$I185,U$21)</f>
        <v>*KEY_ERR</v>
      </c>
      <c r="V185" s="9">
        <f ca="1">_xll.DBR($I$9,$J$13,$J$15,$J$14,V$20,$J$16,$J$17,$I185,V$21)</f>
        <v>0</v>
      </c>
      <c r="W185" s="9">
        <f ca="1">_xll.DBR($I$9,$J$13,$J$15,$J$14,W$20,$J$16,$J$17,$I185,W$21)</f>
        <v>0</v>
      </c>
      <c r="X185" s="9">
        <f ca="1">_xll.DBR($I$9,$J$13,$J$15,$J$14,X$20,$J$16,$J$17,$I185,X$21)</f>
        <v>0</v>
      </c>
      <c r="Y185" s="9">
        <f ca="1">_xll.DBR($I$9,$J$13,$J$15,$J$14,Y$20,$J$16,$J$17,$I185,Y$21)</f>
        <v>0</v>
      </c>
      <c r="Z185" s="9">
        <f ca="1">_xll.DBR($I$9,$J$13,$J$15,$J$14,Z$20,$J$16,$J$17,$I185,Z$21)</f>
        <v>0</v>
      </c>
      <c r="AA185" s="9">
        <f ca="1">_xll.DBR($I$9,$J$13,$J$15,$J$14,AA$20,$J$16,$J$17,$I185,AA$21)</f>
        <v>0</v>
      </c>
      <c r="AB185" s="9">
        <f ca="1">_xll.DBR($I$9,$J$13,$J$15,$J$14,AB$20,$J$16,$J$17,$I185,AB$21)</f>
        <v>0</v>
      </c>
      <c r="AC185" s="9">
        <f ca="1">_xll.DBR($I$9,$J$13,$J$15,$J$14,AC$20,$J$16,$J$17,$I185,AC$21)</f>
        <v>0</v>
      </c>
      <c r="AD185" s="9">
        <f ca="1">_xll.DBR($I$9,$J$13,$J$15,$J$14,AD$20,$J$16,$J$17,$I185,AD$21)</f>
        <v>0</v>
      </c>
    </row>
    <row r="186" spans="1:30" x14ac:dyDescent="0.25">
      <c r="A186">
        <f ca="1">IF(_xll.TM1RPTELISCONSOLIDATED($I$22,$I186),IF(_xll.TM1RPTELLEV($I$22,$I186)&lt;=3,_xll.TM1RPTELLEV($I$22,$I186),"D"),"N")</f>
        <v>3</v>
      </c>
      <c r="I186" s="22" t="s">
        <v>186</v>
      </c>
      <c r="J186" s="7">
        <f ca="1">_xll.DBR($I$9,$J$13,$J$15,$J$14,J$20,$J$16,$J$17,$I186,J$21)</f>
        <v>0</v>
      </c>
      <c r="K186" s="7">
        <f ca="1">_xll.DBR($I$9,$J$13,$J$15,$J$14,K$20,$J$16,$J$17,$I186,K$21)</f>
        <v>0</v>
      </c>
      <c r="L186" s="7">
        <f ca="1">_xll.DBRW($I$9,$J$13,$J$15,$J$14,L$20,$J$16,$J$17,$I186,L$21)</f>
        <v>0</v>
      </c>
      <c r="M186" s="7">
        <f ca="1">_xll.DBRW($I$9,$J$13,$J$15,$J$14,M$20,$J$16,$J$17,$I186,M$21)</f>
        <v>0</v>
      </c>
      <c r="N186" s="7">
        <f ca="1">_xll.DBRW($I$9,$J$13,$J$15,$J$14,N$20,$J$16,$J$17,$I186,N$21)</f>
        <v>0</v>
      </c>
      <c r="O186" s="7">
        <f ca="1">_xll.DBRW($I$9,$J$13,$J$15,$J$14,O$20,$J$16,$J$17,$I186,O$21)</f>
        <v>0</v>
      </c>
      <c r="P186" s="7">
        <f ca="1">_xll.DBRW($I$9,$J$13,$J$15,$J$14,P$20,$J$16,$J$17,$I186,P$21)</f>
        <v>0</v>
      </c>
      <c r="Q186" s="7">
        <f ca="1">_xll.DBRW($I$9,$J$13,$J$15,$J$14,Q$20,$J$16,$J$17,$I186,Q$21)</f>
        <v>0</v>
      </c>
      <c r="R186" s="7">
        <f ca="1">_xll.DBRW($I$9,$J$13,$J$15,$J$14,R$20,$J$16,$J$17,$I186,R$21)</f>
        <v>0</v>
      </c>
      <c r="S186" s="7" t="str">
        <f ca="1">_xll.DBR($I$9,$J$13,$J$15,$J$14,S$20,$J$16,$J$17,$I186,S$21)</f>
        <v>*KEY_ERR</v>
      </c>
      <c r="T186" s="7" t="str">
        <f ca="1">_xll.DBR($I$9,$J$13,$J$15,$J$14,T$20,$J$16,$J$17,$I186,T$21)</f>
        <v>*KEY_ERR</v>
      </c>
      <c r="U186" s="7" t="str">
        <f ca="1">_xll.DBR($I$9,$J$13,$J$15,$J$14,U$20,$J$16,$J$17,$I186,U$21)</f>
        <v>*KEY_ERR</v>
      </c>
      <c r="V186" s="7">
        <f ca="1">_xll.DBR($I$9,$J$13,$J$15,$J$14,V$20,$J$16,$J$17,$I186,V$21)</f>
        <v>0</v>
      </c>
      <c r="W186" s="7">
        <f ca="1">_xll.DBR($I$9,$J$13,$J$15,$J$14,W$20,$J$16,$J$17,$I186,W$21)</f>
        <v>0</v>
      </c>
      <c r="X186" s="7">
        <f ca="1">_xll.DBR($I$9,$J$13,$J$15,$J$14,X$20,$J$16,$J$17,$I186,X$21)</f>
        <v>0</v>
      </c>
      <c r="Y186" s="7">
        <f ca="1">_xll.DBR($I$9,$J$13,$J$15,$J$14,Y$20,$J$16,$J$17,$I186,Y$21)</f>
        <v>0</v>
      </c>
      <c r="Z186" s="7">
        <f ca="1">_xll.DBR($I$9,$J$13,$J$15,$J$14,Z$20,$J$16,$J$17,$I186,Z$21)</f>
        <v>0</v>
      </c>
      <c r="AA186" s="7">
        <f ca="1">_xll.DBR($I$9,$J$13,$J$15,$J$14,AA$20,$J$16,$J$17,$I186,AA$21)</f>
        <v>0</v>
      </c>
      <c r="AB186" s="7">
        <f ca="1">_xll.DBR($I$9,$J$13,$J$15,$J$14,AB$20,$J$16,$J$17,$I186,AB$21)</f>
        <v>0</v>
      </c>
      <c r="AC186" s="7">
        <f ca="1">_xll.DBR($I$9,$J$13,$J$15,$J$14,AC$20,$J$16,$J$17,$I186,AC$21)</f>
        <v>0</v>
      </c>
      <c r="AD186" s="7">
        <f ca="1">_xll.DBR($I$9,$J$13,$J$15,$J$14,AD$20,$J$16,$J$17,$I186,AD$21)</f>
        <v>0</v>
      </c>
    </row>
    <row r="187" spans="1:30" x14ac:dyDescent="0.25">
      <c r="A187">
        <f ca="1">IF(_xll.TM1RPTELISCONSOLIDATED($I$22,$I187),IF(_xll.TM1RPTELLEV($I$22,$I187)&lt;=3,_xll.TM1RPTELLEV($I$22,$I187),"D"),"N")</f>
        <v>3</v>
      </c>
      <c r="I187" s="22" t="s">
        <v>209</v>
      </c>
      <c r="J187" s="7">
        <f ca="1">_xll.DBR($I$9,$J$13,$J$15,$J$14,J$20,$J$16,$J$17,$I187,J$21)</f>
        <v>0</v>
      </c>
      <c r="K187" s="7">
        <f ca="1">_xll.DBR($I$9,$J$13,$J$15,$J$14,K$20,$J$16,$J$17,$I187,K$21)</f>
        <v>0</v>
      </c>
      <c r="L187" s="7">
        <f ca="1">_xll.DBRW($I$9,$J$13,$J$15,$J$14,L$20,$J$16,$J$17,$I187,L$21)</f>
        <v>0</v>
      </c>
      <c r="M187" s="7">
        <f ca="1">_xll.DBRW($I$9,$J$13,$J$15,$J$14,M$20,$J$16,$J$17,$I187,M$21)</f>
        <v>0</v>
      </c>
      <c r="N187" s="7">
        <f ca="1">_xll.DBRW($I$9,$J$13,$J$15,$J$14,N$20,$J$16,$J$17,$I187,N$21)</f>
        <v>0</v>
      </c>
      <c r="O187" s="7">
        <f ca="1">_xll.DBRW($I$9,$J$13,$J$15,$J$14,O$20,$J$16,$J$17,$I187,O$21)</f>
        <v>0</v>
      </c>
      <c r="P187" s="7">
        <f ca="1">_xll.DBRW($I$9,$J$13,$J$15,$J$14,P$20,$J$16,$J$17,$I187,P$21)</f>
        <v>0</v>
      </c>
      <c r="Q187" s="7">
        <f ca="1">_xll.DBRW($I$9,$J$13,$J$15,$J$14,Q$20,$J$16,$J$17,$I187,Q$21)</f>
        <v>0</v>
      </c>
      <c r="R187" s="7">
        <f ca="1">_xll.DBRW($I$9,$J$13,$J$15,$J$14,R$20,$J$16,$J$17,$I187,R$21)</f>
        <v>0</v>
      </c>
      <c r="S187" s="7" t="str">
        <f ca="1">_xll.DBR($I$9,$J$13,$J$15,$J$14,S$20,$J$16,$J$17,$I187,S$21)</f>
        <v>*KEY_ERR</v>
      </c>
      <c r="T187" s="7" t="str">
        <f ca="1">_xll.DBR($I$9,$J$13,$J$15,$J$14,T$20,$J$16,$J$17,$I187,T$21)</f>
        <v>*KEY_ERR</v>
      </c>
      <c r="U187" s="7" t="str">
        <f ca="1">_xll.DBR($I$9,$J$13,$J$15,$J$14,U$20,$J$16,$J$17,$I187,U$21)</f>
        <v>*KEY_ERR</v>
      </c>
      <c r="V187" s="7">
        <f ca="1">_xll.DBR($I$9,$J$13,$J$15,$J$14,V$20,$J$16,$J$17,$I187,V$21)</f>
        <v>0</v>
      </c>
      <c r="W187" s="7">
        <f ca="1">_xll.DBR($I$9,$J$13,$J$15,$J$14,W$20,$J$16,$J$17,$I187,W$21)</f>
        <v>0</v>
      </c>
      <c r="X187" s="7">
        <f ca="1">_xll.DBR($I$9,$J$13,$J$15,$J$14,X$20,$J$16,$J$17,$I187,X$21)</f>
        <v>0</v>
      </c>
      <c r="Y187" s="7">
        <f ca="1">_xll.DBR($I$9,$J$13,$J$15,$J$14,Y$20,$J$16,$J$17,$I187,Y$21)</f>
        <v>0</v>
      </c>
      <c r="Z187" s="7">
        <f ca="1">_xll.DBR($I$9,$J$13,$J$15,$J$14,Z$20,$J$16,$J$17,$I187,Z$21)</f>
        <v>0</v>
      </c>
      <c r="AA187" s="7">
        <f ca="1">_xll.DBR($I$9,$J$13,$J$15,$J$14,AA$20,$J$16,$J$17,$I187,AA$21)</f>
        <v>0</v>
      </c>
      <c r="AB187" s="7">
        <f ca="1">_xll.DBR($I$9,$J$13,$J$15,$J$14,AB$20,$J$16,$J$17,$I187,AB$21)</f>
        <v>0</v>
      </c>
      <c r="AC187" s="7">
        <f ca="1">_xll.DBR($I$9,$J$13,$J$15,$J$14,AC$20,$J$16,$J$17,$I187,AC$21)</f>
        <v>0</v>
      </c>
      <c r="AD187" s="7">
        <f ca="1">_xll.DBR($I$9,$J$13,$J$15,$J$14,AD$20,$J$16,$J$17,$I187,AD$21)</f>
        <v>0</v>
      </c>
    </row>
    <row r="188" spans="1:30" x14ac:dyDescent="0.25">
      <c r="A188">
        <f ca="1">IF(_xll.TM1RPTELISCONSOLIDATED($I$22,$I188),IF(_xll.TM1RPTELLEV($I$22,$I188)&lt;=3,_xll.TM1RPTELLEV($I$22,$I188),"D"),"N")</f>
        <v>3</v>
      </c>
      <c r="I188" s="22" t="s">
        <v>210</v>
      </c>
      <c r="J188" s="7">
        <f ca="1">_xll.DBR($I$9,$J$13,$J$15,$J$14,J$20,$J$16,$J$17,$I188,J$21)</f>
        <v>0</v>
      </c>
      <c r="K188" s="7">
        <f ca="1">_xll.DBR($I$9,$J$13,$J$15,$J$14,K$20,$J$16,$J$17,$I188,K$21)</f>
        <v>0</v>
      </c>
      <c r="L188" s="7">
        <f ca="1">_xll.DBRW($I$9,$J$13,$J$15,$J$14,L$20,$J$16,$J$17,$I188,L$21)</f>
        <v>0</v>
      </c>
      <c r="M188" s="7">
        <f ca="1">_xll.DBRW($I$9,$J$13,$J$15,$J$14,M$20,$J$16,$J$17,$I188,M$21)</f>
        <v>0</v>
      </c>
      <c r="N188" s="7">
        <f ca="1">_xll.DBRW($I$9,$J$13,$J$15,$J$14,N$20,$J$16,$J$17,$I188,N$21)</f>
        <v>0</v>
      </c>
      <c r="O188" s="7">
        <f ca="1">_xll.DBRW($I$9,$J$13,$J$15,$J$14,O$20,$J$16,$J$17,$I188,O$21)</f>
        <v>0</v>
      </c>
      <c r="P188" s="7">
        <f ca="1">_xll.DBRW($I$9,$J$13,$J$15,$J$14,P$20,$J$16,$J$17,$I188,P$21)</f>
        <v>0</v>
      </c>
      <c r="Q188" s="7">
        <f ca="1">_xll.DBRW($I$9,$J$13,$J$15,$J$14,Q$20,$J$16,$J$17,$I188,Q$21)</f>
        <v>0</v>
      </c>
      <c r="R188" s="7">
        <f ca="1">_xll.DBRW($I$9,$J$13,$J$15,$J$14,R$20,$J$16,$J$17,$I188,R$21)</f>
        <v>0</v>
      </c>
      <c r="S188" s="7" t="str">
        <f ca="1">_xll.DBR($I$9,$J$13,$J$15,$J$14,S$20,$J$16,$J$17,$I188,S$21)</f>
        <v>*KEY_ERR</v>
      </c>
      <c r="T188" s="7" t="str">
        <f ca="1">_xll.DBR($I$9,$J$13,$J$15,$J$14,T$20,$J$16,$J$17,$I188,T$21)</f>
        <v>*KEY_ERR</v>
      </c>
      <c r="U188" s="7" t="str">
        <f ca="1">_xll.DBR($I$9,$J$13,$J$15,$J$14,U$20,$J$16,$J$17,$I188,U$21)</f>
        <v>*KEY_ERR</v>
      </c>
      <c r="V188" s="7">
        <f ca="1">_xll.DBR($I$9,$J$13,$J$15,$J$14,V$20,$J$16,$J$17,$I188,V$21)</f>
        <v>0</v>
      </c>
      <c r="W188" s="7">
        <f ca="1">_xll.DBR($I$9,$J$13,$J$15,$J$14,W$20,$J$16,$J$17,$I188,W$21)</f>
        <v>0</v>
      </c>
      <c r="X188" s="7">
        <f ca="1">_xll.DBR($I$9,$J$13,$J$15,$J$14,X$20,$J$16,$J$17,$I188,X$21)</f>
        <v>0</v>
      </c>
      <c r="Y188" s="7">
        <f ca="1">_xll.DBR($I$9,$J$13,$J$15,$J$14,Y$20,$J$16,$J$17,$I188,Y$21)</f>
        <v>0</v>
      </c>
      <c r="Z188" s="7">
        <f ca="1">_xll.DBR($I$9,$J$13,$J$15,$J$14,Z$20,$J$16,$J$17,$I188,Z$21)</f>
        <v>0</v>
      </c>
      <c r="AA188" s="7">
        <f ca="1">_xll.DBR($I$9,$J$13,$J$15,$J$14,AA$20,$J$16,$J$17,$I188,AA$21)</f>
        <v>0</v>
      </c>
      <c r="AB188" s="7">
        <f ca="1">_xll.DBR($I$9,$J$13,$J$15,$J$14,AB$20,$J$16,$J$17,$I188,AB$21)</f>
        <v>0</v>
      </c>
      <c r="AC188" s="7">
        <f ca="1">_xll.DBR($I$9,$J$13,$J$15,$J$14,AC$20,$J$16,$J$17,$I188,AC$21)</f>
        <v>0</v>
      </c>
      <c r="AD188" s="7">
        <f ca="1">_xll.DBR($I$9,$J$13,$J$15,$J$14,AD$20,$J$16,$J$17,$I188,AD$21)</f>
        <v>0</v>
      </c>
    </row>
    <row r="189" spans="1:30" x14ac:dyDescent="0.25">
      <c r="A189">
        <f ca="1">IF(_xll.TM1RPTELISCONSOLIDATED($I$22,$I189),IF(_xll.TM1RPTELLEV($I$22,$I189)&lt;=3,_xll.TM1RPTELLEV($I$22,$I189),"D"),"N")</f>
        <v>2</v>
      </c>
      <c r="I189" s="17" t="s">
        <v>172</v>
      </c>
      <c r="J189" s="3">
        <f ca="1">_xll.DBR($I$9,$J$13,$J$15,$J$14,J$20,$J$16,$J$17,$I189,J$21)</f>
        <v>0</v>
      </c>
      <c r="K189" s="3">
        <f ca="1">_xll.DBR($I$9,$J$13,$J$15,$J$14,K$20,$J$16,$J$17,$I189,K$21)</f>
        <v>0</v>
      </c>
      <c r="L189" s="3">
        <f ca="1">_xll.DBRW($I$9,$J$13,$J$15,$J$14,L$20,$J$16,$J$17,$I189,L$21)</f>
        <v>0</v>
      </c>
      <c r="M189" s="3">
        <f ca="1">_xll.DBRW($I$9,$J$13,$J$15,$J$14,M$20,$J$16,$J$17,$I189,M$21)</f>
        <v>0</v>
      </c>
      <c r="N189" s="3">
        <f ca="1">_xll.DBRW($I$9,$J$13,$J$15,$J$14,N$20,$J$16,$J$17,$I189,N$21)</f>
        <v>0</v>
      </c>
      <c r="O189" s="3">
        <f ca="1">_xll.DBRW($I$9,$J$13,$J$15,$J$14,O$20,$J$16,$J$17,$I189,O$21)</f>
        <v>0</v>
      </c>
      <c r="P189" s="3">
        <f ca="1">_xll.DBRW($I$9,$J$13,$J$15,$J$14,P$20,$J$16,$J$17,$I189,P$21)</f>
        <v>0</v>
      </c>
      <c r="Q189" s="3">
        <f ca="1">_xll.DBRW($I$9,$J$13,$J$15,$J$14,Q$20,$J$16,$J$17,$I189,Q$21)</f>
        <v>0</v>
      </c>
      <c r="R189" s="3">
        <f ca="1">_xll.DBRW($I$9,$J$13,$J$15,$J$14,R$20,$J$16,$J$17,$I189,R$21)</f>
        <v>0</v>
      </c>
      <c r="S189" s="3" t="str">
        <f ca="1">_xll.DBR($I$9,$J$13,$J$15,$J$14,S$20,$J$16,$J$17,$I189,S$21)</f>
        <v>*KEY_ERR</v>
      </c>
      <c r="T189" s="3" t="str">
        <f ca="1">_xll.DBR($I$9,$J$13,$J$15,$J$14,T$20,$J$16,$J$17,$I189,T$21)</f>
        <v>*KEY_ERR</v>
      </c>
      <c r="U189" s="3" t="str">
        <f ca="1">_xll.DBR($I$9,$J$13,$J$15,$J$14,U$20,$J$16,$J$17,$I189,U$21)</f>
        <v>*KEY_ERR</v>
      </c>
      <c r="V189" s="3">
        <f ca="1">_xll.DBR($I$9,$J$13,$J$15,$J$14,V$20,$J$16,$J$17,$I189,V$21)</f>
        <v>0</v>
      </c>
      <c r="W189" s="3">
        <f ca="1">_xll.DBR($I$9,$J$13,$J$15,$J$14,W$20,$J$16,$J$17,$I189,W$21)</f>
        <v>0</v>
      </c>
      <c r="X189" s="3">
        <f ca="1">_xll.DBR($I$9,$J$13,$J$15,$J$14,X$20,$J$16,$J$17,$I189,X$21)</f>
        <v>0</v>
      </c>
      <c r="Y189" s="3">
        <f ca="1">_xll.DBR($I$9,$J$13,$J$15,$J$14,Y$20,$J$16,$J$17,$I189,Y$21)</f>
        <v>0</v>
      </c>
      <c r="Z189" s="3">
        <f ca="1">_xll.DBR($I$9,$J$13,$J$15,$J$14,Z$20,$J$16,$J$17,$I189,Z$21)</f>
        <v>0</v>
      </c>
      <c r="AA189" s="3">
        <f ca="1">_xll.DBR($I$9,$J$13,$J$15,$J$14,AA$20,$J$16,$J$17,$I189,AA$21)</f>
        <v>0</v>
      </c>
      <c r="AB189" s="3">
        <f ca="1">_xll.DBR($I$9,$J$13,$J$15,$J$14,AB$20,$J$16,$J$17,$I189,AB$21)</f>
        <v>0</v>
      </c>
      <c r="AC189" s="3">
        <f ca="1">_xll.DBR($I$9,$J$13,$J$15,$J$14,AC$20,$J$16,$J$17,$I189,AC$21)</f>
        <v>0</v>
      </c>
      <c r="AD189" s="3">
        <f ca="1">_xll.DBR($I$9,$J$13,$J$15,$J$14,AD$20,$J$16,$J$17,$I189,AD$21)</f>
        <v>0</v>
      </c>
    </row>
    <row r="190" spans="1:30" x14ac:dyDescent="0.25">
      <c r="A190">
        <f ca="1">IF(_xll.TM1RPTELISCONSOLIDATED($I$22,$I190),IF(_xll.TM1RPTELLEV($I$22,$I190)&lt;=3,_xll.TM1RPTELLEV($I$22,$I190),"D"),"N")</f>
        <v>3</v>
      </c>
      <c r="I190" s="22" t="s">
        <v>173</v>
      </c>
      <c r="J190" s="7">
        <f ca="1">_xll.DBR($I$9,$J$13,$J$15,$J$14,J$20,$J$16,$J$17,$I190,J$21)</f>
        <v>0</v>
      </c>
      <c r="K190" s="7">
        <f ca="1">_xll.DBR($I$9,$J$13,$J$15,$J$14,K$20,$J$16,$J$17,$I190,K$21)</f>
        <v>0</v>
      </c>
      <c r="L190" s="7">
        <f ca="1">_xll.DBRW($I$9,$J$13,$J$15,$J$14,L$20,$J$16,$J$17,$I190,L$21)</f>
        <v>0</v>
      </c>
      <c r="M190" s="7">
        <f ca="1">_xll.DBRW($I$9,$J$13,$J$15,$J$14,M$20,$J$16,$J$17,$I190,M$21)</f>
        <v>0</v>
      </c>
      <c r="N190" s="7">
        <f ca="1">_xll.DBRW($I$9,$J$13,$J$15,$J$14,N$20,$J$16,$J$17,$I190,N$21)</f>
        <v>0</v>
      </c>
      <c r="O190" s="7">
        <f ca="1">_xll.DBRW($I$9,$J$13,$J$15,$J$14,O$20,$J$16,$J$17,$I190,O$21)</f>
        <v>0</v>
      </c>
      <c r="P190" s="7">
        <f ca="1">_xll.DBRW($I$9,$J$13,$J$15,$J$14,P$20,$J$16,$J$17,$I190,P$21)</f>
        <v>0</v>
      </c>
      <c r="Q190" s="7">
        <f ca="1">_xll.DBRW($I$9,$J$13,$J$15,$J$14,Q$20,$J$16,$J$17,$I190,Q$21)</f>
        <v>0</v>
      </c>
      <c r="R190" s="7">
        <f ca="1">_xll.DBRW($I$9,$J$13,$J$15,$J$14,R$20,$J$16,$J$17,$I190,R$21)</f>
        <v>0</v>
      </c>
      <c r="S190" s="7" t="str">
        <f ca="1">_xll.DBR($I$9,$J$13,$J$15,$J$14,S$20,$J$16,$J$17,$I190,S$21)</f>
        <v>*KEY_ERR</v>
      </c>
      <c r="T190" s="7" t="str">
        <f ca="1">_xll.DBR($I$9,$J$13,$J$15,$J$14,T$20,$J$16,$J$17,$I190,T$21)</f>
        <v>*KEY_ERR</v>
      </c>
      <c r="U190" s="7" t="str">
        <f ca="1">_xll.DBR($I$9,$J$13,$J$15,$J$14,U$20,$J$16,$J$17,$I190,U$21)</f>
        <v>*KEY_ERR</v>
      </c>
      <c r="V190" s="7">
        <f ca="1">_xll.DBR($I$9,$J$13,$J$15,$J$14,V$20,$J$16,$J$17,$I190,V$21)</f>
        <v>0</v>
      </c>
      <c r="W190" s="7">
        <f ca="1">_xll.DBR($I$9,$J$13,$J$15,$J$14,W$20,$J$16,$J$17,$I190,W$21)</f>
        <v>0</v>
      </c>
      <c r="X190" s="7">
        <f ca="1">_xll.DBR($I$9,$J$13,$J$15,$J$14,X$20,$J$16,$J$17,$I190,X$21)</f>
        <v>0</v>
      </c>
      <c r="Y190" s="7">
        <f ca="1">_xll.DBR($I$9,$J$13,$J$15,$J$14,Y$20,$J$16,$J$17,$I190,Y$21)</f>
        <v>0</v>
      </c>
      <c r="Z190" s="7">
        <f ca="1">_xll.DBR($I$9,$J$13,$J$15,$J$14,Z$20,$J$16,$J$17,$I190,Z$21)</f>
        <v>0</v>
      </c>
      <c r="AA190" s="7">
        <f ca="1">_xll.DBR($I$9,$J$13,$J$15,$J$14,AA$20,$J$16,$J$17,$I190,AA$21)</f>
        <v>0</v>
      </c>
      <c r="AB190" s="7">
        <f ca="1">_xll.DBR($I$9,$J$13,$J$15,$J$14,AB$20,$J$16,$J$17,$I190,AB$21)</f>
        <v>0</v>
      </c>
      <c r="AC190" s="7">
        <f ca="1">_xll.DBR($I$9,$J$13,$J$15,$J$14,AC$20,$J$16,$J$17,$I190,AC$21)</f>
        <v>0</v>
      </c>
      <c r="AD190" s="7">
        <f ca="1">_xll.DBR($I$9,$J$13,$J$15,$J$14,AD$20,$J$16,$J$17,$I190,AD$21)</f>
        <v>0</v>
      </c>
    </row>
    <row r="191" spans="1:30" x14ac:dyDescent="0.25">
      <c r="A191">
        <f ca="1">IF(_xll.TM1RPTELISCONSOLIDATED($I$22,$I191),IF(_xll.TM1RPTELLEV($I$22,$I191)&lt;=3,_xll.TM1RPTELLEV($I$22,$I191),"D"),"N")</f>
        <v>3</v>
      </c>
      <c r="I191" s="22" t="s">
        <v>174</v>
      </c>
      <c r="J191" s="7">
        <f ca="1">_xll.DBR($I$9,$J$13,$J$15,$J$14,J$20,$J$16,$J$17,$I191,J$21)</f>
        <v>0</v>
      </c>
      <c r="K191" s="7">
        <f ca="1">_xll.DBR($I$9,$J$13,$J$15,$J$14,K$20,$J$16,$J$17,$I191,K$21)</f>
        <v>0</v>
      </c>
      <c r="L191" s="7">
        <f ca="1">_xll.DBRW($I$9,$J$13,$J$15,$J$14,L$20,$J$16,$J$17,$I191,L$21)</f>
        <v>0</v>
      </c>
      <c r="M191" s="7">
        <f ca="1">_xll.DBRW($I$9,$J$13,$J$15,$J$14,M$20,$J$16,$J$17,$I191,M$21)</f>
        <v>0</v>
      </c>
      <c r="N191" s="7">
        <f ca="1">_xll.DBRW($I$9,$J$13,$J$15,$J$14,N$20,$J$16,$J$17,$I191,N$21)</f>
        <v>0</v>
      </c>
      <c r="O191" s="7">
        <f ca="1">_xll.DBRW($I$9,$J$13,$J$15,$J$14,O$20,$J$16,$J$17,$I191,O$21)</f>
        <v>0</v>
      </c>
      <c r="P191" s="7">
        <f ca="1">_xll.DBRW($I$9,$J$13,$J$15,$J$14,P$20,$J$16,$J$17,$I191,P$21)</f>
        <v>0</v>
      </c>
      <c r="Q191" s="7">
        <f ca="1">_xll.DBRW($I$9,$J$13,$J$15,$J$14,Q$20,$J$16,$J$17,$I191,Q$21)</f>
        <v>0</v>
      </c>
      <c r="R191" s="7">
        <f ca="1">_xll.DBRW($I$9,$J$13,$J$15,$J$14,R$20,$J$16,$J$17,$I191,R$21)</f>
        <v>0</v>
      </c>
      <c r="S191" s="7" t="str">
        <f ca="1">_xll.DBR($I$9,$J$13,$J$15,$J$14,S$20,$J$16,$J$17,$I191,S$21)</f>
        <v>*KEY_ERR</v>
      </c>
      <c r="T191" s="7" t="str">
        <f ca="1">_xll.DBR($I$9,$J$13,$J$15,$J$14,T$20,$J$16,$J$17,$I191,T$21)</f>
        <v>*KEY_ERR</v>
      </c>
      <c r="U191" s="7" t="str">
        <f ca="1">_xll.DBR($I$9,$J$13,$J$15,$J$14,U$20,$J$16,$J$17,$I191,U$21)</f>
        <v>*KEY_ERR</v>
      </c>
      <c r="V191" s="7">
        <f ca="1">_xll.DBR($I$9,$J$13,$J$15,$J$14,V$20,$J$16,$J$17,$I191,V$21)</f>
        <v>0</v>
      </c>
      <c r="W191" s="7">
        <f ca="1">_xll.DBR($I$9,$J$13,$J$15,$J$14,W$20,$J$16,$J$17,$I191,W$21)</f>
        <v>0</v>
      </c>
      <c r="X191" s="7">
        <f ca="1">_xll.DBR($I$9,$J$13,$J$15,$J$14,X$20,$J$16,$J$17,$I191,X$21)</f>
        <v>0</v>
      </c>
      <c r="Y191" s="7">
        <f ca="1">_xll.DBR($I$9,$J$13,$J$15,$J$14,Y$20,$J$16,$J$17,$I191,Y$21)</f>
        <v>0</v>
      </c>
      <c r="Z191" s="7">
        <f ca="1">_xll.DBR($I$9,$J$13,$J$15,$J$14,Z$20,$J$16,$J$17,$I191,Z$21)</f>
        <v>0</v>
      </c>
      <c r="AA191" s="7">
        <f ca="1">_xll.DBR($I$9,$J$13,$J$15,$J$14,AA$20,$J$16,$J$17,$I191,AA$21)</f>
        <v>0</v>
      </c>
      <c r="AB191" s="7">
        <f ca="1">_xll.DBR($I$9,$J$13,$J$15,$J$14,AB$20,$J$16,$J$17,$I191,AB$21)</f>
        <v>0</v>
      </c>
      <c r="AC191" s="7">
        <f ca="1">_xll.DBR($I$9,$J$13,$J$15,$J$14,AC$20,$J$16,$J$17,$I191,AC$21)</f>
        <v>0</v>
      </c>
      <c r="AD191" s="7">
        <f ca="1">_xll.DBR($I$9,$J$13,$J$15,$J$14,AD$20,$J$16,$J$17,$I191,AD$21)</f>
        <v>0</v>
      </c>
    </row>
    <row r="192" spans="1:30" x14ac:dyDescent="0.25">
      <c r="A192">
        <f ca="1">IF(_xll.TM1RPTELISCONSOLIDATED($I$22,$I192),IF(_xll.TM1RPTELLEV($I$22,$I192)&lt;=3,_xll.TM1RPTELLEV($I$22,$I192),"D"),"N")</f>
        <v>3</v>
      </c>
      <c r="I192" s="22" t="s">
        <v>175</v>
      </c>
      <c r="J192" s="7">
        <f ca="1">_xll.DBR($I$9,$J$13,$J$15,$J$14,J$20,$J$16,$J$17,$I192,J$21)</f>
        <v>0</v>
      </c>
      <c r="K192" s="7">
        <f ca="1">_xll.DBR($I$9,$J$13,$J$15,$J$14,K$20,$J$16,$J$17,$I192,K$21)</f>
        <v>0</v>
      </c>
      <c r="L192" s="7">
        <f ca="1">_xll.DBRW($I$9,$J$13,$J$15,$J$14,L$20,$J$16,$J$17,$I192,L$21)</f>
        <v>0</v>
      </c>
      <c r="M192" s="7">
        <f ca="1">_xll.DBRW($I$9,$J$13,$J$15,$J$14,M$20,$J$16,$J$17,$I192,M$21)</f>
        <v>0</v>
      </c>
      <c r="N192" s="7">
        <f ca="1">_xll.DBRW($I$9,$J$13,$J$15,$J$14,N$20,$J$16,$J$17,$I192,N$21)</f>
        <v>0</v>
      </c>
      <c r="O192" s="7">
        <f ca="1">_xll.DBRW($I$9,$J$13,$J$15,$J$14,O$20,$J$16,$J$17,$I192,O$21)</f>
        <v>0</v>
      </c>
      <c r="P192" s="7">
        <f ca="1">_xll.DBRW($I$9,$J$13,$J$15,$J$14,P$20,$J$16,$J$17,$I192,P$21)</f>
        <v>0</v>
      </c>
      <c r="Q192" s="7">
        <f ca="1">_xll.DBRW($I$9,$J$13,$J$15,$J$14,Q$20,$J$16,$J$17,$I192,Q$21)</f>
        <v>0</v>
      </c>
      <c r="R192" s="7">
        <f ca="1">_xll.DBRW($I$9,$J$13,$J$15,$J$14,R$20,$J$16,$J$17,$I192,R$21)</f>
        <v>0</v>
      </c>
      <c r="S192" s="7" t="str">
        <f ca="1">_xll.DBR($I$9,$J$13,$J$15,$J$14,S$20,$J$16,$J$17,$I192,S$21)</f>
        <v>*KEY_ERR</v>
      </c>
      <c r="T192" s="7" t="str">
        <f ca="1">_xll.DBR($I$9,$J$13,$J$15,$J$14,T$20,$J$16,$J$17,$I192,T$21)</f>
        <v>*KEY_ERR</v>
      </c>
      <c r="U192" s="7" t="str">
        <f ca="1">_xll.DBR($I$9,$J$13,$J$15,$J$14,U$20,$J$16,$J$17,$I192,U$21)</f>
        <v>*KEY_ERR</v>
      </c>
      <c r="V192" s="7">
        <f ca="1">_xll.DBR($I$9,$J$13,$J$15,$J$14,V$20,$J$16,$J$17,$I192,V$21)</f>
        <v>0</v>
      </c>
      <c r="W192" s="7">
        <f ca="1">_xll.DBR($I$9,$J$13,$J$15,$J$14,W$20,$J$16,$J$17,$I192,W$21)</f>
        <v>0</v>
      </c>
      <c r="X192" s="7">
        <f ca="1">_xll.DBR($I$9,$J$13,$J$15,$J$14,X$20,$J$16,$J$17,$I192,X$21)</f>
        <v>0</v>
      </c>
      <c r="Y192" s="7">
        <f ca="1">_xll.DBR($I$9,$J$13,$J$15,$J$14,Y$20,$J$16,$J$17,$I192,Y$21)</f>
        <v>0</v>
      </c>
      <c r="Z192" s="7">
        <f ca="1">_xll.DBR($I$9,$J$13,$J$15,$J$14,Z$20,$J$16,$J$17,$I192,Z$21)</f>
        <v>0</v>
      </c>
      <c r="AA192" s="7">
        <f ca="1">_xll.DBR($I$9,$J$13,$J$15,$J$14,AA$20,$J$16,$J$17,$I192,AA$21)</f>
        <v>0</v>
      </c>
      <c r="AB192" s="7">
        <f ca="1">_xll.DBR($I$9,$J$13,$J$15,$J$14,AB$20,$J$16,$J$17,$I192,AB$21)</f>
        <v>0</v>
      </c>
      <c r="AC192" s="7">
        <f ca="1">_xll.DBR($I$9,$J$13,$J$15,$J$14,AC$20,$J$16,$J$17,$I192,AC$21)</f>
        <v>0</v>
      </c>
      <c r="AD192" s="7">
        <f ca="1">_xll.DBR($I$9,$J$13,$J$15,$J$14,AD$20,$J$16,$J$17,$I192,AD$21)</f>
        <v>0</v>
      </c>
    </row>
    <row r="193" spans="1:30" x14ac:dyDescent="0.25">
      <c r="A193">
        <f ca="1">IF(_xll.TM1RPTELISCONSOLIDATED($I$22,$I193),IF(_xll.TM1RPTELLEV($I$22,$I193)&lt;=3,_xll.TM1RPTELLEV($I$22,$I193),"D"),"N")</f>
        <v>3</v>
      </c>
      <c r="I193" s="22" t="s">
        <v>211</v>
      </c>
      <c r="J193" s="7">
        <f ca="1">_xll.DBR($I$9,$J$13,$J$15,$J$14,J$20,$J$16,$J$17,$I193,J$21)</f>
        <v>0</v>
      </c>
      <c r="K193" s="7">
        <f ca="1">_xll.DBR($I$9,$J$13,$J$15,$J$14,K$20,$J$16,$J$17,$I193,K$21)</f>
        <v>0</v>
      </c>
      <c r="L193" s="7">
        <f ca="1">_xll.DBRW($I$9,$J$13,$J$15,$J$14,L$20,$J$16,$J$17,$I193,L$21)</f>
        <v>0</v>
      </c>
      <c r="M193" s="7">
        <f ca="1">_xll.DBRW($I$9,$J$13,$J$15,$J$14,M$20,$J$16,$J$17,$I193,M$21)</f>
        <v>0</v>
      </c>
      <c r="N193" s="7">
        <f ca="1">_xll.DBRW($I$9,$J$13,$J$15,$J$14,N$20,$J$16,$J$17,$I193,N$21)</f>
        <v>0</v>
      </c>
      <c r="O193" s="7">
        <f ca="1">_xll.DBRW($I$9,$J$13,$J$15,$J$14,O$20,$J$16,$J$17,$I193,O$21)</f>
        <v>0</v>
      </c>
      <c r="P193" s="7">
        <f ca="1">_xll.DBRW($I$9,$J$13,$J$15,$J$14,P$20,$J$16,$J$17,$I193,P$21)</f>
        <v>0</v>
      </c>
      <c r="Q193" s="7">
        <f ca="1">_xll.DBRW($I$9,$J$13,$J$15,$J$14,Q$20,$J$16,$J$17,$I193,Q$21)</f>
        <v>0</v>
      </c>
      <c r="R193" s="7">
        <f ca="1">_xll.DBRW($I$9,$J$13,$J$15,$J$14,R$20,$J$16,$J$17,$I193,R$21)</f>
        <v>0</v>
      </c>
      <c r="S193" s="7" t="str">
        <f ca="1">_xll.DBR($I$9,$J$13,$J$15,$J$14,S$20,$J$16,$J$17,$I193,S$21)</f>
        <v>*KEY_ERR</v>
      </c>
      <c r="T193" s="7" t="str">
        <f ca="1">_xll.DBR($I$9,$J$13,$J$15,$J$14,T$20,$J$16,$J$17,$I193,T$21)</f>
        <v>*KEY_ERR</v>
      </c>
      <c r="U193" s="7" t="str">
        <f ca="1">_xll.DBR($I$9,$J$13,$J$15,$J$14,U$20,$J$16,$J$17,$I193,U$21)</f>
        <v>*KEY_ERR</v>
      </c>
      <c r="V193" s="7">
        <f ca="1">_xll.DBR($I$9,$J$13,$J$15,$J$14,V$20,$J$16,$J$17,$I193,V$21)</f>
        <v>0</v>
      </c>
      <c r="W193" s="7">
        <f ca="1">_xll.DBR($I$9,$J$13,$J$15,$J$14,W$20,$J$16,$J$17,$I193,W$21)</f>
        <v>0</v>
      </c>
      <c r="X193" s="7">
        <f ca="1">_xll.DBR($I$9,$J$13,$J$15,$J$14,X$20,$J$16,$J$17,$I193,X$21)</f>
        <v>0</v>
      </c>
      <c r="Y193" s="7">
        <f ca="1">_xll.DBR($I$9,$J$13,$J$15,$J$14,Y$20,$J$16,$J$17,$I193,Y$21)</f>
        <v>0</v>
      </c>
      <c r="Z193" s="7">
        <f ca="1">_xll.DBR($I$9,$J$13,$J$15,$J$14,Z$20,$J$16,$J$17,$I193,Z$21)</f>
        <v>0</v>
      </c>
      <c r="AA193" s="7">
        <f ca="1">_xll.DBR($I$9,$J$13,$J$15,$J$14,AA$20,$J$16,$J$17,$I193,AA$21)</f>
        <v>0</v>
      </c>
      <c r="AB193" s="7">
        <f ca="1">_xll.DBR($I$9,$J$13,$J$15,$J$14,AB$20,$J$16,$J$17,$I193,AB$21)</f>
        <v>0</v>
      </c>
      <c r="AC193" s="7">
        <f ca="1">_xll.DBR($I$9,$J$13,$J$15,$J$14,AC$20,$J$16,$J$17,$I193,AC$21)</f>
        <v>0</v>
      </c>
      <c r="AD193" s="7">
        <f ca="1">_xll.DBR($I$9,$J$13,$J$15,$J$14,AD$20,$J$16,$J$17,$I193,AD$21)</f>
        <v>0</v>
      </c>
    </row>
    <row r="194" spans="1:30" x14ac:dyDescent="0.25">
      <c r="A194">
        <f ca="1">IF(_xll.TM1RPTELISCONSOLIDATED($I$22,$I194),IF(_xll.TM1RPTELLEV($I$22,$I194)&lt;=3,_xll.TM1RPTELLEV($I$22,$I194),"D"),"N")</f>
        <v>1</v>
      </c>
      <c r="I194" s="16" t="s">
        <v>177</v>
      </c>
      <c r="J194" s="5">
        <f ca="1">_xll.DBR($I$9,$J$13,$J$15,$J$14,J$20,$J$16,$J$17,$I194,J$21)</f>
        <v>0</v>
      </c>
      <c r="K194" s="5">
        <f ca="1">_xll.DBR($I$9,$J$13,$J$15,$J$14,K$20,$J$16,$J$17,$I194,K$21)</f>
        <v>0</v>
      </c>
      <c r="L194" s="5">
        <f ca="1">_xll.DBRW($I$9,$J$13,$J$15,$J$14,L$20,$J$16,$J$17,$I194,L$21)</f>
        <v>0</v>
      </c>
      <c r="M194" s="5">
        <f ca="1">_xll.DBRW($I$9,$J$13,$J$15,$J$14,M$20,$J$16,$J$17,$I194,M$21)</f>
        <v>0</v>
      </c>
      <c r="N194" s="5">
        <f ca="1">_xll.DBRW($I$9,$J$13,$J$15,$J$14,N$20,$J$16,$J$17,$I194,N$21)</f>
        <v>0</v>
      </c>
      <c r="O194" s="5">
        <f ca="1">_xll.DBRW($I$9,$J$13,$J$15,$J$14,O$20,$J$16,$J$17,$I194,O$21)</f>
        <v>0</v>
      </c>
      <c r="P194" s="5">
        <f ca="1">_xll.DBRW($I$9,$J$13,$J$15,$J$14,P$20,$J$16,$J$17,$I194,P$21)</f>
        <v>0</v>
      </c>
      <c r="Q194" s="5">
        <f ca="1">_xll.DBRW($I$9,$J$13,$J$15,$J$14,Q$20,$J$16,$J$17,$I194,Q$21)</f>
        <v>0</v>
      </c>
      <c r="R194" s="5">
        <f ca="1">_xll.DBRW($I$9,$J$13,$J$15,$J$14,R$20,$J$16,$J$17,$I194,R$21)</f>
        <v>0</v>
      </c>
      <c r="S194" s="5" t="str">
        <f ca="1">_xll.DBR($I$9,$J$13,$J$15,$J$14,S$20,$J$16,$J$17,$I194,S$21)</f>
        <v>*KEY_ERR</v>
      </c>
      <c r="T194" s="5" t="str">
        <f ca="1">_xll.DBR($I$9,$J$13,$J$15,$J$14,T$20,$J$16,$J$17,$I194,T$21)</f>
        <v>*KEY_ERR</v>
      </c>
      <c r="U194" s="5" t="str">
        <f ca="1">_xll.DBR($I$9,$J$13,$J$15,$J$14,U$20,$J$16,$J$17,$I194,U$21)</f>
        <v>*KEY_ERR</v>
      </c>
      <c r="V194" s="5">
        <f ca="1">_xll.DBR($I$9,$J$13,$J$15,$J$14,V$20,$J$16,$J$17,$I194,V$21)</f>
        <v>0</v>
      </c>
      <c r="W194" s="5">
        <f ca="1">_xll.DBR($I$9,$J$13,$J$15,$J$14,W$20,$J$16,$J$17,$I194,W$21)</f>
        <v>0</v>
      </c>
      <c r="X194" s="5">
        <f ca="1">_xll.DBR($I$9,$J$13,$J$15,$J$14,X$20,$J$16,$J$17,$I194,X$21)</f>
        <v>0</v>
      </c>
      <c r="Y194" s="5">
        <f ca="1">_xll.DBR($I$9,$J$13,$J$15,$J$14,Y$20,$J$16,$J$17,$I194,Y$21)</f>
        <v>0</v>
      </c>
      <c r="Z194" s="5">
        <f ca="1">_xll.DBR($I$9,$J$13,$J$15,$J$14,Z$20,$J$16,$J$17,$I194,Z$21)</f>
        <v>0</v>
      </c>
      <c r="AA194" s="5">
        <f ca="1">_xll.DBR($I$9,$J$13,$J$15,$J$14,AA$20,$J$16,$J$17,$I194,AA$21)</f>
        <v>0</v>
      </c>
      <c r="AB194" s="5">
        <f ca="1">_xll.DBR($I$9,$J$13,$J$15,$J$14,AB$20,$J$16,$J$17,$I194,AB$21)</f>
        <v>0</v>
      </c>
      <c r="AC194" s="5">
        <f ca="1">_xll.DBR($I$9,$J$13,$J$15,$J$14,AC$20,$J$16,$J$17,$I194,AC$21)</f>
        <v>0</v>
      </c>
      <c r="AD194" s="5">
        <f ca="1">_xll.DBR($I$9,$J$13,$J$15,$J$14,AD$20,$J$16,$J$17,$I194,AD$21)</f>
        <v>0</v>
      </c>
    </row>
    <row r="195" spans="1:30" x14ac:dyDescent="0.25">
      <c r="A195">
        <f ca="1">IF(_xll.TM1RPTELISCONSOLIDATED($I$22,$I195),IF(_xll.TM1RPTELLEV($I$22,$I195)&lt;=3,_xll.TM1RPTELLEV($I$22,$I195),"D"),"N")</f>
        <v>2</v>
      </c>
      <c r="I195" s="21" t="s">
        <v>178</v>
      </c>
      <c r="J195" s="3">
        <f ca="1">_xll.DBR($I$9,$J$13,$J$15,$J$14,J$20,$J$16,$J$17,$I195,J$21)</f>
        <v>0</v>
      </c>
      <c r="K195" s="3">
        <f ca="1">_xll.DBR($I$9,$J$13,$J$15,$J$14,K$20,$J$16,$J$17,$I195,K$21)</f>
        <v>0</v>
      </c>
      <c r="L195" s="3">
        <f ca="1">_xll.DBRW($I$9,$J$13,$J$15,$J$14,L$20,$J$16,$J$17,$I195,L$21)</f>
        <v>0</v>
      </c>
      <c r="M195" s="3">
        <f ca="1">_xll.DBRW($I$9,$J$13,$J$15,$J$14,M$20,$J$16,$J$17,$I195,M$21)</f>
        <v>0</v>
      </c>
      <c r="N195" s="3">
        <f ca="1">_xll.DBRW($I$9,$J$13,$J$15,$J$14,N$20,$J$16,$J$17,$I195,N$21)</f>
        <v>0</v>
      </c>
      <c r="O195" s="3">
        <f ca="1">_xll.DBRW($I$9,$J$13,$J$15,$J$14,O$20,$J$16,$J$17,$I195,O$21)</f>
        <v>0</v>
      </c>
      <c r="P195" s="3">
        <f ca="1">_xll.DBRW($I$9,$J$13,$J$15,$J$14,P$20,$J$16,$J$17,$I195,P$21)</f>
        <v>0</v>
      </c>
      <c r="Q195" s="3">
        <f ca="1">_xll.DBRW($I$9,$J$13,$J$15,$J$14,Q$20,$J$16,$J$17,$I195,Q$21)</f>
        <v>0</v>
      </c>
      <c r="R195" s="3">
        <f ca="1">_xll.DBRW($I$9,$J$13,$J$15,$J$14,R$20,$J$16,$J$17,$I195,R$21)</f>
        <v>0</v>
      </c>
      <c r="S195" s="3" t="str">
        <f ca="1">_xll.DBR($I$9,$J$13,$J$15,$J$14,S$20,$J$16,$J$17,$I195,S$21)</f>
        <v>*KEY_ERR</v>
      </c>
      <c r="T195" s="3" t="str">
        <f ca="1">_xll.DBR($I$9,$J$13,$J$15,$J$14,T$20,$J$16,$J$17,$I195,T$21)</f>
        <v>*KEY_ERR</v>
      </c>
      <c r="U195" s="3" t="str">
        <f ca="1">_xll.DBR($I$9,$J$13,$J$15,$J$14,U$20,$J$16,$J$17,$I195,U$21)</f>
        <v>*KEY_ERR</v>
      </c>
      <c r="V195" s="3">
        <f ca="1">_xll.DBR($I$9,$J$13,$J$15,$J$14,V$20,$J$16,$J$17,$I195,V$21)</f>
        <v>0</v>
      </c>
      <c r="W195" s="3">
        <f ca="1">_xll.DBR($I$9,$J$13,$J$15,$J$14,W$20,$J$16,$J$17,$I195,W$21)</f>
        <v>0</v>
      </c>
      <c r="X195" s="3">
        <f ca="1">_xll.DBR($I$9,$J$13,$J$15,$J$14,X$20,$J$16,$J$17,$I195,X$21)</f>
        <v>0</v>
      </c>
      <c r="Y195" s="3">
        <f ca="1">_xll.DBR($I$9,$J$13,$J$15,$J$14,Y$20,$J$16,$J$17,$I195,Y$21)</f>
        <v>0</v>
      </c>
      <c r="Z195" s="3">
        <f ca="1">_xll.DBR($I$9,$J$13,$J$15,$J$14,Z$20,$J$16,$J$17,$I195,Z$21)</f>
        <v>0</v>
      </c>
      <c r="AA195" s="3">
        <f ca="1">_xll.DBR($I$9,$J$13,$J$15,$J$14,AA$20,$J$16,$J$17,$I195,AA$21)</f>
        <v>0</v>
      </c>
      <c r="AB195" s="3">
        <f ca="1">_xll.DBR($I$9,$J$13,$J$15,$J$14,AB$20,$J$16,$J$17,$I195,AB$21)</f>
        <v>0</v>
      </c>
      <c r="AC195" s="3">
        <f ca="1">_xll.DBR($I$9,$J$13,$J$15,$J$14,AC$20,$J$16,$J$17,$I195,AC$21)</f>
        <v>0</v>
      </c>
      <c r="AD195" s="3">
        <f ca="1">_xll.DBR($I$9,$J$13,$J$15,$J$14,AD$20,$J$16,$J$17,$I195,AD$21)</f>
        <v>0</v>
      </c>
    </row>
    <row r="196" spans="1:30" x14ac:dyDescent="0.25">
      <c r="A196">
        <f ca="1">IF(_xll.TM1RPTELISCONSOLIDATED($I$22,$I196),IF(_xll.TM1RPTELLEV($I$22,$I196)&lt;=3,_xll.TM1RPTELLEV($I$22,$I196),"D"),"N")</f>
        <v>2</v>
      </c>
      <c r="I196" s="21" t="s">
        <v>179</v>
      </c>
      <c r="J196" s="3">
        <f ca="1">_xll.DBR($I$9,$J$13,$J$15,$J$14,J$20,$J$16,$J$17,$I196,J$21)</f>
        <v>0</v>
      </c>
      <c r="K196" s="3">
        <f ca="1">_xll.DBR($I$9,$J$13,$J$15,$J$14,K$20,$J$16,$J$17,$I196,K$21)</f>
        <v>0</v>
      </c>
      <c r="L196" s="3">
        <f ca="1">_xll.DBRW($I$9,$J$13,$J$15,$J$14,L$20,$J$16,$J$17,$I196,L$21)</f>
        <v>0</v>
      </c>
      <c r="M196" s="3">
        <f ca="1">_xll.DBRW($I$9,$J$13,$J$15,$J$14,M$20,$J$16,$J$17,$I196,M$21)</f>
        <v>0</v>
      </c>
      <c r="N196" s="3">
        <f ca="1">_xll.DBRW($I$9,$J$13,$J$15,$J$14,N$20,$J$16,$J$17,$I196,N$21)</f>
        <v>0</v>
      </c>
      <c r="O196" s="3">
        <f ca="1">_xll.DBRW($I$9,$J$13,$J$15,$J$14,O$20,$J$16,$J$17,$I196,O$21)</f>
        <v>0</v>
      </c>
      <c r="P196" s="3">
        <f ca="1">_xll.DBRW($I$9,$J$13,$J$15,$J$14,P$20,$J$16,$J$17,$I196,P$21)</f>
        <v>0</v>
      </c>
      <c r="Q196" s="3">
        <f ca="1">_xll.DBRW($I$9,$J$13,$J$15,$J$14,Q$20,$J$16,$J$17,$I196,Q$21)</f>
        <v>0</v>
      </c>
      <c r="R196" s="3">
        <f ca="1">_xll.DBRW($I$9,$J$13,$J$15,$J$14,R$20,$J$16,$J$17,$I196,R$21)</f>
        <v>0</v>
      </c>
      <c r="S196" s="3" t="str">
        <f ca="1">_xll.DBR($I$9,$J$13,$J$15,$J$14,S$20,$J$16,$J$17,$I196,S$21)</f>
        <v>*KEY_ERR</v>
      </c>
      <c r="T196" s="3" t="str">
        <f ca="1">_xll.DBR($I$9,$J$13,$J$15,$J$14,T$20,$J$16,$J$17,$I196,T$21)</f>
        <v>*KEY_ERR</v>
      </c>
      <c r="U196" s="3" t="str">
        <f ca="1">_xll.DBR($I$9,$J$13,$J$15,$J$14,U$20,$J$16,$J$17,$I196,U$21)</f>
        <v>*KEY_ERR</v>
      </c>
      <c r="V196" s="3">
        <f ca="1">_xll.DBR($I$9,$J$13,$J$15,$J$14,V$20,$J$16,$J$17,$I196,V$21)</f>
        <v>0</v>
      </c>
      <c r="W196" s="3">
        <f ca="1">_xll.DBR($I$9,$J$13,$J$15,$J$14,W$20,$J$16,$J$17,$I196,W$21)</f>
        <v>0</v>
      </c>
      <c r="X196" s="3">
        <f ca="1">_xll.DBR($I$9,$J$13,$J$15,$J$14,X$20,$J$16,$J$17,$I196,X$21)</f>
        <v>0</v>
      </c>
      <c r="Y196" s="3">
        <f ca="1">_xll.DBR($I$9,$J$13,$J$15,$J$14,Y$20,$J$16,$J$17,$I196,Y$21)</f>
        <v>0</v>
      </c>
      <c r="Z196" s="3">
        <f ca="1">_xll.DBR($I$9,$J$13,$J$15,$J$14,Z$20,$J$16,$J$17,$I196,Z$21)</f>
        <v>0</v>
      </c>
      <c r="AA196" s="3">
        <f ca="1">_xll.DBR($I$9,$J$13,$J$15,$J$14,AA$20,$J$16,$J$17,$I196,AA$21)</f>
        <v>0</v>
      </c>
      <c r="AB196" s="3">
        <f ca="1">_xll.DBR($I$9,$J$13,$J$15,$J$14,AB$20,$J$16,$J$17,$I196,AB$21)</f>
        <v>0</v>
      </c>
      <c r="AC196" s="3">
        <f ca="1">_xll.DBR($I$9,$J$13,$J$15,$J$14,AC$20,$J$16,$J$17,$I196,AC$21)</f>
        <v>0</v>
      </c>
      <c r="AD196" s="3">
        <f ca="1">_xll.DBR($I$9,$J$13,$J$15,$J$14,AD$20,$J$16,$J$17,$I196,AD$21)</f>
        <v>0</v>
      </c>
    </row>
    <row r="197" spans="1:30" x14ac:dyDescent="0.25">
      <c r="A197">
        <f ca="1">IF(_xll.TM1RPTELISCONSOLIDATED($I$22,$I197),IF(_xll.TM1RPTELLEV($I$22,$I197)&lt;=3,_xll.TM1RPTELLEV($I$22,$I197),"D"),"N")</f>
        <v>2</v>
      </c>
      <c r="I197" s="21" t="s">
        <v>180</v>
      </c>
      <c r="J197" s="3">
        <f ca="1">_xll.DBR($I$9,$J$13,$J$15,$J$14,J$20,$J$16,$J$17,$I197,J$21)</f>
        <v>0</v>
      </c>
      <c r="K197" s="3">
        <f ca="1">_xll.DBR($I$9,$J$13,$J$15,$J$14,K$20,$J$16,$J$17,$I197,K$21)</f>
        <v>0</v>
      </c>
      <c r="L197" s="3">
        <f ca="1">_xll.DBRW($I$9,$J$13,$J$15,$J$14,L$20,$J$16,$J$17,$I197,L$21)</f>
        <v>0</v>
      </c>
      <c r="M197" s="3">
        <f ca="1">_xll.DBRW($I$9,$J$13,$J$15,$J$14,M$20,$J$16,$J$17,$I197,M$21)</f>
        <v>0</v>
      </c>
      <c r="N197" s="3">
        <f ca="1">_xll.DBRW($I$9,$J$13,$J$15,$J$14,N$20,$J$16,$J$17,$I197,N$21)</f>
        <v>0</v>
      </c>
      <c r="O197" s="3">
        <f ca="1">_xll.DBRW($I$9,$J$13,$J$15,$J$14,O$20,$J$16,$J$17,$I197,O$21)</f>
        <v>0</v>
      </c>
      <c r="P197" s="3">
        <f ca="1">_xll.DBRW($I$9,$J$13,$J$15,$J$14,P$20,$J$16,$J$17,$I197,P$21)</f>
        <v>0</v>
      </c>
      <c r="Q197" s="3">
        <f ca="1">_xll.DBRW($I$9,$J$13,$J$15,$J$14,Q$20,$J$16,$J$17,$I197,Q$21)</f>
        <v>0</v>
      </c>
      <c r="R197" s="3">
        <f ca="1">_xll.DBRW($I$9,$J$13,$J$15,$J$14,R$20,$J$16,$J$17,$I197,R$21)</f>
        <v>0</v>
      </c>
      <c r="S197" s="3" t="str">
        <f ca="1">_xll.DBR($I$9,$J$13,$J$15,$J$14,S$20,$J$16,$J$17,$I197,S$21)</f>
        <v>*KEY_ERR</v>
      </c>
      <c r="T197" s="3" t="str">
        <f ca="1">_xll.DBR($I$9,$J$13,$J$15,$J$14,T$20,$J$16,$J$17,$I197,T$21)</f>
        <v>*KEY_ERR</v>
      </c>
      <c r="U197" s="3" t="str">
        <f ca="1">_xll.DBR($I$9,$J$13,$J$15,$J$14,U$20,$J$16,$J$17,$I197,U$21)</f>
        <v>*KEY_ERR</v>
      </c>
      <c r="V197" s="3">
        <f ca="1">_xll.DBR($I$9,$J$13,$J$15,$J$14,V$20,$J$16,$J$17,$I197,V$21)</f>
        <v>0</v>
      </c>
      <c r="W197" s="3">
        <f ca="1">_xll.DBR($I$9,$J$13,$J$15,$J$14,W$20,$J$16,$J$17,$I197,W$21)</f>
        <v>0</v>
      </c>
      <c r="X197" s="3">
        <f ca="1">_xll.DBR($I$9,$J$13,$J$15,$J$14,X$20,$J$16,$J$17,$I197,X$21)</f>
        <v>0</v>
      </c>
      <c r="Y197" s="3">
        <f ca="1">_xll.DBR($I$9,$J$13,$J$15,$J$14,Y$20,$J$16,$J$17,$I197,Y$21)</f>
        <v>0</v>
      </c>
      <c r="Z197" s="3">
        <f ca="1">_xll.DBR($I$9,$J$13,$J$15,$J$14,Z$20,$J$16,$J$17,$I197,Z$21)</f>
        <v>0</v>
      </c>
      <c r="AA197" s="3">
        <f ca="1">_xll.DBR($I$9,$J$13,$J$15,$J$14,AA$20,$J$16,$J$17,$I197,AA$21)</f>
        <v>0</v>
      </c>
      <c r="AB197" s="3">
        <f ca="1">_xll.DBR($I$9,$J$13,$J$15,$J$14,AB$20,$J$16,$J$17,$I197,AB$21)</f>
        <v>0</v>
      </c>
      <c r="AC197" s="3">
        <f ca="1">_xll.DBR($I$9,$J$13,$J$15,$J$14,AC$20,$J$16,$J$17,$I197,AC$21)</f>
        <v>0</v>
      </c>
      <c r="AD197" s="3">
        <f ca="1">_xll.DBR($I$9,$J$13,$J$15,$J$14,AD$20,$J$16,$J$17,$I197,AD$21)</f>
        <v>0</v>
      </c>
    </row>
  </sheetData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r:id="rId5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8</xdr:col>
                <xdr:colOff>533400</xdr:colOff>
                <xdr:row>11</xdr:row>
                <xdr:rowOff>85725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20:I186"/>
  <sheetViews>
    <sheetView workbookViewId="0"/>
  </sheetViews>
  <sheetFormatPr defaultRowHeight="15" x14ac:dyDescent="0.25"/>
  <sheetData>
    <row r="20" spans="9:9" x14ac:dyDescent="0.25">
      <c r="I20" t="s">
        <v>14</v>
      </c>
    </row>
    <row r="21" spans="9:9" x14ac:dyDescent="0.25">
      <c r="I21" t="s">
        <v>15</v>
      </c>
    </row>
    <row r="22" spans="9:9" x14ac:dyDescent="0.25">
      <c r="I22" t="s">
        <v>16</v>
      </c>
    </row>
    <row r="23" spans="9:9" x14ac:dyDescent="0.25">
      <c r="I23" t="s">
        <v>17</v>
      </c>
    </row>
    <row r="24" spans="9:9" x14ac:dyDescent="0.25">
      <c r="I24" t="s">
        <v>18</v>
      </c>
    </row>
    <row r="25" spans="9:9" x14ac:dyDescent="0.25">
      <c r="I25" t="s">
        <v>19</v>
      </c>
    </row>
    <row r="26" spans="9:9" x14ac:dyDescent="0.25">
      <c r="I26" t="s">
        <v>20</v>
      </c>
    </row>
    <row r="27" spans="9:9" x14ac:dyDescent="0.25">
      <c r="I27" t="s">
        <v>21</v>
      </c>
    </row>
    <row r="28" spans="9:9" x14ac:dyDescent="0.25">
      <c r="I28" t="s">
        <v>22</v>
      </c>
    </row>
    <row r="29" spans="9:9" x14ac:dyDescent="0.25">
      <c r="I29" t="s">
        <v>23</v>
      </c>
    </row>
    <row r="30" spans="9:9" x14ac:dyDescent="0.25">
      <c r="I30" t="s">
        <v>24</v>
      </c>
    </row>
    <row r="31" spans="9:9" x14ac:dyDescent="0.25">
      <c r="I31" t="s">
        <v>25</v>
      </c>
    </row>
    <row r="32" spans="9:9" x14ac:dyDescent="0.25">
      <c r="I32" t="s">
        <v>26</v>
      </c>
    </row>
    <row r="33" spans="9:9" x14ac:dyDescent="0.25">
      <c r="I33" t="s">
        <v>27</v>
      </c>
    </row>
    <row r="34" spans="9:9" x14ac:dyDescent="0.25">
      <c r="I34" t="s">
        <v>28</v>
      </c>
    </row>
    <row r="35" spans="9:9" x14ac:dyDescent="0.25">
      <c r="I35" t="s">
        <v>29</v>
      </c>
    </row>
    <row r="36" spans="9:9" x14ac:dyDescent="0.25">
      <c r="I36" t="s">
        <v>30</v>
      </c>
    </row>
    <row r="37" spans="9:9" x14ac:dyDescent="0.25">
      <c r="I37" t="s">
        <v>31</v>
      </c>
    </row>
    <row r="38" spans="9:9" x14ac:dyDescent="0.25">
      <c r="I38" t="s">
        <v>32</v>
      </c>
    </row>
    <row r="39" spans="9:9" x14ac:dyDescent="0.25">
      <c r="I39" t="s">
        <v>33</v>
      </c>
    </row>
    <row r="40" spans="9:9" x14ac:dyDescent="0.25">
      <c r="I40" t="s">
        <v>34</v>
      </c>
    </row>
    <row r="41" spans="9:9" x14ac:dyDescent="0.25">
      <c r="I41" t="s">
        <v>35</v>
      </c>
    </row>
    <row r="42" spans="9:9" x14ac:dyDescent="0.25">
      <c r="I42" t="s">
        <v>36</v>
      </c>
    </row>
    <row r="43" spans="9:9" x14ac:dyDescent="0.25">
      <c r="I43" t="s">
        <v>37</v>
      </c>
    </row>
    <row r="44" spans="9:9" x14ac:dyDescent="0.25">
      <c r="I44" t="s">
        <v>38</v>
      </c>
    </row>
    <row r="45" spans="9:9" x14ac:dyDescent="0.25">
      <c r="I45" t="s">
        <v>39</v>
      </c>
    </row>
    <row r="46" spans="9:9" x14ac:dyDescent="0.25">
      <c r="I46" t="s">
        <v>40</v>
      </c>
    </row>
    <row r="47" spans="9:9" x14ac:dyDescent="0.25">
      <c r="I47" t="s">
        <v>41</v>
      </c>
    </row>
    <row r="48" spans="9:9" x14ac:dyDescent="0.25">
      <c r="I48" t="s">
        <v>42</v>
      </c>
    </row>
    <row r="49" spans="9:9" x14ac:dyDescent="0.25">
      <c r="I49" t="s">
        <v>43</v>
      </c>
    </row>
    <row r="50" spans="9:9" x14ac:dyDescent="0.25">
      <c r="I50" t="s">
        <v>44</v>
      </c>
    </row>
    <row r="51" spans="9:9" x14ac:dyDescent="0.25">
      <c r="I51" t="s">
        <v>45</v>
      </c>
    </row>
    <row r="52" spans="9:9" x14ac:dyDescent="0.25">
      <c r="I52" t="s">
        <v>46</v>
      </c>
    </row>
    <row r="53" spans="9:9" x14ac:dyDescent="0.25">
      <c r="I53" t="s">
        <v>47</v>
      </c>
    </row>
    <row r="54" spans="9:9" x14ac:dyDescent="0.25">
      <c r="I54" t="s">
        <v>48</v>
      </c>
    </row>
    <row r="55" spans="9:9" x14ac:dyDescent="0.25">
      <c r="I55" t="s">
        <v>49</v>
      </c>
    </row>
    <row r="56" spans="9:9" x14ac:dyDescent="0.25">
      <c r="I56" t="s">
        <v>50</v>
      </c>
    </row>
    <row r="57" spans="9:9" x14ac:dyDescent="0.25">
      <c r="I57" t="s">
        <v>51</v>
      </c>
    </row>
    <row r="58" spans="9:9" x14ac:dyDescent="0.25">
      <c r="I58" t="s">
        <v>52</v>
      </c>
    </row>
    <row r="59" spans="9:9" x14ac:dyDescent="0.25">
      <c r="I59" t="s">
        <v>53</v>
      </c>
    </row>
    <row r="60" spans="9:9" x14ac:dyDescent="0.25">
      <c r="I60" t="s">
        <v>54</v>
      </c>
    </row>
    <row r="61" spans="9:9" x14ac:dyDescent="0.25">
      <c r="I61" t="s">
        <v>55</v>
      </c>
    </row>
    <row r="62" spans="9:9" x14ac:dyDescent="0.25">
      <c r="I62" t="s">
        <v>56</v>
      </c>
    </row>
    <row r="63" spans="9:9" x14ac:dyDescent="0.25">
      <c r="I63" t="s">
        <v>57</v>
      </c>
    </row>
    <row r="64" spans="9:9" x14ac:dyDescent="0.25">
      <c r="I64" t="s">
        <v>58</v>
      </c>
    </row>
    <row r="65" spans="9:9" x14ac:dyDescent="0.25">
      <c r="I65" t="s">
        <v>59</v>
      </c>
    </row>
    <row r="66" spans="9:9" x14ac:dyDescent="0.25">
      <c r="I66" t="s">
        <v>60</v>
      </c>
    </row>
    <row r="67" spans="9:9" x14ac:dyDescent="0.25">
      <c r="I67" t="s">
        <v>61</v>
      </c>
    </row>
    <row r="68" spans="9:9" x14ac:dyDescent="0.25">
      <c r="I68" t="s">
        <v>62</v>
      </c>
    </row>
    <row r="69" spans="9:9" x14ac:dyDescent="0.25">
      <c r="I69" t="s">
        <v>63</v>
      </c>
    </row>
    <row r="70" spans="9:9" x14ac:dyDescent="0.25">
      <c r="I70" t="s">
        <v>64</v>
      </c>
    </row>
    <row r="71" spans="9:9" x14ac:dyDescent="0.25">
      <c r="I71" t="s">
        <v>65</v>
      </c>
    </row>
    <row r="72" spans="9:9" x14ac:dyDescent="0.25">
      <c r="I72" t="s">
        <v>66</v>
      </c>
    </row>
    <row r="73" spans="9:9" x14ac:dyDescent="0.25">
      <c r="I73" t="s">
        <v>67</v>
      </c>
    </row>
    <row r="74" spans="9:9" x14ac:dyDescent="0.25">
      <c r="I74" t="s">
        <v>68</v>
      </c>
    </row>
    <row r="75" spans="9:9" x14ac:dyDescent="0.25">
      <c r="I75" t="s">
        <v>69</v>
      </c>
    </row>
    <row r="76" spans="9:9" x14ac:dyDescent="0.25">
      <c r="I76" t="s">
        <v>70</v>
      </c>
    </row>
    <row r="77" spans="9:9" x14ac:dyDescent="0.25">
      <c r="I77" t="s">
        <v>71</v>
      </c>
    </row>
    <row r="78" spans="9:9" x14ac:dyDescent="0.25">
      <c r="I78" t="s">
        <v>72</v>
      </c>
    </row>
    <row r="79" spans="9:9" x14ac:dyDescent="0.25">
      <c r="I79" t="s">
        <v>73</v>
      </c>
    </row>
    <row r="80" spans="9:9" x14ac:dyDescent="0.25">
      <c r="I80" t="s">
        <v>74</v>
      </c>
    </row>
    <row r="81" spans="9:9" x14ac:dyDescent="0.25">
      <c r="I81" t="s">
        <v>75</v>
      </c>
    </row>
    <row r="82" spans="9:9" x14ac:dyDescent="0.25">
      <c r="I82" t="s">
        <v>76</v>
      </c>
    </row>
    <row r="83" spans="9:9" x14ac:dyDescent="0.25">
      <c r="I83" t="s">
        <v>77</v>
      </c>
    </row>
    <row r="84" spans="9:9" x14ac:dyDescent="0.25">
      <c r="I84" t="s">
        <v>78</v>
      </c>
    </row>
    <row r="85" spans="9:9" x14ac:dyDescent="0.25">
      <c r="I85" t="s">
        <v>79</v>
      </c>
    </row>
    <row r="86" spans="9:9" x14ac:dyDescent="0.25">
      <c r="I86" t="s">
        <v>80</v>
      </c>
    </row>
    <row r="87" spans="9:9" x14ac:dyDescent="0.25">
      <c r="I87" t="s">
        <v>81</v>
      </c>
    </row>
    <row r="88" spans="9:9" x14ac:dyDescent="0.25">
      <c r="I88" t="s">
        <v>82</v>
      </c>
    </row>
    <row r="89" spans="9:9" x14ac:dyDescent="0.25">
      <c r="I89" t="s">
        <v>83</v>
      </c>
    </row>
    <row r="90" spans="9:9" x14ac:dyDescent="0.25">
      <c r="I90" t="s">
        <v>84</v>
      </c>
    </row>
    <row r="91" spans="9:9" x14ac:dyDescent="0.25">
      <c r="I91" t="s">
        <v>85</v>
      </c>
    </row>
    <row r="92" spans="9:9" x14ac:dyDescent="0.25">
      <c r="I92" t="s">
        <v>86</v>
      </c>
    </row>
    <row r="93" spans="9:9" x14ac:dyDescent="0.25">
      <c r="I93" t="s">
        <v>87</v>
      </c>
    </row>
    <row r="94" spans="9:9" x14ac:dyDescent="0.25">
      <c r="I94" t="s">
        <v>88</v>
      </c>
    </row>
    <row r="95" spans="9:9" x14ac:dyDescent="0.25">
      <c r="I95" t="s">
        <v>89</v>
      </c>
    </row>
    <row r="96" spans="9:9" x14ac:dyDescent="0.25">
      <c r="I96" t="s">
        <v>90</v>
      </c>
    </row>
    <row r="97" spans="9:9" x14ac:dyDescent="0.25">
      <c r="I97" t="s">
        <v>91</v>
      </c>
    </row>
    <row r="98" spans="9:9" x14ac:dyDescent="0.25">
      <c r="I98" t="s">
        <v>92</v>
      </c>
    </row>
    <row r="99" spans="9:9" x14ac:dyDescent="0.25">
      <c r="I99" t="s">
        <v>93</v>
      </c>
    </row>
    <row r="100" spans="9:9" x14ac:dyDescent="0.25">
      <c r="I100" t="s">
        <v>94</v>
      </c>
    </row>
    <row r="101" spans="9:9" x14ac:dyDescent="0.25">
      <c r="I101" t="s">
        <v>95</v>
      </c>
    </row>
    <row r="102" spans="9:9" x14ac:dyDescent="0.25">
      <c r="I102" t="s">
        <v>96</v>
      </c>
    </row>
    <row r="103" spans="9:9" x14ac:dyDescent="0.25">
      <c r="I103" t="s">
        <v>97</v>
      </c>
    </row>
    <row r="104" spans="9:9" x14ac:dyDescent="0.25">
      <c r="I104" t="s">
        <v>98</v>
      </c>
    </row>
    <row r="105" spans="9:9" x14ac:dyDescent="0.25">
      <c r="I105" t="s">
        <v>99</v>
      </c>
    </row>
    <row r="106" spans="9:9" x14ac:dyDescent="0.25">
      <c r="I106" t="s">
        <v>100</v>
      </c>
    </row>
    <row r="107" spans="9:9" x14ac:dyDescent="0.25">
      <c r="I107" t="s">
        <v>101</v>
      </c>
    </row>
    <row r="108" spans="9:9" x14ac:dyDescent="0.25">
      <c r="I108" t="s">
        <v>102</v>
      </c>
    </row>
    <row r="109" spans="9:9" x14ac:dyDescent="0.25">
      <c r="I109" t="s">
        <v>103</v>
      </c>
    </row>
    <row r="110" spans="9:9" x14ac:dyDescent="0.25">
      <c r="I110" t="s">
        <v>104</v>
      </c>
    </row>
    <row r="111" spans="9:9" x14ac:dyDescent="0.25">
      <c r="I111" t="s">
        <v>105</v>
      </c>
    </row>
    <row r="112" spans="9:9" x14ac:dyDescent="0.25">
      <c r="I112" t="s">
        <v>106</v>
      </c>
    </row>
    <row r="113" spans="9:9" x14ac:dyDescent="0.25">
      <c r="I113" t="s">
        <v>107</v>
      </c>
    </row>
    <row r="114" spans="9:9" x14ac:dyDescent="0.25">
      <c r="I114" t="s">
        <v>108</v>
      </c>
    </row>
    <row r="115" spans="9:9" x14ac:dyDescent="0.25">
      <c r="I115" t="s">
        <v>109</v>
      </c>
    </row>
    <row r="116" spans="9:9" x14ac:dyDescent="0.25">
      <c r="I116" t="s">
        <v>110</v>
      </c>
    </row>
    <row r="117" spans="9:9" x14ac:dyDescent="0.25">
      <c r="I117" t="s">
        <v>111</v>
      </c>
    </row>
    <row r="118" spans="9:9" x14ac:dyDescent="0.25">
      <c r="I118" t="s">
        <v>112</v>
      </c>
    </row>
    <row r="119" spans="9:9" x14ac:dyDescent="0.25">
      <c r="I119" t="s">
        <v>113</v>
      </c>
    </row>
    <row r="120" spans="9:9" x14ac:dyDescent="0.25">
      <c r="I120" t="s">
        <v>114</v>
      </c>
    </row>
    <row r="121" spans="9:9" x14ac:dyDescent="0.25">
      <c r="I121" t="s">
        <v>115</v>
      </c>
    </row>
    <row r="122" spans="9:9" x14ac:dyDescent="0.25">
      <c r="I122" t="s">
        <v>116</v>
      </c>
    </row>
    <row r="123" spans="9:9" x14ac:dyDescent="0.25">
      <c r="I123" t="s">
        <v>117</v>
      </c>
    </row>
    <row r="124" spans="9:9" x14ac:dyDescent="0.25">
      <c r="I124" t="s">
        <v>118</v>
      </c>
    </row>
    <row r="125" spans="9:9" x14ac:dyDescent="0.25">
      <c r="I125" t="s">
        <v>119</v>
      </c>
    </row>
    <row r="126" spans="9:9" x14ac:dyDescent="0.25">
      <c r="I126" t="s">
        <v>120</v>
      </c>
    </row>
    <row r="127" spans="9:9" x14ac:dyDescent="0.25">
      <c r="I127" t="s">
        <v>121</v>
      </c>
    </row>
    <row r="128" spans="9:9" x14ac:dyDescent="0.25">
      <c r="I128" t="s">
        <v>122</v>
      </c>
    </row>
    <row r="129" spans="9:9" x14ac:dyDescent="0.25">
      <c r="I129" t="s">
        <v>123</v>
      </c>
    </row>
    <row r="130" spans="9:9" x14ac:dyDescent="0.25">
      <c r="I130" t="s">
        <v>124</v>
      </c>
    </row>
    <row r="131" spans="9:9" x14ac:dyDescent="0.25">
      <c r="I131" t="s">
        <v>125</v>
      </c>
    </row>
    <row r="132" spans="9:9" x14ac:dyDescent="0.25">
      <c r="I132" t="s">
        <v>126</v>
      </c>
    </row>
    <row r="133" spans="9:9" x14ac:dyDescent="0.25">
      <c r="I133" t="s">
        <v>127</v>
      </c>
    </row>
    <row r="134" spans="9:9" x14ac:dyDescent="0.25">
      <c r="I134" t="s">
        <v>128</v>
      </c>
    </row>
    <row r="135" spans="9:9" x14ac:dyDescent="0.25">
      <c r="I135" t="s">
        <v>129</v>
      </c>
    </row>
    <row r="136" spans="9:9" x14ac:dyDescent="0.25">
      <c r="I136" t="s">
        <v>130</v>
      </c>
    </row>
    <row r="137" spans="9:9" x14ac:dyDescent="0.25">
      <c r="I137" t="s">
        <v>131</v>
      </c>
    </row>
    <row r="138" spans="9:9" x14ac:dyDescent="0.25">
      <c r="I138" t="s">
        <v>132</v>
      </c>
    </row>
    <row r="139" spans="9:9" x14ac:dyDescent="0.25">
      <c r="I139" t="s">
        <v>133</v>
      </c>
    </row>
    <row r="140" spans="9:9" x14ac:dyDescent="0.25">
      <c r="I140" t="s">
        <v>134</v>
      </c>
    </row>
    <row r="141" spans="9:9" x14ac:dyDescent="0.25">
      <c r="I141" t="s">
        <v>135</v>
      </c>
    </row>
    <row r="142" spans="9:9" x14ac:dyDescent="0.25">
      <c r="I142" t="s">
        <v>136</v>
      </c>
    </row>
    <row r="143" spans="9:9" x14ac:dyDescent="0.25">
      <c r="I143" t="s">
        <v>137</v>
      </c>
    </row>
    <row r="144" spans="9:9" x14ac:dyDescent="0.25">
      <c r="I144" t="s">
        <v>138</v>
      </c>
    </row>
    <row r="145" spans="9:9" x14ac:dyDescent="0.25">
      <c r="I145" t="s">
        <v>139</v>
      </c>
    </row>
    <row r="146" spans="9:9" x14ac:dyDescent="0.25">
      <c r="I146" t="s">
        <v>140</v>
      </c>
    </row>
    <row r="147" spans="9:9" x14ac:dyDescent="0.25">
      <c r="I147" t="s">
        <v>141</v>
      </c>
    </row>
    <row r="148" spans="9:9" x14ac:dyDescent="0.25">
      <c r="I148" t="s">
        <v>142</v>
      </c>
    </row>
    <row r="149" spans="9:9" x14ac:dyDescent="0.25">
      <c r="I149" t="s">
        <v>143</v>
      </c>
    </row>
    <row r="150" spans="9:9" x14ac:dyDescent="0.25">
      <c r="I150" t="s">
        <v>144</v>
      </c>
    </row>
    <row r="151" spans="9:9" x14ac:dyDescent="0.25">
      <c r="I151" t="s">
        <v>145</v>
      </c>
    </row>
    <row r="152" spans="9:9" x14ac:dyDescent="0.25">
      <c r="I152" t="s">
        <v>146</v>
      </c>
    </row>
    <row r="153" spans="9:9" x14ac:dyDescent="0.25">
      <c r="I153" t="s">
        <v>147</v>
      </c>
    </row>
    <row r="154" spans="9:9" x14ac:dyDescent="0.25">
      <c r="I154" t="s">
        <v>148</v>
      </c>
    </row>
    <row r="155" spans="9:9" x14ac:dyDescent="0.25">
      <c r="I155" t="s">
        <v>149</v>
      </c>
    </row>
    <row r="156" spans="9:9" x14ac:dyDescent="0.25">
      <c r="I156" t="s">
        <v>150</v>
      </c>
    </row>
    <row r="157" spans="9:9" x14ac:dyDescent="0.25">
      <c r="I157" t="s">
        <v>151</v>
      </c>
    </row>
    <row r="158" spans="9:9" x14ac:dyDescent="0.25">
      <c r="I158" t="s">
        <v>152</v>
      </c>
    </row>
    <row r="159" spans="9:9" x14ac:dyDescent="0.25">
      <c r="I159" t="s">
        <v>153</v>
      </c>
    </row>
    <row r="160" spans="9:9" x14ac:dyDescent="0.25">
      <c r="I160" t="s">
        <v>154</v>
      </c>
    </row>
    <row r="161" spans="9:9" x14ac:dyDescent="0.25">
      <c r="I161" t="s">
        <v>155</v>
      </c>
    </row>
    <row r="162" spans="9:9" x14ac:dyDescent="0.25">
      <c r="I162" t="s">
        <v>156</v>
      </c>
    </row>
    <row r="163" spans="9:9" x14ac:dyDescent="0.25">
      <c r="I163" t="s">
        <v>157</v>
      </c>
    </row>
    <row r="164" spans="9:9" x14ac:dyDescent="0.25">
      <c r="I164" t="s">
        <v>158</v>
      </c>
    </row>
    <row r="165" spans="9:9" x14ac:dyDescent="0.25">
      <c r="I165" t="s">
        <v>159</v>
      </c>
    </row>
    <row r="166" spans="9:9" x14ac:dyDescent="0.25">
      <c r="I166" t="s">
        <v>160</v>
      </c>
    </row>
    <row r="167" spans="9:9" x14ac:dyDescent="0.25">
      <c r="I167" t="s">
        <v>161</v>
      </c>
    </row>
    <row r="168" spans="9:9" x14ac:dyDescent="0.25">
      <c r="I168" t="s">
        <v>162</v>
      </c>
    </row>
    <row r="169" spans="9:9" x14ac:dyDescent="0.25">
      <c r="I169" t="s">
        <v>163</v>
      </c>
    </row>
    <row r="170" spans="9:9" x14ac:dyDescent="0.25">
      <c r="I170" t="s">
        <v>164</v>
      </c>
    </row>
    <row r="171" spans="9:9" x14ac:dyDescent="0.25">
      <c r="I171" t="s">
        <v>165</v>
      </c>
    </row>
    <row r="172" spans="9:9" x14ac:dyDescent="0.25">
      <c r="I172" t="s">
        <v>166</v>
      </c>
    </row>
    <row r="173" spans="9:9" x14ac:dyDescent="0.25">
      <c r="I173" t="s">
        <v>167</v>
      </c>
    </row>
    <row r="174" spans="9:9" x14ac:dyDescent="0.25">
      <c r="I174" t="s">
        <v>168</v>
      </c>
    </row>
    <row r="175" spans="9:9" x14ac:dyDescent="0.25">
      <c r="I175" t="s">
        <v>169</v>
      </c>
    </row>
    <row r="176" spans="9:9" x14ac:dyDescent="0.25">
      <c r="I176" t="s">
        <v>170</v>
      </c>
    </row>
    <row r="177" spans="9:9" x14ac:dyDescent="0.25">
      <c r="I177" t="s">
        <v>171</v>
      </c>
    </row>
    <row r="178" spans="9:9" x14ac:dyDescent="0.25">
      <c r="I178" t="s">
        <v>172</v>
      </c>
    </row>
    <row r="179" spans="9:9" x14ac:dyDescent="0.25">
      <c r="I179" t="s">
        <v>173</v>
      </c>
    </row>
    <row r="180" spans="9:9" x14ac:dyDescent="0.25">
      <c r="I180" t="s">
        <v>174</v>
      </c>
    </row>
    <row r="181" spans="9:9" x14ac:dyDescent="0.25">
      <c r="I181" t="s">
        <v>175</v>
      </c>
    </row>
    <row r="182" spans="9:9" x14ac:dyDescent="0.25">
      <c r="I182" t="s">
        <v>176</v>
      </c>
    </row>
    <row r="183" spans="9:9" x14ac:dyDescent="0.25">
      <c r="I183" t="s">
        <v>177</v>
      </c>
    </row>
    <row r="184" spans="9:9" x14ac:dyDescent="0.25">
      <c r="I184" t="s">
        <v>178</v>
      </c>
    </row>
    <row r="185" spans="9:9" x14ac:dyDescent="0.25">
      <c r="I185" t="s">
        <v>179</v>
      </c>
    </row>
    <row r="186" spans="9:9" x14ac:dyDescent="0.25">
      <c r="I186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{AR}01</vt:lpstr>
      <vt:lpstr>Sheet1!TM1RPTDATARNGARPT1</vt:lpstr>
      <vt:lpstr>Sheet1!TM1RPTFMTIDCOL</vt:lpstr>
      <vt:lpstr>Sheet1!TM1RPTFMTRNG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HEITZMANN</dc:creator>
  <cp:lastModifiedBy>Serveurs COGNOS</cp:lastModifiedBy>
  <dcterms:created xsi:type="dcterms:W3CDTF">2018-11-19T10:01:57Z</dcterms:created>
  <dcterms:modified xsi:type="dcterms:W3CDTF">2022-03-14T14:42:12Z</dcterms:modified>
</cp:coreProperties>
</file>