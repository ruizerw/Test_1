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17925" windowHeight="9435"/>
  </bookViews>
  <sheets>
    <sheet name="Feuil1" sheetId="1" r:id="rId1"/>
  </sheets>
  <definedNames>
    <definedName name="TM1REBUILDOPTION">1</definedName>
    <definedName name="TM1RPTDATARNGARPT1" localSheetId="0">Feuil1!$24:$24</definedName>
    <definedName name="TM1RPTFMTIDCOL" localSheetId="0">Feuil1!$A$1:$A$8</definedName>
    <definedName name="TM1RPTFMTRNG" localSheetId="0">Feuil1!$B$1:$AG$8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9" i="1"/>
  <c r="AJ21" i="1"/>
  <c r="AJ22" i="1"/>
  <c r="C16" i="1"/>
  <c r="C17" i="1"/>
  <c r="C18" i="1"/>
  <c r="B24" i="1"/>
  <c r="AI23" i="1"/>
  <c r="AJ23" i="1"/>
  <c r="AJ24" i="1"/>
  <c r="AK21" i="1"/>
  <c r="AK22" i="1"/>
  <c r="AK23" i="1"/>
  <c r="AK24" i="1"/>
  <c r="AI21" i="1"/>
  <c r="AI22" i="1"/>
  <c r="AI24" i="1"/>
  <c r="AF21" i="1"/>
  <c r="AF22" i="1"/>
  <c r="AE23" i="1"/>
  <c r="AF23" i="1"/>
  <c r="AF24" i="1"/>
  <c r="AG21" i="1"/>
  <c r="AG22" i="1"/>
  <c r="AG23" i="1"/>
  <c r="AG24" i="1"/>
  <c r="AE21" i="1"/>
  <c r="AE22" i="1"/>
  <c r="AE24" i="1"/>
  <c r="Z21" i="1"/>
  <c r="Z22" i="1"/>
  <c r="Y23" i="1"/>
  <c r="Z23" i="1"/>
  <c r="Z24" i="1"/>
  <c r="AA21" i="1"/>
  <c r="AA22" i="1"/>
  <c r="AA23" i="1"/>
  <c r="AA24" i="1"/>
  <c r="Y21" i="1"/>
  <c r="Y22" i="1"/>
  <c r="Y24" i="1"/>
  <c r="V21" i="1"/>
  <c r="V22" i="1"/>
  <c r="U23" i="1"/>
  <c r="V23" i="1"/>
  <c r="V24" i="1"/>
  <c r="W21" i="1"/>
  <c r="W22" i="1"/>
  <c r="W23" i="1"/>
  <c r="W24" i="1"/>
  <c r="U21" i="1"/>
  <c r="U22" i="1"/>
  <c r="U24" i="1"/>
  <c r="Q21" i="1"/>
  <c r="Q22" i="1"/>
  <c r="P23" i="1"/>
  <c r="Q23" i="1"/>
  <c r="Q24" i="1"/>
  <c r="R21" i="1"/>
  <c r="R22" i="1"/>
  <c r="R23" i="1"/>
  <c r="R24" i="1"/>
  <c r="P21" i="1"/>
  <c r="P22" i="1"/>
  <c r="P24" i="1"/>
  <c r="M21" i="1"/>
  <c r="M22" i="1"/>
  <c r="L23" i="1"/>
  <c r="M23" i="1"/>
  <c r="M24" i="1"/>
  <c r="N21" i="1"/>
  <c r="N22" i="1"/>
  <c r="N23" i="1"/>
  <c r="N24" i="1"/>
  <c r="L21" i="1"/>
  <c r="L22" i="1"/>
  <c r="L24" i="1"/>
  <c r="I21" i="1"/>
  <c r="I22" i="1"/>
  <c r="H23" i="1"/>
  <c r="I23" i="1"/>
  <c r="I24" i="1"/>
  <c r="J21" i="1"/>
  <c r="J22" i="1"/>
  <c r="J23" i="1"/>
  <c r="J24" i="1"/>
  <c r="H21" i="1"/>
  <c r="H22" i="1"/>
  <c r="H24" i="1"/>
  <c r="E21" i="1"/>
  <c r="E22" i="1"/>
  <c r="D23" i="1"/>
  <c r="E23" i="1"/>
  <c r="E24" i="1"/>
  <c r="F21" i="1"/>
  <c r="F22" i="1"/>
  <c r="F23" i="1"/>
  <c r="F24" i="1"/>
  <c r="D21" i="1"/>
  <c r="D22" i="1"/>
  <c r="D24" i="1"/>
  <c r="AH22" i="1"/>
  <c r="AD22" i="1"/>
  <c r="X22" i="1"/>
  <c r="T22" i="1"/>
  <c r="O22" i="1"/>
  <c r="K22" i="1"/>
  <c r="G22" i="1"/>
  <c r="C22" i="1"/>
  <c r="AH24" i="1"/>
  <c r="AD24" i="1"/>
  <c r="X24" i="1"/>
  <c r="T24" i="1"/>
  <c r="AL24" i="1"/>
  <c r="K24" i="1"/>
  <c r="AB24" i="1"/>
  <c r="C24" i="1"/>
  <c r="S24" i="1"/>
  <c r="O24" i="1"/>
  <c r="G24" i="1"/>
  <c r="A24" i="1"/>
  <c r="A5" i="1"/>
  <c r="A4" i="1"/>
  <c r="A3" i="1"/>
  <c r="A2" i="1"/>
</calcChain>
</file>

<file path=xl/sharedStrings.xml><?xml version="1.0" encoding="utf-8"?>
<sst xmlns="http://schemas.openxmlformats.org/spreadsheetml/2006/main" count="20" uniqueCount="12">
  <si>
    <t>Origin_Company</t>
  </si>
  <si>
    <t>Customer_Supplier</t>
  </si>
  <si>
    <t>QTY</t>
  </si>
  <si>
    <t>D</t>
  </si>
  <si>
    <t>N</t>
  </si>
  <si>
    <t>[Begin Format Range]</t>
  </si>
  <si>
    <t>[End Format Range]</t>
  </si>
  <si>
    <t>YTD Month</t>
  </si>
  <si>
    <t>Allocation</t>
  </si>
  <si>
    <t>RETAILED SALES BY PRODUCT _in SEASON from September to end of August</t>
  </si>
  <si>
    <t>SALES</t>
  </si>
  <si>
    <t>QTY % 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</si>
</sst>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6">
    <xf numFmtId="0" fontId="0" fillId="0" borderId="0" xfId="0"/>
    <xf numFmtId="3" fontId="4" fillId="2" borderId="0" xfId="0" applyNumberFormat="1" applyFont="1" applyFill="1"/>
    <xf numFmtId="3" fontId="4" fillId="3" borderId="0" xfId="0" applyNumberFormat="1" applyFont="1" applyFill="1"/>
    <xf numFmtId="3" fontId="4" fillId="0" borderId="0" xfId="0" applyNumberFormat="1" applyFont="1"/>
    <xf numFmtId="0" fontId="0" fillId="4" borderId="0" xfId="0" applyFill="1"/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5" fillId="4" borderId="0" xfId="0" applyFont="1" applyFill="1"/>
    <xf numFmtId="0" fontId="0" fillId="6" borderId="0" xfId="0" applyFill="1"/>
    <xf numFmtId="164" fontId="0" fillId="2" borderId="4" xfId="0" applyNumberFormat="1" applyFill="1" applyBorder="1" applyAlignment="1"/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7" borderId="4" xfId="0" applyFill="1" applyBorder="1"/>
    <xf numFmtId="3" fontId="4" fillId="7" borderId="0" xfId="0" applyNumberFormat="1" applyFont="1" applyFill="1"/>
    <xf numFmtId="0" fontId="0" fillId="8" borderId="4" xfId="0" applyFill="1" applyBorder="1"/>
    <xf numFmtId="3" fontId="4" fillId="8" borderId="0" xfId="0" applyNumberFormat="1" applyFont="1" applyFill="1"/>
    <xf numFmtId="0" fontId="3" fillId="5" borderId="5" xfId="0" applyFont="1" applyFill="1" applyBorder="1" applyAlignment="1">
      <alignment horizontal="center" vertical="center" wrapText="1"/>
    </xf>
    <xf numFmtId="9" fontId="2" fillId="0" borderId="0" xfId="1" applyFont="1" applyAlignment="1">
      <alignment horizontal="center"/>
    </xf>
    <xf numFmtId="9" fontId="7" fillId="2" borderId="0" xfId="1" applyFont="1" applyFill="1" applyAlignment="1">
      <alignment horizontal="center"/>
    </xf>
    <xf numFmtId="9" fontId="7" fillId="3" borderId="0" xfId="1" applyFont="1" applyFill="1" applyAlignment="1">
      <alignment horizontal="center"/>
    </xf>
    <xf numFmtId="9" fontId="7" fillId="8" borderId="0" xfId="1" applyFont="1" applyFill="1" applyAlignment="1">
      <alignment horizontal="center"/>
    </xf>
    <xf numFmtId="9" fontId="7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" fillId="6" borderId="0" xfId="1" applyFont="1" applyFill="1" applyAlignment="1">
      <alignment horizontal="center"/>
    </xf>
    <xf numFmtId="9" fontId="2" fillId="4" borderId="0" xfId="1" applyFont="1" applyFill="1" applyAlignment="1">
      <alignment horizontal="center"/>
    </xf>
    <xf numFmtId="9" fontId="1" fillId="4" borderId="0" xfId="1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0" xfId="0" applyFill="1" applyBorder="1"/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3" fontId="4" fillId="2" borderId="13" xfId="0" applyNumberFormat="1" applyFont="1" applyFill="1" applyBorder="1"/>
    <xf numFmtId="0" fontId="3" fillId="5" borderId="14" xfId="0" applyFont="1" applyFill="1" applyBorder="1" applyAlignment="1">
      <alignment horizontal="center" vertical="center" wrapText="1"/>
    </xf>
    <xf numFmtId="9" fontId="3" fillId="5" borderId="6" xfId="1" applyFont="1" applyFill="1" applyBorder="1" applyAlignment="1">
      <alignment horizontal="center" vertical="center" wrapText="1"/>
    </xf>
    <xf numFmtId="9" fontId="3" fillId="5" borderId="7" xfId="1" applyFont="1" applyFill="1" applyBorder="1" applyAlignment="1">
      <alignment horizontal="center" vertical="center" wrapText="1"/>
    </xf>
    <xf numFmtId="9" fontId="3" fillId="5" borderId="2" xfId="1" applyFont="1" applyFill="1" applyBorder="1" applyAlignment="1">
      <alignment horizontal="center" vertical="center" wrapText="1"/>
    </xf>
    <xf numFmtId="9" fontId="3" fillId="5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0</xdr:rowOff>
    </xdr:from>
    <xdr:to>
      <xdr:col>10</xdr:col>
      <xdr:colOff>273051</xdr:colOff>
      <xdr:row>12</xdr:row>
      <xdr:rowOff>172255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714500"/>
          <a:ext cx="7334250" cy="74375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15</xdr:row>
          <xdr:rowOff>0</xdr:rowOff>
        </xdr:from>
        <xdr:to>
          <xdr:col>19</xdr:col>
          <xdr:colOff>0</xdr:colOff>
          <xdr:row>18</xdr:row>
          <xdr:rowOff>0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84"/>
  <sheetViews>
    <sheetView showGridLines="0" tabSelected="1" zoomScale="90" zoomScaleNormal="90" workbookViewId="0">
      <pane xSplit="2" ySplit="23" topLeftCell="C24" activePane="bottomRight" state="frozen"/>
      <selection activeCell="B1" sqref="B1"/>
      <selection pane="topRight" activeCell="C1" sqref="C1"/>
      <selection pane="bottomLeft" activeCell="B28" sqref="B28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55.7109375" customWidth="1"/>
    <col min="3" max="3" width="24.85546875" customWidth="1"/>
    <col min="4" max="6" width="17.28515625" hidden="1" customWidth="1"/>
    <col min="7" max="7" width="24.85546875" customWidth="1"/>
    <col min="8" max="10" width="17.28515625" hidden="1" customWidth="1"/>
    <col min="11" max="11" width="24.85546875" customWidth="1"/>
    <col min="12" max="14" width="12.42578125" hidden="1" customWidth="1"/>
    <col min="15" max="15" width="24.85546875" customWidth="1"/>
    <col min="16" max="18" width="12.42578125" hidden="1" customWidth="1"/>
    <col min="19" max="19" width="12.42578125" customWidth="1"/>
    <col min="20" max="20" width="25.140625" customWidth="1"/>
    <col min="21" max="23" width="12.42578125" hidden="1" customWidth="1"/>
    <col min="24" max="24" width="23.42578125" customWidth="1"/>
    <col min="25" max="27" width="12.42578125" hidden="1" customWidth="1"/>
    <col min="28" max="28" width="12.42578125" style="22" customWidth="1"/>
    <col min="29" max="29" width="0.5703125" customWidth="1"/>
    <col min="30" max="30" width="23.28515625" customWidth="1"/>
    <col min="31" max="33" width="12.42578125" hidden="1" customWidth="1"/>
    <col min="34" max="34" width="23.140625" customWidth="1"/>
    <col min="35" max="37" width="12.42578125" hidden="1" customWidth="1"/>
    <col min="38" max="38" width="11.42578125" customWidth="1"/>
    <col min="39" max="16384" width="11.42578125" hidden="1"/>
  </cols>
  <sheetData>
    <row r="1" spans="1:38" ht="27" hidden="1" customHeight="1" x14ac:dyDescent="0.25">
      <c r="A1" t="s">
        <v>5</v>
      </c>
    </row>
    <row r="2" spans="1:38" ht="24.75" hidden="1" customHeight="1" x14ac:dyDescent="0.25">
      <c r="A2">
        <f>0</f>
        <v>0</v>
      </c>
      <c r="B2" s="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  <c r="T2" s="1"/>
      <c r="U2" s="1"/>
      <c r="V2" s="1"/>
      <c r="W2" s="1"/>
      <c r="X2" s="1"/>
      <c r="Y2" s="1"/>
      <c r="Z2" s="1"/>
      <c r="AA2" s="1"/>
      <c r="AB2" s="23"/>
      <c r="AC2" s="1"/>
      <c r="AD2" s="1"/>
      <c r="AE2" s="1"/>
      <c r="AF2" s="1"/>
      <c r="AG2" s="1"/>
      <c r="AH2" s="1"/>
      <c r="AI2" s="1"/>
      <c r="AJ2" s="1"/>
      <c r="AK2" s="1"/>
      <c r="AL2" s="23"/>
    </row>
    <row r="3" spans="1:38" ht="27" hidden="1" customHeight="1" x14ac:dyDescent="0.25">
      <c r="A3">
        <f>1</f>
        <v>1</v>
      </c>
      <c r="B3" s="1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  <c r="T3" s="2"/>
      <c r="U3" s="2"/>
      <c r="V3" s="2"/>
      <c r="W3" s="2"/>
      <c r="X3" s="2"/>
      <c r="Y3" s="2"/>
      <c r="Z3" s="2"/>
      <c r="AA3" s="2"/>
      <c r="AB3" s="24"/>
      <c r="AC3" s="2"/>
      <c r="AD3" s="2"/>
      <c r="AE3" s="2"/>
      <c r="AF3" s="2"/>
      <c r="AG3" s="2"/>
      <c r="AH3" s="2"/>
      <c r="AI3" s="2"/>
      <c r="AJ3" s="2"/>
      <c r="AK3" s="2"/>
      <c r="AL3" s="24"/>
    </row>
    <row r="4" spans="1:38" ht="25.5" hidden="1" customHeight="1" x14ac:dyDescent="0.25">
      <c r="A4">
        <f>2</f>
        <v>2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5"/>
      <c r="T4" s="20"/>
      <c r="U4" s="20"/>
      <c r="V4" s="20"/>
      <c r="W4" s="20"/>
      <c r="X4" s="20"/>
      <c r="Y4" s="20"/>
      <c r="Z4" s="20"/>
      <c r="AA4" s="20"/>
      <c r="AB4" s="25"/>
      <c r="AC4" s="20"/>
      <c r="AD4" s="20"/>
      <c r="AE4" s="2"/>
      <c r="AF4" s="2"/>
      <c r="AG4" s="2"/>
      <c r="AH4" s="20"/>
      <c r="AI4" s="2"/>
      <c r="AJ4" s="2"/>
      <c r="AK4" s="2"/>
      <c r="AL4" s="25"/>
    </row>
    <row r="5" spans="1:38" ht="24" hidden="1" customHeight="1" x14ac:dyDescent="0.25">
      <c r="A5">
        <f>3</f>
        <v>3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26"/>
      <c r="T5" s="18"/>
      <c r="U5" s="18"/>
      <c r="V5" s="18"/>
      <c r="W5" s="18"/>
      <c r="X5" s="18"/>
      <c r="Y5" s="18"/>
      <c r="Z5" s="18"/>
      <c r="AA5" s="18"/>
      <c r="AB5" s="26"/>
      <c r="AC5" s="18"/>
      <c r="AD5" s="18"/>
      <c r="AE5" s="2"/>
      <c r="AF5" s="2"/>
      <c r="AG5" s="2"/>
      <c r="AH5" s="18"/>
      <c r="AI5" s="2"/>
      <c r="AJ5" s="2"/>
      <c r="AK5" s="2"/>
      <c r="AL5" s="26"/>
    </row>
    <row r="6" spans="1:38" ht="23.25" hidden="1" customHeight="1" x14ac:dyDescent="0.25">
      <c r="A6" t="s">
        <v>3</v>
      </c>
      <c r="B6" s="1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4"/>
      <c r="T6" s="2"/>
      <c r="U6" s="2"/>
      <c r="V6" s="2"/>
      <c r="W6" s="2"/>
      <c r="X6" s="2"/>
      <c r="Y6" s="2"/>
      <c r="Z6" s="2"/>
      <c r="AA6" s="2"/>
      <c r="AB6" s="24"/>
      <c r="AC6" s="2"/>
      <c r="AD6" s="2"/>
      <c r="AE6" s="2"/>
      <c r="AF6" s="2"/>
      <c r="AG6" s="2"/>
      <c r="AH6" s="2"/>
      <c r="AI6" s="2"/>
      <c r="AJ6" s="2"/>
      <c r="AK6" s="2"/>
      <c r="AL6" s="24"/>
    </row>
    <row r="7" spans="1:38" ht="27" hidden="1" customHeight="1" x14ac:dyDescent="0.25">
      <c r="A7" t="s">
        <v>4</v>
      </c>
      <c r="B7" s="1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27"/>
      <c r="AC7" s="3"/>
      <c r="AD7" s="3"/>
      <c r="AE7" s="3"/>
      <c r="AF7" s="3"/>
      <c r="AG7" s="3"/>
      <c r="AH7" s="3"/>
      <c r="AI7" s="3"/>
      <c r="AJ7" s="3"/>
      <c r="AK7" s="3"/>
    </row>
    <row r="8" spans="1:38" ht="34.5" hidden="1" customHeight="1" x14ac:dyDescent="0.25">
      <c r="A8" t="s">
        <v>6</v>
      </c>
    </row>
    <row r="9" spans="1:38" ht="27" hidden="1" customHeight="1" x14ac:dyDescent="0.25">
      <c r="B9" t="str">
        <f ca="1">_xll.TM1RPTVIEW("CXMD:FTM_DATA_MARGIN:ARPT1", 0, _xll.TM1RPTTITLE("CXMD:DIM_Origin_Company",$C$16), _xll.TM1RPTTITLE("CXMD:DIM_Customer_Supplier",$C$18), _xll.TM1RPTTITLE("CXMD:DIM_Allocation",$C$17),TM1RPTFMTRNG,TM1RPTFMTIDCOL)</f>
        <v>CXMD:FTM_DATA_MARGIN:ARPT1</v>
      </c>
    </row>
    <row r="10" spans="1:38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28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28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28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28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28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39" x14ac:dyDescent="0.3">
      <c r="B15" s="31" t="s">
        <v>9</v>
      </c>
      <c r="C15" s="4"/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29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25">
      <c r="B16" s="5" t="s">
        <v>0</v>
      </c>
      <c r="C16" s="7" t="str">
        <f ca="1">_xll.SUBNM("CXMD:DIM_Origin_Company","","KUHN POLAND","Name EN")</f>
        <v>KUHN POLAND</v>
      </c>
      <c r="D16" s="7"/>
      <c r="E16" s="7"/>
      <c r="F16" s="7"/>
      <c r="G16" s="7"/>
      <c r="H16" s="7"/>
      <c r="I16" s="7"/>
      <c r="J16" s="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29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idden="1" x14ac:dyDescent="0.25">
      <c r="B17" s="5" t="s">
        <v>8</v>
      </c>
      <c r="C17" s="7" t="str">
        <f ca="1">CONCATENATE(_xll.DBRA("CXMD:DIM_Origin_Company",C16,"Origin Company"),"_SALES")</f>
        <v>J_SALES</v>
      </c>
      <c r="D17" s="7"/>
      <c r="E17" s="7"/>
      <c r="F17" s="7"/>
      <c r="G17" s="7"/>
      <c r="H17" s="7"/>
      <c r="I17" s="7"/>
      <c r="J17" s="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29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x14ac:dyDescent="0.25">
      <c r="B18" s="5" t="s">
        <v>1</v>
      </c>
      <c r="C18" s="7" t="str">
        <f ca="1">_xll.SUBNM("CXMD:DIM_Customer_Supplier","","Others","Code-Name")</f>
        <v>Others</v>
      </c>
      <c r="D18" s="7"/>
      <c r="E18" s="7"/>
      <c r="F18" s="7"/>
      <c r="G18" s="7"/>
      <c r="H18" s="7"/>
      <c r="I18" s="7"/>
      <c r="J18" s="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29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idden="1" x14ac:dyDescent="0.25">
      <c r="B19" s="5" t="s">
        <v>7</v>
      </c>
      <c r="C19" s="7" t="str">
        <f ca="1">_xll.SUBNM("CXMD:Month","","YTD_August","Description EN")</f>
        <v>YTD_August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29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29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5.75" thickBot="1" x14ac:dyDescent="0.3">
      <c r="B21" s="4"/>
      <c r="C21" s="6"/>
      <c r="D21" s="7" t="str">
        <f ca="1">_xll.SUBNM("CXMD:Month","","YTD_December","Description EN")</f>
        <v>YTD_December</v>
      </c>
      <c r="E21" s="7" t="str">
        <f ca="1">$C$19</f>
        <v>YTD_August</v>
      </c>
      <c r="F21" s="7" t="str">
        <f ca="1">$C$19</f>
        <v>YTD_August</v>
      </c>
      <c r="G21" s="6"/>
      <c r="H21" s="7" t="str">
        <f ca="1">_xll.SUBNM("CXMD:Month","","YTD_December","Description EN")</f>
        <v>YTD_December</v>
      </c>
      <c r="I21" s="7" t="str">
        <f ca="1">$C$19</f>
        <v>YTD_August</v>
      </c>
      <c r="J21" s="7" t="str">
        <f ca="1">$C$19</f>
        <v>YTD_August</v>
      </c>
      <c r="K21" s="6"/>
      <c r="L21" s="7" t="str">
        <f ca="1">_xll.SUBNM("CXMD:Month","","YTD_December","Description EN")</f>
        <v>YTD_December</v>
      </c>
      <c r="M21" s="7" t="str">
        <f ca="1">$C$19</f>
        <v>YTD_August</v>
      </c>
      <c r="N21" s="7" t="str">
        <f ca="1">$C$19</f>
        <v>YTD_August</v>
      </c>
      <c r="O21" s="6"/>
      <c r="P21" s="7" t="str">
        <f ca="1">_xll.SUBNM("CXMD:Month","","YTD_December","Description EN")</f>
        <v>YTD_December</v>
      </c>
      <c r="Q21" s="7" t="str">
        <f ca="1">$C$19</f>
        <v>YTD_August</v>
      </c>
      <c r="R21" s="7" t="str">
        <f ca="1">$C$19</f>
        <v>YTD_August</v>
      </c>
      <c r="S21" s="7"/>
      <c r="T21" s="6"/>
      <c r="U21" s="7" t="str">
        <f ca="1">_xll.SUBNM("CXMD:Month","","YTD_December","Description EN")</f>
        <v>YTD_December</v>
      </c>
      <c r="V21" s="7" t="str">
        <f ca="1">$C$19</f>
        <v>YTD_August</v>
      </c>
      <c r="W21" s="7" t="str">
        <f ca="1">$C$19</f>
        <v>YTD_August</v>
      </c>
      <c r="X21" s="6"/>
      <c r="Y21" s="7" t="str">
        <f ca="1">_xll.SUBNM("CXMD:Month","","YTD_December","Description EN")</f>
        <v>YTD_December</v>
      </c>
      <c r="Z21" s="7" t="str">
        <f ca="1">$C$19</f>
        <v>YTD_August</v>
      </c>
      <c r="AA21" s="7" t="str">
        <f ca="1">$C$19</f>
        <v>YTD_August</v>
      </c>
      <c r="AB21" s="30"/>
      <c r="AC21" s="6"/>
      <c r="AD21" s="6"/>
      <c r="AE21" s="7" t="str">
        <f ca="1">_xll.SUBNM("CXMD:Month","","YTD_December","Description EN")</f>
        <v>YTD_December</v>
      </c>
      <c r="AF21" s="7" t="str">
        <f ca="1">$C$19</f>
        <v>YTD_August</v>
      </c>
      <c r="AG21" s="7" t="str">
        <f ca="1">$C$19</f>
        <v>YTD_August</v>
      </c>
      <c r="AH21" s="6"/>
      <c r="AI21" s="7" t="str">
        <f ca="1">_xll.SUBNM("CXMD:Month","","YTD_December","Description EN")</f>
        <v>YTD_December</v>
      </c>
      <c r="AJ21" s="7" t="str">
        <f ca="1">$C$19</f>
        <v>YTD_August</v>
      </c>
      <c r="AK21" s="7" t="str">
        <f ca="1">$C$19</f>
        <v>YTD_August</v>
      </c>
      <c r="AL21" s="30"/>
    </row>
    <row r="22" spans="1:38" s="15" customFormat="1" ht="47.25" customHeight="1" x14ac:dyDescent="0.25">
      <c r="B22" s="32"/>
      <c r="C22" s="34" t="str">
        <f ca="1">"01 09 Retail Sales 2015 to " &amp; $C$19 &amp; " Retail Sales 2016"</f>
        <v>01 09 Retail Sales 2015 to YTD_August Retail Sales 2016</v>
      </c>
      <c r="D22" s="35" t="str">
        <f ca="1">_xll.SUBNM("CXMD:Actuality","Actuality","Retail Sales 2015","Description EN")</f>
        <v>Retail Sales 2015</v>
      </c>
      <c r="E22" s="35" t="str">
        <f ca="1">_xll.SUBNM("CXMD:Actuality","Actuality","Retail Sales 2015","Description EN")</f>
        <v>Retail Sales 2015</v>
      </c>
      <c r="F22" s="35" t="str">
        <f ca="1">_xll.SUBNM("CXMD:Actuality","Actuality","Retail Sales 2016","Description EN")</f>
        <v>Retail Sales 2016</v>
      </c>
      <c r="G22" s="36" t="str">
        <f ca="1">"01 09 Retail Sales 2015 to " &amp; $C$19 &amp; " Retail Sales 2016"</f>
        <v>01 09 Retail Sales 2015 to YTD_August Retail Sales 2016</v>
      </c>
      <c r="H22" s="21" t="str">
        <f ca="1">_xll.SUBNM("CXMD:Actuality","Actuality","Retail Sales 2015","Description EN")</f>
        <v>Retail Sales 2015</v>
      </c>
      <c r="I22" s="8" t="str">
        <f ca="1">_xll.SUBNM("CXMD:Actuality","Actuality","Retail Sales 2015","Description EN")</f>
        <v>Retail Sales 2015</v>
      </c>
      <c r="J22" s="8" t="str">
        <f ca="1">_xll.SUBNM("CXMD:Actuality","Actuality","Retail Sales 2016","Description EN")</f>
        <v>Retail Sales 2016</v>
      </c>
      <c r="K22" s="34" t="str">
        <f ca="1">"01 09 Retail Sales 2016 to " &amp; $C$19 &amp; " Retail Sales 2017"</f>
        <v>01 09 Retail Sales 2016 to YTD_August Retail Sales 2017</v>
      </c>
      <c r="L22" s="35" t="str">
        <f ca="1">_xll.SUBNM("CXMD:Actuality","Actuality","Retail Sales 2016","Description EN")</f>
        <v>Retail Sales 2016</v>
      </c>
      <c r="M22" s="35" t="str">
        <f ca="1">_xll.SUBNM("CXMD:Actuality","Actuality","Retail Sales 2016","Description EN")</f>
        <v>Retail Sales 2016</v>
      </c>
      <c r="N22" s="35" t="str">
        <f ca="1">_xll.SUBNM("CXMD:Actuality","Actuality","Retail Sales 2017","Description EN")</f>
        <v>Retail Sales 2017</v>
      </c>
      <c r="O22" s="41" t="str">
        <f ca="1">"01 09 Retail Sales 2016 to " &amp; $C$19 &amp; " Retail Sales 2017"</f>
        <v>01 09 Retail Sales 2016 to YTD_August Retail Sales 2017</v>
      </c>
      <c r="P22" s="21" t="str">
        <f ca="1">_xll.SUBNM("CXMD:Actuality","Actuality","Retail Sales 2016","Description EN")</f>
        <v>Retail Sales 2016</v>
      </c>
      <c r="Q22" s="8" t="str">
        <f ca="1">_xll.SUBNM("CXMD:Actuality","Actuality","Retail Sales 2016","Description EN")</f>
        <v>Retail Sales 2016</v>
      </c>
      <c r="R22" s="8" t="str">
        <f ca="1">_xll.SUBNM("CXMD:Actuality","Actuality","Retail Sales 2017","Description EN")</f>
        <v>Retail Sales 2017</v>
      </c>
      <c r="S22" s="42" t="s">
        <v>11</v>
      </c>
      <c r="T22" s="34" t="str">
        <f ca="1">"01 09 Retail Sales 2017 to " &amp; $C$19 &amp; " Retail Sales 2018"</f>
        <v>01 09 Retail Sales 2017 to YTD_August Retail Sales 2018</v>
      </c>
      <c r="U22" s="35" t="str">
        <f ca="1">_xll.SUBNM("CXMD:Actuality","Actuality","Retail Sales 2017","Description EN")</f>
        <v>Retail Sales 2017</v>
      </c>
      <c r="V22" s="35" t="str">
        <f ca="1">_xll.SUBNM("CXMD:Actuality","Actuality","Retail Sales 2017","Description EN")</f>
        <v>Retail Sales 2017</v>
      </c>
      <c r="W22" s="35" t="str">
        <f ca="1">_xll.SUBNM("CXMD:Actuality","Actuality","Retail Sales 2018","Description EN")</f>
        <v>Retail Sales 2018</v>
      </c>
      <c r="X22" s="36" t="str">
        <f ca="1">"01 09 Retail Sales 2017 to " &amp; $C$19 &amp; " Retail Sales 2018"</f>
        <v>01 09 Retail Sales 2017 to YTD_August Retail Sales 2018</v>
      </c>
      <c r="Y22" s="21" t="str">
        <f ca="1">_xll.SUBNM("CXMD:Actuality","Actuality","Retail Sales 2017","Description EN")</f>
        <v>Retail Sales 2017</v>
      </c>
      <c r="Z22" s="8" t="str">
        <f ca="1">_xll.SUBNM("CXMD:Actuality","Actuality","Retail Sales 2017","Description EN")</f>
        <v>Retail Sales 2017</v>
      </c>
      <c r="AA22" s="8" t="str">
        <f ca="1">_xll.SUBNM("CXMD:Actuality","Actuality","Retail Sales 2018","Description EN")</f>
        <v>Retail Sales 2018</v>
      </c>
      <c r="AB22" s="44" t="s">
        <v>11</v>
      </c>
      <c r="AC22" s="16"/>
      <c r="AD22" s="34" t="str">
        <f ca="1">"01 09 Retail Sales 2018 to " &amp; $C$19 &amp; " Retail Sales 2019"</f>
        <v>01 09 Retail Sales 2018 to YTD_August Retail Sales 2019</v>
      </c>
      <c r="AE22" s="35" t="str">
        <f ca="1">_xll.SUBNM("CXMD:Actuality","Actuality","Retail Sales 2018","Description EN")</f>
        <v>Retail Sales 2018</v>
      </c>
      <c r="AF22" s="35" t="str">
        <f ca="1">_xll.SUBNM("CXMD:Actuality","Actuality","Retail Sales 2018","Description EN")</f>
        <v>Retail Sales 2018</v>
      </c>
      <c r="AG22" s="35" t="str">
        <f ca="1">_xll.SUBNM("CXMD:Actuality","Actuality","Retail Sales 2019","Description EN")</f>
        <v>Retail Sales 2019</v>
      </c>
      <c r="AH22" s="36" t="str">
        <f ca="1">"01 09 Retail Sales 2018 to " &amp; $C$19 &amp; " Retail Sales 2019"</f>
        <v>01 09 Retail Sales 2018 to YTD_August Retail Sales 2019</v>
      </c>
      <c r="AI22" s="21" t="str">
        <f ca="1">_xll.SUBNM("CXMD:Actuality","Actuality","Retail Sales 2018","Description EN")</f>
        <v>Retail Sales 2018</v>
      </c>
      <c r="AJ22" s="8" t="str">
        <f ca="1">_xll.SUBNM("CXMD:Actuality","Actuality","Retail Sales 2018","Description EN")</f>
        <v>Retail Sales 2018</v>
      </c>
      <c r="AK22" s="8" t="str">
        <f ca="1">_xll.SUBNM("CXMD:Actuality","Actuality","Retail Sales 2019","Description EN")</f>
        <v>Retail Sales 2019</v>
      </c>
      <c r="AL22" s="44" t="s">
        <v>11</v>
      </c>
    </row>
    <row r="23" spans="1:38" x14ac:dyDescent="0.25">
      <c r="B23" s="33"/>
      <c r="C23" s="37" t="s">
        <v>2</v>
      </c>
      <c r="D23" s="38" t="str">
        <f>C23</f>
        <v>QTY</v>
      </c>
      <c r="E23" s="38" t="str">
        <f>D23</f>
        <v>QTY</v>
      </c>
      <c r="F23" s="38" t="str">
        <f>E23</f>
        <v>QTY</v>
      </c>
      <c r="G23" s="39" t="s">
        <v>10</v>
      </c>
      <c r="H23" s="6" t="str">
        <f>G23</f>
        <v>SALES</v>
      </c>
      <c r="I23" s="6" t="str">
        <f>H23</f>
        <v>SALES</v>
      </c>
      <c r="J23" s="6" t="str">
        <f>I23</f>
        <v>SALES</v>
      </c>
      <c r="K23" s="37" t="s">
        <v>2</v>
      </c>
      <c r="L23" s="38" t="str">
        <f>K23</f>
        <v>QTY</v>
      </c>
      <c r="M23" s="38" t="str">
        <f t="shared" ref="M23:N23" si="0">L23</f>
        <v>QTY</v>
      </c>
      <c r="N23" s="38" t="str">
        <f t="shared" si="0"/>
        <v>QTY</v>
      </c>
      <c r="O23" s="39" t="s">
        <v>10</v>
      </c>
      <c r="P23" s="6" t="str">
        <f>O23</f>
        <v>SALES</v>
      </c>
      <c r="Q23" s="6" t="str">
        <f t="shared" ref="Q23" si="1">P23</f>
        <v>SALES</v>
      </c>
      <c r="R23" s="6" t="str">
        <f t="shared" ref="R23" si="2">Q23</f>
        <v>SALES</v>
      </c>
      <c r="S23" s="43"/>
      <c r="T23" s="37" t="s">
        <v>2</v>
      </c>
      <c r="U23" s="38" t="str">
        <f>T23</f>
        <v>QTY</v>
      </c>
      <c r="V23" s="38" t="str">
        <f t="shared" ref="V23:W23" si="3">U23</f>
        <v>QTY</v>
      </c>
      <c r="W23" s="38" t="str">
        <f t="shared" si="3"/>
        <v>QTY</v>
      </c>
      <c r="X23" s="39" t="s">
        <v>10</v>
      </c>
      <c r="Y23" s="6" t="str">
        <f>X23</f>
        <v>SALES</v>
      </c>
      <c r="Z23" s="6" t="str">
        <f t="shared" ref="Z23" si="4">Y23</f>
        <v>SALES</v>
      </c>
      <c r="AA23" s="6" t="str">
        <f t="shared" ref="AA23" si="5">Z23</f>
        <v>SALES</v>
      </c>
      <c r="AB23" s="45"/>
      <c r="AC23" s="6"/>
      <c r="AD23" s="37" t="s">
        <v>2</v>
      </c>
      <c r="AE23" s="38" t="str">
        <f>AD23</f>
        <v>QTY</v>
      </c>
      <c r="AF23" s="38" t="str">
        <f t="shared" ref="AF23" si="6">AE23</f>
        <v>QTY</v>
      </c>
      <c r="AG23" s="38" t="str">
        <f t="shared" ref="AG23" si="7">AF23</f>
        <v>QTY</v>
      </c>
      <c r="AH23" s="39" t="s">
        <v>10</v>
      </c>
      <c r="AI23" s="6" t="str">
        <f>AH23</f>
        <v>SALES</v>
      </c>
      <c r="AJ23" s="6" t="str">
        <f t="shared" ref="AJ23" si="8">AI23</f>
        <v>SALES</v>
      </c>
      <c r="AK23" s="6" t="str">
        <f t="shared" ref="AK23" si="9">AJ23</f>
        <v>SALES</v>
      </c>
      <c r="AL23" s="45"/>
    </row>
    <row r="24" spans="1:38" ht="15.75" thickBot="1" x14ac:dyDescent="0.3">
      <c r="A24">
        <f ca="1">IF(_xll.TM1RPTELISCONSOLIDATED($B$24,$B24),IF(_xll.TM1RPTELLEV($B$24,$B24)&lt;=3,_xll.TM1RPTELLEV($B$24,$B24),"D"),"N")</f>
        <v>0</v>
      </c>
      <c r="B24" s="14" t="str">
        <f ca="1">_xll.TM1RPTROW($B$9,"CXMD:DIM_Configuration","Total","","Description EN")</f>
        <v>TOTAL PRODUCT</v>
      </c>
      <c r="C24" s="1">
        <f ca="1">D24-E24+F24</f>
        <v>0</v>
      </c>
      <c r="D24" s="1">
        <f ca="1">_xll.DBRW($B$9,D$21,D$22,$C$16,$C$17,$C$18,$B24,D$23)</f>
        <v>0</v>
      </c>
      <c r="E24" s="1">
        <f ca="1">_xll.DBRW($B$9,E$21,E$22,$C$16,$C$17,$C$18,$B24,E$23)</f>
        <v>0</v>
      </c>
      <c r="F24" s="1">
        <f ca="1">_xll.DBRW($B$9,F$21,F$22,$C$16,$C$17,$C$18,$B24,F$23)</f>
        <v>0</v>
      </c>
      <c r="G24" s="1">
        <f ca="1">H24-I24+J24</f>
        <v>0</v>
      </c>
      <c r="H24" s="1">
        <f ca="1">_xll.DBRW($B$9,H$21,H$22,$C$16,$C$17,$C$18,$B24,H$23)</f>
        <v>0</v>
      </c>
      <c r="I24" s="1">
        <f ca="1">_xll.DBRW($B$9,I$21,I$22,$C$16,$C$17,$C$18,$B24,I$23)</f>
        <v>0</v>
      </c>
      <c r="J24" s="1">
        <f ca="1">_xll.DBRW($B$9,J$21,J$22,$C$16,$C$17,$C$18,$B24,J$23)</f>
        <v>0</v>
      </c>
      <c r="K24" s="1">
        <f ca="1">L24-M24+N24</f>
        <v>0</v>
      </c>
      <c r="L24" s="1">
        <f ca="1">_xll.DBRW($B$9,L$21,L$22,$C$16,$C$17,$C$18,$B24,L$23)</f>
        <v>0</v>
      </c>
      <c r="M24" s="1">
        <f ca="1">_xll.DBRW($B$9,M$21,M$22,$C$16,$C$17,$C$18,$B24,M$23)</f>
        <v>0</v>
      </c>
      <c r="N24" s="1">
        <f ca="1">_xll.DBRW($B$9,N$21,N$22,$C$16,$C$17,$C$18,$B24,N$23)</f>
        <v>0</v>
      </c>
      <c r="O24" s="1">
        <f ca="1">P24-Q24+R24</f>
        <v>0</v>
      </c>
      <c r="P24" s="1">
        <f ca="1">_xll.DBRW($B$9,P$21,P$22,$C$16,$C$17,$C$18,$B24,P$23)</f>
        <v>0</v>
      </c>
      <c r="Q24" s="1">
        <f ca="1">_xll.DBRW($B$9,Q$21,Q$22,$C$16,$C$17,$C$18,$B24,Q$23)</f>
        <v>0</v>
      </c>
      <c r="R24" s="1">
        <f ca="1">_xll.DBRW($B$9,R$21,R$22,$C$16,$C$17,$C$18,$B24,R$23)</f>
        <v>0</v>
      </c>
      <c r="S24" s="23">
        <f ca="1">IF(C24&lt;&gt;0,K24/C24-1,0)</f>
        <v>0</v>
      </c>
      <c r="T24" s="1">
        <f ca="1">U24-V24+W24</f>
        <v>0</v>
      </c>
      <c r="U24" s="1">
        <f ca="1">_xll.DBRW($B$9,U$21,U$22,$C$16,$C$17,$C$18,$B24,U$23)</f>
        <v>0</v>
      </c>
      <c r="V24" s="1">
        <f ca="1">_xll.DBRW($B$9,V$21,V$22,$C$16,$C$17,$C$18,$B24,V$23)</f>
        <v>0</v>
      </c>
      <c r="W24" s="1">
        <f ca="1">_xll.DBRW($B$9,W$21,W$22,$C$16,$C$17,$C$18,$B24,W$23)</f>
        <v>0</v>
      </c>
      <c r="X24" s="1">
        <f ca="1">Y24-Z24+AA24</f>
        <v>0</v>
      </c>
      <c r="Y24" s="1">
        <f ca="1">_xll.DBRW($B$9,Y$21,Y$22,$C$16,$C$17,$C$18,$B24,Y$23)</f>
        <v>0</v>
      </c>
      <c r="Z24" s="1">
        <f ca="1">_xll.DBRW($B$9,Z$21,Z$22,$C$16,$C$17,$C$18,$B24,Z$23)</f>
        <v>0</v>
      </c>
      <c r="AA24" s="1">
        <f ca="1">_xll.DBRW($B$9,AA$21,AA$22,$C$16,$C$17,$C$18,$B24,AA$23)</f>
        <v>0</v>
      </c>
      <c r="AB24" s="23">
        <f ca="1">IF(K24&lt;&gt;0,T24/K24-1,0)</f>
        <v>0</v>
      </c>
      <c r="AC24" s="1"/>
      <c r="AD24" s="1">
        <f ca="1">AE24-AF24+AG24</f>
        <v>0</v>
      </c>
      <c r="AE24" s="1">
        <f ca="1">_xll.DBRW($B$9,AE$21,AE$22,$C$16,$C$17,$C$18,$B24,AE$23)</f>
        <v>0</v>
      </c>
      <c r="AF24" s="1">
        <f ca="1">_xll.DBRW($B$9,AF$21,AF$22,$C$16,$C$17,$C$18,$B24,AF$23)</f>
        <v>0</v>
      </c>
      <c r="AG24" s="1">
        <f ca="1">_xll.DBRW($B$9,AG$21,AG$22,$C$16,$C$17,$C$18,$B24,AG$23)</f>
        <v>0</v>
      </c>
      <c r="AH24" s="40">
        <f ca="1">AI24-AJ24+AK24</f>
        <v>0</v>
      </c>
      <c r="AI24" s="1">
        <f ca="1">_xll.DBRW($B$9,AI$21,AI$22,$C$16,$C$17,$C$18,$B24,AI$23)</f>
        <v>0</v>
      </c>
      <c r="AJ24" s="1">
        <f ca="1">_xll.DBRW($B$9,AJ$21,AJ$22,$C$16,$C$17,$C$18,$B24,AJ$23)</f>
        <v>0</v>
      </c>
      <c r="AK24" s="1">
        <f ca="1">_xll.DBRW($B$9,AK$21,AK$22,$C$16,$C$17,$C$18,$B24,AK$23)</f>
        <v>0</v>
      </c>
      <c r="AL24" s="23">
        <f ca="1">IF(T24&lt;&gt;0,AD24/T24-1,0)</f>
        <v>0</v>
      </c>
    </row>
    <row r="25" spans="1:38" hidden="1" x14ac:dyDescent="0.25"/>
    <row r="26" spans="1:38" hidden="1" x14ac:dyDescent="0.25"/>
    <row r="27" spans="1:38" hidden="1" x14ac:dyDescent="0.25"/>
    <row r="28" spans="1:38" hidden="1" x14ac:dyDescent="0.25"/>
    <row r="29" spans="1:38" hidden="1" x14ac:dyDescent="0.25"/>
    <row r="30" spans="1:38" hidden="1" x14ac:dyDescent="0.25"/>
    <row r="31" spans="1:38" hidden="1" x14ac:dyDescent="0.25"/>
    <row r="32" spans="1:38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</sheetData>
  <mergeCells count="3">
    <mergeCell ref="S22:S23"/>
    <mergeCell ref="AB22:AB23"/>
    <mergeCell ref="AL22:AL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TIButton1">
          <controlPr defaultSize="0" print="0" autoLine="0" autoPict="0" r:id="rId5">
            <anchor moveWithCells="1">
              <from>
                <xdr:col>15</xdr:col>
                <xdr:colOff>0</xdr:colOff>
                <xdr:row>15</xdr:row>
                <xdr:rowOff>0</xdr:rowOff>
              </from>
              <to>
                <xdr:col>19</xdr:col>
                <xdr:colOff>0</xdr:colOff>
                <xdr:row>18</xdr:row>
                <xdr:rowOff>0</xdr:rowOff>
              </to>
            </anchor>
          </controlPr>
        </control>
      </mc:Choice>
      <mc:Fallback>
        <control shapeId="1028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2017-05-04T07:12:39Z</dcterms:created>
  <dcterms:modified xsi:type="dcterms:W3CDTF">2022-01-27T13:35:41Z</dcterms:modified>
</cp:coreProperties>
</file>