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v191\AppData\Local\Temp\31\"/>
    </mc:Choice>
  </mc:AlternateContent>
  <bookViews>
    <workbookView xWindow="0" yWindow="0" windowWidth="15390" windowHeight="5250"/>
  </bookViews>
  <sheets>
    <sheet name="Feuil1" sheetId="1" r:id="rId1"/>
  </sheets>
  <definedNames>
    <definedName name="TM1REBUILDOPTION">1</definedName>
    <definedName name="TM1RPTDATARNGARPT1" localSheetId="0">Feuil1!$29:$29</definedName>
    <definedName name="TM1RPTFMTIDCOL" localSheetId="0">Feuil1!#REF!</definedName>
    <definedName name="TM1RPTFMTRNG" localSheetId="0">Feuil1!$A$1:$L$8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2" i="1" l="1"/>
  <c r="B21" i="1"/>
  <c r="E23" i="1"/>
  <c r="B23" i="1"/>
  <c r="B24" i="1"/>
  <c r="B22" i="1"/>
  <c r="A29" i="1"/>
  <c r="M29" i="1"/>
  <c r="K29" i="1"/>
  <c r="I29" i="1"/>
  <c r="G29" i="1"/>
  <c r="E29" i="1"/>
  <c r="C29" i="1"/>
  <c r="B29" i="1"/>
  <c r="N29" i="1"/>
  <c r="H29" i="1"/>
  <c r="J29" i="1"/>
  <c r="D29" i="1"/>
  <c r="L29" i="1"/>
  <c r="F29" i="1"/>
</calcChain>
</file>

<file path=xl/sharedStrings.xml><?xml version="1.0" encoding="utf-8"?>
<sst xmlns="http://schemas.openxmlformats.org/spreadsheetml/2006/main" count="31" uniqueCount="15">
  <si>
    <t>Configuration</t>
  </si>
  <si>
    <t>Allocation</t>
  </si>
  <si>
    <t>Origin_Company</t>
  </si>
  <si>
    <t>Customer_Supplier</t>
  </si>
  <si>
    <t>RT2013</t>
  </si>
  <si>
    <t>RT2014</t>
  </si>
  <si>
    <t>RT2015</t>
  </si>
  <si>
    <t>RT2016</t>
  </si>
  <si>
    <t>RT2017</t>
  </si>
  <si>
    <t>QTY</t>
  </si>
  <si>
    <t>Retail sales % N-1</t>
  </si>
  <si>
    <t>RETAIL SALES ANALYSIS BY MONTH</t>
  </si>
  <si>
    <t>RT2018</t>
  </si>
  <si>
    <t>*</t>
  </si>
  <si>
    <t>RT2019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</si>
</sst>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&quot;&quot;%"/>
    <numFmt numFmtId="166" formatCode="&quot;+ &quot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5"/>
      <color rgb="FFC00000"/>
      <name val="Adobe Heiti Std R"/>
      <family val="2"/>
      <charset val="128"/>
    </font>
    <font>
      <sz val="11"/>
      <color theme="0" tint="-0.499984740745262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8" borderId="0" xfId="0" applyFill="1"/>
    <xf numFmtId="0" fontId="0" fillId="2" borderId="1" xfId="0" applyFill="1" applyBorder="1"/>
    <xf numFmtId="0" fontId="0" fillId="4" borderId="2" xfId="0" applyFill="1" applyBorder="1"/>
    <xf numFmtId="0" fontId="0" fillId="3" borderId="2" xfId="0" applyFill="1" applyBorder="1"/>
    <xf numFmtId="0" fontId="0" fillId="8" borderId="2" xfId="0" applyFill="1" applyBorder="1"/>
    <xf numFmtId="0" fontId="0" fillId="5" borderId="3" xfId="0" applyFill="1" applyBorder="1"/>
    <xf numFmtId="3" fontId="7" fillId="2" borderId="1" xfId="0" applyNumberFormat="1" applyFont="1" applyFill="1" applyBorder="1"/>
    <xf numFmtId="3" fontId="7" fillId="2" borderId="8" xfId="0" applyNumberFormat="1" applyFont="1" applyFill="1" applyBorder="1"/>
    <xf numFmtId="0" fontId="0" fillId="9" borderId="0" xfId="0" applyFill="1"/>
    <xf numFmtId="0" fontId="0" fillId="10" borderId="0" xfId="0" applyFill="1"/>
    <xf numFmtId="0" fontId="3" fillId="10" borderId="0" xfId="0" applyFont="1" applyFill="1"/>
    <xf numFmtId="0" fontId="4" fillId="10" borderId="0" xfId="0" applyFont="1" applyFill="1"/>
    <xf numFmtId="0" fontId="2" fillId="10" borderId="0" xfId="0" applyFont="1" applyFill="1"/>
    <xf numFmtId="3" fontId="6" fillId="10" borderId="0" xfId="0" applyNumberFormat="1" applyFont="1" applyFill="1"/>
    <xf numFmtId="0" fontId="5" fillId="6" borderId="9" xfId="0" applyFont="1" applyFill="1" applyBorder="1" applyAlignment="1">
      <alignment horizontal="center"/>
    </xf>
    <xf numFmtId="0" fontId="0" fillId="2" borderId="1" xfId="0" applyFont="1" applyFill="1" applyBorder="1"/>
    <xf numFmtId="3" fontId="0" fillId="2" borderId="5" xfId="0" applyNumberFormat="1" applyFont="1" applyFill="1" applyBorder="1"/>
    <xf numFmtId="3" fontId="0" fillId="2" borderId="8" xfId="0" applyNumberFormat="1" applyFont="1" applyFill="1" applyBorder="1"/>
    <xf numFmtId="0" fontId="0" fillId="4" borderId="2" xfId="0" applyFont="1" applyFill="1" applyBorder="1"/>
    <xf numFmtId="3" fontId="0" fillId="4" borderId="6" xfId="0" applyNumberFormat="1" applyFont="1" applyFill="1" applyBorder="1"/>
    <xf numFmtId="3" fontId="0" fillId="4" borderId="0" xfId="0" applyNumberFormat="1" applyFont="1" applyFill="1" applyBorder="1"/>
    <xf numFmtId="0" fontId="0" fillId="3" borderId="2" xfId="0" applyFont="1" applyFill="1" applyBorder="1"/>
    <xf numFmtId="3" fontId="0" fillId="3" borderId="6" xfId="0" applyNumberFormat="1" applyFont="1" applyFill="1" applyBorder="1"/>
    <xf numFmtId="3" fontId="0" fillId="3" borderId="0" xfId="0" applyNumberFormat="1" applyFont="1" applyFill="1" applyBorder="1"/>
    <xf numFmtId="0" fontId="0" fillId="8" borderId="2" xfId="0" applyFont="1" applyFill="1" applyBorder="1"/>
    <xf numFmtId="3" fontId="0" fillId="8" borderId="6" xfId="0" applyNumberFormat="1" applyFont="1" applyFill="1" applyBorder="1"/>
    <xf numFmtId="3" fontId="0" fillId="8" borderId="0" xfId="0" applyNumberFormat="1" applyFont="1" applyFill="1" applyBorder="1"/>
    <xf numFmtId="0" fontId="0" fillId="5" borderId="3" xfId="0" applyFont="1" applyFill="1" applyBorder="1"/>
    <xf numFmtId="3" fontId="0" fillId="5" borderId="7" xfId="0" applyNumberFormat="1" applyFont="1" applyFill="1" applyBorder="1"/>
    <xf numFmtId="3" fontId="0" fillId="5" borderId="9" xfId="0" applyNumberFormat="1" applyFont="1" applyFill="1" applyBorder="1"/>
    <xf numFmtId="165" fontId="3" fillId="2" borderId="4" xfId="0" applyNumberFormat="1" applyFont="1" applyFill="1" applyBorder="1"/>
    <xf numFmtId="165" fontId="3" fillId="4" borderId="4" xfId="0" applyNumberFormat="1" applyFont="1" applyFill="1" applyBorder="1"/>
    <xf numFmtId="165" fontId="3" fillId="3" borderId="4" xfId="0" applyNumberFormat="1" applyFont="1" applyFill="1" applyBorder="1"/>
    <xf numFmtId="165" fontId="3" fillId="8" borderId="4" xfId="0" applyNumberFormat="1" applyFont="1" applyFill="1" applyBorder="1"/>
    <xf numFmtId="165" fontId="3" fillId="5" borderId="4" xfId="0" applyNumberFormat="1" applyFont="1" applyFill="1" applyBorder="1"/>
    <xf numFmtId="0" fontId="5" fillId="6" borderId="3" xfId="0" applyFont="1" applyFill="1" applyBorder="1" applyAlignment="1">
      <alignment horizontal="center" wrapText="1"/>
    </xf>
    <xf numFmtId="0" fontId="5" fillId="6" borderId="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 wrapText="1"/>
    </xf>
    <xf numFmtId="9" fontId="8" fillId="2" borderId="10" xfId="1" applyFont="1" applyFill="1" applyBorder="1"/>
    <xf numFmtId="9" fontId="8" fillId="2" borderId="12" xfId="1" applyFont="1" applyFill="1" applyBorder="1"/>
    <xf numFmtId="0" fontId="9" fillId="10" borderId="0" xfId="0" applyFont="1" applyFill="1"/>
    <xf numFmtId="0" fontId="10" fillId="10" borderId="0" xfId="0" applyFont="1" applyFill="1"/>
    <xf numFmtId="0" fontId="11" fillId="9" borderId="0" xfId="0" applyFont="1" applyFill="1"/>
    <xf numFmtId="0" fontId="5" fillId="6" borderId="10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166" fontId="0" fillId="2" borderId="0" xfId="0" applyNumberForma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12</xdr:row>
      <xdr:rowOff>15240</xdr:rowOff>
    </xdr:from>
    <xdr:to>
      <xdr:col>12</xdr:col>
      <xdr:colOff>0</xdr:colOff>
      <xdr:row>18</xdr:row>
      <xdr:rowOff>0</xdr:rowOff>
    </xdr:to>
    <xdr:pic>
      <xdr:nvPicPr>
        <xdr:cNvPr id="2" name="Imag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" y="15240"/>
          <a:ext cx="11330940" cy="108204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</xdr:row>
          <xdr:rowOff>0</xdr:rowOff>
        </xdr:from>
        <xdr:to>
          <xdr:col>7</xdr:col>
          <xdr:colOff>95250</xdr:colOff>
          <xdr:row>22</xdr:row>
          <xdr:rowOff>152400</xdr:rowOff>
        </xdr:to>
        <xdr:sp macro="" textlink="">
          <xdr:nvSpPr>
            <xdr:cNvPr id="1027" name="TIButton1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O141"/>
  <sheetViews>
    <sheetView showGridLines="0" tabSelected="1" topLeftCell="A13" workbookViewId="0">
      <selection activeCell="B21" sqref="B21"/>
    </sheetView>
  </sheetViews>
  <sheetFormatPr defaultColWidth="0" defaultRowHeight="15" zeroHeight="1"/>
  <cols>
    <col min="1" max="1" width="24.7109375" bestFit="1" customWidth="1"/>
    <col min="2" max="12" width="12.7109375" customWidth="1"/>
    <col min="13" max="14" width="11.5703125" customWidth="1"/>
    <col min="15" max="15" width="0.7109375" customWidth="1"/>
    <col min="16" max="16384" width="11.5703125" hidden="1"/>
  </cols>
  <sheetData>
    <row r="1" spans="1:14" s="13" customFormat="1" hidden="1"/>
    <row r="2" spans="1:14" hidden="1">
      <c r="A2" s="5"/>
      <c r="B2" s="19"/>
      <c r="C2" s="20"/>
      <c r="D2" s="34"/>
      <c r="E2" s="21"/>
      <c r="F2" s="34"/>
      <c r="G2" s="21"/>
      <c r="H2" s="34"/>
      <c r="I2" s="21"/>
      <c r="J2" s="34"/>
      <c r="K2" s="21"/>
      <c r="L2" s="34"/>
      <c r="M2" s="21"/>
      <c r="N2" s="34"/>
    </row>
    <row r="3" spans="1:14" s="1" customFormat="1" hidden="1">
      <c r="A3" s="6"/>
      <c r="B3" s="22"/>
      <c r="C3" s="23"/>
      <c r="D3" s="35"/>
      <c r="E3" s="24"/>
      <c r="F3" s="35"/>
      <c r="G3" s="24"/>
      <c r="H3" s="35"/>
      <c r="I3" s="24"/>
      <c r="J3" s="35"/>
      <c r="K3" s="24"/>
      <c r="L3" s="35"/>
      <c r="M3" s="24"/>
      <c r="N3" s="35"/>
    </row>
    <row r="4" spans="1:14" hidden="1">
      <c r="A4" s="7"/>
      <c r="B4" s="25"/>
      <c r="C4" s="26"/>
      <c r="D4" s="36"/>
      <c r="E4" s="27"/>
      <c r="F4" s="36"/>
      <c r="G4" s="27"/>
      <c r="H4" s="36"/>
      <c r="I4" s="27"/>
      <c r="J4" s="36"/>
      <c r="K4" s="27"/>
      <c r="L4" s="36"/>
      <c r="M4" s="27"/>
      <c r="N4" s="36"/>
    </row>
    <row r="5" spans="1:14" s="4" customFormat="1" hidden="1">
      <c r="A5" s="8"/>
      <c r="B5" s="28"/>
      <c r="C5" s="29"/>
      <c r="D5" s="37"/>
      <c r="E5" s="30"/>
      <c r="F5" s="37"/>
      <c r="G5" s="30"/>
      <c r="H5" s="37"/>
      <c r="I5" s="30"/>
      <c r="J5" s="37"/>
      <c r="K5" s="30"/>
      <c r="L5" s="37"/>
      <c r="M5" s="30"/>
      <c r="N5" s="37"/>
    </row>
    <row r="6" spans="1:14" s="2" customFormat="1" hidden="1">
      <c r="A6" s="9"/>
      <c r="B6" s="31"/>
      <c r="C6" s="32"/>
      <c r="D6" s="38"/>
      <c r="E6" s="33"/>
      <c r="F6" s="38"/>
      <c r="G6" s="33"/>
      <c r="H6" s="38"/>
      <c r="I6" s="33"/>
      <c r="J6" s="38"/>
      <c r="K6" s="33"/>
      <c r="L6" s="38"/>
      <c r="M6" s="33"/>
      <c r="N6" s="38"/>
    </row>
    <row r="7" spans="1:14" s="13" customFormat="1" hidden="1"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4" s="13" customFormat="1" hidden="1"/>
    <row r="9" spans="1:14" s="13" customFormat="1" hidden="1"/>
    <row r="10" spans="1:14" s="13" customFormat="1" hidden="1"/>
    <row r="11" spans="1:14" s="13" customFormat="1" hidden="1"/>
    <row r="12" spans="1:14" s="13" customFormat="1" hidden="1">
      <c r="A12" s="13" t="str">
        <f ca="1">_xll.TM1RPTVIEW("CXMD:FTM_DATA_MARGIN:ARPT1", 1, _xll.TM1RPTTITLE("CXMD:DIM_Origin_Company",$B$21),_xll.TM1RPTTITLE("CXMD:DIM_Allocation",$B$23), _xll.TM1RPTTITLE("CXMD:DIM_Customer_Supplier",$B$24), _xll.TM1RPTTITLE("CXMD:DIM_Configuration",$B$22),TM1RPTFMTRNG,TM1RPTFMTIDCOL)</f>
        <v>CXMD:FTM_DATA_MARGIN:ARPT1</v>
      </c>
    </row>
    <row r="13" spans="1:14" s="12" customFormat="1">
      <c r="M13" s="49" t="s">
        <v>13</v>
      </c>
    </row>
    <row r="14" spans="1:14" s="12" customFormat="1">
      <c r="M14" s="49" t="s">
        <v>13</v>
      </c>
    </row>
    <row r="15" spans="1:14" s="12" customFormat="1">
      <c r="M15" s="49" t="s">
        <v>13</v>
      </c>
    </row>
    <row r="16" spans="1:14" s="12" customFormat="1">
      <c r="M16" s="49" t="s">
        <v>13</v>
      </c>
    </row>
    <row r="17" spans="1:14" s="12" customFormat="1">
      <c r="M17" s="49" t="s">
        <v>13</v>
      </c>
    </row>
    <row r="18" spans="1:14" s="12" customFormat="1">
      <c r="M18" s="49" t="s">
        <v>13</v>
      </c>
    </row>
    <row r="19" spans="1:14" s="13" customFormat="1" ht="18.75">
      <c r="A19" s="47" t="s">
        <v>11</v>
      </c>
    </row>
    <row r="20" spans="1:14" s="13" customFormat="1"/>
    <row r="21" spans="1:14" s="13" customFormat="1" ht="19.149999999999999" customHeight="1">
      <c r="A21" s="14" t="s">
        <v>2</v>
      </c>
      <c r="B21" s="16" t="str">
        <f ca="1">_xll.SUBNM("CXMD:DIM_Origin_Company","","KUHN POLAND","Name EN")</f>
        <v>KUHN POLAND</v>
      </c>
    </row>
    <row r="22" spans="1:14" s="13" customFormat="1" ht="19.149999999999999" customHeight="1">
      <c r="A22" s="14" t="s">
        <v>0</v>
      </c>
      <c r="B22" s="16" t="str">
        <f ca="1">_xll.SUBNM("CXMD:DIM_Configuration","Total","TOTAL PRODUCT","Description EN")</f>
        <v>TOTAL PRODUCT</v>
      </c>
      <c r="E22" s="3"/>
    </row>
    <row r="23" spans="1:14" s="13" customFormat="1" ht="19.149999999999999" customHeight="1">
      <c r="A23" s="14" t="s">
        <v>1</v>
      </c>
      <c r="B23" s="16" t="str">
        <f ca="1">_xll.SUBNM("CXMD:DIM_Allocation","Par défaut",E23,"Allocation EN")</f>
        <v>J_SALES -</v>
      </c>
      <c r="E23" s="48" t="str">
        <f ca="1">CONCATENATE(_xll.DBRA("CXMD:DIM_Origin_Company",$B$21,"Origin Company"),"_SALES")</f>
        <v>J_SALES</v>
      </c>
    </row>
    <row r="24" spans="1:14" s="13" customFormat="1" hidden="1">
      <c r="A24" s="14" t="s">
        <v>3</v>
      </c>
      <c r="B24" s="15" t="str">
        <f ca="1">_xll.SUBNM("CXMD:DIM_Customer_Supplier","","Others","Code-Name")</f>
        <v>Others</v>
      </c>
    </row>
    <row r="25" spans="1:14" s="13" customFormat="1">
      <c r="B25" s="15"/>
    </row>
    <row r="26" spans="1:14" s="13" customFormat="1"/>
    <row r="27" spans="1:14" ht="21" customHeight="1">
      <c r="A27" s="13"/>
      <c r="B27" s="41" t="s">
        <v>4</v>
      </c>
      <c r="C27" s="42" t="s">
        <v>5</v>
      </c>
      <c r="D27" s="50" t="s">
        <v>10</v>
      </c>
      <c r="E27" s="43" t="s">
        <v>6</v>
      </c>
      <c r="F27" s="50" t="s">
        <v>10</v>
      </c>
      <c r="G27" s="43" t="s">
        <v>7</v>
      </c>
      <c r="H27" s="50" t="s">
        <v>10</v>
      </c>
      <c r="I27" s="44" t="s">
        <v>8</v>
      </c>
      <c r="J27" s="50" t="s">
        <v>10</v>
      </c>
      <c r="K27" s="43" t="s">
        <v>12</v>
      </c>
      <c r="L27" s="50" t="s">
        <v>10</v>
      </c>
      <c r="M27" s="43" t="s">
        <v>14</v>
      </c>
      <c r="N27" s="50" t="s">
        <v>10</v>
      </c>
    </row>
    <row r="28" spans="1:14">
      <c r="A28" s="13"/>
      <c r="B28" s="39" t="s">
        <v>9</v>
      </c>
      <c r="C28" s="40" t="s">
        <v>9</v>
      </c>
      <c r="D28" s="51"/>
      <c r="E28" s="18" t="s">
        <v>9</v>
      </c>
      <c r="F28" s="51"/>
      <c r="G28" s="18" t="s">
        <v>9</v>
      </c>
      <c r="H28" s="51"/>
      <c r="I28" s="18" t="s">
        <v>9</v>
      </c>
      <c r="J28" s="51"/>
      <c r="K28" s="18" t="s">
        <v>9</v>
      </c>
      <c r="L28" s="51"/>
      <c r="M28" s="18" t="s">
        <v>9</v>
      </c>
      <c r="N28" s="51"/>
    </row>
    <row r="29" spans="1:14">
      <c r="A29" s="52" t="str">
        <f ca="1">_xll.TM1RPTROW($A$12,"CXMD:Month","ChoixMois","","",0)</f>
        <v/>
      </c>
      <c r="B29" s="10" t="str">
        <f ca="1">_xll.DBRW($A$12,$A29,B$27,$B$21,$B$23,$B$24,$B$22,B$28)</f>
        <v/>
      </c>
      <c r="C29" s="10" t="str">
        <f ca="1">_xll.DBRW($A$12,$A29,C$27,$B$21,$B$23,$B$24,$B$22,C$28)</f>
        <v/>
      </c>
      <c r="D29" s="45" t="e">
        <f ca="1">IF(B29&lt;&gt;0,C29/B29-1,0)</f>
        <v>#VALUE!</v>
      </c>
      <c r="E29" s="11" t="str">
        <f ca="1">_xll.DBRW($A$12,$A29,E$27,$B$21,$B$23,$B$24,$B$22,E$28)</f>
        <v/>
      </c>
      <c r="F29" s="45" t="e">
        <f ca="1">IF(C29&lt;&gt;0,E29/C29-1,0)</f>
        <v>#VALUE!</v>
      </c>
      <c r="G29" s="11" t="str">
        <f ca="1">_xll.DBRW($A$12,$A29,G$27,$B$21,$B$23,$B$24,$B$22,G$28)</f>
        <v/>
      </c>
      <c r="H29" s="45" t="e">
        <f ca="1">IF(E29&lt;&gt;0,G29/E29-1,0)</f>
        <v>#VALUE!</v>
      </c>
      <c r="I29" s="11" t="str">
        <f ca="1">_xll.DBRW($A$12,$A29,I$27,$B$21,$B$23,$B$24,$B$22,I$28)</f>
        <v/>
      </c>
      <c r="J29" s="45" t="e">
        <f ca="1">IF(G29&lt;&gt;0,I29/G29-1,0)</f>
        <v>#VALUE!</v>
      </c>
      <c r="K29" s="11" t="str">
        <f ca="1">_xll.DBRW($A$12,$A29,K$27,$B$21,$B$23,$B$24,$B$22,K$28)</f>
        <v/>
      </c>
      <c r="L29" s="46" t="e">
        <f ca="1">IF(I29&lt;&gt;0,K29/I29-1,0)</f>
        <v>#VALUE!</v>
      </c>
      <c r="M29" s="11" t="str">
        <f ca="1">_xll.DBRW($A$12,$A29,M$27,$B$21,$B$23,$B$24,$B$22,M$28)</f>
        <v/>
      </c>
      <c r="N29" s="46" t="e">
        <f ca="1">IF(K29&lt;&gt;0,M29/K29-1,0)</f>
        <v>#VALUE!</v>
      </c>
    </row>
    <row r="30" spans="1:14"/>
    <row r="31" spans="1:14" hidden="1"/>
    <row r="32" spans="1:14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</sheetData>
  <mergeCells count="6">
    <mergeCell ref="N27:N28"/>
    <mergeCell ref="D27:D28"/>
    <mergeCell ref="F27:F28"/>
    <mergeCell ref="H27:H28"/>
    <mergeCell ref="J27:J28"/>
    <mergeCell ref="L27:L28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TIButton1">
          <controlPr defaultSize="0" print="0" autoLine="0" autoPict="0" r:id="rId5">
            <anchor moveWithCells="1">
              <from>
                <xdr:col>6</xdr:col>
                <xdr:colOff>0</xdr:colOff>
                <xdr:row>21</xdr:row>
                <xdr:rowOff>0</xdr:rowOff>
              </from>
              <to>
                <xdr:col>7</xdr:col>
                <xdr:colOff>95250</xdr:colOff>
                <xdr:row>22</xdr:row>
                <xdr:rowOff>152400</xdr:rowOff>
              </to>
            </anchor>
          </controlPr>
        </control>
      </mc:Choice>
      <mc:Fallback>
        <control shapeId="1027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Feuil1</vt:lpstr>
      <vt:lpstr>Feuil1!TM1RPTDATARNGARPT1</vt:lpstr>
      <vt:lpstr>Feuil1!TM1RPTFMTRNG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Orsolya KRUPP</dc:creator>
  <cp:lastModifiedBy>Serveurs COGNOS</cp:lastModifiedBy>
  <dcterms:created xsi:type="dcterms:W3CDTF">2017-01-26T08:07:31Z</dcterms:created>
  <dcterms:modified xsi:type="dcterms:W3CDTF">2022-01-27T12:11:30Z</dcterms:modified>
</cp:coreProperties>
</file>