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v191\AppData\Local\Temp\31\"/>
    </mc:Choice>
  </mc:AlternateContent>
  <bookViews>
    <workbookView xWindow="0" yWindow="0" windowWidth="23040" windowHeight="9690"/>
  </bookViews>
  <sheets>
    <sheet name="Feuil1" sheetId="1" r:id="rId1"/>
    <sheet name="{AR}01" sheetId="2" state="hidden" r:id="rId2"/>
  </sheets>
  <definedNames>
    <definedName name="TM1REBUILDOPTION">1</definedName>
    <definedName name="TM1RPTDATARNGARPT1" localSheetId="0">Feuil1!$25:$25</definedName>
    <definedName name="TM1RPTFMTIDCOL" localSheetId="0">Feuil1!$A$1:$A$8</definedName>
    <definedName name="TM1RPTFMTRNG" localSheetId="0">Feuil1!$B$1:$H$8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C17" i="1"/>
  <c r="D20" i="1"/>
  <c r="B25" i="1"/>
  <c r="C19" i="1"/>
  <c r="J23" i="1"/>
  <c r="C20" i="1"/>
  <c r="C18" i="1"/>
  <c r="J25" i="1"/>
  <c r="H23" i="1"/>
  <c r="H25" i="1"/>
  <c r="F23" i="1"/>
  <c r="F25" i="1"/>
  <c r="D23" i="1"/>
  <c r="D25" i="1"/>
  <c r="C23" i="1"/>
  <c r="C25" i="1"/>
  <c r="K25" i="1"/>
  <c r="I25" i="1"/>
  <c r="G25" i="1"/>
  <c r="E25" i="1"/>
  <c r="A25" i="1"/>
  <c r="A5" i="1"/>
  <c r="A4" i="1"/>
  <c r="A3" i="1"/>
  <c r="A2" i="1"/>
</calcChain>
</file>

<file path=xl/sharedStrings.xml><?xml version="1.0" encoding="utf-8"?>
<sst xmlns="http://schemas.openxmlformats.org/spreadsheetml/2006/main" count="38" uniqueCount="31">
  <si>
    <t>Origin_Company</t>
  </si>
  <si>
    <t>Configuration</t>
  </si>
  <si>
    <t>Month</t>
  </si>
  <si>
    <t>Customer_Supplier</t>
  </si>
  <si>
    <t>QTY</t>
  </si>
  <si>
    <t>J_SALES -</t>
  </si>
  <si>
    <t>J-5000 - POLSKA-EN</t>
  </si>
  <si>
    <t>J-5001 - REGION PN-ZACH POGOR-EN</t>
  </si>
  <si>
    <t>J-5002 - REGION PN-WSCH GALKA-EN</t>
  </si>
  <si>
    <t>J-5003 - REGION PD-WSCH MIKIC-EN</t>
  </si>
  <si>
    <t>J-5004 - REGION PD-ZACH SZTOC-EN</t>
  </si>
  <si>
    <t>J-5005 - POZNAù (K KACZMAREK)-EN</t>
  </si>
  <si>
    <t>J-5006 - POZNAù (KOZICKI)-EN</t>
  </si>
  <si>
    <t>J-5007 - POZNAù (REMBACZ)-EN</t>
  </si>
  <si>
    <t>J-5008 - KOMUNAL ROSZYK ZBIGN-EN</t>
  </si>
  <si>
    <t>J-5009 - POZNAù (MICHA¬OWSKI)-EN</t>
  </si>
  <si>
    <t>J-5010 - POZNAù (BRUSZYùSKI)-EN</t>
  </si>
  <si>
    <t>J-5011 - POZNAù (PRÊTKOWSKI)-EN</t>
  </si>
  <si>
    <t>J-5090 - RÓZNE-EN</t>
  </si>
  <si>
    <t>J-5112 - FRANCE-EN</t>
  </si>
  <si>
    <t>J-5333 - BIELORUSSIE-EN</t>
  </si>
  <si>
    <t>J-5101 - GERMANY-EN</t>
  </si>
  <si>
    <t>J-5012 - -EN</t>
  </si>
  <si>
    <t>J-5013 - -EN</t>
  </si>
  <si>
    <t>J-5050 - -EN</t>
  </si>
  <si>
    <t>D</t>
  </si>
  <si>
    <t>N</t>
  </si>
  <si>
    <t>[Begin Format Range]</t>
  </si>
  <si>
    <t>[End Format Range]</t>
  </si>
  <si>
    <t>SALES % N-1</t>
  </si>
  <si>
    <t>RETAIL SALES 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</si>
</sst>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+ &quot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5"/>
      <color rgb="FFC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rgb="FFC8C8C8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3" fontId="5" fillId="0" borderId="0" xfId="0" applyNumberFormat="1" applyFont="1"/>
    <xf numFmtId="0" fontId="0" fillId="4" borderId="0" xfId="0" applyFill="1"/>
    <xf numFmtId="0" fontId="0" fillId="6" borderId="0" xfId="0" applyFill="1"/>
    <xf numFmtId="0" fontId="3" fillId="6" borderId="0" xfId="0" applyFont="1" applyFill="1"/>
    <xf numFmtId="0" fontId="2" fillId="6" borderId="0" xfId="0" applyFont="1" applyFill="1"/>
    <xf numFmtId="0" fontId="0" fillId="3" borderId="1" xfId="0" applyFill="1" applyBorder="1"/>
    <xf numFmtId="3" fontId="7" fillId="3" borderId="0" xfId="0" applyNumberFormat="1" applyFont="1" applyFill="1" applyBorder="1"/>
    <xf numFmtId="0" fontId="4" fillId="5" borderId="3" xfId="0" applyFont="1" applyFill="1" applyBorder="1" applyAlignment="1">
      <alignment horizontal="center"/>
    </xf>
    <xf numFmtId="0" fontId="0" fillId="0" borderId="0" xfId="0" applyFill="1"/>
    <xf numFmtId="0" fontId="4" fillId="5" borderId="5" xfId="0" applyFont="1" applyFill="1" applyBorder="1" applyAlignment="1">
      <alignment horizontal="center"/>
    </xf>
    <xf numFmtId="9" fontId="0" fillId="0" borderId="0" xfId="0" applyNumberFormat="1"/>
    <xf numFmtId="9" fontId="6" fillId="3" borderId="7" xfId="1" applyNumberFormat="1" applyFont="1" applyFill="1" applyBorder="1"/>
    <xf numFmtId="9" fontId="0" fillId="4" borderId="0" xfId="0" applyNumberFormat="1" applyFill="1"/>
    <xf numFmtId="9" fontId="0" fillId="6" borderId="0" xfId="0" applyNumberFormat="1" applyFill="1"/>
    <xf numFmtId="0" fontId="8" fillId="6" borderId="0" xfId="0" applyFont="1" applyFill="1"/>
    <xf numFmtId="0" fontId="0" fillId="2" borderId="1" xfId="0" applyFill="1" applyBorder="1"/>
    <xf numFmtId="3" fontId="7" fillId="2" borderId="0" xfId="0" applyNumberFormat="1" applyFont="1" applyFill="1" applyBorder="1"/>
    <xf numFmtId="0" fontId="0" fillId="0" borderId="0" xfId="0" applyBorder="1"/>
    <xf numFmtId="9" fontId="0" fillId="0" borderId="0" xfId="0" applyNumberFormat="1" applyBorder="1"/>
    <xf numFmtId="9" fontId="5" fillId="0" borderId="7" xfId="0" applyNumberFormat="1" applyFont="1" applyBorder="1"/>
    <xf numFmtId="9" fontId="0" fillId="0" borderId="7" xfId="0" applyNumberFormat="1" applyBorder="1"/>
    <xf numFmtId="9" fontId="9" fillId="2" borderId="7" xfId="1" applyNumberFormat="1" applyFont="1" applyFill="1" applyBorder="1"/>
    <xf numFmtId="3" fontId="5" fillId="0" borderId="1" xfId="0" applyNumberFormat="1" applyFont="1" applyBorder="1"/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3" fontId="7" fillId="2" borderId="1" xfId="0" applyNumberFormat="1" applyFont="1" applyFill="1" applyBorder="1"/>
    <xf numFmtId="3" fontId="7" fillId="3" borderId="1" xfId="0" applyNumberFormat="1" applyFont="1" applyFill="1" applyBorder="1"/>
    <xf numFmtId="0" fontId="0" fillId="0" borderId="1" xfId="0" applyBorder="1"/>
    <xf numFmtId="9" fontId="10" fillId="2" borderId="7" xfId="1" applyNumberFormat="1" applyFont="1" applyFill="1" applyBorder="1"/>
    <xf numFmtId="0" fontId="0" fillId="7" borderId="0" xfId="0" applyFill="1"/>
    <xf numFmtId="164" fontId="0" fillId="2" borderId="1" xfId="0" applyNumberFormat="1" applyFill="1" applyBorder="1" applyAlignment="1"/>
    <xf numFmtId="9" fontId="4" fillId="5" borderId="6" xfId="0" applyNumberFormat="1" applyFont="1" applyFill="1" applyBorder="1" applyAlignment="1">
      <alignment horizontal="center" vertical="center" wrapText="1"/>
    </xf>
    <xf numFmtId="9" fontId="4" fillId="5" borderId="8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9</xdr:row>
      <xdr:rowOff>19050</xdr:rowOff>
    </xdr:from>
    <xdr:to>
      <xdr:col>7</xdr:col>
      <xdr:colOff>501807</xdr:colOff>
      <xdr:row>13</xdr:row>
      <xdr:rowOff>142875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9050"/>
          <a:ext cx="8735216" cy="88582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847725</xdr:colOff>
          <xdr:row>16</xdr:row>
          <xdr:rowOff>171450</xdr:rowOff>
        </xdr:from>
        <xdr:to>
          <xdr:col>6</xdr:col>
          <xdr:colOff>504825</xdr:colOff>
          <xdr:row>18</xdr:row>
          <xdr:rowOff>95250</xdr:rowOff>
        </xdr:to>
        <xdr:sp macro="" textlink="">
          <xdr:nvSpPr>
            <xdr:cNvPr id="1026" name="TIButton1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L30"/>
  <sheetViews>
    <sheetView showGridLines="0" tabSelected="1" topLeftCell="B10" workbookViewId="0">
      <selection activeCell="C17" sqref="C17"/>
    </sheetView>
  </sheetViews>
  <sheetFormatPr defaultColWidth="0" defaultRowHeight="15" zeroHeight="1" x14ac:dyDescent="0.25"/>
  <cols>
    <col min="1" max="1" width="18.7109375" hidden="1" customWidth="1"/>
    <col min="2" max="2" width="50.7109375" customWidth="1"/>
    <col min="3" max="4" width="17.7109375" customWidth="1"/>
    <col min="5" max="5" width="9.7109375" style="11" customWidth="1"/>
    <col min="6" max="6" width="17.7109375" customWidth="1"/>
    <col min="7" max="7" width="9.7109375" style="11" customWidth="1"/>
    <col min="8" max="8" width="17.7109375" customWidth="1"/>
    <col min="9" max="9" width="9.7109375" style="11" customWidth="1"/>
    <col min="10" max="10" width="17.7109375" style="9" customWidth="1"/>
    <col min="11" max="11" width="9.7109375" style="9" customWidth="1"/>
    <col min="12" max="12" width="0.7109375" style="9" customWidth="1"/>
    <col min="13" max="16384" width="11.5703125" style="9" hidden="1"/>
  </cols>
  <sheetData>
    <row r="1" spans="1:11" ht="26.25" hidden="1" customHeight="1" x14ac:dyDescent="0.25">
      <c r="A1" t="s">
        <v>27</v>
      </c>
      <c r="C1" s="28"/>
      <c r="E1" s="21"/>
      <c r="G1" s="21"/>
      <c r="I1" s="21"/>
      <c r="J1"/>
      <c r="K1" s="21"/>
    </row>
    <row r="2" spans="1:11" ht="23.25" hidden="1" customHeight="1" x14ac:dyDescent="0.25">
      <c r="A2">
        <f>0</f>
        <v>0</v>
      </c>
      <c r="B2" s="16"/>
      <c r="C2" s="26"/>
      <c r="D2" s="17"/>
      <c r="E2" s="29"/>
      <c r="F2" s="17"/>
      <c r="G2" s="29"/>
      <c r="H2" s="17"/>
      <c r="I2" s="29"/>
      <c r="J2" s="17"/>
      <c r="K2" s="29"/>
    </row>
    <row r="3" spans="1:11" ht="14.25" hidden="1" customHeight="1" x14ac:dyDescent="0.25">
      <c r="A3">
        <f>1</f>
        <v>1</v>
      </c>
      <c r="B3" s="6"/>
      <c r="C3" s="27"/>
      <c r="D3" s="7"/>
      <c r="E3" s="12"/>
      <c r="F3" s="7"/>
      <c r="G3" s="12"/>
      <c r="H3" s="7"/>
      <c r="I3" s="12"/>
      <c r="J3" s="7"/>
      <c r="K3" s="12"/>
    </row>
    <row r="4" spans="1:11" ht="14.25" hidden="1" customHeight="1" x14ac:dyDescent="0.25">
      <c r="A4">
        <f>2</f>
        <v>2</v>
      </c>
      <c r="B4" s="6"/>
      <c r="C4" s="27"/>
      <c r="D4" s="7"/>
      <c r="E4" s="12"/>
      <c r="F4" s="7"/>
      <c r="G4" s="12"/>
      <c r="H4" s="7"/>
      <c r="I4" s="12"/>
      <c r="J4" s="7"/>
      <c r="K4" s="12"/>
    </row>
    <row r="5" spans="1:11" ht="21" hidden="1" customHeight="1" x14ac:dyDescent="0.25">
      <c r="A5">
        <f>3</f>
        <v>3</v>
      </c>
      <c r="B5" s="6"/>
      <c r="C5" s="27"/>
      <c r="D5" s="7"/>
      <c r="E5" s="12"/>
      <c r="F5" s="7"/>
      <c r="G5" s="12"/>
      <c r="H5" s="7"/>
      <c r="I5" s="12"/>
      <c r="J5" s="7"/>
      <c r="K5" s="12"/>
    </row>
    <row r="6" spans="1:11" ht="24.75" hidden="1" customHeight="1" x14ac:dyDescent="0.25">
      <c r="A6" t="s">
        <v>25</v>
      </c>
      <c r="B6" s="6"/>
      <c r="C6" s="27"/>
      <c r="D6" s="7"/>
      <c r="E6" s="12"/>
      <c r="F6" s="7"/>
      <c r="G6" s="12"/>
      <c r="H6" s="7"/>
      <c r="I6" s="12"/>
      <c r="J6" s="7"/>
      <c r="K6" s="12"/>
    </row>
    <row r="7" spans="1:11" ht="23.25" hidden="1" customHeight="1" x14ac:dyDescent="0.25">
      <c r="A7" t="s">
        <v>26</v>
      </c>
      <c r="C7" s="23"/>
      <c r="D7" s="1"/>
      <c r="E7" s="20"/>
      <c r="F7" s="1"/>
      <c r="G7" s="20"/>
      <c r="H7" s="1"/>
      <c r="I7" s="20"/>
      <c r="J7" s="1"/>
      <c r="K7" s="20"/>
    </row>
    <row r="8" spans="1:11" ht="28.5" hidden="1" customHeight="1" x14ac:dyDescent="0.25">
      <c r="A8" t="s">
        <v>28</v>
      </c>
    </row>
    <row r="9" spans="1:11" ht="31.5" hidden="1" customHeight="1" x14ac:dyDescent="0.25">
      <c r="B9" t="str">
        <f ca="1">_xll.TM1RPTVIEW("CXMD:FTM_DATA_MARGIN:ARPT1", 0,_xll.TM1RPTTITLE("CXMD:Month",$C$19), _xll.TM1RPTTITLE("CXMD:DIM_Origin_Company",$C$17), _xll.TM1RPTTITLE("CXMD:DIM_Customer_Supplier",$C$20), _xll.TM1RPTTITLE("CXMD:DIM_Configuration",$C$18),TM1RPTFMTRNG,TM1RPTFMTIDCOL)</f>
        <v>CXMD:FTM_DATA_MARGIN:ARPT1</v>
      </c>
    </row>
    <row r="10" spans="1:11" x14ac:dyDescent="0.25">
      <c r="A10" s="2"/>
      <c r="B10" s="2"/>
      <c r="C10" s="2"/>
      <c r="D10" s="2"/>
      <c r="E10" s="13"/>
      <c r="F10" s="2"/>
      <c r="G10" s="13"/>
      <c r="H10" s="2"/>
      <c r="I10" s="13"/>
      <c r="J10" s="2"/>
      <c r="K10" s="13"/>
    </row>
    <row r="11" spans="1:11" x14ac:dyDescent="0.25">
      <c r="A11" s="2"/>
      <c r="B11" s="2"/>
      <c r="C11" s="2"/>
      <c r="D11" s="2"/>
      <c r="E11" s="13"/>
      <c r="F11" s="2"/>
      <c r="G11" s="13"/>
      <c r="H11" s="2"/>
      <c r="I11" s="13"/>
      <c r="J11" s="2"/>
      <c r="K11" s="13"/>
    </row>
    <row r="12" spans="1:11" x14ac:dyDescent="0.25">
      <c r="A12" s="2"/>
      <c r="B12" s="2"/>
      <c r="C12" s="2"/>
      <c r="D12" s="2"/>
      <c r="E12" s="13"/>
      <c r="F12" s="2"/>
      <c r="G12" s="13"/>
      <c r="H12" s="2"/>
      <c r="I12" s="13"/>
      <c r="J12" s="2"/>
      <c r="K12" s="13"/>
    </row>
    <row r="13" spans="1:11" x14ac:dyDescent="0.25">
      <c r="A13" s="2"/>
      <c r="B13" s="2"/>
      <c r="C13" s="2"/>
      <c r="D13" s="2"/>
      <c r="E13" s="13"/>
      <c r="F13" s="2"/>
      <c r="G13" s="13"/>
      <c r="H13" s="2"/>
      <c r="I13" s="13"/>
      <c r="J13" s="2"/>
      <c r="K13" s="13"/>
    </row>
    <row r="14" spans="1:11" x14ac:dyDescent="0.25">
      <c r="A14" s="2"/>
      <c r="B14" s="2"/>
      <c r="C14" s="2"/>
      <c r="D14" s="2"/>
      <c r="E14" s="13"/>
      <c r="F14" s="2"/>
      <c r="G14" s="13"/>
      <c r="H14" s="2"/>
      <c r="I14" s="13"/>
      <c r="J14" s="2"/>
      <c r="K14" s="13"/>
    </row>
    <row r="15" spans="1:11" hidden="1" x14ac:dyDescent="0.25">
      <c r="A15" s="2"/>
      <c r="B15" s="2"/>
      <c r="C15" s="2"/>
      <c r="D15" s="2"/>
      <c r="E15" s="13"/>
      <c r="F15" s="2"/>
      <c r="G15" s="13"/>
      <c r="H15" s="2"/>
      <c r="I15" s="13"/>
      <c r="J15" s="2"/>
      <c r="K15" s="13"/>
    </row>
    <row r="16" spans="1:11" ht="19.5" x14ac:dyDescent="0.3">
      <c r="A16" s="3"/>
      <c r="B16" s="15" t="s">
        <v>30</v>
      </c>
      <c r="C16" s="3"/>
      <c r="D16" s="3"/>
      <c r="E16" s="14"/>
      <c r="F16" s="3"/>
      <c r="G16" s="14"/>
      <c r="H16" s="3"/>
      <c r="I16" s="14"/>
      <c r="J16" s="3"/>
      <c r="K16" s="14"/>
    </row>
    <row r="17" spans="1:11" ht="16.899999999999999" customHeight="1" x14ac:dyDescent="0.25">
      <c r="A17" s="3"/>
      <c r="B17" s="4" t="s">
        <v>0</v>
      </c>
      <c r="C17" s="5" t="str">
        <f ca="1">_xll.SUBNM("CXMD:DIM_Origin_Company","","KUHN POLAND","Name EN")</f>
        <v>KUHN POLAND</v>
      </c>
      <c r="D17" s="3"/>
      <c r="E17" s="14"/>
      <c r="F17" s="3"/>
      <c r="G17" s="14"/>
      <c r="H17" s="3"/>
      <c r="I17" s="14"/>
      <c r="J17" s="3"/>
      <c r="K17" s="14"/>
    </row>
    <row r="18" spans="1:11" ht="16.899999999999999" customHeight="1" x14ac:dyDescent="0.25">
      <c r="A18" s="3"/>
      <c r="B18" s="4" t="s">
        <v>1</v>
      </c>
      <c r="C18" s="5" t="str">
        <f ca="1">_xll.SUBNM("CXMD:DIM_Configuration","Total","TOTAL PRODUCT","Description EN")</f>
        <v>TOTAL PRODUCT</v>
      </c>
      <c r="D18" s="3"/>
      <c r="E18" s="30"/>
      <c r="F18" s="3"/>
      <c r="G18" s="30"/>
      <c r="H18" s="3"/>
      <c r="I18" s="14"/>
      <c r="J18" s="3"/>
      <c r="K18" s="14"/>
    </row>
    <row r="19" spans="1:11" ht="16.899999999999999" customHeight="1" x14ac:dyDescent="0.25">
      <c r="A19" s="3"/>
      <c r="B19" s="4" t="s">
        <v>2</v>
      </c>
      <c r="C19" s="5" t="str">
        <f ca="1">_xll.SUBNM("CXMD:Month","","YTD_December","Description EN")</f>
        <v>YTD_December</v>
      </c>
      <c r="D19" s="3"/>
      <c r="E19" s="14"/>
      <c r="F19" s="3"/>
      <c r="G19" s="14"/>
      <c r="H19" s="3"/>
      <c r="I19" s="14"/>
      <c r="J19" s="3"/>
      <c r="K19" s="14"/>
    </row>
    <row r="20" spans="1:11" hidden="1" x14ac:dyDescent="0.25">
      <c r="A20" s="3"/>
      <c r="B20" s="4" t="s">
        <v>3</v>
      </c>
      <c r="C20" s="3" t="str">
        <f ca="1">_xll.SUBNM("CXMD:DIM_Customer_Supplier","Par défaut","Others")</f>
        <v>Others</v>
      </c>
      <c r="D20" s="3" t="str">
        <f ca="1">CONCATENATE(_xll.DBRA("CXMD:DIM_Origin_Company",C17,"Origin Company"),"_SALES")</f>
        <v>J_SALES</v>
      </c>
      <c r="E20" s="14"/>
      <c r="F20" s="3"/>
      <c r="G20" s="14"/>
      <c r="H20" s="3"/>
      <c r="I20" s="14"/>
      <c r="J20" s="3"/>
      <c r="K20" s="14"/>
    </row>
    <row r="21" spans="1:11" x14ac:dyDescent="0.25">
      <c r="A21" s="3"/>
      <c r="B21" s="3"/>
      <c r="C21" s="3"/>
      <c r="D21" s="3"/>
      <c r="E21" s="14"/>
      <c r="F21" s="3"/>
      <c r="G21" s="14"/>
      <c r="H21" s="3"/>
      <c r="I21" s="14"/>
      <c r="J21" s="3"/>
      <c r="K21" s="14"/>
    </row>
    <row r="22" spans="1:11" x14ac:dyDescent="0.25">
      <c r="A22" s="3"/>
      <c r="B22" s="3"/>
      <c r="C22" s="3"/>
      <c r="D22" s="3"/>
      <c r="E22" s="14"/>
      <c r="F22" s="3"/>
      <c r="G22" s="14"/>
      <c r="H22" s="3"/>
      <c r="I22" s="14"/>
      <c r="J22" s="3"/>
      <c r="K22" s="14"/>
    </row>
    <row r="23" spans="1:11" ht="31.15" customHeight="1" x14ac:dyDescent="0.25">
      <c r="B23" s="3"/>
      <c r="C23" s="24" t="str">
        <f ca="1">_xll.SUBNM("CXMD:Actuality","","RT2015","Description EN")</f>
        <v>Retail Sales 2015</v>
      </c>
      <c r="D23" s="24" t="str">
        <f ca="1">_xll.SUBNM("CXMD:Actuality","","RT2016","Description EN")</f>
        <v>Retail Sales 2016</v>
      </c>
      <c r="E23" s="32" t="s">
        <v>29</v>
      </c>
      <c r="F23" s="25" t="str">
        <f ca="1">_xll.SUBNM("CXMD:Actuality","","RT2017","Description EN")</f>
        <v>Retail Sales 2017</v>
      </c>
      <c r="G23" s="32" t="s">
        <v>29</v>
      </c>
      <c r="H23" s="25" t="str">
        <f ca="1">_xll.SUBNM("CXMD:Actuality","","RT2018","Description EN")</f>
        <v>Retail Sales 2018</v>
      </c>
      <c r="I23" s="32" t="s">
        <v>29</v>
      </c>
      <c r="J23" s="25" t="str">
        <f ca="1">_xll.SUBNM("CXMD:Actuality","","RT2019","Description EN")</f>
        <v>Retail Sales 2019</v>
      </c>
      <c r="K23" s="32" t="s">
        <v>29</v>
      </c>
    </row>
    <row r="24" spans="1:11" ht="15.6" customHeight="1" x14ac:dyDescent="0.25">
      <c r="B24" s="3"/>
      <c r="C24" s="8" t="s">
        <v>4</v>
      </c>
      <c r="D24" s="8" t="s">
        <v>4</v>
      </c>
      <c r="E24" s="33"/>
      <c r="F24" s="10" t="s">
        <v>4</v>
      </c>
      <c r="G24" s="33"/>
      <c r="H24" s="10" t="s">
        <v>4</v>
      </c>
      <c r="I24" s="33"/>
      <c r="J24" s="10" t="s">
        <v>4</v>
      </c>
      <c r="K24" s="33"/>
    </row>
    <row r="25" spans="1:11" x14ac:dyDescent="0.25">
      <c r="A25">
        <f ca="1">IF(_xll.TM1RPTELISCONSOLIDATED($B$25,$B25),IF(_xll.TM1RPTELLEV($B$25,$B25)&lt;=3,_xll.TM1RPTELLEV($B$25,$B25),"D"),"N")</f>
        <v>0</v>
      </c>
      <c r="B25" s="31" t="str">
        <f ca="1">_xll.TM1RPTROW($B$9,"CXMD:DIM_Allocation","",$D$20,"Allocation EN")</f>
        <v>J_SALES -</v>
      </c>
      <c r="C25" s="26">
        <f ca="1">_xll.DBRW($B$9,$C$19,C$23,$C$17,$B25,$C$20,$C$18,C$24)</f>
        <v>0</v>
      </c>
      <c r="D25" s="17">
        <f ca="1">_xll.DBRW($B$9,$C$19,D$23,$C$17,$B25,$C$20,$C$18,D$24)</f>
        <v>0</v>
      </c>
      <c r="E25" s="29">
        <f t="shared" ref="E25" ca="1" si="0">IF(C25&lt;&gt;0,D25/C25-1,0)</f>
        <v>0</v>
      </c>
      <c r="F25" s="17">
        <f ca="1">_xll.DBRW($B$9,$C$19,F$23,$C$17,$B25,$C$20,$C$18,F$24)</f>
        <v>0</v>
      </c>
      <c r="G25" s="29">
        <f t="shared" ref="G25" ca="1" si="1">IF(D25&lt;&gt;0,F25/D25-1,0)</f>
        <v>0</v>
      </c>
      <c r="H25" s="17">
        <f ca="1">_xll.DBRW($B$9,$C$19,H$23,$C$17,$B25,$C$20,$C$18,H$24)</f>
        <v>0</v>
      </c>
      <c r="I25" s="22">
        <f t="shared" ref="I25" ca="1" si="2">IF(F25&lt;&gt;0,H25/F25-1,0)</f>
        <v>0</v>
      </c>
      <c r="J25" s="17">
        <f ca="1">_xll.DBRW($B$9,$C$19,J$23,$C$17,$B25,$C$20,$C$18,J$24)</f>
        <v>0</v>
      </c>
      <c r="K25" s="22">
        <f t="shared" ref="K25" ca="1" si="3">IF(H25&lt;&gt;0,J25/H25-1,0)</f>
        <v>0</v>
      </c>
    </row>
    <row r="26" spans="1:11" hidden="1" x14ac:dyDescent="0.25">
      <c r="C26" s="18"/>
      <c r="D26" s="18"/>
      <c r="E26" s="19"/>
      <c r="F26" s="18"/>
      <c r="G26" s="19"/>
      <c r="H26" s="18"/>
      <c r="I26" s="19"/>
    </row>
    <row r="27" spans="1:11" hidden="1" x14ac:dyDescent="0.25"/>
    <row r="28" spans="1:11" hidden="1" x14ac:dyDescent="0.25"/>
    <row r="29" spans="1:11" hidden="1" x14ac:dyDescent="0.25"/>
    <row r="30" spans="1:11" hidden="1" x14ac:dyDescent="0.25"/>
  </sheetData>
  <mergeCells count="4">
    <mergeCell ref="E23:E24"/>
    <mergeCell ref="G23:G24"/>
    <mergeCell ref="I23:I24"/>
    <mergeCell ref="K23:K24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6" r:id="rId4" name="TIButton1">
          <controlPr defaultSize="0" print="0" autoLine="0" autoPict="0" r:id="rId5">
            <anchor moveWithCells="1">
              <from>
                <xdr:col>5</xdr:col>
                <xdr:colOff>847725</xdr:colOff>
                <xdr:row>16</xdr:row>
                <xdr:rowOff>171450</xdr:rowOff>
              </from>
              <to>
                <xdr:col>6</xdr:col>
                <xdr:colOff>504825</xdr:colOff>
                <xdr:row>18</xdr:row>
                <xdr:rowOff>95250</xdr:rowOff>
              </to>
            </anchor>
          </controlPr>
        </control>
      </mc:Choice>
      <mc:Fallback>
        <control shapeId="1026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3:B42"/>
  <sheetViews>
    <sheetView workbookViewId="0"/>
  </sheetViews>
  <sheetFormatPr defaultColWidth="11.42578125" defaultRowHeight="15" x14ac:dyDescent="0.25"/>
  <sheetData>
    <row r="23" spans="2:2" x14ac:dyDescent="0.25">
      <c r="B23" t="s">
        <v>5</v>
      </c>
    </row>
    <row r="24" spans="2:2" x14ac:dyDescent="0.25">
      <c r="B24" t="s">
        <v>6</v>
      </c>
    </row>
    <row r="25" spans="2:2" x14ac:dyDescent="0.25">
      <c r="B25" t="s">
        <v>7</v>
      </c>
    </row>
    <row r="26" spans="2:2" x14ac:dyDescent="0.25">
      <c r="B26" t="s">
        <v>8</v>
      </c>
    </row>
    <row r="27" spans="2:2" x14ac:dyDescent="0.25">
      <c r="B27" t="s">
        <v>9</v>
      </c>
    </row>
    <row r="28" spans="2:2" x14ac:dyDescent="0.25">
      <c r="B28" t="s">
        <v>10</v>
      </c>
    </row>
    <row r="29" spans="2:2" x14ac:dyDescent="0.25">
      <c r="B29" t="s">
        <v>11</v>
      </c>
    </row>
    <row r="30" spans="2:2" x14ac:dyDescent="0.25">
      <c r="B30" t="s">
        <v>12</v>
      </c>
    </row>
    <row r="31" spans="2:2" x14ac:dyDescent="0.25">
      <c r="B31" t="s">
        <v>13</v>
      </c>
    </row>
    <row r="32" spans="2:2" x14ac:dyDescent="0.25">
      <c r="B32" t="s">
        <v>14</v>
      </c>
    </row>
    <row r="33" spans="2:2" x14ac:dyDescent="0.25">
      <c r="B33" t="s">
        <v>15</v>
      </c>
    </row>
    <row r="34" spans="2:2" x14ac:dyDescent="0.25">
      <c r="B34" t="s">
        <v>16</v>
      </c>
    </row>
    <row r="35" spans="2:2" x14ac:dyDescent="0.25">
      <c r="B35" t="s">
        <v>17</v>
      </c>
    </row>
    <row r="36" spans="2:2" x14ac:dyDescent="0.25">
      <c r="B36" t="s">
        <v>18</v>
      </c>
    </row>
    <row r="37" spans="2:2" x14ac:dyDescent="0.25">
      <c r="B37" t="s">
        <v>19</v>
      </c>
    </row>
    <row r="38" spans="2:2" x14ac:dyDescent="0.25">
      <c r="B38" t="s">
        <v>20</v>
      </c>
    </row>
    <row r="39" spans="2:2" x14ac:dyDescent="0.25">
      <c r="B39" t="s">
        <v>21</v>
      </c>
    </row>
    <row r="40" spans="2:2" x14ac:dyDescent="0.25">
      <c r="B40" t="s">
        <v>22</v>
      </c>
    </row>
    <row r="41" spans="2:2" x14ac:dyDescent="0.25">
      <c r="B41" t="s">
        <v>23</v>
      </c>
    </row>
    <row r="42" spans="2:2" x14ac:dyDescent="0.25">
      <c r="B4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Feuil1</vt:lpstr>
      <vt:lpstr>{AR}01</vt:lpstr>
      <vt:lpstr>Feuil1!TM1RPTDATARNGARPT1</vt:lpstr>
      <vt:lpstr>Feuil1!TM1RPTFMTIDCOL</vt:lpstr>
      <vt:lpstr>Feuil1!TM1RPTFMTRNG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2017-01-30T07:26:24Z</dcterms:created>
  <dcterms:modified xsi:type="dcterms:W3CDTF">2022-01-27T12:05:42Z</dcterms:modified>
</cp:coreProperties>
</file>