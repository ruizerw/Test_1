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9200" windowHeight="8430"/>
  </bookViews>
  <sheets>
    <sheet name="Feuil1" sheetId="1" r:id="rId1"/>
    <sheet name="{AR}01" sheetId="2" state="hidden" r:id="rId2"/>
  </sheets>
  <definedNames>
    <definedName name="TM1REBUILDOPTION">1</definedName>
    <definedName name="TM1RPTDATARNGARPT1" localSheetId="0">Feuil1!$22:$44</definedName>
    <definedName name="TM1RPTFMTIDCOL" localSheetId="0">Feuil1!$A$1:$A$11</definedName>
    <definedName name="TM1RPTFMTRNG" localSheetId="0">Feuil1!$B$1:$W$11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4" i="1" l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B12" i="1"/>
  <c r="W19" i="1"/>
  <c r="C17" i="1"/>
  <c r="C15" i="1"/>
  <c r="C14" i="1"/>
  <c r="W44" i="1"/>
  <c r="V19" i="1"/>
  <c r="V44" i="1"/>
  <c r="U19" i="1"/>
  <c r="U44" i="1"/>
  <c r="T44" i="1"/>
  <c r="C16" i="1"/>
  <c r="S44" i="1"/>
  <c r="R19" i="1"/>
  <c r="R44" i="1"/>
  <c r="Q19" i="1"/>
  <c r="Q44" i="1"/>
  <c r="P19" i="1"/>
  <c r="P44" i="1"/>
  <c r="O44" i="1"/>
  <c r="N19" i="1"/>
  <c r="N44" i="1"/>
  <c r="M19" i="1"/>
  <c r="M44" i="1"/>
  <c r="L19" i="1"/>
  <c r="L44" i="1"/>
  <c r="K44" i="1"/>
  <c r="J44" i="1"/>
  <c r="I19" i="1"/>
  <c r="I44" i="1"/>
  <c r="H19" i="1"/>
  <c r="H44" i="1"/>
  <c r="G19" i="1"/>
  <c r="G44" i="1"/>
  <c r="F44" i="1"/>
  <c r="E44" i="1"/>
  <c r="D44" i="1"/>
  <c r="C44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2" i="1"/>
  <c r="V22" i="1"/>
  <c r="W22" i="1"/>
  <c r="U22" i="1"/>
  <c r="S22" i="1"/>
  <c r="Q22" i="1"/>
  <c r="R22" i="1"/>
  <c r="P22" i="1"/>
  <c r="M22" i="1"/>
  <c r="N22" i="1"/>
  <c r="L22" i="1"/>
  <c r="J22" i="1"/>
  <c r="H22" i="1"/>
  <c r="I22" i="1"/>
  <c r="G22" i="1"/>
  <c r="D22" i="1"/>
  <c r="E22" i="1"/>
  <c r="C22" i="1"/>
  <c r="F22" i="1"/>
  <c r="T22" i="1"/>
  <c r="O22" i="1"/>
  <c r="T20" i="1"/>
  <c r="O20" i="1"/>
  <c r="K22" i="1"/>
  <c r="K20" i="1"/>
  <c r="F20" i="1"/>
  <c r="A22" i="1"/>
  <c r="A5" i="1"/>
  <c r="A4" i="1"/>
  <c r="A3" i="1"/>
  <c r="A2" i="1"/>
</calcChain>
</file>

<file path=xl/sharedStrings.xml><?xml version="1.0" encoding="utf-8"?>
<sst xmlns="http://schemas.openxmlformats.org/spreadsheetml/2006/main" count="99" uniqueCount="70">
  <si>
    <t>Customer_Supplier</t>
  </si>
  <si>
    <t>Month</t>
  </si>
  <si>
    <t>Origin_Company</t>
  </si>
  <si>
    <t>Allocation</t>
  </si>
  <si>
    <t>AC2017</t>
  </si>
  <si>
    <t>AC2018</t>
  </si>
  <si>
    <t>BU2018Dealers</t>
  </si>
  <si>
    <t>RT2017</t>
  </si>
  <si>
    <t>QTY</t>
  </si>
  <si>
    <t>U.Price</t>
  </si>
  <si>
    <t>SALES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</si>
  <si>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</si>
  <si>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</si>
  <si>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</si>
  <si>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</si>
  <si>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</si>
  <si>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</si>
  <si>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</si>
  <si>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</si>
  <si>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</si>
  <si>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</si>
  <si>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</si>
  <si>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</si>
  <si>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</si>
  <si>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</si>
  <si>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</si>
  <si>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</si>
  <si>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</si>
  <si>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</si>
  <si>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</si>
  <si>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</si>
  <si>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</si>
  <si>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</si>
  <si>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</si>
  <si>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</si>
  <si>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</si>
  <si>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</si>
  <si>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</si>
  <si>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</si>
  <si>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</si>
  <si>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</si>
  <si>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</si>
  <si>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</si>
  <si>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</si>
  <si>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Retail Sales 2017</t>
  </si>
  <si>
    <t>Retail Sales 2018</t>
  </si>
  <si>
    <t>Dealers seasonal retail budget</t>
  </si>
  <si>
    <t>Do not forget to select the dealer (Customer supplier) and sales region (Allocation) before putting in place the budget.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</si>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</sst>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2" borderId="0" xfId="0" applyFont="1" applyFill="1" applyAlignment="1">
      <alignment horizontal="center"/>
    </xf>
    <xf numFmtId="3" fontId="5" fillId="3" borderId="0" xfId="0" applyNumberFormat="1" applyFont="1" applyFill="1"/>
    <xf numFmtId="3" fontId="5" fillId="4" borderId="0" xfId="0" applyNumberFormat="1" applyFont="1" applyFill="1"/>
    <xf numFmtId="4" fontId="5" fillId="3" borderId="0" xfId="0" applyNumberFormat="1" applyFont="1" applyFill="1"/>
    <xf numFmtId="4" fontId="5" fillId="4" borderId="0" xfId="0" applyNumberFormat="1" applyFont="1" applyFill="1"/>
    <xf numFmtId="3" fontId="6" fillId="3" borderId="2" xfId="0" applyNumberFormat="1" applyFont="1" applyFill="1" applyBorder="1"/>
    <xf numFmtId="3" fontId="6" fillId="3" borderId="3" xfId="0" applyNumberFormat="1" applyFont="1" applyFill="1" applyBorder="1"/>
    <xf numFmtId="3" fontId="6" fillId="3" borderId="4" xfId="0" applyNumberFormat="1" applyFont="1" applyFill="1" applyBorder="1"/>
    <xf numFmtId="3" fontId="6" fillId="3" borderId="0" xfId="0" applyNumberFormat="1" applyFont="1" applyFill="1"/>
    <xf numFmtId="3" fontId="6" fillId="4" borderId="5" xfId="0" applyNumberFormat="1" applyFont="1" applyFill="1" applyBorder="1"/>
    <xf numFmtId="3" fontId="6" fillId="4" borderId="0" xfId="0" applyNumberFormat="1" applyFont="1" applyFill="1" applyBorder="1"/>
    <xf numFmtId="3" fontId="6" fillId="4" borderId="6" xfId="0" applyNumberFormat="1" applyFont="1" applyFill="1" applyBorder="1"/>
    <xf numFmtId="3" fontId="6" fillId="4" borderId="0" xfId="0" applyNumberFormat="1" applyFont="1" applyFill="1"/>
    <xf numFmtId="3" fontId="6" fillId="5" borderId="5" xfId="0" applyNumberFormat="1" applyFont="1" applyFill="1" applyBorder="1"/>
    <xf numFmtId="3" fontId="6" fillId="5" borderId="0" xfId="0" applyNumberFormat="1" applyFont="1" applyFill="1" applyBorder="1"/>
    <xf numFmtId="3" fontId="6" fillId="5" borderId="6" xfId="0" applyNumberFormat="1" applyFont="1" applyFill="1" applyBorder="1"/>
    <xf numFmtId="3" fontId="6" fillId="5" borderId="0" xfId="0" applyNumberFormat="1" applyFont="1" applyFill="1"/>
    <xf numFmtId="3" fontId="6" fillId="7" borderId="5" xfId="0" applyNumberFormat="1" applyFont="1" applyFill="1" applyBorder="1"/>
    <xf numFmtId="3" fontId="6" fillId="7" borderId="0" xfId="0" applyNumberFormat="1" applyFont="1" applyFill="1" applyBorder="1"/>
    <xf numFmtId="3" fontId="6" fillId="7" borderId="6" xfId="0" applyNumberFormat="1" applyFont="1" applyFill="1" applyBorder="1"/>
    <xf numFmtId="3" fontId="6" fillId="7" borderId="0" xfId="0" applyNumberFormat="1" applyFont="1" applyFill="1"/>
    <xf numFmtId="3" fontId="6" fillId="6" borderId="7" xfId="0" applyNumberFormat="1" applyFont="1" applyFill="1" applyBorder="1"/>
    <xf numFmtId="3" fontId="6" fillId="6" borderId="8" xfId="0" applyNumberFormat="1" applyFont="1" applyFill="1" applyBorder="1"/>
    <xf numFmtId="3" fontId="6" fillId="6" borderId="9" xfId="0" applyNumberFormat="1" applyFont="1" applyFill="1" applyBorder="1"/>
    <xf numFmtId="3" fontId="6" fillId="6" borderId="0" xfId="0" applyNumberFormat="1" applyFont="1" applyFill="1"/>
    <xf numFmtId="0" fontId="0" fillId="3" borderId="10" xfId="0" applyFont="1" applyFill="1" applyBorder="1"/>
    <xf numFmtId="0" fontId="0" fillId="4" borderId="11" xfId="0" applyFont="1" applyFill="1" applyBorder="1"/>
    <xf numFmtId="0" fontId="0" fillId="5" borderId="11" xfId="0" applyFont="1" applyFill="1" applyBorder="1"/>
    <xf numFmtId="0" fontId="0" fillId="7" borderId="11" xfId="0" applyFont="1" applyFill="1" applyBorder="1"/>
    <xf numFmtId="0" fontId="0" fillId="6" borderId="12" xfId="0" applyFont="1" applyFill="1" applyBorder="1"/>
    <xf numFmtId="0" fontId="0" fillId="10" borderId="0" xfId="0" applyFill="1"/>
    <xf numFmtId="0" fontId="2" fillId="10" borderId="0" xfId="0" applyFont="1" applyFill="1"/>
    <xf numFmtId="3" fontId="5" fillId="10" borderId="0" xfId="0" applyNumberFormat="1" applyFont="1" applyFill="1"/>
    <xf numFmtId="4" fontId="5" fillId="10" borderId="0" xfId="0" applyNumberFormat="1" applyFont="1" applyFill="1"/>
    <xf numFmtId="0" fontId="0" fillId="9" borderId="0" xfId="0" applyFill="1"/>
    <xf numFmtId="0" fontId="3" fillId="9" borderId="0" xfId="0" applyFont="1" applyFill="1"/>
    <xf numFmtId="0" fontId="1" fillId="9" borderId="0" xfId="0" applyFont="1" applyFill="1"/>
    <xf numFmtId="0" fontId="7" fillId="9" borderId="0" xfId="0" applyFont="1" applyFill="1"/>
    <xf numFmtId="0" fontId="4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 wrapText="1"/>
    </xf>
    <xf numFmtId="0" fontId="4" fillId="8" borderId="14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 wrapText="1"/>
    </xf>
    <xf numFmtId="0" fontId="4" fillId="8" borderId="16" xfId="0" applyFont="1" applyFill="1" applyBorder="1" applyAlignment="1">
      <alignment horizontal="center"/>
    </xf>
    <xf numFmtId="164" fontId="0" fillId="3" borderId="10" xfId="0" applyNumberFormat="1" applyFont="1" applyFill="1" applyBorder="1" applyAlignment="1"/>
    <xf numFmtId="165" fontId="0" fillId="4" borderId="11" xfId="0" applyNumberFormat="1" applyFont="1" applyFill="1" applyBorder="1" applyAlignment="1">
      <alignment horizontal="left" indent="1"/>
    </xf>
    <xf numFmtId="0" fontId="8" fillId="11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7620</xdr:rowOff>
    </xdr:from>
    <xdr:to>
      <xdr:col>10</xdr:col>
      <xdr:colOff>402591</xdr:colOff>
      <xdr:row>10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1100"/>
          <a:ext cx="7512051" cy="73105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</xdr:colOff>
          <xdr:row>15</xdr:row>
          <xdr:rowOff>0</xdr:rowOff>
        </xdr:from>
        <xdr:to>
          <xdr:col>11</xdr:col>
          <xdr:colOff>0</xdr:colOff>
          <xdr:row>18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X526"/>
  <sheetViews>
    <sheetView showGridLines="0" tabSelected="1" topLeftCell="B5" workbookViewId="0">
      <pane xSplit="1" ySplit="17" topLeftCell="C22" activePane="bottomRight" state="frozen"/>
      <selection activeCell="B7" sqref="B7"/>
      <selection pane="topRight" activeCell="C7" sqref="C7"/>
      <selection pane="bottomLeft" activeCell="B26" sqref="B26"/>
      <selection pane="bottomRight" activeCell="C14" sqref="C14"/>
    </sheetView>
  </sheetViews>
  <sheetFormatPr defaultColWidth="0" defaultRowHeight="15" zeroHeight="1" x14ac:dyDescent="0.25"/>
  <cols>
    <col min="1" max="1" width="18.7109375" hidden="1" customWidth="1"/>
    <col min="2" max="2" width="55.28515625" customWidth="1"/>
    <col min="3" max="3" width="15" customWidth="1"/>
    <col min="4" max="4" width="13.7109375" hidden="1" customWidth="1"/>
    <col min="5" max="5" width="13.7109375" customWidth="1"/>
    <col min="6" max="6" width="19.7109375" customWidth="1"/>
    <col min="7" max="7" width="8.7109375" hidden="1" customWidth="1"/>
    <col min="8" max="8" width="15" hidden="1" customWidth="1"/>
    <col min="9" max="10" width="12.28515625" hidden="1" customWidth="1"/>
    <col min="11" max="11" width="19.7109375" customWidth="1"/>
    <col min="12" max="12" width="14.7109375" hidden="1" customWidth="1"/>
    <col min="13" max="14" width="13.5703125" hidden="1" customWidth="1"/>
    <col min="15" max="15" width="19.7109375" customWidth="1"/>
    <col min="16" max="16" width="8.7109375" hidden="1" customWidth="1"/>
    <col min="17" max="19" width="7.140625" hidden="1" customWidth="1"/>
    <col min="20" max="20" width="19.7109375" customWidth="1"/>
    <col min="21" max="22" width="11.42578125" hidden="1" customWidth="1"/>
    <col min="23" max="23" width="7.7109375" hidden="1" customWidth="1"/>
    <col min="24" max="24" width="2.42578125" style="35" customWidth="1"/>
    <col min="25" max="16384" width="11.5703125" hidden="1"/>
  </cols>
  <sheetData>
    <row r="1" spans="1:24" hidden="1" x14ac:dyDescent="0.25">
      <c r="A1" t="s">
        <v>42</v>
      </c>
      <c r="X1"/>
    </row>
    <row r="2" spans="1:24" ht="15.75" hidden="1" x14ac:dyDescent="0.25">
      <c r="A2">
        <f>0</f>
        <v>0</v>
      </c>
      <c r="B2" s="26"/>
      <c r="C2" s="6"/>
      <c r="D2" s="7"/>
      <c r="E2" s="8"/>
      <c r="F2" s="6"/>
      <c r="G2" s="7"/>
      <c r="H2" s="7"/>
      <c r="I2" s="7"/>
      <c r="J2" s="7"/>
      <c r="K2" s="8"/>
      <c r="L2" s="9"/>
      <c r="M2" s="9"/>
      <c r="N2" s="9"/>
      <c r="O2" s="6"/>
      <c r="P2" s="7"/>
      <c r="Q2" s="7"/>
      <c r="R2" s="7"/>
      <c r="S2" s="7"/>
      <c r="T2" s="8"/>
      <c r="U2" s="2"/>
      <c r="V2" s="4"/>
      <c r="W2" s="2"/>
      <c r="X2"/>
    </row>
    <row r="3" spans="1:24" ht="15.75" hidden="1" x14ac:dyDescent="0.25">
      <c r="A3">
        <f>1</f>
        <v>1</v>
      </c>
      <c r="B3" s="27"/>
      <c r="C3" s="10"/>
      <c r="D3" s="11"/>
      <c r="E3" s="12"/>
      <c r="F3" s="10"/>
      <c r="G3" s="11"/>
      <c r="H3" s="11"/>
      <c r="I3" s="11"/>
      <c r="J3" s="11"/>
      <c r="K3" s="12"/>
      <c r="L3" s="13"/>
      <c r="M3" s="13"/>
      <c r="N3" s="13"/>
      <c r="O3" s="10"/>
      <c r="P3" s="11"/>
      <c r="Q3" s="11"/>
      <c r="R3" s="11"/>
      <c r="S3" s="11"/>
      <c r="T3" s="12"/>
      <c r="U3" s="3"/>
      <c r="V3" s="5"/>
      <c r="W3" s="3"/>
      <c r="X3"/>
    </row>
    <row r="4" spans="1:24" ht="15.75" hidden="1" x14ac:dyDescent="0.25">
      <c r="A4">
        <f>2</f>
        <v>2</v>
      </c>
      <c r="B4" s="28"/>
      <c r="C4" s="14"/>
      <c r="D4" s="15"/>
      <c r="E4" s="16"/>
      <c r="F4" s="14"/>
      <c r="G4" s="15"/>
      <c r="H4" s="15"/>
      <c r="I4" s="15"/>
      <c r="J4" s="15"/>
      <c r="K4" s="16"/>
      <c r="L4" s="17"/>
      <c r="M4" s="17"/>
      <c r="N4" s="17"/>
      <c r="O4" s="14"/>
      <c r="P4" s="15"/>
      <c r="Q4" s="15"/>
      <c r="R4" s="15"/>
      <c r="S4" s="15"/>
      <c r="T4" s="16"/>
      <c r="U4" s="3"/>
      <c r="V4" s="5"/>
      <c r="W4" s="3"/>
      <c r="X4"/>
    </row>
    <row r="5" spans="1:24" ht="15.75" hidden="1" x14ac:dyDescent="0.25">
      <c r="A5">
        <f>3</f>
        <v>3</v>
      </c>
      <c r="B5" s="29"/>
      <c r="C5" s="18"/>
      <c r="D5" s="19"/>
      <c r="E5" s="20"/>
      <c r="F5" s="18"/>
      <c r="G5" s="19"/>
      <c r="H5" s="19"/>
      <c r="I5" s="19"/>
      <c r="J5" s="19"/>
      <c r="K5" s="20"/>
      <c r="L5" s="21"/>
      <c r="M5" s="21"/>
      <c r="N5" s="21"/>
      <c r="O5" s="18"/>
      <c r="P5" s="19"/>
      <c r="Q5" s="19"/>
      <c r="R5" s="19"/>
      <c r="S5" s="19"/>
      <c r="T5" s="20"/>
      <c r="U5" s="3"/>
      <c r="V5" s="5"/>
      <c r="W5" s="3"/>
      <c r="X5"/>
    </row>
    <row r="6" spans="1:24" ht="15.75" hidden="1" x14ac:dyDescent="0.25">
      <c r="A6" t="s">
        <v>40</v>
      </c>
      <c r="B6" s="30"/>
      <c r="C6" s="22"/>
      <c r="D6" s="23"/>
      <c r="E6" s="24"/>
      <c r="F6" s="22"/>
      <c r="G6" s="23"/>
      <c r="H6" s="23"/>
      <c r="I6" s="23"/>
      <c r="J6" s="23"/>
      <c r="K6" s="24"/>
      <c r="L6" s="25"/>
      <c r="M6" s="25"/>
      <c r="N6" s="25"/>
      <c r="O6" s="22"/>
      <c r="P6" s="23"/>
      <c r="Q6" s="23"/>
      <c r="R6" s="23"/>
      <c r="S6" s="23"/>
      <c r="T6" s="24"/>
      <c r="U6" s="3"/>
      <c r="V6" s="5"/>
      <c r="W6" s="3"/>
      <c r="X6"/>
    </row>
    <row r="7" spans="1:24" s="31" customFormat="1" x14ac:dyDescent="0.25">
      <c r="A7" s="31" t="s">
        <v>41</v>
      </c>
      <c r="B7" s="32"/>
      <c r="C7" s="33"/>
      <c r="D7" s="33"/>
      <c r="E7" s="33"/>
      <c r="F7" s="33"/>
      <c r="G7" s="34"/>
      <c r="H7" s="33"/>
      <c r="I7" s="33"/>
      <c r="J7" s="33"/>
      <c r="K7" s="33"/>
      <c r="L7" s="33"/>
      <c r="M7" s="34"/>
      <c r="N7" s="33"/>
      <c r="O7" s="33"/>
      <c r="P7" s="33"/>
      <c r="Q7" s="33"/>
      <c r="R7" s="33"/>
      <c r="S7" s="34"/>
      <c r="T7" s="33"/>
      <c r="U7" s="33"/>
      <c r="V7" s="34"/>
      <c r="W7" s="33"/>
    </row>
    <row r="8" spans="1:24" s="31" customFormat="1" x14ac:dyDescent="0.25">
      <c r="C8" s="33"/>
      <c r="D8" s="33"/>
      <c r="E8" s="33"/>
      <c r="F8" s="33"/>
      <c r="G8" s="34"/>
      <c r="H8" s="33"/>
      <c r="I8" s="33"/>
      <c r="J8" s="33"/>
      <c r="K8" s="33"/>
      <c r="L8" s="33"/>
      <c r="M8" s="34"/>
      <c r="N8" s="33"/>
      <c r="O8" s="33"/>
      <c r="P8" s="33"/>
      <c r="Q8" s="33"/>
      <c r="R8" s="33"/>
      <c r="S8" s="34"/>
      <c r="T8" s="33"/>
      <c r="U8" s="33"/>
      <c r="V8" s="34"/>
      <c r="W8" s="33"/>
    </row>
    <row r="9" spans="1:24" s="31" customFormat="1" x14ac:dyDescent="0.25">
      <c r="C9" s="33"/>
      <c r="D9" s="33"/>
      <c r="E9" s="33"/>
      <c r="F9" s="33"/>
      <c r="G9" s="34"/>
      <c r="H9" s="33"/>
      <c r="I9" s="33"/>
      <c r="J9" s="33"/>
      <c r="K9" s="33"/>
      <c r="L9" s="33"/>
      <c r="M9" s="34"/>
      <c r="N9" s="33"/>
      <c r="O9" s="33"/>
      <c r="P9" s="33"/>
      <c r="Q9" s="33"/>
      <c r="R9" s="33"/>
      <c r="S9" s="34"/>
      <c r="T9" s="33"/>
      <c r="U9" s="33"/>
      <c r="V9" s="34"/>
      <c r="W9" s="33"/>
    </row>
    <row r="10" spans="1:24" s="31" customFormat="1" x14ac:dyDescent="0.25">
      <c r="C10" s="33"/>
      <c r="D10" s="33"/>
      <c r="E10" s="33"/>
      <c r="F10" s="33"/>
      <c r="G10" s="34"/>
      <c r="H10" s="33"/>
      <c r="I10" s="33"/>
      <c r="J10" s="33"/>
      <c r="K10" s="33"/>
      <c r="L10" s="33"/>
      <c r="M10" s="34"/>
      <c r="N10" s="33"/>
      <c r="O10" s="33"/>
      <c r="P10" s="33"/>
      <c r="Q10" s="33"/>
      <c r="R10" s="33"/>
      <c r="S10" s="34"/>
      <c r="T10" s="33"/>
      <c r="U10" s="33"/>
      <c r="V10" s="34"/>
      <c r="W10" s="33"/>
    </row>
    <row r="11" spans="1:24" hidden="1" x14ac:dyDescent="0.25">
      <c r="A11" t="s">
        <v>43</v>
      </c>
      <c r="X11"/>
    </row>
    <row r="12" spans="1:24" hidden="1" x14ac:dyDescent="0.25">
      <c r="B12" t="str">
        <f ca="1">_xll.TM1RPTVIEW("CXMD:FTM_DATA_MARGIN:ARPT1", 0, _xll.TM1RPTTITLE("CXMD:DIM_Origin_Company",$C$17),_xll.TM1RPTTITLE("CXMD:DIM_Allocation",$C$15), _xll.TM1RPTTITLE("CXMD:DIM_Customer_Supplier",$C$14),TM1RPTFMTRNG,TM1RPTFMTIDCOL)</f>
        <v>CXMD:FTM_DATA_MARGIN:ARPT1</v>
      </c>
      <c r="X12"/>
    </row>
    <row r="13" spans="1:24" s="35" customFormat="1" ht="19.5" x14ac:dyDescent="0.3">
      <c r="B13" s="38" t="s">
        <v>46</v>
      </c>
    </row>
    <row r="14" spans="1:24" s="35" customFormat="1" ht="15.6" customHeight="1" x14ac:dyDescent="0.25">
      <c r="B14" s="36" t="s">
        <v>0</v>
      </c>
      <c r="C14" s="37" t="str">
        <f ca="1">_xll.SUBNM("CXMD:DIM_Customer_Supplier","","Total_Customer_Supplier","Code-Name")</f>
        <v>Total_Customer_Supplier</v>
      </c>
      <c r="O14" s="55" t="s">
        <v>47</v>
      </c>
      <c r="P14" s="55"/>
      <c r="Q14" s="55"/>
      <c r="R14" s="55"/>
      <c r="S14" s="55"/>
      <c r="T14" s="55"/>
    </row>
    <row r="15" spans="1:24" s="35" customFormat="1" x14ac:dyDescent="0.25">
      <c r="B15" s="36" t="s">
        <v>3</v>
      </c>
      <c r="C15" s="37" t="str">
        <f ca="1">CONCATENATE(_xll.DBRA("CXMD:DIM_Origin_Company",$C$17,"Origin Company"),"_SALES")</f>
        <v>E_SALES</v>
      </c>
      <c r="O15" s="55"/>
      <c r="P15" s="55"/>
      <c r="Q15" s="55"/>
      <c r="R15" s="55"/>
      <c r="S15" s="55"/>
      <c r="T15" s="55"/>
    </row>
    <row r="16" spans="1:24" s="35" customFormat="1" x14ac:dyDescent="0.25">
      <c r="B16" s="36" t="s">
        <v>1</v>
      </c>
      <c r="C16" s="37" t="str">
        <f ca="1">_xll.SUBNM("CXMD:Month","","YTD_August")</f>
        <v>YTD_August</v>
      </c>
      <c r="O16" s="55"/>
      <c r="P16" s="55"/>
      <c r="Q16" s="55"/>
      <c r="R16" s="55"/>
      <c r="S16" s="55"/>
      <c r="T16" s="55"/>
    </row>
    <row r="17" spans="1:23" s="35" customFormat="1" x14ac:dyDescent="0.25">
      <c r="B17" s="36" t="s">
        <v>2</v>
      </c>
      <c r="C17" s="37" t="str">
        <f ca="1">_xll.SUBNM("CXMD:DIM_Origin_Company","","KUHN SPAIN","Name EN")</f>
        <v>KUHN SPAIN</v>
      </c>
    </row>
    <row r="18" spans="1:23" s="35" customFormat="1" x14ac:dyDescent="0.25"/>
    <row r="19" spans="1:23" s="35" customFormat="1" ht="15.75" thickBot="1" x14ac:dyDescent="0.3">
      <c r="G19" s="35" t="str">
        <f ca="1">_xll.SUBNM("CXMD:Month","","YTD_December","Description EN")</f>
        <v>YTD_December</v>
      </c>
      <c r="H19" s="35" t="str">
        <f ca="1">_xll.SUBNM("CXMD:Month","","YTD_August","Description EN")</f>
        <v>YTD_August</v>
      </c>
      <c r="I19" s="35" t="str">
        <f ca="1">_xll.SUBNM("CXMD:Month","","YTD_August","Description EN")</f>
        <v>YTD_August</v>
      </c>
      <c r="L19" s="35" t="str">
        <f ca="1">_xll.SUBNM("CXMD:Month","","YTD_December","Description EN")</f>
        <v>YTD_December</v>
      </c>
      <c r="M19" s="35" t="str">
        <f ca="1">_xll.SUBNM("CXMD:Month","","YTD_August","Description EN")</f>
        <v>YTD_August</v>
      </c>
      <c r="N19" s="35" t="str">
        <f ca="1">_xll.SUBNM("CXMD:Month","","YTD_August","Description EN")</f>
        <v>YTD_August</v>
      </c>
      <c r="P19" s="35" t="str">
        <f ca="1">_xll.SUBNM("CXMD:Month","","YTD_December","Description EN")</f>
        <v>YTD_December</v>
      </c>
      <c r="Q19" s="35" t="str">
        <f ca="1">_xll.SUBNM("CXMD:Month","","YTD_August","Description EN")</f>
        <v>YTD_August</v>
      </c>
      <c r="R19" s="35" t="str">
        <f ca="1">_xll.SUBNM("CXMD:Month","","YTD_August","Description EN")</f>
        <v>YTD_August</v>
      </c>
      <c r="U19" s="35" t="str">
        <f ca="1">_xll.SUBNM("CXMD:Month","","YTD_December","Description EN")</f>
        <v>YTD_December</v>
      </c>
      <c r="V19" s="35" t="str">
        <f ca="1">_xll.SUBNM("CXMD:Month","","YTD_August","Description EN")</f>
        <v>YTD_August</v>
      </c>
      <c r="W19" s="35" t="str">
        <f ca="1">_xll.SUBNM("CXMD:Month","","YTD_August","Description EN")</f>
        <v>YTD_August</v>
      </c>
    </row>
    <row r="20" spans="1:23" ht="43.15" customHeight="1" x14ac:dyDescent="0.25">
      <c r="B20" s="35"/>
      <c r="C20" s="45" t="s">
        <v>6</v>
      </c>
      <c r="D20" s="46" t="s">
        <v>6</v>
      </c>
      <c r="E20" s="47" t="s">
        <v>6</v>
      </c>
      <c r="F20" s="45" t="str">
        <f ca="1">"01 09 Retail Sales 2017 to " &amp; $C$16 &amp; " Retail Sales 2018"</f>
        <v>01 09 Retail Sales 2017 to YTD_August Retail Sales 2018</v>
      </c>
      <c r="G20" s="51" t="s">
        <v>44</v>
      </c>
      <c r="H20" s="51" t="s">
        <v>44</v>
      </c>
      <c r="I20" s="51" t="s">
        <v>45</v>
      </c>
      <c r="J20" s="46" t="s">
        <v>7</v>
      </c>
      <c r="K20" s="47" t="str">
        <f ca="1">"01 09 Retail Sales 2017 to " &amp; $C$16 &amp; " Retail Sales 2018"</f>
        <v>01 09 Retail Sales 2017 to YTD_August Retail Sales 2018</v>
      </c>
      <c r="L20" s="44" t="s">
        <v>44</v>
      </c>
      <c r="M20" s="39" t="s">
        <v>44</v>
      </c>
      <c r="N20" s="42" t="s">
        <v>45</v>
      </c>
      <c r="O20" s="45" t="str">
        <f ca="1">"01 09 AC2017 to " &amp; $C$16 &amp; " AC2018"</f>
        <v>01 09 AC2017 to YTD_August AC2018</v>
      </c>
      <c r="P20" s="52" t="s">
        <v>4</v>
      </c>
      <c r="Q20" s="52" t="s">
        <v>4</v>
      </c>
      <c r="R20" s="52" t="s">
        <v>5</v>
      </c>
      <c r="S20" s="46" t="s">
        <v>4</v>
      </c>
      <c r="T20" s="47" t="str">
        <f ca="1">"01 09 AC2017 to " &amp; $C$16 &amp; " AC2018"</f>
        <v>01 09 AC2017 to YTD_August AC2018</v>
      </c>
      <c r="U20" s="1" t="s">
        <v>4</v>
      </c>
      <c r="V20" s="1" t="s">
        <v>4</v>
      </c>
      <c r="W20" s="1" t="s">
        <v>5</v>
      </c>
    </row>
    <row r="21" spans="1:23" ht="15.75" thickBot="1" x14ac:dyDescent="0.3">
      <c r="B21" s="35"/>
      <c r="C21" s="48" t="s">
        <v>8</v>
      </c>
      <c r="D21" s="49" t="s">
        <v>9</v>
      </c>
      <c r="E21" s="50" t="s">
        <v>10</v>
      </c>
      <c r="F21" s="48" t="s">
        <v>8</v>
      </c>
      <c r="G21" s="49" t="s">
        <v>8</v>
      </c>
      <c r="H21" s="49" t="s">
        <v>8</v>
      </c>
      <c r="I21" s="49" t="s">
        <v>8</v>
      </c>
      <c r="J21" s="49" t="s">
        <v>9</v>
      </c>
      <c r="K21" s="50" t="s">
        <v>10</v>
      </c>
      <c r="L21" s="43" t="s">
        <v>10</v>
      </c>
      <c r="M21" s="40" t="s">
        <v>10</v>
      </c>
      <c r="N21" s="41" t="s">
        <v>10</v>
      </c>
      <c r="O21" s="48" t="s">
        <v>8</v>
      </c>
      <c r="P21" s="49" t="s">
        <v>8</v>
      </c>
      <c r="Q21" s="49" t="s">
        <v>8</v>
      </c>
      <c r="R21" s="49" t="s">
        <v>8</v>
      </c>
      <c r="S21" s="49" t="s">
        <v>9</v>
      </c>
      <c r="T21" s="50" t="s">
        <v>10</v>
      </c>
      <c r="U21" s="1" t="s">
        <v>10</v>
      </c>
      <c r="V21" s="1" t="s">
        <v>10</v>
      </c>
      <c r="W21" s="1" t="s">
        <v>10</v>
      </c>
    </row>
    <row r="22" spans="1:23" ht="15.75" x14ac:dyDescent="0.25">
      <c r="A22">
        <f ca="1">IF(_xll.TM1RPTELISCONSOLIDATED($B$22,$B22),IF(_xll.TM1RPTELLEV($B$22,$B22)&lt;=3,_xll.TM1RPTELLEV($B$22,$B22),"D"),"N")</f>
        <v>0</v>
      </c>
      <c r="B22" s="53" t="str">
        <f ca="1">_xll.TM1RPTROW($B$12,"CXMD:DIM_Configuration","Product_Line","","Description EN",0)</f>
        <v>TOTAL PRODUCT</v>
      </c>
      <c r="C22" s="6">
        <f ca="1">_xll.DBRW($B$12,$C$16,C$20,$C$17,$C$15,$C$14,$B22,C$21)</f>
        <v>0</v>
      </c>
      <c r="D22" s="7">
        <f ca="1">_xll.DBRW($B$12,$C$16,D$20,$C$17,$C$15,$C$14,$B22,D$21)</f>
        <v>0</v>
      </c>
      <c r="E22" s="8">
        <f ca="1">_xll.DBRW($B$12,$C$16,E$20,$C$17,$C$15,$C$14,$B22,E$21)</f>
        <v>0</v>
      </c>
      <c r="F22" s="6">
        <f ca="1">G22-H22</f>
        <v>0</v>
      </c>
      <c r="G22" s="7">
        <f ca="1">_xll.DBRW($B$12,G$19,G$20,$C$17,$C$15,$C$14,$B22,G$21)</f>
        <v>0</v>
      </c>
      <c r="H22" s="7">
        <f ca="1">_xll.DBRW($B$12,H$19,H$20,$C$17,$C$15,$C$14,$B22,H$21)</f>
        <v>0</v>
      </c>
      <c r="I22" s="7">
        <f ca="1">_xll.DBRW($B$12,I$19,I$20,$C$17,$C$15,$C$14,$B22,I$21)</f>
        <v>0</v>
      </c>
      <c r="J22" s="7">
        <f ca="1">_xll.DBRW($B$12,$C$16,J$20,$C$17,$C$15,$C$14,$B22,J$21)</f>
        <v>0</v>
      </c>
      <c r="K22" s="8">
        <f ca="1">L22-M22</f>
        <v>0</v>
      </c>
      <c r="L22" s="9">
        <f ca="1">_xll.DBRW($B$12,L$19,L$20,$C$17,$C$15,$C$14,$B22,L$21)</f>
        <v>0</v>
      </c>
      <c r="M22" s="9">
        <f ca="1">_xll.DBRW($B$12,M$19,M$20,$C$17,$C$15,$C$14,$B22,M$21)</f>
        <v>0</v>
      </c>
      <c r="N22" s="9">
        <f ca="1">_xll.DBRW($B$12,N$19,N$20,$C$17,$C$15,$C$14,$B22,N$21)</f>
        <v>0</v>
      </c>
      <c r="O22" s="6">
        <f ca="1">P22-Q22+R22</f>
        <v>0</v>
      </c>
      <c r="P22" s="7">
        <f ca="1">_xll.DBRW($B$12,P$19,P$20,$C$17,$C$15,$C$14,$B22,P$21)</f>
        <v>0</v>
      </c>
      <c r="Q22" s="7">
        <f ca="1">_xll.DBRW($B$12,Q$19,Q$20,$C$17,$C$15,$C$14,$B22,Q$21)</f>
        <v>0</v>
      </c>
      <c r="R22" s="7">
        <f ca="1">_xll.DBRW($B$12,R$19,R$20,$C$17,$C$15,$C$14,$B22,R$21)</f>
        <v>0</v>
      </c>
      <c r="S22" s="7">
        <f ca="1">_xll.DBRW($B$12,$C$16,S$20,$C$17,$C$15,$C$14,$B22,S$21)</f>
        <v>0</v>
      </c>
      <c r="T22" s="8">
        <f ca="1">U22-V22+W22</f>
        <v>0</v>
      </c>
      <c r="U22" s="2">
        <f ca="1">_xll.DBRW($B$12,U$19,U$20,$C$17,$C$15,$C$14,$B22,U$21)</f>
        <v>0</v>
      </c>
      <c r="V22" s="4">
        <f ca="1">_xll.DBRW($B$12,V$19,V$20,$C$17,$C$15,$C$14,$B22,V$21)</f>
        <v>0</v>
      </c>
      <c r="W22" s="2">
        <f ca="1">_xll.DBRW($B$12,W$19,W$20,$C$17,$C$15,$C$14,$B22,W$21)</f>
        <v>0</v>
      </c>
    </row>
    <row r="23" spans="1:23" ht="15.75" x14ac:dyDescent="0.25">
      <c r="A23">
        <f ca="1">IF(_xll.TM1RPTELISCONSOLIDATED($B$22,$B23),IF(_xll.TM1RPTELLEV($B$22,$B23)&lt;=3,_xll.TM1RPTELLEV($B$22,$B23),"D"),"N")</f>
        <v>1</v>
      </c>
      <c r="B23" s="54" t="s">
        <v>48</v>
      </c>
      <c r="C23" s="10">
        <f ca="1">_xll.DBRW($B$12,$C$16,C$20,$C$17,$C$15,$C$14,$B23,C$21)</f>
        <v>0</v>
      </c>
      <c r="D23" s="11">
        <f ca="1">_xll.DBRW($B$12,$C$16,D$20,$C$17,$C$15,$C$14,$B23,D$21)</f>
        <v>0</v>
      </c>
      <c r="E23" s="12">
        <f ca="1">_xll.DBRW($B$12,$C$16,E$20,$C$17,$C$15,$C$14,$B23,E$21)</f>
        <v>0</v>
      </c>
      <c r="F23" s="10">
        <f t="shared" ref="F23:F44" ca="1" si="0">G23-H23</f>
        <v>0</v>
      </c>
      <c r="G23" s="11">
        <f ca="1">_xll.DBRW($B$12,G$19,G$20,$C$17,$C$15,$C$14,$B23,G$21)</f>
        <v>0</v>
      </c>
      <c r="H23" s="11">
        <f ca="1">_xll.DBRW($B$12,H$19,H$20,$C$17,$C$15,$C$14,$B23,H$21)</f>
        <v>0</v>
      </c>
      <c r="I23" s="11">
        <f ca="1">_xll.DBRW($B$12,I$19,I$20,$C$17,$C$15,$C$14,$B23,I$21)</f>
        <v>0</v>
      </c>
      <c r="J23" s="11">
        <f ca="1">_xll.DBRW($B$12,$C$16,J$20,$C$17,$C$15,$C$14,$B23,J$21)</f>
        <v>0</v>
      </c>
      <c r="K23" s="12">
        <f t="shared" ref="K23:K44" ca="1" si="1">L23-M23</f>
        <v>0</v>
      </c>
      <c r="L23" s="13">
        <f ca="1">_xll.DBRW($B$12,L$19,L$20,$C$17,$C$15,$C$14,$B23,L$21)</f>
        <v>0</v>
      </c>
      <c r="M23" s="13">
        <f ca="1">_xll.DBRW($B$12,M$19,M$20,$C$17,$C$15,$C$14,$B23,M$21)</f>
        <v>0</v>
      </c>
      <c r="N23" s="13">
        <f ca="1">_xll.DBRW($B$12,N$19,N$20,$C$17,$C$15,$C$14,$B23,N$21)</f>
        <v>0</v>
      </c>
      <c r="O23" s="10">
        <f t="shared" ref="O23:O44" ca="1" si="2">P23-Q23+R23</f>
        <v>0</v>
      </c>
      <c r="P23" s="11">
        <f ca="1">_xll.DBRW($B$12,P$19,P$20,$C$17,$C$15,$C$14,$B23,P$21)</f>
        <v>0</v>
      </c>
      <c r="Q23" s="11">
        <f ca="1">_xll.DBRW($B$12,Q$19,Q$20,$C$17,$C$15,$C$14,$B23,Q$21)</f>
        <v>0</v>
      </c>
      <c r="R23" s="11">
        <f ca="1">_xll.DBRW($B$12,R$19,R$20,$C$17,$C$15,$C$14,$B23,R$21)</f>
        <v>0</v>
      </c>
      <c r="S23" s="11">
        <f ca="1">_xll.DBRW($B$12,$C$16,S$20,$C$17,$C$15,$C$14,$B23,S$21)</f>
        <v>0</v>
      </c>
      <c r="T23" s="12">
        <f t="shared" ref="T23:T44" ca="1" si="3">U23-V23+W23</f>
        <v>0</v>
      </c>
      <c r="U23" s="3">
        <f ca="1">_xll.DBRW($B$12,U$19,U$20,$C$17,$C$15,$C$14,$B23,U$21)</f>
        <v>0</v>
      </c>
      <c r="V23" s="5">
        <f ca="1">_xll.DBRW($B$12,V$19,V$20,$C$17,$C$15,$C$14,$B23,V$21)</f>
        <v>0</v>
      </c>
      <c r="W23" s="3">
        <f ca="1">_xll.DBRW($B$12,W$19,W$20,$C$17,$C$15,$C$14,$B23,W$21)</f>
        <v>0</v>
      </c>
    </row>
    <row r="24" spans="1:23" ht="15.75" x14ac:dyDescent="0.25">
      <c r="A24">
        <f ca="1">IF(_xll.TM1RPTELISCONSOLIDATED($B$22,$B24),IF(_xll.TM1RPTELLEV($B$22,$B24)&lt;=3,_xll.TM1RPTELLEV($B$22,$B24),"D"),"N")</f>
        <v>1</v>
      </c>
      <c r="B24" s="54" t="s">
        <v>49</v>
      </c>
      <c r="C24" s="10">
        <f ca="1">_xll.DBRW($B$12,$C$16,C$20,$C$17,$C$15,$C$14,$B24,C$21)</f>
        <v>0</v>
      </c>
      <c r="D24" s="11">
        <f ca="1">_xll.DBRW($B$12,$C$16,D$20,$C$17,$C$15,$C$14,$B24,D$21)</f>
        <v>0</v>
      </c>
      <c r="E24" s="12">
        <f ca="1">_xll.DBRW($B$12,$C$16,E$20,$C$17,$C$15,$C$14,$B24,E$21)</f>
        <v>0</v>
      </c>
      <c r="F24" s="10">
        <f t="shared" ca="1" si="0"/>
        <v>0</v>
      </c>
      <c r="G24" s="11">
        <f ca="1">_xll.DBRW($B$12,G$19,G$20,$C$17,$C$15,$C$14,$B24,G$21)</f>
        <v>0</v>
      </c>
      <c r="H24" s="11">
        <f ca="1">_xll.DBRW($B$12,H$19,H$20,$C$17,$C$15,$C$14,$B24,H$21)</f>
        <v>0</v>
      </c>
      <c r="I24" s="11">
        <f ca="1">_xll.DBRW($B$12,I$19,I$20,$C$17,$C$15,$C$14,$B24,I$21)</f>
        <v>0</v>
      </c>
      <c r="J24" s="11">
        <f ca="1">_xll.DBRW($B$12,$C$16,J$20,$C$17,$C$15,$C$14,$B24,J$21)</f>
        <v>0</v>
      </c>
      <c r="K24" s="12">
        <f t="shared" ca="1" si="1"/>
        <v>0</v>
      </c>
      <c r="L24" s="13">
        <f ca="1">_xll.DBRW($B$12,L$19,L$20,$C$17,$C$15,$C$14,$B24,L$21)</f>
        <v>0</v>
      </c>
      <c r="M24" s="13">
        <f ca="1">_xll.DBRW($B$12,M$19,M$20,$C$17,$C$15,$C$14,$B24,M$21)</f>
        <v>0</v>
      </c>
      <c r="N24" s="13">
        <f ca="1">_xll.DBRW($B$12,N$19,N$20,$C$17,$C$15,$C$14,$B24,N$21)</f>
        <v>0</v>
      </c>
      <c r="O24" s="10">
        <f t="shared" ca="1" si="2"/>
        <v>0</v>
      </c>
      <c r="P24" s="11">
        <f ca="1">_xll.DBRW($B$12,P$19,P$20,$C$17,$C$15,$C$14,$B24,P$21)</f>
        <v>0</v>
      </c>
      <c r="Q24" s="11">
        <f ca="1">_xll.DBRW($B$12,Q$19,Q$20,$C$17,$C$15,$C$14,$B24,Q$21)</f>
        <v>0</v>
      </c>
      <c r="R24" s="11">
        <f ca="1">_xll.DBRW($B$12,R$19,R$20,$C$17,$C$15,$C$14,$B24,R$21)</f>
        <v>0</v>
      </c>
      <c r="S24" s="11">
        <f ca="1">_xll.DBRW($B$12,$C$16,S$20,$C$17,$C$15,$C$14,$B24,S$21)</f>
        <v>0</v>
      </c>
      <c r="T24" s="12">
        <f t="shared" ca="1" si="3"/>
        <v>0</v>
      </c>
      <c r="U24" s="3">
        <f ca="1">_xll.DBRW($B$12,U$19,U$20,$C$17,$C$15,$C$14,$B24,U$21)</f>
        <v>0</v>
      </c>
      <c r="V24" s="5">
        <f ca="1">_xll.DBRW($B$12,V$19,V$20,$C$17,$C$15,$C$14,$B24,V$21)</f>
        <v>0</v>
      </c>
      <c r="W24" s="3">
        <f ca="1">_xll.DBRW($B$12,W$19,W$20,$C$17,$C$15,$C$14,$B24,W$21)</f>
        <v>0</v>
      </c>
    </row>
    <row r="25" spans="1:23" ht="15.75" x14ac:dyDescent="0.25">
      <c r="A25">
        <f ca="1">IF(_xll.TM1RPTELISCONSOLIDATED($B$22,$B25),IF(_xll.TM1RPTELLEV($B$22,$B25)&lt;=3,_xll.TM1RPTELLEV($B$22,$B25),"D"),"N")</f>
        <v>1</v>
      </c>
      <c r="B25" s="54" t="s">
        <v>50</v>
      </c>
      <c r="C25" s="10">
        <f ca="1">_xll.DBRW($B$12,$C$16,C$20,$C$17,$C$15,$C$14,$B25,C$21)</f>
        <v>0</v>
      </c>
      <c r="D25" s="11">
        <f ca="1">_xll.DBRW($B$12,$C$16,D$20,$C$17,$C$15,$C$14,$B25,D$21)</f>
        <v>0</v>
      </c>
      <c r="E25" s="12">
        <f ca="1">_xll.DBRW($B$12,$C$16,E$20,$C$17,$C$15,$C$14,$B25,E$21)</f>
        <v>0</v>
      </c>
      <c r="F25" s="10">
        <f t="shared" ca="1" si="0"/>
        <v>0</v>
      </c>
      <c r="G25" s="11">
        <f ca="1">_xll.DBRW($B$12,G$19,G$20,$C$17,$C$15,$C$14,$B25,G$21)</f>
        <v>0</v>
      </c>
      <c r="H25" s="11">
        <f ca="1">_xll.DBRW($B$12,H$19,H$20,$C$17,$C$15,$C$14,$B25,H$21)</f>
        <v>0</v>
      </c>
      <c r="I25" s="11">
        <f ca="1">_xll.DBRW($B$12,I$19,I$20,$C$17,$C$15,$C$14,$B25,I$21)</f>
        <v>0</v>
      </c>
      <c r="J25" s="11">
        <f ca="1">_xll.DBRW($B$12,$C$16,J$20,$C$17,$C$15,$C$14,$B25,J$21)</f>
        <v>0</v>
      </c>
      <c r="K25" s="12">
        <f t="shared" ca="1" si="1"/>
        <v>0</v>
      </c>
      <c r="L25" s="13">
        <f ca="1">_xll.DBRW($B$12,L$19,L$20,$C$17,$C$15,$C$14,$B25,L$21)</f>
        <v>0</v>
      </c>
      <c r="M25" s="13">
        <f ca="1">_xll.DBRW($B$12,M$19,M$20,$C$17,$C$15,$C$14,$B25,M$21)</f>
        <v>0</v>
      </c>
      <c r="N25" s="13">
        <f ca="1">_xll.DBRW($B$12,N$19,N$20,$C$17,$C$15,$C$14,$B25,N$21)</f>
        <v>0</v>
      </c>
      <c r="O25" s="10">
        <f t="shared" ca="1" si="2"/>
        <v>0</v>
      </c>
      <c r="P25" s="11">
        <f ca="1">_xll.DBRW($B$12,P$19,P$20,$C$17,$C$15,$C$14,$B25,P$21)</f>
        <v>0</v>
      </c>
      <c r="Q25" s="11">
        <f ca="1">_xll.DBRW($B$12,Q$19,Q$20,$C$17,$C$15,$C$14,$B25,Q$21)</f>
        <v>0</v>
      </c>
      <c r="R25" s="11">
        <f ca="1">_xll.DBRW($B$12,R$19,R$20,$C$17,$C$15,$C$14,$B25,R$21)</f>
        <v>0</v>
      </c>
      <c r="S25" s="11">
        <f ca="1">_xll.DBRW($B$12,$C$16,S$20,$C$17,$C$15,$C$14,$B25,S$21)</f>
        <v>0</v>
      </c>
      <c r="T25" s="12">
        <f t="shared" ca="1" si="3"/>
        <v>0</v>
      </c>
      <c r="U25" s="3">
        <f ca="1">_xll.DBRW($B$12,U$19,U$20,$C$17,$C$15,$C$14,$B25,U$21)</f>
        <v>0</v>
      </c>
      <c r="V25" s="5">
        <f ca="1">_xll.DBRW($B$12,V$19,V$20,$C$17,$C$15,$C$14,$B25,V$21)</f>
        <v>0</v>
      </c>
      <c r="W25" s="3">
        <f ca="1">_xll.DBRW($B$12,W$19,W$20,$C$17,$C$15,$C$14,$B25,W$21)</f>
        <v>0</v>
      </c>
    </row>
    <row r="26" spans="1:23" ht="15.75" x14ac:dyDescent="0.25">
      <c r="A26">
        <f ca="1">IF(_xll.TM1RPTELISCONSOLIDATED($B$22,$B26),IF(_xll.TM1RPTELLEV($B$22,$B26)&lt;=3,_xll.TM1RPTELLEV($B$22,$B26),"D"),"N")</f>
        <v>1</v>
      </c>
      <c r="B26" s="54" t="s">
        <v>51</v>
      </c>
      <c r="C26" s="10">
        <f ca="1">_xll.DBRW($B$12,$C$16,C$20,$C$17,$C$15,$C$14,$B26,C$21)</f>
        <v>0</v>
      </c>
      <c r="D26" s="11">
        <f ca="1">_xll.DBRW($B$12,$C$16,D$20,$C$17,$C$15,$C$14,$B26,D$21)</f>
        <v>0</v>
      </c>
      <c r="E26" s="12">
        <f ca="1">_xll.DBRW($B$12,$C$16,E$20,$C$17,$C$15,$C$14,$B26,E$21)</f>
        <v>0</v>
      </c>
      <c r="F26" s="10">
        <f t="shared" ca="1" si="0"/>
        <v>0</v>
      </c>
      <c r="G26" s="11">
        <f ca="1">_xll.DBRW($B$12,G$19,G$20,$C$17,$C$15,$C$14,$B26,G$21)</f>
        <v>0</v>
      </c>
      <c r="H26" s="11">
        <f ca="1">_xll.DBRW($B$12,H$19,H$20,$C$17,$C$15,$C$14,$B26,H$21)</f>
        <v>0</v>
      </c>
      <c r="I26" s="11">
        <f ca="1">_xll.DBRW($B$12,I$19,I$20,$C$17,$C$15,$C$14,$B26,I$21)</f>
        <v>0</v>
      </c>
      <c r="J26" s="11">
        <f ca="1">_xll.DBRW($B$12,$C$16,J$20,$C$17,$C$15,$C$14,$B26,J$21)</f>
        <v>0</v>
      </c>
      <c r="K26" s="12">
        <f t="shared" ca="1" si="1"/>
        <v>0</v>
      </c>
      <c r="L26" s="13">
        <f ca="1">_xll.DBRW($B$12,L$19,L$20,$C$17,$C$15,$C$14,$B26,L$21)</f>
        <v>0</v>
      </c>
      <c r="M26" s="13">
        <f ca="1">_xll.DBRW($B$12,M$19,M$20,$C$17,$C$15,$C$14,$B26,M$21)</f>
        <v>0</v>
      </c>
      <c r="N26" s="13">
        <f ca="1">_xll.DBRW($B$12,N$19,N$20,$C$17,$C$15,$C$14,$B26,N$21)</f>
        <v>0</v>
      </c>
      <c r="O26" s="10">
        <f t="shared" ca="1" si="2"/>
        <v>0</v>
      </c>
      <c r="P26" s="11">
        <f ca="1">_xll.DBRW($B$12,P$19,P$20,$C$17,$C$15,$C$14,$B26,P$21)</f>
        <v>0</v>
      </c>
      <c r="Q26" s="11">
        <f ca="1">_xll.DBRW($B$12,Q$19,Q$20,$C$17,$C$15,$C$14,$B26,Q$21)</f>
        <v>0</v>
      </c>
      <c r="R26" s="11">
        <f ca="1">_xll.DBRW($B$12,R$19,R$20,$C$17,$C$15,$C$14,$B26,R$21)</f>
        <v>0</v>
      </c>
      <c r="S26" s="11">
        <f ca="1">_xll.DBRW($B$12,$C$16,S$20,$C$17,$C$15,$C$14,$B26,S$21)</f>
        <v>0</v>
      </c>
      <c r="T26" s="12">
        <f t="shared" ca="1" si="3"/>
        <v>0</v>
      </c>
      <c r="U26" s="3">
        <f ca="1">_xll.DBRW($B$12,U$19,U$20,$C$17,$C$15,$C$14,$B26,U$21)</f>
        <v>0</v>
      </c>
      <c r="V26" s="5">
        <f ca="1">_xll.DBRW($B$12,V$19,V$20,$C$17,$C$15,$C$14,$B26,V$21)</f>
        <v>0</v>
      </c>
      <c r="W26" s="3">
        <f ca="1">_xll.DBRW($B$12,W$19,W$20,$C$17,$C$15,$C$14,$B26,W$21)</f>
        <v>0</v>
      </c>
    </row>
    <row r="27" spans="1:23" ht="15.75" x14ac:dyDescent="0.25">
      <c r="A27">
        <f ca="1">IF(_xll.TM1RPTELISCONSOLIDATED($B$22,$B27),IF(_xll.TM1RPTELLEV($B$22,$B27)&lt;=3,_xll.TM1RPTELLEV($B$22,$B27),"D"),"N")</f>
        <v>1</v>
      </c>
      <c r="B27" s="54" t="s">
        <v>52</v>
      </c>
      <c r="C27" s="10">
        <f ca="1">_xll.DBRW($B$12,$C$16,C$20,$C$17,$C$15,$C$14,$B27,C$21)</f>
        <v>0</v>
      </c>
      <c r="D27" s="11">
        <f ca="1">_xll.DBRW($B$12,$C$16,D$20,$C$17,$C$15,$C$14,$B27,D$21)</f>
        <v>0</v>
      </c>
      <c r="E27" s="12">
        <f ca="1">_xll.DBRW($B$12,$C$16,E$20,$C$17,$C$15,$C$14,$B27,E$21)</f>
        <v>0</v>
      </c>
      <c r="F27" s="10">
        <f t="shared" ca="1" si="0"/>
        <v>0</v>
      </c>
      <c r="G27" s="11">
        <f ca="1">_xll.DBRW($B$12,G$19,G$20,$C$17,$C$15,$C$14,$B27,G$21)</f>
        <v>0</v>
      </c>
      <c r="H27" s="11">
        <f ca="1">_xll.DBRW($B$12,H$19,H$20,$C$17,$C$15,$C$14,$B27,H$21)</f>
        <v>0</v>
      </c>
      <c r="I27" s="11">
        <f ca="1">_xll.DBRW($B$12,I$19,I$20,$C$17,$C$15,$C$14,$B27,I$21)</f>
        <v>0</v>
      </c>
      <c r="J27" s="11">
        <f ca="1">_xll.DBRW($B$12,$C$16,J$20,$C$17,$C$15,$C$14,$B27,J$21)</f>
        <v>0</v>
      </c>
      <c r="K27" s="12">
        <f t="shared" ca="1" si="1"/>
        <v>0</v>
      </c>
      <c r="L27" s="13">
        <f ca="1">_xll.DBRW($B$12,L$19,L$20,$C$17,$C$15,$C$14,$B27,L$21)</f>
        <v>0</v>
      </c>
      <c r="M27" s="13">
        <f ca="1">_xll.DBRW($B$12,M$19,M$20,$C$17,$C$15,$C$14,$B27,M$21)</f>
        <v>0</v>
      </c>
      <c r="N27" s="13">
        <f ca="1">_xll.DBRW($B$12,N$19,N$20,$C$17,$C$15,$C$14,$B27,N$21)</f>
        <v>0</v>
      </c>
      <c r="O27" s="10">
        <f t="shared" ca="1" si="2"/>
        <v>0</v>
      </c>
      <c r="P27" s="11">
        <f ca="1">_xll.DBRW($B$12,P$19,P$20,$C$17,$C$15,$C$14,$B27,P$21)</f>
        <v>0</v>
      </c>
      <c r="Q27" s="11">
        <f ca="1">_xll.DBRW($B$12,Q$19,Q$20,$C$17,$C$15,$C$14,$B27,Q$21)</f>
        <v>0</v>
      </c>
      <c r="R27" s="11">
        <f ca="1">_xll.DBRW($B$12,R$19,R$20,$C$17,$C$15,$C$14,$B27,R$21)</f>
        <v>0</v>
      </c>
      <c r="S27" s="11">
        <f ca="1">_xll.DBRW($B$12,$C$16,S$20,$C$17,$C$15,$C$14,$B27,S$21)</f>
        <v>0</v>
      </c>
      <c r="T27" s="12">
        <f t="shared" ca="1" si="3"/>
        <v>0</v>
      </c>
      <c r="U27" s="3">
        <f ca="1">_xll.DBRW($B$12,U$19,U$20,$C$17,$C$15,$C$14,$B27,U$21)</f>
        <v>0</v>
      </c>
      <c r="V27" s="5">
        <f ca="1">_xll.DBRW($B$12,V$19,V$20,$C$17,$C$15,$C$14,$B27,V$21)</f>
        <v>0</v>
      </c>
      <c r="W27" s="3">
        <f ca="1">_xll.DBRW($B$12,W$19,W$20,$C$17,$C$15,$C$14,$B27,W$21)</f>
        <v>0</v>
      </c>
    </row>
    <row r="28" spans="1:23" ht="15.75" x14ac:dyDescent="0.25">
      <c r="A28">
        <f ca="1">IF(_xll.TM1RPTELISCONSOLIDATED($B$22,$B28),IF(_xll.TM1RPTELLEV($B$22,$B28)&lt;=3,_xll.TM1RPTELLEV($B$22,$B28),"D"),"N")</f>
        <v>1</v>
      </c>
      <c r="B28" s="54" t="s">
        <v>53</v>
      </c>
      <c r="C28" s="10">
        <f ca="1">_xll.DBRW($B$12,$C$16,C$20,$C$17,$C$15,$C$14,$B28,C$21)</f>
        <v>0</v>
      </c>
      <c r="D28" s="11">
        <f ca="1">_xll.DBRW($B$12,$C$16,D$20,$C$17,$C$15,$C$14,$B28,D$21)</f>
        <v>0</v>
      </c>
      <c r="E28" s="12">
        <f ca="1">_xll.DBRW($B$12,$C$16,E$20,$C$17,$C$15,$C$14,$B28,E$21)</f>
        <v>0</v>
      </c>
      <c r="F28" s="10">
        <f t="shared" ca="1" si="0"/>
        <v>0</v>
      </c>
      <c r="G28" s="11">
        <f ca="1">_xll.DBRW($B$12,G$19,G$20,$C$17,$C$15,$C$14,$B28,G$21)</f>
        <v>0</v>
      </c>
      <c r="H28" s="11">
        <f ca="1">_xll.DBRW($B$12,H$19,H$20,$C$17,$C$15,$C$14,$B28,H$21)</f>
        <v>0</v>
      </c>
      <c r="I28" s="11">
        <f ca="1">_xll.DBRW($B$12,I$19,I$20,$C$17,$C$15,$C$14,$B28,I$21)</f>
        <v>0</v>
      </c>
      <c r="J28" s="11">
        <f ca="1">_xll.DBRW($B$12,$C$16,J$20,$C$17,$C$15,$C$14,$B28,J$21)</f>
        <v>0</v>
      </c>
      <c r="K28" s="12">
        <f t="shared" ca="1" si="1"/>
        <v>0</v>
      </c>
      <c r="L28" s="13">
        <f ca="1">_xll.DBRW($B$12,L$19,L$20,$C$17,$C$15,$C$14,$B28,L$21)</f>
        <v>0</v>
      </c>
      <c r="M28" s="13">
        <f ca="1">_xll.DBRW($B$12,M$19,M$20,$C$17,$C$15,$C$14,$B28,M$21)</f>
        <v>0</v>
      </c>
      <c r="N28" s="13">
        <f ca="1">_xll.DBRW($B$12,N$19,N$20,$C$17,$C$15,$C$14,$B28,N$21)</f>
        <v>0</v>
      </c>
      <c r="O28" s="10">
        <f t="shared" ca="1" si="2"/>
        <v>0</v>
      </c>
      <c r="P28" s="11">
        <f ca="1">_xll.DBRW($B$12,P$19,P$20,$C$17,$C$15,$C$14,$B28,P$21)</f>
        <v>0</v>
      </c>
      <c r="Q28" s="11">
        <f ca="1">_xll.DBRW($B$12,Q$19,Q$20,$C$17,$C$15,$C$14,$B28,Q$21)</f>
        <v>0</v>
      </c>
      <c r="R28" s="11">
        <f ca="1">_xll.DBRW($B$12,R$19,R$20,$C$17,$C$15,$C$14,$B28,R$21)</f>
        <v>0</v>
      </c>
      <c r="S28" s="11">
        <f ca="1">_xll.DBRW($B$12,$C$16,S$20,$C$17,$C$15,$C$14,$B28,S$21)</f>
        <v>0</v>
      </c>
      <c r="T28" s="12">
        <f t="shared" ca="1" si="3"/>
        <v>0</v>
      </c>
      <c r="U28" s="3">
        <f ca="1">_xll.DBRW($B$12,U$19,U$20,$C$17,$C$15,$C$14,$B28,U$21)</f>
        <v>0</v>
      </c>
      <c r="V28" s="5">
        <f ca="1">_xll.DBRW($B$12,V$19,V$20,$C$17,$C$15,$C$14,$B28,V$21)</f>
        <v>0</v>
      </c>
      <c r="W28" s="3">
        <f ca="1">_xll.DBRW($B$12,W$19,W$20,$C$17,$C$15,$C$14,$B28,W$21)</f>
        <v>0</v>
      </c>
    </row>
    <row r="29" spans="1:23" ht="15.75" x14ac:dyDescent="0.25">
      <c r="A29">
        <f ca="1">IF(_xll.TM1RPTELISCONSOLIDATED($B$22,$B29),IF(_xll.TM1RPTELLEV($B$22,$B29)&lt;=3,_xll.TM1RPTELLEV($B$22,$B29),"D"),"N")</f>
        <v>1</v>
      </c>
      <c r="B29" s="54" t="s">
        <v>54</v>
      </c>
      <c r="C29" s="10">
        <f ca="1">_xll.DBRW($B$12,$C$16,C$20,$C$17,$C$15,$C$14,$B29,C$21)</f>
        <v>0</v>
      </c>
      <c r="D29" s="11">
        <f ca="1">_xll.DBRW($B$12,$C$16,D$20,$C$17,$C$15,$C$14,$B29,D$21)</f>
        <v>0</v>
      </c>
      <c r="E29" s="12">
        <f ca="1">_xll.DBRW($B$12,$C$16,E$20,$C$17,$C$15,$C$14,$B29,E$21)</f>
        <v>0</v>
      </c>
      <c r="F29" s="10">
        <f t="shared" ca="1" si="0"/>
        <v>0</v>
      </c>
      <c r="G29" s="11">
        <f ca="1">_xll.DBRW($B$12,G$19,G$20,$C$17,$C$15,$C$14,$B29,G$21)</f>
        <v>0</v>
      </c>
      <c r="H29" s="11">
        <f ca="1">_xll.DBRW($B$12,H$19,H$20,$C$17,$C$15,$C$14,$B29,H$21)</f>
        <v>0</v>
      </c>
      <c r="I29" s="11">
        <f ca="1">_xll.DBRW($B$12,I$19,I$20,$C$17,$C$15,$C$14,$B29,I$21)</f>
        <v>0</v>
      </c>
      <c r="J29" s="11">
        <f ca="1">_xll.DBRW($B$12,$C$16,J$20,$C$17,$C$15,$C$14,$B29,J$21)</f>
        <v>0</v>
      </c>
      <c r="K29" s="12">
        <f t="shared" ca="1" si="1"/>
        <v>0</v>
      </c>
      <c r="L29" s="13">
        <f ca="1">_xll.DBRW($B$12,L$19,L$20,$C$17,$C$15,$C$14,$B29,L$21)</f>
        <v>0</v>
      </c>
      <c r="M29" s="13">
        <f ca="1">_xll.DBRW($B$12,M$19,M$20,$C$17,$C$15,$C$14,$B29,M$21)</f>
        <v>0</v>
      </c>
      <c r="N29" s="13">
        <f ca="1">_xll.DBRW($B$12,N$19,N$20,$C$17,$C$15,$C$14,$B29,N$21)</f>
        <v>0</v>
      </c>
      <c r="O29" s="10">
        <f t="shared" ca="1" si="2"/>
        <v>0</v>
      </c>
      <c r="P29" s="11">
        <f ca="1">_xll.DBRW($B$12,P$19,P$20,$C$17,$C$15,$C$14,$B29,P$21)</f>
        <v>0</v>
      </c>
      <c r="Q29" s="11">
        <f ca="1">_xll.DBRW($B$12,Q$19,Q$20,$C$17,$C$15,$C$14,$B29,Q$21)</f>
        <v>0</v>
      </c>
      <c r="R29" s="11">
        <f ca="1">_xll.DBRW($B$12,R$19,R$20,$C$17,$C$15,$C$14,$B29,R$21)</f>
        <v>0</v>
      </c>
      <c r="S29" s="11">
        <f ca="1">_xll.DBRW($B$12,$C$16,S$20,$C$17,$C$15,$C$14,$B29,S$21)</f>
        <v>0</v>
      </c>
      <c r="T29" s="12">
        <f t="shared" ca="1" si="3"/>
        <v>0</v>
      </c>
      <c r="U29" s="3">
        <f ca="1">_xll.DBRW($B$12,U$19,U$20,$C$17,$C$15,$C$14,$B29,U$21)</f>
        <v>0</v>
      </c>
      <c r="V29" s="5">
        <f ca="1">_xll.DBRW($B$12,V$19,V$20,$C$17,$C$15,$C$14,$B29,V$21)</f>
        <v>0</v>
      </c>
      <c r="W29" s="3">
        <f ca="1">_xll.DBRW($B$12,W$19,W$20,$C$17,$C$15,$C$14,$B29,W$21)</f>
        <v>0</v>
      </c>
    </row>
    <row r="30" spans="1:23" ht="15.75" x14ac:dyDescent="0.25">
      <c r="A30">
        <f ca="1">IF(_xll.TM1RPTELISCONSOLIDATED($B$22,$B30),IF(_xll.TM1RPTELLEV($B$22,$B30)&lt;=3,_xll.TM1RPTELLEV($B$22,$B30),"D"),"N")</f>
        <v>1</v>
      </c>
      <c r="B30" s="54" t="s">
        <v>55</v>
      </c>
      <c r="C30" s="10">
        <f ca="1">_xll.DBRW($B$12,$C$16,C$20,$C$17,$C$15,$C$14,$B30,C$21)</f>
        <v>0</v>
      </c>
      <c r="D30" s="11">
        <f ca="1">_xll.DBRW($B$12,$C$16,D$20,$C$17,$C$15,$C$14,$B30,D$21)</f>
        <v>0</v>
      </c>
      <c r="E30" s="12">
        <f ca="1">_xll.DBRW($B$12,$C$16,E$20,$C$17,$C$15,$C$14,$B30,E$21)</f>
        <v>0</v>
      </c>
      <c r="F30" s="10">
        <f t="shared" ca="1" si="0"/>
        <v>0</v>
      </c>
      <c r="G30" s="11">
        <f ca="1">_xll.DBRW($B$12,G$19,G$20,$C$17,$C$15,$C$14,$B30,G$21)</f>
        <v>0</v>
      </c>
      <c r="H30" s="11">
        <f ca="1">_xll.DBRW($B$12,H$19,H$20,$C$17,$C$15,$C$14,$B30,H$21)</f>
        <v>0</v>
      </c>
      <c r="I30" s="11">
        <f ca="1">_xll.DBRW($B$12,I$19,I$20,$C$17,$C$15,$C$14,$B30,I$21)</f>
        <v>0</v>
      </c>
      <c r="J30" s="11">
        <f ca="1">_xll.DBRW($B$12,$C$16,J$20,$C$17,$C$15,$C$14,$B30,J$21)</f>
        <v>0</v>
      </c>
      <c r="K30" s="12">
        <f t="shared" ca="1" si="1"/>
        <v>0</v>
      </c>
      <c r="L30" s="13">
        <f ca="1">_xll.DBRW($B$12,L$19,L$20,$C$17,$C$15,$C$14,$B30,L$21)</f>
        <v>0</v>
      </c>
      <c r="M30" s="13">
        <f ca="1">_xll.DBRW($B$12,M$19,M$20,$C$17,$C$15,$C$14,$B30,M$21)</f>
        <v>0</v>
      </c>
      <c r="N30" s="13">
        <f ca="1">_xll.DBRW($B$12,N$19,N$20,$C$17,$C$15,$C$14,$B30,N$21)</f>
        <v>0</v>
      </c>
      <c r="O30" s="10">
        <f t="shared" ca="1" si="2"/>
        <v>0</v>
      </c>
      <c r="P30" s="11">
        <f ca="1">_xll.DBRW($B$12,P$19,P$20,$C$17,$C$15,$C$14,$B30,P$21)</f>
        <v>0</v>
      </c>
      <c r="Q30" s="11">
        <f ca="1">_xll.DBRW($B$12,Q$19,Q$20,$C$17,$C$15,$C$14,$B30,Q$21)</f>
        <v>0</v>
      </c>
      <c r="R30" s="11">
        <f ca="1">_xll.DBRW($B$12,R$19,R$20,$C$17,$C$15,$C$14,$B30,R$21)</f>
        <v>0</v>
      </c>
      <c r="S30" s="11">
        <f ca="1">_xll.DBRW($B$12,$C$16,S$20,$C$17,$C$15,$C$14,$B30,S$21)</f>
        <v>0</v>
      </c>
      <c r="T30" s="12">
        <f t="shared" ca="1" si="3"/>
        <v>0</v>
      </c>
      <c r="U30" s="3">
        <f ca="1">_xll.DBRW($B$12,U$19,U$20,$C$17,$C$15,$C$14,$B30,U$21)</f>
        <v>0</v>
      </c>
      <c r="V30" s="5">
        <f ca="1">_xll.DBRW($B$12,V$19,V$20,$C$17,$C$15,$C$14,$B30,V$21)</f>
        <v>0</v>
      </c>
      <c r="W30" s="3">
        <f ca="1">_xll.DBRW($B$12,W$19,W$20,$C$17,$C$15,$C$14,$B30,W$21)</f>
        <v>0</v>
      </c>
    </row>
    <row r="31" spans="1:23" ht="15.75" x14ac:dyDescent="0.25">
      <c r="A31">
        <f ca="1">IF(_xll.TM1RPTELISCONSOLIDATED($B$22,$B31),IF(_xll.TM1RPTELLEV($B$22,$B31)&lt;=3,_xll.TM1RPTELLEV($B$22,$B31),"D"),"N")</f>
        <v>1</v>
      </c>
      <c r="B31" s="54" t="s">
        <v>56</v>
      </c>
      <c r="C31" s="10">
        <f ca="1">_xll.DBRW($B$12,$C$16,C$20,$C$17,$C$15,$C$14,$B31,C$21)</f>
        <v>0</v>
      </c>
      <c r="D31" s="11">
        <f ca="1">_xll.DBRW($B$12,$C$16,D$20,$C$17,$C$15,$C$14,$B31,D$21)</f>
        <v>0</v>
      </c>
      <c r="E31" s="12">
        <f ca="1">_xll.DBRW($B$12,$C$16,E$20,$C$17,$C$15,$C$14,$B31,E$21)</f>
        <v>0</v>
      </c>
      <c r="F31" s="10">
        <f t="shared" ca="1" si="0"/>
        <v>0</v>
      </c>
      <c r="G31" s="11">
        <f ca="1">_xll.DBRW($B$12,G$19,G$20,$C$17,$C$15,$C$14,$B31,G$21)</f>
        <v>0</v>
      </c>
      <c r="H31" s="11">
        <f ca="1">_xll.DBRW($B$12,H$19,H$20,$C$17,$C$15,$C$14,$B31,H$21)</f>
        <v>0</v>
      </c>
      <c r="I31" s="11">
        <f ca="1">_xll.DBRW($B$12,I$19,I$20,$C$17,$C$15,$C$14,$B31,I$21)</f>
        <v>0</v>
      </c>
      <c r="J31" s="11">
        <f ca="1">_xll.DBRW($B$12,$C$16,J$20,$C$17,$C$15,$C$14,$B31,J$21)</f>
        <v>0</v>
      </c>
      <c r="K31" s="12">
        <f t="shared" ca="1" si="1"/>
        <v>0</v>
      </c>
      <c r="L31" s="13">
        <f ca="1">_xll.DBRW($B$12,L$19,L$20,$C$17,$C$15,$C$14,$B31,L$21)</f>
        <v>0</v>
      </c>
      <c r="M31" s="13">
        <f ca="1">_xll.DBRW($B$12,M$19,M$20,$C$17,$C$15,$C$14,$B31,M$21)</f>
        <v>0</v>
      </c>
      <c r="N31" s="13">
        <f ca="1">_xll.DBRW($B$12,N$19,N$20,$C$17,$C$15,$C$14,$B31,N$21)</f>
        <v>0</v>
      </c>
      <c r="O31" s="10">
        <f t="shared" ca="1" si="2"/>
        <v>0</v>
      </c>
      <c r="P31" s="11">
        <f ca="1">_xll.DBRW($B$12,P$19,P$20,$C$17,$C$15,$C$14,$B31,P$21)</f>
        <v>0</v>
      </c>
      <c r="Q31" s="11">
        <f ca="1">_xll.DBRW($B$12,Q$19,Q$20,$C$17,$C$15,$C$14,$B31,Q$21)</f>
        <v>0</v>
      </c>
      <c r="R31" s="11">
        <f ca="1">_xll.DBRW($B$12,R$19,R$20,$C$17,$C$15,$C$14,$B31,R$21)</f>
        <v>0</v>
      </c>
      <c r="S31" s="11">
        <f ca="1">_xll.DBRW($B$12,$C$16,S$20,$C$17,$C$15,$C$14,$B31,S$21)</f>
        <v>0</v>
      </c>
      <c r="T31" s="12">
        <f t="shared" ca="1" si="3"/>
        <v>0</v>
      </c>
      <c r="U31" s="3">
        <f ca="1">_xll.DBRW($B$12,U$19,U$20,$C$17,$C$15,$C$14,$B31,U$21)</f>
        <v>0</v>
      </c>
      <c r="V31" s="5">
        <f ca="1">_xll.DBRW($B$12,V$19,V$20,$C$17,$C$15,$C$14,$B31,V$21)</f>
        <v>0</v>
      </c>
      <c r="W31" s="3">
        <f ca="1">_xll.DBRW($B$12,W$19,W$20,$C$17,$C$15,$C$14,$B31,W$21)</f>
        <v>0</v>
      </c>
    </row>
    <row r="32" spans="1:23" ht="15.75" x14ac:dyDescent="0.25">
      <c r="A32">
        <f ca="1">IF(_xll.TM1RPTELISCONSOLIDATED($B$22,$B32),IF(_xll.TM1RPTELLEV($B$22,$B32)&lt;=3,_xll.TM1RPTELLEV($B$22,$B32),"D"),"N")</f>
        <v>1</v>
      </c>
      <c r="B32" s="54" t="s">
        <v>57</v>
      </c>
      <c r="C32" s="10">
        <f ca="1">_xll.DBRW($B$12,$C$16,C$20,$C$17,$C$15,$C$14,$B32,C$21)</f>
        <v>0</v>
      </c>
      <c r="D32" s="11">
        <f ca="1">_xll.DBRW($B$12,$C$16,D$20,$C$17,$C$15,$C$14,$B32,D$21)</f>
        <v>0</v>
      </c>
      <c r="E32" s="12">
        <f ca="1">_xll.DBRW($B$12,$C$16,E$20,$C$17,$C$15,$C$14,$B32,E$21)</f>
        <v>0</v>
      </c>
      <c r="F32" s="10">
        <f t="shared" ca="1" si="0"/>
        <v>0</v>
      </c>
      <c r="G32" s="11">
        <f ca="1">_xll.DBRW($B$12,G$19,G$20,$C$17,$C$15,$C$14,$B32,G$21)</f>
        <v>0</v>
      </c>
      <c r="H32" s="11">
        <f ca="1">_xll.DBRW($B$12,H$19,H$20,$C$17,$C$15,$C$14,$B32,H$21)</f>
        <v>0</v>
      </c>
      <c r="I32" s="11">
        <f ca="1">_xll.DBRW($B$12,I$19,I$20,$C$17,$C$15,$C$14,$B32,I$21)</f>
        <v>0</v>
      </c>
      <c r="J32" s="11">
        <f ca="1">_xll.DBRW($B$12,$C$16,J$20,$C$17,$C$15,$C$14,$B32,J$21)</f>
        <v>0</v>
      </c>
      <c r="K32" s="12">
        <f t="shared" ca="1" si="1"/>
        <v>0</v>
      </c>
      <c r="L32" s="13">
        <f ca="1">_xll.DBRW($B$12,L$19,L$20,$C$17,$C$15,$C$14,$B32,L$21)</f>
        <v>0</v>
      </c>
      <c r="M32" s="13">
        <f ca="1">_xll.DBRW($B$12,M$19,M$20,$C$17,$C$15,$C$14,$B32,M$21)</f>
        <v>0</v>
      </c>
      <c r="N32" s="13">
        <f ca="1">_xll.DBRW($B$12,N$19,N$20,$C$17,$C$15,$C$14,$B32,N$21)</f>
        <v>0</v>
      </c>
      <c r="O32" s="10">
        <f t="shared" ca="1" si="2"/>
        <v>0</v>
      </c>
      <c r="P32" s="11">
        <f ca="1">_xll.DBRW($B$12,P$19,P$20,$C$17,$C$15,$C$14,$B32,P$21)</f>
        <v>0</v>
      </c>
      <c r="Q32" s="11">
        <f ca="1">_xll.DBRW($B$12,Q$19,Q$20,$C$17,$C$15,$C$14,$B32,Q$21)</f>
        <v>0</v>
      </c>
      <c r="R32" s="11">
        <f ca="1">_xll.DBRW($B$12,R$19,R$20,$C$17,$C$15,$C$14,$B32,R$21)</f>
        <v>0</v>
      </c>
      <c r="S32" s="11">
        <f ca="1">_xll.DBRW($B$12,$C$16,S$20,$C$17,$C$15,$C$14,$B32,S$21)</f>
        <v>0</v>
      </c>
      <c r="T32" s="12">
        <f t="shared" ca="1" si="3"/>
        <v>0</v>
      </c>
      <c r="U32" s="3">
        <f ca="1">_xll.DBRW($B$12,U$19,U$20,$C$17,$C$15,$C$14,$B32,U$21)</f>
        <v>0</v>
      </c>
      <c r="V32" s="5">
        <f ca="1">_xll.DBRW($B$12,V$19,V$20,$C$17,$C$15,$C$14,$B32,V$21)</f>
        <v>0</v>
      </c>
      <c r="W32" s="3">
        <f ca="1">_xll.DBRW($B$12,W$19,W$20,$C$17,$C$15,$C$14,$B32,W$21)</f>
        <v>0</v>
      </c>
    </row>
    <row r="33" spans="1:23" ht="15.75" x14ac:dyDescent="0.25">
      <c r="A33">
        <f ca="1">IF(_xll.TM1RPTELISCONSOLIDATED($B$22,$B33),IF(_xll.TM1RPTELLEV($B$22,$B33)&lt;=3,_xll.TM1RPTELLEV($B$22,$B33),"D"),"N")</f>
        <v>1</v>
      </c>
      <c r="B33" s="54" t="s">
        <v>58</v>
      </c>
      <c r="C33" s="10">
        <f ca="1">_xll.DBRW($B$12,$C$16,C$20,$C$17,$C$15,$C$14,$B33,C$21)</f>
        <v>0</v>
      </c>
      <c r="D33" s="11">
        <f ca="1">_xll.DBRW($B$12,$C$16,D$20,$C$17,$C$15,$C$14,$B33,D$21)</f>
        <v>0</v>
      </c>
      <c r="E33" s="12">
        <f ca="1">_xll.DBRW($B$12,$C$16,E$20,$C$17,$C$15,$C$14,$B33,E$21)</f>
        <v>0</v>
      </c>
      <c r="F33" s="10">
        <f t="shared" ca="1" si="0"/>
        <v>0</v>
      </c>
      <c r="G33" s="11">
        <f ca="1">_xll.DBRW($B$12,G$19,G$20,$C$17,$C$15,$C$14,$B33,G$21)</f>
        <v>0</v>
      </c>
      <c r="H33" s="11">
        <f ca="1">_xll.DBRW($B$12,H$19,H$20,$C$17,$C$15,$C$14,$B33,H$21)</f>
        <v>0</v>
      </c>
      <c r="I33" s="11">
        <f ca="1">_xll.DBRW($B$12,I$19,I$20,$C$17,$C$15,$C$14,$B33,I$21)</f>
        <v>0</v>
      </c>
      <c r="J33" s="11">
        <f ca="1">_xll.DBRW($B$12,$C$16,J$20,$C$17,$C$15,$C$14,$B33,J$21)</f>
        <v>0</v>
      </c>
      <c r="K33" s="12">
        <f t="shared" ca="1" si="1"/>
        <v>0</v>
      </c>
      <c r="L33" s="13">
        <f ca="1">_xll.DBRW($B$12,L$19,L$20,$C$17,$C$15,$C$14,$B33,L$21)</f>
        <v>0</v>
      </c>
      <c r="M33" s="13">
        <f ca="1">_xll.DBRW($B$12,M$19,M$20,$C$17,$C$15,$C$14,$B33,M$21)</f>
        <v>0</v>
      </c>
      <c r="N33" s="13">
        <f ca="1">_xll.DBRW($B$12,N$19,N$20,$C$17,$C$15,$C$14,$B33,N$21)</f>
        <v>0</v>
      </c>
      <c r="O33" s="10">
        <f t="shared" ca="1" si="2"/>
        <v>0</v>
      </c>
      <c r="P33" s="11">
        <f ca="1">_xll.DBRW($B$12,P$19,P$20,$C$17,$C$15,$C$14,$B33,P$21)</f>
        <v>0</v>
      </c>
      <c r="Q33" s="11">
        <f ca="1">_xll.DBRW($B$12,Q$19,Q$20,$C$17,$C$15,$C$14,$B33,Q$21)</f>
        <v>0</v>
      </c>
      <c r="R33" s="11">
        <f ca="1">_xll.DBRW($B$12,R$19,R$20,$C$17,$C$15,$C$14,$B33,R$21)</f>
        <v>0</v>
      </c>
      <c r="S33" s="11">
        <f ca="1">_xll.DBRW($B$12,$C$16,S$20,$C$17,$C$15,$C$14,$B33,S$21)</f>
        <v>0</v>
      </c>
      <c r="T33" s="12">
        <f t="shared" ca="1" si="3"/>
        <v>0</v>
      </c>
      <c r="U33" s="3">
        <f ca="1">_xll.DBRW($B$12,U$19,U$20,$C$17,$C$15,$C$14,$B33,U$21)</f>
        <v>0</v>
      </c>
      <c r="V33" s="5">
        <f ca="1">_xll.DBRW($B$12,V$19,V$20,$C$17,$C$15,$C$14,$B33,V$21)</f>
        <v>0</v>
      </c>
      <c r="W33" s="3">
        <f ca="1">_xll.DBRW($B$12,W$19,W$20,$C$17,$C$15,$C$14,$B33,W$21)</f>
        <v>0</v>
      </c>
    </row>
    <row r="34" spans="1:23" ht="15.75" x14ac:dyDescent="0.25">
      <c r="A34">
        <f ca="1">IF(_xll.TM1RPTELISCONSOLIDATED($B$22,$B34),IF(_xll.TM1RPTELLEV($B$22,$B34)&lt;=3,_xll.TM1RPTELLEV($B$22,$B34),"D"),"N")</f>
        <v>1</v>
      </c>
      <c r="B34" s="54" t="s">
        <v>59</v>
      </c>
      <c r="C34" s="10">
        <f ca="1">_xll.DBRW($B$12,$C$16,C$20,$C$17,$C$15,$C$14,$B34,C$21)</f>
        <v>0</v>
      </c>
      <c r="D34" s="11">
        <f ca="1">_xll.DBRW($B$12,$C$16,D$20,$C$17,$C$15,$C$14,$B34,D$21)</f>
        <v>0</v>
      </c>
      <c r="E34" s="12">
        <f ca="1">_xll.DBRW($B$12,$C$16,E$20,$C$17,$C$15,$C$14,$B34,E$21)</f>
        <v>0</v>
      </c>
      <c r="F34" s="10">
        <f t="shared" ca="1" si="0"/>
        <v>0</v>
      </c>
      <c r="G34" s="11">
        <f ca="1">_xll.DBRW($B$12,G$19,G$20,$C$17,$C$15,$C$14,$B34,G$21)</f>
        <v>0</v>
      </c>
      <c r="H34" s="11">
        <f ca="1">_xll.DBRW($B$12,H$19,H$20,$C$17,$C$15,$C$14,$B34,H$21)</f>
        <v>0</v>
      </c>
      <c r="I34" s="11">
        <f ca="1">_xll.DBRW($B$12,I$19,I$20,$C$17,$C$15,$C$14,$B34,I$21)</f>
        <v>0</v>
      </c>
      <c r="J34" s="11">
        <f ca="1">_xll.DBRW($B$12,$C$16,J$20,$C$17,$C$15,$C$14,$B34,J$21)</f>
        <v>0</v>
      </c>
      <c r="K34" s="12">
        <f t="shared" ca="1" si="1"/>
        <v>0</v>
      </c>
      <c r="L34" s="13">
        <f ca="1">_xll.DBRW($B$12,L$19,L$20,$C$17,$C$15,$C$14,$B34,L$21)</f>
        <v>0</v>
      </c>
      <c r="M34" s="13">
        <f ca="1">_xll.DBRW($B$12,M$19,M$20,$C$17,$C$15,$C$14,$B34,M$21)</f>
        <v>0</v>
      </c>
      <c r="N34" s="13">
        <f ca="1">_xll.DBRW($B$12,N$19,N$20,$C$17,$C$15,$C$14,$B34,N$21)</f>
        <v>0</v>
      </c>
      <c r="O34" s="10">
        <f t="shared" ca="1" si="2"/>
        <v>0</v>
      </c>
      <c r="P34" s="11">
        <f ca="1">_xll.DBRW($B$12,P$19,P$20,$C$17,$C$15,$C$14,$B34,P$21)</f>
        <v>0</v>
      </c>
      <c r="Q34" s="11">
        <f ca="1">_xll.DBRW($B$12,Q$19,Q$20,$C$17,$C$15,$C$14,$B34,Q$21)</f>
        <v>0</v>
      </c>
      <c r="R34" s="11">
        <f ca="1">_xll.DBRW($B$12,R$19,R$20,$C$17,$C$15,$C$14,$B34,R$21)</f>
        <v>0</v>
      </c>
      <c r="S34" s="11">
        <f ca="1">_xll.DBRW($B$12,$C$16,S$20,$C$17,$C$15,$C$14,$B34,S$21)</f>
        <v>0</v>
      </c>
      <c r="T34" s="12">
        <f t="shared" ca="1" si="3"/>
        <v>0</v>
      </c>
      <c r="U34" s="3">
        <f ca="1">_xll.DBRW($B$12,U$19,U$20,$C$17,$C$15,$C$14,$B34,U$21)</f>
        <v>0</v>
      </c>
      <c r="V34" s="5">
        <f ca="1">_xll.DBRW($B$12,V$19,V$20,$C$17,$C$15,$C$14,$B34,V$21)</f>
        <v>0</v>
      </c>
      <c r="W34" s="3">
        <f ca="1">_xll.DBRW($B$12,W$19,W$20,$C$17,$C$15,$C$14,$B34,W$21)</f>
        <v>0</v>
      </c>
    </row>
    <row r="35" spans="1:23" ht="15.75" x14ac:dyDescent="0.25">
      <c r="A35">
        <f ca="1">IF(_xll.TM1RPTELISCONSOLIDATED($B$22,$B35),IF(_xll.TM1RPTELLEV($B$22,$B35)&lt;=3,_xll.TM1RPTELLEV($B$22,$B35),"D"),"N")</f>
        <v>1</v>
      </c>
      <c r="B35" s="54" t="s">
        <v>60</v>
      </c>
      <c r="C35" s="10">
        <f ca="1">_xll.DBRW($B$12,$C$16,C$20,$C$17,$C$15,$C$14,$B35,C$21)</f>
        <v>0</v>
      </c>
      <c r="D35" s="11">
        <f ca="1">_xll.DBRW($B$12,$C$16,D$20,$C$17,$C$15,$C$14,$B35,D$21)</f>
        <v>0</v>
      </c>
      <c r="E35" s="12">
        <f ca="1">_xll.DBRW($B$12,$C$16,E$20,$C$17,$C$15,$C$14,$B35,E$21)</f>
        <v>0</v>
      </c>
      <c r="F35" s="10">
        <f t="shared" ca="1" si="0"/>
        <v>0</v>
      </c>
      <c r="G35" s="11">
        <f ca="1">_xll.DBRW($B$12,G$19,G$20,$C$17,$C$15,$C$14,$B35,G$21)</f>
        <v>0</v>
      </c>
      <c r="H35" s="11">
        <f ca="1">_xll.DBRW($B$12,H$19,H$20,$C$17,$C$15,$C$14,$B35,H$21)</f>
        <v>0</v>
      </c>
      <c r="I35" s="11">
        <f ca="1">_xll.DBRW($B$12,I$19,I$20,$C$17,$C$15,$C$14,$B35,I$21)</f>
        <v>0</v>
      </c>
      <c r="J35" s="11">
        <f ca="1">_xll.DBRW($B$12,$C$16,J$20,$C$17,$C$15,$C$14,$B35,J$21)</f>
        <v>0</v>
      </c>
      <c r="K35" s="12">
        <f t="shared" ca="1" si="1"/>
        <v>0</v>
      </c>
      <c r="L35" s="13">
        <f ca="1">_xll.DBRW($B$12,L$19,L$20,$C$17,$C$15,$C$14,$B35,L$21)</f>
        <v>0</v>
      </c>
      <c r="M35" s="13">
        <f ca="1">_xll.DBRW($B$12,M$19,M$20,$C$17,$C$15,$C$14,$B35,M$21)</f>
        <v>0</v>
      </c>
      <c r="N35" s="13">
        <f ca="1">_xll.DBRW($B$12,N$19,N$20,$C$17,$C$15,$C$14,$B35,N$21)</f>
        <v>0</v>
      </c>
      <c r="O35" s="10">
        <f t="shared" ca="1" si="2"/>
        <v>0</v>
      </c>
      <c r="P35" s="11">
        <f ca="1">_xll.DBRW($B$12,P$19,P$20,$C$17,$C$15,$C$14,$B35,P$21)</f>
        <v>0</v>
      </c>
      <c r="Q35" s="11">
        <f ca="1">_xll.DBRW($B$12,Q$19,Q$20,$C$17,$C$15,$C$14,$B35,Q$21)</f>
        <v>0</v>
      </c>
      <c r="R35" s="11">
        <f ca="1">_xll.DBRW($B$12,R$19,R$20,$C$17,$C$15,$C$14,$B35,R$21)</f>
        <v>0</v>
      </c>
      <c r="S35" s="11">
        <f ca="1">_xll.DBRW($B$12,$C$16,S$20,$C$17,$C$15,$C$14,$B35,S$21)</f>
        <v>0</v>
      </c>
      <c r="T35" s="12">
        <f t="shared" ca="1" si="3"/>
        <v>0</v>
      </c>
      <c r="U35" s="3">
        <f ca="1">_xll.DBRW($B$12,U$19,U$20,$C$17,$C$15,$C$14,$B35,U$21)</f>
        <v>0</v>
      </c>
      <c r="V35" s="5">
        <f ca="1">_xll.DBRW($B$12,V$19,V$20,$C$17,$C$15,$C$14,$B35,V$21)</f>
        <v>0</v>
      </c>
      <c r="W35" s="3">
        <f ca="1">_xll.DBRW($B$12,W$19,W$20,$C$17,$C$15,$C$14,$B35,W$21)</f>
        <v>0</v>
      </c>
    </row>
    <row r="36" spans="1:23" ht="15.75" x14ac:dyDescent="0.25">
      <c r="A36">
        <f ca="1">IF(_xll.TM1RPTELISCONSOLIDATED($B$22,$B36),IF(_xll.TM1RPTELLEV($B$22,$B36)&lt;=3,_xll.TM1RPTELLEV($B$22,$B36),"D"),"N")</f>
        <v>1</v>
      </c>
      <c r="B36" s="54" t="s">
        <v>61</v>
      </c>
      <c r="C36" s="10">
        <f ca="1">_xll.DBRW($B$12,$C$16,C$20,$C$17,$C$15,$C$14,$B36,C$21)</f>
        <v>0</v>
      </c>
      <c r="D36" s="11">
        <f ca="1">_xll.DBRW($B$12,$C$16,D$20,$C$17,$C$15,$C$14,$B36,D$21)</f>
        <v>0</v>
      </c>
      <c r="E36" s="12">
        <f ca="1">_xll.DBRW($B$12,$C$16,E$20,$C$17,$C$15,$C$14,$B36,E$21)</f>
        <v>0</v>
      </c>
      <c r="F36" s="10">
        <f t="shared" ca="1" si="0"/>
        <v>0</v>
      </c>
      <c r="G36" s="11">
        <f ca="1">_xll.DBRW($B$12,G$19,G$20,$C$17,$C$15,$C$14,$B36,G$21)</f>
        <v>0</v>
      </c>
      <c r="H36" s="11">
        <f ca="1">_xll.DBRW($B$12,H$19,H$20,$C$17,$C$15,$C$14,$B36,H$21)</f>
        <v>0</v>
      </c>
      <c r="I36" s="11">
        <f ca="1">_xll.DBRW($B$12,I$19,I$20,$C$17,$C$15,$C$14,$B36,I$21)</f>
        <v>0</v>
      </c>
      <c r="J36" s="11">
        <f ca="1">_xll.DBRW($B$12,$C$16,J$20,$C$17,$C$15,$C$14,$B36,J$21)</f>
        <v>0</v>
      </c>
      <c r="K36" s="12">
        <f t="shared" ca="1" si="1"/>
        <v>0</v>
      </c>
      <c r="L36" s="13">
        <f ca="1">_xll.DBRW($B$12,L$19,L$20,$C$17,$C$15,$C$14,$B36,L$21)</f>
        <v>0</v>
      </c>
      <c r="M36" s="13">
        <f ca="1">_xll.DBRW($B$12,M$19,M$20,$C$17,$C$15,$C$14,$B36,M$21)</f>
        <v>0</v>
      </c>
      <c r="N36" s="13">
        <f ca="1">_xll.DBRW($B$12,N$19,N$20,$C$17,$C$15,$C$14,$B36,N$21)</f>
        <v>0</v>
      </c>
      <c r="O36" s="10">
        <f t="shared" ca="1" si="2"/>
        <v>0</v>
      </c>
      <c r="P36" s="11">
        <f ca="1">_xll.DBRW($B$12,P$19,P$20,$C$17,$C$15,$C$14,$B36,P$21)</f>
        <v>0</v>
      </c>
      <c r="Q36" s="11">
        <f ca="1">_xll.DBRW($B$12,Q$19,Q$20,$C$17,$C$15,$C$14,$B36,Q$21)</f>
        <v>0</v>
      </c>
      <c r="R36" s="11">
        <f ca="1">_xll.DBRW($B$12,R$19,R$20,$C$17,$C$15,$C$14,$B36,R$21)</f>
        <v>0</v>
      </c>
      <c r="S36" s="11">
        <f ca="1">_xll.DBRW($B$12,$C$16,S$20,$C$17,$C$15,$C$14,$B36,S$21)</f>
        <v>0</v>
      </c>
      <c r="T36" s="12">
        <f t="shared" ca="1" si="3"/>
        <v>0</v>
      </c>
      <c r="U36" s="3">
        <f ca="1">_xll.DBRW($B$12,U$19,U$20,$C$17,$C$15,$C$14,$B36,U$21)</f>
        <v>0</v>
      </c>
      <c r="V36" s="5">
        <f ca="1">_xll.DBRW($B$12,V$19,V$20,$C$17,$C$15,$C$14,$B36,V$21)</f>
        <v>0</v>
      </c>
      <c r="W36" s="3">
        <f ca="1">_xll.DBRW($B$12,W$19,W$20,$C$17,$C$15,$C$14,$B36,W$21)</f>
        <v>0</v>
      </c>
    </row>
    <row r="37" spans="1:23" ht="15.75" x14ac:dyDescent="0.25">
      <c r="A37">
        <f ca="1">IF(_xll.TM1RPTELISCONSOLIDATED($B$22,$B37),IF(_xll.TM1RPTELLEV($B$22,$B37)&lt;=3,_xll.TM1RPTELLEV($B$22,$B37),"D"),"N")</f>
        <v>1</v>
      </c>
      <c r="B37" s="54" t="s">
        <v>62</v>
      </c>
      <c r="C37" s="10">
        <f ca="1">_xll.DBRW($B$12,$C$16,C$20,$C$17,$C$15,$C$14,$B37,C$21)</f>
        <v>0</v>
      </c>
      <c r="D37" s="11">
        <f ca="1">_xll.DBRW($B$12,$C$16,D$20,$C$17,$C$15,$C$14,$B37,D$21)</f>
        <v>0</v>
      </c>
      <c r="E37" s="12">
        <f ca="1">_xll.DBRW($B$12,$C$16,E$20,$C$17,$C$15,$C$14,$B37,E$21)</f>
        <v>0</v>
      </c>
      <c r="F37" s="10">
        <f t="shared" ca="1" si="0"/>
        <v>0</v>
      </c>
      <c r="G37" s="11">
        <f ca="1">_xll.DBRW($B$12,G$19,G$20,$C$17,$C$15,$C$14,$B37,G$21)</f>
        <v>0</v>
      </c>
      <c r="H37" s="11">
        <f ca="1">_xll.DBRW($B$12,H$19,H$20,$C$17,$C$15,$C$14,$B37,H$21)</f>
        <v>0</v>
      </c>
      <c r="I37" s="11">
        <f ca="1">_xll.DBRW($B$12,I$19,I$20,$C$17,$C$15,$C$14,$B37,I$21)</f>
        <v>0</v>
      </c>
      <c r="J37" s="11">
        <f ca="1">_xll.DBRW($B$12,$C$16,J$20,$C$17,$C$15,$C$14,$B37,J$21)</f>
        <v>0</v>
      </c>
      <c r="K37" s="12">
        <f t="shared" ca="1" si="1"/>
        <v>0</v>
      </c>
      <c r="L37" s="13">
        <f ca="1">_xll.DBRW($B$12,L$19,L$20,$C$17,$C$15,$C$14,$B37,L$21)</f>
        <v>0</v>
      </c>
      <c r="M37" s="13">
        <f ca="1">_xll.DBRW($B$12,M$19,M$20,$C$17,$C$15,$C$14,$B37,M$21)</f>
        <v>0</v>
      </c>
      <c r="N37" s="13">
        <f ca="1">_xll.DBRW($B$12,N$19,N$20,$C$17,$C$15,$C$14,$B37,N$21)</f>
        <v>0</v>
      </c>
      <c r="O37" s="10">
        <f t="shared" ca="1" si="2"/>
        <v>0</v>
      </c>
      <c r="P37" s="11">
        <f ca="1">_xll.DBRW($B$12,P$19,P$20,$C$17,$C$15,$C$14,$B37,P$21)</f>
        <v>0</v>
      </c>
      <c r="Q37" s="11">
        <f ca="1">_xll.DBRW($B$12,Q$19,Q$20,$C$17,$C$15,$C$14,$B37,Q$21)</f>
        <v>0</v>
      </c>
      <c r="R37" s="11">
        <f ca="1">_xll.DBRW($B$12,R$19,R$20,$C$17,$C$15,$C$14,$B37,R$21)</f>
        <v>0</v>
      </c>
      <c r="S37" s="11">
        <f ca="1">_xll.DBRW($B$12,$C$16,S$20,$C$17,$C$15,$C$14,$B37,S$21)</f>
        <v>0</v>
      </c>
      <c r="T37" s="12">
        <f t="shared" ca="1" si="3"/>
        <v>0</v>
      </c>
      <c r="U37" s="3">
        <f ca="1">_xll.DBRW($B$12,U$19,U$20,$C$17,$C$15,$C$14,$B37,U$21)</f>
        <v>0</v>
      </c>
      <c r="V37" s="5">
        <f ca="1">_xll.DBRW($B$12,V$19,V$20,$C$17,$C$15,$C$14,$B37,V$21)</f>
        <v>0</v>
      </c>
      <c r="W37" s="3">
        <f ca="1">_xll.DBRW($B$12,W$19,W$20,$C$17,$C$15,$C$14,$B37,W$21)</f>
        <v>0</v>
      </c>
    </row>
    <row r="38" spans="1:23" ht="15.75" x14ac:dyDescent="0.25">
      <c r="A38">
        <f ca="1">IF(_xll.TM1RPTELISCONSOLIDATED($B$22,$B38),IF(_xll.TM1RPTELLEV($B$22,$B38)&lt;=3,_xll.TM1RPTELLEV($B$22,$B38),"D"),"N")</f>
        <v>1</v>
      </c>
      <c r="B38" s="54" t="s">
        <v>63</v>
      </c>
      <c r="C38" s="10">
        <f ca="1">_xll.DBRW($B$12,$C$16,C$20,$C$17,$C$15,$C$14,$B38,C$21)</f>
        <v>0</v>
      </c>
      <c r="D38" s="11">
        <f ca="1">_xll.DBRW($B$12,$C$16,D$20,$C$17,$C$15,$C$14,$B38,D$21)</f>
        <v>0</v>
      </c>
      <c r="E38" s="12">
        <f ca="1">_xll.DBRW($B$12,$C$16,E$20,$C$17,$C$15,$C$14,$B38,E$21)</f>
        <v>0</v>
      </c>
      <c r="F38" s="10">
        <f t="shared" ca="1" si="0"/>
        <v>0</v>
      </c>
      <c r="G38" s="11">
        <f ca="1">_xll.DBRW($B$12,G$19,G$20,$C$17,$C$15,$C$14,$B38,G$21)</f>
        <v>0</v>
      </c>
      <c r="H38" s="11">
        <f ca="1">_xll.DBRW($B$12,H$19,H$20,$C$17,$C$15,$C$14,$B38,H$21)</f>
        <v>0</v>
      </c>
      <c r="I38" s="11">
        <f ca="1">_xll.DBRW($B$12,I$19,I$20,$C$17,$C$15,$C$14,$B38,I$21)</f>
        <v>0</v>
      </c>
      <c r="J38" s="11">
        <f ca="1">_xll.DBRW($B$12,$C$16,J$20,$C$17,$C$15,$C$14,$B38,J$21)</f>
        <v>0</v>
      </c>
      <c r="K38" s="12">
        <f t="shared" ca="1" si="1"/>
        <v>0</v>
      </c>
      <c r="L38" s="13">
        <f ca="1">_xll.DBRW($B$12,L$19,L$20,$C$17,$C$15,$C$14,$B38,L$21)</f>
        <v>0</v>
      </c>
      <c r="M38" s="13">
        <f ca="1">_xll.DBRW($B$12,M$19,M$20,$C$17,$C$15,$C$14,$B38,M$21)</f>
        <v>0</v>
      </c>
      <c r="N38" s="13">
        <f ca="1">_xll.DBRW($B$12,N$19,N$20,$C$17,$C$15,$C$14,$B38,N$21)</f>
        <v>0</v>
      </c>
      <c r="O38" s="10">
        <f t="shared" ca="1" si="2"/>
        <v>0</v>
      </c>
      <c r="P38" s="11">
        <f ca="1">_xll.DBRW($B$12,P$19,P$20,$C$17,$C$15,$C$14,$B38,P$21)</f>
        <v>0</v>
      </c>
      <c r="Q38" s="11">
        <f ca="1">_xll.DBRW($B$12,Q$19,Q$20,$C$17,$C$15,$C$14,$B38,Q$21)</f>
        <v>0</v>
      </c>
      <c r="R38" s="11">
        <f ca="1">_xll.DBRW($B$12,R$19,R$20,$C$17,$C$15,$C$14,$B38,R$21)</f>
        <v>0</v>
      </c>
      <c r="S38" s="11">
        <f ca="1">_xll.DBRW($B$12,$C$16,S$20,$C$17,$C$15,$C$14,$B38,S$21)</f>
        <v>0</v>
      </c>
      <c r="T38" s="12">
        <f t="shared" ca="1" si="3"/>
        <v>0</v>
      </c>
      <c r="U38" s="3">
        <f ca="1">_xll.DBRW($B$12,U$19,U$20,$C$17,$C$15,$C$14,$B38,U$21)</f>
        <v>0</v>
      </c>
      <c r="V38" s="5">
        <f ca="1">_xll.DBRW($B$12,V$19,V$20,$C$17,$C$15,$C$14,$B38,V$21)</f>
        <v>0</v>
      </c>
      <c r="W38" s="3">
        <f ca="1">_xll.DBRW($B$12,W$19,W$20,$C$17,$C$15,$C$14,$B38,W$21)</f>
        <v>0</v>
      </c>
    </row>
    <row r="39" spans="1:23" ht="15.75" x14ac:dyDescent="0.25">
      <c r="A39">
        <f ca="1">IF(_xll.TM1RPTELISCONSOLIDATED($B$22,$B39),IF(_xll.TM1RPTELLEV($B$22,$B39)&lt;=3,_xll.TM1RPTELLEV($B$22,$B39),"D"),"N")</f>
        <v>1</v>
      </c>
      <c r="B39" s="54" t="s">
        <v>64</v>
      </c>
      <c r="C39" s="10">
        <f ca="1">_xll.DBRW($B$12,$C$16,C$20,$C$17,$C$15,$C$14,$B39,C$21)</f>
        <v>0</v>
      </c>
      <c r="D39" s="11">
        <f ca="1">_xll.DBRW($B$12,$C$16,D$20,$C$17,$C$15,$C$14,$B39,D$21)</f>
        <v>0</v>
      </c>
      <c r="E39" s="12">
        <f ca="1">_xll.DBRW($B$12,$C$16,E$20,$C$17,$C$15,$C$14,$B39,E$21)</f>
        <v>0</v>
      </c>
      <c r="F39" s="10">
        <f t="shared" ca="1" si="0"/>
        <v>0</v>
      </c>
      <c r="G39" s="11">
        <f ca="1">_xll.DBRW($B$12,G$19,G$20,$C$17,$C$15,$C$14,$B39,G$21)</f>
        <v>0</v>
      </c>
      <c r="H39" s="11">
        <f ca="1">_xll.DBRW($B$12,H$19,H$20,$C$17,$C$15,$C$14,$B39,H$21)</f>
        <v>0</v>
      </c>
      <c r="I39" s="11">
        <f ca="1">_xll.DBRW($B$12,I$19,I$20,$C$17,$C$15,$C$14,$B39,I$21)</f>
        <v>0</v>
      </c>
      <c r="J39" s="11">
        <f ca="1">_xll.DBRW($B$12,$C$16,J$20,$C$17,$C$15,$C$14,$B39,J$21)</f>
        <v>0</v>
      </c>
      <c r="K39" s="12">
        <f t="shared" ca="1" si="1"/>
        <v>0</v>
      </c>
      <c r="L39" s="13">
        <f ca="1">_xll.DBRW($B$12,L$19,L$20,$C$17,$C$15,$C$14,$B39,L$21)</f>
        <v>0</v>
      </c>
      <c r="M39" s="13">
        <f ca="1">_xll.DBRW($B$12,M$19,M$20,$C$17,$C$15,$C$14,$B39,M$21)</f>
        <v>0</v>
      </c>
      <c r="N39" s="13">
        <f ca="1">_xll.DBRW($B$12,N$19,N$20,$C$17,$C$15,$C$14,$B39,N$21)</f>
        <v>0</v>
      </c>
      <c r="O39" s="10">
        <f t="shared" ca="1" si="2"/>
        <v>0</v>
      </c>
      <c r="P39" s="11">
        <f ca="1">_xll.DBRW($B$12,P$19,P$20,$C$17,$C$15,$C$14,$B39,P$21)</f>
        <v>0</v>
      </c>
      <c r="Q39" s="11">
        <f ca="1">_xll.DBRW($B$12,Q$19,Q$20,$C$17,$C$15,$C$14,$B39,Q$21)</f>
        <v>0</v>
      </c>
      <c r="R39" s="11">
        <f ca="1">_xll.DBRW($B$12,R$19,R$20,$C$17,$C$15,$C$14,$B39,R$21)</f>
        <v>0</v>
      </c>
      <c r="S39" s="11">
        <f ca="1">_xll.DBRW($B$12,$C$16,S$20,$C$17,$C$15,$C$14,$B39,S$21)</f>
        <v>0</v>
      </c>
      <c r="T39" s="12">
        <f t="shared" ca="1" si="3"/>
        <v>0</v>
      </c>
      <c r="U39" s="3">
        <f ca="1">_xll.DBRW($B$12,U$19,U$20,$C$17,$C$15,$C$14,$B39,U$21)</f>
        <v>0</v>
      </c>
      <c r="V39" s="5">
        <f ca="1">_xll.DBRW($B$12,V$19,V$20,$C$17,$C$15,$C$14,$B39,V$21)</f>
        <v>0</v>
      </c>
      <c r="W39" s="3">
        <f ca="1">_xll.DBRW($B$12,W$19,W$20,$C$17,$C$15,$C$14,$B39,W$21)</f>
        <v>0</v>
      </c>
    </row>
    <row r="40" spans="1:23" ht="15.75" x14ac:dyDescent="0.25">
      <c r="A40">
        <f ca="1">IF(_xll.TM1RPTELISCONSOLIDATED($B$22,$B40),IF(_xll.TM1RPTELLEV($B$22,$B40)&lt;=3,_xll.TM1RPTELLEV($B$22,$B40),"D"),"N")</f>
        <v>1</v>
      </c>
      <c r="B40" s="54" t="s">
        <v>65</v>
      </c>
      <c r="C40" s="10">
        <f ca="1">_xll.DBRW($B$12,$C$16,C$20,$C$17,$C$15,$C$14,$B40,C$21)</f>
        <v>0</v>
      </c>
      <c r="D40" s="11">
        <f ca="1">_xll.DBRW($B$12,$C$16,D$20,$C$17,$C$15,$C$14,$B40,D$21)</f>
        <v>0</v>
      </c>
      <c r="E40" s="12">
        <f ca="1">_xll.DBRW($B$12,$C$16,E$20,$C$17,$C$15,$C$14,$B40,E$21)</f>
        <v>0</v>
      </c>
      <c r="F40" s="10">
        <f t="shared" ca="1" si="0"/>
        <v>0</v>
      </c>
      <c r="G40" s="11">
        <f ca="1">_xll.DBRW($B$12,G$19,G$20,$C$17,$C$15,$C$14,$B40,G$21)</f>
        <v>0</v>
      </c>
      <c r="H40" s="11">
        <f ca="1">_xll.DBRW($B$12,H$19,H$20,$C$17,$C$15,$C$14,$B40,H$21)</f>
        <v>0</v>
      </c>
      <c r="I40" s="11">
        <f ca="1">_xll.DBRW($B$12,I$19,I$20,$C$17,$C$15,$C$14,$B40,I$21)</f>
        <v>0</v>
      </c>
      <c r="J40" s="11">
        <f ca="1">_xll.DBRW($B$12,$C$16,J$20,$C$17,$C$15,$C$14,$B40,J$21)</f>
        <v>0</v>
      </c>
      <c r="K40" s="12">
        <f t="shared" ca="1" si="1"/>
        <v>0</v>
      </c>
      <c r="L40" s="13">
        <f ca="1">_xll.DBRW($B$12,L$19,L$20,$C$17,$C$15,$C$14,$B40,L$21)</f>
        <v>0</v>
      </c>
      <c r="M40" s="13">
        <f ca="1">_xll.DBRW($B$12,M$19,M$20,$C$17,$C$15,$C$14,$B40,M$21)</f>
        <v>0</v>
      </c>
      <c r="N40" s="13">
        <f ca="1">_xll.DBRW($B$12,N$19,N$20,$C$17,$C$15,$C$14,$B40,N$21)</f>
        <v>0</v>
      </c>
      <c r="O40" s="10">
        <f t="shared" ca="1" si="2"/>
        <v>0</v>
      </c>
      <c r="P40" s="11">
        <f ca="1">_xll.DBRW($B$12,P$19,P$20,$C$17,$C$15,$C$14,$B40,P$21)</f>
        <v>0</v>
      </c>
      <c r="Q40" s="11">
        <f ca="1">_xll.DBRW($B$12,Q$19,Q$20,$C$17,$C$15,$C$14,$B40,Q$21)</f>
        <v>0</v>
      </c>
      <c r="R40" s="11">
        <f ca="1">_xll.DBRW($B$12,R$19,R$20,$C$17,$C$15,$C$14,$B40,R$21)</f>
        <v>0</v>
      </c>
      <c r="S40" s="11">
        <f ca="1">_xll.DBRW($B$12,$C$16,S$20,$C$17,$C$15,$C$14,$B40,S$21)</f>
        <v>0</v>
      </c>
      <c r="T40" s="12">
        <f t="shared" ca="1" si="3"/>
        <v>0</v>
      </c>
      <c r="U40" s="3">
        <f ca="1">_xll.DBRW($B$12,U$19,U$20,$C$17,$C$15,$C$14,$B40,U$21)</f>
        <v>0</v>
      </c>
      <c r="V40" s="5">
        <f ca="1">_xll.DBRW($B$12,V$19,V$20,$C$17,$C$15,$C$14,$B40,V$21)</f>
        <v>0</v>
      </c>
      <c r="W40" s="3">
        <f ca="1">_xll.DBRW($B$12,W$19,W$20,$C$17,$C$15,$C$14,$B40,W$21)</f>
        <v>0</v>
      </c>
    </row>
    <row r="41" spans="1:23" ht="15.75" x14ac:dyDescent="0.25">
      <c r="A41">
        <f ca="1">IF(_xll.TM1RPTELISCONSOLIDATED($B$22,$B41),IF(_xll.TM1RPTELLEV($B$22,$B41)&lt;=3,_xll.TM1RPTELLEV($B$22,$B41),"D"),"N")</f>
        <v>1</v>
      </c>
      <c r="B41" s="54" t="s">
        <v>66</v>
      </c>
      <c r="C41" s="10">
        <f ca="1">_xll.DBRW($B$12,$C$16,C$20,$C$17,$C$15,$C$14,$B41,C$21)</f>
        <v>0</v>
      </c>
      <c r="D41" s="11">
        <f ca="1">_xll.DBRW($B$12,$C$16,D$20,$C$17,$C$15,$C$14,$B41,D$21)</f>
        <v>0</v>
      </c>
      <c r="E41" s="12">
        <f ca="1">_xll.DBRW($B$12,$C$16,E$20,$C$17,$C$15,$C$14,$B41,E$21)</f>
        <v>0</v>
      </c>
      <c r="F41" s="10">
        <f t="shared" ca="1" si="0"/>
        <v>0</v>
      </c>
      <c r="G41" s="11">
        <f ca="1">_xll.DBRW($B$12,G$19,G$20,$C$17,$C$15,$C$14,$B41,G$21)</f>
        <v>0</v>
      </c>
      <c r="H41" s="11">
        <f ca="1">_xll.DBRW($B$12,H$19,H$20,$C$17,$C$15,$C$14,$B41,H$21)</f>
        <v>0</v>
      </c>
      <c r="I41" s="11">
        <f ca="1">_xll.DBRW($B$12,I$19,I$20,$C$17,$C$15,$C$14,$B41,I$21)</f>
        <v>0</v>
      </c>
      <c r="J41" s="11">
        <f ca="1">_xll.DBRW($B$12,$C$16,J$20,$C$17,$C$15,$C$14,$B41,J$21)</f>
        <v>0</v>
      </c>
      <c r="K41" s="12">
        <f t="shared" ca="1" si="1"/>
        <v>0</v>
      </c>
      <c r="L41" s="13">
        <f ca="1">_xll.DBRW($B$12,L$19,L$20,$C$17,$C$15,$C$14,$B41,L$21)</f>
        <v>0</v>
      </c>
      <c r="M41" s="13">
        <f ca="1">_xll.DBRW($B$12,M$19,M$20,$C$17,$C$15,$C$14,$B41,M$21)</f>
        <v>0</v>
      </c>
      <c r="N41" s="13">
        <f ca="1">_xll.DBRW($B$12,N$19,N$20,$C$17,$C$15,$C$14,$B41,N$21)</f>
        <v>0</v>
      </c>
      <c r="O41" s="10">
        <f t="shared" ca="1" si="2"/>
        <v>0</v>
      </c>
      <c r="P41" s="11">
        <f ca="1">_xll.DBRW($B$12,P$19,P$20,$C$17,$C$15,$C$14,$B41,P$21)</f>
        <v>0</v>
      </c>
      <c r="Q41" s="11">
        <f ca="1">_xll.DBRW($B$12,Q$19,Q$20,$C$17,$C$15,$C$14,$B41,Q$21)</f>
        <v>0</v>
      </c>
      <c r="R41" s="11">
        <f ca="1">_xll.DBRW($B$12,R$19,R$20,$C$17,$C$15,$C$14,$B41,R$21)</f>
        <v>0</v>
      </c>
      <c r="S41" s="11">
        <f ca="1">_xll.DBRW($B$12,$C$16,S$20,$C$17,$C$15,$C$14,$B41,S$21)</f>
        <v>0</v>
      </c>
      <c r="T41" s="12">
        <f t="shared" ca="1" si="3"/>
        <v>0</v>
      </c>
      <c r="U41" s="3">
        <f ca="1">_xll.DBRW($B$12,U$19,U$20,$C$17,$C$15,$C$14,$B41,U$21)</f>
        <v>0</v>
      </c>
      <c r="V41" s="5">
        <f ca="1">_xll.DBRW($B$12,V$19,V$20,$C$17,$C$15,$C$14,$B41,V$21)</f>
        <v>0</v>
      </c>
      <c r="W41" s="3">
        <f ca="1">_xll.DBRW($B$12,W$19,W$20,$C$17,$C$15,$C$14,$B41,W$21)</f>
        <v>0</v>
      </c>
    </row>
    <row r="42" spans="1:23" ht="15.75" x14ac:dyDescent="0.25">
      <c r="A42">
        <f ca="1">IF(_xll.TM1RPTELISCONSOLIDATED($B$22,$B42),IF(_xll.TM1RPTELLEV($B$22,$B42)&lt;=3,_xll.TM1RPTELLEV($B$22,$B42),"D"),"N")</f>
        <v>1</v>
      </c>
      <c r="B42" s="54" t="s">
        <v>67</v>
      </c>
      <c r="C42" s="10">
        <f ca="1">_xll.DBRW($B$12,$C$16,C$20,$C$17,$C$15,$C$14,$B42,C$21)</f>
        <v>0</v>
      </c>
      <c r="D42" s="11">
        <f ca="1">_xll.DBRW($B$12,$C$16,D$20,$C$17,$C$15,$C$14,$B42,D$21)</f>
        <v>0</v>
      </c>
      <c r="E42" s="12">
        <f ca="1">_xll.DBRW($B$12,$C$16,E$20,$C$17,$C$15,$C$14,$B42,E$21)</f>
        <v>0</v>
      </c>
      <c r="F42" s="10">
        <f t="shared" ca="1" si="0"/>
        <v>0</v>
      </c>
      <c r="G42" s="11">
        <f ca="1">_xll.DBRW($B$12,G$19,G$20,$C$17,$C$15,$C$14,$B42,G$21)</f>
        <v>0</v>
      </c>
      <c r="H42" s="11">
        <f ca="1">_xll.DBRW($B$12,H$19,H$20,$C$17,$C$15,$C$14,$B42,H$21)</f>
        <v>0</v>
      </c>
      <c r="I42" s="11">
        <f ca="1">_xll.DBRW($B$12,I$19,I$20,$C$17,$C$15,$C$14,$B42,I$21)</f>
        <v>0</v>
      </c>
      <c r="J42" s="11">
        <f ca="1">_xll.DBRW($B$12,$C$16,J$20,$C$17,$C$15,$C$14,$B42,J$21)</f>
        <v>0</v>
      </c>
      <c r="K42" s="12">
        <f t="shared" ca="1" si="1"/>
        <v>0</v>
      </c>
      <c r="L42" s="13">
        <f ca="1">_xll.DBRW($B$12,L$19,L$20,$C$17,$C$15,$C$14,$B42,L$21)</f>
        <v>0</v>
      </c>
      <c r="M42" s="13">
        <f ca="1">_xll.DBRW($B$12,M$19,M$20,$C$17,$C$15,$C$14,$B42,M$21)</f>
        <v>0</v>
      </c>
      <c r="N42" s="13">
        <f ca="1">_xll.DBRW($B$12,N$19,N$20,$C$17,$C$15,$C$14,$B42,N$21)</f>
        <v>0</v>
      </c>
      <c r="O42" s="10">
        <f t="shared" ca="1" si="2"/>
        <v>0</v>
      </c>
      <c r="P42" s="11">
        <f ca="1">_xll.DBRW($B$12,P$19,P$20,$C$17,$C$15,$C$14,$B42,P$21)</f>
        <v>0</v>
      </c>
      <c r="Q42" s="11">
        <f ca="1">_xll.DBRW($B$12,Q$19,Q$20,$C$17,$C$15,$C$14,$B42,Q$21)</f>
        <v>0</v>
      </c>
      <c r="R42" s="11">
        <f ca="1">_xll.DBRW($B$12,R$19,R$20,$C$17,$C$15,$C$14,$B42,R$21)</f>
        <v>0</v>
      </c>
      <c r="S42" s="11">
        <f ca="1">_xll.DBRW($B$12,$C$16,S$20,$C$17,$C$15,$C$14,$B42,S$21)</f>
        <v>0</v>
      </c>
      <c r="T42" s="12">
        <f t="shared" ca="1" si="3"/>
        <v>0</v>
      </c>
      <c r="U42" s="3">
        <f ca="1">_xll.DBRW($B$12,U$19,U$20,$C$17,$C$15,$C$14,$B42,U$21)</f>
        <v>0</v>
      </c>
      <c r="V42" s="5">
        <f ca="1">_xll.DBRW($B$12,V$19,V$20,$C$17,$C$15,$C$14,$B42,V$21)</f>
        <v>0</v>
      </c>
      <c r="W42" s="3">
        <f ca="1">_xll.DBRW($B$12,W$19,W$20,$C$17,$C$15,$C$14,$B42,W$21)</f>
        <v>0</v>
      </c>
    </row>
    <row r="43" spans="1:23" ht="15.75" x14ac:dyDescent="0.25">
      <c r="A43">
        <f ca="1">IF(_xll.TM1RPTELISCONSOLIDATED($B$22,$B43),IF(_xll.TM1RPTELLEV($B$22,$B43)&lt;=3,_xll.TM1RPTELLEV($B$22,$B43),"D"),"N")</f>
        <v>1</v>
      </c>
      <c r="B43" s="54" t="s">
        <v>68</v>
      </c>
      <c r="C43" s="10">
        <f ca="1">_xll.DBRW($B$12,$C$16,C$20,$C$17,$C$15,$C$14,$B43,C$21)</f>
        <v>0</v>
      </c>
      <c r="D43" s="11">
        <f ca="1">_xll.DBRW($B$12,$C$16,D$20,$C$17,$C$15,$C$14,$B43,D$21)</f>
        <v>0</v>
      </c>
      <c r="E43" s="12">
        <f ca="1">_xll.DBRW($B$12,$C$16,E$20,$C$17,$C$15,$C$14,$B43,E$21)</f>
        <v>0</v>
      </c>
      <c r="F43" s="10">
        <f t="shared" ca="1" si="0"/>
        <v>0</v>
      </c>
      <c r="G43" s="11">
        <f ca="1">_xll.DBRW($B$12,G$19,G$20,$C$17,$C$15,$C$14,$B43,G$21)</f>
        <v>0</v>
      </c>
      <c r="H43" s="11">
        <f ca="1">_xll.DBRW($B$12,H$19,H$20,$C$17,$C$15,$C$14,$B43,H$21)</f>
        <v>0</v>
      </c>
      <c r="I43" s="11">
        <f ca="1">_xll.DBRW($B$12,I$19,I$20,$C$17,$C$15,$C$14,$B43,I$21)</f>
        <v>0</v>
      </c>
      <c r="J43" s="11">
        <f ca="1">_xll.DBRW($B$12,$C$16,J$20,$C$17,$C$15,$C$14,$B43,J$21)</f>
        <v>0</v>
      </c>
      <c r="K43" s="12">
        <f t="shared" ca="1" si="1"/>
        <v>0</v>
      </c>
      <c r="L43" s="13">
        <f ca="1">_xll.DBRW($B$12,L$19,L$20,$C$17,$C$15,$C$14,$B43,L$21)</f>
        <v>0</v>
      </c>
      <c r="M43" s="13">
        <f ca="1">_xll.DBRW($B$12,M$19,M$20,$C$17,$C$15,$C$14,$B43,M$21)</f>
        <v>0</v>
      </c>
      <c r="N43" s="13">
        <f ca="1">_xll.DBRW($B$12,N$19,N$20,$C$17,$C$15,$C$14,$B43,N$21)</f>
        <v>0</v>
      </c>
      <c r="O43" s="10">
        <f t="shared" ca="1" si="2"/>
        <v>0</v>
      </c>
      <c r="P43" s="11">
        <f ca="1">_xll.DBRW($B$12,P$19,P$20,$C$17,$C$15,$C$14,$B43,P$21)</f>
        <v>0</v>
      </c>
      <c r="Q43" s="11">
        <f ca="1">_xll.DBRW($B$12,Q$19,Q$20,$C$17,$C$15,$C$14,$B43,Q$21)</f>
        <v>0</v>
      </c>
      <c r="R43" s="11">
        <f ca="1">_xll.DBRW($B$12,R$19,R$20,$C$17,$C$15,$C$14,$B43,R$21)</f>
        <v>0</v>
      </c>
      <c r="S43" s="11">
        <f ca="1">_xll.DBRW($B$12,$C$16,S$20,$C$17,$C$15,$C$14,$B43,S$21)</f>
        <v>0</v>
      </c>
      <c r="T43" s="12">
        <f t="shared" ca="1" si="3"/>
        <v>0</v>
      </c>
      <c r="U43" s="3">
        <f ca="1">_xll.DBRW($B$12,U$19,U$20,$C$17,$C$15,$C$14,$B43,U$21)</f>
        <v>0</v>
      </c>
      <c r="V43" s="5">
        <f ca="1">_xll.DBRW($B$12,V$19,V$20,$C$17,$C$15,$C$14,$B43,V$21)</f>
        <v>0</v>
      </c>
      <c r="W43" s="3">
        <f ca="1">_xll.DBRW($B$12,W$19,W$20,$C$17,$C$15,$C$14,$B43,W$21)</f>
        <v>0</v>
      </c>
    </row>
    <row r="44" spans="1:23" ht="15.75" x14ac:dyDescent="0.25">
      <c r="A44">
        <f ca="1">IF(_xll.TM1RPTELISCONSOLIDATED($B$22,$B44),IF(_xll.TM1RPTELLEV($B$22,$B44)&lt;=3,_xll.TM1RPTELLEV($B$22,$B44),"D"),"N")</f>
        <v>1</v>
      </c>
      <c r="B44" s="54" t="s">
        <v>69</v>
      </c>
      <c r="C44" s="10">
        <f ca="1">_xll.DBRW($B$12,$C$16,C$20,$C$17,$C$15,$C$14,$B44,C$21)</f>
        <v>0</v>
      </c>
      <c r="D44" s="11">
        <f ca="1">_xll.DBRW($B$12,$C$16,D$20,$C$17,$C$15,$C$14,$B44,D$21)</f>
        <v>0</v>
      </c>
      <c r="E44" s="12">
        <f ca="1">_xll.DBRW($B$12,$C$16,E$20,$C$17,$C$15,$C$14,$B44,E$21)</f>
        <v>0</v>
      </c>
      <c r="F44" s="10">
        <f t="shared" ca="1" si="0"/>
        <v>0</v>
      </c>
      <c r="G44" s="11">
        <f ca="1">_xll.DBRW($B$12,G$19,G$20,$C$17,$C$15,$C$14,$B44,G$21)</f>
        <v>0</v>
      </c>
      <c r="H44" s="11">
        <f ca="1">_xll.DBRW($B$12,H$19,H$20,$C$17,$C$15,$C$14,$B44,H$21)</f>
        <v>0</v>
      </c>
      <c r="I44" s="11">
        <f ca="1">_xll.DBRW($B$12,I$19,I$20,$C$17,$C$15,$C$14,$B44,I$21)</f>
        <v>0</v>
      </c>
      <c r="J44" s="11">
        <f ca="1">_xll.DBRW($B$12,$C$16,J$20,$C$17,$C$15,$C$14,$B44,J$21)</f>
        <v>0</v>
      </c>
      <c r="K44" s="12">
        <f t="shared" ca="1" si="1"/>
        <v>0</v>
      </c>
      <c r="L44" s="13">
        <f ca="1">_xll.DBRW($B$12,L$19,L$20,$C$17,$C$15,$C$14,$B44,L$21)</f>
        <v>0</v>
      </c>
      <c r="M44" s="13">
        <f ca="1">_xll.DBRW($B$12,M$19,M$20,$C$17,$C$15,$C$14,$B44,M$21)</f>
        <v>0</v>
      </c>
      <c r="N44" s="13">
        <f ca="1">_xll.DBRW($B$12,N$19,N$20,$C$17,$C$15,$C$14,$B44,N$21)</f>
        <v>0</v>
      </c>
      <c r="O44" s="10">
        <f t="shared" ca="1" si="2"/>
        <v>0</v>
      </c>
      <c r="P44" s="11">
        <f ca="1">_xll.DBRW($B$12,P$19,P$20,$C$17,$C$15,$C$14,$B44,P$21)</f>
        <v>0</v>
      </c>
      <c r="Q44" s="11">
        <f ca="1">_xll.DBRW($B$12,Q$19,Q$20,$C$17,$C$15,$C$14,$B44,Q$21)</f>
        <v>0</v>
      </c>
      <c r="R44" s="11">
        <f ca="1">_xll.DBRW($B$12,R$19,R$20,$C$17,$C$15,$C$14,$B44,R$21)</f>
        <v>0</v>
      </c>
      <c r="S44" s="11">
        <f ca="1">_xll.DBRW($B$12,$C$16,S$20,$C$17,$C$15,$C$14,$B44,S$21)</f>
        <v>0</v>
      </c>
      <c r="T44" s="12">
        <f t="shared" ca="1" si="3"/>
        <v>0</v>
      </c>
      <c r="U44" s="3">
        <f ca="1">_xll.DBRW($B$12,U$19,U$20,$C$17,$C$15,$C$14,$B44,U$21)</f>
        <v>0</v>
      </c>
      <c r="V44" s="5">
        <f ca="1">_xll.DBRW($B$12,V$19,V$20,$C$17,$C$15,$C$14,$B44,V$21)</f>
        <v>0</v>
      </c>
      <c r="W44" s="3">
        <f ca="1">_xll.DBRW($B$12,W$19,W$20,$C$17,$C$15,$C$14,$B44,W$21)</f>
        <v>0</v>
      </c>
    </row>
    <row r="45" spans="1:23" hidden="1" x14ac:dyDescent="0.25"/>
    <row r="46" spans="1:23" hidden="1" x14ac:dyDescent="0.25"/>
    <row r="47" spans="1:23" hidden="1" x14ac:dyDescent="0.25"/>
    <row r="48" spans="1:23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</sheetData>
  <mergeCells count="1">
    <mergeCell ref="O14:T16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11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:B51"/>
  <sheetViews>
    <sheetView workbookViewId="0"/>
  </sheetViews>
  <sheetFormatPr defaultColWidth="11.42578125" defaultRowHeight="15" x14ac:dyDescent="0.25"/>
  <sheetData>
    <row r="23" spans="2:2" x14ac:dyDescent="0.25">
      <c r="B23" t="s">
        <v>11</v>
      </c>
    </row>
    <row r="24" spans="2:2" x14ac:dyDescent="0.25">
      <c r="B24" t="s">
        <v>12</v>
      </c>
    </row>
    <row r="25" spans="2:2" x14ac:dyDescent="0.25">
      <c r="B25" t="s">
        <v>13</v>
      </c>
    </row>
    <row r="26" spans="2:2" x14ac:dyDescent="0.25">
      <c r="B26" t="s">
        <v>14</v>
      </c>
    </row>
    <row r="27" spans="2:2" x14ac:dyDescent="0.25">
      <c r="B27" t="s">
        <v>15</v>
      </c>
    </row>
    <row r="28" spans="2:2" x14ac:dyDescent="0.25">
      <c r="B28" t="s">
        <v>16</v>
      </c>
    </row>
    <row r="29" spans="2:2" x14ac:dyDescent="0.25">
      <c r="B29" t="s">
        <v>17</v>
      </c>
    </row>
    <row r="30" spans="2:2" x14ac:dyDescent="0.25">
      <c r="B30" t="s">
        <v>18</v>
      </c>
    </row>
    <row r="31" spans="2:2" x14ac:dyDescent="0.25">
      <c r="B31" t="s">
        <v>19</v>
      </c>
    </row>
    <row r="32" spans="2:2" x14ac:dyDescent="0.25">
      <c r="B32" t="s">
        <v>20</v>
      </c>
    </row>
    <row r="33" spans="2:2" x14ac:dyDescent="0.25">
      <c r="B33" t="s">
        <v>21</v>
      </c>
    </row>
    <row r="34" spans="2:2" x14ac:dyDescent="0.25">
      <c r="B34" t="s">
        <v>22</v>
      </c>
    </row>
    <row r="35" spans="2:2" x14ac:dyDescent="0.25">
      <c r="B35" t="s">
        <v>23</v>
      </c>
    </row>
    <row r="36" spans="2:2" x14ac:dyDescent="0.25">
      <c r="B36" t="s">
        <v>24</v>
      </c>
    </row>
    <row r="37" spans="2:2" x14ac:dyDescent="0.25">
      <c r="B37" t="s">
        <v>25</v>
      </c>
    </row>
    <row r="38" spans="2:2" x14ac:dyDescent="0.25">
      <c r="B38" t="s">
        <v>26</v>
      </c>
    </row>
    <row r="39" spans="2:2" x14ac:dyDescent="0.25">
      <c r="B39" t="s">
        <v>27</v>
      </c>
    </row>
    <row r="40" spans="2:2" x14ac:dyDescent="0.25">
      <c r="B40" t="s">
        <v>28</v>
      </c>
    </row>
    <row r="41" spans="2:2" x14ac:dyDescent="0.25">
      <c r="B41" t="s">
        <v>29</v>
      </c>
    </row>
    <row r="42" spans="2:2" x14ac:dyDescent="0.25">
      <c r="B42" t="s">
        <v>30</v>
      </c>
    </row>
    <row r="43" spans="2:2" x14ac:dyDescent="0.25">
      <c r="B43" t="s">
        <v>31</v>
      </c>
    </row>
    <row r="44" spans="2:2" x14ac:dyDescent="0.25">
      <c r="B44" t="s">
        <v>32</v>
      </c>
    </row>
    <row r="45" spans="2:2" x14ac:dyDescent="0.25">
      <c r="B45" t="s">
        <v>33</v>
      </c>
    </row>
    <row r="46" spans="2:2" x14ac:dyDescent="0.25">
      <c r="B46" t="s">
        <v>34</v>
      </c>
    </row>
    <row r="47" spans="2:2" x14ac:dyDescent="0.25">
      <c r="B47" t="s">
        <v>35</v>
      </c>
    </row>
    <row r="48" spans="2:2" x14ac:dyDescent="0.25">
      <c r="B48" t="s">
        <v>36</v>
      </c>
    </row>
    <row r="49" spans="2:2" x14ac:dyDescent="0.25">
      <c r="B49" t="s">
        <v>37</v>
      </c>
    </row>
    <row r="50" spans="2:2" x14ac:dyDescent="0.25">
      <c r="B50" t="s">
        <v>38</v>
      </c>
    </row>
    <row r="51" spans="2:2" x14ac:dyDescent="0.25">
      <c r="B5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Feuil1</vt:lpstr>
      <vt:lpstr>{AR}01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2017-11-03T07:48:37Z</dcterms:created>
  <dcterms:modified xsi:type="dcterms:W3CDTF">2022-01-27T13:52:09Z</dcterms:modified>
</cp:coreProperties>
</file>