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v191\AppData\Local\Temp\30\"/>
    </mc:Choice>
  </mc:AlternateContent>
  <bookViews>
    <workbookView xWindow="0" yWindow="0" windowWidth="19200" windowHeight="8430"/>
  </bookViews>
  <sheets>
    <sheet name="Feuil1" sheetId="1" r:id="rId1"/>
    <sheet name="{AR}01" sheetId="2" state="hidden" r:id="rId2"/>
    <sheet name="{AR}11" sheetId="3" state="hidden" r:id="rId3"/>
  </sheets>
  <definedNames>
    <definedName name="TM1REBUILDOPTION">1</definedName>
    <definedName name="TM1RPTDATARNGARPT1" localSheetId="0">Feuil1!$23:$23</definedName>
    <definedName name="TM1RPTFMTIDCOL" localSheetId="0">Feuil1!$A$1:$A$8</definedName>
    <definedName name="TM1RPTFMTRNG" localSheetId="0">Feuil1!$B$1:$I$8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C23" i="1"/>
  <c r="C17" i="1"/>
  <c r="C16" i="1"/>
  <c r="C18" i="1"/>
  <c r="B23" i="1"/>
  <c r="K23" i="1"/>
  <c r="I23" i="1"/>
  <c r="G23" i="1"/>
  <c r="E23" i="1"/>
  <c r="F23" i="1"/>
  <c r="H23" i="1"/>
  <c r="J23" i="1"/>
  <c r="D23" i="1"/>
  <c r="A23" i="1"/>
  <c r="A5" i="1"/>
  <c r="A4" i="1"/>
  <c r="A3" i="1"/>
  <c r="A2" i="1"/>
</calcChain>
</file>

<file path=xl/sharedStrings.xml><?xml version="1.0" encoding="utf-8"?>
<sst xmlns="http://schemas.openxmlformats.org/spreadsheetml/2006/main" count="22" uniqueCount="16">
  <si>
    <t>Origin_Company</t>
  </si>
  <si>
    <t>Month</t>
  </si>
  <si>
    <t>Allocation</t>
  </si>
  <si>
    <t>AC2016</t>
  </si>
  <si>
    <t>AC2017</t>
  </si>
  <si>
    <t>QTY</t>
  </si>
  <si>
    <t>SALES</t>
  </si>
  <si>
    <t>Others</t>
  </si>
  <si>
    <t>TOTAL PRODUCT</t>
  </si>
  <si>
    <t>D</t>
  </si>
  <si>
    <t>N</t>
  </si>
  <si>
    <t>[Begin Format Range]</t>
  </si>
  <si>
    <t>[End Format Range]</t>
  </si>
  <si>
    <t>DEALERS INVOICED SALES -  list of total dealers</t>
  </si>
  <si>
    <t>AC2018</t>
  </si>
  <si>
    <t>AC2019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</si>
</sst>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+ &quot;@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6" tint="0.3999450666829432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2" fillId="2" borderId="1" xfId="0" applyFont="1" applyFill="1" applyBorder="1"/>
    <xf numFmtId="0" fontId="0" fillId="2" borderId="1" xfId="0" applyFill="1" applyBorder="1"/>
    <xf numFmtId="0" fontId="0" fillId="3" borderId="0" xfId="0" applyFill="1"/>
    <xf numFmtId="164" fontId="0" fillId="2" borderId="0" xfId="0" applyNumberFormat="1" applyFill="1" applyAlignment="1"/>
    <xf numFmtId="0" fontId="0" fillId="4" borderId="0" xfId="0" applyFill="1"/>
    <xf numFmtId="0" fontId="0" fillId="5" borderId="0" xfId="0" applyFill="1"/>
    <xf numFmtId="0" fontId="0" fillId="7" borderId="0" xfId="0" applyFill="1"/>
    <xf numFmtId="0" fontId="0" fillId="8" borderId="0" xfId="0" applyFill="1"/>
    <xf numFmtId="3" fontId="4" fillId="2" borderId="2" xfId="0" applyNumberFormat="1" applyFont="1" applyFill="1" applyBorder="1"/>
    <xf numFmtId="3" fontId="4" fillId="2" borderId="3" xfId="0" applyNumberFormat="1" applyFont="1" applyFill="1" applyBorder="1"/>
    <xf numFmtId="3" fontId="4" fillId="3" borderId="2" xfId="0" applyNumberFormat="1" applyFont="1" applyFill="1" applyBorder="1"/>
    <xf numFmtId="3" fontId="4" fillId="3" borderId="3" xfId="0" applyNumberFormat="1" applyFont="1" applyFill="1" applyBorder="1"/>
    <xf numFmtId="3" fontId="4" fillId="4" borderId="2" xfId="0" applyNumberFormat="1" applyFont="1" applyFill="1" applyBorder="1"/>
    <xf numFmtId="3" fontId="4" fillId="4" borderId="3" xfId="0" applyNumberFormat="1" applyFont="1" applyFill="1" applyBorder="1"/>
    <xf numFmtId="3" fontId="4" fillId="5" borderId="2" xfId="0" applyNumberFormat="1" applyFont="1" applyFill="1" applyBorder="1"/>
    <xf numFmtId="3" fontId="4" fillId="5" borderId="3" xfId="0" applyNumberFormat="1" applyFont="1" applyFill="1" applyBorder="1"/>
    <xf numFmtId="3" fontId="4" fillId="8" borderId="2" xfId="0" applyNumberFormat="1" applyFont="1" applyFill="1" applyBorder="1"/>
    <xf numFmtId="3" fontId="4" fillId="8" borderId="3" xfId="0" applyNumberFormat="1" applyFont="1" applyFill="1" applyBorder="1"/>
    <xf numFmtId="3" fontId="4" fillId="7" borderId="4" xfId="0" applyNumberFormat="1" applyFont="1" applyFill="1" applyBorder="1"/>
    <xf numFmtId="3" fontId="4" fillId="7" borderId="5" xfId="0" applyNumberFormat="1" applyFont="1" applyFill="1" applyBorder="1"/>
    <xf numFmtId="0" fontId="0" fillId="9" borderId="0" xfId="0" applyFill="1"/>
    <xf numFmtId="0" fontId="2" fillId="9" borderId="0" xfId="0" applyFont="1" applyFill="1"/>
    <xf numFmtId="0" fontId="0" fillId="10" borderId="0" xfId="0" applyFill="1"/>
    <xf numFmtId="0" fontId="1" fillId="9" borderId="0" xfId="0" applyFont="1" applyFill="1"/>
    <xf numFmtId="0" fontId="5" fillId="9" borderId="0" xfId="0" applyFont="1" applyFill="1"/>
    <xf numFmtId="0" fontId="3" fillId="6" borderId="8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164" fontId="2" fillId="2" borderId="1" xfId="0" applyNumberFormat="1" applyFont="1" applyFill="1" applyBorder="1" applyAlignment="1"/>
    <xf numFmtId="0" fontId="0" fillId="11" borderId="0" xfId="0" applyFill="1"/>
    <xf numFmtId="0" fontId="3" fillId="6" borderId="6" xfId="0" applyFont="1" applyFill="1" applyBorder="1" applyAlignment="1">
      <alignment horizontal="center" wrapText="1"/>
    </xf>
    <xf numFmtId="0" fontId="3" fillId="6" borderId="7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8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1021080</xdr:colOff>
      <xdr:row>12</xdr:row>
      <xdr:rowOff>177641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72628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15</xdr:row>
          <xdr:rowOff>0</xdr:rowOff>
        </xdr:from>
        <xdr:to>
          <xdr:col>6</xdr:col>
          <xdr:colOff>600075</xdr:colOff>
          <xdr:row>19</xdr:row>
          <xdr:rowOff>9525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XFC28"/>
  <sheetViews>
    <sheetView showGridLines="0" tabSelected="1" topLeftCell="B10" workbookViewId="0">
      <selection activeCell="C16" sqref="C16"/>
    </sheetView>
  </sheetViews>
  <sheetFormatPr defaultColWidth="0" defaultRowHeight="15" zeroHeight="1" x14ac:dyDescent="0.25"/>
  <cols>
    <col min="1" max="1" width="18.7109375" hidden="1" customWidth="1"/>
    <col min="2" max="3" width="43.7109375" customWidth="1"/>
    <col min="4" max="4" width="10.85546875" customWidth="1"/>
    <col min="5" max="5" width="16.140625" customWidth="1"/>
    <col min="6" max="6" width="10.85546875" customWidth="1"/>
    <col min="7" max="7" width="16.140625" customWidth="1"/>
    <col min="8" max="8" width="10.85546875" customWidth="1"/>
    <col min="9" max="9" width="16.140625" customWidth="1"/>
    <col min="10" max="10" width="10.7109375" customWidth="1"/>
    <col min="11" max="11" width="16.140625" customWidth="1"/>
    <col min="12" max="12" width="0.7109375" customWidth="1"/>
    <col min="13" max="16383" width="11.5703125" hidden="1"/>
    <col min="16384" max="16384" width="2" hidden="1"/>
  </cols>
  <sheetData>
    <row r="1" spans="1:11" s="24" customFormat="1" hidden="1" x14ac:dyDescent="0.25">
      <c r="A1" s="24" t="s">
        <v>11</v>
      </c>
    </row>
    <row r="2" spans="1:11" hidden="1" x14ac:dyDescent="0.25">
      <c r="A2">
        <f>0</f>
        <v>0</v>
      </c>
      <c r="B2" s="2"/>
      <c r="C2" s="1"/>
      <c r="D2" s="10"/>
      <c r="E2" s="11"/>
      <c r="F2" s="10"/>
      <c r="G2" s="11"/>
      <c r="H2" s="10"/>
      <c r="I2" s="11"/>
      <c r="J2" s="10"/>
      <c r="K2" s="11"/>
    </row>
    <row r="3" spans="1:11" hidden="1" x14ac:dyDescent="0.25">
      <c r="A3">
        <f>1</f>
        <v>1</v>
      </c>
      <c r="B3" s="3"/>
      <c r="C3" s="4"/>
      <c r="D3" s="12"/>
      <c r="E3" s="13"/>
      <c r="F3" s="12"/>
      <c r="G3" s="13"/>
      <c r="H3" s="12"/>
      <c r="I3" s="13"/>
      <c r="J3" s="12"/>
      <c r="K3" s="13"/>
    </row>
    <row r="4" spans="1:11" hidden="1" x14ac:dyDescent="0.25">
      <c r="A4">
        <f>2</f>
        <v>2</v>
      </c>
      <c r="B4" s="3"/>
      <c r="C4" s="6"/>
      <c r="D4" s="14"/>
      <c r="E4" s="15"/>
      <c r="F4" s="14"/>
      <c r="G4" s="15"/>
      <c r="H4" s="14"/>
      <c r="I4" s="15"/>
      <c r="J4" s="14"/>
      <c r="K4" s="15"/>
    </row>
    <row r="5" spans="1:11" hidden="1" x14ac:dyDescent="0.25">
      <c r="A5">
        <f>3</f>
        <v>3</v>
      </c>
      <c r="B5" s="3"/>
      <c r="C5" s="7"/>
      <c r="D5" s="16"/>
      <c r="E5" s="17"/>
      <c r="F5" s="16"/>
      <c r="G5" s="17"/>
      <c r="H5" s="16"/>
      <c r="I5" s="17"/>
      <c r="J5" s="16"/>
      <c r="K5" s="17"/>
    </row>
    <row r="6" spans="1:11" hidden="1" x14ac:dyDescent="0.25">
      <c r="A6" t="s">
        <v>9</v>
      </c>
      <c r="B6" s="3"/>
      <c r="C6" s="9"/>
      <c r="D6" s="18"/>
      <c r="E6" s="19"/>
      <c r="F6" s="18"/>
      <c r="G6" s="19"/>
      <c r="H6" s="18"/>
      <c r="I6" s="19"/>
      <c r="J6" s="18"/>
      <c r="K6" s="19"/>
    </row>
    <row r="7" spans="1:11" ht="15.75" hidden="1" thickBot="1" x14ac:dyDescent="0.3">
      <c r="A7" t="s">
        <v>10</v>
      </c>
      <c r="B7" s="3"/>
      <c r="C7" s="8"/>
      <c r="D7" s="20"/>
      <c r="E7" s="21"/>
      <c r="F7" s="20"/>
      <c r="G7" s="21"/>
      <c r="H7" s="20"/>
      <c r="I7" s="21"/>
      <c r="J7" s="20"/>
      <c r="K7" s="21"/>
    </row>
    <row r="8" spans="1:11" s="24" customFormat="1" ht="15.75" hidden="1" thickTop="1" x14ac:dyDescent="0.25">
      <c r="A8" s="24" t="s">
        <v>12</v>
      </c>
    </row>
    <row r="9" spans="1:11" s="24" customFormat="1" hidden="1" x14ac:dyDescent="0.25">
      <c r="B9" s="24" t="str">
        <f ca="1">_xll.TM1RPTVIEW("CXMD:FTM_DATA_MARGIN:ARPT1", 1, _xll.TM1RPTTITLE("CXMD:Month",$C$17), _xll.TM1RPTTITLE("CXMD:DIM_Origin_Company",$C$16),_xll.TM1RPTTITLE("CXMD:DIM_Allocation",$C$18),TM1RPTFMTRNG,TM1RPTFMTIDCOL)</f>
        <v>CXMD:FTM_DATA_MARGIN:ARPT1</v>
      </c>
    </row>
    <row r="10" spans="1:11" s="24" customFormat="1" x14ac:dyDescent="0.25">
      <c r="F10" s="30"/>
      <c r="G10" s="30"/>
      <c r="H10" s="30"/>
      <c r="I10" s="30"/>
      <c r="J10" s="30"/>
    </row>
    <row r="11" spans="1:11" s="24" customFormat="1" x14ac:dyDescent="0.25">
      <c r="F11" s="30"/>
      <c r="G11" s="30"/>
      <c r="H11" s="30"/>
      <c r="I11" s="30"/>
      <c r="J11" s="30"/>
    </row>
    <row r="12" spans="1:11" s="24" customFormat="1" x14ac:dyDescent="0.25">
      <c r="F12" s="30"/>
      <c r="G12" s="30"/>
      <c r="H12" s="30"/>
      <c r="I12" s="30"/>
      <c r="J12" s="30"/>
    </row>
    <row r="13" spans="1:11" s="24" customFormat="1" x14ac:dyDescent="0.25">
      <c r="F13" s="30"/>
      <c r="G13" s="30"/>
      <c r="H13" s="30"/>
      <c r="I13" s="30"/>
      <c r="J13" s="30"/>
    </row>
    <row r="14" spans="1:11" s="22" customFormat="1" ht="18.75" x14ac:dyDescent="0.3">
      <c r="B14" s="26" t="s">
        <v>13</v>
      </c>
    </row>
    <row r="15" spans="1:11" s="22" customFormat="1" x14ac:dyDescent="0.25"/>
    <row r="16" spans="1:11" s="22" customFormat="1" x14ac:dyDescent="0.25">
      <c r="B16" s="23" t="s">
        <v>0</v>
      </c>
      <c r="C16" s="25" t="str">
        <f ca="1">_xll.SUBNM("CXMD:DIM_Origin_Company","","KUHN POLAND","Name EN")</f>
        <v>KUHN POLAND</v>
      </c>
    </row>
    <row r="17" spans="1:11" s="22" customFormat="1" x14ac:dyDescent="0.25">
      <c r="B17" s="23" t="s">
        <v>1</v>
      </c>
      <c r="C17" s="25" t="str">
        <f ca="1">_xll.SUBNM("CXMD:Month","","Total_Month")</f>
        <v>Total_Month</v>
      </c>
    </row>
    <row r="18" spans="1:11" s="22" customFormat="1" hidden="1" x14ac:dyDescent="0.25">
      <c r="B18" s="23" t="s">
        <v>2</v>
      </c>
      <c r="C18" s="22" t="str">
        <f ca="1">CONCATENATE(_xll.DBRA("CXMD:DIM_Origin_Company",C16,"Origin Company"),"_SALES")</f>
        <v>J_SALES</v>
      </c>
    </row>
    <row r="19" spans="1:11" s="22" customFormat="1" x14ac:dyDescent="0.25"/>
    <row r="20" spans="1:11" s="22" customFormat="1" ht="15.75" thickBot="1" x14ac:dyDescent="0.3"/>
    <row r="21" spans="1:11" x14ac:dyDescent="0.25">
      <c r="B21" s="22"/>
      <c r="C21" s="22"/>
      <c r="D21" s="31" t="s">
        <v>3</v>
      </c>
      <c r="E21" s="32"/>
      <c r="F21" s="31" t="s">
        <v>4</v>
      </c>
      <c r="G21" s="32"/>
      <c r="H21" s="31" t="s">
        <v>14</v>
      </c>
      <c r="I21" s="32"/>
      <c r="J21" s="31" t="s">
        <v>15</v>
      </c>
      <c r="K21" s="32"/>
    </row>
    <row r="22" spans="1:11" ht="15.75" thickBot="1" x14ac:dyDescent="0.3">
      <c r="B22" s="22"/>
      <c r="C22" s="22"/>
      <c r="D22" s="27" t="s">
        <v>5</v>
      </c>
      <c r="E22" s="28" t="s">
        <v>6</v>
      </c>
      <c r="F22" s="27" t="s">
        <v>5</v>
      </c>
      <c r="G22" s="28" t="s">
        <v>6</v>
      </c>
      <c r="H22" s="27" t="s">
        <v>5</v>
      </c>
      <c r="I22" s="28" t="s">
        <v>6</v>
      </c>
      <c r="J22" s="27" t="s">
        <v>5</v>
      </c>
      <c r="K22" s="28" t="s">
        <v>6</v>
      </c>
    </row>
    <row r="23" spans="1:11" x14ac:dyDescent="0.25">
      <c r="A23" t="str">
        <f ca="1">IF(_xll.TM1RPTELISCONSOLIDATED($C$23,$C23),IF(_xll.TM1RPTELLEV($C$23,$C23)&lt;=3,_xll.TM1RPTELLEV($C$23,$C23),"D"),"N")</f>
        <v>N</v>
      </c>
      <c r="B23" s="29" t="str">
        <f ca="1">_xll.TM1RPTROW($B$9,"CXMD:DIM_Customer_Supplier","Others","","Code-Name",0)</f>
        <v/>
      </c>
      <c r="C23" s="5" t="str">
        <f ca="1">_xll.TM1RPTROW($B$9,"CXMD:DIM_Configuration","Total","","Description EN",0)</f>
        <v/>
      </c>
      <c r="D23" s="10" t="str">
        <f ca="1">_xll.DBRW($B$9,$C$17,D$21,$C$16,$C$18,$B23,$C23,D$22)</f>
        <v/>
      </c>
      <c r="E23" s="11" t="str">
        <f ca="1">_xll.DBRW($B$9,$C$17,D$21,$C$16,$C$18,$B23,$C23,E$22)</f>
        <v/>
      </c>
      <c r="F23" s="10" t="str">
        <f ca="1">_xll.DBRW($B$9,$C$17,F$21,$C$16,$C$18,$B23,$C23,F$22)</f>
        <v/>
      </c>
      <c r="G23" s="11" t="str">
        <f ca="1">_xll.DBRW($B$9,$C$17,F$21,$C$16,$C$18,$B23,$C23,G$22)</f>
        <v/>
      </c>
      <c r="H23" s="10" t="str">
        <f ca="1">_xll.DBRW($B$9,$C$17,H$21,$C$16,$C$18,$B23,$C23,H$22)</f>
        <v/>
      </c>
      <c r="I23" s="11" t="str">
        <f ca="1">_xll.DBRW($B$9,$C$17,H$21,$C$16,$C$18,$B23,$C23,I$22)</f>
        <v/>
      </c>
      <c r="J23" s="10" t="str">
        <f ca="1">_xll.DBRW($B$9,$C$17,J$21,$C$16,$C$18,$B23,$C23,J$22)</f>
        <v/>
      </c>
      <c r="K23" s="10" t="str">
        <f ca="1">_xll.DBRW($B$9,$C$17,J$21,$C$16,$C$18,$B23,$C23,K$22)</f>
        <v/>
      </c>
    </row>
    <row r="24" spans="1:11" hidden="1" x14ac:dyDescent="0.25"/>
    <row r="25" spans="1:11" hidden="1" x14ac:dyDescent="0.25"/>
    <row r="26" spans="1:11" hidden="1" x14ac:dyDescent="0.25"/>
    <row r="27" spans="1:11" hidden="1" x14ac:dyDescent="0.25"/>
    <row r="28" spans="1:11" hidden="1" x14ac:dyDescent="0.25"/>
  </sheetData>
  <mergeCells count="4">
    <mergeCell ref="D21:E21"/>
    <mergeCell ref="F21:G21"/>
    <mergeCell ref="H21:I21"/>
    <mergeCell ref="J21:K21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autoPict="0" r:id="rId5">
            <anchor moveWithCells="1">
              <from>
                <xdr:col>5</xdr:col>
                <xdr:colOff>0</xdr:colOff>
                <xdr:row>15</xdr:row>
                <xdr:rowOff>0</xdr:rowOff>
              </from>
              <to>
                <xdr:col>6</xdr:col>
                <xdr:colOff>600075</xdr:colOff>
                <xdr:row>19</xdr:row>
                <xdr:rowOff>9525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2"/>
  <sheetViews>
    <sheetView workbookViewId="0"/>
  </sheetViews>
  <sheetFormatPr defaultColWidth="11.42578125" defaultRowHeight="15" x14ac:dyDescent="0.25"/>
  <sheetData>
    <row r="22" spans="2:2" x14ac:dyDescent="0.25">
      <c r="B2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2"/>
  <sheetViews>
    <sheetView workbookViewId="0"/>
  </sheetViews>
  <sheetFormatPr defaultColWidth="11.42578125" defaultRowHeight="15" x14ac:dyDescent="0.25"/>
  <sheetData>
    <row r="22" spans="3:3" x14ac:dyDescent="0.25">
      <c r="C2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Feuil1</vt:lpstr>
      <vt:lpstr>{AR}01</vt:lpstr>
      <vt:lpstr>{AR}11</vt:lpstr>
      <vt:lpstr>Feuil1!TM1RPTDATARNGARPT1</vt:lpstr>
      <vt:lpstr>Feuil1!TM1RPTFMTIDCOL</vt:lpstr>
      <vt:lpstr>Feuil1!TM1RPTFMTRNG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Orsolya KRUPP</dc:creator>
  <cp:lastModifiedBy>Serveurs COGNOS</cp:lastModifiedBy>
  <dcterms:created xsi:type="dcterms:W3CDTF">2017-12-20T09:25:48Z</dcterms:created>
  <dcterms:modified xsi:type="dcterms:W3CDTF">2022-01-26T11:05:46Z</dcterms:modified>
</cp:coreProperties>
</file>