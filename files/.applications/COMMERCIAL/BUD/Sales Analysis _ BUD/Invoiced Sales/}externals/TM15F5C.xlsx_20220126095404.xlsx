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rv191\AppData\Local\Temp\30\"/>
    </mc:Choice>
  </mc:AlternateContent>
  <bookViews>
    <workbookView xWindow="0" yWindow="0" windowWidth="15390" windowHeight="5535"/>
  </bookViews>
  <sheets>
    <sheet name="Feuil3" sheetId="3" r:id="rId1"/>
    <sheet name="{AR}01" sheetId="2" state="hidden" r:id="rId2"/>
  </sheets>
  <definedNames>
    <definedName name="TM1REBUILDOPTION">1</definedName>
    <definedName name="TM1RPTDATARNGARPT1" localSheetId="0">Feuil3!$26:$26</definedName>
    <definedName name="TM1RPTFMTIDCOL" localSheetId="0">Feuil3!$A$1:$A$8</definedName>
    <definedName name="TM1RPTFMTRNG" localSheetId="0">Feuil3!$B$1:$F$8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3" l="1"/>
  <c r="C21" i="3"/>
  <c r="C24" i="3"/>
  <c r="C19" i="3"/>
  <c r="C18" i="3"/>
  <c r="C20" i="3"/>
  <c r="E24" i="3"/>
  <c r="B26" i="3"/>
  <c r="F26" i="3"/>
  <c r="E26" i="3"/>
  <c r="D26" i="3"/>
  <c r="C26" i="3"/>
  <c r="H26" i="3"/>
  <c r="G26" i="3"/>
  <c r="A26" i="3"/>
  <c r="A5" i="3"/>
  <c r="A4" i="3"/>
  <c r="A3" i="3"/>
  <c r="A2" i="3"/>
</calcChain>
</file>

<file path=xl/sharedStrings.xml><?xml version="1.0" encoding="utf-8"?>
<sst xmlns="http://schemas.openxmlformats.org/spreadsheetml/2006/main" count="47" uniqueCount="43">
  <si>
    <t>Allocation</t>
  </si>
  <si>
    <t>Origin_Company</t>
  </si>
  <si>
    <t>Customer_Supplier</t>
  </si>
  <si>
    <t>Month</t>
  </si>
  <si>
    <t>QTY</t>
  </si>
  <si>
    <t>SALES</t>
  </si>
  <si>
    <t>TOTAL PRODUCT</t>
  </si>
  <si>
    <t>L - 000 -</t>
  </si>
  <si>
    <t>L - 700000 - PLOUGHING</t>
  </si>
  <si>
    <t>L - 701000 - TILLAGE</t>
  </si>
  <si>
    <t>L - 702000 - SEEDING</t>
  </si>
  <si>
    <t>L - 703000 - FERTILISING</t>
  </si>
  <si>
    <t>L - 704000 - SPRAYING</t>
  </si>
  <si>
    <t>L - 705000 - LANDSCAPE MAINTENANCE</t>
  </si>
  <si>
    <t>L - 706000 - SHREDDING</t>
  </si>
  <si>
    <t>L - 707000 - HAY &amp; FORAGE</t>
  </si>
  <si>
    <t>L - 708000 - BALERS</t>
  </si>
  <si>
    <t>L - 709000 - WRAPPERS</t>
  </si>
  <si>
    <t>L - 712000 - CHOPPERS</t>
  </si>
  <si>
    <t>L - 715000 - BEDDING &amp; FEEDING</t>
  </si>
  <si>
    <t>L - 718000 - MANURE SPREADING</t>
  </si>
  <si>
    <t>L - 719000 - NON CONVENTIO. HARVESTING</t>
  </si>
  <si>
    <t>L - 720000 - FREIGHT</t>
  </si>
  <si>
    <t>L - 740000 - KIT</t>
  </si>
  <si>
    <t>L - 745000 - TRUCKS</t>
  </si>
  <si>
    <t>L - 746000 - JD MACHINES</t>
  </si>
  <si>
    <t>L - 750000 - SPARE PARTS</t>
  </si>
  <si>
    <t>L - 780000 - FREIGHT OUT INVOICED</t>
  </si>
  <si>
    <t>L - 790000 - SERVICES/EQUIPMENT</t>
  </si>
  <si>
    <t>L - 793000 -</t>
  </si>
  <si>
    <t>L - 795000 - NET VARIATION OF STOCK</t>
  </si>
  <si>
    <t>L - 799000 - EQUIPMENTS ALONE</t>
  </si>
  <si>
    <t>L - 890000 - SERVICES/EQUIPMENT</t>
  </si>
  <si>
    <t>L - 999000 - RECONCILIATION GEN</t>
  </si>
  <si>
    <t>L - NA - Not Available</t>
  </si>
  <si>
    <t>D</t>
  </si>
  <si>
    <t>N</t>
  </si>
  <si>
    <t>[Begin Format Range]</t>
  </si>
  <si>
    <t>[End Format Range]</t>
  </si>
  <si>
    <t>Objective completion</t>
  </si>
  <si>
    <t>OBJECTIVE</t>
  </si>
  <si>
    <t>REALIZED</t>
  </si>
  <si>
    <t>Budget vs. Invoiced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</si>
</sst>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- &quot;@"/>
    <numFmt numFmtId="166" formatCode="0&quot;&quot;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5"/>
      <color rgb="FFC00000"/>
      <name val="Adobe Heiti Std R"/>
    </font>
  </fonts>
  <fills count="1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3" fillId="0" borderId="0" xfId="0" applyFont="1"/>
    <xf numFmtId="3" fontId="5" fillId="0" borderId="0" xfId="0" applyNumberFormat="1" applyFont="1"/>
    <xf numFmtId="0" fontId="0" fillId="4" borderId="0" xfId="0" applyFill="1"/>
    <xf numFmtId="9" fontId="0" fillId="9" borderId="0" xfId="1" applyFont="1" applyFill="1"/>
    <xf numFmtId="0" fontId="4" fillId="5" borderId="10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6" fillId="2" borderId="1" xfId="0" applyFont="1" applyFill="1" applyBorder="1"/>
    <xf numFmtId="3" fontId="6" fillId="2" borderId="4" xfId="0" applyNumberFormat="1" applyFont="1" applyFill="1" applyBorder="1"/>
    <xf numFmtId="3" fontId="6" fillId="2" borderId="5" xfId="0" applyNumberFormat="1" applyFont="1" applyFill="1" applyBorder="1"/>
    <xf numFmtId="3" fontId="6" fillId="2" borderId="13" xfId="0" applyNumberFormat="1" applyFont="1" applyFill="1" applyBorder="1"/>
    <xf numFmtId="166" fontId="6" fillId="9" borderId="15" xfId="1" applyNumberFormat="1" applyFont="1" applyFill="1" applyBorder="1"/>
    <xf numFmtId="166" fontId="6" fillId="9" borderId="5" xfId="1" applyNumberFormat="1" applyFont="1" applyFill="1" applyBorder="1"/>
    <xf numFmtId="0" fontId="6" fillId="3" borderId="2" xfId="0" applyFont="1" applyFill="1" applyBorder="1"/>
    <xf numFmtId="3" fontId="6" fillId="3" borderId="6" xfId="0" applyNumberFormat="1" applyFont="1" applyFill="1" applyBorder="1"/>
    <xf numFmtId="3" fontId="6" fillId="3" borderId="7" xfId="0" applyNumberFormat="1" applyFont="1" applyFill="1" applyBorder="1"/>
    <xf numFmtId="3" fontId="6" fillId="3" borderId="0" xfId="0" applyNumberFormat="1" applyFont="1" applyFill="1" applyBorder="1"/>
    <xf numFmtId="166" fontId="6" fillId="3" borderId="12" xfId="1" applyNumberFormat="1" applyFont="1" applyFill="1" applyBorder="1"/>
    <xf numFmtId="166" fontId="6" fillId="3" borderId="7" xfId="1" applyNumberFormat="1" applyFont="1" applyFill="1" applyBorder="1"/>
    <xf numFmtId="0" fontId="6" fillId="6" borderId="2" xfId="0" applyFont="1" applyFill="1" applyBorder="1"/>
    <xf numFmtId="3" fontId="6" fillId="6" borderId="6" xfId="0" applyNumberFormat="1" applyFont="1" applyFill="1" applyBorder="1"/>
    <xf numFmtId="3" fontId="6" fillId="6" borderId="7" xfId="0" applyNumberFormat="1" applyFont="1" applyFill="1" applyBorder="1"/>
    <xf numFmtId="3" fontId="6" fillId="6" borderId="0" xfId="0" applyNumberFormat="1" applyFont="1" applyFill="1" applyBorder="1"/>
    <xf numFmtId="166" fontId="6" fillId="6" borderId="12" xfId="1" applyNumberFormat="1" applyFont="1" applyFill="1" applyBorder="1"/>
    <xf numFmtId="166" fontId="6" fillId="6" borderId="7" xfId="1" applyNumberFormat="1" applyFont="1" applyFill="1" applyBorder="1"/>
    <xf numFmtId="0" fontId="6" fillId="7" borderId="2" xfId="0" applyFont="1" applyFill="1" applyBorder="1"/>
    <xf numFmtId="3" fontId="6" fillId="7" borderId="6" xfId="0" applyNumberFormat="1" applyFont="1" applyFill="1" applyBorder="1"/>
    <xf numFmtId="3" fontId="6" fillId="7" borderId="7" xfId="0" applyNumberFormat="1" applyFont="1" applyFill="1" applyBorder="1"/>
    <xf numFmtId="3" fontId="6" fillId="7" borderId="0" xfId="0" applyNumberFormat="1" applyFont="1" applyFill="1" applyBorder="1"/>
    <xf numFmtId="166" fontId="6" fillId="7" borderId="12" xfId="1" applyNumberFormat="1" applyFont="1" applyFill="1" applyBorder="1"/>
    <xf numFmtId="166" fontId="6" fillId="7" borderId="7" xfId="1" applyNumberFormat="1" applyFont="1" applyFill="1" applyBorder="1"/>
    <xf numFmtId="0" fontId="6" fillId="8" borderId="3" xfId="0" applyFont="1" applyFill="1" applyBorder="1"/>
    <xf numFmtId="3" fontId="6" fillId="8" borderId="8" xfId="0" applyNumberFormat="1" applyFont="1" applyFill="1" applyBorder="1"/>
    <xf numFmtId="3" fontId="6" fillId="8" borderId="9" xfId="0" applyNumberFormat="1" applyFont="1" applyFill="1" applyBorder="1"/>
    <xf numFmtId="3" fontId="6" fillId="8" borderId="14" xfId="0" applyNumberFormat="1" applyFont="1" applyFill="1" applyBorder="1"/>
    <xf numFmtId="166" fontId="6" fillId="8" borderId="16" xfId="1" applyNumberFormat="1" applyFont="1" applyFill="1" applyBorder="1"/>
    <xf numFmtId="166" fontId="6" fillId="8" borderId="9" xfId="1" applyNumberFormat="1" applyFont="1" applyFill="1" applyBorder="1"/>
    <xf numFmtId="164" fontId="6" fillId="2" borderId="1" xfId="0" applyNumberFormat="1" applyFont="1" applyFill="1" applyBorder="1" applyAlignment="1"/>
    <xf numFmtId="0" fontId="3" fillId="4" borderId="0" xfId="0" applyFont="1" applyFill="1"/>
    <xf numFmtId="0" fontId="2" fillId="4" borderId="0" xfId="0" applyFont="1" applyFill="1"/>
    <xf numFmtId="0" fontId="7" fillId="4" borderId="0" xfId="0" applyFont="1" applyFill="1"/>
    <xf numFmtId="0" fontId="0" fillId="0" borderId="0" xfId="0" applyFill="1"/>
    <xf numFmtId="0" fontId="0" fillId="10" borderId="0" xfId="0" applyFill="1"/>
    <xf numFmtId="0" fontId="4" fillId="5" borderId="10" xfId="0" applyFont="1" applyFill="1" applyBorder="1" applyAlignment="1">
      <alignment horizontal="center" wrapText="1"/>
    </xf>
    <xf numFmtId="0" fontId="4" fillId="5" borderId="11" xfId="0" applyFont="1" applyFill="1" applyBorder="1" applyAlignment="1">
      <alignment horizontal="center" wrapText="1"/>
    </xf>
    <xf numFmtId="0" fontId="3" fillId="11" borderId="10" xfId="0" applyFont="1" applyFill="1" applyBorder="1" applyAlignment="1">
      <alignment horizontal="center" wrapText="1"/>
    </xf>
    <xf numFmtId="0" fontId="3" fillId="11" borderId="11" xfId="0" applyFont="1" applyFill="1" applyBorder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8C8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3069"/>
  <ax:ocxPr ax:name="_ExtentY" ax:value="1402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9,7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1"/>
  <ax:ocxPr ax:name="ShowFailureMessage" ax:value="1"/>
  <ax:ocxPr ax:name="TargetWorkbookName" ax:value=""/>
  <ax:ocxPr ax:name="TargetWorksheetName" ax:value=""/>
  <ax:ocxPr ax:name="AutoTitles" ax:value="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9</xdr:row>
      <xdr:rowOff>47625</xdr:rowOff>
    </xdr:from>
    <xdr:to>
      <xdr:col>6</xdr:col>
      <xdr:colOff>638175</xdr:colOff>
      <xdr:row>14</xdr:row>
      <xdr:rowOff>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47625"/>
          <a:ext cx="8315325" cy="9102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</xdr:row>
          <xdr:rowOff>0</xdr:rowOff>
        </xdr:from>
        <xdr:to>
          <xdr:col>5</xdr:col>
          <xdr:colOff>895350</xdr:colOff>
          <xdr:row>20</xdr:row>
          <xdr:rowOff>66675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N109"/>
  <sheetViews>
    <sheetView showGridLines="0" tabSelected="1" topLeftCell="B10" workbookViewId="0">
      <pane xSplit="1" ySplit="16" topLeftCell="C26" activePane="bottomRight" state="frozen"/>
      <selection activeCell="B10" sqref="B10"/>
      <selection pane="topRight" activeCell="C10" sqref="C10"/>
      <selection pane="bottomLeft" activeCell="B29" sqref="B29"/>
      <selection pane="bottomRight" activeCell="C19" sqref="C19"/>
    </sheetView>
  </sheetViews>
  <sheetFormatPr defaultColWidth="0" defaultRowHeight="15" zeroHeight="1"/>
  <cols>
    <col min="1" max="1" width="18.7109375" hidden="1" customWidth="1"/>
    <col min="2" max="2" width="60.7109375" customWidth="1"/>
    <col min="3" max="3" width="10.7109375" customWidth="1"/>
    <col min="4" max="4" width="16.7109375" customWidth="1"/>
    <col min="5" max="5" width="10.7109375" customWidth="1"/>
    <col min="6" max="6" width="16.7109375" customWidth="1"/>
    <col min="7" max="8" width="10.7109375" customWidth="1"/>
    <col min="9" max="9" width="2.28515625" customWidth="1"/>
    <col min="10" max="14" width="11.5703125" style="41" hidden="1" customWidth="1"/>
    <col min="15" max="15" width="0" hidden="1" customWidth="1"/>
  </cols>
  <sheetData>
    <row r="1" spans="1:9" hidden="1">
      <c r="A1" t="s">
        <v>37</v>
      </c>
    </row>
    <row r="2" spans="1:9" hidden="1">
      <c r="A2">
        <f>0</f>
        <v>0</v>
      </c>
      <c r="B2" s="7"/>
      <c r="C2" s="8"/>
      <c r="D2" s="9"/>
      <c r="E2" s="8"/>
      <c r="F2" s="10"/>
      <c r="G2" s="11"/>
      <c r="H2" s="12"/>
    </row>
    <row r="3" spans="1:9" hidden="1">
      <c r="A3">
        <f>1</f>
        <v>1</v>
      </c>
      <c r="B3" s="13"/>
      <c r="C3" s="14"/>
      <c r="D3" s="15"/>
      <c r="E3" s="14"/>
      <c r="F3" s="16"/>
      <c r="G3" s="17"/>
      <c r="H3" s="18"/>
    </row>
    <row r="4" spans="1:9" hidden="1">
      <c r="A4">
        <f>2</f>
        <v>2</v>
      </c>
      <c r="B4" s="19"/>
      <c r="C4" s="20"/>
      <c r="D4" s="21"/>
      <c r="E4" s="20"/>
      <c r="F4" s="22"/>
      <c r="G4" s="23"/>
      <c r="H4" s="24"/>
    </row>
    <row r="5" spans="1:9" hidden="1">
      <c r="A5">
        <f>3</f>
        <v>3</v>
      </c>
      <c r="B5" s="25"/>
      <c r="C5" s="26"/>
      <c r="D5" s="27"/>
      <c r="E5" s="26"/>
      <c r="F5" s="28"/>
      <c r="G5" s="29"/>
      <c r="H5" s="30"/>
    </row>
    <row r="6" spans="1:9" hidden="1">
      <c r="A6" t="s">
        <v>35</v>
      </c>
      <c r="B6" s="31"/>
      <c r="C6" s="32"/>
      <c r="D6" s="33"/>
      <c r="E6" s="32"/>
      <c r="F6" s="34"/>
      <c r="G6" s="35"/>
      <c r="H6" s="36"/>
    </row>
    <row r="7" spans="1:9" hidden="1">
      <c r="A7" t="s">
        <v>36</v>
      </c>
      <c r="C7" s="2"/>
      <c r="D7" s="2"/>
      <c r="E7" s="2"/>
      <c r="F7" s="2"/>
    </row>
    <row r="8" spans="1:9" hidden="1">
      <c r="A8" t="s">
        <v>38</v>
      </c>
    </row>
    <row r="9" spans="1:9" hidden="1">
      <c r="B9" t="str">
        <f ca="1">_xll.TM1RPTVIEW("CXMD:FTM_DATA_MARGIN:ARPT1", 1, _xll.TM1RPTTITLE("CXMD:Month",$C$21), _xll.TM1RPTTITLE("CXMD:DIM_Origin_Company",$C$19), _xll.TM1RPTTITLE("CXMD:DIM_Allocation",$C$18), _xll.TM1RPTTITLE("CXMD:DIM_Customer_Supplier",$C$20),TM1RPTFMTRNG,TM1RPTFMTIDCOL)</f>
        <v>CXMD:FTM_DATA_MARGIN:ARPT1</v>
      </c>
    </row>
    <row r="10" spans="1:9">
      <c r="B10" s="42"/>
      <c r="C10" s="42"/>
      <c r="D10" s="42"/>
      <c r="E10" s="42"/>
      <c r="F10" s="42"/>
      <c r="G10" s="42"/>
      <c r="H10" s="42"/>
      <c r="I10" s="42"/>
    </row>
    <row r="11" spans="1:9">
      <c r="B11" s="42"/>
      <c r="C11" s="42"/>
      <c r="D11" s="42"/>
      <c r="E11" s="42"/>
      <c r="F11" s="42"/>
      <c r="G11" s="42"/>
      <c r="H11" s="42"/>
      <c r="I11" s="42"/>
    </row>
    <row r="12" spans="1:9">
      <c r="B12" s="42"/>
      <c r="C12" s="42"/>
      <c r="D12" s="42"/>
      <c r="E12" s="42"/>
      <c r="F12" s="42"/>
      <c r="G12" s="42"/>
      <c r="H12" s="42"/>
      <c r="I12" s="42"/>
    </row>
    <row r="13" spans="1:9">
      <c r="B13" s="42"/>
      <c r="C13" s="42"/>
      <c r="D13" s="42"/>
      <c r="E13" s="42"/>
      <c r="F13" s="42"/>
      <c r="G13" s="42"/>
      <c r="H13" s="42"/>
      <c r="I13" s="42"/>
    </row>
    <row r="14" spans="1:9">
      <c r="B14" s="42"/>
      <c r="C14" s="42"/>
      <c r="D14" s="42"/>
      <c r="E14" s="42"/>
      <c r="F14" s="42"/>
      <c r="G14" s="42"/>
      <c r="H14" s="42"/>
      <c r="I14" s="42"/>
    </row>
    <row r="15" spans="1:9" hidden="1">
      <c r="B15" s="42"/>
      <c r="C15" s="42"/>
      <c r="D15" s="42"/>
      <c r="E15" s="42"/>
      <c r="F15" s="42"/>
      <c r="G15" s="42"/>
      <c r="H15" s="42"/>
      <c r="I15" s="42"/>
    </row>
    <row r="16" spans="1:9" hidden="1">
      <c r="B16" s="42"/>
      <c r="C16" s="42"/>
      <c r="D16" s="42"/>
      <c r="E16" s="42"/>
      <c r="F16" s="42"/>
      <c r="G16" s="42"/>
      <c r="H16" s="42"/>
      <c r="I16" s="42"/>
    </row>
    <row r="17" spans="1:9" ht="19.5">
      <c r="B17" s="40" t="s">
        <v>42</v>
      </c>
      <c r="C17" s="3"/>
      <c r="D17" s="3"/>
      <c r="E17" s="3"/>
      <c r="F17" s="3"/>
      <c r="G17" s="3"/>
      <c r="H17" s="3"/>
      <c r="I17" s="3"/>
    </row>
    <row r="18" spans="1:9" hidden="1">
      <c r="B18" s="1" t="s">
        <v>0</v>
      </c>
      <c r="C18" t="str">
        <f ca="1">CONCATENATE(_xll.DBRA("CXMD:DIM_Origin_Company",C19,"Origin Company"),"_SALES")</f>
        <v>A_SALES</v>
      </c>
    </row>
    <row r="19" spans="1:9" ht="19.149999999999999" customHeight="1">
      <c r="B19" s="38" t="s">
        <v>1</v>
      </c>
      <c r="C19" s="39" t="str">
        <f ca="1">_xll.SUBNM("CXMD:DIM_Origin_Company","","KUHN UK","Name EN")</f>
        <v>KUHN UK</v>
      </c>
      <c r="D19" s="3"/>
      <c r="E19" s="3"/>
      <c r="F19" s="3"/>
      <c r="G19" s="3"/>
      <c r="H19" s="3"/>
      <c r="I19" s="3"/>
    </row>
    <row r="20" spans="1:9" hidden="1">
      <c r="B20" s="38" t="s">
        <v>2</v>
      </c>
      <c r="C20" s="3" t="str">
        <f ca="1">_xll.SUBNM("CXMD:DIM_Customer_Supplier","Par défaut","Others")</f>
        <v>Others</v>
      </c>
      <c r="D20" s="3"/>
      <c r="E20" s="3"/>
      <c r="F20" s="3"/>
      <c r="G20" s="3"/>
      <c r="H20" s="3"/>
      <c r="I20" s="3"/>
    </row>
    <row r="21" spans="1:9" ht="19.149999999999999" customHeight="1">
      <c r="B21" s="38" t="s">
        <v>3</v>
      </c>
      <c r="C21" s="39" t="str">
        <f ca="1">_xll.SUBNM("CXMD:Month","","Total_Month","Description EN")</f>
        <v>Total_Month</v>
      </c>
      <c r="D21" s="3"/>
      <c r="E21" s="3"/>
      <c r="F21" s="3"/>
      <c r="G21" s="3"/>
      <c r="H21" s="3"/>
      <c r="I21" s="3"/>
    </row>
    <row r="22" spans="1:9" ht="19.149999999999999" customHeight="1">
      <c r="B22" s="38"/>
      <c r="C22" s="39"/>
      <c r="D22" s="3"/>
      <c r="E22" s="3"/>
      <c r="F22" s="3"/>
      <c r="G22" s="3"/>
      <c r="H22" s="3"/>
      <c r="I22" s="3"/>
    </row>
    <row r="23" spans="1:9">
      <c r="B23" s="3"/>
      <c r="C23" s="45" t="s">
        <v>40</v>
      </c>
      <c r="D23" s="46"/>
      <c r="E23" s="45" t="s">
        <v>41</v>
      </c>
      <c r="F23" s="46"/>
      <c r="G23" s="3"/>
      <c r="H23" s="3"/>
      <c r="I23" s="3"/>
    </row>
    <row r="24" spans="1:9" ht="14.45" customHeight="1">
      <c r="B24" s="3"/>
      <c r="C24" s="43" t="str">
        <f ca="1">_xll.SUBNM("CXMD:Actuality","","BU2019draft","Description EN")</f>
        <v>BU2019draft</v>
      </c>
      <c r="D24" s="44"/>
      <c r="E24" s="43" t="str">
        <f ca="1">_xll.SUBNM("CXMD:Actuality","","AC2019","Description EN")</f>
        <v>AC2019</v>
      </c>
      <c r="F24" s="44"/>
      <c r="G24" s="43" t="s">
        <v>39</v>
      </c>
      <c r="H24" s="44"/>
      <c r="I24" s="3"/>
    </row>
    <row r="25" spans="1:9">
      <c r="B25" s="3"/>
      <c r="C25" s="5" t="s">
        <v>4</v>
      </c>
      <c r="D25" s="6" t="s">
        <v>5</v>
      </c>
      <c r="E25" s="5" t="s">
        <v>4</v>
      </c>
      <c r="F25" s="6" t="s">
        <v>5</v>
      </c>
      <c r="G25" s="5" t="s">
        <v>4</v>
      </c>
      <c r="H25" s="6" t="s">
        <v>5</v>
      </c>
      <c r="I25" s="3"/>
    </row>
    <row r="26" spans="1:9">
      <c r="A26" t="str">
        <f ca="1">IF(_xll.TM1RPTELISCONSOLIDATED($B$26,$B26),IF(_xll.TM1RPTELLEV($B$26,$B26)&lt;=3,_xll.TM1RPTELLEV($B$26,$B26),"D"),"N")</f>
        <v>N</v>
      </c>
      <c r="B26" s="37" t="str">
        <f ca="1">_xll.TM1RPTROW($B$9,"CXMD:DIM_Configuration","Product_Line","","Description EN",0)</f>
        <v/>
      </c>
      <c r="C26" s="8" t="str">
        <f ca="1">_xll.DBRW($B$9,$C$21,C$24,$C$19,$C$18,$C$20,$B26,C$25)</f>
        <v/>
      </c>
      <c r="D26" s="9" t="str">
        <f ca="1">_xll.DBRW($B$9,$C$21,C$24,$C$19,$C$18,$C$20,$B26,D$25)</f>
        <v/>
      </c>
      <c r="E26" s="8" t="str">
        <f ca="1">_xll.DBRW($B$9,$C$21,E$24,$C$19,$C$18,$C$20,$B26,E$25)</f>
        <v/>
      </c>
      <c r="F26" s="10" t="str">
        <f ca="1">_xll.DBRW($B$9,$C$21,E$24,$C$19,$C$18,$C$20,$B26,F$25)</f>
        <v/>
      </c>
      <c r="G26" s="4" t="e">
        <f ca="1">IF(C26&lt;&gt;0,E26/C26,0)</f>
        <v>#VALUE!</v>
      </c>
      <c r="H26" s="4" t="e">
        <f ca="1">IF(D26&lt;&gt;0,F26/D26,0)</f>
        <v>#VALUE!</v>
      </c>
      <c r="I26" s="3"/>
    </row>
    <row r="27" spans="1:9"/>
    <row r="28" spans="1:9" hidden="1"/>
    <row r="29" spans="1:9" hidden="1"/>
    <row r="30" spans="1:9" hidden="1"/>
    <row r="31" spans="1:9" hidden="1"/>
    <row r="32" spans="1:9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</sheetData>
  <mergeCells count="5">
    <mergeCell ref="C24:D24"/>
    <mergeCell ref="E24:F24"/>
    <mergeCell ref="G24:H24"/>
    <mergeCell ref="C23:D23"/>
    <mergeCell ref="E23:F23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TIButton1">
          <controlPr defaultSize="0" print="0" autoLine="0" autoPict="0" r:id="rId5">
            <anchor moveWithCells="1">
              <from>
                <xdr:col>5</xdr:col>
                <xdr:colOff>0</xdr:colOff>
                <xdr:row>17</xdr:row>
                <xdr:rowOff>0</xdr:rowOff>
              </from>
              <to>
                <xdr:col>5</xdr:col>
                <xdr:colOff>895350</xdr:colOff>
                <xdr:row>20</xdr:row>
                <xdr:rowOff>66675</xdr:rowOff>
              </to>
            </anchor>
          </controlPr>
        </control>
      </mc:Choice>
      <mc:Fallback>
        <control shapeId="1025" r:id="rId4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3:B51"/>
  <sheetViews>
    <sheetView workbookViewId="0"/>
  </sheetViews>
  <sheetFormatPr defaultColWidth="11.42578125" defaultRowHeight="15"/>
  <sheetData>
    <row r="23" spans="2:2">
      <c r="B23" t="s">
        <v>6</v>
      </c>
    </row>
    <row r="24" spans="2:2">
      <c r="B24" t="s">
        <v>7</v>
      </c>
    </row>
    <row r="25" spans="2:2">
      <c r="B25" t="s">
        <v>8</v>
      </c>
    </row>
    <row r="26" spans="2:2">
      <c r="B26" t="s">
        <v>9</v>
      </c>
    </row>
    <row r="27" spans="2:2">
      <c r="B27" t="s">
        <v>10</v>
      </c>
    </row>
    <row r="28" spans="2:2">
      <c r="B28" t="s">
        <v>11</v>
      </c>
    </row>
    <row r="29" spans="2:2">
      <c r="B29" t="s">
        <v>12</v>
      </c>
    </row>
    <row r="30" spans="2:2">
      <c r="B30" t="s">
        <v>13</v>
      </c>
    </row>
    <row r="31" spans="2:2">
      <c r="B31" t="s">
        <v>14</v>
      </c>
    </row>
    <row r="32" spans="2:2">
      <c r="B32" t="s">
        <v>15</v>
      </c>
    </row>
    <row r="33" spans="2:2">
      <c r="B33" t="s">
        <v>16</v>
      </c>
    </row>
    <row r="34" spans="2:2">
      <c r="B34" t="s">
        <v>17</v>
      </c>
    </row>
    <row r="35" spans="2:2">
      <c r="B35" t="s">
        <v>18</v>
      </c>
    </row>
    <row r="36" spans="2:2">
      <c r="B36" t="s">
        <v>19</v>
      </c>
    </row>
    <row r="37" spans="2:2">
      <c r="B37" t="s">
        <v>20</v>
      </c>
    </row>
    <row r="38" spans="2:2">
      <c r="B38" t="s">
        <v>21</v>
      </c>
    </row>
    <row r="39" spans="2:2">
      <c r="B39" t="s">
        <v>22</v>
      </c>
    </row>
    <row r="40" spans="2:2">
      <c r="B40" t="s">
        <v>23</v>
      </c>
    </row>
    <row r="41" spans="2:2">
      <c r="B41" t="s">
        <v>24</v>
      </c>
    </row>
    <row r="42" spans="2:2">
      <c r="B42" t="s">
        <v>25</v>
      </c>
    </row>
    <row r="43" spans="2:2">
      <c r="B43" t="s">
        <v>26</v>
      </c>
    </row>
    <row r="44" spans="2:2">
      <c r="B44" t="s">
        <v>27</v>
      </c>
    </row>
    <row r="45" spans="2:2">
      <c r="B45" t="s">
        <v>28</v>
      </c>
    </row>
    <row r="46" spans="2:2">
      <c r="B46" t="s">
        <v>29</v>
      </c>
    </row>
    <row r="47" spans="2:2">
      <c r="B47" t="s">
        <v>30</v>
      </c>
    </row>
    <row r="48" spans="2:2">
      <c r="B48" t="s">
        <v>31</v>
      </c>
    </row>
    <row r="49" spans="2:2">
      <c r="B49" t="s">
        <v>32</v>
      </c>
    </row>
    <row r="50" spans="2:2">
      <c r="B50" t="s">
        <v>33</v>
      </c>
    </row>
    <row r="51" spans="2:2">
      <c r="B5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Feuil3</vt:lpstr>
      <vt:lpstr>{AR}01</vt:lpstr>
      <vt:lpstr>Feuil3!TM1RPTDATARNGARPT1</vt:lpstr>
      <vt:lpstr>Feuil3!TM1RPTFMTIDCOL</vt:lpstr>
      <vt:lpstr>Feuil3!TM1RPTFMTRNG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Orsolya KRUPP</dc:creator>
  <cp:lastModifiedBy>Serveurs COGNOS</cp:lastModifiedBy>
  <dcterms:created xsi:type="dcterms:W3CDTF">2017-01-04T08:37:43Z</dcterms:created>
  <dcterms:modified xsi:type="dcterms:W3CDTF">2022-01-26T09:53:58Z</dcterms:modified>
</cp:coreProperties>
</file>