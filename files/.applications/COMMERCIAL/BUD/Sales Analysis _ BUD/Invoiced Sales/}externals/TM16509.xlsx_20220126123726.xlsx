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19200" windowHeight="6885" tabRatio="460"/>
  </bookViews>
  <sheets>
    <sheet name="Feuil1" sheetId="1" r:id="rId1"/>
    <sheet name="{AR}11" sheetId="3" state="hidden" r:id="rId2"/>
  </sheets>
  <definedNames>
    <definedName name="TM1REBUILDOPTION">1</definedName>
    <definedName name="TM1RPTDATARNGARPT1" localSheetId="0">Feuil1!$25:$25</definedName>
    <definedName name="TM1RPTFMTIDCOL" localSheetId="0">Feuil1!$A$1:$A$8</definedName>
    <definedName name="TM1RPTFMTRNG" localSheetId="0">Feuil1!$B$1:$M$8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K23" i="1"/>
  <c r="C18" i="1"/>
  <c r="C19" i="1"/>
  <c r="C17" i="1"/>
  <c r="C20" i="1"/>
  <c r="N23" i="1"/>
  <c r="H23" i="1"/>
  <c r="E23" i="1"/>
  <c r="C23" i="1"/>
  <c r="B25" i="1"/>
  <c r="C25" i="1"/>
  <c r="O25" i="1"/>
  <c r="N25" i="1"/>
  <c r="L25" i="1"/>
  <c r="K25" i="1"/>
  <c r="I25" i="1"/>
  <c r="H25" i="1"/>
  <c r="F25" i="1"/>
  <c r="E25" i="1"/>
  <c r="D25" i="1"/>
  <c r="P25" i="1"/>
  <c r="A5" i="1"/>
  <c r="A4" i="1"/>
  <c r="A3" i="1"/>
  <c r="A2" i="1"/>
  <c r="A25" i="1"/>
  <c r="G25" i="1"/>
  <c r="J25" i="1"/>
  <c r="M25" i="1"/>
</calcChain>
</file>

<file path=xl/sharedStrings.xml><?xml version="1.0" encoding="utf-8"?>
<sst xmlns="http://schemas.openxmlformats.org/spreadsheetml/2006/main" count="28" uniqueCount="13">
  <si>
    <t>Customer_Supplier</t>
  </si>
  <si>
    <t>Origin_Company</t>
  </si>
  <si>
    <t>Allocation</t>
  </si>
  <si>
    <t>QTY</t>
  </si>
  <si>
    <t>SALES</t>
  </si>
  <si>
    <t>TOTAL PRODUCT</t>
  </si>
  <si>
    <t>D</t>
  </si>
  <si>
    <t>N</t>
  </si>
  <si>
    <t>[Begin Format Range]</t>
  </si>
  <si>
    <t>[End Format Range]</t>
  </si>
  <si>
    <t>N-1 %</t>
  </si>
  <si>
    <t>Configuration</t>
  </si>
  <si>
    <t>INVOICED SALES ANALYSIS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</si>
</sst>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&quot;&quot;%"/>
    <numFmt numFmtId="166" formatCode="&quot;+ &quot;@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2" fillId="2" borderId="6" xfId="0" applyFont="1" applyFill="1" applyBorder="1"/>
    <xf numFmtId="0" fontId="0" fillId="2" borderId="7" xfId="0" applyFill="1" applyBorder="1"/>
    <xf numFmtId="0" fontId="0" fillId="5" borderId="0" xfId="0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3" fillId="4" borderId="10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/>
    </xf>
    <xf numFmtId="3" fontId="2" fillId="2" borderId="6" xfId="0" applyNumberFormat="1" applyFont="1" applyFill="1" applyBorder="1"/>
    <xf numFmtId="3" fontId="0" fillId="2" borderId="1" xfId="0" applyNumberFormat="1" applyFill="1" applyBorder="1"/>
    <xf numFmtId="3" fontId="0" fillId="2" borderId="7" xfId="0" applyNumberFormat="1" applyFill="1" applyBorder="1"/>
    <xf numFmtId="3" fontId="2" fillId="2" borderId="2" xfId="0" applyNumberFormat="1" applyFont="1" applyFill="1" applyBorder="1"/>
    <xf numFmtId="3" fontId="0" fillId="2" borderId="8" xfId="0" applyNumberFormat="1" applyFill="1" applyBorder="1"/>
    <xf numFmtId="3" fontId="0" fillId="2" borderId="4" xfId="0" applyNumberFormat="1" applyFill="1" applyBorder="1"/>
    <xf numFmtId="3" fontId="2" fillId="2" borderId="3" xfId="0" applyNumberFormat="1" applyFont="1" applyFill="1" applyBorder="1"/>
    <xf numFmtId="3" fontId="0" fillId="2" borderId="9" xfId="0" applyNumberFormat="1" applyFill="1" applyBorder="1"/>
    <xf numFmtId="3" fontId="0" fillId="2" borderId="5" xfId="0" applyNumberFormat="1" applyFill="1" applyBorder="1"/>
    <xf numFmtId="165" fontId="2" fillId="2" borderId="13" xfId="0" applyNumberFormat="1" applyFont="1" applyFill="1" applyBorder="1"/>
    <xf numFmtId="165" fontId="0" fillId="2" borderId="12" xfId="0" applyNumberFormat="1" applyFill="1" applyBorder="1"/>
    <xf numFmtId="165" fontId="0" fillId="2" borderId="14" xfId="0" applyNumberFormat="1" applyFill="1" applyBorder="1"/>
    <xf numFmtId="3" fontId="0" fillId="0" borderId="0" xfId="0" applyNumberFormat="1"/>
    <xf numFmtId="3" fontId="0" fillId="5" borderId="0" xfId="0" applyNumberFormat="1" applyFill="1"/>
    <xf numFmtId="3" fontId="4" fillId="3" borderId="0" xfId="0" applyNumberFormat="1" applyFont="1" applyFill="1"/>
    <xf numFmtId="3" fontId="0" fillId="3" borderId="0" xfId="0" applyNumberFormat="1" applyFill="1"/>
    <xf numFmtId="3" fontId="2" fillId="3" borderId="0" xfId="0" applyNumberFormat="1" applyFont="1" applyFill="1"/>
    <xf numFmtId="3" fontId="1" fillId="3" borderId="0" xfId="0" applyNumberFormat="1" applyFont="1" applyFill="1"/>
    <xf numFmtId="3" fontId="3" fillId="4" borderId="4" xfId="0" applyNumberFormat="1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 wrapText="1"/>
    </xf>
    <xf numFmtId="3" fontId="3" fillId="4" borderId="3" xfId="0" applyNumberFormat="1" applyFont="1" applyFill="1" applyBorder="1" applyAlignment="1">
      <alignment horizontal="center" wrapText="1"/>
    </xf>
    <xf numFmtId="166" fontId="0" fillId="2" borderId="7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7620</xdr:rowOff>
    </xdr:from>
    <xdr:to>
      <xdr:col>11</xdr:col>
      <xdr:colOff>908685</xdr:colOff>
      <xdr:row>14</xdr:row>
      <xdr:rowOff>137160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53540"/>
          <a:ext cx="11338560" cy="10439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666750</xdr:colOff>
          <xdr:row>17</xdr:row>
          <xdr:rowOff>85725</xdr:rowOff>
        </xdr:from>
        <xdr:to>
          <xdr:col>7</xdr:col>
          <xdr:colOff>581025</xdr:colOff>
          <xdr:row>19</xdr:row>
          <xdr:rowOff>104775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Q89"/>
  <sheetViews>
    <sheetView showGridLines="0" tabSelected="1" topLeftCell="B10" workbookViewId="0">
      <selection activeCell="C18" sqref="C18"/>
    </sheetView>
  </sheetViews>
  <sheetFormatPr defaultColWidth="0" defaultRowHeight="15" zeroHeight="1"/>
  <cols>
    <col min="1" max="1" width="18.7109375" hidden="1" customWidth="1"/>
    <col min="2" max="2" width="20.7109375" customWidth="1"/>
    <col min="3" max="3" width="14.7109375" style="22" customWidth="1"/>
    <col min="4" max="4" width="16.7109375" style="22" customWidth="1"/>
    <col min="5" max="5" width="14.7109375" style="22" customWidth="1"/>
    <col min="6" max="6" width="16.7109375" style="22" customWidth="1"/>
    <col min="7" max="7" width="10.7109375" customWidth="1"/>
    <col min="8" max="8" width="14.7109375" style="22" customWidth="1"/>
    <col min="9" max="9" width="16.7109375" style="22" customWidth="1"/>
    <col min="10" max="10" width="10.7109375" customWidth="1"/>
    <col min="11" max="11" width="14.7109375" style="22" customWidth="1"/>
    <col min="12" max="12" width="16.7109375" style="22" customWidth="1"/>
    <col min="13" max="13" width="10.7109375" customWidth="1"/>
    <col min="14" max="14" width="11.5703125" customWidth="1"/>
    <col min="15" max="15" width="16.7109375" customWidth="1"/>
    <col min="16" max="16" width="11.5703125" customWidth="1"/>
    <col min="17" max="17" width="0.7109375" customWidth="1"/>
    <col min="18" max="16384" width="11.5703125" hidden="1"/>
  </cols>
  <sheetData>
    <row r="1" spans="1:16" hidden="1">
      <c r="A1" t="s">
        <v>8</v>
      </c>
    </row>
    <row r="2" spans="1:16" hidden="1">
      <c r="A2">
        <f>0</f>
        <v>0</v>
      </c>
      <c r="B2" s="2"/>
      <c r="C2" s="10"/>
      <c r="D2" s="10"/>
      <c r="E2" s="10"/>
      <c r="F2" s="13"/>
      <c r="G2" s="19"/>
      <c r="H2" s="16"/>
      <c r="I2" s="13"/>
      <c r="J2" s="19"/>
      <c r="K2" s="16"/>
      <c r="L2" s="13"/>
      <c r="M2" s="19"/>
      <c r="N2" s="16"/>
      <c r="O2" s="13"/>
      <c r="P2" s="19"/>
    </row>
    <row r="3" spans="1:16" hidden="1">
      <c r="A3">
        <f>1</f>
        <v>1</v>
      </c>
      <c r="B3" s="1"/>
      <c r="C3" s="11"/>
      <c r="D3" s="11"/>
      <c r="E3" s="11"/>
      <c r="F3" s="14"/>
      <c r="G3" s="20"/>
      <c r="H3" s="17"/>
      <c r="I3" s="14"/>
      <c r="J3" s="20"/>
      <c r="K3" s="17"/>
      <c r="L3" s="14"/>
      <c r="M3" s="20"/>
      <c r="N3" s="17"/>
      <c r="O3" s="14"/>
      <c r="P3" s="20"/>
    </row>
    <row r="4" spans="1:16" hidden="1">
      <c r="A4">
        <f>2</f>
        <v>2</v>
      </c>
      <c r="B4" s="1"/>
      <c r="C4" s="11"/>
      <c r="D4" s="11"/>
      <c r="E4" s="11"/>
      <c r="F4" s="14"/>
      <c r="G4" s="20"/>
      <c r="H4" s="17"/>
      <c r="I4" s="14"/>
      <c r="J4" s="20"/>
      <c r="K4" s="17"/>
      <c r="L4" s="14"/>
      <c r="M4" s="20"/>
      <c r="N4" s="17"/>
      <c r="O4" s="14"/>
      <c r="P4" s="20"/>
    </row>
    <row r="5" spans="1:16" hidden="1">
      <c r="A5">
        <f>3</f>
        <v>3</v>
      </c>
      <c r="B5" s="1"/>
      <c r="C5" s="11"/>
      <c r="D5" s="11"/>
      <c r="E5" s="11"/>
      <c r="F5" s="14"/>
      <c r="G5" s="20"/>
      <c r="H5" s="17"/>
      <c r="I5" s="14"/>
      <c r="J5" s="20"/>
      <c r="K5" s="17"/>
      <c r="L5" s="14"/>
      <c r="M5" s="20"/>
      <c r="N5" s="17"/>
      <c r="O5" s="14"/>
      <c r="P5" s="20"/>
    </row>
    <row r="6" spans="1:16" ht="39" hidden="1" customHeight="1">
      <c r="A6" t="s">
        <v>6</v>
      </c>
      <c r="B6" s="1"/>
      <c r="C6" s="11"/>
      <c r="D6" s="11"/>
      <c r="E6" s="11"/>
      <c r="F6" s="14"/>
      <c r="G6" s="20"/>
      <c r="H6" s="17"/>
      <c r="I6" s="14"/>
      <c r="J6" s="20"/>
      <c r="K6" s="17"/>
      <c r="L6" s="14"/>
      <c r="M6" s="20"/>
      <c r="N6" s="17"/>
      <c r="O6" s="14"/>
      <c r="P6" s="20"/>
    </row>
    <row r="7" spans="1:16" ht="34.5" hidden="1" customHeight="1">
      <c r="A7" t="s">
        <v>7</v>
      </c>
      <c r="B7" s="3"/>
      <c r="C7" s="12"/>
      <c r="D7" s="12"/>
      <c r="E7" s="12"/>
      <c r="F7" s="15"/>
      <c r="G7" s="21"/>
      <c r="H7" s="18"/>
      <c r="I7" s="15"/>
      <c r="J7" s="21"/>
      <c r="K7" s="18"/>
      <c r="L7" s="15"/>
      <c r="M7" s="21"/>
      <c r="N7" s="18"/>
      <c r="O7" s="15"/>
      <c r="P7" s="21"/>
    </row>
    <row r="8" spans="1:16" ht="27" hidden="1" customHeight="1">
      <c r="A8" t="s">
        <v>9</v>
      </c>
    </row>
    <row r="9" spans="1:16" ht="30" hidden="1" customHeight="1">
      <c r="B9" t="str">
        <f ca="1">_xll.TM1RPTVIEW("CXMD:FTM_DATA_MARGIN:ARPT1", 1, _xll.TM1RPTTITLE("CXMD:DIM_Origin_Company",$C$18), _xll.TM1RPTTITLE("CXMD:DIM_Allocation",$C$19), _xll.TM1RPTTITLE("CXMD:DIM_Customer_Supplier",$C$17),TM1RPTFMTRNG,TM1RPTFMTIDCOL)</f>
        <v>CXMD:FTM_DATA_MARGIN:ARPT1</v>
      </c>
    </row>
    <row r="10" spans="1:16" s="4" customFormat="1">
      <c r="C10" s="23"/>
      <c r="D10" s="23"/>
      <c r="E10" s="23"/>
      <c r="F10" s="23"/>
      <c r="H10" s="23"/>
      <c r="I10" s="23"/>
      <c r="K10" s="23"/>
      <c r="L10" s="23"/>
    </row>
    <row r="11" spans="1:16" s="4" customFormat="1">
      <c r="C11" s="23"/>
      <c r="D11" s="23"/>
      <c r="E11" s="23"/>
      <c r="F11" s="23"/>
      <c r="H11" s="23"/>
      <c r="I11" s="23"/>
      <c r="K11" s="23"/>
      <c r="L11" s="23"/>
    </row>
    <row r="12" spans="1:16" s="4" customFormat="1">
      <c r="C12" s="23"/>
      <c r="D12" s="23"/>
      <c r="E12" s="23"/>
      <c r="F12" s="23"/>
      <c r="H12" s="23"/>
      <c r="I12" s="23"/>
      <c r="K12" s="23"/>
      <c r="L12" s="23"/>
    </row>
    <row r="13" spans="1:16" s="4" customFormat="1">
      <c r="C13" s="23"/>
      <c r="D13" s="23"/>
      <c r="E13" s="23"/>
      <c r="F13" s="23"/>
      <c r="H13" s="23"/>
      <c r="I13" s="23"/>
      <c r="K13" s="23"/>
      <c r="L13" s="23"/>
    </row>
    <row r="14" spans="1:16" s="4" customFormat="1">
      <c r="C14" s="23"/>
      <c r="D14" s="23"/>
      <c r="E14" s="23"/>
      <c r="F14" s="23"/>
      <c r="H14" s="23"/>
      <c r="I14" s="23"/>
      <c r="K14" s="23"/>
      <c r="L14" s="23"/>
    </row>
    <row r="15" spans="1:16" s="4" customFormat="1">
      <c r="C15" s="23"/>
      <c r="D15" s="23"/>
      <c r="E15" s="23"/>
      <c r="F15" s="23"/>
      <c r="H15" s="23"/>
      <c r="I15" s="23"/>
      <c r="K15" s="23"/>
      <c r="L15" s="23"/>
    </row>
    <row r="16" spans="1:16" s="5" customFormat="1" ht="18.75">
      <c r="B16" s="7" t="s">
        <v>12</v>
      </c>
      <c r="C16" s="24"/>
      <c r="D16" s="24"/>
      <c r="E16" s="24"/>
      <c r="F16" s="25"/>
      <c r="H16" s="25"/>
      <c r="I16" s="25"/>
      <c r="K16" s="25"/>
      <c r="L16" s="25"/>
    </row>
    <row r="17" spans="1:16" s="5" customFormat="1" hidden="1">
      <c r="B17" s="6" t="s">
        <v>0</v>
      </c>
      <c r="C17" s="25" t="str">
        <f ca="1">_xll.SUBNM("CXMD:DIM_Customer_Supplier","","Others")</f>
        <v>Others</v>
      </c>
      <c r="D17" s="26"/>
      <c r="E17" s="25"/>
      <c r="F17" s="25"/>
      <c r="H17" s="25"/>
      <c r="I17" s="25"/>
      <c r="K17" s="25"/>
      <c r="L17" s="25"/>
    </row>
    <row r="18" spans="1:16" s="5" customFormat="1" ht="19.149999999999999" customHeight="1">
      <c r="B18" s="6" t="s">
        <v>1</v>
      </c>
      <c r="C18" s="27" t="str">
        <f ca="1">_xll.SUBNM("CXMD:DIM_Origin_Company","","KUHN UK","Name EN")</f>
        <v>KUHN UK</v>
      </c>
      <c r="D18" s="26"/>
      <c r="E18" s="25"/>
      <c r="F18" s="25"/>
      <c r="H18" s="25"/>
      <c r="I18" s="25"/>
      <c r="K18" s="25"/>
      <c r="L18" s="25"/>
    </row>
    <row r="19" spans="1:16" s="5" customFormat="1" hidden="1">
      <c r="B19" s="6" t="s">
        <v>2</v>
      </c>
      <c r="C19" s="25" t="str">
        <f ca="1">CONCATENATE(_xll.DBRA("CXMD:DIM_Origin_Company",C18,"Origin Company"),"_SALES")</f>
        <v>A_SALES</v>
      </c>
      <c r="D19" s="26"/>
      <c r="E19" s="25"/>
      <c r="F19" s="25"/>
      <c r="H19" s="25"/>
      <c r="I19" s="25"/>
      <c r="K19" s="25"/>
      <c r="L19" s="25"/>
    </row>
    <row r="20" spans="1:16" s="5" customFormat="1" ht="19.149999999999999" customHeight="1">
      <c r="B20" s="6" t="s">
        <v>11</v>
      </c>
      <c r="C20" s="27" t="str">
        <f ca="1">_xll.SUBNM("CXMD:DIM_Configuration","Total","TOTAL PRODUCT","Description EN")</f>
        <v>TOTAL PRODUCT</v>
      </c>
      <c r="D20" s="25"/>
      <c r="E20" s="25"/>
      <c r="F20" s="25"/>
      <c r="H20" s="25"/>
      <c r="I20" s="25"/>
      <c r="K20" s="25"/>
      <c r="L20" s="25"/>
    </row>
    <row r="21" spans="1:16" s="5" customFormat="1">
      <c r="C21" s="25"/>
      <c r="D21" s="25"/>
      <c r="E21" s="25"/>
      <c r="F21" s="25"/>
      <c r="H21" s="25"/>
      <c r="I21" s="25"/>
      <c r="K21" s="25"/>
      <c r="L21" s="25"/>
    </row>
    <row r="22" spans="1:16" s="5" customFormat="1">
      <c r="C22" s="25"/>
      <c r="D22" s="25"/>
      <c r="E22" s="25"/>
      <c r="F22" s="25"/>
      <c r="H22" s="25"/>
      <c r="I22" s="25"/>
      <c r="K22" s="25"/>
      <c r="L22" s="25"/>
    </row>
    <row r="23" spans="1:16" ht="14.45" customHeight="1">
      <c r="B23" s="5"/>
      <c r="C23" s="30" t="str">
        <f ca="1">_xll.SUBNM("CXMD:Actuality","Actuality","AC2015","Description EN")</f>
        <v>AC2015</v>
      </c>
      <c r="D23" s="31"/>
      <c r="E23" s="30" t="str">
        <f ca="1">_xll.SUBNM("CXMD:Actuality","Actuality","AC2016","Description EN")</f>
        <v>AC2016</v>
      </c>
      <c r="F23" s="31"/>
      <c r="G23" s="8" t="s">
        <v>10</v>
      </c>
      <c r="H23" s="30" t="str">
        <f ca="1">_xll.SUBNM("CXMD:Actuality","Actuality","AC2017","Description EN")</f>
        <v>AC2017</v>
      </c>
      <c r="I23" s="31"/>
      <c r="J23" s="8" t="s">
        <v>10</v>
      </c>
      <c r="K23" s="30" t="str">
        <f ca="1">_xll.SUBNM("CXMD:Actuality","Actuality","AC2018","Description EN")</f>
        <v>AC2018</v>
      </c>
      <c r="L23" s="31"/>
      <c r="M23" s="8" t="s">
        <v>10</v>
      </c>
      <c r="N23" s="30" t="str">
        <f ca="1">_xll.SUBNM("CXMD:Actuality","","AC2019","Description EN")</f>
        <v>AC2019</v>
      </c>
      <c r="O23" s="31"/>
      <c r="P23" s="8" t="s">
        <v>10</v>
      </c>
    </row>
    <row r="24" spans="1:16" ht="15.75">
      <c r="B24" s="5"/>
      <c r="C24" s="28" t="s">
        <v>3</v>
      </c>
      <c r="D24" s="29" t="s">
        <v>4</v>
      </c>
      <c r="E24" s="28" t="s">
        <v>3</v>
      </c>
      <c r="F24" s="29" t="s">
        <v>4</v>
      </c>
      <c r="G24" s="9" t="s">
        <v>4</v>
      </c>
      <c r="H24" s="28" t="s">
        <v>3</v>
      </c>
      <c r="I24" s="29" t="s">
        <v>4</v>
      </c>
      <c r="J24" s="9" t="s">
        <v>4</v>
      </c>
      <c r="K24" s="28" t="s">
        <v>3</v>
      </c>
      <c r="L24" s="29" t="s">
        <v>4</v>
      </c>
      <c r="M24" s="9" t="s">
        <v>4</v>
      </c>
      <c r="N24" s="28" t="s">
        <v>3</v>
      </c>
      <c r="O24" s="29" t="s">
        <v>4</v>
      </c>
      <c r="P24" s="9" t="s">
        <v>4</v>
      </c>
    </row>
    <row r="25" spans="1:16">
      <c r="A25" t="str">
        <f ca="1">IF(_xll.TM1RPTELISCONSOLIDATED(#REF!,#REF!),IF(_xll.TM1RPTELLEV(#REF!,#REF!)&lt;=3,_xll.TM1RPTELLEV(#REF!,#REF!),"D"),"N")</f>
        <v>N</v>
      </c>
      <c r="B25" s="32" t="str">
        <f ca="1">_xll.TM1RPTROW($B$9,"CXMD:Month","ChoixMois","","",0)</f>
        <v/>
      </c>
      <c r="C25" s="12" t="str">
        <f ca="1">_xll.DBRW($B$9,$B25,C$23,$C$18,$C$19,$C$17,$C$20,C$24)</f>
        <v/>
      </c>
      <c r="D25" s="12" t="str">
        <f ca="1">_xll.DBRW($B$9,$B25,C$23,$C$18,$C$19,$C$17,$C$20,D$24)</f>
        <v/>
      </c>
      <c r="E25" s="12" t="str">
        <f ca="1">_xll.DBRW($B$9,$B25,E$23,$C$18,$C$19,$C$17,$C$20,E$24)</f>
        <v/>
      </c>
      <c r="F25" s="15" t="str">
        <f ca="1">_xll.DBRW($B$9,$B25,E$23,$C$18,$C$19,$C$17,$C$20,F$24)</f>
        <v/>
      </c>
      <c r="G25" s="21" t="e">
        <f ca="1">IF(D25&lt;&gt;0,F25/D25-1,0)</f>
        <v>#VALUE!</v>
      </c>
      <c r="H25" s="18" t="str">
        <f ca="1">_xll.DBRW($B$9,$B25,H$23,$C$18,$C$19,$C$17,$C$20,H$24)</f>
        <v/>
      </c>
      <c r="I25" s="15" t="str">
        <f ca="1">_xll.DBRW($B$9,$B25,H$23,$C$18,$C$19,$C$17,$C$20,I$24)</f>
        <v/>
      </c>
      <c r="J25" s="21" t="e">
        <f ca="1">IF(F25&lt;&gt;0,I25/F25-1,0)</f>
        <v>#VALUE!</v>
      </c>
      <c r="K25" s="18" t="str">
        <f ca="1">_xll.DBRW($B$9,$B25,K$23,$C$18,$C$19,$C$17,$C$20,K$24)</f>
        <v/>
      </c>
      <c r="L25" s="15" t="str">
        <f ca="1">_xll.DBRW($B$9,$B25,K$23,$C$18,$C$19,$C$17,$C$20,L$24)</f>
        <v/>
      </c>
      <c r="M25" s="21" t="e">
        <f ca="1">IF(I25&lt;&gt;0,L25/I25-1,0)</f>
        <v>#VALUE!</v>
      </c>
      <c r="N25" s="18" t="str">
        <f ca="1">_xll.DBRW($B$9,$B25,N$23,$C$18,$C$19,$C$17,$C$20,N$24)</f>
        <v/>
      </c>
      <c r="O25" s="15" t="str">
        <f ca="1">_xll.DBRW($B$9,$B25,N$23,$C$18,$C$19,$C$17,$C$20,O$24)</f>
        <v/>
      </c>
      <c r="P25" s="21" t="e">
        <f ca="1">IF(L25&lt;&gt;0,O25/L25-1,0)</f>
        <v>#VALUE!</v>
      </c>
    </row>
    <row r="26" spans="1:16"/>
    <row r="27" spans="1:16" hidden="1"/>
    <row r="28" spans="1:16" hidden="1"/>
    <row r="29" spans="1:16" hidden="1"/>
    <row r="30" spans="1:16" hidden="1"/>
    <row r="31" spans="1:16" hidden="1"/>
    <row r="32" spans="1:16" hidden="1"/>
    <row r="33" hidden="1"/>
    <row r="34" hidden="1"/>
    <row r="35" hidden="1"/>
    <row r="36" hidden="1"/>
    <row r="37" hidden="1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mergeCells count="5">
    <mergeCell ref="H23:I23"/>
    <mergeCell ref="E23:F23"/>
    <mergeCell ref="K23:L23"/>
    <mergeCell ref="C23:D23"/>
    <mergeCell ref="N23:O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autoPict="0" r:id="rId5">
            <anchor moveWithCells="1">
              <from>
                <xdr:col>6</xdr:col>
                <xdr:colOff>666750</xdr:colOff>
                <xdr:row>17</xdr:row>
                <xdr:rowOff>85725</xdr:rowOff>
              </from>
              <to>
                <xdr:col>7</xdr:col>
                <xdr:colOff>581025</xdr:colOff>
                <xdr:row>19</xdr:row>
                <xdr:rowOff>104775</xdr:rowOff>
              </to>
            </anchor>
          </controlPr>
        </control>
      </mc:Choice>
      <mc:Fallback>
        <control shapeId="102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"/>
  <sheetViews>
    <sheetView workbookViewId="0"/>
  </sheetViews>
  <sheetFormatPr defaultColWidth="11.42578125" defaultRowHeight="15"/>
  <sheetData>
    <row r="22" spans="3:3">
      <c r="C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{AR}11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2017-01-17T15:43:59Z</dcterms:created>
  <dcterms:modified xsi:type="dcterms:W3CDTF">2022-01-26T12:37:19Z</dcterms:modified>
</cp:coreProperties>
</file>