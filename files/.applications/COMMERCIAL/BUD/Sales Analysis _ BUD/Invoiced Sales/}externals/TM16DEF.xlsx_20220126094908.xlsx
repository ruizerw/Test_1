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v191\AppData\Local\Temp\30\"/>
    </mc:Choice>
  </mc:AlternateContent>
  <bookViews>
    <workbookView xWindow="0" yWindow="0" windowWidth="23040" windowHeight="9975"/>
  </bookViews>
  <sheets>
    <sheet name="Report" sheetId="1" r:id="rId1"/>
  </sheets>
  <definedNames>
    <definedName name="TM1REBUILDOPTION">1</definedName>
    <definedName name="TM1RPTDATARNGARPT1" localSheetId="0">Report!$27:$27</definedName>
    <definedName name="TM1RPTFMTIDCOL" localSheetId="0">Report!$A$1:$A$8</definedName>
    <definedName name="TM1RPTFMTRNG" localSheetId="0">Report!$B$1:$Q$8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C20" i="1"/>
  <c r="P25" i="1"/>
  <c r="C21" i="1"/>
  <c r="C22" i="1"/>
  <c r="C18" i="1"/>
  <c r="N25" i="1"/>
  <c r="H25" i="1"/>
  <c r="K25" i="1"/>
  <c r="E25" i="1"/>
  <c r="C25" i="1"/>
  <c r="B27" i="1"/>
  <c r="P27" i="1"/>
  <c r="Q27" i="1"/>
  <c r="O27" i="1"/>
  <c r="N27" i="1"/>
  <c r="L27" i="1"/>
  <c r="K27" i="1"/>
  <c r="I27" i="1"/>
  <c r="H27" i="1"/>
  <c r="F27" i="1"/>
  <c r="D27" i="1"/>
  <c r="E27" i="1"/>
  <c r="C27" i="1"/>
  <c r="M27" i="1"/>
  <c r="J27" i="1"/>
  <c r="G27" i="1"/>
  <c r="A27" i="1"/>
  <c r="A5" i="1"/>
  <c r="A4" i="1"/>
  <c r="A3" i="1"/>
  <c r="A2" i="1"/>
</calcChain>
</file>

<file path=xl/sharedStrings.xml><?xml version="1.0" encoding="utf-8"?>
<sst xmlns="http://schemas.openxmlformats.org/spreadsheetml/2006/main" count="27" uniqueCount="13">
  <si>
    <t>Customer_Supplier</t>
  </si>
  <si>
    <t>Month</t>
  </si>
  <si>
    <t>Origin_Company</t>
  </si>
  <si>
    <t>Allocation</t>
  </si>
  <si>
    <t>QTY</t>
  </si>
  <si>
    <t>SALES</t>
  </si>
  <si>
    <t>D</t>
  </si>
  <si>
    <t>N</t>
  </si>
  <si>
    <t>[Begin Format Range]</t>
  </si>
  <si>
    <t>[End Format Range]</t>
  </si>
  <si>
    <t>SALES %</t>
  </si>
  <si>
    <t>N-1</t>
  </si>
  <si>
    <t>SALES ANALYSIS BY PERIODS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</si>
</sst>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- &quot;@"/>
    <numFmt numFmtId="166" formatCode="0&quot; &quot;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rgb="FFC00000"/>
      <name val="Adobe Heiti Std R"/>
    </font>
  </fonts>
  <fills count="1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0" tint="-0.49998474074526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3" fontId="3" fillId="0" borderId="0" xfId="0" applyNumberFormat="1" applyFont="1"/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2" borderId="4" xfId="0" applyFill="1" applyBorder="1"/>
    <xf numFmtId="0" fontId="0" fillId="3" borderId="5" xfId="0" applyFill="1" applyBorder="1"/>
    <xf numFmtId="0" fontId="0" fillId="5" borderId="5" xfId="0" applyFill="1" applyBorder="1"/>
    <xf numFmtId="0" fontId="0" fillId="6" borderId="5" xfId="0" applyFill="1" applyBorder="1"/>
    <xf numFmtId="0" fontId="0" fillId="7" borderId="6" xfId="0" applyFill="1" applyBorder="1"/>
    <xf numFmtId="0" fontId="2" fillId="4" borderId="1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164" fontId="0" fillId="2" borderId="4" xfId="0" applyNumberFormat="1" applyFill="1" applyBorder="1" applyAlignment="1"/>
    <xf numFmtId="3" fontId="4" fillId="2" borderId="4" xfId="0" applyNumberFormat="1" applyFont="1" applyFill="1" applyBorder="1"/>
    <xf numFmtId="3" fontId="4" fillId="2" borderId="7" xfId="0" applyNumberFormat="1" applyFont="1" applyFill="1" applyBorder="1"/>
    <xf numFmtId="3" fontId="4" fillId="2" borderId="10" xfId="0" applyNumberFormat="1" applyFont="1" applyFill="1" applyBorder="1"/>
    <xf numFmtId="166" fontId="5" fillId="2" borderId="12" xfId="0" applyNumberFormat="1" applyFont="1" applyFill="1" applyBorder="1"/>
    <xf numFmtId="3" fontId="4" fillId="3" borderId="5" xfId="0" applyNumberFormat="1" applyFont="1" applyFill="1" applyBorder="1"/>
    <xf numFmtId="3" fontId="4" fillId="3" borderId="8" xfId="0" applyNumberFormat="1" applyFont="1" applyFill="1" applyBorder="1"/>
    <xf numFmtId="3" fontId="4" fillId="3" borderId="0" xfId="0" applyNumberFormat="1" applyFont="1" applyFill="1" applyBorder="1"/>
    <xf numFmtId="166" fontId="5" fillId="3" borderId="13" xfId="0" applyNumberFormat="1" applyFont="1" applyFill="1" applyBorder="1"/>
    <xf numFmtId="3" fontId="4" fillId="5" borderId="5" xfId="0" applyNumberFormat="1" applyFont="1" applyFill="1" applyBorder="1"/>
    <xf numFmtId="3" fontId="4" fillId="5" borderId="8" xfId="0" applyNumberFormat="1" applyFont="1" applyFill="1" applyBorder="1"/>
    <xf numFmtId="3" fontId="4" fillId="5" borderId="0" xfId="0" applyNumberFormat="1" applyFont="1" applyFill="1" applyBorder="1"/>
    <xf numFmtId="166" fontId="5" fillId="5" borderId="13" xfId="0" applyNumberFormat="1" applyFont="1" applyFill="1" applyBorder="1"/>
    <xf numFmtId="3" fontId="4" fillId="6" borderId="5" xfId="0" applyNumberFormat="1" applyFont="1" applyFill="1" applyBorder="1"/>
    <xf numFmtId="3" fontId="4" fillId="6" borderId="8" xfId="0" applyNumberFormat="1" applyFont="1" applyFill="1" applyBorder="1"/>
    <xf numFmtId="3" fontId="4" fillId="6" borderId="0" xfId="0" applyNumberFormat="1" applyFont="1" applyFill="1" applyBorder="1"/>
    <xf numFmtId="166" fontId="5" fillId="6" borderId="13" xfId="0" applyNumberFormat="1" applyFont="1" applyFill="1" applyBorder="1"/>
    <xf numFmtId="3" fontId="4" fillId="7" borderId="6" xfId="0" applyNumberFormat="1" applyFont="1" applyFill="1" applyBorder="1"/>
    <xf numFmtId="3" fontId="4" fillId="7" borderId="9" xfId="0" applyNumberFormat="1" applyFont="1" applyFill="1" applyBorder="1"/>
    <xf numFmtId="3" fontId="4" fillId="7" borderId="11" xfId="0" applyNumberFormat="1" applyFont="1" applyFill="1" applyBorder="1"/>
    <xf numFmtId="166" fontId="5" fillId="7" borderId="14" xfId="0" applyNumberFormat="1" applyFont="1" applyFill="1" applyBorder="1"/>
    <xf numFmtId="0" fontId="0" fillId="8" borderId="0" xfId="0" applyFill="1"/>
    <xf numFmtId="0" fontId="0" fillId="9" borderId="0" xfId="0" applyFill="1" applyBorder="1"/>
    <xf numFmtId="0" fontId="1" fillId="8" borderId="0" xfId="0" applyFont="1" applyFill="1"/>
    <xf numFmtId="0" fontId="6" fillId="8" borderId="0" xfId="0" applyFont="1" applyFill="1"/>
    <xf numFmtId="0" fontId="0" fillId="10" borderId="0" xfId="0" applyFill="1"/>
    <xf numFmtId="0" fontId="7" fillId="8" borderId="0" xfId="0" applyFont="1" applyFill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/>
    <xf numFmtId="0" fontId="2" fillId="4" borderId="17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2" fillId="4" borderId="15" xfId="0" applyFont="1" applyFill="1" applyBorder="1" applyAlignment="1">
      <alignment horizontal="center" wrapText="1"/>
    </xf>
    <xf numFmtId="0" fontId="2" fillId="4" borderId="1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12</xdr:col>
      <xdr:colOff>19051</xdr:colOff>
      <xdr:row>14</xdr:row>
      <xdr:rowOff>180747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3658850" cy="113324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247650</xdr:colOff>
          <xdr:row>18</xdr:row>
          <xdr:rowOff>142875</xdr:rowOff>
        </xdr:from>
        <xdr:to>
          <xdr:col>5</xdr:col>
          <xdr:colOff>381000</xdr:colOff>
          <xdr:row>18</xdr:row>
          <xdr:rowOff>485775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T128"/>
  <sheetViews>
    <sheetView showGridLines="0" tabSelected="1" topLeftCell="B10" workbookViewId="0">
      <pane xSplit="1" ySplit="17" topLeftCell="C27" activePane="bottomRight" state="frozen"/>
      <selection activeCell="B10" sqref="B10"/>
      <selection pane="topRight" activeCell="C10" sqref="C10"/>
      <selection pane="bottomLeft" activeCell="B31" sqref="B31"/>
      <selection pane="bottomRight" activeCell="C20" sqref="C20"/>
    </sheetView>
  </sheetViews>
  <sheetFormatPr defaultColWidth="0" defaultRowHeight="15" zeroHeight="1"/>
  <cols>
    <col min="1" max="1" width="18.7109375" hidden="1" customWidth="1"/>
    <col min="2" max="2" width="69.42578125" customWidth="1"/>
    <col min="3" max="3" width="10.7109375" customWidth="1"/>
    <col min="4" max="4" width="16.7109375" customWidth="1"/>
    <col min="5" max="5" width="10.7109375" customWidth="1"/>
    <col min="6" max="6" width="16.7109375" customWidth="1"/>
    <col min="7" max="7" width="12.7109375" customWidth="1"/>
    <col min="8" max="8" width="10.7109375" customWidth="1"/>
    <col min="9" max="9" width="16.7109375" customWidth="1"/>
    <col min="10" max="10" width="12.7109375" customWidth="1"/>
    <col min="11" max="11" width="10.7109375" customWidth="1"/>
    <col min="12" max="12" width="16.7109375" customWidth="1"/>
    <col min="13" max="13" width="12.7109375" customWidth="1"/>
    <col min="14" max="14" width="10.7109375" customWidth="1"/>
    <col min="15" max="15" width="16.7109375" customWidth="1"/>
    <col min="16" max="16" width="10.7109375" customWidth="1"/>
    <col min="17" max="17" width="16.7109375" customWidth="1"/>
    <col min="18" max="18" width="11.5703125" customWidth="1"/>
    <col min="19" max="20" width="11.5703125" style="40" hidden="1" customWidth="1"/>
    <col min="21" max="16384" width="11.5703125" hidden="1"/>
  </cols>
  <sheetData>
    <row r="1" spans="1:20" hidden="1">
      <c r="A1" t="s">
        <v>8</v>
      </c>
      <c r="R1" s="34"/>
    </row>
    <row r="2" spans="1:20" hidden="1">
      <c r="A2">
        <f>0</f>
        <v>0</v>
      </c>
      <c r="B2" s="6"/>
      <c r="C2" s="14"/>
      <c r="D2" s="15"/>
      <c r="E2" s="14"/>
      <c r="F2" s="16"/>
      <c r="G2" s="17"/>
      <c r="H2" s="16"/>
      <c r="I2" s="15"/>
      <c r="J2" s="17"/>
      <c r="K2" s="14"/>
      <c r="L2" s="15"/>
      <c r="M2" s="17"/>
      <c r="N2" s="14"/>
      <c r="O2" s="15"/>
      <c r="P2" s="14"/>
      <c r="Q2" s="15"/>
      <c r="R2" s="34"/>
    </row>
    <row r="3" spans="1:20" hidden="1">
      <c r="A3">
        <f>1</f>
        <v>1</v>
      </c>
      <c r="B3" s="7"/>
      <c r="C3" s="18"/>
      <c r="D3" s="19"/>
      <c r="E3" s="18"/>
      <c r="F3" s="20"/>
      <c r="G3" s="21"/>
      <c r="H3" s="20"/>
      <c r="I3" s="19"/>
      <c r="J3" s="21"/>
      <c r="K3" s="18"/>
      <c r="L3" s="19"/>
      <c r="M3" s="21"/>
      <c r="N3" s="18"/>
      <c r="O3" s="19"/>
      <c r="P3" s="18"/>
      <c r="Q3" s="19"/>
      <c r="R3" s="34"/>
    </row>
    <row r="4" spans="1:20" hidden="1">
      <c r="A4">
        <f>2</f>
        <v>2</v>
      </c>
      <c r="B4" s="8"/>
      <c r="C4" s="22"/>
      <c r="D4" s="23"/>
      <c r="E4" s="22"/>
      <c r="F4" s="24"/>
      <c r="G4" s="25"/>
      <c r="H4" s="24"/>
      <c r="I4" s="23"/>
      <c r="J4" s="25"/>
      <c r="K4" s="22"/>
      <c r="L4" s="23"/>
      <c r="M4" s="25"/>
      <c r="N4" s="22"/>
      <c r="O4" s="23"/>
      <c r="P4" s="22"/>
      <c r="Q4" s="23"/>
      <c r="R4" s="34"/>
    </row>
    <row r="5" spans="1:20" hidden="1">
      <c r="A5">
        <f>3</f>
        <v>3</v>
      </c>
      <c r="B5" s="9"/>
      <c r="C5" s="26"/>
      <c r="D5" s="27"/>
      <c r="E5" s="26"/>
      <c r="F5" s="28"/>
      <c r="G5" s="29"/>
      <c r="H5" s="28"/>
      <c r="I5" s="27"/>
      <c r="J5" s="29"/>
      <c r="K5" s="26"/>
      <c r="L5" s="27"/>
      <c r="M5" s="29"/>
      <c r="N5" s="26"/>
      <c r="O5" s="27"/>
      <c r="P5" s="26"/>
      <c r="Q5" s="27"/>
      <c r="R5" s="34"/>
    </row>
    <row r="6" spans="1:20" hidden="1">
      <c r="A6" t="s">
        <v>6</v>
      </c>
      <c r="B6" s="10"/>
      <c r="C6" s="30"/>
      <c r="D6" s="31"/>
      <c r="E6" s="30"/>
      <c r="F6" s="32"/>
      <c r="G6" s="33"/>
      <c r="H6" s="32"/>
      <c r="I6" s="31"/>
      <c r="J6" s="33"/>
      <c r="K6" s="30"/>
      <c r="L6" s="31"/>
      <c r="M6" s="33"/>
      <c r="N6" s="30"/>
      <c r="O6" s="31"/>
      <c r="P6" s="30"/>
      <c r="Q6" s="31"/>
      <c r="R6" s="34"/>
    </row>
    <row r="7" spans="1:20" hidden="1">
      <c r="A7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34"/>
    </row>
    <row r="8" spans="1:20" hidden="1">
      <c r="A8" t="s">
        <v>9</v>
      </c>
      <c r="R8" s="34"/>
    </row>
    <row r="9" spans="1:20" hidden="1">
      <c r="B9" t="str">
        <f ca="1">_xll.TM1RPTVIEW("CXMD:FTM_DATA_MARGIN:ARPT1", 1, _xll.TM1RPTTITLE("CXMD:Month",$C$20), _xll.TM1RPTTITLE("CXMD:DIM_Origin_Company",$C$21), _xll.TM1RPTTITLE("CXMD:DIM_Allocation",$C$22), _xll.TM1RPTTITLE("CXMD:DIM_Customer_Supplier",$C$18),TM1RPTFMTRNG,TM1RPTFMTIDCOL)</f>
        <v>CXMD:FTM_DATA_MARGIN:ARPT1</v>
      </c>
      <c r="R9" s="34"/>
    </row>
    <row r="10" spans="1:20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41"/>
      <c r="T10" s="41"/>
    </row>
    <row r="11" spans="1:20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41"/>
      <c r="T11" s="41"/>
    </row>
    <row r="12" spans="1:20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41"/>
      <c r="T12" s="41"/>
    </row>
    <row r="13" spans="1:20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41"/>
      <c r="T13" s="41"/>
    </row>
    <row r="14" spans="1:20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41"/>
      <c r="T14" s="41"/>
    </row>
    <row r="15" spans="1:20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41"/>
      <c r="T15" s="41"/>
    </row>
    <row r="16" spans="1:20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41"/>
      <c r="T16" s="41"/>
    </row>
    <row r="17" spans="1:18" hidden="1">
      <c r="R17" s="34"/>
    </row>
    <row r="18" spans="1:18" hidden="1">
      <c r="B18" s="1" t="s">
        <v>0</v>
      </c>
      <c r="C18" t="str">
        <f ca="1">_xll.SUBNM("CXMD:DIM_Customer_Supplier","","Others")</f>
        <v>Others</v>
      </c>
      <c r="R18" s="34"/>
    </row>
    <row r="19" spans="1:18" ht="39.75" customHeight="1">
      <c r="A19" s="34"/>
      <c r="B19" s="39" t="s">
        <v>12</v>
      </c>
      <c r="C19" s="34"/>
      <c r="D19" s="34"/>
      <c r="E19" s="38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</row>
    <row r="20" spans="1:18">
      <c r="B20" s="36" t="s">
        <v>1</v>
      </c>
      <c r="C20" s="37" t="str">
        <f ca="1">_xll.SUBNM("CXMD:Month","","Total_Month")</f>
        <v>Total_Month</v>
      </c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</row>
    <row r="21" spans="1:18">
      <c r="B21" s="36" t="s">
        <v>2</v>
      </c>
      <c r="C21" s="37" t="str">
        <f ca="1">_xll.SUBNM("CXMD:DIM_Origin_Company","","KUHN GERMANY","Name EN")</f>
        <v>KUHN GERMANY</v>
      </c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</row>
    <row r="22" spans="1:18" hidden="1">
      <c r="B22" s="36" t="s">
        <v>3</v>
      </c>
      <c r="C22" s="34" t="str">
        <f ca="1">CONCATENATE(_xll.DBRA("CXMD:DIM_Origin_Company",C21,"Origin Company"),"_SALES")</f>
        <v>D_SALES</v>
      </c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</row>
    <row r="23" spans="1:18" ht="8.1" customHeight="1"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</row>
    <row r="24" spans="1:18" hidden="1"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</row>
    <row r="25" spans="1:18" ht="14.45" customHeight="1">
      <c r="B25" s="34"/>
      <c r="C25" s="43" t="str">
        <f ca="1">_xll.SUBNM("CXMD:Actuality","Actuality","AC2016","Description EN")</f>
        <v>AC2016</v>
      </c>
      <c r="D25" s="44"/>
      <c r="E25" s="43" t="str">
        <f ca="1">_xll.SUBNM("CXMD:Actuality","Actuality","AC2017","Description EN")</f>
        <v>AC2017</v>
      </c>
      <c r="F25" s="45"/>
      <c r="G25" s="11" t="s">
        <v>10</v>
      </c>
      <c r="H25" s="43" t="str">
        <f ca="1">_xll.SUBNM("CXMD:Actuality","Actuality","AC2018","Description EN")</f>
        <v>AC2018</v>
      </c>
      <c r="I25" s="45"/>
      <c r="J25" s="11" t="s">
        <v>10</v>
      </c>
      <c r="K25" s="46" t="str">
        <f ca="1">_xll.SUBNM("CXMD:Actuality","","AC2019","Description EN")</f>
        <v>AC2019</v>
      </c>
      <c r="L25" s="45"/>
      <c r="M25" s="11" t="s">
        <v>10</v>
      </c>
      <c r="N25" s="46" t="str">
        <f ca="1">_xll.SUBNM("CXMD:Actuality","","BU2019draft","Description EN")</f>
        <v>BU2019draft</v>
      </c>
      <c r="O25" s="45"/>
      <c r="P25" s="46" t="str">
        <f ca="1">_xll.SUBNM("CXMD:Actuality","","Ambition_2020","Description EN")</f>
        <v>Ambition_2020</v>
      </c>
      <c r="Q25" s="44"/>
      <c r="R25" s="34"/>
    </row>
    <row r="26" spans="1:18">
      <c r="B26" s="34"/>
      <c r="C26" s="3" t="s">
        <v>4</v>
      </c>
      <c r="D26" s="3" t="s">
        <v>5</v>
      </c>
      <c r="E26" s="3" t="s">
        <v>4</v>
      </c>
      <c r="F26" s="4" t="s">
        <v>5</v>
      </c>
      <c r="G26" s="12" t="s">
        <v>11</v>
      </c>
      <c r="H26" s="5" t="s">
        <v>4</v>
      </c>
      <c r="I26" s="4" t="s">
        <v>5</v>
      </c>
      <c r="J26" s="12" t="s">
        <v>11</v>
      </c>
      <c r="K26" s="5" t="s">
        <v>4</v>
      </c>
      <c r="L26" s="4" t="s">
        <v>5</v>
      </c>
      <c r="M26" s="12" t="s">
        <v>11</v>
      </c>
      <c r="N26" s="5" t="s">
        <v>4</v>
      </c>
      <c r="O26" s="42" t="s">
        <v>5</v>
      </c>
      <c r="P26" s="5" t="s">
        <v>4</v>
      </c>
      <c r="Q26" s="3" t="s">
        <v>5</v>
      </c>
      <c r="R26" s="34"/>
    </row>
    <row r="27" spans="1:18">
      <c r="A27" t="str">
        <f ca="1">IF(_xll.TM1RPTELISCONSOLIDATED($B$27,$B27),IF(_xll.TM1RPTELLEV($B$27,$B27)&lt;=3,_xll.TM1RPTELLEV($B$27,$B27),"D"),"N")</f>
        <v>N</v>
      </c>
      <c r="B27" s="13" t="str">
        <f ca="1">_xll.TM1RPTROW($B$9,"CXMD:DIM_Configuration","Product_Line","","Description EN",0)</f>
        <v/>
      </c>
      <c r="C27" s="14" t="str">
        <f ca="1">_xll.DBRW($B$9,$C$20,C$25,$C$21,$C$22,$C$18,$B27,C$26)</f>
        <v/>
      </c>
      <c r="D27" s="15" t="str">
        <f ca="1">_xll.DBRW($B$9,$C$20,C$25,$C$21,$C$22,$C$18,$B27,D$26)</f>
        <v/>
      </c>
      <c r="E27" s="14" t="str">
        <f ca="1">_xll.DBRW($B$9,$C$20,E$25,$C$21,$C$22,$C$18,$B27,E$26)</f>
        <v/>
      </c>
      <c r="F27" s="16" t="str">
        <f ca="1">_xll.DBRW($B$9,$C$20,E$25,$C$21,$C$22,$C$18,$B27,F$26)</f>
        <v/>
      </c>
      <c r="G27" s="17" t="e">
        <f ca="1">IF(D27&lt;&gt;0,(F27-D27)/D27,0)</f>
        <v>#VALUE!</v>
      </c>
      <c r="H27" s="16" t="str">
        <f ca="1">_xll.DBRW($B$9,$C$20,H$25,$C$21,$C$22,$C$18,$B27,H$26)</f>
        <v/>
      </c>
      <c r="I27" s="15" t="str">
        <f ca="1">_xll.DBRW($B$9,$C$20,H$25,$C$21,$C$22,$C$18,$B27,I$26)</f>
        <v/>
      </c>
      <c r="J27" s="17" t="e">
        <f ca="1">IF(F27&lt;&gt;0,(I27-F27)/F27,0)</f>
        <v>#VALUE!</v>
      </c>
      <c r="K27" s="14" t="str">
        <f ca="1">_xll.DBRW($B$9,$C$20,K$25,$C$21,$C$22,$C$18,$B27,K$26)</f>
        <v/>
      </c>
      <c r="L27" s="15" t="str">
        <f ca="1">_xll.DBRW($B$9,$C$20,K$25,$C$21,$C$22,$C$18,$B27,L$26)</f>
        <v/>
      </c>
      <c r="M27" s="17" t="e">
        <f ca="1">IF(I27&lt;&gt;0,(L27-I27)/I27,0)</f>
        <v>#VALUE!</v>
      </c>
      <c r="N27" s="14" t="str">
        <f ca="1">_xll.DBRW($B$9,$C$20,N$25,$C$21,$C$22,$C$18,$B27,N$26)</f>
        <v/>
      </c>
      <c r="O27" s="15" t="str">
        <f ca="1">_xll.DBRW($B$9,$C$20,N$25,$C$21,$C$22,$C$18,$B27,O$26)</f>
        <v/>
      </c>
      <c r="P27" s="14" t="str">
        <f ca="1">_xll.DBRW($B$9,$C$20,P$25,$C$21,$C$22,$C$18,$B27,P$26)</f>
        <v/>
      </c>
      <c r="Q27" s="15" t="str">
        <f ca="1">_xll.DBRW($B$9,$C$20,P$25,$C$21,$C$22,$C$18,$B27,Q$26)</f>
        <v/>
      </c>
      <c r="R27" s="34"/>
    </row>
    <row r="28" spans="1:18" hidden="1"/>
    <row r="29" spans="1:18" hidden="1"/>
    <row r="30" spans="1:18" hidden="1"/>
    <row r="31" spans="1:18" hidden="1"/>
    <row r="32" spans="1:18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</sheetData>
  <mergeCells count="6">
    <mergeCell ref="C25:D25"/>
    <mergeCell ref="E25:F25"/>
    <mergeCell ref="H25:I25"/>
    <mergeCell ref="N25:O25"/>
    <mergeCell ref="P25:Q25"/>
    <mergeCell ref="K25:L25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>
              <from>
                <xdr:col>4</xdr:col>
                <xdr:colOff>247650</xdr:colOff>
                <xdr:row>18</xdr:row>
                <xdr:rowOff>142875</xdr:rowOff>
              </from>
              <to>
                <xdr:col>5</xdr:col>
                <xdr:colOff>381000</xdr:colOff>
                <xdr:row>18</xdr:row>
                <xdr:rowOff>485775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Report</vt:lpstr>
      <vt:lpstr>Report!TM1RPTDATARNGARPT1</vt:lpstr>
      <vt:lpstr>Report!TM1RPTFMTIDCOL</vt:lpstr>
      <vt:lpstr>Report!TM1RPTFMTRNG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2016-12-01T13:30:42Z</dcterms:created>
  <dcterms:modified xsi:type="dcterms:W3CDTF">2022-01-26T09:48:58Z</dcterms:modified>
</cp:coreProperties>
</file>