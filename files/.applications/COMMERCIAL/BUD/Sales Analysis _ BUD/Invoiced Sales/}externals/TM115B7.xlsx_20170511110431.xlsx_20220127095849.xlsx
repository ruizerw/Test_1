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17925" windowHeight="9435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9" i="1"/>
  <c r="L22" i="1"/>
  <c r="C16" i="1"/>
  <c r="C18" i="1"/>
  <c r="C17" i="1"/>
  <c r="N22" i="1"/>
  <c r="I22" i="1"/>
  <c r="K22" i="1"/>
  <c r="F22" i="1"/>
  <c r="H22" i="1"/>
  <c r="D22" i="1"/>
  <c r="E22" i="1"/>
  <c r="C22" i="1"/>
  <c r="B24" i="1"/>
  <c r="N24" i="1"/>
  <c r="L24" i="1"/>
  <c r="K24" i="1"/>
  <c r="I24" i="1"/>
  <c r="H24" i="1"/>
  <c r="D24" i="1"/>
  <c r="E24" i="1"/>
  <c r="F24" i="1"/>
  <c r="C24" i="1"/>
  <c r="O22" i="1"/>
  <c r="O24" i="1"/>
  <c r="P24" i="1"/>
  <c r="M24" i="1"/>
  <c r="J24" i="1"/>
  <c r="G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<sst xmlns="http://schemas.openxmlformats.org/spreadsheetml/2006/main" count="23" uniqueCount="12">
  <si>
    <t>Origin_Company</t>
  </si>
  <si>
    <t>Configuration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</si>
  <si>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</si>
  <si>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</si>
  <si>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</si>
  <si>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</si>
  <si>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</si>
  <si>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</si>
  <si>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</si>
  <si>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SALES % N-1</t>
  </si>
  <si>
    <t>YTD Month</t>
  </si>
  <si>
    <t>INVOICED SALES BY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</si>
</sst>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7" fillId="3" borderId="0" xfId="1" applyFont="1" applyFill="1" applyAlignment="1">
      <alignment horizontal="center"/>
    </xf>
    <xf numFmtId="9" fontId="7" fillId="8" borderId="0" xfId="1" applyFont="1" applyFill="1" applyAlignment="1">
      <alignment horizontal="center"/>
    </xf>
    <xf numFmtId="9" fontId="7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4" xfId="1" applyFont="1" applyFill="1" applyBorder="1" applyAlignment="1">
      <alignment horizontal="center"/>
    </xf>
    <xf numFmtId="9" fontId="7" fillId="3" borderId="4" xfId="1" applyFont="1" applyFill="1" applyBorder="1" applyAlignment="1">
      <alignment horizontal="center"/>
    </xf>
    <xf numFmtId="9" fontId="7" fillId="8" borderId="4" xfId="1" applyFont="1" applyFill="1" applyBorder="1" applyAlignment="1">
      <alignment horizontal="center"/>
    </xf>
    <xf numFmtId="9" fontId="7" fillId="7" borderId="4" xfId="1" applyFont="1" applyFill="1" applyBorder="1" applyAlignment="1">
      <alignment horizontal="center"/>
    </xf>
    <xf numFmtId="9" fontId="7" fillId="0" borderId="4" xfId="1" applyFont="1" applyBorder="1" applyAlignment="1">
      <alignment horizontal="center"/>
    </xf>
    <xf numFmtId="164" fontId="0" fillId="2" borderId="4" xfId="0" applyNumberFormat="1" applyFill="1" applyBorder="1" applyAlignment="1"/>
    <xf numFmtId="9" fontId="3" fillId="5" borderId="6" xfId="1" applyFont="1" applyFill="1" applyBorder="1" applyAlignment="1">
      <alignment horizontal="center" vertical="center" wrapText="1"/>
    </xf>
    <xf numFmtId="9" fontId="3" fillId="5" borderId="7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6</xdr:col>
      <xdr:colOff>463551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15</xdr:row>
          <xdr:rowOff>95250</xdr:rowOff>
        </xdr:from>
        <xdr:to>
          <xdr:col>6</xdr:col>
          <xdr:colOff>733425</xdr:colOff>
          <xdr:row>19</xdr:row>
          <xdr:rowOff>133350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O24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x14ac:dyDescent="0.25"/>
  <cols>
    <col min="1" max="1" width="20.140625" hidden="1" customWidth="1"/>
    <col min="2" max="2" width="45.42578125" customWidth="1"/>
    <col min="3" max="3" width="20.28515625" customWidth="1"/>
    <col min="4" max="6" width="12.42578125" customWidth="1"/>
    <col min="7" max="7" width="12.42578125" style="23" customWidth="1"/>
    <col min="8" max="9" width="12.42578125" customWidth="1"/>
    <col min="10" max="10" width="12.42578125" style="23" customWidth="1"/>
    <col min="11" max="16" width="12.42578125" customWidth="1"/>
    <col min="17" max="17" width="3.85546875" hidden="1" customWidth="1"/>
    <col min="18" max="18" width="12.42578125" hidden="1" customWidth="1"/>
    <col min="19" max="19" width="11.42578125" hidden="1" customWidth="1"/>
    <col min="20" max="20" width="3.85546875" hidden="1" customWidth="1"/>
    <col min="21" max="21" width="12.42578125" hidden="1" customWidth="1"/>
    <col min="22" max="22" width="11.42578125" hidden="1" customWidth="1"/>
    <col min="23" max="23" width="3.85546875" hidden="1" customWidth="1"/>
    <col min="24" max="24" width="12.42578125" hidden="1" customWidth="1"/>
    <col min="25" max="25" width="11.42578125" hidden="1" customWidth="1"/>
    <col min="26" max="26" width="3.85546875" hidden="1" customWidth="1"/>
    <col min="27" max="27" width="12.42578125" hidden="1" customWidth="1"/>
    <col min="28" max="28" width="11.42578125" hidden="1" customWidth="1"/>
    <col min="29" max="29" width="3.85546875" hidden="1" customWidth="1"/>
    <col min="30" max="30" width="12.42578125" hidden="1" customWidth="1"/>
    <col min="31" max="31" width="11.42578125" hidden="1" customWidth="1"/>
    <col min="32" max="32" width="3.85546875" hidden="1" customWidth="1"/>
    <col min="33" max="33" width="12.42578125" hidden="1" customWidth="1"/>
    <col min="34" max="34" width="11.42578125" hidden="1" customWidth="1"/>
    <col min="35" max="41" width="3.85546875" hidden="1" customWidth="1"/>
    <col min="42" max="16384" width="11.42578125" hidden="1"/>
  </cols>
  <sheetData>
    <row r="1" spans="1:16" ht="27" hidden="1" customHeight="1" x14ac:dyDescent="0.25">
      <c r="A1" t="s">
        <v>7</v>
      </c>
    </row>
    <row r="2" spans="1:16" ht="24.75" hidden="1" customHeight="1" x14ac:dyDescent="0.25">
      <c r="A2">
        <f>0</f>
        <v>0</v>
      </c>
      <c r="B2" s="9"/>
      <c r="C2" s="1"/>
      <c r="D2" s="1"/>
      <c r="E2" s="1"/>
      <c r="F2" s="1"/>
      <c r="G2" s="32"/>
      <c r="H2" s="1"/>
      <c r="I2" s="1"/>
      <c r="J2" s="24"/>
      <c r="K2" s="1"/>
      <c r="L2" s="1"/>
      <c r="M2" s="1"/>
      <c r="N2" s="1"/>
      <c r="O2" s="1"/>
      <c r="P2" s="1"/>
    </row>
    <row r="3" spans="1:16" ht="27" hidden="1" customHeight="1" x14ac:dyDescent="0.25">
      <c r="A3">
        <f>1</f>
        <v>1</v>
      </c>
      <c r="B3" s="10"/>
      <c r="C3" s="2"/>
      <c r="D3" s="2"/>
      <c r="E3" s="2"/>
      <c r="F3" s="2"/>
      <c r="G3" s="33"/>
      <c r="H3" s="2"/>
      <c r="I3" s="2"/>
      <c r="J3" s="25"/>
      <c r="K3" s="2"/>
      <c r="L3" s="2"/>
      <c r="M3" s="2"/>
      <c r="N3" s="2"/>
      <c r="O3" s="2"/>
      <c r="P3" s="2"/>
    </row>
    <row r="4" spans="1:16" ht="25.5" hidden="1" customHeight="1" x14ac:dyDescent="0.25">
      <c r="A4">
        <f>2</f>
        <v>2</v>
      </c>
      <c r="B4" s="18"/>
      <c r="C4" s="19"/>
      <c r="D4" s="19"/>
      <c r="E4" s="19"/>
      <c r="F4" s="19"/>
      <c r="G4" s="34"/>
      <c r="H4" s="19"/>
      <c r="I4" s="19"/>
      <c r="J4" s="26"/>
      <c r="K4" s="2"/>
      <c r="L4" s="2"/>
      <c r="M4" s="2"/>
      <c r="N4" s="2"/>
      <c r="O4" s="2"/>
      <c r="P4" s="2"/>
    </row>
    <row r="5" spans="1:16" ht="24" hidden="1" customHeight="1" x14ac:dyDescent="0.25">
      <c r="A5">
        <f>3</f>
        <v>3</v>
      </c>
      <c r="B5" s="16"/>
      <c r="C5" s="17"/>
      <c r="D5" s="17"/>
      <c r="E5" s="17"/>
      <c r="F5" s="17"/>
      <c r="G5" s="35"/>
      <c r="H5" s="17"/>
      <c r="I5" s="17"/>
      <c r="J5" s="27"/>
      <c r="K5" s="2"/>
      <c r="L5" s="2"/>
      <c r="M5" s="2"/>
      <c r="N5" s="2"/>
      <c r="O5" s="2"/>
      <c r="P5" s="2"/>
    </row>
    <row r="6" spans="1:16" ht="23.25" hidden="1" customHeight="1" x14ac:dyDescent="0.25">
      <c r="A6" t="s">
        <v>5</v>
      </c>
      <c r="B6" s="10"/>
      <c r="C6" s="2"/>
      <c r="D6" s="2"/>
      <c r="E6" s="2"/>
      <c r="F6" s="2"/>
      <c r="G6" s="33"/>
      <c r="H6" s="2"/>
      <c r="I6" s="2"/>
      <c r="J6" s="25"/>
      <c r="K6" s="2"/>
      <c r="L6" s="2"/>
      <c r="M6" s="2"/>
      <c r="N6" s="2"/>
      <c r="O6" s="2"/>
      <c r="P6" s="2"/>
    </row>
    <row r="7" spans="1:16" ht="27" hidden="1" customHeight="1" x14ac:dyDescent="0.25">
      <c r="A7" t="s">
        <v>6</v>
      </c>
      <c r="B7" s="11"/>
      <c r="C7" s="3"/>
      <c r="D7" s="3"/>
      <c r="E7" s="3"/>
      <c r="F7" s="3"/>
      <c r="G7" s="36"/>
      <c r="H7" s="3"/>
      <c r="I7" s="3"/>
      <c r="J7" s="28"/>
      <c r="K7" s="3"/>
      <c r="L7" s="3"/>
      <c r="M7" s="3"/>
      <c r="N7" s="3"/>
      <c r="O7" s="3"/>
      <c r="P7" s="3"/>
    </row>
    <row r="8" spans="1:16" ht="34.5" hidden="1" customHeight="1" x14ac:dyDescent="0.25">
      <c r="A8" t="s">
        <v>8</v>
      </c>
    </row>
    <row r="9" spans="1:16" ht="27" hidden="1" customHeight="1" x14ac:dyDescent="0.25">
      <c r="B9" t="str">
        <f ca="1">_xll.TM1RPTVIEW("CXMD:FTM_DATA_MARGIN:ARPT1",1, _xll.TM1RPTTITLE("CXMD:DIM_Origin_Company",$C$16),_xll.TM1RPTTITLE("CXMD:DIM_Customer_Supplier",$C$18), _xll.TM1RPTTITLE("CXMD:DIM_Configuration",$C$17),TM1RPTFMTRNG,TM1RPTFMTIDCOL)</f>
        <v>CXMD:FTM_DATA_MARGIN:ARPT1</v>
      </c>
    </row>
    <row r="10" spans="1:16" x14ac:dyDescent="0.25">
      <c r="B10" s="13"/>
      <c r="C10" s="13"/>
      <c r="D10" s="13"/>
      <c r="E10" s="13"/>
      <c r="F10" s="13"/>
      <c r="G10" s="29"/>
      <c r="H10" s="13"/>
      <c r="I10" s="13"/>
      <c r="J10" s="29"/>
      <c r="K10" s="13"/>
      <c r="L10" s="13"/>
      <c r="M10" s="13"/>
      <c r="N10" s="13"/>
      <c r="O10" s="13"/>
      <c r="P10" s="13"/>
    </row>
    <row r="11" spans="1:16" x14ac:dyDescent="0.25">
      <c r="B11" s="13"/>
      <c r="C11" s="13"/>
      <c r="D11" s="13"/>
      <c r="E11" s="13"/>
      <c r="F11" s="13"/>
      <c r="G11" s="29"/>
      <c r="H11" s="13"/>
      <c r="I11" s="13"/>
      <c r="J11" s="29"/>
      <c r="K11" s="13"/>
      <c r="L11" s="13"/>
      <c r="M11" s="13"/>
      <c r="N11" s="13"/>
      <c r="O11" s="13"/>
      <c r="P11" s="13"/>
    </row>
    <row r="12" spans="1:16" x14ac:dyDescent="0.25">
      <c r="B12" s="13"/>
      <c r="C12" s="13"/>
      <c r="D12" s="13"/>
      <c r="E12" s="13"/>
      <c r="F12" s="13"/>
      <c r="G12" s="29"/>
      <c r="H12" s="13"/>
      <c r="I12" s="13"/>
      <c r="J12" s="29"/>
      <c r="K12" s="13"/>
      <c r="L12" s="13"/>
      <c r="M12" s="13"/>
      <c r="N12" s="13"/>
      <c r="O12" s="13"/>
      <c r="P12" s="13"/>
    </row>
    <row r="13" spans="1:16" x14ac:dyDescent="0.25">
      <c r="B13" s="13"/>
      <c r="C13" s="13"/>
      <c r="D13" s="13"/>
      <c r="E13" s="13"/>
      <c r="F13" s="13"/>
      <c r="G13" s="29"/>
      <c r="H13" s="13"/>
      <c r="I13" s="13"/>
      <c r="J13" s="29"/>
      <c r="K13" s="13"/>
      <c r="L13" s="13"/>
      <c r="M13" s="13"/>
      <c r="N13" s="13"/>
      <c r="O13" s="13"/>
      <c r="P13" s="13"/>
    </row>
    <row r="14" spans="1:16" x14ac:dyDescent="0.25">
      <c r="B14" s="13"/>
      <c r="C14" s="13"/>
      <c r="D14" s="13"/>
      <c r="E14" s="13"/>
      <c r="F14" s="13"/>
      <c r="G14" s="29"/>
      <c r="H14" s="13"/>
      <c r="I14" s="13"/>
      <c r="J14" s="29"/>
      <c r="K14" s="13"/>
      <c r="L14" s="13"/>
      <c r="M14" s="13"/>
      <c r="N14" s="13"/>
      <c r="O14" s="13"/>
      <c r="P14" s="13"/>
    </row>
    <row r="15" spans="1:16" ht="19.5" x14ac:dyDescent="0.3">
      <c r="B15" s="12" t="s">
        <v>11</v>
      </c>
      <c r="C15" s="4"/>
      <c r="D15" s="4"/>
      <c r="E15" s="4"/>
      <c r="F15" s="4"/>
      <c r="G15" s="30"/>
      <c r="H15" s="4"/>
      <c r="I15" s="4"/>
      <c r="J15" s="30"/>
      <c r="K15" s="4"/>
      <c r="L15" s="4"/>
      <c r="M15" s="4"/>
      <c r="N15" s="4"/>
      <c r="O15" s="4"/>
      <c r="P15" s="4"/>
    </row>
    <row r="16" spans="1:16" x14ac:dyDescent="0.25">
      <c r="B16" s="5" t="s">
        <v>0</v>
      </c>
      <c r="C16" s="7" t="str">
        <f ca="1">_xll.SUBNM("CXMD:DIM_Origin_Company","","-1","Name EN")</f>
        <v>Not available</v>
      </c>
      <c r="D16" s="4"/>
      <c r="E16" s="4"/>
      <c r="F16" s="4"/>
      <c r="G16" s="30"/>
      <c r="H16" s="4"/>
      <c r="I16" s="4"/>
      <c r="J16" s="30"/>
      <c r="K16" s="4"/>
      <c r="L16" s="4"/>
      <c r="M16" s="4"/>
      <c r="N16" s="4"/>
      <c r="O16" s="4"/>
      <c r="P16" s="4"/>
    </row>
    <row r="17" spans="1:16" x14ac:dyDescent="0.25">
      <c r="B17" s="5" t="s">
        <v>1</v>
      </c>
      <c r="C17" s="7" t="str">
        <f ca="1">_xll.SUBNM("CXMD:DIM_Configuration","","TOTAL PRODUCT","Description EN")</f>
        <v>TOTAL PRODUCT</v>
      </c>
      <c r="D17" s="4"/>
      <c r="E17" s="4"/>
      <c r="F17" s="4"/>
      <c r="G17" s="30"/>
      <c r="H17" s="4"/>
      <c r="I17" s="4"/>
      <c r="J17" s="30"/>
      <c r="K17" s="4"/>
      <c r="L17" s="4"/>
      <c r="M17" s="4"/>
      <c r="N17" s="4"/>
      <c r="O17" s="4"/>
      <c r="P17" s="4"/>
    </row>
    <row r="18" spans="1:16" hidden="1" x14ac:dyDescent="0.25">
      <c r="B18" s="5" t="s">
        <v>2</v>
      </c>
      <c r="C18" s="7" t="str">
        <f ca="1">_xll.SUBNM("CXMD:Customer_Supplier","","Others")</f>
        <v>Others</v>
      </c>
      <c r="D18" s="4"/>
      <c r="E18" s="4"/>
      <c r="F18" s="4"/>
      <c r="G18" s="30"/>
      <c r="H18" s="4"/>
      <c r="I18" s="4"/>
      <c r="J18" s="30"/>
      <c r="K18" s="4"/>
      <c r="L18" s="4"/>
      <c r="M18" s="4"/>
      <c r="N18" s="4"/>
      <c r="O18" s="4"/>
      <c r="P18" s="4"/>
    </row>
    <row r="19" spans="1:16" x14ac:dyDescent="0.25">
      <c r="B19" s="5" t="s">
        <v>10</v>
      </c>
      <c r="C19" s="7" t="str">
        <f ca="1">_xll.SUBNM("CXMD:Month","","YTD_August","Description EN")</f>
        <v>YTD_August</v>
      </c>
      <c r="D19" s="4"/>
      <c r="E19" s="4"/>
      <c r="F19" s="4"/>
      <c r="G19" s="30"/>
      <c r="H19" s="4"/>
      <c r="I19" s="4"/>
      <c r="J19" s="30"/>
      <c r="K19" s="4"/>
      <c r="L19" s="4"/>
      <c r="M19" s="4"/>
      <c r="N19" s="4"/>
      <c r="O19" s="4"/>
      <c r="P19" s="4"/>
    </row>
    <row r="20" spans="1:16" x14ac:dyDescent="0.25">
      <c r="B20" s="4"/>
      <c r="C20" s="4"/>
      <c r="D20" s="4"/>
      <c r="E20" s="4"/>
      <c r="F20" s="4"/>
      <c r="G20" s="30"/>
      <c r="H20" s="4"/>
      <c r="I20" s="4"/>
      <c r="J20" s="30"/>
      <c r="K20" s="4"/>
      <c r="L20" s="4"/>
      <c r="M20" s="4"/>
      <c r="N20" s="4"/>
      <c r="O20" s="4"/>
      <c r="P20" s="4"/>
    </row>
    <row r="21" spans="1:16" x14ac:dyDescent="0.25">
      <c r="B21" s="4"/>
      <c r="C21" s="6"/>
      <c r="D21" s="7"/>
      <c r="E21" s="7"/>
      <c r="F21" s="7"/>
      <c r="G21" s="15"/>
      <c r="H21" s="7"/>
      <c r="I21" s="7"/>
      <c r="J21" s="31"/>
      <c r="K21" s="7"/>
      <c r="L21" s="7"/>
      <c r="M21" s="31"/>
      <c r="N21" s="7"/>
      <c r="O21" s="7"/>
      <c r="P21" s="31"/>
    </row>
    <row r="22" spans="1:16" s="14" customFormat="1" ht="47.25" customHeight="1" x14ac:dyDescent="0.25">
      <c r="B22" s="21"/>
      <c r="C22" s="20" t="str">
        <f ca="1">_xll.SUBNM("CXMD:Actuality","Actuality","AC2018","Description EN")</f>
        <v>AC2018</v>
      </c>
      <c r="D22" s="8" t="str">
        <f ca="1">_xll.SUBNM("CXMD:Actuality","Actuality","AC2018","Description EN")</f>
        <v>AC2018</v>
      </c>
      <c r="E22" s="8" t="str">
        <f ca="1">_xll.SUBNM("CXMD:Actuality","Actuality","AC2019","Description EN")</f>
        <v>AC2019</v>
      </c>
      <c r="F22" s="8" t="str">
        <f ca="1">_xll.SUBNM("CXMD:Actuality","Actuality","AC2019","Description EN")</f>
        <v>AC2019</v>
      </c>
      <c r="G22" s="38" t="s">
        <v>9</v>
      </c>
      <c r="H22" s="8" t="str">
        <f ca="1">_xll.SUBNM("CXMD:Actuality","Actuality","AC2020","Description EN")</f>
        <v>AC2020</v>
      </c>
      <c r="I22" s="8" t="str">
        <f ca="1">_xll.SUBNM("CXMD:Actuality","Actuality","AC2020","Description EN")</f>
        <v>AC2020</v>
      </c>
      <c r="J22" s="40" t="s">
        <v>9</v>
      </c>
      <c r="K22" s="8" t="str">
        <f ca="1">_xll.SUBNM("CXMD:Actuality","Actuality","AC2021","Description EN")</f>
        <v>AC2021</v>
      </c>
      <c r="L22" s="8" t="str">
        <f ca="1">_xll.SUBNM("CXMD:Actuality","Actuality","AC2021","Description EN")</f>
        <v>AC2021</v>
      </c>
      <c r="M22" s="40" t="s">
        <v>9</v>
      </c>
      <c r="N22" s="8" t="str">
        <f ca="1">_xll.SUBNM("CXMD:Actuality","Actuality","AC2022","Description EN")</f>
        <v>AC2022</v>
      </c>
      <c r="O22" s="8" t="str">
        <f ca="1">_xll.SUBNM("CXMD:Actuality","Actuality","AC2022","Description EN")</f>
        <v>AC2022</v>
      </c>
      <c r="P22" s="40" t="s">
        <v>9</v>
      </c>
    </row>
    <row r="23" spans="1:16" x14ac:dyDescent="0.25">
      <c r="B23" s="22"/>
      <c r="C23" s="6" t="s">
        <v>3</v>
      </c>
      <c r="D23" s="6" t="s">
        <v>4</v>
      </c>
      <c r="E23" s="6" t="s">
        <v>3</v>
      </c>
      <c r="F23" s="6" t="s">
        <v>4</v>
      </c>
      <c r="G23" s="39"/>
      <c r="H23" s="6" t="s">
        <v>3</v>
      </c>
      <c r="I23" s="6" t="s">
        <v>4</v>
      </c>
      <c r="J23" s="41"/>
      <c r="K23" s="6" t="s">
        <v>3</v>
      </c>
      <c r="L23" s="6" t="s">
        <v>4</v>
      </c>
      <c r="M23" s="41"/>
      <c r="N23" s="6" t="s">
        <v>3</v>
      </c>
      <c r="O23" s="6" t="s">
        <v>4</v>
      </c>
      <c r="P23" s="41"/>
    </row>
    <row r="24" spans="1:16" x14ac:dyDescent="0.25">
      <c r="A24" t="str">
        <f ca="1">IF(_xll.TM1RPTELISCONSOLIDATED($B$24,$B24),IF(_xll.TM1RPTELLEV($B$24,$B24)&lt;=3,_xll.TM1RPTELLEV($B$24,$B24),"D"),"N")</f>
        <v>N</v>
      </c>
      <c r="B24" s="37" t="str">
        <f ca="1">_xll.TM1RPTROW($B$9,"CXMD:DIM_Allocation","Par défaut","","Allocation EN")</f>
        <v/>
      </c>
      <c r="C24" s="1" t="str">
        <f ca="1">_xll.DBRW($B$9,$C$19,C$22,$C$16,$B24,$C$18,$C$17,C$23)</f>
        <v/>
      </c>
      <c r="D24" s="1" t="str">
        <f ca="1">_xll.DBRW($B$9,$C$19,D$22,$C$16,$B24,$C$18,$C$17,D$23)</f>
        <v/>
      </c>
      <c r="E24" s="1" t="str">
        <f ca="1">_xll.DBRW($B$9,$C$19,E$22,$C$16,$B24,$C$18,$C$17,E$23)</f>
        <v/>
      </c>
      <c r="F24" s="1" t="str">
        <f ca="1">_xll.DBRW($B$9,$C$19,F$22,$C$16,$B24,$C$18,$C$17,F$23)</f>
        <v/>
      </c>
      <c r="G24" s="32" t="e">
        <f ca="1">IF(D24&lt;&gt;0,F24/D24-1,0)</f>
        <v>#VALUE!</v>
      </c>
      <c r="H24" s="1" t="str">
        <f ca="1">_xll.DBRW($B$9,$C$19,H$22,$C$16,$B24,$C$18,$C$17,H$23)</f>
        <v/>
      </c>
      <c r="I24" s="1" t="str">
        <f ca="1">_xll.DBRW($B$9,$C$19,I$22,$C$16,$B24,$C$18,$C$17,I$23)</f>
        <v/>
      </c>
      <c r="J24" s="24" t="e">
        <f ca="1">IF(F24&lt;&gt;0,I24/F24-1,0)</f>
        <v>#VALUE!</v>
      </c>
      <c r="K24" s="1" t="str">
        <f ca="1">_xll.DBRW($B$9,$C$19,K$22,$C$16,$B24,$C$18,$C$17,K$23)</f>
        <v/>
      </c>
      <c r="L24" s="1" t="str">
        <f ca="1">_xll.DBRW($B$9,$C$19,L$22,$C$16,$B24,$C$18,$C$17,L$23)</f>
        <v/>
      </c>
      <c r="M24" s="1" t="e">
        <f ca="1">IF(I24&lt;&gt;0,L24/I24-1,0)</f>
        <v>#VALUE!</v>
      </c>
      <c r="N24" s="1" t="str">
        <f ca="1">_xll.DBRW($B$9,$C$19,N$22,$C$16,$B24,$C$18,$C$17,N$23)</f>
        <v/>
      </c>
      <c r="O24" s="1" t="str">
        <f ca="1">_xll.DBRW($B$9,#REF!,#REF!,#REF!,O$22,$C$19,$C$16,#REF!,$B24,$C$18,$C$17,O$23)</f>
        <v>*KEY_ERR</v>
      </c>
      <c r="P24" s="1" t="e">
        <f ca="1">IF(L24&lt;&gt;0,O24/L24-1,0)</f>
        <v>#VALUE!</v>
      </c>
    </row>
  </sheetData>
  <mergeCells count="4">
    <mergeCell ref="G22:G23"/>
    <mergeCell ref="J22:J23"/>
    <mergeCell ref="M22:M23"/>
    <mergeCell ref="P22:P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85725</xdr:colOff>
                <xdr:row>15</xdr:row>
                <xdr:rowOff>95250</xdr:rowOff>
              </from>
              <to>
                <xdr:col>6</xdr:col>
                <xdr:colOff>733425</xdr:colOff>
                <xdr:row>19</xdr:row>
                <xdr:rowOff>133350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2022-01-27T09:58:42Z</dcterms:modified>
</cp:coreProperties>
</file>