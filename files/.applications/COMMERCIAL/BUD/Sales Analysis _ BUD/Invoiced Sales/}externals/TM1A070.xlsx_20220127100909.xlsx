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rv191\AppData\Local\Temp\31\"/>
    </mc:Choice>
  </mc:AlternateContent>
  <bookViews>
    <workbookView xWindow="0" yWindow="0" windowWidth="17925" windowHeight="9435"/>
  </bookViews>
  <sheets>
    <sheet name="Feuil1" sheetId="1" r:id="rId1"/>
  </sheets>
  <definedNames>
    <definedName name="ID" localSheetId="0" hidden="1">"fabdedb9-a64c-414b-8a72-d9dbdd71eb21"</definedName>
    <definedName name="TM1REBUILDOPTION">1</definedName>
    <definedName name="TM1RPTDATARNGARPT1" localSheetId="0">Feuil1!$24:$24</definedName>
    <definedName name="TM1RPTFMTIDCOL" localSheetId="0">Feuil1!$A$1:$A$8</definedName>
    <definedName name="TM1RPTFMTRNG" localSheetId="0">Feuil1!$B$1:$AK$8</definedName>
  </definedNames>
  <calcPr calcId="162913" calcMode="manual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1" l="1"/>
  <c r="AJ21" i="1"/>
  <c r="AJ22" i="1"/>
  <c r="C16" i="1"/>
  <c r="C17" i="1"/>
  <c r="C18" i="1"/>
  <c r="B24" i="1"/>
  <c r="AI23" i="1"/>
  <c r="AJ23" i="1"/>
  <c r="AJ24" i="1"/>
  <c r="C19" i="1"/>
  <c r="AK21" i="1"/>
  <c r="AK22" i="1"/>
  <c r="AK23" i="1"/>
  <c r="AK24" i="1"/>
  <c r="AI21" i="1"/>
  <c r="AI22" i="1"/>
  <c r="AI24" i="1"/>
  <c r="AF21" i="1"/>
  <c r="AF22" i="1"/>
  <c r="AE23" i="1"/>
  <c r="AF23" i="1"/>
  <c r="AF24" i="1"/>
  <c r="AG21" i="1"/>
  <c r="AG22" i="1"/>
  <c r="AG23" i="1"/>
  <c r="AG24" i="1"/>
  <c r="AE21" i="1"/>
  <c r="AE22" i="1"/>
  <c r="AE24" i="1"/>
  <c r="Z21" i="1"/>
  <c r="Z22" i="1"/>
  <c r="Y23" i="1"/>
  <c r="Z23" i="1"/>
  <c r="Z24" i="1"/>
  <c r="AA21" i="1"/>
  <c r="AA22" i="1"/>
  <c r="AA23" i="1"/>
  <c r="AA24" i="1"/>
  <c r="Y21" i="1"/>
  <c r="Y22" i="1"/>
  <c r="Y24" i="1"/>
  <c r="V21" i="1"/>
  <c r="V22" i="1"/>
  <c r="U23" i="1"/>
  <c r="V23" i="1"/>
  <c r="V24" i="1"/>
  <c r="W21" i="1"/>
  <c r="W22" i="1"/>
  <c r="W23" i="1"/>
  <c r="W24" i="1"/>
  <c r="U21" i="1"/>
  <c r="U22" i="1"/>
  <c r="U24" i="1"/>
  <c r="Q21" i="1"/>
  <c r="Q22" i="1"/>
  <c r="P23" i="1"/>
  <c r="Q23" i="1"/>
  <c r="Q24" i="1"/>
  <c r="R21" i="1"/>
  <c r="R22" i="1"/>
  <c r="R23" i="1"/>
  <c r="R24" i="1"/>
  <c r="P21" i="1"/>
  <c r="P22" i="1"/>
  <c r="P24" i="1"/>
  <c r="M21" i="1"/>
  <c r="M22" i="1"/>
  <c r="L23" i="1"/>
  <c r="M23" i="1"/>
  <c r="M24" i="1"/>
  <c r="N21" i="1"/>
  <c r="N22" i="1"/>
  <c r="N23" i="1"/>
  <c r="N24" i="1"/>
  <c r="L21" i="1"/>
  <c r="L22" i="1"/>
  <c r="L24" i="1"/>
  <c r="I21" i="1"/>
  <c r="I22" i="1"/>
  <c r="H23" i="1"/>
  <c r="I23" i="1"/>
  <c r="I24" i="1"/>
  <c r="J21" i="1"/>
  <c r="J22" i="1"/>
  <c r="J23" i="1"/>
  <c r="J24" i="1"/>
  <c r="H21" i="1"/>
  <c r="H22" i="1"/>
  <c r="H24" i="1"/>
  <c r="E21" i="1"/>
  <c r="E22" i="1"/>
  <c r="D23" i="1"/>
  <c r="E23" i="1"/>
  <c r="E24" i="1"/>
  <c r="F21" i="1"/>
  <c r="F22" i="1"/>
  <c r="F23" i="1"/>
  <c r="F24" i="1"/>
  <c r="D21" i="1"/>
  <c r="D22" i="1"/>
  <c r="D24" i="1"/>
  <c r="AD22" i="1"/>
  <c r="AH22" i="1"/>
  <c r="T22" i="1"/>
  <c r="X22" i="1"/>
  <c r="K22" i="1"/>
  <c r="O22" i="1"/>
  <c r="C22" i="1"/>
  <c r="G22" i="1"/>
  <c r="AH24" i="1"/>
  <c r="X24" i="1"/>
  <c r="AL24" i="1"/>
  <c r="O24" i="1"/>
  <c r="AB24" i="1"/>
  <c r="AD24" i="1"/>
  <c r="G24" i="1"/>
  <c r="S24" i="1"/>
  <c r="T24" i="1"/>
  <c r="K24" i="1"/>
  <c r="C24" i="1"/>
  <c r="A24" i="1"/>
  <c r="A5" i="1"/>
  <c r="A4" i="1"/>
  <c r="A3" i="1"/>
  <c r="A2" i="1"/>
</calcChain>
</file>

<file path=xl/sharedStrings.xml><?xml version="1.0" encoding="utf-8"?>
<sst xmlns="http://schemas.openxmlformats.org/spreadsheetml/2006/main" count="25" uniqueCount="17">
  <si>
    <t>Origin_Company</t>
  </si>
  <si>
    <t>Customer_Supplier</t>
  </si>
  <si>
    <t>QTY</t>
  </si>
  <si>
    <t>SALES</t>
  </si>
  <si>
    <t>D</t>
  </si>
  <si>
    <t>N</t>
  </si>
  <si>
    <t>[Begin Format Range]</t>
  </si>
  <si>
    <t>[End Format Range]</t>
  </si>
  <si>
    <t>SALES % N-1</t>
  </si>
  <si>
    <t>YTD Month</t>
  </si>
  <si>
    <t>Allocation</t>
  </si>
  <si>
    <t>INVOICED SALES BY PRODUCT _in SEASON from September to end of August</t>
  </si>
  <si>
    <t>AC2016</t>
  </si>
  <si>
    <t>AC2017</t>
  </si>
  <si>
    <t>AC2018</t>
  </si>
  <si>
    <t>AC2019</t>
  </si>
  <si>
    <t>AC2020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</si>
</sst>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+ &quot;@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5"/>
      <color rgb="FFC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51">
    <xf numFmtId="0" fontId="0" fillId="0" borderId="0" xfId="0"/>
    <xf numFmtId="3" fontId="4" fillId="2" borderId="0" xfId="0" applyNumberFormat="1" applyFont="1" applyFill="1"/>
    <xf numFmtId="3" fontId="4" fillId="3" borderId="0" xfId="0" applyNumberFormat="1" applyFont="1" applyFill="1"/>
    <xf numFmtId="3" fontId="4" fillId="0" borderId="0" xfId="0" applyNumberFormat="1" applyFont="1"/>
    <xf numFmtId="0" fontId="0" fillId="4" borderId="0" xfId="0" applyFill="1"/>
    <xf numFmtId="0" fontId="2" fillId="4" borderId="0" xfId="0" applyFont="1" applyFill="1"/>
    <xf numFmtId="0" fontId="3" fillId="4" borderId="0" xfId="0" applyFont="1" applyFill="1" applyAlignment="1">
      <alignment horizontal="center"/>
    </xf>
    <xf numFmtId="0" fontId="1" fillId="4" borderId="0" xfId="0" applyFont="1" applyFill="1"/>
    <xf numFmtId="0" fontId="3" fillId="5" borderId="1" xfId="0" applyFont="1" applyFill="1" applyBorder="1" applyAlignment="1">
      <alignment horizontal="center" vertical="center" wrapText="1"/>
    </xf>
    <xf numFmtId="0" fontId="0" fillId="2" borderId="4" xfId="0" applyFill="1" applyBorder="1"/>
    <xf numFmtId="0" fontId="0" fillId="3" borderId="4" xfId="0" applyFill="1" applyBorder="1"/>
    <xf numFmtId="0" fontId="0" fillId="0" borderId="4" xfId="0" applyBorder="1"/>
    <xf numFmtId="0" fontId="5" fillId="4" borderId="0" xfId="0" applyFont="1" applyFill="1"/>
    <xf numFmtId="0" fontId="0" fillId="6" borderId="0" xfId="0" applyFill="1"/>
    <xf numFmtId="164" fontId="0" fillId="2" borderId="4" xfId="0" applyNumberFormat="1" applyFill="1" applyBorder="1" applyAlignment="1"/>
    <xf numFmtId="0" fontId="0" fillId="0" borderId="0" xfId="0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9" fontId="3" fillId="4" borderId="0" xfId="1" applyFont="1" applyFill="1" applyAlignment="1">
      <alignment horizontal="center"/>
    </xf>
    <xf numFmtId="0" fontId="0" fillId="7" borderId="4" xfId="0" applyFill="1" applyBorder="1"/>
    <xf numFmtId="3" fontId="4" fillId="7" borderId="0" xfId="0" applyNumberFormat="1" applyFont="1" applyFill="1"/>
    <xf numFmtId="0" fontId="0" fillId="8" borderId="4" xfId="0" applyFill="1" applyBorder="1"/>
    <xf numFmtId="3" fontId="4" fillId="8" borderId="0" xfId="0" applyNumberFormat="1" applyFont="1" applyFill="1"/>
    <xf numFmtId="0" fontId="3" fillId="5" borderId="5" xfId="0" applyFont="1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4" xfId="0" applyFill="1" applyBorder="1"/>
    <xf numFmtId="0" fontId="3" fillId="5" borderId="6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/>
    </xf>
    <xf numFmtId="3" fontId="4" fillId="2" borderId="4" xfId="0" applyNumberFormat="1" applyFont="1" applyFill="1" applyBorder="1"/>
    <xf numFmtId="3" fontId="4" fillId="3" borderId="4" xfId="0" applyNumberFormat="1" applyFont="1" applyFill="1" applyBorder="1"/>
    <xf numFmtId="3" fontId="4" fillId="8" borderId="4" xfId="0" applyNumberFormat="1" applyFont="1" applyFill="1" applyBorder="1"/>
    <xf numFmtId="3" fontId="4" fillId="7" borderId="4" xfId="0" applyNumberFormat="1" applyFont="1" applyFill="1" applyBorder="1"/>
    <xf numFmtId="3" fontId="4" fillId="0" borderId="4" xfId="0" applyNumberFormat="1" applyFont="1" applyBorder="1"/>
    <xf numFmtId="9" fontId="2" fillId="0" borderId="0" xfId="1" applyFont="1" applyAlignment="1">
      <alignment horizontal="center"/>
    </xf>
    <xf numFmtId="9" fontId="7" fillId="2" borderId="0" xfId="1" applyFont="1" applyFill="1" applyAlignment="1">
      <alignment horizontal="center"/>
    </xf>
    <xf numFmtId="9" fontId="7" fillId="3" borderId="0" xfId="1" applyFont="1" applyFill="1" applyAlignment="1">
      <alignment horizontal="center"/>
    </xf>
    <xf numFmtId="9" fontId="7" fillId="8" borderId="0" xfId="1" applyFont="1" applyFill="1" applyAlignment="1">
      <alignment horizontal="center"/>
    </xf>
    <xf numFmtId="9" fontId="7" fillId="7" borderId="0" xfId="1" applyFont="1" applyFill="1" applyAlignment="1">
      <alignment horizontal="center"/>
    </xf>
    <xf numFmtId="9" fontId="7" fillId="0" borderId="0" xfId="1" applyFont="1" applyAlignment="1">
      <alignment horizontal="center"/>
    </xf>
    <xf numFmtId="9" fontId="2" fillId="6" borderId="0" xfId="1" applyFont="1" applyFill="1" applyAlignment="1">
      <alignment horizontal="center"/>
    </xf>
    <xf numFmtId="9" fontId="2" fillId="4" borderId="0" xfId="1" applyFont="1" applyFill="1" applyAlignment="1">
      <alignment horizontal="center"/>
    </xf>
    <xf numFmtId="9" fontId="1" fillId="4" borderId="0" xfId="1" applyFont="1" applyFill="1" applyAlignment="1">
      <alignment horizontal="center"/>
    </xf>
    <xf numFmtId="9" fontId="7" fillId="2" borderId="4" xfId="1" applyFont="1" applyFill="1" applyBorder="1" applyAlignment="1">
      <alignment horizontal="center"/>
    </xf>
    <xf numFmtId="9" fontId="7" fillId="3" borderId="4" xfId="1" applyFont="1" applyFill="1" applyBorder="1" applyAlignment="1">
      <alignment horizontal="center"/>
    </xf>
    <xf numFmtId="9" fontId="7" fillId="8" borderId="4" xfId="1" applyFont="1" applyFill="1" applyBorder="1" applyAlignment="1">
      <alignment horizontal="center"/>
    </xf>
    <xf numFmtId="9" fontId="7" fillId="7" borderId="4" xfId="1" applyFont="1" applyFill="1" applyBorder="1" applyAlignment="1">
      <alignment horizontal="center"/>
    </xf>
    <xf numFmtId="9" fontId="7" fillId="0" borderId="4" xfId="1" applyFont="1" applyBorder="1" applyAlignment="1">
      <alignment horizontal="center"/>
    </xf>
    <xf numFmtId="0" fontId="8" fillId="4" borderId="0" xfId="0" applyFont="1" applyFill="1"/>
    <xf numFmtId="9" fontId="3" fillId="5" borderId="7" xfId="1" applyFont="1" applyFill="1" applyBorder="1" applyAlignment="1">
      <alignment horizontal="center" vertical="center" wrapText="1"/>
    </xf>
    <xf numFmtId="9" fontId="3" fillId="5" borderId="8" xfId="1" applyFont="1" applyFill="1" applyBorder="1" applyAlignment="1">
      <alignment horizontal="center" vertical="center" wrapText="1"/>
    </xf>
    <xf numFmtId="9" fontId="3" fillId="5" borderId="2" xfId="1" applyFont="1" applyFill="1" applyBorder="1" applyAlignment="1">
      <alignment horizontal="center" vertical="center" wrapText="1"/>
    </xf>
    <xf numFmtId="9" fontId="3" fillId="5" borderId="3" xfId="1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9</xdr:row>
      <xdr:rowOff>0</xdr:rowOff>
    </xdr:from>
    <xdr:to>
      <xdr:col>10</xdr:col>
      <xdr:colOff>848784</xdr:colOff>
      <xdr:row>12</xdr:row>
      <xdr:rowOff>172255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714500"/>
          <a:ext cx="7334250" cy="74375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16</xdr:row>
          <xdr:rowOff>0</xdr:rowOff>
        </xdr:from>
        <xdr:to>
          <xdr:col>23</xdr:col>
          <xdr:colOff>95250</xdr:colOff>
          <xdr:row>20</xdr:row>
          <xdr:rowOff>38100</xdr:rowOff>
        </xdr:to>
        <xdr:sp macro="" textlink="">
          <xdr:nvSpPr>
            <xdr:cNvPr id="1027" name="TIButton1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/>
  <dimension ref="A1:AL1616"/>
  <sheetViews>
    <sheetView showGridLines="0" tabSelected="1" zoomScale="90" zoomScaleNormal="90" workbookViewId="0">
      <pane xSplit="2" ySplit="23" topLeftCell="C24" activePane="bottomRight" state="frozen"/>
      <selection activeCell="B1" sqref="B1"/>
      <selection pane="topRight" activeCell="C1" sqref="C1"/>
      <selection pane="bottomLeft" activeCell="B28" sqref="B28"/>
      <selection pane="bottomRight" activeCell="C16" sqref="C16"/>
    </sheetView>
  </sheetViews>
  <sheetFormatPr defaultColWidth="0" defaultRowHeight="15" zeroHeight="1" x14ac:dyDescent="0.25"/>
  <cols>
    <col min="1" max="1" width="20.140625" hidden="1" customWidth="1"/>
    <col min="2" max="2" width="55.7109375" customWidth="1"/>
    <col min="3" max="3" width="20.85546875" customWidth="1"/>
    <col min="4" max="6" width="17.28515625" hidden="1" customWidth="1"/>
    <col min="7" max="7" width="20.5703125" customWidth="1"/>
    <col min="8" max="10" width="12.42578125" hidden="1" customWidth="1"/>
    <col min="11" max="11" width="20.5703125" customWidth="1"/>
    <col min="12" max="14" width="12.42578125" hidden="1" customWidth="1"/>
    <col min="15" max="15" width="21.42578125" customWidth="1"/>
    <col min="16" max="18" width="12.42578125" hidden="1" customWidth="1"/>
    <col min="19" max="19" width="12.42578125" style="32" customWidth="1"/>
    <col min="20" max="20" width="20.7109375" customWidth="1"/>
    <col min="21" max="23" width="12.42578125" hidden="1" customWidth="1"/>
    <col min="24" max="24" width="20.5703125" customWidth="1"/>
    <col min="25" max="27" width="12.42578125" hidden="1" customWidth="1"/>
    <col min="28" max="28" width="12.42578125" style="32" customWidth="1"/>
    <col min="29" max="29" width="0.5703125" customWidth="1"/>
    <col min="30" max="30" width="19.140625" customWidth="1"/>
    <col min="31" max="33" width="12.42578125" hidden="1" customWidth="1"/>
    <col min="34" max="34" width="20.5703125" customWidth="1"/>
    <col min="35" max="37" width="12.42578125" hidden="1" customWidth="1"/>
    <col min="38" max="38" width="11.42578125" customWidth="1"/>
    <col min="39" max="16384" width="11.42578125" hidden="1"/>
  </cols>
  <sheetData>
    <row r="1" spans="1:38" ht="27" hidden="1" customHeight="1" x14ac:dyDescent="0.25">
      <c r="A1" t="s">
        <v>6</v>
      </c>
    </row>
    <row r="2" spans="1:38" ht="24.75" hidden="1" customHeight="1" x14ac:dyDescent="0.25">
      <c r="A2">
        <f>0</f>
        <v>0</v>
      </c>
      <c r="B2" s="9"/>
      <c r="C2" s="1"/>
      <c r="D2" s="1"/>
      <c r="E2" s="1"/>
      <c r="F2" s="1"/>
      <c r="G2" s="27"/>
      <c r="H2" s="1"/>
      <c r="I2" s="1"/>
      <c r="J2" s="1"/>
      <c r="K2" s="1"/>
      <c r="L2" s="1"/>
      <c r="M2" s="1"/>
      <c r="N2" s="1"/>
      <c r="O2" s="27"/>
      <c r="P2" s="1"/>
      <c r="Q2" s="1"/>
      <c r="R2" s="1"/>
      <c r="S2" s="41"/>
      <c r="T2" s="1"/>
      <c r="U2" s="1"/>
      <c r="V2" s="1"/>
      <c r="W2" s="1"/>
      <c r="X2" s="27"/>
      <c r="Y2" s="1"/>
      <c r="Z2" s="1"/>
      <c r="AA2" s="1"/>
      <c r="AB2" s="33"/>
      <c r="AC2" s="1"/>
      <c r="AD2" s="1"/>
      <c r="AE2" s="1"/>
      <c r="AF2" s="1"/>
      <c r="AG2" s="1"/>
      <c r="AH2" s="1"/>
      <c r="AI2" s="1"/>
      <c r="AJ2" s="1"/>
      <c r="AK2" s="1"/>
    </row>
    <row r="3" spans="1:38" ht="27" hidden="1" customHeight="1" x14ac:dyDescent="0.25">
      <c r="A3">
        <f>1</f>
        <v>1</v>
      </c>
      <c r="B3" s="10"/>
      <c r="C3" s="2"/>
      <c r="D3" s="2"/>
      <c r="E3" s="2"/>
      <c r="F3" s="2"/>
      <c r="G3" s="28"/>
      <c r="H3" s="2"/>
      <c r="I3" s="2"/>
      <c r="J3" s="2"/>
      <c r="K3" s="2"/>
      <c r="L3" s="2"/>
      <c r="M3" s="2"/>
      <c r="N3" s="2"/>
      <c r="O3" s="28"/>
      <c r="P3" s="2"/>
      <c r="Q3" s="2"/>
      <c r="R3" s="2"/>
      <c r="S3" s="42"/>
      <c r="T3" s="2"/>
      <c r="U3" s="2"/>
      <c r="V3" s="2"/>
      <c r="W3" s="2"/>
      <c r="X3" s="28"/>
      <c r="Y3" s="2"/>
      <c r="Z3" s="2"/>
      <c r="AA3" s="2"/>
      <c r="AB3" s="34"/>
      <c r="AC3" s="2"/>
      <c r="AD3" s="2"/>
      <c r="AE3" s="2"/>
      <c r="AF3" s="2"/>
      <c r="AG3" s="2"/>
      <c r="AH3" s="2"/>
      <c r="AI3" s="2"/>
      <c r="AJ3" s="2"/>
      <c r="AK3" s="2"/>
    </row>
    <row r="4" spans="1:38" ht="25.5" hidden="1" customHeight="1" x14ac:dyDescent="0.25">
      <c r="A4">
        <f>2</f>
        <v>2</v>
      </c>
      <c r="B4" s="20"/>
      <c r="C4" s="21"/>
      <c r="D4" s="21"/>
      <c r="E4" s="21"/>
      <c r="F4" s="21"/>
      <c r="G4" s="29"/>
      <c r="H4" s="21"/>
      <c r="I4" s="21"/>
      <c r="J4" s="21"/>
      <c r="K4" s="21"/>
      <c r="L4" s="21"/>
      <c r="M4" s="21"/>
      <c r="N4" s="21"/>
      <c r="O4" s="29"/>
      <c r="P4" s="21"/>
      <c r="Q4" s="21"/>
      <c r="R4" s="21"/>
      <c r="S4" s="43"/>
      <c r="T4" s="21"/>
      <c r="U4" s="21"/>
      <c r="V4" s="21"/>
      <c r="W4" s="21"/>
      <c r="X4" s="29"/>
      <c r="Y4" s="21"/>
      <c r="Z4" s="21"/>
      <c r="AA4" s="21"/>
      <c r="AB4" s="35"/>
      <c r="AC4" s="21"/>
      <c r="AD4" s="2"/>
      <c r="AE4" s="2"/>
      <c r="AF4" s="2"/>
      <c r="AG4" s="2"/>
      <c r="AH4" s="2"/>
      <c r="AI4" s="2"/>
      <c r="AJ4" s="2"/>
      <c r="AK4" s="2"/>
    </row>
    <row r="5" spans="1:38" ht="24" hidden="1" customHeight="1" x14ac:dyDescent="0.25">
      <c r="A5">
        <f>3</f>
        <v>3</v>
      </c>
      <c r="B5" s="18"/>
      <c r="C5" s="19"/>
      <c r="D5" s="19"/>
      <c r="E5" s="19"/>
      <c r="F5" s="19"/>
      <c r="G5" s="30"/>
      <c r="H5" s="19"/>
      <c r="I5" s="19"/>
      <c r="J5" s="19"/>
      <c r="K5" s="19"/>
      <c r="L5" s="19"/>
      <c r="M5" s="19"/>
      <c r="N5" s="19"/>
      <c r="O5" s="30"/>
      <c r="P5" s="19"/>
      <c r="Q5" s="19"/>
      <c r="R5" s="19"/>
      <c r="S5" s="44"/>
      <c r="T5" s="19"/>
      <c r="U5" s="19"/>
      <c r="V5" s="19"/>
      <c r="W5" s="19"/>
      <c r="X5" s="30"/>
      <c r="Y5" s="19"/>
      <c r="Z5" s="19"/>
      <c r="AA5" s="19"/>
      <c r="AB5" s="36"/>
      <c r="AC5" s="19"/>
      <c r="AD5" s="2"/>
      <c r="AE5" s="2"/>
      <c r="AF5" s="2"/>
      <c r="AG5" s="2"/>
      <c r="AH5" s="2"/>
      <c r="AI5" s="2"/>
      <c r="AJ5" s="2"/>
      <c r="AK5" s="2"/>
    </row>
    <row r="6" spans="1:38" ht="23.25" hidden="1" customHeight="1" x14ac:dyDescent="0.25">
      <c r="A6" t="s">
        <v>4</v>
      </c>
      <c r="B6" s="10"/>
      <c r="C6" s="2"/>
      <c r="D6" s="2"/>
      <c r="E6" s="2"/>
      <c r="F6" s="2"/>
      <c r="G6" s="28"/>
      <c r="H6" s="2"/>
      <c r="I6" s="2"/>
      <c r="J6" s="2"/>
      <c r="K6" s="2"/>
      <c r="L6" s="2"/>
      <c r="M6" s="2"/>
      <c r="N6" s="2"/>
      <c r="O6" s="28"/>
      <c r="P6" s="2"/>
      <c r="Q6" s="2"/>
      <c r="R6" s="2"/>
      <c r="S6" s="42"/>
      <c r="T6" s="2"/>
      <c r="U6" s="2"/>
      <c r="V6" s="2"/>
      <c r="W6" s="2"/>
      <c r="X6" s="28"/>
      <c r="Y6" s="2"/>
      <c r="Z6" s="2"/>
      <c r="AA6" s="2"/>
      <c r="AB6" s="34"/>
      <c r="AC6" s="2"/>
      <c r="AD6" s="2"/>
      <c r="AE6" s="2"/>
      <c r="AF6" s="2"/>
      <c r="AG6" s="2"/>
      <c r="AH6" s="2"/>
      <c r="AI6" s="2"/>
      <c r="AJ6" s="2"/>
      <c r="AK6" s="2"/>
    </row>
    <row r="7" spans="1:38" ht="27" hidden="1" customHeight="1" x14ac:dyDescent="0.25">
      <c r="A7" t="s">
        <v>5</v>
      </c>
      <c r="B7" s="11"/>
      <c r="C7" s="3"/>
      <c r="D7" s="3"/>
      <c r="E7" s="3"/>
      <c r="F7" s="3"/>
      <c r="G7" s="31"/>
      <c r="H7" s="3"/>
      <c r="I7" s="3"/>
      <c r="J7" s="3"/>
      <c r="K7" s="3"/>
      <c r="L7" s="3"/>
      <c r="M7" s="3"/>
      <c r="N7" s="3"/>
      <c r="O7" s="31"/>
      <c r="P7" s="3"/>
      <c r="Q7" s="3"/>
      <c r="R7" s="3"/>
      <c r="S7" s="45"/>
      <c r="T7" s="3"/>
      <c r="U7" s="3"/>
      <c r="V7" s="3"/>
      <c r="W7" s="3"/>
      <c r="X7" s="31"/>
      <c r="Y7" s="3"/>
      <c r="Z7" s="3"/>
      <c r="AA7" s="3"/>
      <c r="AB7" s="37"/>
      <c r="AC7" s="3"/>
      <c r="AD7" s="3"/>
      <c r="AE7" s="3"/>
      <c r="AF7" s="3"/>
      <c r="AG7" s="3"/>
      <c r="AH7" s="3"/>
      <c r="AI7" s="3"/>
      <c r="AJ7" s="3"/>
      <c r="AK7" s="3"/>
    </row>
    <row r="8" spans="1:38" ht="34.5" hidden="1" customHeight="1" x14ac:dyDescent="0.25">
      <c r="A8" t="s">
        <v>7</v>
      </c>
    </row>
    <row r="9" spans="1:38" ht="27" hidden="1" customHeight="1" x14ac:dyDescent="0.25">
      <c r="B9" t="str">
        <f ca="1">_xll.TM1RPTVIEW("CXMD:FTM_DATA_MARGIN:ARPT1", 0, _xll.TM1RPTTITLE("CXMD:DIM_Origin_Company",$C$16),_xll.TM1RPTTITLE("CXMD:DIM_Customer_Supplier",$C$18), _xll.TM1RPTTITLE("CXMD:DIM_Allocation",$C$17),TM1RPTFMTRNG,TM1RPTFMTIDCOL)</f>
        <v>CXMD:FTM_DATA_MARGIN:ARPT1</v>
      </c>
    </row>
    <row r="10" spans="1:38" x14ac:dyDescent="0.25"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38"/>
      <c r="T10" s="13"/>
      <c r="U10" s="13"/>
      <c r="V10" s="13"/>
      <c r="W10" s="13"/>
      <c r="X10" s="13"/>
      <c r="Y10" s="13"/>
      <c r="Z10" s="13"/>
      <c r="AA10" s="13"/>
      <c r="AB10" s="38"/>
      <c r="AC10" s="13"/>
      <c r="AD10" s="13"/>
      <c r="AE10" s="13"/>
      <c r="AF10" s="13"/>
      <c r="AG10" s="13"/>
      <c r="AH10" s="13"/>
      <c r="AI10" s="13"/>
      <c r="AJ10" s="13"/>
      <c r="AK10" s="13"/>
      <c r="AL10" s="13"/>
    </row>
    <row r="11" spans="1:38" x14ac:dyDescent="0.25"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38"/>
      <c r="T11" s="13"/>
      <c r="U11" s="13"/>
      <c r="V11" s="13"/>
      <c r="W11" s="13"/>
      <c r="X11" s="13"/>
      <c r="Y11" s="13"/>
      <c r="Z11" s="13"/>
      <c r="AA11" s="13"/>
      <c r="AB11" s="38"/>
      <c r="AC11" s="13"/>
      <c r="AD11" s="13"/>
      <c r="AE11" s="13"/>
      <c r="AF11" s="13"/>
      <c r="AG11" s="13"/>
      <c r="AH11" s="13"/>
      <c r="AI11" s="13"/>
      <c r="AJ11" s="13"/>
      <c r="AK11" s="13"/>
      <c r="AL11" s="13"/>
    </row>
    <row r="12" spans="1:38" x14ac:dyDescent="0.25"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38"/>
      <c r="T12" s="13"/>
      <c r="U12" s="13"/>
      <c r="V12" s="13"/>
      <c r="W12" s="13"/>
      <c r="X12" s="13"/>
      <c r="Y12" s="13"/>
      <c r="Z12" s="13"/>
      <c r="AA12" s="13"/>
      <c r="AB12" s="38"/>
      <c r="AC12" s="13"/>
      <c r="AD12" s="13"/>
      <c r="AE12" s="13"/>
      <c r="AF12" s="13"/>
      <c r="AG12" s="13"/>
      <c r="AH12" s="13"/>
      <c r="AI12" s="13"/>
      <c r="AJ12" s="13"/>
      <c r="AK12" s="13"/>
      <c r="AL12" s="13"/>
    </row>
    <row r="13" spans="1:38" x14ac:dyDescent="0.25"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38"/>
      <c r="T13" s="13"/>
      <c r="U13" s="13"/>
      <c r="V13" s="13"/>
      <c r="W13" s="13"/>
      <c r="X13" s="13"/>
      <c r="Y13" s="13"/>
      <c r="Z13" s="13"/>
      <c r="AA13" s="13"/>
      <c r="AB13" s="38"/>
      <c r="AC13" s="13"/>
      <c r="AD13" s="13"/>
      <c r="AE13" s="13"/>
      <c r="AF13" s="13"/>
      <c r="AG13" s="13"/>
      <c r="AH13" s="13"/>
      <c r="AI13" s="13"/>
      <c r="AJ13" s="13"/>
      <c r="AK13" s="13"/>
      <c r="AL13" s="13"/>
    </row>
    <row r="14" spans="1:38" x14ac:dyDescent="0.25"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38"/>
      <c r="T14" s="13"/>
      <c r="U14" s="13"/>
      <c r="V14" s="13"/>
      <c r="W14" s="13"/>
      <c r="X14" s="13"/>
      <c r="Y14" s="13"/>
      <c r="Z14" s="13"/>
      <c r="AA14" s="13"/>
      <c r="AB14" s="38"/>
      <c r="AC14" s="13"/>
      <c r="AD14" s="13"/>
      <c r="AE14" s="13"/>
      <c r="AF14" s="13"/>
      <c r="AG14" s="13"/>
      <c r="AH14" s="13"/>
      <c r="AI14" s="13"/>
      <c r="AJ14" s="13"/>
      <c r="AK14" s="13"/>
      <c r="AL14" s="13"/>
    </row>
    <row r="15" spans="1:38" ht="19.5" x14ac:dyDescent="0.3">
      <c r="B15" s="12" t="s">
        <v>11</v>
      </c>
      <c r="C15" s="4"/>
      <c r="D15" s="12"/>
      <c r="E15" s="4"/>
      <c r="F15" s="4"/>
      <c r="G15" s="4"/>
      <c r="H15" s="4"/>
      <c r="I15" s="4"/>
      <c r="J15" s="4"/>
      <c r="K15" s="46" t="s">
        <v>12</v>
      </c>
      <c r="L15" s="4"/>
      <c r="M15" s="4"/>
      <c r="N15" s="4"/>
      <c r="O15" s="4"/>
      <c r="P15" s="4"/>
      <c r="Q15" s="4"/>
      <c r="R15" s="4"/>
      <c r="S15" s="39"/>
      <c r="T15" s="4"/>
      <c r="U15" s="4"/>
      <c r="V15" s="4"/>
      <c r="W15" s="4"/>
      <c r="X15" s="4"/>
      <c r="Y15" s="4"/>
      <c r="Z15" s="4"/>
      <c r="AA15" s="4"/>
      <c r="AB15" s="39"/>
      <c r="AC15" s="4"/>
      <c r="AD15" s="4"/>
      <c r="AE15" s="4"/>
      <c r="AF15" s="4"/>
      <c r="AG15" s="4"/>
      <c r="AH15" s="4"/>
      <c r="AI15" s="4"/>
      <c r="AJ15" s="4"/>
      <c r="AK15" s="4"/>
      <c r="AL15" s="4"/>
    </row>
    <row r="16" spans="1:38" x14ac:dyDescent="0.25">
      <c r="B16" s="5" t="s">
        <v>0</v>
      </c>
      <c r="C16" s="7" t="str">
        <f ca="1">_xll.SUBNM("CXMD:DIM_Origin_Company","","KUHN SPAIN","Name EN")</f>
        <v>KUHN SPAIN</v>
      </c>
      <c r="D16" s="7"/>
      <c r="E16" s="7"/>
      <c r="F16" s="7"/>
      <c r="G16" s="4"/>
      <c r="H16" s="4"/>
      <c r="I16" s="4"/>
      <c r="J16" s="4"/>
      <c r="K16" s="46" t="s">
        <v>13</v>
      </c>
      <c r="L16" s="4"/>
      <c r="M16" s="4"/>
      <c r="N16" s="4"/>
      <c r="O16" s="4"/>
      <c r="P16" s="4"/>
      <c r="Q16" s="4"/>
      <c r="R16" s="4"/>
      <c r="S16" s="39"/>
      <c r="T16" s="4"/>
      <c r="U16" s="4"/>
      <c r="V16" s="4"/>
      <c r="W16" s="4"/>
      <c r="X16" s="4"/>
      <c r="Y16" s="4"/>
      <c r="Z16" s="4"/>
      <c r="AA16" s="4"/>
      <c r="AB16" s="39"/>
      <c r="AC16" s="4"/>
      <c r="AD16" s="4"/>
      <c r="AE16" s="4"/>
      <c r="AF16" s="4"/>
      <c r="AG16" s="4"/>
      <c r="AH16" s="4"/>
      <c r="AI16" s="4"/>
      <c r="AJ16" s="4"/>
      <c r="AK16" s="4"/>
      <c r="AL16" s="4"/>
    </row>
    <row r="17" spans="1:38" x14ac:dyDescent="0.25">
      <c r="B17" s="5" t="s">
        <v>10</v>
      </c>
      <c r="C17" s="7" t="str">
        <f ca="1">_xll.SUBNM("CXMD:DIM_Allocation","","Total Allocation","Allocation EN")</f>
        <v>Total Allocation</v>
      </c>
      <c r="D17" s="7"/>
      <c r="E17" s="7"/>
      <c r="F17" s="7"/>
      <c r="G17" s="4"/>
      <c r="H17" s="4"/>
      <c r="I17" s="4"/>
      <c r="J17" s="4"/>
      <c r="K17" s="46" t="s">
        <v>14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39"/>
      <c r="AC17" s="4"/>
      <c r="AD17" s="4"/>
      <c r="AE17" s="4"/>
      <c r="AF17" s="4"/>
      <c r="AG17" s="4"/>
      <c r="AH17" s="4"/>
      <c r="AI17" s="4"/>
      <c r="AJ17" s="4"/>
      <c r="AK17" s="4"/>
      <c r="AL17" s="4"/>
    </row>
    <row r="18" spans="1:38" hidden="1" x14ac:dyDescent="0.25">
      <c r="B18" s="5" t="s">
        <v>1</v>
      </c>
      <c r="C18" s="7" t="str">
        <f ca="1">_xll.SUBNM("CXMD:DIM_Customer_Supplier","","Others")</f>
        <v>Others</v>
      </c>
      <c r="D18" s="7"/>
      <c r="E18" s="7"/>
      <c r="F18" s="7"/>
      <c r="G18" s="4"/>
      <c r="H18" s="4"/>
      <c r="I18" s="4"/>
      <c r="J18" s="4"/>
      <c r="K18" s="46"/>
      <c r="L18" s="4"/>
      <c r="M18" s="4"/>
      <c r="N18" s="4"/>
      <c r="O18" s="4"/>
      <c r="P18" s="4"/>
      <c r="Q18" s="4"/>
      <c r="R18" s="4"/>
      <c r="S18" s="39"/>
      <c r="T18" s="4"/>
      <c r="U18" s="4"/>
      <c r="V18" s="4"/>
      <c r="W18" s="4"/>
      <c r="X18" s="4"/>
      <c r="Y18" s="4"/>
      <c r="Z18" s="4"/>
      <c r="AA18" s="4"/>
      <c r="AB18" s="39"/>
      <c r="AC18" s="4"/>
      <c r="AD18" s="4"/>
      <c r="AE18" s="4"/>
      <c r="AF18" s="4"/>
      <c r="AG18" s="4"/>
      <c r="AH18" s="4"/>
      <c r="AI18" s="4"/>
      <c r="AJ18" s="4"/>
      <c r="AK18" s="4"/>
      <c r="AL18" s="4"/>
    </row>
    <row r="19" spans="1:38" x14ac:dyDescent="0.25">
      <c r="B19" s="5" t="s">
        <v>9</v>
      </c>
      <c r="C19" s="7" t="str">
        <f ca="1">_xll.SUBNM("CXMD:Month","","YTD_August","Description EN")</f>
        <v>YTD_August</v>
      </c>
      <c r="D19" s="4"/>
      <c r="E19" s="4"/>
      <c r="F19" s="4"/>
      <c r="G19" s="4"/>
      <c r="H19" s="4"/>
      <c r="I19" s="4"/>
      <c r="J19" s="4"/>
      <c r="K19" s="46" t="s">
        <v>15</v>
      </c>
      <c r="L19" s="4"/>
      <c r="M19" s="4"/>
      <c r="N19" s="4"/>
      <c r="O19" s="4"/>
      <c r="P19" s="4"/>
      <c r="Q19" s="4"/>
      <c r="R19" s="4"/>
      <c r="S19" s="39"/>
      <c r="T19" s="4"/>
      <c r="U19" s="4"/>
      <c r="V19" s="4"/>
      <c r="W19" s="4"/>
      <c r="X19" s="4"/>
      <c r="Y19" s="4"/>
      <c r="Z19" s="4"/>
      <c r="AA19" s="4"/>
      <c r="AB19" s="39"/>
      <c r="AC19" s="4"/>
      <c r="AD19" s="4"/>
      <c r="AE19" s="4"/>
      <c r="AF19" s="4"/>
      <c r="AG19" s="4"/>
      <c r="AH19" s="4"/>
      <c r="AI19" s="4"/>
      <c r="AJ19" s="4"/>
      <c r="AK19" s="4"/>
      <c r="AL19" s="4"/>
    </row>
    <row r="20" spans="1:38" x14ac:dyDescent="0.25">
      <c r="B20" s="4"/>
      <c r="C20" s="4"/>
      <c r="D20" s="4"/>
      <c r="E20" s="4"/>
      <c r="F20" s="4"/>
      <c r="G20" s="4"/>
      <c r="H20" s="4"/>
      <c r="I20" s="4"/>
      <c r="J20" s="4"/>
      <c r="K20" s="46" t="s">
        <v>16</v>
      </c>
      <c r="L20" s="4"/>
      <c r="M20" s="4"/>
      <c r="N20" s="4"/>
      <c r="O20" s="4"/>
      <c r="P20" s="4"/>
      <c r="Q20" s="4"/>
      <c r="R20" s="4"/>
      <c r="S20" s="39"/>
      <c r="T20" s="4"/>
      <c r="U20" s="4"/>
      <c r="V20" s="4"/>
      <c r="W20" s="4"/>
      <c r="X20" s="4"/>
      <c r="Y20" s="4"/>
      <c r="Z20" s="4"/>
      <c r="AA20" s="4"/>
      <c r="AB20" s="39"/>
      <c r="AC20" s="4"/>
      <c r="AD20" s="4"/>
      <c r="AE20" s="4"/>
      <c r="AF20" s="4"/>
      <c r="AG20" s="4"/>
      <c r="AH20" s="4"/>
      <c r="AI20" s="4"/>
      <c r="AJ20" s="4"/>
      <c r="AK20" s="4"/>
      <c r="AL20" s="4"/>
    </row>
    <row r="21" spans="1:38" x14ac:dyDescent="0.25">
      <c r="B21" s="4"/>
      <c r="C21" s="6"/>
      <c r="D21" s="7" t="str">
        <f ca="1">_xll.SUBNM("CXMD:Month","","YTD_December","Description EN")</f>
        <v>YTD_December</v>
      </c>
      <c r="E21" s="7" t="str">
        <f ca="1">$C$19</f>
        <v>YTD_August</v>
      </c>
      <c r="F21" s="7" t="str">
        <f ca="1">$C$19</f>
        <v>YTD_August</v>
      </c>
      <c r="G21" s="6"/>
      <c r="H21" s="7" t="str">
        <f ca="1">_xll.SUBNM("CXMD:Month","","YTD_December","Description EN")</f>
        <v>YTD_December</v>
      </c>
      <c r="I21" s="7" t="str">
        <f ca="1">$C$19</f>
        <v>YTD_August</v>
      </c>
      <c r="J21" s="7" t="str">
        <f ca="1">$C$19</f>
        <v>YTD_August</v>
      </c>
      <c r="K21" s="6"/>
      <c r="L21" s="7" t="str">
        <f ca="1">_xll.SUBNM("CXMD:Month","","YTD_December","Description EN")</f>
        <v>YTD_December</v>
      </c>
      <c r="M21" s="7" t="str">
        <f ca="1">$C$19</f>
        <v>YTD_August</v>
      </c>
      <c r="N21" s="7" t="str">
        <f ca="1">$C$19</f>
        <v>YTD_August</v>
      </c>
      <c r="O21" s="6"/>
      <c r="P21" s="7" t="str">
        <f ca="1">_xll.SUBNM("CXMD:Month","","YTD_December","Description EN")</f>
        <v>YTD_December</v>
      </c>
      <c r="Q21" s="7" t="str">
        <f ca="1">$C$19</f>
        <v>YTD_August</v>
      </c>
      <c r="R21" s="7" t="str">
        <f ca="1">$C$19</f>
        <v>YTD_August</v>
      </c>
      <c r="S21" s="17"/>
      <c r="T21" s="6"/>
      <c r="U21" s="7" t="str">
        <f ca="1">_xll.SUBNM("CXMD:Month","","YTD_December","Description EN")</f>
        <v>YTD_December</v>
      </c>
      <c r="V21" s="7" t="str">
        <f ca="1">$C$19</f>
        <v>YTD_August</v>
      </c>
      <c r="W21" s="7" t="str">
        <f ca="1">$C$19</f>
        <v>YTD_August</v>
      </c>
      <c r="X21" s="6"/>
      <c r="Y21" s="7" t="str">
        <f ca="1">_xll.SUBNM("CXMD:Month","","YTD_December","Description EN")</f>
        <v>YTD_December</v>
      </c>
      <c r="Z21" s="7" t="str">
        <f ca="1">$C$19</f>
        <v>YTD_August</v>
      </c>
      <c r="AA21" s="7" t="str">
        <f ca="1">$C$19</f>
        <v>YTD_August</v>
      </c>
      <c r="AB21" s="40"/>
      <c r="AC21" s="6"/>
      <c r="AD21" s="6"/>
      <c r="AE21" s="7" t="str">
        <f ca="1">_xll.SUBNM("CXMD:Month","","YTD_December","Description EN")</f>
        <v>YTD_December</v>
      </c>
      <c r="AF21" s="7" t="str">
        <f ca="1">$C$19</f>
        <v>YTD_August</v>
      </c>
      <c r="AG21" s="7" t="str">
        <f ca="1">$C$19</f>
        <v>YTD_August</v>
      </c>
      <c r="AH21" s="6"/>
      <c r="AI21" s="7" t="str">
        <f ca="1">_xll.SUBNM("CXMD:Month","","YTD_December","Description EN")</f>
        <v>YTD_December</v>
      </c>
      <c r="AJ21" s="7" t="str">
        <f ca="1">_xll.SUBNM("CXMD:Month","","YTD_August","Description EN")</f>
        <v>YTD_August</v>
      </c>
      <c r="AK21" s="7" t="str">
        <f ca="1">$C$19</f>
        <v>YTD_August</v>
      </c>
      <c r="AL21" s="40"/>
    </row>
    <row r="22" spans="1:38" s="15" customFormat="1" ht="47.25" customHeight="1" x14ac:dyDescent="0.25">
      <c r="B22" s="23"/>
      <c r="C22" s="22" t="str">
        <f ca="1">"01 09 " &amp; K15 &amp; " to " &amp; $C$19 &amp; " " &amp; K16</f>
        <v>01 09 AC2016 to YTD_August AC2017</v>
      </c>
      <c r="D22" s="8" t="str">
        <f ca="1">_xll.SUBNM("CXMD:Actuality","Actuality",K15,"Description EN")</f>
        <v>AC2016</v>
      </c>
      <c r="E22" s="8" t="str">
        <f ca="1">_xll.SUBNM("CXMD:Actuality","Actuality",K15,"Description EN")</f>
        <v>AC2016</v>
      </c>
      <c r="F22" s="8" t="str">
        <f ca="1">_xll.SUBNM("CXMD:Actuality","Actuality",K16,"Description EN")</f>
        <v>AC2017</v>
      </c>
      <c r="G22" s="25" t="str">
        <f ca="1">C22</f>
        <v>01 09 AC2016 to YTD_August AC2017</v>
      </c>
      <c r="H22" s="22" t="str">
        <f ca="1">_xll.SUBNM("CXMD:Actuality","Actuality",K15,"Description EN")</f>
        <v>AC2016</v>
      </c>
      <c r="I22" s="8" t="str">
        <f ca="1">_xll.SUBNM("CXMD:Actuality","Actuality",K15,"Description EN")</f>
        <v>AC2016</v>
      </c>
      <c r="J22" s="8" t="str">
        <f ca="1">_xll.SUBNM("CXMD:Actuality","Actuality",K16,"Description EN")</f>
        <v>AC2017</v>
      </c>
      <c r="K22" s="8" t="str">
        <f ca="1">"01 09 " &amp; K16 &amp; " to " &amp; $C$19 &amp; " " &amp; K17</f>
        <v>01 09 AC2017 to YTD_August AC2018</v>
      </c>
      <c r="L22" s="8" t="str">
        <f ca="1">_xll.SUBNM("CXMD:Actuality","Actuality",K16,"Description EN")</f>
        <v>AC2017</v>
      </c>
      <c r="M22" s="8" t="str">
        <f ca="1">_xll.SUBNM("CXMD:Actuality","Actuality",K16,"Description EN")</f>
        <v>AC2017</v>
      </c>
      <c r="N22" s="8" t="str">
        <f ca="1">_xll.SUBNM("CXMD:Actuality","Actuality",K17,"Description EN")</f>
        <v>AC2018</v>
      </c>
      <c r="O22" s="25" t="str">
        <f ca="1">K22</f>
        <v>01 09 AC2017 to YTD_August AC2018</v>
      </c>
      <c r="P22" s="22" t="str">
        <f ca="1">_xll.SUBNM("CXMD:Actuality","Actuality",K16,"Description EN")</f>
        <v>AC2017</v>
      </c>
      <c r="Q22" s="8" t="str">
        <f ca="1">_xll.SUBNM("CXMD:Actuality","Actuality",K16,"Description EN")</f>
        <v>AC2017</v>
      </c>
      <c r="R22" s="8" t="str">
        <f ca="1">_xll.SUBNM("CXMD:Actuality","Actuality",K17,"Description EN")</f>
        <v>AC2018</v>
      </c>
      <c r="S22" s="47" t="s">
        <v>8</v>
      </c>
      <c r="T22" s="22" t="str">
        <f ca="1">"01 09 " &amp; K17 &amp; " to " &amp; $C$19 &amp; " " &amp; K19</f>
        <v>01 09 AC2018 to YTD_August AC2019</v>
      </c>
      <c r="U22" s="8" t="str">
        <f ca="1">_xll.SUBNM("CXMD:Actuality","Actuality",K17,"Description EN")</f>
        <v>AC2018</v>
      </c>
      <c r="V22" s="8" t="str">
        <f ca="1">_xll.SUBNM("CXMD:Actuality","Actuality",K17,"Description EN")</f>
        <v>AC2018</v>
      </c>
      <c r="W22" s="8" t="str">
        <f ca="1">_xll.SUBNM("CXMD:Actuality","Actuality",K19,"Description EN")</f>
        <v>AC2019</v>
      </c>
      <c r="X22" s="25" t="str">
        <f ca="1">T22</f>
        <v>01 09 AC2018 to YTD_August AC2019</v>
      </c>
      <c r="Y22" s="22" t="str">
        <f ca="1">_xll.SUBNM("CXMD:Actuality","Actuality",K17,"Description EN")</f>
        <v>AC2018</v>
      </c>
      <c r="Z22" s="8" t="str">
        <f ca="1">_xll.SUBNM("CXMD:Actuality","Actuality",K17,"Description EN")</f>
        <v>AC2018</v>
      </c>
      <c r="AA22" s="8" t="str">
        <f ca="1">_xll.SUBNM("CXMD:Actuality","Actuality",K19,"Description EN")</f>
        <v>AC2019</v>
      </c>
      <c r="AB22" s="49" t="s">
        <v>8</v>
      </c>
      <c r="AC22" s="16"/>
      <c r="AD22" s="22" t="str">
        <f ca="1">"01 09 " &amp; K19 &amp; " to " &amp; $C$19 &amp; " " &amp; K20</f>
        <v>01 09 AC2019 to YTD_August AC2020</v>
      </c>
      <c r="AE22" s="8" t="str">
        <f ca="1">_xll.SUBNM("CXMD:Actuality","Actuality",K19,"Description EN")</f>
        <v>AC2019</v>
      </c>
      <c r="AF22" s="8" t="str">
        <f ca="1">_xll.SUBNM("CXMD:Actuality","Actuality",K19,"Description EN")</f>
        <v>AC2019</v>
      </c>
      <c r="AG22" s="8" t="str">
        <f ca="1">_xll.SUBNM("CXMD:Actuality","Actuality",K20,"Description EN")</f>
        <v>AC2020</v>
      </c>
      <c r="AH22" s="25" t="str">
        <f ca="1">AD22</f>
        <v>01 09 AC2019 to YTD_August AC2020</v>
      </c>
      <c r="AI22" s="22" t="str">
        <f ca="1">_xll.SUBNM("CXMD:Actuality","Actuality",K19,"Description EN")</f>
        <v>AC2019</v>
      </c>
      <c r="AJ22" s="8" t="str">
        <f ca="1">_xll.SUBNM("CXMD:Actuality","Actuality",K19,"Description EN")</f>
        <v>AC2019</v>
      </c>
      <c r="AK22" s="8" t="str">
        <f ca="1">_xll.SUBNM("CXMD:Actuality","Actuality",K20,"Description EN")</f>
        <v>AC2020</v>
      </c>
      <c r="AL22" s="49" t="s">
        <v>8</v>
      </c>
    </row>
    <row r="23" spans="1:38" x14ac:dyDescent="0.25">
      <c r="B23" s="24"/>
      <c r="C23" s="6" t="s">
        <v>2</v>
      </c>
      <c r="D23" s="6" t="str">
        <f>C23</f>
        <v>QTY</v>
      </c>
      <c r="E23" s="6" t="str">
        <f>D23</f>
        <v>QTY</v>
      </c>
      <c r="F23" s="6" t="str">
        <f>E23</f>
        <v>QTY</v>
      </c>
      <c r="G23" s="26" t="s">
        <v>3</v>
      </c>
      <c r="H23" s="6" t="str">
        <f>G23</f>
        <v>SALES</v>
      </c>
      <c r="I23" s="6" t="str">
        <f>H23</f>
        <v>SALES</v>
      </c>
      <c r="J23" s="6" t="str">
        <f>I23</f>
        <v>SALES</v>
      </c>
      <c r="K23" s="6" t="s">
        <v>2</v>
      </c>
      <c r="L23" s="6" t="str">
        <f>K23</f>
        <v>QTY</v>
      </c>
      <c r="M23" s="6" t="str">
        <f t="shared" ref="M23:N23" si="0">L23</f>
        <v>QTY</v>
      </c>
      <c r="N23" s="6" t="str">
        <f t="shared" si="0"/>
        <v>QTY</v>
      </c>
      <c r="O23" s="26" t="s">
        <v>3</v>
      </c>
      <c r="P23" s="6" t="str">
        <f>O23</f>
        <v>SALES</v>
      </c>
      <c r="Q23" s="6" t="str">
        <f t="shared" ref="Q23:R23" si="1">P23</f>
        <v>SALES</v>
      </c>
      <c r="R23" s="6" t="str">
        <f t="shared" si="1"/>
        <v>SALES</v>
      </c>
      <c r="S23" s="48"/>
      <c r="T23" s="6" t="s">
        <v>2</v>
      </c>
      <c r="U23" s="6" t="str">
        <f>T23</f>
        <v>QTY</v>
      </c>
      <c r="V23" s="6" t="str">
        <f t="shared" ref="V23:W23" si="2">U23</f>
        <v>QTY</v>
      </c>
      <c r="W23" s="6" t="str">
        <f t="shared" si="2"/>
        <v>QTY</v>
      </c>
      <c r="X23" s="26" t="s">
        <v>3</v>
      </c>
      <c r="Y23" s="6" t="str">
        <f>X23</f>
        <v>SALES</v>
      </c>
      <c r="Z23" s="6" t="str">
        <f t="shared" ref="Z23:AA23" si="3">Y23</f>
        <v>SALES</v>
      </c>
      <c r="AA23" s="6" t="str">
        <f t="shared" si="3"/>
        <v>SALES</v>
      </c>
      <c r="AB23" s="50"/>
      <c r="AC23" s="6"/>
      <c r="AD23" s="6" t="s">
        <v>2</v>
      </c>
      <c r="AE23" s="6" t="str">
        <f>AD23</f>
        <v>QTY</v>
      </c>
      <c r="AF23" s="6" t="str">
        <f t="shared" ref="AF23" si="4">AE23</f>
        <v>QTY</v>
      </c>
      <c r="AG23" s="6" t="str">
        <f t="shared" ref="AG23" si="5">AF23</f>
        <v>QTY</v>
      </c>
      <c r="AH23" s="26" t="s">
        <v>3</v>
      </c>
      <c r="AI23" s="6" t="str">
        <f>AH23</f>
        <v>SALES</v>
      </c>
      <c r="AJ23" s="6" t="str">
        <f t="shared" ref="AJ23" si="6">AI23</f>
        <v>SALES</v>
      </c>
      <c r="AK23" s="6" t="str">
        <f t="shared" ref="AK23" si="7">AJ23</f>
        <v>SALES</v>
      </c>
      <c r="AL23" s="50"/>
    </row>
    <row r="24" spans="1:38" x14ac:dyDescent="0.25">
      <c r="A24">
        <f ca="1">IF(_xll.TM1RPTELISCONSOLIDATED($B$24,$B24),IF(_xll.TM1RPTELLEV($B$24,$B24)&lt;=3,_xll.TM1RPTELLEV($B$24,$B24),"D"),"N")</f>
        <v>0</v>
      </c>
      <c r="B24" s="14" t="str">
        <f ca="1">_xll.TM1RPTROW($B$9,"CXMD:DIM_Configuration","Total","","Description EN")</f>
        <v>TOTAL PRODUCT</v>
      </c>
      <c r="C24" s="1">
        <f ca="1">D24-E24+F24</f>
        <v>0</v>
      </c>
      <c r="D24" s="1">
        <f ca="1">_xll.DBRW($B$9,D$21,D$22,$C$16,$C$17,$C$18,$B24,D$23)</f>
        <v>0</v>
      </c>
      <c r="E24" s="1">
        <f ca="1">_xll.DBRW($B$9,E$21,E$22,$C$16,$C$17,$C$18,$B24,E$23)</f>
        <v>0</v>
      </c>
      <c r="F24" s="1">
        <f ca="1">_xll.DBRW($B$9,F$21,F$22,$C$16,$C$17,$C$18,$B24,F$23)</f>
        <v>0</v>
      </c>
      <c r="G24" s="27">
        <f ca="1">H24-I24+J24</f>
        <v>0</v>
      </c>
      <c r="H24" s="1">
        <f ca="1">_xll.DBRW($B$9,H$21,H$22,$C$16,$C$17,$C$18,$B24,H$23)</f>
        <v>0</v>
      </c>
      <c r="I24" s="1">
        <f ca="1">_xll.DBRW($B$9,I$21,I$22,$C$16,$C$17,$C$18,$B24,I$23)</f>
        <v>0</v>
      </c>
      <c r="J24" s="1">
        <f ca="1">_xll.DBRW($B$9,J$21,J$22,$C$16,$C$17,$C$18,$B24,J$23)</f>
        <v>0</v>
      </c>
      <c r="K24" s="1">
        <f ca="1">L24-M24+N24</f>
        <v>0</v>
      </c>
      <c r="L24" s="1">
        <f ca="1">_xll.DBRW($B$9,L$21,L$22,$C$16,$C$17,$C$18,$B24,L$23)</f>
        <v>0</v>
      </c>
      <c r="M24" s="1">
        <f ca="1">_xll.DBRW($B$9,M$21,M$22,$C$16,$C$17,$C$18,$B24,M$23)</f>
        <v>0</v>
      </c>
      <c r="N24" s="1">
        <f ca="1">_xll.DBRW($B$9,N$21,N$22,$C$16,$C$17,$C$18,$B24,N$23)</f>
        <v>0</v>
      </c>
      <c r="O24" s="27">
        <f ca="1">P24-Q24+R24</f>
        <v>0</v>
      </c>
      <c r="P24" s="1">
        <f ca="1">_xll.DBRW($B$9,P$21,P$22,$C$16,$C$17,$C$18,$B24,P$23)</f>
        <v>0</v>
      </c>
      <c r="Q24" s="1">
        <f ca="1">_xll.DBRW($B$9,Q$21,Q$22,$C$16,$C$17,$C$18,$B24,Q$23)</f>
        <v>0</v>
      </c>
      <c r="R24" s="1">
        <f ca="1">_xll.DBRW($B$9,R$21,R$22,$C$16,$C$17,$C$18,$B24,R$23)</f>
        <v>0</v>
      </c>
      <c r="S24" s="41">
        <f ca="1">IF(G24&lt;&gt;0,O24/G24-1,0)</f>
        <v>0</v>
      </c>
      <c r="T24" s="1">
        <f ca="1">U24-V24+W24</f>
        <v>0</v>
      </c>
      <c r="U24" s="1">
        <f ca="1">_xll.DBRW($B$9,U$21,U$22,$C$16,$C$17,$C$18,$B24,U$23)</f>
        <v>0</v>
      </c>
      <c r="V24" s="1">
        <f ca="1">_xll.DBRW($B$9,V$21,V$22,$C$16,$C$17,$C$18,$B24,V$23)</f>
        <v>0</v>
      </c>
      <c r="W24" s="1">
        <f ca="1">_xll.DBRW($B$9,W$21,W$22,$C$16,$C$17,$C$18,$B24,W$23)</f>
        <v>0</v>
      </c>
      <c r="X24" s="27">
        <f ca="1">Y24-Z24+AA24</f>
        <v>0</v>
      </c>
      <c r="Y24" s="1">
        <f ca="1">_xll.DBRW($B$9,Y$21,Y$22,$C$16,$C$17,$C$18,$B24,Y$23)</f>
        <v>0</v>
      </c>
      <c r="Z24" s="1">
        <f ca="1">_xll.DBRW($B$9,Z$21,Z$22,$C$16,$C$17,$C$18,$B24,Z$23)</f>
        <v>0</v>
      </c>
      <c r="AA24" s="1">
        <f ca="1">_xll.DBRW($B$9,AA$21,AA$22,$C$16,$C$17,$C$18,$B24,AA$23)</f>
        <v>0</v>
      </c>
      <c r="AB24" s="33">
        <f ca="1">IF(O24&lt;&gt;0,X24/O24-1,0)</f>
        <v>0</v>
      </c>
      <c r="AC24" s="1"/>
      <c r="AD24" s="1">
        <f ca="1">AE24-AF24+AG24</f>
        <v>475</v>
      </c>
      <c r="AE24" s="1">
        <f ca="1">_xll.DBRW($B$9,AE$21,AE$22,$C$16,$C$17,$C$18,$B24,AE$23)</f>
        <v>0</v>
      </c>
      <c r="AF24" s="1">
        <f ca="1">_xll.DBRW($B$9,AF$21,AF$22,$C$16,$C$17,$C$18,$B24,AF$23)</f>
        <v>0</v>
      </c>
      <c r="AG24" s="1">
        <f ca="1">_xll.DBRW($B$9,AG$21,AG$22,$C$16,$C$17,$C$18,$B24,AG$23)</f>
        <v>475</v>
      </c>
      <c r="AH24" s="1">
        <f ca="1">AI24-AJ24+AK24</f>
        <v>9512338.4700000007</v>
      </c>
      <c r="AI24" s="1">
        <f ca="1">_xll.DBRW($B$9,AI$21,AI$22,$C$16,$C$17,$C$18,$B24,AI$23)</f>
        <v>0</v>
      </c>
      <c r="AJ24" s="1">
        <f ca="1">_xll.DBRW($B$9,AJ$21,AJ$22,$C$16,$C$17,$C$18,$B24,AJ$23)</f>
        <v>0</v>
      </c>
      <c r="AK24" s="1">
        <f ca="1">_xll.DBRW($B$9,AK$21,AK$22,$C$16,$C$17,$C$18,$B24,AK$23)</f>
        <v>9512338.4700000007</v>
      </c>
      <c r="AL24" s="33">
        <f ca="1">IF(X24&lt;&gt;0,AH24/X24-1,0)</f>
        <v>0</v>
      </c>
    </row>
    <row r="25" spans="1:38" hidden="1" x14ac:dyDescent="0.25"/>
    <row r="26" spans="1:38" hidden="1" x14ac:dyDescent="0.25"/>
    <row r="27" spans="1:38" hidden="1" x14ac:dyDescent="0.25"/>
    <row r="28" spans="1:38" hidden="1" x14ac:dyDescent="0.25"/>
    <row r="29" spans="1:38" hidden="1" x14ac:dyDescent="0.25"/>
    <row r="30" spans="1:38" hidden="1" x14ac:dyDescent="0.25"/>
    <row r="31" spans="1:38" hidden="1" x14ac:dyDescent="0.25"/>
    <row r="32" spans="1:38" hidden="1" x14ac:dyDescent="0.25"/>
    <row r="33" hidden="1" x14ac:dyDescent="0.25"/>
    <row r="34" hidden="1" x14ac:dyDescent="0.25"/>
    <row r="35" hidden="1" x14ac:dyDescent="0.25"/>
    <row r="36" hidden="1" x14ac:dyDescent="0.25"/>
    <row r="37" hidden="1" x14ac:dyDescent="0.25"/>
    <row r="38" hidden="1" x14ac:dyDescent="0.25"/>
    <row r="39" hidden="1" x14ac:dyDescent="0.25"/>
    <row r="40" hidden="1" x14ac:dyDescent="0.25"/>
    <row r="41" hidden="1" x14ac:dyDescent="0.25"/>
    <row r="42" hidden="1" x14ac:dyDescent="0.25"/>
    <row r="43" hidden="1" x14ac:dyDescent="0.25"/>
    <row r="44" hidden="1" x14ac:dyDescent="0.25"/>
    <row r="45" hidden="1" x14ac:dyDescent="0.25"/>
    <row r="46" hidden="1" x14ac:dyDescent="0.25"/>
    <row r="47" hidden="1" x14ac:dyDescent="0.25"/>
    <row r="48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  <row r="63" hidden="1" x14ac:dyDescent="0.25"/>
    <row r="64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  <row r="151" hidden="1" x14ac:dyDescent="0.25"/>
    <row r="152" hidden="1" x14ac:dyDescent="0.25"/>
    <row r="153" hidden="1" x14ac:dyDescent="0.25"/>
    <row r="154" hidden="1" x14ac:dyDescent="0.25"/>
    <row r="155" hidden="1" x14ac:dyDescent="0.25"/>
    <row r="156" hidden="1" x14ac:dyDescent="0.25"/>
    <row r="157" hidden="1" x14ac:dyDescent="0.25"/>
    <row r="158" hidden="1" x14ac:dyDescent="0.25"/>
    <row r="159" hidden="1" x14ac:dyDescent="0.25"/>
    <row r="160" hidden="1" x14ac:dyDescent="0.25"/>
    <row r="161" hidden="1" x14ac:dyDescent="0.25"/>
    <row r="162" hidden="1" x14ac:dyDescent="0.25"/>
    <row r="163" hidden="1" x14ac:dyDescent="0.25"/>
    <row r="164" hidden="1" x14ac:dyDescent="0.25"/>
    <row r="165" hidden="1" x14ac:dyDescent="0.25"/>
    <row r="166" hidden="1" x14ac:dyDescent="0.25"/>
    <row r="167" hidden="1" x14ac:dyDescent="0.25"/>
    <row r="168" hidden="1" x14ac:dyDescent="0.25"/>
    <row r="169" hidden="1" x14ac:dyDescent="0.25"/>
    <row r="170" hidden="1" x14ac:dyDescent="0.25"/>
    <row r="171" hidden="1" x14ac:dyDescent="0.25"/>
    <row r="172" hidden="1" x14ac:dyDescent="0.25"/>
    <row r="173" hidden="1" x14ac:dyDescent="0.25"/>
    <row r="174" hidden="1" x14ac:dyDescent="0.25"/>
    <row r="175" hidden="1" x14ac:dyDescent="0.25"/>
    <row r="176" hidden="1" x14ac:dyDescent="0.25"/>
    <row r="177" hidden="1" x14ac:dyDescent="0.25"/>
    <row r="178" hidden="1" x14ac:dyDescent="0.25"/>
    <row r="179" hidden="1" x14ac:dyDescent="0.25"/>
    <row r="180" hidden="1" x14ac:dyDescent="0.25"/>
    <row r="181" hidden="1" x14ac:dyDescent="0.25"/>
    <row r="182" hidden="1" x14ac:dyDescent="0.25"/>
    <row r="183" hidden="1" x14ac:dyDescent="0.25"/>
    <row r="184" hidden="1" x14ac:dyDescent="0.25"/>
    <row r="185" hidden="1" x14ac:dyDescent="0.25"/>
    <row r="186" hidden="1" x14ac:dyDescent="0.25"/>
    <row r="187" hidden="1" x14ac:dyDescent="0.25"/>
    <row r="188" hidden="1" x14ac:dyDescent="0.25"/>
    <row r="189" hidden="1" x14ac:dyDescent="0.25"/>
    <row r="190" hidden="1" x14ac:dyDescent="0.25"/>
    <row r="191" hidden="1" x14ac:dyDescent="0.25"/>
    <row r="192" hidden="1" x14ac:dyDescent="0.25"/>
    <row r="193" hidden="1" x14ac:dyDescent="0.25"/>
    <row r="194" hidden="1" x14ac:dyDescent="0.25"/>
    <row r="195" hidden="1" x14ac:dyDescent="0.25"/>
    <row r="196" hidden="1" x14ac:dyDescent="0.25"/>
    <row r="197" hidden="1" x14ac:dyDescent="0.25"/>
    <row r="198" hidden="1" x14ac:dyDescent="0.25"/>
    <row r="199" hidden="1" x14ac:dyDescent="0.25"/>
    <row r="200" hidden="1" x14ac:dyDescent="0.25"/>
    <row r="201" hidden="1" x14ac:dyDescent="0.25"/>
    <row r="202" hidden="1" x14ac:dyDescent="0.25"/>
    <row r="203" hidden="1" x14ac:dyDescent="0.25"/>
    <row r="204" hidden="1" x14ac:dyDescent="0.25"/>
    <row r="205" hidden="1" x14ac:dyDescent="0.25"/>
    <row r="206" hidden="1" x14ac:dyDescent="0.25"/>
    <row r="207" hidden="1" x14ac:dyDescent="0.25"/>
    <row r="208" hidden="1" x14ac:dyDescent="0.25"/>
    <row r="209" hidden="1" x14ac:dyDescent="0.25"/>
    <row r="210" hidden="1" x14ac:dyDescent="0.25"/>
    <row r="211" hidden="1" x14ac:dyDescent="0.25"/>
    <row r="212" hidden="1" x14ac:dyDescent="0.25"/>
    <row r="213" hidden="1" x14ac:dyDescent="0.25"/>
    <row r="214" hidden="1" x14ac:dyDescent="0.25"/>
    <row r="215" hidden="1" x14ac:dyDescent="0.25"/>
    <row r="216" hidden="1" x14ac:dyDescent="0.25"/>
    <row r="217" hidden="1" x14ac:dyDescent="0.25"/>
    <row r="218" hidden="1" x14ac:dyDescent="0.25"/>
    <row r="219" hidden="1" x14ac:dyDescent="0.25"/>
    <row r="220" hidden="1" x14ac:dyDescent="0.25"/>
    <row r="221" hidden="1" x14ac:dyDescent="0.25"/>
    <row r="222" hidden="1" x14ac:dyDescent="0.25"/>
    <row r="223" hidden="1" x14ac:dyDescent="0.25"/>
    <row r="224" hidden="1" x14ac:dyDescent="0.25"/>
    <row r="225" hidden="1" x14ac:dyDescent="0.25"/>
    <row r="226" hidden="1" x14ac:dyDescent="0.25"/>
    <row r="227" hidden="1" x14ac:dyDescent="0.25"/>
    <row r="228" hidden="1" x14ac:dyDescent="0.25"/>
    <row r="229" hidden="1" x14ac:dyDescent="0.25"/>
    <row r="230" hidden="1" x14ac:dyDescent="0.25"/>
    <row r="231" hidden="1" x14ac:dyDescent="0.25"/>
    <row r="232" hidden="1" x14ac:dyDescent="0.25"/>
    <row r="233" hidden="1" x14ac:dyDescent="0.25"/>
    <row r="234" hidden="1" x14ac:dyDescent="0.25"/>
    <row r="235" hidden="1" x14ac:dyDescent="0.25"/>
    <row r="236" hidden="1" x14ac:dyDescent="0.25"/>
    <row r="237" hidden="1" x14ac:dyDescent="0.25"/>
    <row r="238" hidden="1" x14ac:dyDescent="0.25"/>
    <row r="239" hidden="1" x14ac:dyDescent="0.25"/>
    <row r="240" hidden="1" x14ac:dyDescent="0.25"/>
    <row r="241" hidden="1" x14ac:dyDescent="0.25"/>
    <row r="242" hidden="1" x14ac:dyDescent="0.25"/>
    <row r="243" hidden="1" x14ac:dyDescent="0.25"/>
    <row r="244" hidden="1" x14ac:dyDescent="0.25"/>
    <row r="245" hidden="1" x14ac:dyDescent="0.25"/>
    <row r="246" hidden="1" x14ac:dyDescent="0.25"/>
    <row r="247" hidden="1" x14ac:dyDescent="0.25"/>
    <row r="248" hidden="1" x14ac:dyDescent="0.25"/>
    <row r="249" hidden="1" x14ac:dyDescent="0.25"/>
    <row r="250" hidden="1" x14ac:dyDescent="0.25"/>
    <row r="251" hidden="1" x14ac:dyDescent="0.25"/>
    <row r="252" hidden="1" x14ac:dyDescent="0.25"/>
    <row r="253" hidden="1" x14ac:dyDescent="0.25"/>
    <row r="254" hidden="1" x14ac:dyDescent="0.25"/>
    <row r="255" hidden="1" x14ac:dyDescent="0.25"/>
    <row r="256" hidden="1" x14ac:dyDescent="0.25"/>
    <row r="257" hidden="1" x14ac:dyDescent="0.25"/>
    <row r="258" hidden="1" x14ac:dyDescent="0.25"/>
    <row r="259" hidden="1" x14ac:dyDescent="0.25"/>
    <row r="260" hidden="1" x14ac:dyDescent="0.25"/>
    <row r="261" hidden="1" x14ac:dyDescent="0.25"/>
    <row r="262" hidden="1" x14ac:dyDescent="0.25"/>
    <row r="263" hidden="1" x14ac:dyDescent="0.25"/>
    <row r="264" hidden="1" x14ac:dyDescent="0.25"/>
    <row r="265" hidden="1" x14ac:dyDescent="0.25"/>
    <row r="266" hidden="1" x14ac:dyDescent="0.25"/>
    <row r="267" hidden="1" x14ac:dyDescent="0.25"/>
    <row r="268" hidden="1" x14ac:dyDescent="0.25"/>
    <row r="269" hidden="1" x14ac:dyDescent="0.25"/>
    <row r="270" hidden="1" x14ac:dyDescent="0.25"/>
    <row r="271" hidden="1" x14ac:dyDescent="0.25"/>
    <row r="272" hidden="1" x14ac:dyDescent="0.25"/>
    <row r="273" hidden="1" x14ac:dyDescent="0.25"/>
    <row r="274" hidden="1" x14ac:dyDescent="0.25"/>
    <row r="275" hidden="1" x14ac:dyDescent="0.25"/>
    <row r="276" hidden="1" x14ac:dyDescent="0.25"/>
    <row r="277" hidden="1" x14ac:dyDescent="0.25"/>
    <row r="278" hidden="1" x14ac:dyDescent="0.25"/>
    <row r="279" hidden="1" x14ac:dyDescent="0.25"/>
    <row r="280" hidden="1" x14ac:dyDescent="0.25"/>
    <row r="281" hidden="1" x14ac:dyDescent="0.25"/>
    <row r="282" hidden="1" x14ac:dyDescent="0.25"/>
    <row r="283" hidden="1" x14ac:dyDescent="0.25"/>
    <row r="284" hidden="1" x14ac:dyDescent="0.25"/>
    <row r="285" hidden="1" x14ac:dyDescent="0.25"/>
    <row r="286" hidden="1" x14ac:dyDescent="0.25"/>
    <row r="287" hidden="1" x14ac:dyDescent="0.25"/>
    <row r="288" hidden="1" x14ac:dyDescent="0.25"/>
    <row r="289" hidden="1" x14ac:dyDescent="0.25"/>
    <row r="290" hidden="1" x14ac:dyDescent="0.25"/>
    <row r="291" hidden="1" x14ac:dyDescent="0.25"/>
    <row r="292" hidden="1" x14ac:dyDescent="0.25"/>
    <row r="293" hidden="1" x14ac:dyDescent="0.25"/>
    <row r="294" hidden="1" x14ac:dyDescent="0.25"/>
    <row r="295" hidden="1" x14ac:dyDescent="0.25"/>
    <row r="296" hidden="1" x14ac:dyDescent="0.25"/>
    <row r="297" hidden="1" x14ac:dyDescent="0.25"/>
    <row r="298" hidden="1" x14ac:dyDescent="0.25"/>
    <row r="299" hidden="1" x14ac:dyDescent="0.25"/>
    <row r="300" hidden="1" x14ac:dyDescent="0.25"/>
    <row r="301" hidden="1" x14ac:dyDescent="0.25"/>
    <row r="302" hidden="1" x14ac:dyDescent="0.25"/>
    <row r="303" hidden="1" x14ac:dyDescent="0.25"/>
    <row r="304" hidden="1" x14ac:dyDescent="0.25"/>
    <row r="305" hidden="1" x14ac:dyDescent="0.25"/>
    <row r="306" hidden="1" x14ac:dyDescent="0.25"/>
    <row r="307" hidden="1" x14ac:dyDescent="0.25"/>
    <row r="308" hidden="1" x14ac:dyDescent="0.25"/>
    <row r="309" hidden="1" x14ac:dyDescent="0.25"/>
    <row r="310" hidden="1" x14ac:dyDescent="0.25"/>
    <row r="311" hidden="1" x14ac:dyDescent="0.25"/>
    <row r="312" hidden="1" x14ac:dyDescent="0.25"/>
    <row r="313" hidden="1" x14ac:dyDescent="0.25"/>
    <row r="314" hidden="1" x14ac:dyDescent="0.25"/>
    <row r="315" hidden="1" x14ac:dyDescent="0.25"/>
    <row r="316" hidden="1" x14ac:dyDescent="0.25"/>
    <row r="317" hidden="1" x14ac:dyDescent="0.25"/>
    <row r="318" hidden="1" x14ac:dyDescent="0.25"/>
    <row r="319" hidden="1" x14ac:dyDescent="0.25"/>
    <row r="320" hidden="1" x14ac:dyDescent="0.25"/>
    <row r="321" hidden="1" x14ac:dyDescent="0.25"/>
    <row r="322" hidden="1" x14ac:dyDescent="0.25"/>
    <row r="323" hidden="1" x14ac:dyDescent="0.25"/>
    <row r="324" hidden="1" x14ac:dyDescent="0.25"/>
    <row r="325" hidden="1" x14ac:dyDescent="0.25"/>
    <row r="326" hidden="1" x14ac:dyDescent="0.25"/>
    <row r="327" hidden="1" x14ac:dyDescent="0.25"/>
    <row r="328" hidden="1" x14ac:dyDescent="0.25"/>
    <row r="329" hidden="1" x14ac:dyDescent="0.25"/>
    <row r="330" hidden="1" x14ac:dyDescent="0.25"/>
    <row r="331" hidden="1" x14ac:dyDescent="0.25"/>
    <row r="332" hidden="1" x14ac:dyDescent="0.25"/>
    <row r="333" hidden="1" x14ac:dyDescent="0.25"/>
    <row r="334" hidden="1" x14ac:dyDescent="0.25"/>
    <row r="335" hidden="1" x14ac:dyDescent="0.25"/>
    <row r="336" hidden="1" x14ac:dyDescent="0.25"/>
    <row r="337" hidden="1" x14ac:dyDescent="0.25"/>
    <row r="338" hidden="1" x14ac:dyDescent="0.25"/>
    <row r="339" hidden="1" x14ac:dyDescent="0.25"/>
    <row r="340" hidden="1" x14ac:dyDescent="0.25"/>
    <row r="341" hidden="1" x14ac:dyDescent="0.25"/>
    <row r="342" hidden="1" x14ac:dyDescent="0.25"/>
    <row r="343" hidden="1" x14ac:dyDescent="0.25"/>
    <row r="344" hidden="1" x14ac:dyDescent="0.25"/>
    <row r="345" hidden="1" x14ac:dyDescent="0.25"/>
    <row r="346" hidden="1" x14ac:dyDescent="0.25"/>
    <row r="347" hidden="1" x14ac:dyDescent="0.25"/>
    <row r="348" hidden="1" x14ac:dyDescent="0.25"/>
    <row r="349" hidden="1" x14ac:dyDescent="0.25"/>
    <row r="350" hidden="1" x14ac:dyDescent="0.25"/>
    <row r="351" hidden="1" x14ac:dyDescent="0.25"/>
    <row r="352" hidden="1" x14ac:dyDescent="0.25"/>
    <row r="353" hidden="1" x14ac:dyDescent="0.25"/>
    <row r="354" hidden="1" x14ac:dyDescent="0.25"/>
    <row r="355" hidden="1" x14ac:dyDescent="0.25"/>
    <row r="356" hidden="1" x14ac:dyDescent="0.25"/>
    <row r="357" hidden="1" x14ac:dyDescent="0.25"/>
    <row r="358" hidden="1" x14ac:dyDescent="0.25"/>
    <row r="359" hidden="1" x14ac:dyDescent="0.25"/>
    <row r="360" hidden="1" x14ac:dyDescent="0.25"/>
    <row r="361" hidden="1" x14ac:dyDescent="0.25"/>
    <row r="362" hidden="1" x14ac:dyDescent="0.25"/>
    <row r="363" hidden="1" x14ac:dyDescent="0.25"/>
    <row r="364" hidden="1" x14ac:dyDescent="0.25"/>
    <row r="365" hidden="1" x14ac:dyDescent="0.25"/>
    <row r="366" hidden="1" x14ac:dyDescent="0.25"/>
    <row r="367" hidden="1" x14ac:dyDescent="0.25"/>
    <row r="368" hidden="1" x14ac:dyDescent="0.25"/>
    <row r="369" hidden="1" x14ac:dyDescent="0.25"/>
    <row r="370" hidden="1" x14ac:dyDescent="0.25"/>
    <row r="371" hidden="1" x14ac:dyDescent="0.25"/>
    <row r="372" hidden="1" x14ac:dyDescent="0.25"/>
    <row r="373" hidden="1" x14ac:dyDescent="0.25"/>
    <row r="374" hidden="1" x14ac:dyDescent="0.25"/>
    <row r="375" hidden="1" x14ac:dyDescent="0.25"/>
    <row r="376" hidden="1" x14ac:dyDescent="0.25"/>
    <row r="377" hidden="1" x14ac:dyDescent="0.25"/>
    <row r="378" hidden="1" x14ac:dyDescent="0.25"/>
    <row r="379" hidden="1" x14ac:dyDescent="0.25"/>
    <row r="380" hidden="1" x14ac:dyDescent="0.25"/>
    <row r="381" hidden="1" x14ac:dyDescent="0.25"/>
    <row r="382" hidden="1" x14ac:dyDescent="0.25"/>
    <row r="383" hidden="1" x14ac:dyDescent="0.25"/>
    <row r="384" hidden="1" x14ac:dyDescent="0.25"/>
    <row r="385" hidden="1" x14ac:dyDescent="0.25"/>
    <row r="386" hidden="1" x14ac:dyDescent="0.25"/>
    <row r="387" hidden="1" x14ac:dyDescent="0.25"/>
    <row r="388" hidden="1" x14ac:dyDescent="0.25"/>
    <row r="389" hidden="1" x14ac:dyDescent="0.25"/>
    <row r="390" hidden="1" x14ac:dyDescent="0.25"/>
    <row r="391" hidden="1" x14ac:dyDescent="0.25"/>
    <row r="392" hidden="1" x14ac:dyDescent="0.25"/>
    <row r="393" hidden="1" x14ac:dyDescent="0.25"/>
    <row r="394" hidden="1" x14ac:dyDescent="0.25"/>
    <row r="395" hidden="1" x14ac:dyDescent="0.25"/>
    <row r="396" hidden="1" x14ac:dyDescent="0.25"/>
    <row r="397" hidden="1" x14ac:dyDescent="0.25"/>
    <row r="398" hidden="1" x14ac:dyDescent="0.25"/>
    <row r="399" hidden="1" x14ac:dyDescent="0.25"/>
    <row r="400" hidden="1" x14ac:dyDescent="0.25"/>
    <row r="401" hidden="1" x14ac:dyDescent="0.25"/>
    <row r="402" hidden="1" x14ac:dyDescent="0.25"/>
    <row r="403" hidden="1" x14ac:dyDescent="0.25"/>
    <row r="404" hidden="1" x14ac:dyDescent="0.25"/>
    <row r="405" hidden="1" x14ac:dyDescent="0.25"/>
    <row r="406" hidden="1" x14ac:dyDescent="0.25"/>
    <row r="407" hidden="1" x14ac:dyDescent="0.25"/>
    <row r="408" hidden="1" x14ac:dyDescent="0.25"/>
    <row r="409" hidden="1" x14ac:dyDescent="0.25"/>
    <row r="410" hidden="1" x14ac:dyDescent="0.25"/>
    <row r="411" hidden="1" x14ac:dyDescent="0.25"/>
    <row r="412" hidden="1" x14ac:dyDescent="0.25"/>
    <row r="413" hidden="1" x14ac:dyDescent="0.25"/>
    <row r="414" hidden="1" x14ac:dyDescent="0.25"/>
    <row r="415" hidden="1" x14ac:dyDescent="0.25"/>
    <row r="416" hidden="1" x14ac:dyDescent="0.25"/>
    <row r="417" hidden="1" x14ac:dyDescent="0.25"/>
    <row r="418" hidden="1" x14ac:dyDescent="0.25"/>
    <row r="419" hidden="1" x14ac:dyDescent="0.25"/>
    <row r="420" hidden="1" x14ac:dyDescent="0.25"/>
    <row r="421" hidden="1" x14ac:dyDescent="0.25"/>
    <row r="422" hidden="1" x14ac:dyDescent="0.25"/>
    <row r="423" hidden="1" x14ac:dyDescent="0.25"/>
    <row r="424" hidden="1" x14ac:dyDescent="0.25"/>
    <row r="425" hidden="1" x14ac:dyDescent="0.25"/>
    <row r="426" hidden="1" x14ac:dyDescent="0.25"/>
    <row r="427" hidden="1" x14ac:dyDescent="0.25"/>
    <row r="428" hidden="1" x14ac:dyDescent="0.25"/>
    <row r="429" hidden="1" x14ac:dyDescent="0.25"/>
    <row r="430" hidden="1" x14ac:dyDescent="0.25"/>
    <row r="431" hidden="1" x14ac:dyDescent="0.25"/>
    <row r="432" hidden="1" x14ac:dyDescent="0.25"/>
    <row r="433" hidden="1" x14ac:dyDescent="0.25"/>
    <row r="434" hidden="1" x14ac:dyDescent="0.25"/>
    <row r="435" hidden="1" x14ac:dyDescent="0.25"/>
    <row r="436" hidden="1" x14ac:dyDescent="0.25"/>
    <row r="437" hidden="1" x14ac:dyDescent="0.25"/>
    <row r="438" hidden="1" x14ac:dyDescent="0.25"/>
    <row r="439" hidden="1" x14ac:dyDescent="0.25"/>
    <row r="440" hidden="1" x14ac:dyDescent="0.25"/>
    <row r="441" hidden="1" x14ac:dyDescent="0.25"/>
    <row r="442" hidden="1" x14ac:dyDescent="0.25"/>
    <row r="443" hidden="1" x14ac:dyDescent="0.25"/>
    <row r="444" hidden="1" x14ac:dyDescent="0.25"/>
    <row r="445" hidden="1" x14ac:dyDescent="0.25"/>
    <row r="446" hidden="1" x14ac:dyDescent="0.25"/>
    <row r="447" hidden="1" x14ac:dyDescent="0.25"/>
    <row r="448" hidden="1" x14ac:dyDescent="0.25"/>
    <row r="449" hidden="1" x14ac:dyDescent="0.25"/>
    <row r="450" hidden="1" x14ac:dyDescent="0.25"/>
    <row r="451" hidden="1" x14ac:dyDescent="0.25"/>
    <row r="452" hidden="1" x14ac:dyDescent="0.25"/>
    <row r="453" hidden="1" x14ac:dyDescent="0.25"/>
    <row r="454" hidden="1" x14ac:dyDescent="0.25"/>
    <row r="455" hidden="1" x14ac:dyDescent="0.25"/>
    <row r="456" hidden="1" x14ac:dyDescent="0.25"/>
    <row r="457" hidden="1" x14ac:dyDescent="0.25"/>
    <row r="458" hidden="1" x14ac:dyDescent="0.25"/>
    <row r="459" hidden="1" x14ac:dyDescent="0.25"/>
    <row r="460" hidden="1" x14ac:dyDescent="0.25"/>
    <row r="461" hidden="1" x14ac:dyDescent="0.25"/>
    <row r="462" hidden="1" x14ac:dyDescent="0.25"/>
    <row r="463" hidden="1" x14ac:dyDescent="0.25"/>
    <row r="464" hidden="1" x14ac:dyDescent="0.25"/>
    <row r="465" hidden="1" x14ac:dyDescent="0.25"/>
    <row r="466" hidden="1" x14ac:dyDescent="0.25"/>
    <row r="467" hidden="1" x14ac:dyDescent="0.25"/>
    <row r="468" hidden="1" x14ac:dyDescent="0.25"/>
    <row r="469" hidden="1" x14ac:dyDescent="0.25"/>
    <row r="470" hidden="1" x14ac:dyDescent="0.25"/>
    <row r="471" hidden="1" x14ac:dyDescent="0.25"/>
    <row r="472" hidden="1" x14ac:dyDescent="0.25"/>
    <row r="473" hidden="1" x14ac:dyDescent="0.25"/>
    <row r="474" hidden="1" x14ac:dyDescent="0.25"/>
    <row r="475" hidden="1" x14ac:dyDescent="0.25"/>
    <row r="476" hidden="1" x14ac:dyDescent="0.25"/>
    <row r="477" hidden="1" x14ac:dyDescent="0.25"/>
    <row r="478" hidden="1" x14ac:dyDescent="0.25"/>
    <row r="479" hidden="1" x14ac:dyDescent="0.25"/>
    <row r="480" hidden="1" x14ac:dyDescent="0.25"/>
    <row r="481" hidden="1" x14ac:dyDescent="0.25"/>
    <row r="482" hidden="1" x14ac:dyDescent="0.25"/>
    <row r="483" hidden="1" x14ac:dyDescent="0.25"/>
    <row r="484" hidden="1" x14ac:dyDescent="0.25"/>
    <row r="485" hidden="1" x14ac:dyDescent="0.25"/>
    <row r="486" hidden="1" x14ac:dyDescent="0.25"/>
    <row r="487" hidden="1" x14ac:dyDescent="0.25"/>
    <row r="488" hidden="1" x14ac:dyDescent="0.25"/>
    <row r="489" hidden="1" x14ac:dyDescent="0.25"/>
    <row r="490" hidden="1" x14ac:dyDescent="0.25"/>
    <row r="491" hidden="1" x14ac:dyDescent="0.25"/>
    <row r="492" hidden="1" x14ac:dyDescent="0.25"/>
    <row r="493" hidden="1" x14ac:dyDescent="0.25"/>
    <row r="494" hidden="1" x14ac:dyDescent="0.25"/>
    <row r="495" hidden="1" x14ac:dyDescent="0.25"/>
    <row r="496" hidden="1" x14ac:dyDescent="0.25"/>
    <row r="497" hidden="1" x14ac:dyDescent="0.25"/>
    <row r="498" hidden="1" x14ac:dyDescent="0.25"/>
    <row r="499" hidden="1" x14ac:dyDescent="0.25"/>
    <row r="500" hidden="1" x14ac:dyDescent="0.25"/>
    <row r="501" hidden="1" x14ac:dyDescent="0.25"/>
    <row r="502" hidden="1" x14ac:dyDescent="0.25"/>
    <row r="503" hidden="1" x14ac:dyDescent="0.25"/>
    <row r="504" hidden="1" x14ac:dyDescent="0.25"/>
    <row r="505" hidden="1" x14ac:dyDescent="0.25"/>
    <row r="506" hidden="1" x14ac:dyDescent="0.25"/>
    <row r="507" hidden="1" x14ac:dyDescent="0.25"/>
    <row r="508" hidden="1" x14ac:dyDescent="0.25"/>
    <row r="509" hidden="1" x14ac:dyDescent="0.25"/>
    <row r="510" hidden="1" x14ac:dyDescent="0.25"/>
    <row r="511" hidden="1" x14ac:dyDescent="0.25"/>
    <row r="512" hidden="1" x14ac:dyDescent="0.25"/>
    <row r="513" hidden="1" x14ac:dyDescent="0.25"/>
    <row r="514" hidden="1" x14ac:dyDescent="0.25"/>
    <row r="515" hidden="1" x14ac:dyDescent="0.25"/>
    <row r="516" hidden="1" x14ac:dyDescent="0.25"/>
    <row r="517" hidden="1" x14ac:dyDescent="0.25"/>
    <row r="518" hidden="1" x14ac:dyDescent="0.25"/>
    <row r="519" hidden="1" x14ac:dyDescent="0.25"/>
    <row r="520" hidden="1" x14ac:dyDescent="0.25"/>
    <row r="521" hidden="1" x14ac:dyDescent="0.25"/>
    <row r="522" hidden="1" x14ac:dyDescent="0.25"/>
    <row r="523" hidden="1" x14ac:dyDescent="0.25"/>
    <row r="524" hidden="1" x14ac:dyDescent="0.25"/>
    <row r="525" hidden="1" x14ac:dyDescent="0.25"/>
    <row r="526" hidden="1" x14ac:dyDescent="0.25"/>
    <row r="527" hidden="1" x14ac:dyDescent="0.25"/>
    <row r="528" hidden="1" x14ac:dyDescent="0.25"/>
    <row r="529" hidden="1" x14ac:dyDescent="0.25"/>
    <row r="530" hidden="1" x14ac:dyDescent="0.25"/>
    <row r="531" hidden="1" x14ac:dyDescent="0.25"/>
    <row r="532" hidden="1" x14ac:dyDescent="0.25"/>
    <row r="533" hidden="1" x14ac:dyDescent="0.25"/>
    <row r="534" hidden="1" x14ac:dyDescent="0.25"/>
    <row r="535" hidden="1" x14ac:dyDescent="0.25"/>
    <row r="536" hidden="1" x14ac:dyDescent="0.25"/>
    <row r="537" hidden="1" x14ac:dyDescent="0.25"/>
    <row r="538" hidden="1" x14ac:dyDescent="0.25"/>
    <row r="539" hidden="1" x14ac:dyDescent="0.25"/>
    <row r="540" hidden="1" x14ac:dyDescent="0.25"/>
    <row r="541" hidden="1" x14ac:dyDescent="0.25"/>
    <row r="542" hidden="1" x14ac:dyDescent="0.25"/>
    <row r="543" hidden="1" x14ac:dyDescent="0.25"/>
    <row r="544" hidden="1" x14ac:dyDescent="0.25"/>
    <row r="545" hidden="1" x14ac:dyDescent="0.25"/>
    <row r="546" hidden="1" x14ac:dyDescent="0.25"/>
    <row r="547" hidden="1" x14ac:dyDescent="0.25"/>
    <row r="548" hidden="1" x14ac:dyDescent="0.25"/>
    <row r="549" hidden="1" x14ac:dyDescent="0.25"/>
    <row r="550" hidden="1" x14ac:dyDescent="0.25"/>
    <row r="551" hidden="1" x14ac:dyDescent="0.25"/>
    <row r="552" hidden="1" x14ac:dyDescent="0.25"/>
    <row r="553" hidden="1" x14ac:dyDescent="0.25"/>
    <row r="554" hidden="1" x14ac:dyDescent="0.25"/>
    <row r="555" hidden="1" x14ac:dyDescent="0.25"/>
    <row r="556" hidden="1" x14ac:dyDescent="0.25"/>
    <row r="557" hidden="1" x14ac:dyDescent="0.25"/>
    <row r="558" hidden="1" x14ac:dyDescent="0.25"/>
    <row r="559" hidden="1" x14ac:dyDescent="0.25"/>
    <row r="560" hidden="1" x14ac:dyDescent="0.25"/>
    <row r="561" hidden="1" x14ac:dyDescent="0.25"/>
    <row r="562" hidden="1" x14ac:dyDescent="0.25"/>
    <row r="563" hidden="1" x14ac:dyDescent="0.25"/>
    <row r="564" hidden="1" x14ac:dyDescent="0.25"/>
    <row r="565" hidden="1" x14ac:dyDescent="0.25"/>
    <row r="566" hidden="1" x14ac:dyDescent="0.25"/>
    <row r="567" hidden="1" x14ac:dyDescent="0.25"/>
    <row r="568" hidden="1" x14ac:dyDescent="0.25"/>
    <row r="569" hidden="1" x14ac:dyDescent="0.25"/>
    <row r="570" hidden="1" x14ac:dyDescent="0.25"/>
    <row r="571" hidden="1" x14ac:dyDescent="0.25"/>
    <row r="572" hidden="1" x14ac:dyDescent="0.25"/>
    <row r="573" hidden="1" x14ac:dyDescent="0.25"/>
    <row r="574" hidden="1" x14ac:dyDescent="0.25"/>
    <row r="575" hidden="1" x14ac:dyDescent="0.25"/>
    <row r="576" hidden="1" x14ac:dyDescent="0.25"/>
    <row r="577" hidden="1" x14ac:dyDescent="0.25"/>
    <row r="578" hidden="1" x14ac:dyDescent="0.25"/>
    <row r="579" hidden="1" x14ac:dyDescent="0.25"/>
    <row r="580" hidden="1" x14ac:dyDescent="0.25"/>
    <row r="581" hidden="1" x14ac:dyDescent="0.25"/>
    <row r="582" hidden="1" x14ac:dyDescent="0.25"/>
    <row r="583" hidden="1" x14ac:dyDescent="0.25"/>
    <row r="584" hidden="1" x14ac:dyDescent="0.25"/>
    <row r="585" hidden="1" x14ac:dyDescent="0.25"/>
    <row r="586" hidden="1" x14ac:dyDescent="0.25"/>
    <row r="587" hidden="1" x14ac:dyDescent="0.25"/>
    <row r="588" hidden="1" x14ac:dyDescent="0.25"/>
    <row r="589" hidden="1" x14ac:dyDescent="0.25"/>
    <row r="590" hidden="1" x14ac:dyDescent="0.25"/>
    <row r="591" hidden="1" x14ac:dyDescent="0.25"/>
    <row r="592" hidden="1" x14ac:dyDescent="0.25"/>
    <row r="593" hidden="1" x14ac:dyDescent="0.25"/>
    <row r="594" hidden="1" x14ac:dyDescent="0.25"/>
    <row r="595" hidden="1" x14ac:dyDescent="0.25"/>
    <row r="596" hidden="1" x14ac:dyDescent="0.25"/>
    <row r="597" hidden="1" x14ac:dyDescent="0.25"/>
    <row r="598" hidden="1" x14ac:dyDescent="0.25"/>
    <row r="599" hidden="1" x14ac:dyDescent="0.25"/>
    <row r="600" hidden="1" x14ac:dyDescent="0.25"/>
    <row r="601" hidden="1" x14ac:dyDescent="0.25"/>
    <row r="602" hidden="1" x14ac:dyDescent="0.25"/>
    <row r="603" hidden="1" x14ac:dyDescent="0.25"/>
    <row r="604" hidden="1" x14ac:dyDescent="0.25"/>
    <row r="605" hidden="1" x14ac:dyDescent="0.25"/>
    <row r="606" hidden="1" x14ac:dyDescent="0.25"/>
    <row r="607" hidden="1" x14ac:dyDescent="0.25"/>
    <row r="608" hidden="1" x14ac:dyDescent="0.25"/>
    <row r="609" hidden="1" x14ac:dyDescent="0.25"/>
    <row r="610" hidden="1" x14ac:dyDescent="0.25"/>
    <row r="611" hidden="1" x14ac:dyDescent="0.25"/>
    <row r="612" hidden="1" x14ac:dyDescent="0.25"/>
    <row r="613" hidden="1" x14ac:dyDescent="0.25"/>
    <row r="614" hidden="1" x14ac:dyDescent="0.25"/>
    <row r="615" hidden="1" x14ac:dyDescent="0.25"/>
    <row r="616" hidden="1" x14ac:dyDescent="0.25"/>
    <row r="617" hidden="1" x14ac:dyDescent="0.25"/>
    <row r="618" hidden="1" x14ac:dyDescent="0.25"/>
    <row r="619" hidden="1" x14ac:dyDescent="0.25"/>
    <row r="620" hidden="1" x14ac:dyDescent="0.25"/>
    <row r="621" hidden="1" x14ac:dyDescent="0.25"/>
    <row r="622" hidden="1" x14ac:dyDescent="0.25"/>
    <row r="623" hidden="1" x14ac:dyDescent="0.25"/>
    <row r="624" hidden="1" x14ac:dyDescent="0.25"/>
    <row r="625" hidden="1" x14ac:dyDescent="0.25"/>
    <row r="626" hidden="1" x14ac:dyDescent="0.25"/>
    <row r="627" hidden="1" x14ac:dyDescent="0.25"/>
    <row r="628" hidden="1" x14ac:dyDescent="0.25"/>
    <row r="629" hidden="1" x14ac:dyDescent="0.25"/>
    <row r="630" hidden="1" x14ac:dyDescent="0.25"/>
    <row r="631" hidden="1" x14ac:dyDescent="0.25"/>
    <row r="632" hidden="1" x14ac:dyDescent="0.25"/>
    <row r="633" hidden="1" x14ac:dyDescent="0.25"/>
    <row r="634" hidden="1" x14ac:dyDescent="0.25"/>
    <row r="635" hidden="1" x14ac:dyDescent="0.25"/>
    <row r="636" hidden="1" x14ac:dyDescent="0.25"/>
    <row r="637" hidden="1" x14ac:dyDescent="0.25"/>
    <row r="638" hidden="1" x14ac:dyDescent="0.25"/>
    <row r="639" hidden="1" x14ac:dyDescent="0.25"/>
    <row r="640" hidden="1" x14ac:dyDescent="0.25"/>
    <row r="641" hidden="1" x14ac:dyDescent="0.25"/>
    <row r="642" hidden="1" x14ac:dyDescent="0.25"/>
    <row r="643" hidden="1" x14ac:dyDescent="0.25"/>
    <row r="644" hidden="1" x14ac:dyDescent="0.25"/>
    <row r="645" hidden="1" x14ac:dyDescent="0.25"/>
    <row r="646" hidden="1" x14ac:dyDescent="0.25"/>
    <row r="647" hidden="1" x14ac:dyDescent="0.25"/>
    <row r="648" hidden="1" x14ac:dyDescent="0.25"/>
    <row r="649" hidden="1" x14ac:dyDescent="0.25"/>
    <row r="650" hidden="1" x14ac:dyDescent="0.25"/>
    <row r="651" hidden="1" x14ac:dyDescent="0.25"/>
    <row r="652" hidden="1" x14ac:dyDescent="0.25"/>
    <row r="653" hidden="1" x14ac:dyDescent="0.25"/>
    <row r="654" hidden="1" x14ac:dyDescent="0.25"/>
    <row r="655" hidden="1" x14ac:dyDescent="0.25"/>
    <row r="656" hidden="1" x14ac:dyDescent="0.25"/>
    <row r="657" hidden="1" x14ac:dyDescent="0.25"/>
    <row r="658" hidden="1" x14ac:dyDescent="0.25"/>
    <row r="659" hidden="1" x14ac:dyDescent="0.25"/>
    <row r="660" hidden="1" x14ac:dyDescent="0.25"/>
    <row r="661" hidden="1" x14ac:dyDescent="0.25"/>
    <row r="662" hidden="1" x14ac:dyDescent="0.25"/>
    <row r="663" hidden="1" x14ac:dyDescent="0.25"/>
    <row r="664" hidden="1" x14ac:dyDescent="0.25"/>
    <row r="665" hidden="1" x14ac:dyDescent="0.25"/>
    <row r="666" hidden="1" x14ac:dyDescent="0.25"/>
    <row r="667" hidden="1" x14ac:dyDescent="0.25"/>
    <row r="668" hidden="1" x14ac:dyDescent="0.25"/>
    <row r="669" hidden="1" x14ac:dyDescent="0.25"/>
    <row r="670" hidden="1" x14ac:dyDescent="0.25"/>
    <row r="671" hidden="1" x14ac:dyDescent="0.25"/>
    <row r="672" hidden="1" x14ac:dyDescent="0.25"/>
    <row r="673" hidden="1" x14ac:dyDescent="0.25"/>
    <row r="674" hidden="1" x14ac:dyDescent="0.25"/>
    <row r="675" hidden="1" x14ac:dyDescent="0.25"/>
    <row r="676" hidden="1" x14ac:dyDescent="0.25"/>
    <row r="677" hidden="1" x14ac:dyDescent="0.25"/>
    <row r="678" hidden="1" x14ac:dyDescent="0.25"/>
    <row r="679" hidden="1" x14ac:dyDescent="0.25"/>
    <row r="680" hidden="1" x14ac:dyDescent="0.25"/>
    <row r="681" hidden="1" x14ac:dyDescent="0.25"/>
    <row r="682" hidden="1" x14ac:dyDescent="0.25"/>
    <row r="683" hidden="1" x14ac:dyDescent="0.25"/>
    <row r="684" hidden="1" x14ac:dyDescent="0.25"/>
    <row r="685" hidden="1" x14ac:dyDescent="0.25"/>
    <row r="686" hidden="1" x14ac:dyDescent="0.25"/>
    <row r="687" hidden="1" x14ac:dyDescent="0.25"/>
    <row r="688" hidden="1" x14ac:dyDescent="0.25"/>
    <row r="689" hidden="1" x14ac:dyDescent="0.25"/>
    <row r="690" hidden="1" x14ac:dyDescent="0.25"/>
    <row r="691" hidden="1" x14ac:dyDescent="0.25"/>
    <row r="692" hidden="1" x14ac:dyDescent="0.25"/>
    <row r="693" hidden="1" x14ac:dyDescent="0.25"/>
    <row r="694" hidden="1" x14ac:dyDescent="0.25"/>
    <row r="695" hidden="1" x14ac:dyDescent="0.25"/>
    <row r="696" hidden="1" x14ac:dyDescent="0.25"/>
    <row r="697" hidden="1" x14ac:dyDescent="0.25"/>
    <row r="698" hidden="1" x14ac:dyDescent="0.25"/>
    <row r="699" hidden="1" x14ac:dyDescent="0.25"/>
    <row r="700" hidden="1" x14ac:dyDescent="0.25"/>
    <row r="701" hidden="1" x14ac:dyDescent="0.25"/>
    <row r="702" hidden="1" x14ac:dyDescent="0.25"/>
    <row r="703" hidden="1" x14ac:dyDescent="0.25"/>
    <row r="704" hidden="1" x14ac:dyDescent="0.25"/>
    <row r="705" hidden="1" x14ac:dyDescent="0.25"/>
    <row r="706" hidden="1" x14ac:dyDescent="0.25"/>
    <row r="707" hidden="1" x14ac:dyDescent="0.25"/>
    <row r="708" hidden="1" x14ac:dyDescent="0.25"/>
    <row r="709" hidden="1" x14ac:dyDescent="0.25"/>
    <row r="710" hidden="1" x14ac:dyDescent="0.25"/>
    <row r="711" hidden="1" x14ac:dyDescent="0.25"/>
    <row r="712" hidden="1" x14ac:dyDescent="0.25"/>
    <row r="713" hidden="1" x14ac:dyDescent="0.25"/>
    <row r="714" hidden="1" x14ac:dyDescent="0.25"/>
    <row r="715" hidden="1" x14ac:dyDescent="0.25"/>
    <row r="716" hidden="1" x14ac:dyDescent="0.25"/>
    <row r="717" hidden="1" x14ac:dyDescent="0.25"/>
    <row r="718" hidden="1" x14ac:dyDescent="0.25"/>
    <row r="719" hidden="1" x14ac:dyDescent="0.25"/>
    <row r="720" hidden="1" x14ac:dyDescent="0.25"/>
    <row r="721" hidden="1" x14ac:dyDescent="0.25"/>
    <row r="722" hidden="1" x14ac:dyDescent="0.25"/>
    <row r="723" hidden="1" x14ac:dyDescent="0.25"/>
    <row r="724" hidden="1" x14ac:dyDescent="0.25"/>
    <row r="725" hidden="1" x14ac:dyDescent="0.25"/>
    <row r="726" hidden="1" x14ac:dyDescent="0.25"/>
    <row r="727" hidden="1" x14ac:dyDescent="0.25"/>
    <row r="728" hidden="1" x14ac:dyDescent="0.25"/>
    <row r="729" hidden="1" x14ac:dyDescent="0.25"/>
    <row r="730" hidden="1" x14ac:dyDescent="0.25"/>
    <row r="731" hidden="1" x14ac:dyDescent="0.25"/>
    <row r="732" hidden="1" x14ac:dyDescent="0.25"/>
    <row r="733" hidden="1" x14ac:dyDescent="0.25"/>
    <row r="734" hidden="1" x14ac:dyDescent="0.25"/>
    <row r="735" hidden="1" x14ac:dyDescent="0.25"/>
    <row r="736" hidden="1" x14ac:dyDescent="0.25"/>
    <row r="737" hidden="1" x14ac:dyDescent="0.25"/>
    <row r="738" hidden="1" x14ac:dyDescent="0.25"/>
    <row r="739" hidden="1" x14ac:dyDescent="0.25"/>
    <row r="740" hidden="1" x14ac:dyDescent="0.25"/>
    <row r="741" hidden="1" x14ac:dyDescent="0.25"/>
    <row r="742" hidden="1" x14ac:dyDescent="0.25"/>
    <row r="743" hidden="1" x14ac:dyDescent="0.25"/>
    <row r="744" hidden="1" x14ac:dyDescent="0.25"/>
    <row r="745" hidden="1" x14ac:dyDescent="0.25"/>
    <row r="746" hidden="1" x14ac:dyDescent="0.25"/>
    <row r="747" hidden="1" x14ac:dyDescent="0.25"/>
    <row r="748" hidden="1" x14ac:dyDescent="0.25"/>
    <row r="749" hidden="1" x14ac:dyDescent="0.25"/>
    <row r="750" hidden="1" x14ac:dyDescent="0.25"/>
    <row r="751" hidden="1" x14ac:dyDescent="0.25"/>
    <row r="752" hidden="1" x14ac:dyDescent="0.25"/>
    <row r="753" hidden="1" x14ac:dyDescent="0.25"/>
    <row r="754" hidden="1" x14ac:dyDescent="0.25"/>
    <row r="755" hidden="1" x14ac:dyDescent="0.25"/>
    <row r="756" hidden="1" x14ac:dyDescent="0.25"/>
    <row r="757" hidden="1" x14ac:dyDescent="0.25"/>
    <row r="758" hidden="1" x14ac:dyDescent="0.25"/>
    <row r="759" hidden="1" x14ac:dyDescent="0.25"/>
    <row r="760" hidden="1" x14ac:dyDescent="0.25"/>
    <row r="761" hidden="1" x14ac:dyDescent="0.25"/>
    <row r="762" hidden="1" x14ac:dyDescent="0.25"/>
    <row r="763" hidden="1" x14ac:dyDescent="0.25"/>
    <row r="764" hidden="1" x14ac:dyDescent="0.25"/>
    <row r="765" hidden="1" x14ac:dyDescent="0.25"/>
    <row r="766" hidden="1" x14ac:dyDescent="0.25"/>
    <row r="767" hidden="1" x14ac:dyDescent="0.25"/>
    <row r="768" hidden="1" x14ac:dyDescent="0.25"/>
    <row r="769" hidden="1" x14ac:dyDescent="0.25"/>
    <row r="770" hidden="1" x14ac:dyDescent="0.25"/>
    <row r="771" hidden="1" x14ac:dyDescent="0.25"/>
    <row r="772" hidden="1" x14ac:dyDescent="0.25"/>
    <row r="773" hidden="1" x14ac:dyDescent="0.25"/>
    <row r="774" hidden="1" x14ac:dyDescent="0.25"/>
    <row r="775" hidden="1" x14ac:dyDescent="0.25"/>
    <row r="776" hidden="1" x14ac:dyDescent="0.25"/>
    <row r="777" hidden="1" x14ac:dyDescent="0.25"/>
    <row r="778" hidden="1" x14ac:dyDescent="0.25"/>
    <row r="779" hidden="1" x14ac:dyDescent="0.25"/>
    <row r="780" hidden="1" x14ac:dyDescent="0.25"/>
    <row r="781" hidden="1" x14ac:dyDescent="0.25"/>
    <row r="782" hidden="1" x14ac:dyDescent="0.25"/>
    <row r="783" hidden="1" x14ac:dyDescent="0.25"/>
    <row r="784" hidden="1" x14ac:dyDescent="0.25"/>
    <row r="785" hidden="1" x14ac:dyDescent="0.25"/>
    <row r="786" hidden="1" x14ac:dyDescent="0.25"/>
    <row r="787" hidden="1" x14ac:dyDescent="0.25"/>
    <row r="788" hidden="1" x14ac:dyDescent="0.25"/>
    <row r="789" hidden="1" x14ac:dyDescent="0.25"/>
    <row r="790" hidden="1" x14ac:dyDescent="0.25"/>
    <row r="791" hidden="1" x14ac:dyDescent="0.25"/>
    <row r="792" hidden="1" x14ac:dyDescent="0.25"/>
    <row r="793" hidden="1" x14ac:dyDescent="0.25"/>
    <row r="794" hidden="1" x14ac:dyDescent="0.25"/>
    <row r="795" hidden="1" x14ac:dyDescent="0.25"/>
    <row r="796" hidden="1" x14ac:dyDescent="0.25"/>
    <row r="797" hidden="1" x14ac:dyDescent="0.25"/>
    <row r="798" hidden="1" x14ac:dyDescent="0.25"/>
    <row r="799" hidden="1" x14ac:dyDescent="0.25"/>
    <row r="800" hidden="1" x14ac:dyDescent="0.25"/>
    <row r="801" hidden="1" x14ac:dyDescent="0.25"/>
    <row r="802" hidden="1" x14ac:dyDescent="0.25"/>
    <row r="803" hidden="1" x14ac:dyDescent="0.25"/>
    <row r="804" hidden="1" x14ac:dyDescent="0.25"/>
    <row r="805" hidden="1" x14ac:dyDescent="0.25"/>
    <row r="806" hidden="1" x14ac:dyDescent="0.25"/>
    <row r="807" hidden="1" x14ac:dyDescent="0.25"/>
    <row r="808" hidden="1" x14ac:dyDescent="0.25"/>
    <row r="809" hidden="1" x14ac:dyDescent="0.25"/>
    <row r="810" hidden="1" x14ac:dyDescent="0.25"/>
    <row r="811" hidden="1" x14ac:dyDescent="0.25"/>
    <row r="812" hidden="1" x14ac:dyDescent="0.25"/>
    <row r="813" hidden="1" x14ac:dyDescent="0.25"/>
    <row r="814" hidden="1" x14ac:dyDescent="0.25"/>
    <row r="815" hidden="1" x14ac:dyDescent="0.25"/>
    <row r="816" hidden="1" x14ac:dyDescent="0.25"/>
    <row r="817" hidden="1" x14ac:dyDescent="0.25"/>
    <row r="818" hidden="1" x14ac:dyDescent="0.25"/>
    <row r="819" hidden="1" x14ac:dyDescent="0.25"/>
    <row r="820" hidden="1" x14ac:dyDescent="0.25"/>
    <row r="821" hidden="1" x14ac:dyDescent="0.25"/>
    <row r="822" hidden="1" x14ac:dyDescent="0.25"/>
    <row r="823" hidden="1" x14ac:dyDescent="0.25"/>
    <row r="824" hidden="1" x14ac:dyDescent="0.25"/>
    <row r="825" hidden="1" x14ac:dyDescent="0.25"/>
    <row r="826" hidden="1" x14ac:dyDescent="0.25"/>
    <row r="827" hidden="1" x14ac:dyDescent="0.25"/>
    <row r="828" hidden="1" x14ac:dyDescent="0.25"/>
    <row r="829" hidden="1" x14ac:dyDescent="0.25"/>
    <row r="830" hidden="1" x14ac:dyDescent="0.25"/>
    <row r="831" hidden="1" x14ac:dyDescent="0.25"/>
    <row r="832" hidden="1" x14ac:dyDescent="0.25"/>
    <row r="833" hidden="1" x14ac:dyDescent="0.25"/>
    <row r="834" hidden="1" x14ac:dyDescent="0.25"/>
    <row r="835" hidden="1" x14ac:dyDescent="0.25"/>
    <row r="836" hidden="1" x14ac:dyDescent="0.25"/>
    <row r="837" hidden="1" x14ac:dyDescent="0.25"/>
    <row r="838" hidden="1" x14ac:dyDescent="0.25"/>
    <row r="839" hidden="1" x14ac:dyDescent="0.25"/>
    <row r="840" hidden="1" x14ac:dyDescent="0.25"/>
    <row r="841" hidden="1" x14ac:dyDescent="0.25"/>
    <row r="842" hidden="1" x14ac:dyDescent="0.25"/>
    <row r="843" hidden="1" x14ac:dyDescent="0.25"/>
    <row r="844" hidden="1" x14ac:dyDescent="0.25"/>
    <row r="845" hidden="1" x14ac:dyDescent="0.25"/>
    <row r="846" hidden="1" x14ac:dyDescent="0.25"/>
    <row r="847" hidden="1" x14ac:dyDescent="0.25"/>
    <row r="848" hidden="1" x14ac:dyDescent="0.25"/>
    <row r="849" hidden="1" x14ac:dyDescent="0.25"/>
    <row r="850" hidden="1" x14ac:dyDescent="0.25"/>
    <row r="851" hidden="1" x14ac:dyDescent="0.25"/>
    <row r="852" hidden="1" x14ac:dyDescent="0.25"/>
    <row r="853" hidden="1" x14ac:dyDescent="0.25"/>
    <row r="854" hidden="1" x14ac:dyDescent="0.25"/>
    <row r="855" hidden="1" x14ac:dyDescent="0.25"/>
    <row r="856" hidden="1" x14ac:dyDescent="0.25"/>
    <row r="857" hidden="1" x14ac:dyDescent="0.25"/>
    <row r="858" hidden="1" x14ac:dyDescent="0.25"/>
    <row r="859" hidden="1" x14ac:dyDescent="0.25"/>
    <row r="860" hidden="1" x14ac:dyDescent="0.25"/>
    <row r="861" hidden="1" x14ac:dyDescent="0.25"/>
    <row r="862" hidden="1" x14ac:dyDescent="0.25"/>
    <row r="863" hidden="1" x14ac:dyDescent="0.25"/>
    <row r="864" hidden="1" x14ac:dyDescent="0.25"/>
    <row r="865" hidden="1" x14ac:dyDescent="0.25"/>
    <row r="866" hidden="1" x14ac:dyDescent="0.25"/>
    <row r="867" hidden="1" x14ac:dyDescent="0.25"/>
    <row r="868" hidden="1" x14ac:dyDescent="0.25"/>
    <row r="869" hidden="1" x14ac:dyDescent="0.25"/>
    <row r="870" hidden="1" x14ac:dyDescent="0.25"/>
    <row r="871" hidden="1" x14ac:dyDescent="0.25"/>
    <row r="872" hidden="1" x14ac:dyDescent="0.25"/>
    <row r="873" hidden="1" x14ac:dyDescent="0.25"/>
    <row r="874" hidden="1" x14ac:dyDescent="0.25"/>
    <row r="875" hidden="1" x14ac:dyDescent="0.25"/>
    <row r="876" hidden="1" x14ac:dyDescent="0.25"/>
    <row r="877" hidden="1" x14ac:dyDescent="0.25"/>
    <row r="878" hidden="1" x14ac:dyDescent="0.25"/>
    <row r="879" hidden="1" x14ac:dyDescent="0.25"/>
    <row r="880" hidden="1" x14ac:dyDescent="0.25"/>
    <row r="881" hidden="1" x14ac:dyDescent="0.25"/>
    <row r="882" hidden="1" x14ac:dyDescent="0.25"/>
    <row r="883" hidden="1" x14ac:dyDescent="0.25"/>
    <row r="884" hidden="1" x14ac:dyDescent="0.25"/>
    <row r="885" hidden="1" x14ac:dyDescent="0.25"/>
    <row r="886" hidden="1" x14ac:dyDescent="0.25"/>
    <row r="887" hidden="1" x14ac:dyDescent="0.25"/>
    <row r="888" hidden="1" x14ac:dyDescent="0.25"/>
    <row r="889" hidden="1" x14ac:dyDescent="0.25"/>
    <row r="890" hidden="1" x14ac:dyDescent="0.25"/>
    <row r="891" hidden="1" x14ac:dyDescent="0.25"/>
    <row r="892" hidden="1" x14ac:dyDescent="0.25"/>
    <row r="893" hidden="1" x14ac:dyDescent="0.25"/>
    <row r="894" hidden="1" x14ac:dyDescent="0.25"/>
    <row r="895" hidden="1" x14ac:dyDescent="0.25"/>
    <row r="896" hidden="1" x14ac:dyDescent="0.25"/>
    <row r="897" hidden="1" x14ac:dyDescent="0.25"/>
    <row r="898" hidden="1" x14ac:dyDescent="0.25"/>
    <row r="899" hidden="1" x14ac:dyDescent="0.25"/>
    <row r="900" hidden="1" x14ac:dyDescent="0.25"/>
    <row r="901" hidden="1" x14ac:dyDescent="0.25"/>
    <row r="902" hidden="1" x14ac:dyDescent="0.25"/>
    <row r="903" hidden="1" x14ac:dyDescent="0.25"/>
    <row r="904" hidden="1" x14ac:dyDescent="0.25"/>
    <row r="905" hidden="1" x14ac:dyDescent="0.25"/>
    <row r="906" hidden="1" x14ac:dyDescent="0.25"/>
    <row r="907" hidden="1" x14ac:dyDescent="0.25"/>
    <row r="908" hidden="1" x14ac:dyDescent="0.25"/>
    <row r="909" hidden="1" x14ac:dyDescent="0.25"/>
    <row r="910" hidden="1" x14ac:dyDescent="0.25"/>
    <row r="911" hidden="1" x14ac:dyDescent="0.25"/>
    <row r="912" hidden="1" x14ac:dyDescent="0.25"/>
    <row r="913" hidden="1" x14ac:dyDescent="0.25"/>
    <row r="914" hidden="1" x14ac:dyDescent="0.25"/>
    <row r="915" hidden="1" x14ac:dyDescent="0.25"/>
    <row r="916" hidden="1" x14ac:dyDescent="0.25"/>
    <row r="917" hidden="1" x14ac:dyDescent="0.25"/>
    <row r="918" hidden="1" x14ac:dyDescent="0.25"/>
    <row r="919" hidden="1" x14ac:dyDescent="0.25"/>
    <row r="920" hidden="1" x14ac:dyDescent="0.25"/>
    <row r="921" hidden="1" x14ac:dyDescent="0.25"/>
    <row r="922" hidden="1" x14ac:dyDescent="0.25"/>
    <row r="923" hidden="1" x14ac:dyDescent="0.25"/>
    <row r="924" hidden="1" x14ac:dyDescent="0.25"/>
    <row r="925" hidden="1" x14ac:dyDescent="0.25"/>
    <row r="926" hidden="1" x14ac:dyDescent="0.25"/>
    <row r="927" hidden="1" x14ac:dyDescent="0.25"/>
    <row r="928" hidden="1" x14ac:dyDescent="0.25"/>
    <row r="929" hidden="1" x14ac:dyDescent="0.25"/>
    <row r="930" hidden="1" x14ac:dyDescent="0.25"/>
    <row r="931" hidden="1" x14ac:dyDescent="0.25"/>
    <row r="932" hidden="1" x14ac:dyDescent="0.25"/>
    <row r="933" hidden="1" x14ac:dyDescent="0.25"/>
    <row r="934" hidden="1" x14ac:dyDescent="0.25"/>
    <row r="935" hidden="1" x14ac:dyDescent="0.25"/>
    <row r="936" hidden="1" x14ac:dyDescent="0.25"/>
    <row r="937" hidden="1" x14ac:dyDescent="0.25"/>
    <row r="938" hidden="1" x14ac:dyDescent="0.25"/>
    <row r="939" hidden="1" x14ac:dyDescent="0.25"/>
    <row r="940" hidden="1" x14ac:dyDescent="0.25"/>
    <row r="941" hidden="1" x14ac:dyDescent="0.25"/>
    <row r="942" hidden="1" x14ac:dyDescent="0.25"/>
    <row r="943" hidden="1" x14ac:dyDescent="0.25"/>
    <row r="944" hidden="1" x14ac:dyDescent="0.25"/>
    <row r="945" hidden="1" x14ac:dyDescent="0.25"/>
    <row r="946" hidden="1" x14ac:dyDescent="0.25"/>
    <row r="947" hidden="1" x14ac:dyDescent="0.25"/>
    <row r="948" hidden="1" x14ac:dyDescent="0.25"/>
    <row r="949" hidden="1" x14ac:dyDescent="0.25"/>
    <row r="950" hidden="1" x14ac:dyDescent="0.25"/>
    <row r="951" hidden="1" x14ac:dyDescent="0.25"/>
    <row r="952" hidden="1" x14ac:dyDescent="0.25"/>
    <row r="953" hidden="1" x14ac:dyDescent="0.25"/>
    <row r="954" hidden="1" x14ac:dyDescent="0.25"/>
    <row r="955" hidden="1" x14ac:dyDescent="0.25"/>
    <row r="956" hidden="1" x14ac:dyDescent="0.25"/>
    <row r="957" hidden="1" x14ac:dyDescent="0.25"/>
    <row r="958" hidden="1" x14ac:dyDescent="0.25"/>
    <row r="959" hidden="1" x14ac:dyDescent="0.25"/>
    <row r="960" hidden="1" x14ac:dyDescent="0.25"/>
    <row r="961" hidden="1" x14ac:dyDescent="0.25"/>
    <row r="962" hidden="1" x14ac:dyDescent="0.25"/>
    <row r="963" hidden="1" x14ac:dyDescent="0.25"/>
    <row r="964" hidden="1" x14ac:dyDescent="0.25"/>
    <row r="965" hidden="1" x14ac:dyDescent="0.25"/>
    <row r="966" hidden="1" x14ac:dyDescent="0.25"/>
    <row r="967" hidden="1" x14ac:dyDescent="0.25"/>
    <row r="968" hidden="1" x14ac:dyDescent="0.25"/>
    <row r="969" hidden="1" x14ac:dyDescent="0.25"/>
    <row r="970" hidden="1" x14ac:dyDescent="0.25"/>
    <row r="971" hidden="1" x14ac:dyDescent="0.25"/>
    <row r="972" hidden="1" x14ac:dyDescent="0.25"/>
    <row r="973" hidden="1" x14ac:dyDescent="0.25"/>
    <row r="974" hidden="1" x14ac:dyDescent="0.25"/>
    <row r="975" hidden="1" x14ac:dyDescent="0.25"/>
    <row r="976" hidden="1" x14ac:dyDescent="0.25"/>
    <row r="977" hidden="1" x14ac:dyDescent="0.25"/>
    <row r="978" hidden="1" x14ac:dyDescent="0.25"/>
    <row r="979" hidden="1" x14ac:dyDescent="0.25"/>
    <row r="980" hidden="1" x14ac:dyDescent="0.25"/>
    <row r="981" hidden="1" x14ac:dyDescent="0.25"/>
    <row r="982" hidden="1" x14ac:dyDescent="0.25"/>
    <row r="983" hidden="1" x14ac:dyDescent="0.25"/>
    <row r="984" hidden="1" x14ac:dyDescent="0.25"/>
    <row r="985" hidden="1" x14ac:dyDescent="0.25"/>
    <row r="986" hidden="1" x14ac:dyDescent="0.25"/>
    <row r="987" hidden="1" x14ac:dyDescent="0.25"/>
    <row r="988" hidden="1" x14ac:dyDescent="0.25"/>
    <row r="989" hidden="1" x14ac:dyDescent="0.25"/>
    <row r="990" hidden="1" x14ac:dyDescent="0.25"/>
    <row r="991" hidden="1" x14ac:dyDescent="0.25"/>
    <row r="992" hidden="1" x14ac:dyDescent="0.25"/>
    <row r="993" hidden="1" x14ac:dyDescent="0.25"/>
    <row r="994" hidden="1" x14ac:dyDescent="0.25"/>
    <row r="995" hidden="1" x14ac:dyDescent="0.25"/>
    <row r="996" hidden="1" x14ac:dyDescent="0.25"/>
    <row r="997" hidden="1" x14ac:dyDescent="0.25"/>
    <row r="998" hidden="1" x14ac:dyDescent="0.25"/>
    <row r="999" hidden="1" x14ac:dyDescent="0.25"/>
    <row r="1000" hidden="1" x14ac:dyDescent="0.25"/>
    <row r="1001" hidden="1" x14ac:dyDescent="0.25"/>
    <row r="1002" hidden="1" x14ac:dyDescent="0.25"/>
    <row r="1003" hidden="1" x14ac:dyDescent="0.25"/>
    <row r="1004" hidden="1" x14ac:dyDescent="0.25"/>
    <row r="1005" hidden="1" x14ac:dyDescent="0.25"/>
    <row r="1006" hidden="1" x14ac:dyDescent="0.25"/>
    <row r="1007" hidden="1" x14ac:dyDescent="0.25"/>
    <row r="1008" hidden="1" x14ac:dyDescent="0.25"/>
    <row r="1009" hidden="1" x14ac:dyDescent="0.25"/>
    <row r="1010" hidden="1" x14ac:dyDescent="0.25"/>
    <row r="1011" hidden="1" x14ac:dyDescent="0.25"/>
    <row r="1012" hidden="1" x14ac:dyDescent="0.25"/>
    <row r="1013" hidden="1" x14ac:dyDescent="0.25"/>
    <row r="1014" hidden="1" x14ac:dyDescent="0.25"/>
    <row r="1015" hidden="1" x14ac:dyDescent="0.25"/>
    <row r="1016" hidden="1" x14ac:dyDescent="0.25"/>
    <row r="1017" hidden="1" x14ac:dyDescent="0.25"/>
    <row r="1018" hidden="1" x14ac:dyDescent="0.25"/>
    <row r="1019" hidden="1" x14ac:dyDescent="0.25"/>
    <row r="1020" hidden="1" x14ac:dyDescent="0.25"/>
    <row r="1021" hidden="1" x14ac:dyDescent="0.25"/>
    <row r="1022" hidden="1" x14ac:dyDescent="0.25"/>
    <row r="1023" hidden="1" x14ac:dyDescent="0.25"/>
    <row r="1024" hidden="1" x14ac:dyDescent="0.25"/>
    <row r="1025" hidden="1" x14ac:dyDescent="0.25"/>
    <row r="1026" hidden="1" x14ac:dyDescent="0.25"/>
    <row r="1027" hidden="1" x14ac:dyDescent="0.25"/>
    <row r="1028" hidden="1" x14ac:dyDescent="0.25"/>
    <row r="1029" hidden="1" x14ac:dyDescent="0.25"/>
    <row r="1030" hidden="1" x14ac:dyDescent="0.25"/>
    <row r="1031" hidden="1" x14ac:dyDescent="0.25"/>
    <row r="1032" hidden="1" x14ac:dyDescent="0.25"/>
    <row r="1033" hidden="1" x14ac:dyDescent="0.25"/>
    <row r="1034" hidden="1" x14ac:dyDescent="0.25"/>
    <row r="1035" hidden="1" x14ac:dyDescent="0.25"/>
    <row r="1036" hidden="1" x14ac:dyDescent="0.25"/>
    <row r="1037" hidden="1" x14ac:dyDescent="0.25"/>
    <row r="1038" hidden="1" x14ac:dyDescent="0.25"/>
    <row r="1039" hidden="1" x14ac:dyDescent="0.25"/>
    <row r="1040" hidden="1" x14ac:dyDescent="0.25"/>
    <row r="1041" hidden="1" x14ac:dyDescent="0.25"/>
    <row r="1042" hidden="1" x14ac:dyDescent="0.25"/>
    <row r="1043" hidden="1" x14ac:dyDescent="0.25"/>
    <row r="1044" hidden="1" x14ac:dyDescent="0.25"/>
    <row r="1045" hidden="1" x14ac:dyDescent="0.25"/>
    <row r="1046" hidden="1" x14ac:dyDescent="0.25"/>
    <row r="1047" hidden="1" x14ac:dyDescent="0.25"/>
    <row r="1048" hidden="1" x14ac:dyDescent="0.25"/>
    <row r="1049" hidden="1" x14ac:dyDescent="0.25"/>
    <row r="1050" hidden="1" x14ac:dyDescent="0.25"/>
    <row r="1051" hidden="1" x14ac:dyDescent="0.25"/>
    <row r="1052" hidden="1" x14ac:dyDescent="0.25"/>
    <row r="1053" hidden="1" x14ac:dyDescent="0.25"/>
    <row r="1054" hidden="1" x14ac:dyDescent="0.25"/>
    <row r="1055" hidden="1" x14ac:dyDescent="0.25"/>
    <row r="1056" hidden="1" x14ac:dyDescent="0.25"/>
    <row r="1057" hidden="1" x14ac:dyDescent="0.25"/>
    <row r="1058" hidden="1" x14ac:dyDescent="0.25"/>
    <row r="1059" hidden="1" x14ac:dyDescent="0.25"/>
    <row r="1060" hidden="1" x14ac:dyDescent="0.25"/>
    <row r="1061" hidden="1" x14ac:dyDescent="0.25"/>
    <row r="1062" hidden="1" x14ac:dyDescent="0.25"/>
    <row r="1063" hidden="1" x14ac:dyDescent="0.25"/>
    <row r="1064" hidden="1" x14ac:dyDescent="0.25"/>
    <row r="1065" hidden="1" x14ac:dyDescent="0.25"/>
    <row r="1066" hidden="1" x14ac:dyDescent="0.25"/>
    <row r="1067" hidden="1" x14ac:dyDescent="0.25"/>
    <row r="1068" hidden="1" x14ac:dyDescent="0.25"/>
    <row r="1069" hidden="1" x14ac:dyDescent="0.25"/>
    <row r="1070" hidden="1" x14ac:dyDescent="0.25"/>
    <row r="1071" hidden="1" x14ac:dyDescent="0.25"/>
    <row r="1072" hidden="1" x14ac:dyDescent="0.25"/>
    <row r="1073" hidden="1" x14ac:dyDescent="0.25"/>
    <row r="1074" hidden="1" x14ac:dyDescent="0.25"/>
    <row r="1075" hidden="1" x14ac:dyDescent="0.25"/>
    <row r="1076" hidden="1" x14ac:dyDescent="0.25"/>
    <row r="1077" hidden="1" x14ac:dyDescent="0.25"/>
    <row r="1078" hidden="1" x14ac:dyDescent="0.25"/>
    <row r="1079" hidden="1" x14ac:dyDescent="0.25"/>
    <row r="1080" hidden="1" x14ac:dyDescent="0.25"/>
    <row r="1081" hidden="1" x14ac:dyDescent="0.25"/>
    <row r="1082" hidden="1" x14ac:dyDescent="0.25"/>
    <row r="1083" hidden="1" x14ac:dyDescent="0.25"/>
    <row r="1084" hidden="1" x14ac:dyDescent="0.25"/>
    <row r="1085" hidden="1" x14ac:dyDescent="0.25"/>
    <row r="1086" hidden="1" x14ac:dyDescent="0.25"/>
    <row r="1087" hidden="1" x14ac:dyDescent="0.25"/>
    <row r="1088" hidden="1" x14ac:dyDescent="0.25"/>
    <row r="1089" hidden="1" x14ac:dyDescent="0.25"/>
    <row r="1090" hidden="1" x14ac:dyDescent="0.25"/>
    <row r="1091" hidden="1" x14ac:dyDescent="0.25"/>
    <row r="1092" hidden="1" x14ac:dyDescent="0.25"/>
    <row r="1093" hidden="1" x14ac:dyDescent="0.25"/>
    <row r="1094" hidden="1" x14ac:dyDescent="0.25"/>
    <row r="1095" hidden="1" x14ac:dyDescent="0.25"/>
    <row r="1096" hidden="1" x14ac:dyDescent="0.25"/>
    <row r="1097" hidden="1" x14ac:dyDescent="0.25"/>
    <row r="1098" hidden="1" x14ac:dyDescent="0.25"/>
    <row r="1099" hidden="1" x14ac:dyDescent="0.25"/>
    <row r="1100" hidden="1" x14ac:dyDescent="0.25"/>
    <row r="1101" hidden="1" x14ac:dyDescent="0.25"/>
    <row r="1102" hidden="1" x14ac:dyDescent="0.25"/>
    <row r="1103" hidden="1" x14ac:dyDescent="0.25"/>
    <row r="1104" hidden="1" x14ac:dyDescent="0.25"/>
    <row r="1105" hidden="1" x14ac:dyDescent="0.25"/>
    <row r="1106" hidden="1" x14ac:dyDescent="0.25"/>
    <row r="1107" hidden="1" x14ac:dyDescent="0.25"/>
    <row r="1108" hidden="1" x14ac:dyDescent="0.25"/>
    <row r="1109" hidden="1" x14ac:dyDescent="0.25"/>
    <row r="1110" hidden="1" x14ac:dyDescent="0.25"/>
    <row r="1111" hidden="1" x14ac:dyDescent="0.25"/>
    <row r="1112" hidden="1" x14ac:dyDescent="0.25"/>
    <row r="1113" hidden="1" x14ac:dyDescent="0.25"/>
    <row r="1114" hidden="1" x14ac:dyDescent="0.25"/>
    <row r="1115" hidden="1" x14ac:dyDescent="0.25"/>
    <row r="1116" hidden="1" x14ac:dyDescent="0.25"/>
    <row r="1117" hidden="1" x14ac:dyDescent="0.25"/>
    <row r="1118" hidden="1" x14ac:dyDescent="0.25"/>
    <row r="1119" hidden="1" x14ac:dyDescent="0.25"/>
    <row r="1120" hidden="1" x14ac:dyDescent="0.25"/>
    <row r="1121" hidden="1" x14ac:dyDescent="0.25"/>
    <row r="1122" hidden="1" x14ac:dyDescent="0.25"/>
    <row r="1123" hidden="1" x14ac:dyDescent="0.25"/>
    <row r="1124" hidden="1" x14ac:dyDescent="0.25"/>
    <row r="1125" hidden="1" x14ac:dyDescent="0.25"/>
    <row r="1126" hidden="1" x14ac:dyDescent="0.25"/>
    <row r="1127" hidden="1" x14ac:dyDescent="0.25"/>
    <row r="1128" hidden="1" x14ac:dyDescent="0.25"/>
    <row r="1129" hidden="1" x14ac:dyDescent="0.25"/>
    <row r="1130" hidden="1" x14ac:dyDescent="0.25"/>
    <row r="1131" hidden="1" x14ac:dyDescent="0.25"/>
    <row r="1132" hidden="1" x14ac:dyDescent="0.25"/>
    <row r="1133" hidden="1" x14ac:dyDescent="0.25"/>
    <row r="1134" hidden="1" x14ac:dyDescent="0.25"/>
    <row r="1135" hidden="1" x14ac:dyDescent="0.25"/>
    <row r="1136" hidden="1" x14ac:dyDescent="0.25"/>
    <row r="1137" hidden="1" x14ac:dyDescent="0.25"/>
    <row r="1138" hidden="1" x14ac:dyDescent="0.25"/>
    <row r="1139" hidden="1" x14ac:dyDescent="0.25"/>
    <row r="1140" hidden="1" x14ac:dyDescent="0.25"/>
    <row r="1141" hidden="1" x14ac:dyDescent="0.25"/>
    <row r="1142" hidden="1" x14ac:dyDescent="0.25"/>
    <row r="1143" hidden="1" x14ac:dyDescent="0.25"/>
    <row r="1144" hidden="1" x14ac:dyDescent="0.25"/>
    <row r="1145" hidden="1" x14ac:dyDescent="0.25"/>
    <row r="1146" hidden="1" x14ac:dyDescent="0.25"/>
    <row r="1147" hidden="1" x14ac:dyDescent="0.25"/>
    <row r="1148" hidden="1" x14ac:dyDescent="0.25"/>
    <row r="1149" hidden="1" x14ac:dyDescent="0.25"/>
    <row r="1150" hidden="1" x14ac:dyDescent="0.25"/>
    <row r="1151" hidden="1" x14ac:dyDescent="0.25"/>
    <row r="1152" hidden="1" x14ac:dyDescent="0.25"/>
    <row r="1153" hidden="1" x14ac:dyDescent="0.25"/>
    <row r="1154" hidden="1" x14ac:dyDescent="0.25"/>
    <row r="1155" hidden="1" x14ac:dyDescent="0.25"/>
    <row r="1156" hidden="1" x14ac:dyDescent="0.25"/>
    <row r="1157" hidden="1" x14ac:dyDescent="0.25"/>
    <row r="1158" hidden="1" x14ac:dyDescent="0.25"/>
    <row r="1159" hidden="1" x14ac:dyDescent="0.25"/>
    <row r="1160" hidden="1" x14ac:dyDescent="0.25"/>
    <row r="1161" hidden="1" x14ac:dyDescent="0.25"/>
    <row r="1162" hidden="1" x14ac:dyDescent="0.25"/>
    <row r="1163" hidden="1" x14ac:dyDescent="0.25"/>
    <row r="1164" hidden="1" x14ac:dyDescent="0.25"/>
    <row r="1165" hidden="1" x14ac:dyDescent="0.25"/>
    <row r="1166" hidden="1" x14ac:dyDescent="0.25"/>
    <row r="1167" hidden="1" x14ac:dyDescent="0.25"/>
    <row r="1168" hidden="1" x14ac:dyDescent="0.25"/>
    <row r="1169" hidden="1" x14ac:dyDescent="0.25"/>
    <row r="1170" hidden="1" x14ac:dyDescent="0.25"/>
    <row r="1171" hidden="1" x14ac:dyDescent="0.25"/>
    <row r="1172" hidden="1" x14ac:dyDescent="0.25"/>
    <row r="1173" hidden="1" x14ac:dyDescent="0.25"/>
    <row r="1174" hidden="1" x14ac:dyDescent="0.25"/>
    <row r="1175" hidden="1" x14ac:dyDescent="0.25"/>
    <row r="1176" hidden="1" x14ac:dyDescent="0.25"/>
    <row r="1177" hidden="1" x14ac:dyDescent="0.25"/>
    <row r="1178" hidden="1" x14ac:dyDescent="0.25"/>
    <row r="1179" hidden="1" x14ac:dyDescent="0.25"/>
    <row r="1180" hidden="1" x14ac:dyDescent="0.25"/>
    <row r="1181" hidden="1" x14ac:dyDescent="0.25"/>
    <row r="1182" hidden="1" x14ac:dyDescent="0.25"/>
    <row r="1183" hidden="1" x14ac:dyDescent="0.25"/>
    <row r="1184" hidden="1" x14ac:dyDescent="0.25"/>
    <row r="1185" hidden="1" x14ac:dyDescent="0.25"/>
    <row r="1186" hidden="1" x14ac:dyDescent="0.25"/>
    <row r="1187" hidden="1" x14ac:dyDescent="0.25"/>
    <row r="1188" hidden="1" x14ac:dyDescent="0.25"/>
    <row r="1189" hidden="1" x14ac:dyDescent="0.25"/>
    <row r="1190" hidden="1" x14ac:dyDescent="0.25"/>
    <row r="1191" hidden="1" x14ac:dyDescent="0.25"/>
    <row r="1192" hidden="1" x14ac:dyDescent="0.25"/>
    <row r="1193" hidden="1" x14ac:dyDescent="0.25"/>
    <row r="1194" hidden="1" x14ac:dyDescent="0.25"/>
    <row r="1195" hidden="1" x14ac:dyDescent="0.25"/>
    <row r="1196" hidden="1" x14ac:dyDescent="0.25"/>
    <row r="1197" hidden="1" x14ac:dyDescent="0.25"/>
    <row r="1198" hidden="1" x14ac:dyDescent="0.25"/>
    <row r="1199" hidden="1" x14ac:dyDescent="0.25"/>
    <row r="1200" hidden="1" x14ac:dyDescent="0.25"/>
    <row r="1201" hidden="1" x14ac:dyDescent="0.25"/>
    <row r="1202" hidden="1" x14ac:dyDescent="0.25"/>
    <row r="1203" hidden="1" x14ac:dyDescent="0.25"/>
    <row r="1204" hidden="1" x14ac:dyDescent="0.25"/>
    <row r="1205" hidden="1" x14ac:dyDescent="0.25"/>
    <row r="1206" hidden="1" x14ac:dyDescent="0.25"/>
    <row r="1207" hidden="1" x14ac:dyDescent="0.25"/>
    <row r="1208" hidden="1" x14ac:dyDescent="0.25"/>
    <row r="1209" hidden="1" x14ac:dyDescent="0.25"/>
    <row r="1210" hidden="1" x14ac:dyDescent="0.25"/>
    <row r="1211" hidden="1" x14ac:dyDescent="0.25"/>
    <row r="1212" hidden="1" x14ac:dyDescent="0.25"/>
    <row r="1213" hidden="1" x14ac:dyDescent="0.25"/>
    <row r="1214" hidden="1" x14ac:dyDescent="0.25"/>
    <row r="1215" hidden="1" x14ac:dyDescent="0.25"/>
    <row r="1216" hidden="1" x14ac:dyDescent="0.25"/>
    <row r="1217" hidden="1" x14ac:dyDescent="0.25"/>
    <row r="1218" hidden="1" x14ac:dyDescent="0.25"/>
    <row r="1219" hidden="1" x14ac:dyDescent="0.25"/>
    <row r="1220" hidden="1" x14ac:dyDescent="0.25"/>
    <row r="1221" hidden="1" x14ac:dyDescent="0.25"/>
    <row r="1222" hidden="1" x14ac:dyDescent="0.25"/>
    <row r="1223" hidden="1" x14ac:dyDescent="0.25"/>
    <row r="1224" hidden="1" x14ac:dyDescent="0.25"/>
    <row r="1225" hidden="1" x14ac:dyDescent="0.25"/>
    <row r="1226" hidden="1" x14ac:dyDescent="0.25"/>
    <row r="1227" hidden="1" x14ac:dyDescent="0.25"/>
    <row r="1228" hidden="1" x14ac:dyDescent="0.25"/>
    <row r="1229" hidden="1" x14ac:dyDescent="0.25"/>
    <row r="1230" hidden="1" x14ac:dyDescent="0.25"/>
    <row r="1231" hidden="1" x14ac:dyDescent="0.25"/>
    <row r="1232" hidden="1" x14ac:dyDescent="0.25"/>
    <row r="1233" hidden="1" x14ac:dyDescent="0.25"/>
    <row r="1234" hidden="1" x14ac:dyDescent="0.25"/>
    <row r="1235" hidden="1" x14ac:dyDescent="0.25"/>
    <row r="1236" hidden="1" x14ac:dyDescent="0.25"/>
    <row r="1237" hidden="1" x14ac:dyDescent="0.25"/>
    <row r="1238" hidden="1" x14ac:dyDescent="0.25"/>
    <row r="1239" hidden="1" x14ac:dyDescent="0.25"/>
    <row r="1240" hidden="1" x14ac:dyDescent="0.25"/>
    <row r="1241" hidden="1" x14ac:dyDescent="0.25"/>
    <row r="1242" hidden="1" x14ac:dyDescent="0.25"/>
    <row r="1243" hidden="1" x14ac:dyDescent="0.25"/>
    <row r="1244" hidden="1" x14ac:dyDescent="0.25"/>
    <row r="1245" hidden="1" x14ac:dyDescent="0.25"/>
    <row r="1246" hidden="1" x14ac:dyDescent="0.25"/>
    <row r="1247" hidden="1" x14ac:dyDescent="0.25"/>
    <row r="1248" hidden="1" x14ac:dyDescent="0.25"/>
    <row r="1249" hidden="1" x14ac:dyDescent="0.25"/>
    <row r="1250" hidden="1" x14ac:dyDescent="0.25"/>
    <row r="1251" hidden="1" x14ac:dyDescent="0.25"/>
    <row r="1252" hidden="1" x14ac:dyDescent="0.25"/>
    <row r="1253" hidden="1" x14ac:dyDescent="0.25"/>
    <row r="1254" hidden="1" x14ac:dyDescent="0.25"/>
    <row r="1255" hidden="1" x14ac:dyDescent="0.25"/>
    <row r="1256" hidden="1" x14ac:dyDescent="0.25"/>
    <row r="1257" hidden="1" x14ac:dyDescent="0.25"/>
    <row r="1258" hidden="1" x14ac:dyDescent="0.25"/>
    <row r="1259" hidden="1" x14ac:dyDescent="0.25"/>
    <row r="1260" hidden="1" x14ac:dyDescent="0.25"/>
    <row r="1261" hidden="1" x14ac:dyDescent="0.25"/>
    <row r="1262" hidden="1" x14ac:dyDescent="0.25"/>
    <row r="1263" hidden="1" x14ac:dyDescent="0.25"/>
    <row r="1264" hidden="1" x14ac:dyDescent="0.25"/>
    <row r="1265" hidden="1" x14ac:dyDescent="0.25"/>
    <row r="1266" hidden="1" x14ac:dyDescent="0.25"/>
    <row r="1267" hidden="1" x14ac:dyDescent="0.25"/>
    <row r="1268" hidden="1" x14ac:dyDescent="0.25"/>
    <row r="1269" hidden="1" x14ac:dyDescent="0.25"/>
    <row r="1270" hidden="1" x14ac:dyDescent="0.25"/>
    <row r="1271" hidden="1" x14ac:dyDescent="0.25"/>
    <row r="1272" hidden="1" x14ac:dyDescent="0.25"/>
    <row r="1273" hidden="1" x14ac:dyDescent="0.25"/>
    <row r="1274" hidden="1" x14ac:dyDescent="0.25"/>
    <row r="1275" hidden="1" x14ac:dyDescent="0.25"/>
    <row r="1276" hidden="1" x14ac:dyDescent="0.25"/>
    <row r="1277" hidden="1" x14ac:dyDescent="0.25"/>
    <row r="1278" hidden="1" x14ac:dyDescent="0.25"/>
    <row r="1279" hidden="1" x14ac:dyDescent="0.25"/>
    <row r="1280" hidden="1" x14ac:dyDescent="0.25"/>
    <row r="1281" hidden="1" x14ac:dyDescent="0.25"/>
    <row r="1282" hidden="1" x14ac:dyDescent="0.25"/>
    <row r="1283" hidden="1" x14ac:dyDescent="0.25"/>
    <row r="1284" hidden="1" x14ac:dyDescent="0.25"/>
    <row r="1285" hidden="1" x14ac:dyDescent="0.25"/>
    <row r="1286" hidden="1" x14ac:dyDescent="0.25"/>
    <row r="1287" hidden="1" x14ac:dyDescent="0.25"/>
    <row r="1288" hidden="1" x14ac:dyDescent="0.25"/>
    <row r="1289" hidden="1" x14ac:dyDescent="0.25"/>
    <row r="1290" hidden="1" x14ac:dyDescent="0.25"/>
    <row r="1291" hidden="1" x14ac:dyDescent="0.25"/>
    <row r="1292" hidden="1" x14ac:dyDescent="0.25"/>
    <row r="1293" hidden="1" x14ac:dyDescent="0.25"/>
    <row r="1294" hidden="1" x14ac:dyDescent="0.25"/>
    <row r="1295" hidden="1" x14ac:dyDescent="0.25"/>
    <row r="1296" hidden="1" x14ac:dyDescent="0.25"/>
    <row r="1297" hidden="1" x14ac:dyDescent="0.25"/>
    <row r="1298" hidden="1" x14ac:dyDescent="0.25"/>
    <row r="1299" hidden="1" x14ac:dyDescent="0.25"/>
    <row r="1300" hidden="1" x14ac:dyDescent="0.25"/>
    <row r="1301" hidden="1" x14ac:dyDescent="0.25"/>
    <row r="1302" hidden="1" x14ac:dyDescent="0.25"/>
    <row r="1303" hidden="1" x14ac:dyDescent="0.25"/>
    <row r="1304" hidden="1" x14ac:dyDescent="0.25"/>
    <row r="1305" hidden="1" x14ac:dyDescent="0.25"/>
    <row r="1306" hidden="1" x14ac:dyDescent="0.25"/>
    <row r="1307" hidden="1" x14ac:dyDescent="0.25"/>
    <row r="1308" hidden="1" x14ac:dyDescent="0.25"/>
    <row r="1309" hidden="1" x14ac:dyDescent="0.25"/>
    <row r="1310" hidden="1" x14ac:dyDescent="0.25"/>
    <row r="1311" hidden="1" x14ac:dyDescent="0.25"/>
    <row r="1312" hidden="1" x14ac:dyDescent="0.25"/>
    <row r="1313" hidden="1" x14ac:dyDescent="0.25"/>
    <row r="1314" hidden="1" x14ac:dyDescent="0.25"/>
    <row r="1315" hidden="1" x14ac:dyDescent="0.25"/>
    <row r="1316" hidden="1" x14ac:dyDescent="0.25"/>
    <row r="1317" hidden="1" x14ac:dyDescent="0.25"/>
    <row r="1318" hidden="1" x14ac:dyDescent="0.25"/>
    <row r="1319" hidden="1" x14ac:dyDescent="0.25"/>
    <row r="1320" hidden="1" x14ac:dyDescent="0.25"/>
    <row r="1321" hidden="1" x14ac:dyDescent="0.25"/>
    <row r="1322" hidden="1" x14ac:dyDescent="0.25"/>
    <row r="1323" hidden="1" x14ac:dyDescent="0.25"/>
    <row r="1324" hidden="1" x14ac:dyDescent="0.25"/>
    <row r="1325" hidden="1" x14ac:dyDescent="0.25"/>
    <row r="1326" hidden="1" x14ac:dyDescent="0.25"/>
    <row r="1327" hidden="1" x14ac:dyDescent="0.25"/>
    <row r="1328" hidden="1" x14ac:dyDescent="0.25"/>
    <row r="1329" hidden="1" x14ac:dyDescent="0.25"/>
    <row r="1330" hidden="1" x14ac:dyDescent="0.25"/>
    <row r="1331" hidden="1" x14ac:dyDescent="0.25"/>
    <row r="1332" hidden="1" x14ac:dyDescent="0.25"/>
    <row r="1333" hidden="1" x14ac:dyDescent="0.25"/>
    <row r="1334" hidden="1" x14ac:dyDescent="0.25"/>
    <row r="1335" hidden="1" x14ac:dyDescent="0.25"/>
    <row r="1336" hidden="1" x14ac:dyDescent="0.25"/>
    <row r="1337" hidden="1" x14ac:dyDescent="0.25"/>
    <row r="1338" hidden="1" x14ac:dyDescent="0.25"/>
    <row r="1339" hidden="1" x14ac:dyDescent="0.25"/>
    <row r="1340" hidden="1" x14ac:dyDescent="0.25"/>
    <row r="1341" hidden="1" x14ac:dyDescent="0.25"/>
    <row r="1342" hidden="1" x14ac:dyDescent="0.25"/>
    <row r="1343" hidden="1" x14ac:dyDescent="0.25"/>
    <row r="1344" hidden="1" x14ac:dyDescent="0.25"/>
    <row r="1345" hidden="1" x14ac:dyDescent="0.25"/>
    <row r="1346" hidden="1" x14ac:dyDescent="0.25"/>
    <row r="1347" hidden="1" x14ac:dyDescent="0.25"/>
    <row r="1348" hidden="1" x14ac:dyDescent="0.25"/>
    <row r="1349" hidden="1" x14ac:dyDescent="0.25"/>
    <row r="1350" hidden="1" x14ac:dyDescent="0.25"/>
    <row r="1351" hidden="1" x14ac:dyDescent="0.25"/>
    <row r="1352" hidden="1" x14ac:dyDescent="0.25"/>
    <row r="1353" hidden="1" x14ac:dyDescent="0.25"/>
    <row r="1354" hidden="1" x14ac:dyDescent="0.25"/>
    <row r="1355" hidden="1" x14ac:dyDescent="0.25"/>
    <row r="1356" hidden="1" x14ac:dyDescent="0.25"/>
    <row r="1357" hidden="1" x14ac:dyDescent="0.25"/>
    <row r="1358" hidden="1" x14ac:dyDescent="0.25"/>
    <row r="1359" hidden="1" x14ac:dyDescent="0.25"/>
    <row r="1360" hidden="1" x14ac:dyDescent="0.25"/>
    <row r="1361" hidden="1" x14ac:dyDescent="0.25"/>
    <row r="1362" hidden="1" x14ac:dyDescent="0.25"/>
    <row r="1363" hidden="1" x14ac:dyDescent="0.25"/>
    <row r="1364" hidden="1" x14ac:dyDescent="0.25"/>
    <row r="1365" hidden="1" x14ac:dyDescent="0.25"/>
    <row r="1366" hidden="1" x14ac:dyDescent="0.25"/>
    <row r="1367" hidden="1" x14ac:dyDescent="0.25"/>
    <row r="1368" hidden="1" x14ac:dyDescent="0.25"/>
    <row r="1369" hidden="1" x14ac:dyDescent="0.25"/>
    <row r="1370" hidden="1" x14ac:dyDescent="0.25"/>
    <row r="1371" hidden="1" x14ac:dyDescent="0.25"/>
    <row r="1372" hidden="1" x14ac:dyDescent="0.25"/>
    <row r="1373" hidden="1" x14ac:dyDescent="0.25"/>
    <row r="1374" hidden="1" x14ac:dyDescent="0.25"/>
    <row r="1375" hidden="1" x14ac:dyDescent="0.25"/>
    <row r="1376" hidden="1" x14ac:dyDescent="0.25"/>
    <row r="1377" hidden="1" x14ac:dyDescent="0.25"/>
    <row r="1378" hidden="1" x14ac:dyDescent="0.25"/>
    <row r="1379" hidden="1" x14ac:dyDescent="0.25"/>
    <row r="1380" hidden="1" x14ac:dyDescent="0.25"/>
    <row r="1381" hidden="1" x14ac:dyDescent="0.25"/>
    <row r="1382" hidden="1" x14ac:dyDescent="0.25"/>
    <row r="1383" hidden="1" x14ac:dyDescent="0.25"/>
    <row r="1384" hidden="1" x14ac:dyDescent="0.25"/>
    <row r="1385" hidden="1" x14ac:dyDescent="0.25"/>
    <row r="1386" hidden="1" x14ac:dyDescent="0.25"/>
    <row r="1387" hidden="1" x14ac:dyDescent="0.25"/>
    <row r="1388" hidden="1" x14ac:dyDescent="0.25"/>
    <row r="1389" hidden="1" x14ac:dyDescent="0.25"/>
    <row r="1390" hidden="1" x14ac:dyDescent="0.25"/>
    <row r="1391" hidden="1" x14ac:dyDescent="0.25"/>
    <row r="1392" hidden="1" x14ac:dyDescent="0.25"/>
    <row r="1393" hidden="1" x14ac:dyDescent="0.25"/>
    <row r="1394" hidden="1" x14ac:dyDescent="0.25"/>
    <row r="1395" hidden="1" x14ac:dyDescent="0.25"/>
    <row r="1396" hidden="1" x14ac:dyDescent="0.25"/>
    <row r="1397" hidden="1" x14ac:dyDescent="0.25"/>
    <row r="1398" hidden="1" x14ac:dyDescent="0.25"/>
    <row r="1399" hidden="1" x14ac:dyDescent="0.25"/>
    <row r="1400" hidden="1" x14ac:dyDescent="0.25"/>
    <row r="1401" hidden="1" x14ac:dyDescent="0.25"/>
    <row r="1402" hidden="1" x14ac:dyDescent="0.25"/>
    <row r="1403" hidden="1" x14ac:dyDescent="0.25"/>
    <row r="1404" hidden="1" x14ac:dyDescent="0.25"/>
    <row r="1405" hidden="1" x14ac:dyDescent="0.25"/>
    <row r="1406" hidden="1" x14ac:dyDescent="0.25"/>
    <row r="1407" hidden="1" x14ac:dyDescent="0.25"/>
    <row r="1408" hidden="1" x14ac:dyDescent="0.25"/>
    <row r="1409" hidden="1" x14ac:dyDescent="0.25"/>
    <row r="1410" hidden="1" x14ac:dyDescent="0.25"/>
    <row r="1411" hidden="1" x14ac:dyDescent="0.25"/>
    <row r="1412" hidden="1" x14ac:dyDescent="0.25"/>
    <row r="1413" hidden="1" x14ac:dyDescent="0.25"/>
    <row r="1414" hidden="1" x14ac:dyDescent="0.25"/>
    <row r="1415" hidden="1" x14ac:dyDescent="0.25"/>
    <row r="1416" hidden="1" x14ac:dyDescent="0.25"/>
    <row r="1417" hidden="1" x14ac:dyDescent="0.25"/>
    <row r="1418" hidden="1" x14ac:dyDescent="0.25"/>
    <row r="1419" hidden="1" x14ac:dyDescent="0.25"/>
    <row r="1420" hidden="1" x14ac:dyDescent="0.25"/>
    <row r="1421" hidden="1" x14ac:dyDescent="0.25"/>
    <row r="1422" hidden="1" x14ac:dyDescent="0.25"/>
    <row r="1423" hidden="1" x14ac:dyDescent="0.25"/>
    <row r="1424" hidden="1" x14ac:dyDescent="0.25"/>
    <row r="1425" hidden="1" x14ac:dyDescent="0.25"/>
    <row r="1426" hidden="1" x14ac:dyDescent="0.25"/>
    <row r="1427" hidden="1" x14ac:dyDescent="0.25"/>
    <row r="1428" hidden="1" x14ac:dyDescent="0.25"/>
    <row r="1429" hidden="1" x14ac:dyDescent="0.25"/>
    <row r="1430" hidden="1" x14ac:dyDescent="0.25"/>
    <row r="1431" hidden="1" x14ac:dyDescent="0.25"/>
    <row r="1432" hidden="1" x14ac:dyDescent="0.25"/>
    <row r="1433" hidden="1" x14ac:dyDescent="0.25"/>
    <row r="1434" hidden="1" x14ac:dyDescent="0.25"/>
    <row r="1435" hidden="1" x14ac:dyDescent="0.25"/>
    <row r="1436" hidden="1" x14ac:dyDescent="0.25"/>
    <row r="1437" hidden="1" x14ac:dyDescent="0.25"/>
    <row r="1438" hidden="1" x14ac:dyDescent="0.25"/>
    <row r="1439" hidden="1" x14ac:dyDescent="0.25"/>
    <row r="1440" hidden="1" x14ac:dyDescent="0.25"/>
    <row r="1441" hidden="1" x14ac:dyDescent="0.25"/>
    <row r="1442" hidden="1" x14ac:dyDescent="0.25"/>
    <row r="1443" hidden="1" x14ac:dyDescent="0.25"/>
    <row r="1444" hidden="1" x14ac:dyDescent="0.25"/>
    <row r="1445" hidden="1" x14ac:dyDescent="0.25"/>
    <row r="1446" hidden="1" x14ac:dyDescent="0.25"/>
    <row r="1447" hidden="1" x14ac:dyDescent="0.25"/>
    <row r="1448" hidden="1" x14ac:dyDescent="0.25"/>
    <row r="1449" hidden="1" x14ac:dyDescent="0.25"/>
    <row r="1450" hidden="1" x14ac:dyDescent="0.25"/>
    <row r="1451" hidden="1" x14ac:dyDescent="0.25"/>
    <row r="1452" hidden="1" x14ac:dyDescent="0.25"/>
    <row r="1453" hidden="1" x14ac:dyDescent="0.25"/>
    <row r="1454" hidden="1" x14ac:dyDescent="0.25"/>
    <row r="1455" hidden="1" x14ac:dyDescent="0.25"/>
    <row r="1456" hidden="1" x14ac:dyDescent="0.25"/>
    <row r="1457" hidden="1" x14ac:dyDescent="0.25"/>
    <row r="1458" hidden="1" x14ac:dyDescent="0.25"/>
    <row r="1459" hidden="1" x14ac:dyDescent="0.25"/>
    <row r="1460" hidden="1" x14ac:dyDescent="0.25"/>
    <row r="1461" hidden="1" x14ac:dyDescent="0.25"/>
    <row r="1462" hidden="1" x14ac:dyDescent="0.25"/>
    <row r="1463" hidden="1" x14ac:dyDescent="0.25"/>
    <row r="1464" hidden="1" x14ac:dyDescent="0.25"/>
    <row r="1465" hidden="1" x14ac:dyDescent="0.25"/>
    <row r="1466" hidden="1" x14ac:dyDescent="0.25"/>
    <row r="1467" hidden="1" x14ac:dyDescent="0.25"/>
    <row r="1468" hidden="1" x14ac:dyDescent="0.25"/>
    <row r="1469" hidden="1" x14ac:dyDescent="0.25"/>
    <row r="1470" hidden="1" x14ac:dyDescent="0.25"/>
    <row r="1471" hidden="1" x14ac:dyDescent="0.25"/>
    <row r="1472" hidden="1" x14ac:dyDescent="0.25"/>
    <row r="1473" hidden="1" x14ac:dyDescent="0.25"/>
    <row r="1474" hidden="1" x14ac:dyDescent="0.25"/>
    <row r="1475" hidden="1" x14ac:dyDescent="0.25"/>
    <row r="1476" hidden="1" x14ac:dyDescent="0.25"/>
    <row r="1477" hidden="1" x14ac:dyDescent="0.25"/>
    <row r="1478" hidden="1" x14ac:dyDescent="0.25"/>
    <row r="1479" hidden="1" x14ac:dyDescent="0.25"/>
    <row r="1480" hidden="1" x14ac:dyDescent="0.25"/>
    <row r="1481" hidden="1" x14ac:dyDescent="0.25"/>
    <row r="1482" hidden="1" x14ac:dyDescent="0.25"/>
    <row r="1483" hidden="1" x14ac:dyDescent="0.25"/>
    <row r="1484" hidden="1" x14ac:dyDescent="0.25"/>
    <row r="1485" hidden="1" x14ac:dyDescent="0.25"/>
    <row r="1486" hidden="1" x14ac:dyDescent="0.25"/>
    <row r="1487" hidden="1" x14ac:dyDescent="0.25"/>
    <row r="1488" hidden="1" x14ac:dyDescent="0.25"/>
    <row r="1489" hidden="1" x14ac:dyDescent="0.25"/>
    <row r="1490" hidden="1" x14ac:dyDescent="0.25"/>
    <row r="1491" hidden="1" x14ac:dyDescent="0.25"/>
    <row r="1492" hidden="1" x14ac:dyDescent="0.25"/>
    <row r="1493" hidden="1" x14ac:dyDescent="0.25"/>
    <row r="1494" hidden="1" x14ac:dyDescent="0.25"/>
    <row r="1495" hidden="1" x14ac:dyDescent="0.25"/>
    <row r="1496" hidden="1" x14ac:dyDescent="0.25"/>
    <row r="1497" hidden="1" x14ac:dyDescent="0.25"/>
    <row r="1498" hidden="1" x14ac:dyDescent="0.25"/>
    <row r="1499" hidden="1" x14ac:dyDescent="0.25"/>
    <row r="1500" hidden="1" x14ac:dyDescent="0.25"/>
    <row r="1501" hidden="1" x14ac:dyDescent="0.25"/>
    <row r="1502" hidden="1" x14ac:dyDescent="0.25"/>
    <row r="1503" hidden="1" x14ac:dyDescent="0.25"/>
    <row r="1504" hidden="1" x14ac:dyDescent="0.25"/>
    <row r="1505" hidden="1" x14ac:dyDescent="0.25"/>
    <row r="1506" hidden="1" x14ac:dyDescent="0.25"/>
    <row r="1507" hidden="1" x14ac:dyDescent="0.25"/>
    <row r="1508" hidden="1" x14ac:dyDescent="0.25"/>
    <row r="1509" hidden="1" x14ac:dyDescent="0.25"/>
    <row r="1510" hidden="1" x14ac:dyDescent="0.25"/>
    <row r="1511" hidden="1" x14ac:dyDescent="0.25"/>
    <row r="1512" hidden="1" x14ac:dyDescent="0.25"/>
    <row r="1513" hidden="1" x14ac:dyDescent="0.25"/>
    <row r="1514" hidden="1" x14ac:dyDescent="0.25"/>
    <row r="1515" hidden="1" x14ac:dyDescent="0.25"/>
    <row r="1516" hidden="1" x14ac:dyDescent="0.25"/>
    <row r="1517" hidden="1" x14ac:dyDescent="0.25"/>
    <row r="1518" hidden="1" x14ac:dyDescent="0.25"/>
    <row r="1519" hidden="1" x14ac:dyDescent="0.25"/>
    <row r="1520" hidden="1" x14ac:dyDescent="0.25"/>
    <row r="1521" hidden="1" x14ac:dyDescent="0.25"/>
    <row r="1522" hidden="1" x14ac:dyDescent="0.25"/>
    <row r="1523" hidden="1" x14ac:dyDescent="0.25"/>
    <row r="1524" hidden="1" x14ac:dyDescent="0.25"/>
    <row r="1525" hidden="1" x14ac:dyDescent="0.25"/>
    <row r="1526" hidden="1" x14ac:dyDescent="0.25"/>
    <row r="1527" hidden="1" x14ac:dyDescent="0.25"/>
    <row r="1528" hidden="1" x14ac:dyDescent="0.25"/>
    <row r="1529" hidden="1" x14ac:dyDescent="0.25"/>
    <row r="1530" hidden="1" x14ac:dyDescent="0.25"/>
    <row r="1531" hidden="1" x14ac:dyDescent="0.25"/>
    <row r="1532" hidden="1" x14ac:dyDescent="0.25"/>
    <row r="1533" hidden="1" x14ac:dyDescent="0.25"/>
    <row r="1534" hidden="1" x14ac:dyDescent="0.25"/>
    <row r="1535" hidden="1" x14ac:dyDescent="0.25"/>
    <row r="1536" hidden="1" x14ac:dyDescent="0.25"/>
    <row r="1537" hidden="1" x14ac:dyDescent="0.25"/>
    <row r="1538" hidden="1" x14ac:dyDescent="0.25"/>
    <row r="1539" hidden="1" x14ac:dyDescent="0.25"/>
    <row r="1540" hidden="1" x14ac:dyDescent="0.25"/>
    <row r="1541" hidden="1" x14ac:dyDescent="0.25"/>
    <row r="1542" hidden="1" x14ac:dyDescent="0.25"/>
    <row r="1543" hidden="1" x14ac:dyDescent="0.25"/>
    <row r="1544" hidden="1" x14ac:dyDescent="0.25"/>
    <row r="1545" hidden="1" x14ac:dyDescent="0.25"/>
    <row r="1546" hidden="1" x14ac:dyDescent="0.25"/>
    <row r="1547" hidden="1" x14ac:dyDescent="0.25"/>
    <row r="1548" hidden="1" x14ac:dyDescent="0.25"/>
    <row r="1549" hidden="1" x14ac:dyDescent="0.25"/>
    <row r="1550" hidden="1" x14ac:dyDescent="0.25"/>
    <row r="1551" hidden="1" x14ac:dyDescent="0.25"/>
    <row r="1552" hidden="1" x14ac:dyDescent="0.25"/>
    <row r="1553" hidden="1" x14ac:dyDescent="0.25"/>
    <row r="1554" hidden="1" x14ac:dyDescent="0.25"/>
    <row r="1555" hidden="1" x14ac:dyDescent="0.25"/>
    <row r="1556" hidden="1" x14ac:dyDescent="0.25"/>
    <row r="1557" hidden="1" x14ac:dyDescent="0.25"/>
    <row r="1558" hidden="1" x14ac:dyDescent="0.25"/>
    <row r="1559" hidden="1" x14ac:dyDescent="0.25"/>
    <row r="1560" hidden="1" x14ac:dyDescent="0.25"/>
    <row r="1561" hidden="1" x14ac:dyDescent="0.25"/>
    <row r="1562" hidden="1" x14ac:dyDescent="0.25"/>
    <row r="1563" hidden="1" x14ac:dyDescent="0.25"/>
    <row r="1564" hidden="1" x14ac:dyDescent="0.25"/>
    <row r="1565" hidden="1" x14ac:dyDescent="0.25"/>
    <row r="1566" hidden="1" x14ac:dyDescent="0.25"/>
    <row r="1567" hidden="1" x14ac:dyDescent="0.25"/>
    <row r="1568" hidden="1" x14ac:dyDescent="0.25"/>
    <row r="1569" hidden="1" x14ac:dyDescent="0.25"/>
    <row r="1570" hidden="1" x14ac:dyDescent="0.25"/>
    <row r="1571" hidden="1" x14ac:dyDescent="0.25"/>
    <row r="1572" hidden="1" x14ac:dyDescent="0.25"/>
    <row r="1573" hidden="1" x14ac:dyDescent="0.25"/>
    <row r="1574" hidden="1" x14ac:dyDescent="0.25"/>
    <row r="1575" hidden="1" x14ac:dyDescent="0.25"/>
    <row r="1576" hidden="1" x14ac:dyDescent="0.25"/>
    <row r="1577" hidden="1" x14ac:dyDescent="0.25"/>
    <row r="1578" hidden="1" x14ac:dyDescent="0.25"/>
    <row r="1579" hidden="1" x14ac:dyDescent="0.25"/>
    <row r="1580" hidden="1" x14ac:dyDescent="0.25"/>
    <row r="1581" hidden="1" x14ac:dyDescent="0.25"/>
    <row r="1582" hidden="1" x14ac:dyDescent="0.25"/>
    <row r="1583" hidden="1" x14ac:dyDescent="0.25"/>
    <row r="1584" hidden="1" x14ac:dyDescent="0.25"/>
    <row r="1585" hidden="1" x14ac:dyDescent="0.25"/>
    <row r="1586" hidden="1" x14ac:dyDescent="0.25"/>
    <row r="1587" hidden="1" x14ac:dyDescent="0.25"/>
    <row r="1588" hidden="1" x14ac:dyDescent="0.25"/>
    <row r="1589" hidden="1" x14ac:dyDescent="0.25"/>
    <row r="1590" hidden="1" x14ac:dyDescent="0.25"/>
    <row r="1591" hidden="1" x14ac:dyDescent="0.25"/>
    <row r="1592" hidden="1" x14ac:dyDescent="0.25"/>
    <row r="1593" hidden="1" x14ac:dyDescent="0.25"/>
    <row r="1594" hidden="1" x14ac:dyDescent="0.25"/>
    <row r="1595" hidden="1" x14ac:dyDescent="0.25"/>
    <row r="1596" hidden="1" x14ac:dyDescent="0.25"/>
    <row r="1597" hidden="1" x14ac:dyDescent="0.25"/>
    <row r="1598" hidden="1" x14ac:dyDescent="0.25"/>
    <row r="1599" hidden="1" x14ac:dyDescent="0.25"/>
    <row r="1600" hidden="1" x14ac:dyDescent="0.25"/>
    <row r="1601" hidden="1" x14ac:dyDescent="0.25"/>
    <row r="1602" hidden="1" x14ac:dyDescent="0.25"/>
    <row r="1603" hidden="1" x14ac:dyDescent="0.25"/>
    <row r="1604" hidden="1" x14ac:dyDescent="0.25"/>
    <row r="1605" hidden="1" x14ac:dyDescent="0.25"/>
    <row r="1606" hidden="1" x14ac:dyDescent="0.25"/>
    <row r="1607" hidden="1" x14ac:dyDescent="0.25"/>
    <row r="1608" hidden="1" x14ac:dyDescent="0.25"/>
    <row r="1609" hidden="1" x14ac:dyDescent="0.25"/>
    <row r="1610" hidden="1" x14ac:dyDescent="0.25"/>
    <row r="1611" hidden="1" x14ac:dyDescent="0.25"/>
    <row r="1612" hidden="1" x14ac:dyDescent="0.25"/>
    <row r="1613" hidden="1" x14ac:dyDescent="0.25"/>
    <row r="1614" hidden="1" x14ac:dyDescent="0.25"/>
    <row r="1615" hidden="1" x14ac:dyDescent="0.25"/>
    <row r="1616" hidden="1" x14ac:dyDescent="0.25"/>
  </sheetData>
  <mergeCells count="3">
    <mergeCell ref="S22:S23"/>
    <mergeCell ref="AB22:AB23"/>
    <mergeCell ref="AL22:AL23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7" r:id="rId4" name="TIButton1">
          <controlPr defaultSize="0" print="0" autoLine="0" autoPict="0" r:id="rId5">
            <anchor moveWithCells="1">
              <from>
                <xdr:col>19</xdr:col>
                <xdr:colOff>0</xdr:colOff>
                <xdr:row>16</xdr:row>
                <xdr:rowOff>0</xdr:rowOff>
              </from>
              <to>
                <xdr:col>23</xdr:col>
                <xdr:colOff>95250</xdr:colOff>
                <xdr:row>20</xdr:row>
                <xdr:rowOff>38100</xdr:rowOff>
              </to>
            </anchor>
          </controlPr>
        </control>
      </mc:Choice>
      <mc:Fallback>
        <control shapeId="1027" r:id="rId4" name="TI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Feuil1</vt:lpstr>
      <vt:lpstr>Feuil1!TM1RPTDATARNGARPT1</vt:lpstr>
      <vt:lpstr>Feuil1!TM1RPTFMTIDCOL</vt:lpstr>
      <vt:lpstr>Feuil1!TM1RPTFMTRNG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DEDENON</dc:creator>
  <cp:lastModifiedBy>Serveurs COGNOS</cp:lastModifiedBy>
  <dcterms:created xsi:type="dcterms:W3CDTF">2017-05-04T07:12:39Z</dcterms:created>
  <dcterms:modified xsi:type="dcterms:W3CDTF">2022-01-27T10:10:08Z</dcterms:modified>
</cp:coreProperties>
</file>