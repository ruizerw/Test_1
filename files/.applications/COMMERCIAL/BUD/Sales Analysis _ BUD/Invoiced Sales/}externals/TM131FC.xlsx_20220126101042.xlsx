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30\"/>
    </mc:Choice>
  </mc:AlternateContent>
  <bookViews>
    <workbookView xWindow="0" yWindow="0" windowWidth="23040" windowHeight="9690"/>
  </bookViews>
  <sheets>
    <sheet name="Feuil3" sheetId="3" r:id="rId1"/>
  </sheets>
  <definedNames>
    <definedName name="TM1REBUILDOPTION">1</definedName>
    <definedName name="TM1RPTDATARNGARPT1" localSheetId="0">Feuil3!$24:$24</definedName>
    <definedName name="TM1RPTFMTIDCOL" localSheetId="0">Feuil3!$A$1:$A$8</definedName>
    <definedName name="TM1RPTFMTRNG" localSheetId="0">Feuil3!$F$1:$P$8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3" l="1"/>
  <c r="G18" i="3"/>
  <c r="O22" i="3"/>
  <c r="G16" i="3"/>
  <c r="G19" i="3"/>
  <c r="G17" i="3"/>
  <c r="R22" i="3"/>
  <c r="L22" i="3"/>
  <c r="I22" i="3"/>
  <c r="G22" i="3"/>
  <c r="F24" i="3"/>
  <c r="S24" i="3"/>
  <c r="R24" i="3"/>
  <c r="P24" i="3"/>
  <c r="O24" i="3"/>
  <c r="M24" i="3"/>
  <c r="L24" i="3"/>
  <c r="J24" i="3"/>
  <c r="I24" i="3"/>
  <c r="H24" i="3"/>
  <c r="G24" i="3"/>
  <c r="T24" i="3"/>
  <c r="Q24" i="3"/>
  <c r="N24" i="3"/>
  <c r="K24" i="3"/>
  <c r="A24" i="3"/>
  <c r="A5" i="3"/>
  <c r="A4" i="3"/>
  <c r="A3" i="3"/>
  <c r="A2" i="3"/>
</calcChain>
</file>

<file path=xl/sharedStrings.xml><?xml version="1.0" encoding="utf-8"?>
<sst xmlns="http://schemas.openxmlformats.org/spreadsheetml/2006/main" count="23" uniqueCount="12">
  <si>
    <t>Origin_Company</t>
  </si>
  <si>
    <t>Customer_Supplier</t>
  </si>
  <si>
    <t>Month</t>
  </si>
  <si>
    <t>Allocation</t>
  </si>
  <si>
    <t>QTY</t>
  </si>
  <si>
    <t>SALES</t>
  </si>
  <si>
    <t>D</t>
  </si>
  <si>
    <t>N</t>
  </si>
  <si>
    <t>[Begin Format Range]</t>
  </si>
  <si>
    <t>[End Format Range]</t>
  </si>
  <si>
    <t>SALES % N-1</t>
  </si>
  <si>
    <t>DEALERS INVOICED SALES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</si>
</sst>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- &quot;@"/>
    <numFmt numFmtId="166" formatCode="0&quot; &quot;%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C8C8C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3" fontId="4" fillId="0" borderId="0" xfId="0" applyNumberFormat="1" applyFont="1"/>
    <xf numFmtId="0" fontId="0" fillId="6" borderId="0" xfId="0" applyFill="1"/>
    <xf numFmtId="3" fontId="5" fillId="2" borderId="1" xfId="0" applyNumberFormat="1" applyFont="1" applyFill="1" applyBorder="1"/>
    <xf numFmtId="3" fontId="5" fillId="2" borderId="2" xfId="0" applyNumberFormat="1" applyFont="1" applyFill="1" applyBorder="1"/>
    <xf numFmtId="3" fontId="5" fillId="3" borderId="3" xfId="0" applyNumberFormat="1" applyFont="1" applyFill="1" applyBorder="1"/>
    <xf numFmtId="3" fontId="5" fillId="3" borderId="4" xfId="0" applyNumberFormat="1" applyFont="1" applyFill="1" applyBorder="1"/>
    <xf numFmtId="3" fontId="5" fillId="4" borderId="3" xfId="0" applyNumberFormat="1" applyFont="1" applyFill="1" applyBorder="1"/>
    <xf numFmtId="3" fontId="5" fillId="4" borderId="4" xfId="0" applyNumberFormat="1" applyFont="1" applyFill="1" applyBorder="1"/>
    <xf numFmtId="3" fontId="5" fillId="5" borderId="3" xfId="0" applyNumberFormat="1" applyFont="1" applyFill="1" applyBorder="1"/>
    <xf numFmtId="3" fontId="5" fillId="5" borderId="4" xfId="0" applyNumberFormat="1" applyFont="1" applyFill="1" applyBorder="1"/>
    <xf numFmtId="3" fontId="5" fillId="7" borderId="5" xfId="0" applyNumberFormat="1" applyFont="1" applyFill="1" applyBorder="1"/>
    <xf numFmtId="3" fontId="5" fillId="7" borderId="6" xfId="0" applyNumberFormat="1" applyFont="1" applyFill="1" applyBorder="1"/>
    <xf numFmtId="3" fontId="5" fillId="2" borderId="7" xfId="0" applyNumberFormat="1" applyFont="1" applyFill="1" applyBorder="1"/>
    <xf numFmtId="3" fontId="5" fillId="3" borderId="0" xfId="0" applyNumberFormat="1" applyFont="1" applyFill="1" applyBorder="1"/>
    <xf numFmtId="3" fontId="5" fillId="4" borderId="0" xfId="0" applyNumberFormat="1" applyFont="1" applyFill="1" applyBorder="1"/>
    <xf numFmtId="3" fontId="5" fillId="5" borderId="0" xfId="0" applyNumberFormat="1" applyFont="1" applyFill="1" applyBorder="1"/>
    <xf numFmtId="3" fontId="5" fillId="7" borderId="8" xfId="0" applyNumberFormat="1" applyFont="1" applyFill="1" applyBorder="1"/>
    <xf numFmtId="0" fontId="0" fillId="2" borderId="9" xfId="0" applyFill="1" applyBorder="1"/>
    <xf numFmtId="0" fontId="0" fillId="3" borderId="10" xfId="0" applyFill="1" applyBorder="1"/>
    <xf numFmtId="0" fontId="0" fillId="4" borderId="10" xfId="0" applyFill="1" applyBorder="1"/>
    <xf numFmtId="0" fontId="0" fillId="5" borderId="10" xfId="0" applyFill="1" applyBorder="1"/>
    <xf numFmtId="0" fontId="0" fillId="7" borderId="11" xfId="0" applyFill="1" applyBorder="1"/>
    <xf numFmtId="166" fontId="6" fillId="2" borderId="12" xfId="0" applyNumberFormat="1" applyFont="1" applyFill="1" applyBorder="1"/>
    <xf numFmtId="166" fontId="6" fillId="3" borderId="13" xfId="0" applyNumberFormat="1" applyFont="1" applyFill="1" applyBorder="1"/>
    <xf numFmtId="166" fontId="6" fillId="4" borderId="13" xfId="0" applyNumberFormat="1" applyFont="1" applyFill="1" applyBorder="1"/>
    <xf numFmtId="166" fontId="6" fillId="5" borderId="13" xfId="0" applyNumberFormat="1" applyFont="1" applyFill="1" applyBorder="1"/>
    <xf numFmtId="166" fontId="6" fillId="7" borderId="14" xfId="0" applyNumberFormat="1" applyFont="1" applyFill="1" applyBorder="1"/>
    <xf numFmtId="0" fontId="0" fillId="9" borderId="0" xfId="0" applyFill="1"/>
    <xf numFmtId="0" fontId="3" fillId="8" borderId="5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7" fillId="6" borderId="0" xfId="0" applyFont="1" applyFill="1"/>
    <xf numFmtId="0" fontId="2" fillId="6" borderId="0" xfId="0" applyFont="1" applyFill="1"/>
    <xf numFmtId="0" fontId="1" fillId="6" borderId="0" xfId="0" applyFont="1" applyFill="1"/>
    <xf numFmtId="165" fontId="0" fillId="2" borderId="9" xfId="0" applyNumberFormat="1" applyFill="1" applyBorder="1" applyAlignment="1"/>
    <xf numFmtId="0" fontId="0" fillId="0" borderId="0" xfId="0" applyFill="1"/>
    <xf numFmtId="0" fontId="3" fillId="8" borderId="7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15240</xdr:rowOff>
    </xdr:from>
    <xdr:to>
      <xdr:col>11</xdr:col>
      <xdr:colOff>314325</xdr:colOff>
      <xdr:row>12</xdr:row>
      <xdr:rowOff>161925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"/>
          <a:ext cx="9039225" cy="71818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476250</xdr:colOff>
          <xdr:row>14</xdr:row>
          <xdr:rowOff>200025</xdr:rowOff>
        </xdr:from>
        <xdr:to>
          <xdr:col>9</xdr:col>
          <xdr:colOff>1104900</xdr:colOff>
          <xdr:row>16</xdr:row>
          <xdr:rowOff>19050</xdr:rowOff>
        </xdr:to>
        <xdr:sp macro="" textlink="">
          <xdr:nvSpPr>
            <xdr:cNvPr id="2049" name="TIButton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U101"/>
  <sheetViews>
    <sheetView showGridLines="0" tabSelected="1" topLeftCell="F1" workbookViewId="0">
      <pane xSplit="1" ySplit="23" topLeftCell="G24" activePane="bottomRight" state="frozen"/>
      <selection activeCell="F10" sqref="F10"/>
      <selection pane="topRight" activeCell="G10" sqref="G10"/>
      <selection pane="bottomLeft" activeCell="F28" sqref="F28"/>
      <selection pane="bottomRight" activeCell="G16" sqref="G16"/>
    </sheetView>
  </sheetViews>
  <sheetFormatPr defaultColWidth="0" defaultRowHeight="15" zeroHeight="1" x14ac:dyDescent="0.25"/>
  <cols>
    <col min="1" max="1" width="18.7109375" hidden="1" customWidth="1"/>
    <col min="2" max="5" width="0" hidden="1" customWidth="1"/>
    <col min="6" max="6" width="61.28515625" customWidth="1"/>
    <col min="7" max="7" width="12.7109375" customWidth="1"/>
    <col min="8" max="8" width="16.7109375" customWidth="1"/>
    <col min="9" max="9" width="12.7109375" customWidth="1"/>
    <col min="10" max="10" width="16.7109375" customWidth="1"/>
    <col min="11" max="11" width="10.7109375" customWidth="1"/>
    <col min="12" max="12" width="12.7109375" customWidth="1"/>
    <col min="13" max="13" width="16.7109375" customWidth="1"/>
    <col min="14" max="14" width="10.7109375" customWidth="1"/>
    <col min="15" max="15" width="12.7109375" customWidth="1"/>
    <col min="16" max="16" width="16.7109375" customWidth="1"/>
    <col min="17" max="17" width="10.7109375" customWidth="1"/>
    <col min="18" max="18" width="12.7109375" customWidth="1"/>
    <col min="19" max="19" width="16.7109375" style="36" customWidth="1"/>
    <col min="20" max="20" width="10.7109375" style="36" customWidth="1"/>
    <col min="21" max="21" width="0.85546875" style="36" customWidth="1"/>
    <col min="22" max="16384" width="11.5703125" style="36" hidden="1"/>
  </cols>
  <sheetData>
    <row r="1" spans="1:21" hidden="1" x14ac:dyDescent="0.25">
      <c r="A1" t="s">
        <v>8</v>
      </c>
    </row>
    <row r="2" spans="1:21" hidden="1" x14ac:dyDescent="0.25">
      <c r="A2">
        <f>0</f>
        <v>0</v>
      </c>
      <c r="F2" s="18"/>
      <c r="G2" s="3"/>
      <c r="H2" s="4"/>
      <c r="I2" s="3"/>
      <c r="J2" s="13"/>
      <c r="K2" s="23"/>
      <c r="L2" s="13"/>
      <c r="M2" s="13"/>
      <c r="N2" s="23"/>
      <c r="O2" s="13"/>
      <c r="P2" s="13"/>
      <c r="Q2" s="23"/>
      <c r="R2" s="13"/>
      <c r="S2" s="13"/>
      <c r="T2" s="23"/>
    </row>
    <row r="3" spans="1:21" hidden="1" x14ac:dyDescent="0.25">
      <c r="A3">
        <f>1</f>
        <v>1</v>
      </c>
      <c r="F3" s="19"/>
      <c r="G3" s="5"/>
      <c r="H3" s="6"/>
      <c r="I3" s="5"/>
      <c r="J3" s="14"/>
      <c r="K3" s="24"/>
      <c r="L3" s="14"/>
      <c r="M3" s="14"/>
      <c r="N3" s="24"/>
      <c r="O3" s="14"/>
      <c r="P3" s="14"/>
      <c r="Q3" s="24"/>
      <c r="R3" s="14"/>
      <c r="S3" s="14"/>
      <c r="T3" s="24"/>
    </row>
    <row r="4" spans="1:21" hidden="1" x14ac:dyDescent="0.25">
      <c r="A4">
        <f>2</f>
        <v>2</v>
      </c>
      <c r="F4" s="20"/>
      <c r="G4" s="7"/>
      <c r="H4" s="8"/>
      <c r="I4" s="7"/>
      <c r="J4" s="15"/>
      <c r="K4" s="25"/>
      <c r="L4" s="15"/>
      <c r="M4" s="15"/>
      <c r="N4" s="25"/>
      <c r="O4" s="15"/>
      <c r="P4" s="15"/>
      <c r="Q4" s="25"/>
      <c r="R4" s="15"/>
      <c r="S4" s="15"/>
      <c r="T4" s="25"/>
    </row>
    <row r="5" spans="1:21" hidden="1" x14ac:dyDescent="0.25">
      <c r="A5">
        <f>3</f>
        <v>3</v>
      </c>
      <c r="F5" s="21"/>
      <c r="G5" s="9"/>
      <c r="H5" s="10"/>
      <c r="I5" s="9"/>
      <c r="J5" s="16"/>
      <c r="K5" s="26"/>
      <c r="L5" s="16"/>
      <c r="M5" s="16"/>
      <c r="N5" s="26"/>
      <c r="O5" s="16"/>
      <c r="P5" s="16"/>
      <c r="Q5" s="26"/>
      <c r="R5" s="16"/>
      <c r="S5" s="16"/>
      <c r="T5" s="26"/>
    </row>
    <row r="6" spans="1:21" hidden="1" x14ac:dyDescent="0.25">
      <c r="A6" t="s">
        <v>6</v>
      </c>
      <c r="F6" s="22"/>
      <c r="G6" s="11"/>
      <c r="H6" s="12"/>
      <c r="I6" s="11"/>
      <c r="J6" s="17"/>
      <c r="K6" s="27"/>
      <c r="L6" s="17"/>
      <c r="M6" s="17"/>
      <c r="N6" s="27"/>
      <c r="O6" s="17"/>
      <c r="P6" s="17"/>
      <c r="Q6" s="27"/>
      <c r="R6" s="17"/>
      <c r="S6" s="17"/>
      <c r="T6" s="27"/>
    </row>
    <row r="7" spans="1:21" hidden="1" x14ac:dyDescent="0.25">
      <c r="A7" t="s">
        <v>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21" hidden="1" x14ac:dyDescent="0.25">
      <c r="A8" t="s">
        <v>9</v>
      </c>
    </row>
    <row r="9" spans="1:21" hidden="1" x14ac:dyDescent="0.25">
      <c r="F9" t="str">
        <f ca="1">_xll.TM1RPTVIEW("CXMD:FTM_DATA_MARGIN:ARPT1", 1, _xll.TM1RPTTITLE("CXMD:Month",$G$18), _xll.TM1RPTTITLE("CXMD:DIM_Origin_Company",$G$16), _xll.TM1RPTTITLE("CXMD:DIM_Allocation",$G$19), _xll.TM1RPTTITLE("CXMD:DIM_Customer_Supplier",$G$17),TM1RPTFMTRNG,TM1RPTFMTIDCOL)</f>
        <v>CXMD:FTM_DATA_MARGIN:ARPT1</v>
      </c>
    </row>
    <row r="10" spans="1:21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</row>
    <row r="11" spans="1:21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</row>
    <row r="12" spans="1:21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</row>
    <row r="13" spans="1:21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</row>
    <row r="14" spans="1:21" hidden="1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</row>
    <row r="15" spans="1:21" ht="19.5" x14ac:dyDescent="0.3">
      <c r="A15" s="2"/>
      <c r="B15" s="2"/>
      <c r="C15" s="2"/>
      <c r="D15" s="2"/>
      <c r="E15" s="2"/>
      <c r="F15" s="32" t="s">
        <v>11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s="2"/>
      <c r="B16" s="2"/>
      <c r="C16" s="2"/>
      <c r="D16" s="2"/>
      <c r="E16" s="2"/>
      <c r="F16" s="33" t="s">
        <v>0</v>
      </c>
      <c r="G16" s="34" t="str">
        <f ca="1">_xll.SUBNM("CXMD:DIM_Origin_Company","","KUHN POLAND","Name EN")</f>
        <v>KUHN POLAND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s="2"/>
      <c r="B17" s="2"/>
      <c r="C17" s="2"/>
      <c r="D17" s="2"/>
      <c r="E17" s="2"/>
      <c r="F17" s="33" t="s">
        <v>1</v>
      </c>
      <c r="G17" s="34" t="str">
        <f ca="1">_xll.SUBNM("CXMD:DIM_Customer_Supplier","Others","Others","Code-Name")</f>
        <v>Others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2"/>
      <c r="B18" s="2"/>
      <c r="C18" s="2"/>
      <c r="D18" s="2"/>
      <c r="E18" s="2"/>
      <c r="F18" s="33" t="s">
        <v>2</v>
      </c>
      <c r="G18" s="34" t="str">
        <f ca="1">_xll.SUBNM("CXMD:Month","","Total_Month")</f>
        <v>Total_Month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idden="1" x14ac:dyDescent="0.25">
      <c r="A19" s="2"/>
      <c r="B19" s="2"/>
      <c r="C19" s="2"/>
      <c r="D19" s="2"/>
      <c r="E19" s="2"/>
      <c r="F19" s="33" t="s">
        <v>3</v>
      </c>
      <c r="G19" s="2" t="str">
        <f ca="1">CONCATENATE(_xll.DBRA("CXMD:DIM_Origin_Company",G16,"Origin Company"),"_SALES")</f>
        <v>J_SALES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5.6" customHeight="1" x14ac:dyDescent="0.25">
      <c r="F22" s="2"/>
      <c r="G22" s="40" t="str">
        <f ca="1">_xll.SUBNM("CXMD:Actuality","Actuality","AC2015","Description EN")</f>
        <v>AC2015</v>
      </c>
      <c r="H22" s="41"/>
      <c r="I22" s="40" t="str">
        <f ca="1">_xll.SUBNM("CXMD:Actuality","Actuality","AC2016","Description EN")</f>
        <v>AC2016</v>
      </c>
      <c r="J22" s="37"/>
      <c r="K22" s="38" t="s">
        <v>10</v>
      </c>
      <c r="L22" s="37" t="str">
        <f ca="1">_xll.SUBNM("CXMD:Actuality","Actuality","AC2017","Description EN")</f>
        <v>AC2017</v>
      </c>
      <c r="M22" s="37"/>
      <c r="N22" s="38" t="s">
        <v>10</v>
      </c>
      <c r="O22" s="37" t="str">
        <f ca="1">_xll.SUBNM("CXMD:Actuality","Actuality","AC2018","Description EN")</f>
        <v>AC2018</v>
      </c>
      <c r="P22" s="37"/>
      <c r="Q22" s="38" t="s">
        <v>10</v>
      </c>
      <c r="R22" s="37" t="str">
        <f ca="1">_xll.SUBNM("CXMD:Actuality","","AC2019","Description EN")</f>
        <v>AC2019</v>
      </c>
      <c r="S22" s="37"/>
      <c r="T22" s="38" t="s">
        <v>10</v>
      </c>
    </row>
    <row r="23" spans="1:21" x14ac:dyDescent="0.25">
      <c r="F23" s="2"/>
      <c r="G23" s="29" t="s">
        <v>4</v>
      </c>
      <c r="H23" s="30" t="s">
        <v>5</v>
      </c>
      <c r="I23" s="29" t="s">
        <v>4</v>
      </c>
      <c r="J23" s="31" t="s">
        <v>5</v>
      </c>
      <c r="K23" s="39"/>
      <c r="L23" s="31" t="s">
        <v>4</v>
      </c>
      <c r="M23" s="31" t="s">
        <v>5</v>
      </c>
      <c r="N23" s="39"/>
      <c r="O23" s="31" t="s">
        <v>4</v>
      </c>
      <c r="P23" s="31" t="s">
        <v>5</v>
      </c>
      <c r="Q23" s="39"/>
      <c r="R23" s="31" t="s">
        <v>4</v>
      </c>
      <c r="S23" s="31" t="s">
        <v>5</v>
      </c>
      <c r="T23" s="39"/>
    </row>
    <row r="24" spans="1:21" x14ac:dyDescent="0.25">
      <c r="A24" t="str">
        <f ca="1">IF(_xll.TM1RPTELISCONSOLIDATED($F$24,$F24),IF(_xll.TM1RPTELLEV($F$24,$F24)&lt;=3,_xll.TM1RPTELLEV($F$24,$F24),"D"),"N")</f>
        <v>N</v>
      </c>
      <c r="F24" s="35" t="str">
        <f ca="1">_xll.TM1RPTROW($F$9,"CXMD:DIM_Configuration","Product_Line","","Description EN",0)</f>
        <v/>
      </c>
      <c r="G24" s="3" t="str">
        <f ca="1">_xll.DBRW($F$9,$G$18,G$22,$G$16,$G$19,$G$17,$F24,G$23)</f>
        <v/>
      </c>
      <c r="H24" s="4" t="str">
        <f ca="1">_xll.DBRW($F$9,$G$18,G$22,$G$16,$G$19,$G$17,$F24,H$23)</f>
        <v/>
      </c>
      <c r="I24" s="3" t="str">
        <f ca="1">_xll.DBRW($F$9,$G$18,I$22,$G$16,$G$19,$G$17,$F24,I$23)</f>
        <v/>
      </c>
      <c r="J24" s="13" t="str">
        <f ca="1">_xll.DBRW($F$9,$G$18,I$22,$G$16,$G$19,$G$17,$F24,J$23)</f>
        <v/>
      </c>
      <c r="K24" s="23" t="e">
        <f ca="1">IF(H24&lt;&gt;0,((J24-H24)/H24),0)</f>
        <v>#VALUE!</v>
      </c>
      <c r="L24" s="13" t="str">
        <f ca="1">_xll.DBRW($F$9,$G$18,L$22,$G$16,$G$19,$G$17,$F24,L$23)</f>
        <v/>
      </c>
      <c r="M24" s="13" t="str">
        <f ca="1">_xll.DBRW($F$9,$G$18,L$22,$G$16,$G$19,$G$17,$F24,M$23)</f>
        <v/>
      </c>
      <c r="N24" s="23" t="e">
        <f ca="1">IF(J24&lt;&gt;0,((M24-J24)/J24),0)</f>
        <v>#VALUE!</v>
      </c>
      <c r="O24" s="13" t="str">
        <f ca="1">_xll.DBRW($F$9,$G$18,O$22,$G$16,$G$19,$G$17,$F24,O$23)</f>
        <v/>
      </c>
      <c r="P24" s="13" t="str">
        <f ca="1">_xll.DBRW($F$9,$G$18,O$22,$G$16,$G$19,$G$17,$F24,P$23)</f>
        <v/>
      </c>
      <c r="Q24" s="23" t="e">
        <f ca="1">IF(M24&lt;&gt;0,((P24-M24)/M24),0)</f>
        <v>#VALUE!</v>
      </c>
      <c r="R24" s="13" t="str">
        <f ca="1">_xll.DBRW($F$9,$G$18,R$22,$G$16,$G$19,$G$17,$F24,R$23)</f>
        <v/>
      </c>
      <c r="S24" s="13" t="str">
        <f ca="1">_xll.DBRW($F$9,$G$18,R$22,$G$16,$G$19,$G$17,$F24,S$23)</f>
        <v/>
      </c>
      <c r="T24" s="23" t="e">
        <f ca="1">IF(P24&lt;&gt;0,((S24-P24)/P24),0)</f>
        <v>#VALUE!</v>
      </c>
    </row>
    <row r="25" spans="1:21" x14ac:dyDescent="0.25"/>
    <row r="26" spans="1:21" hidden="1" x14ac:dyDescent="0.25"/>
    <row r="27" spans="1:21" hidden="1" x14ac:dyDescent="0.25"/>
    <row r="28" spans="1:21" hidden="1" x14ac:dyDescent="0.25"/>
    <row r="29" spans="1:21" hidden="1" x14ac:dyDescent="0.25"/>
    <row r="30" spans="1:21" hidden="1" x14ac:dyDescent="0.25"/>
    <row r="31" spans="1:21" hidden="1" x14ac:dyDescent="0.25"/>
    <row r="32" spans="1:21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</sheetData>
  <mergeCells count="9">
    <mergeCell ref="R22:S22"/>
    <mergeCell ref="T22:T23"/>
    <mergeCell ref="G22:H22"/>
    <mergeCell ref="K22:K23"/>
    <mergeCell ref="Q22:Q23"/>
    <mergeCell ref="N22:N23"/>
    <mergeCell ref="O22:P22"/>
    <mergeCell ref="L22:M22"/>
    <mergeCell ref="I22:J22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49" r:id="rId3" name="TIButton1">
          <controlPr defaultSize="0" print="0" autoLine="0" autoPict="0" r:id="rId4">
            <anchor moveWithCells="1">
              <from>
                <xdr:col>9</xdr:col>
                <xdr:colOff>476250</xdr:colOff>
                <xdr:row>14</xdr:row>
                <xdr:rowOff>200025</xdr:rowOff>
              </from>
              <to>
                <xdr:col>9</xdr:col>
                <xdr:colOff>1104900</xdr:colOff>
                <xdr:row>16</xdr:row>
                <xdr:rowOff>19050</xdr:rowOff>
              </to>
            </anchor>
          </controlPr>
        </control>
      </mc:Choice>
      <mc:Fallback>
        <control shapeId="2049" r:id="rId3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Feuil3</vt:lpstr>
      <vt:lpstr>Feuil3!TM1RPTDATARNGARPT1</vt:lpstr>
      <vt:lpstr>Feuil3!TM1RPTFMTIDCOL</vt:lpstr>
      <vt:lpstr>Feuil3!TM1RPTFMTRNG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2017-02-13T07:38:23Z</dcterms:created>
  <dcterms:modified xsi:type="dcterms:W3CDTF">2022-01-26T10:10:34Z</dcterms:modified>
</cp:coreProperties>
</file>