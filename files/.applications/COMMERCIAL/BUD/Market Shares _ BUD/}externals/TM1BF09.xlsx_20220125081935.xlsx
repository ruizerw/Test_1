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15390" windowHeight="5535" tabRatio="497"/>
  </bookViews>
  <sheets>
    <sheet name="Report" sheetId="1" r:id="rId1"/>
    <sheet name="{AR}01" sheetId="2" state="hidden" r:id="rId2"/>
  </sheets>
  <definedNames>
    <definedName name="TM1REBUILDOPTION">1</definedName>
    <definedName name="TM1RPTDATARNGARPT1" localSheetId="0">Report!$28:$50</definedName>
    <definedName name="TM1RPTFMTIDCOL" localSheetId="0">Report!$A$1:$A$8</definedName>
    <definedName name="TM1RPTFMTRNG" localSheetId="0">Report!$B$1:$X$8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B9" i="1"/>
  <c r="C18" i="1"/>
  <c r="C19" i="1"/>
  <c r="V25" i="1"/>
  <c r="C21" i="1"/>
  <c r="X50" i="1"/>
  <c r="S25" i="1"/>
  <c r="U50" i="1"/>
  <c r="Z50" i="1"/>
  <c r="V50" i="1"/>
  <c r="S50" i="1"/>
  <c r="Y50" i="1"/>
  <c r="W50" i="1"/>
  <c r="T50" i="1"/>
  <c r="N25" i="1"/>
  <c r="P50" i="1"/>
  <c r="K25" i="1"/>
  <c r="M50" i="1"/>
  <c r="R50" i="1"/>
  <c r="N50" i="1"/>
  <c r="K50" i="1"/>
  <c r="Q50" i="1"/>
  <c r="O50" i="1"/>
  <c r="L50" i="1"/>
  <c r="F25" i="1"/>
  <c r="H50" i="1"/>
  <c r="C25" i="1"/>
  <c r="E50" i="1"/>
  <c r="J50" i="1"/>
  <c r="F50" i="1"/>
  <c r="C50" i="1"/>
  <c r="I50" i="1"/>
  <c r="G50" i="1"/>
  <c r="D50" i="1"/>
  <c r="X49" i="1"/>
  <c r="U49" i="1"/>
  <c r="Z49" i="1"/>
  <c r="V49" i="1"/>
  <c r="S49" i="1"/>
  <c r="Y49" i="1"/>
  <c r="W49" i="1"/>
  <c r="T49" i="1"/>
  <c r="P49" i="1"/>
  <c r="M49" i="1"/>
  <c r="R49" i="1"/>
  <c r="N49" i="1"/>
  <c r="K49" i="1"/>
  <c r="Q49" i="1"/>
  <c r="O49" i="1"/>
  <c r="L49" i="1"/>
  <c r="H49" i="1"/>
  <c r="E49" i="1"/>
  <c r="J49" i="1"/>
  <c r="F49" i="1"/>
  <c r="C49" i="1"/>
  <c r="I49" i="1"/>
  <c r="G49" i="1"/>
  <c r="D49" i="1"/>
  <c r="X48" i="1"/>
  <c r="U48" i="1"/>
  <c r="Z48" i="1"/>
  <c r="V48" i="1"/>
  <c r="S48" i="1"/>
  <c r="Y48" i="1"/>
  <c r="W48" i="1"/>
  <c r="T48" i="1"/>
  <c r="P48" i="1"/>
  <c r="M48" i="1"/>
  <c r="R48" i="1"/>
  <c r="N48" i="1"/>
  <c r="K48" i="1"/>
  <c r="Q48" i="1"/>
  <c r="O48" i="1"/>
  <c r="L48" i="1"/>
  <c r="H48" i="1"/>
  <c r="E48" i="1"/>
  <c r="J48" i="1"/>
  <c r="F48" i="1"/>
  <c r="C48" i="1"/>
  <c r="I48" i="1"/>
  <c r="G48" i="1"/>
  <c r="D48" i="1"/>
  <c r="X47" i="1"/>
  <c r="U47" i="1"/>
  <c r="Z47" i="1"/>
  <c r="V47" i="1"/>
  <c r="S47" i="1"/>
  <c r="Y47" i="1"/>
  <c r="W47" i="1"/>
  <c r="T47" i="1"/>
  <c r="P47" i="1"/>
  <c r="M47" i="1"/>
  <c r="R47" i="1"/>
  <c r="N47" i="1"/>
  <c r="K47" i="1"/>
  <c r="Q47" i="1"/>
  <c r="O47" i="1"/>
  <c r="L47" i="1"/>
  <c r="H47" i="1"/>
  <c r="E47" i="1"/>
  <c r="J47" i="1"/>
  <c r="F47" i="1"/>
  <c r="C47" i="1"/>
  <c r="I47" i="1"/>
  <c r="G47" i="1"/>
  <c r="D47" i="1"/>
  <c r="X46" i="1"/>
  <c r="U46" i="1"/>
  <c r="Z46" i="1"/>
  <c r="V46" i="1"/>
  <c r="S46" i="1"/>
  <c r="Y46" i="1"/>
  <c r="W46" i="1"/>
  <c r="T46" i="1"/>
  <c r="P46" i="1"/>
  <c r="M46" i="1"/>
  <c r="R46" i="1"/>
  <c r="N46" i="1"/>
  <c r="K46" i="1"/>
  <c r="Q46" i="1"/>
  <c r="O46" i="1"/>
  <c r="L46" i="1"/>
  <c r="H46" i="1"/>
  <c r="E46" i="1"/>
  <c r="J46" i="1"/>
  <c r="F46" i="1"/>
  <c r="C46" i="1"/>
  <c r="I46" i="1"/>
  <c r="G46" i="1"/>
  <c r="D46" i="1"/>
  <c r="X45" i="1"/>
  <c r="U45" i="1"/>
  <c r="Z45" i="1"/>
  <c r="V45" i="1"/>
  <c r="S45" i="1"/>
  <c r="Y45" i="1"/>
  <c r="W45" i="1"/>
  <c r="T45" i="1"/>
  <c r="P45" i="1"/>
  <c r="M45" i="1"/>
  <c r="R45" i="1"/>
  <c r="N45" i="1"/>
  <c r="K45" i="1"/>
  <c r="Q45" i="1"/>
  <c r="O45" i="1"/>
  <c r="L45" i="1"/>
  <c r="H45" i="1"/>
  <c r="E45" i="1"/>
  <c r="J45" i="1"/>
  <c r="F45" i="1"/>
  <c r="C45" i="1"/>
  <c r="I45" i="1"/>
  <c r="G45" i="1"/>
  <c r="D45" i="1"/>
  <c r="X44" i="1"/>
  <c r="U44" i="1"/>
  <c r="Z44" i="1"/>
  <c r="V44" i="1"/>
  <c r="S44" i="1"/>
  <c r="Y44" i="1"/>
  <c r="W44" i="1"/>
  <c r="T44" i="1"/>
  <c r="P44" i="1"/>
  <c r="M44" i="1"/>
  <c r="R44" i="1"/>
  <c r="N44" i="1"/>
  <c r="K44" i="1"/>
  <c r="Q44" i="1"/>
  <c r="O44" i="1"/>
  <c r="L44" i="1"/>
  <c r="H44" i="1"/>
  <c r="E44" i="1"/>
  <c r="J44" i="1"/>
  <c r="F44" i="1"/>
  <c r="C44" i="1"/>
  <c r="I44" i="1"/>
  <c r="G44" i="1"/>
  <c r="D44" i="1"/>
  <c r="X43" i="1"/>
  <c r="U43" i="1"/>
  <c r="Z43" i="1"/>
  <c r="V43" i="1"/>
  <c r="S43" i="1"/>
  <c r="Y43" i="1"/>
  <c r="W43" i="1"/>
  <c r="T43" i="1"/>
  <c r="P43" i="1"/>
  <c r="M43" i="1"/>
  <c r="R43" i="1"/>
  <c r="N43" i="1"/>
  <c r="K43" i="1"/>
  <c r="Q43" i="1"/>
  <c r="O43" i="1"/>
  <c r="L43" i="1"/>
  <c r="H43" i="1"/>
  <c r="E43" i="1"/>
  <c r="J43" i="1"/>
  <c r="F43" i="1"/>
  <c r="C43" i="1"/>
  <c r="I43" i="1"/>
  <c r="G43" i="1"/>
  <c r="D43" i="1"/>
  <c r="X42" i="1"/>
  <c r="U42" i="1"/>
  <c r="Z42" i="1"/>
  <c r="V42" i="1"/>
  <c r="S42" i="1"/>
  <c r="Y42" i="1"/>
  <c r="W42" i="1"/>
  <c r="T42" i="1"/>
  <c r="P42" i="1"/>
  <c r="M42" i="1"/>
  <c r="R42" i="1"/>
  <c r="N42" i="1"/>
  <c r="K42" i="1"/>
  <c r="Q42" i="1"/>
  <c r="O42" i="1"/>
  <c r="L42" i="1"/>
  <c r="H42" i="1"/>
  <c r="E42" i="1"/>
  <c r="J42" i="1"/>
  <c r="F42" i="1"/>
  <c r="C42" i="1"/>
  <c r="I42" i="1"/>
  <c r="G42" i="1"/>
  <c r="D42" i="1"/>
  <c r="X41" i="1"/>
  <c r="U41" i="1"/>
  <c r="Z41" i="1"/>
  <c r="V41" i="1"/>
  <c r="S41" i="1"/>
  <c r="Y41" i="1"/>
  <c r="W41" i="1"/>
  <c r="T41" i="1"/>
  <c r="P41" i="1"/>
  <c r="M41" i="1"/>
  <c r="R41" i="1"/>
  <c r="N41" i="1"/>
  <c r="K41" i="1"/>
  <c r="Q41" i="1"/>
  <c r="O41" i="1"/>
  <c r="L41" i="1"/>
  <c r="H41" i="1"/>
  <c r="E41" i="1"/>
  <c r="J41" i="1"/>
  <c r="F41" i="1"/>
  <c r="C41" i="1"/>
  <c r="I41" i="1"/>
  <c r="G41" i="1"/>
  <c r="D41" i="1"/>
  <c r="X40" i="1"/>
  <c r="U40" i="1"/>
  <c r="Z40" i="1"/>
  <c r="V40" i="1"/>
  <c r="S40" i="1"/>
  <c r="Y40" i="1"/>
  <c r="W40" i="1"/>
  <c r="T40" i="1"/>
  <c r="P40" i="1"/>
  <c r="M40" i="1"/>
  <c r="R40" i="1"/>
  <c r="N40" i="1"/>
  <c r="K40" i="1"/>
  <c r="Q40" i="1"/>
  <c r="O40" i="1"/>
  <c r="L40" i="1"/>
  <c r="H40" i="1"/>
  <c r="E40" i="1"/>
  <c r="J40" i="1"/>
  <c r="F40" i="1"/>
  <c r="C40" i="1"/>
  <c r="I40" i="1"/>
  <c r="G40" i="1"/>
  <c r="D40" i="1"/>
  <c r="X39" i="1"/>
  <c r="U39" i="1"/>
  <c r="Z39" i="1"/>
  <c r="V39" i="1"/>
  <c r="S39" i="1"/>
  <c r="Y39" i="1"/>
  <c r="W39" i="1"/>
  <c r="T39" i="1"/>
  <c r="P39" i="1"/>
  <c r="M39" i="1"/>
  <c r="R39" i="1"/>
  <c r="N39" i="1"/>
  <c r="K39" i="1"/>
  <c r="Q39" i="1"/>
  <c r="O39" i="1"/>
  <c r="L39" i="1"/>
  <c r="H39" i="1"/>
  <c r="E39" i="1"/>
  <c r="J39" i="1"/>
  <c r="F39" i="1"/>
  <c r="C39" i="1"/>
  <c r="I39" i="1"/>
  <c r="G39" i="1"/>
  <c r="D39" i="1"/>
  <c r="X38" i="1"/>
  <c r="U38" i="1"/>
  <c r="Z38" i="1"/>
  <c r="V38" i="1"/>
  <c r="S38" i="1"/>
  <c r="Y38" i="1"/>
  <c r="W38" i="1"/>
  <c r="T38" i="1"/>
  <c r="P38" i="1"/>
  <c r="M38" i="1"/>
  <c r="R38" i="1"/>
  <c r="N38" i="1"/>
  <c r="K38" i="1"/>
  <c r="Q38" i="1"/>
  <c r="O38" i="1"/>
  <c r="L38" i="1"/>
  <c r="H38" i="1"/>
  <c r="E38" i="1"/>
  <c r="J38" i="1"/>
  <c r="F38" i="1"/>
  <c r="C38" i="1"/>
  <c r="I38" i="1"/>
  <c r="G38" i="1"/>
  <c r="D38" i="1"/>
  <c r="X37" i="1"/>
  <c r="U37" i="1"/>
  <c r="Z37" i="1"/>
  <c r="V37" i="1"/>
  <c r="S37" i="1"/>
  <c r="Y37" i="1"/>
  <c r="W37" i="1"/>
  <c r="T37" i="1"/>
  <c r="P37" i="1"/>
  <c r="M37" i="1"/>
  <c r="R37" i="1"/>
  <c r="N37" i="1"/>
  <c r="K37" i="1"/>
  <c r="Q37" i="1"/>
  <c r="O37" i="1"/>
  <c r="L37" i="1"/>
  <c r="H37" i="1"/>
  <c r="E37" i="1"/>
  <c r="J37" i="1"/>
  <c r="F37" i="1"/>
  <c r="C37" i="1"/>
  <c r="I37" i="1"/>
  <c r="G37" i="1"/>
  <c r="D37" i="1"/>
  <c r="X36" i="1"/>
  <c r="U36" i="1"/>
  <c r="Z36" i="1"/>
  <c r="V36" i="1"/>
  <c r="S36" i="1"/>
  <c r="Y36" i="1"/>
  <c r="W36" i="1"/>
  <c r="T36" i="1"/>
  <c r="P36" i="1"/>
  <c r="M36" i="1"/>
  <c r="R36" i="1"/>
  <c r="N36" i="1"/>
  <c r="K36" i="1"/>
  <c r="Q36" i="1"/>
  <c r="O36" i="1"/>
  <c r="L36" i="1"/>
  <c r="H36" i="1"/>
  <c r="E36" i="1"/>
  <c r="J36" i="1"/>
  <c r="F36" i="1"/>
  <c r="C36" i="1"/>
  <c r="I36" i="1"/>
  <c r="G36" i="1"/>
  <c r="D36" i="1"/>
  <c r="X35" i="1"/>
  <c r="U35" i="1"/>
  <c r="Z35" i="1"/>
  <c r="V35" i="1"/>
  <c r="S35" i="1"/>
  <c r="Y35" i="1"/>
  <c r="W35" i="1"/>
  <c r="T35" i="1"/>
  <c r="P35" i="1"/>
  <c r="M35" i="1"/>
  <c r="R35" i="1"/>
  <c r="N35" i="1"/>
  <c r="K35" i="1"/>
  <c r="Q35" i="1"/>
  <c r="O35" i="1"/>
  <c r="L35" i="1"/>
  <c r="H35" i="1"/>
  <c r="E35" i="1"/>
  <c r="J35" i="1"/>
  <c r="F35" i="1"/>
  <c r="C35" i="1"/>
  <c r="I35" i="1"/>
  <c r="G35" i="1"/>
  <c r="D35" i="1"/>
  <c r="X34" i="1"/>
  <c r="U34" i="1"/>
  <c r="Z34" i="1"/>
  <c r="V34" i="1"/>
  <c r="S34" i="1"/>
  <c r="Y34" i="1"/>
  <c r="W34" i="1"/>
  <c r="T34" i="1"/>
  <c r="P34" i="1"/>
  <c r="M34" i="1"/>
  <c r="R34" i="1"/>
  <c r="N34" i="1"/>
  <c r="K34" i="1"/>
  <c r="Q34" i="1"/>
  <c r="O34" i="1"/>
  <c r="L34" i="1"/>
  <c r="H34" i="1"/>
  <c r="E34" i="1"/>
  <c r="J34" i="1"/>
  <c r="F34" i="1"/>
  <c r="C34" i="1"/>
  <c r="I34" i="1"/>
  <c r="G34" i="1"/>
  <c r="D34" i="1"/>
  <c r="X33" i="1"/>
  <c r="U33" i="1"/>
  <c r="Z33" i="1"/>
  <c r="V33" i="1"/>
  <c r="S33" i="1"/>
  <c r="Y33" i="1"/>
  <c r="W33" i="1"/>
  <c r="T33" i="1"/>
  <c r="P33" i="1"/>
  <c r="M33" i="1"/>
  <c r="R33" i="1"/>
  <c r="N33" i="1"/>
  <c r="K33" i="1"/>
  <c r="Q33" i="1"/>
  <c r="O33" i="1"/>
  <c r="L33" i="1"/>
  <c r="H33" i="1"/>
  <c r="E33" i="1"/>
  <c r="J33" i="1"/>
  <c r="F33" i="1"/>
  <c r="C33" i="1"/>
  <c r="I33" i="1"/>
  <c r="G33" i="1"/>
  <c r="D33" i="1"/>
  <c r="X32" i="1"/>
  <c r="U32" i="1"/>
  <c r="Z32" i="1"/>
  <c r="V32" i="1"/>
  <c r="S32" i="1"/>
  <c r="Y32" i="1"/>
  <c r="W32" i="1"/>
  <c r="T32" i="1"/>
  <c r="P32" i="1"/>
  <c r="M32" i="1"/>
  <c r="R32" i="1"/>
  <c r="N32" i="1"/>
  <c r="K32" i="1"/>
  <c r="Q32" i="1"/>
  <c r="O32" i="1"/>
  <c r="L32" i="1"/>
  <c r="H32" i="1"/>
  <c r="E32" i="1"/>
  <c r="J32" i="1"/>
  <c r="F32" i="1"/>
  <c r="C32" i="1"/>
  <c r="I32" i="1"/>
  <c r="G32" i="1"/>
  <c r="D32" i="1"/>
  <c r="X31" i="1"/>
  <c r="U31" i="1"/>
  <c r="Z31" i="1"/>
  <c r="V31" i="1"/>
  <c r="S31" i="1"/>
  <c r="Y31" i="1"/>
  <c r="W31" i="1"/>
  <c r="T31" i="1"/>
  <c r="P31" i="1"/>
  <c r="M31" i="1"/>
  <c r="R31" i="1"/>
  <c r="N31" i="1"/>
  <c r="K31" i="1"/>
  <c r="Q31" i="1"/>
  <c r="O31" i="1"/>
  <c r="L31" i="1"/>
  <c r="H31" i="1"/>
  <c r="E31" i="1"/>
  <c r="J31" i="1"/>
  <c r="F31" i="1"/>
  <c r="C31" i="1"/>
  <c r="I31" i="1"/>
  <c r="G31" i="1"/>
  <c r="D31" i="1"/>
  <c r="X30" i="1"/>
  <c r="U30" i="1"/>
  <c r="Z30" i="1"/>
  <c r="V30" i="1"/>
  <c r="S30" i="1"/>
  <c r="Y30" i="1"/>
  <c r="W30" i="1"/>
  <c r="T30" i="1"/>
  <c r="P30" i="1"/>
  <c r="M30" i="1"/>
  <c r="R30" i="1"/>
  <c r="N30" i="1"/>
  <c r="K30" i="1"/>
  <c r="Q30" i="1"/>
  <c r="O30" i="1"/>
  <c r="L30" i="1"/>
  <c r="H30" i="1"/>
  <c r="E30" i="1"/>
  <c r="J30" i="1"/>
  <c r="F30" i="1"/>
  <c r="C30" i="1"/>
  <c r="I30" i="1"/>
  <c r="G30" i="1"/>
  <c r="D30" i="1"/>
  <c r="X29" i="1"/>
  <c r="U29" i="1"/>
  <c r="Z29" i="1"/>
  <c r="V29" i="1"/>
  <c r="S29" i="1"/>
  <c r="Y29" i="1"/>
  <c r="W29" i="1"/>
  <c r="T29" i="1"/>
  <c r="P29" i="1"/>
  <c r="M29" i="1"/>
  <c r="R29" i="1"/>
  <c r="N29" i="1"/>
  <c r="K29" i="1"/>
  <c r="Q29" i="1"/>
  <c r="O29" i="1"/>
  <c r="L29" i="1"/>
  <c r="H29" i="1"/>
  <c r="E29" i="1"/>
  <c r="J29" i="1"/>
  <c r="F29" i="1"/>
  <c r="C29" i="1"/>
  <c r="I29" i="1"/>
  <c r="G29" i="1"/>
  <c r="D29" i="1"/>
  <c r="B28" i="1"/>
  <c r="V28" i="1"/>
  <c r="S28" i="1"/>
  <c r="Y28" i="1"/>
  <c r="N28" i="1"/>
  <c r="K28" i="1"/>
  <c r="Q28" i="1"/>
  <c r="F28" i="1"/>
  <c r="C28" i="1"/>
  <c r="I28" i="1"/>
  <c r="X28" i="1"/>
  <c r="W28" i="1"/>
  <c r="U28" i="1"/>
  <c r="T28" i="1"/>
  <c r="O28" i="1"/>
  <c r="P28" i="1"/>
  <c r="L28" i="1"/>
  <c r="M28" i="1"/>
  <c r="H28" i="1"/>
  <c r="G28" i="1"/>
  <c r="E28" i="1"/>
  <c r="D28" i="1"/>
  <c r="Z28" i="1"/>
  <c r="R28" i="1"/>
  <c r="J28" i="1"/>
  <c r="A28" i="1"/>
  <c r="A5" i="1"/>
  <c r="A4" i="1"/>
  <c r="A3" i="1"/>
  <c r="A2" i="1"/>
</calcChain>
</file>

<file path=xl/sharedStrings.xml><?xml version="1.0" encoding="utf-8"?>
<sst xmlns="http://schemas.openxmlformats.org/spreadsheetml/2006/main" count="92" uniqueCount="65">
  <si>
    <t>Currency</t>
  </si>
  <si>
    <t>Prev_IC_mapping</t>
  </si>
  <si>
    <t>Origin_Company</t>
  </si>
  <si>
    <t>Country</t>
  </si>
  <si>
    <t>KUHN Sales</t>
  </si>
  <si>
    <t>KUHN_Scope</t>
  </si>
  <si>
    <t>QTY</t>
  </si>
  <si>
    <t>Unit.Price</t>
  </si>
  <si>
    <t>SALES</t>
  </si>
  <si>
    <t>TOTAL PRODUCT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</si>
  <si>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</si>
  <si>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</si>
  <si>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</si>
  <si>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</si>
  <si>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</si>
  <si>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</si>
  <si>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</si>
  <si>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</si>
  <si>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</si>
  <si>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</si>
  <si>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</si>
  <si>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</si>
  <si>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</si>
  <si>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</si>
  <si>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</si>
  <si>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</si>
  <si>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</si>
  <si>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</si>
  <si>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</si>
  <si>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</si>
  <si>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</si>
  <si>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</si>
  <si>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</si>
  <si>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</si>
  <si>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</si>
  <si>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</si>
  <si>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</si>
  <si>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</si>
  <si>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</si>
  <si>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</si>
  <si>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</si>
  <si>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Market Share %</t>
  </si>
  <si>
    <t>MARKET SHARES - 3 PERIODS (BUD meet.2018)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</si>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</sst>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- &quot;@"/>
    <numFmt numFmtId="165" formatCode="&quot;+ &quot;@"/>
    <numFmt numFmtId="166" formatCode="0.0&quot; &quot;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Adobe Heiti Std R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4" fontId="4" fillId="0" borderId="0" xfId="0" applyNumberFormat="1" applyFont="1"/>
    <xf numFmtId="9" fontId="4" fillId="2" borderId="0" xfId="1" applyFont="1" applyFill="1"/>
    <xf numFmtId="0" fontId="0" fillId="2" borderId="1" xfId="0" applyFill="1" applyBorder="1"/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2" xfId="0" applyFill="1" applyBorder="1"/>
    <xf numFmtId="0" fontId="3" fillId="7" borderId="15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164" fontId="0" fillId="2" borderId="1" xfId="0" applyNumberFormat="1" applyFill="1" applyBorder="1" applyAlignment="1"/>
    <xf numFmtId="165" fontId="0" fillId="3" borderId="6" xfId="0" applyNumberFormat="1" applyFill="1" applyBorder="1" applyAlignment="1">
      <alignment horizontal="left" indent="1"/>
    </xf>
    <xf numFmtId="3" fontId="5" fillId="2" borderId="4" xfId="0" applyNumberFormat="1" applyFont="1" applyFill="1" applyBorder="1"/>
    <xf numFmtId="3" fontId="5" fillId="2" borderId="7" xfId="0" applyNumberFormat="1" applyFont="1" applyFill="1" applyBorder="1"/>
    <xf numFmtId="3" fontId="5" fillId="2" borderId="5" xfId="0" applyNumberFormat="1" applyFont="1" applyFill="1" applyBorder="1"/>
    <xf numFmtId="3" fontId="5" fillId="3" borderId="8" xfId="0" applyNumberFormat="1" applyFont="1" applyFill="1" applyBorder="1"/>
    <xf numFmtId="3" fontId="5" fillId="3" borderId="0" xfId="0" applyNumberFormat="1" applyFont="1" applyFill="1" applyBorder="1"/>
    <xf numFmtId="3" fontId="5" fillId="3" borderId="9" xfId="0" applyNumberFormat="1" applyFont="1" applyFill="1" applyBorder="1"/>
    <xf numFmtId="3" fontId="5" fillId="4" borderId="8" xfId="0" applyNumberFormat="1" applyFont="1" applyFill="1" applyBorder="1"/>
    <xf numFmtId="3" fontId="5" fillId="4" borderId="0" xfId="0" applyNumberFormat="1" applyFont="1" applyFill="1" applyBorder="1"/>
    <xf numFmtId="3" fontId="5" fillId="4" borderId="9" xfId="0" applyNumberFormat="1" applyFont="1" applyFill="1" applyBorder="1"/>
    <xf numFmtId="3" fontId="5" fillId="5" borderId="8" xfId="0" applyNumberFormat="1" applyFont="1" applyFill="1" applyBorder="1"/>
    <xf numFmtId="3" fontId="5" fillId="5" borderId="0" xfId="0" applyNumberFormat="1" applyFont="1" applyFill="1" applyBorder="1"/>
    <xf numFmtId="3" fontId="5" fillId="5" borderId="9" xfId="0" applyNumberFormat="1" applyFont="1" applyFill="1" applyBorder="1"/>
    <xf numFmtId="3" fontId="5" fillId="6" borderId="10" xfId="0" applyNumberFormat="1" applyFont="1" applyFill="1" applyBorder="1"/>
    <xf numFmtId="3" fontId="5" fillId="6" borderId="11" xfId="0" applyNumberFormat="1" applyFont="1" applyFill="1" applyBorder="1"/>
    <xf numFmtId="3" fontId="5" fillId="6" borderId="12" xfId="0" applyNumberFormat="1" applyFont="1" applyFill="1" applyBorder="1"/>
    <xf numFmtId="0" fontId="0" fillId="8" borderId="0" xfId="0" applyFill="1" applyBorder="1"/>
    <xf numFmtId="0" fontId="0" fillId="9" borderId="0" xfId="0" applyFill="1"/>
    <xf numFmtId="0" fontId="2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vertical="center"/>
    </xf>
    <xf numFmtId="9" fontId="6" fillId="2" borderId="23" xfId="1" applyFont="1" applyFill="1" applyBorder="1"/>
    <xf numFmtId="0" fontId="3" fillId="7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center"/>
    </xf>
    <xf numFmtId="166" fontId="6" fillId="2" borderId="18" xfId="0" applyNumberFormat="1" applyFont="1" applyFill="1" applyBorder="1"/>
    <xf numFmtId="166" fontId="6" fillId="3" borderId="19" xfId="0" applyNumberFormat="1" applyFont="1" applyFill="1" applyBorder="1"/>
    <xf numFmtId="166" fontId="6" fillId="4" borderId="19" xfId="0" applyNumberFormat="1" applyFont="1" applyFill="1" applyBorder="1"/>
    <xf numFmtId="166" fontId="6" fillId="5" borderId="19" xfId="0" applyNumberFormat="1" applyFont="1" applyFill="1" applyBorder="1"/>
    <xf numFmtId="166" fontId="6" fillId="6" borderId="20" xfId="0" applyNumberFormat="1" applyFont="1" applyFill="1" applyBorder="1"/>
    <xf numFmtId="0" fontId="3" fillId="7" borderId="34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wrapText="1"/>
    </xf>
    <xf numFmtId="0" fontId="3" fillId="7" borderId="26" xfId="0" applyFont="1" applyFill="1" applyBorder="1" applyAlignment="1">
      <alignment horizontal="center" wrapText="1"/>
    </xf>
    <xf numFmtId="0" fontId="3" fillId="7" borderId="27" xfId="0" applyFont="1" applyFill="1" applyBorder="1" applyAlignment="1">
      <alignment horizontal="center" wrapText="1"/>
    </xf>
    <xf numFmtId="0" fontId="3" fillId="7" borderId="28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14" xfId="0" applyFont="1" applyFill="1" applyBorder="1" applyAlignment="1">
      <alignment horizontal="center" wrapText="1"/>
    </xf>
    <xf numFmtId="0" fontId="3" fillId="7" borderId="29" xfId="0" applyFont="1" applyFill="1" applyBorder="1" applyAlignment="1">
      <alignment horizontal="center" wrapText="1"/>
    </xf>
    <xf numFmtId="0" fontId="3" fillId="7" borderId="30" xfId="0" applyFont="1" applyFill="1" applyBorder="1" applyAlignment="1">
      <alignment horizontal="center" wrapText="1"/>
    </xf>
    <xf numFmtId="0" fontId="3" fillId="7" borderId="3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440"/>
  <ax:ocxPr ax:name="_ExtentY" ax:value="161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176875</xdr:rowOff>
    </xdr:from>
    <xdr:to>
      <xdr:col>12</xdr:col>
      <xdr:colOff>800100</xdr:colOff>
      <xdr:row>16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7748"/>
          <a:ext cx="16279091" cy="126076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5</xdr:col>
          <xdr:colOff>733425</xdr:colOff>
          <xdr:row>21</xdr:row>
          <xdr:rowOff>66675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O99"/>
  <sheetViews>
    <sheetView showGridLines="0" tabSelected="1" topLeftCell="B1" zoomScaleNormal="100" workbookViewId="0">
      <pane xSplit="1" ySplit="27" topLeftCell="C28" activePane="bottomRight" state="frozen"/>
      <selection activeCell="B10" sqref="B10"/>
      <selection pane="topRight" activeCell="C10" sqref="C10"/>
      <selection pane="bottomLeft" activeCell="B28" sqref="B28"/>
      <selection pane="bottomRight" activeCell="C21" sqref="C21"/>
    </sheetView>
  </sheetViews>
  <sheetFormatPr defaultColWidth="0" defaultRowHeight="15" zeroHeight="1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5.7109375" customWidth="1"/>
    <col min="6" max="6" width="12.7109375" customWidth="1"/>
    <col min="7" max="7" width="14.7109375" customWidth="1"/>
    <col min="8" max="8" width="25.7109375" customWidth="1"/>
    <col min="9" max="11" width="12.7109375" customWidth="1"/>
    <col min="12" max="12" width="14.7109375" customWidth="1"/>
    <col min="13" max="13" width="25.7109375" customWidth="1"/>
    <col min="14" max="14" width="12.7109375" customWidth="1"/>
    <col min="15" max="15" width="14.7109375" customWidth="1"/>
    <col min="16" max="16" width="25.7109375" customWidth="1"/>
    <col min="17" max="19" width="12.7109375" customWidth="1"/>
    <col min="20" max="20" width="14.7109375" customWidth="1"/>
    <col min="21" max="21" width="25.7109375" customWidth="1"/>
    <col min="22" max="22" width="12.7109375" customWidth="1"/>
    <col min="23" max="23" width="14.7109375" customWidth="1"/>
    <col min="24" max="24" width="25.7109375" customWidth="1"/>
    <col min="25" max="26" width="12.7109375" customWidth="1"/>
    <col min="27" max="1003" width="0" hidden="1" customWidth="1"/>
    <col min="1004" max="16384" width="11.5703125" hidden="1"/>
  </cols>
  <sheetData>
    <row r="1" spans="1:26" hidden="1">
      <c r="A1" t="s">
        <v>39</v>
      </c>
    </row>
    <row r="2" spans="1:26" hidden="1">
      <c r="A2">
        <f>0</f>
        <v>0</v>
      </c>
      <c r="B2" s="3"/>
      <c r="C2" s="16"/>
      <c r="D2" s="17"/>
      <c r="E2" s="18"/>
      <c r="F2" s="16"/>
      <c r="G2" s="17"/>
      <c r="H2" s="17"/>
      <c r="I2" s="39"/>
      <c r="J2" s="39"/>
      <c r="K2" s="17"/>
      <c r="L2" s="17"/>
      <c r="M2" s="18"/>
      <c r="N2" s="16"/>
      <c r="O2" s="17"/>
      <c r="P2" s="17"/>
      <c r="Q2" s="39"/>
      <c r="R2" s="39"/>
      <c r="S2" s="17"/>
      <c r="T2" s="17"/>
      <c r="U2" s="18"/>
      <c r="V2" s="16"/>
      <c r="W2" s="17"/>
      <c r="X2" s="17"/>
      <c r="Y2" s="39"/>
      <c r="Z2" s="39"/>
    </row>
    <row r="3" spans="1:26" hidden="1">
      <c r="A3">
        <f>1</f>
        <v>1</v>
      </c>
      <c r="B3" s="4"/>
      <c r="C3" s="19"/>
      <c r="D3" s="20"/>
      <c r="E3" s="21"/>
      <c r="F3" s="19"/>
      <c r="G3" s="20"/>
      <c r="H3" s="20"/>
      <c r="I3" s="40"/>
      <c r="J3" s="40"/>
      <c r="K3" s="20"/>
      <c r="L3" s="20"/>
      <c r="M3" s="21"/>
      <c r="N3" s="19"/>
      <c r="O3" s="20"/>
      <c r="P3" s="20"/>
      <c r="Q3" s="40"/>
      <c r="R3" s="40"/>
      <c r="S3" s="20"/>
      <c r="T3" s="20"/>
      <c r="U3" s="21"/>
      <c r="V3" s="19"/>
      <c r="W3" s="20"/>
      <c r="X3" s="20"/>
      <c r="Y3" s="40"/>
      <c r="Z3" s="40"/>
    </row>
    <row r="4" spans="1:26" hidden="1">
      <c r="A4">
        <f>2</f>
        <v>2</v>
      </c>
      <c r="B4" s="5"/>
      <c r="C4" s="22"/>
      <c r="D4" s="23"/>
      <c r="E4" s="24"/>
      <c r="F4" s="22"/>
      <c r="G4" s="23"/>
      <c r="H4" s="23"/>
      <c r="I4" s="41"/>
      <c r="J4" s="41"/>
      <c r="K4" s="23"/>
      <c r="L4" s="23"/>
      <c r="M4" s="24"/>
      <c r="N4" s="22"/>
      <c r="O4" s="23"/>
      <c r="P4" s="23"/>
      <c r="Q4" s="41"/>
      <c r="R4" s="41"/>
      <c r="S4" s="23"/>
      <c r="T4" s="23"/>
      <c r="U4" s="24"/>
      <c r="V4" s="22"/>
      <c r="W4" s="23"/>
      <c r="X4" s="23"/>
      <c r="Y4" s="41"/>
      <c r="Z4" s="41"/>
    </row>
    <row r="5" spans="1:26" hidden="1">
      <c r="A5">
        <f>3</f>
        <v>3</v>
      </c>
      <c r="B5" s="6"/>
      <c r="C5" s="25"/>
      <c r="D5" s="26"/>
      <c r="E5" s="27"/>
      <c r="F5" s="25"/>
      <c r="G5" s="26"/>
      <c r="H5" s="26"/>
      <c r="I5" s="42"/>
      <c r="J5" s="42"/>
      <c r="K5" s="26"/>
      <c r="L5" s="26"/>
      <c r="M5" s="27"/>
      <c r="N5" s="25"/>
      <c r="O5" s="26"/>
      <c r="P5" s="26"/>
      <c r="Q5" s="42"/>
      <c r="R5" s="42"/>
      <c r="S5" s="26"/>
      <c r="T5" s="26"/>
      <c r="U5" s="27"/>
      <c r="V5" s="25"/>
      <c r="W5" s="26"/>
      <c r="X5" s="26"/>
      <c r="Y5" s="42"/>
      <c r="Z5" s="42"/>
    </row>
    <row r="6" spans="1:26" hidden="1">
      <c r="A6" t="s">
        <v>37</v>
      </c>
      <c r="B6" s="7"/>
      <c r="C6" s="28"/>
      <c r="D6" s="29"/>
      <c r="E6" s="30"/>
      <c r="F6" s="28"/>
      <c r="G6" s="29"/>
      <c r="H6" s="29"/>
      <c r="I6" s="43"/>
      <c r="J6" s="43"/>
      <c r="K6" s="29"/>
      <c r="L6" s="29"/>
      <c r="M6" s="30"/>
      <c r="N6" s="28"/>
      <c r="O6" s="29"/>
      <c r="P6" s="29"/>
      <c r="Q6" s="43"/>
      <c r="R6" s="43"/>
      <c r="S6" s="29"/>
      <c r="T6" s="29"/>
      <c r="U6" s="30"/>
      <c r="V6" s="28"/>
      <c r="W6" s="29"/>
      <c r="X6" s="29"/>
      <c r="Y6" s="43"/>
      <c r="Z6" s="43"/>
    </row>
    <row r="7" spans="1:26" hidden="1">
      <c r="A7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t="s">
        <v>40</v>
      </c>
    </row>
    <row r="9" spans="1:26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26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idden="1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idden="1">
      <c r="B18" s="33" t="s">
        <v>0</v>
      </c>
      <c r="C18" s="32" t="str">
        <f ca="1">_xll.SUBNM("CXMD:Currency","Par défaut","CD_LC","Description EN")</f>
        <v>Local currency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idden="1">
      <c r="B19" s="33" t="s">
        <v>1</v>
      </c>
      <c r="C19" s="32" t="str">
        <f ca="1">_xll.SUBNM("CXMD:Prev_IC_mapping","","Others")</f>
        <v>Others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9.899999999999999" customHeight="1">
      <c r="B20" s="35" t="s">
        <v>42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B21" s="33" t="s">
        <v>2</v>
      </c>
      <c r="C21" s="34" t="str">
        <f ca="1">_xll.SUBNM("CXMD:DIM_Origin_Company","","KUHN GERMANY","Name EN")</f>
        <v>KUHN GERMANY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B22" s="33" t="s">
        <v>3</v>
      </c>
      <c r="C22" s="34" t="str">
        <f ca="1">_xll.SUBNM("CXMD:DIM_Country","Total Country SOM","C-101","Country Name")</f>
        <v>ALLEMAGNE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idden="1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7.15" customHeight="1" thickBot="1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45" customHeight="1">
      <c r="B25" s="32"/>
      <c r="C25" s="48" t="str">
        <f ca="1">_xll.SUBNM("CXMD:Actuality","Actuality_Market_Share","AC2017","Description EN")</f>
        <v>AC2017</v>
      </c>
      <c r="D25" s="49"/>
      <c r="E25" s="50"/>
      <c r="F25" s="48" t="str">
        <f ca="1">_xll.SUBNM("CXMD:Actuality","Actuality_Market_Share","AC2017","Description EN")</f>
        <v>AC2017</v>
      </c>
      <c r="G25" s="49"/>
      <c r="H25" s="51"/>
      <c r="I25" s="44" t="s">
        <v>41</v>
      </c>
      <c r="J25" s="45"/>
      <c r="K25" s="56" t="str">
        <f ca="1">_xll.SUBNM("CXMD:Actuality","Actuality_Market_Share","FC3_2018","Description EN")</f>
        <v>FC3_2018</v>
      </c>
      <c r="L25" s="49"/>
      <c r="M25" s="50"/>
      <c r="N25" s="48" t="str">
        <f ca="1">_xll.SUBNM("CXMD:Actuality","Actuality_Market_Share","FC3_2018","Description EN")</f>
        <v>FC3_2018</v>
      </c>
      <c r="O25" s="49"/>
      <c r="P25" s="51"/>
      <c r="Q25" s="44" t="s">
        <v>41</v>
      </c>
      <c r="R25" s="45"/>
      <c r="S25" s="56" t="str">
        <f ca="1">_xll.SUBNM("CXMD:Actuality","Actuality_Market_Share","BU2019draft","Description EN")</f>
        <v>BU2019draft</v>
      </c>
      <c r="T25" s="49"/>
      <c r="U25" s="50"/>
      <c r="V25" s="48" t="str">
        <f ca="1">_xll.SUBNM("CXMD:Actuality","Actuality_Market_Share","BU2019draft","Description EN")</f>
        <v>BU2019draft</v>
      </c>
      <c r="W25" s="49"/>
      <c r="X25" s="51"/>
      <c r="Y25" s="44" t="s">
        <v>41</v>
      </c>
      <c r="Z25" s="45"/>
    </row>
    <row r="26" spans="1:26">
      <c r="B26" s="32"/>
      <c r="C26" s="52" t="s">
        <v>4</v>
      </c>
      <c r="D26" s="53"/>
      <c r="E26" s="54"/>
      <c r="F26" s="52" t="s">
        <v>5</v>
      </c>
      <c r="G26" s="53"/>
      <c r="H26" s="55"/>
      <c r="I26" s="46"/>
      <c r="J26" s="47"/>
      <c r="K26" s="57" t="s">
        <v>4</v>
      </c>
      <c r="L26" s="53"/>
      <c r="M26" s="54"/>
      <c r="N26" s="52" t="s">
        <v>5</v>
      </c>
      <c r="O26" s="53"/>
      <c r="P26" s="55"/>
      <c r="Q26" s="46"/>
      <c r="R26" s="47"/>
      <c r="S26" s="57" t="s">
        <v>4</v>
      </c>
      <c r="T26" s="53"/>
      <c r="U26" s="54"/>
      <c r="V26" s="52" t="s">
        <v>5</v>
      </c>
      <c r="W26" s="53"/>
      <c r="X26" s="55"/>
      <c r="Y26" s="46"/>
      <c r="Z26" s="47"/>
    </row>
    <row r="27" spans="1:26" ht="15.75" thickBot="1">
      <c r="B27" s="32"/>
      <c r="C27" s="8" t="s">
        <v>6</v>
      </c>
      <c r="D27" s="9" t="s">
        <v>7</v>
      </c>
      <c r="E27" s="10" t="s">
        <v>8</v>
      </c>
      <c r="F27" s="8" t="s">
        <v>6</v>
      </c>
      <c r="G27" s="9" t="s">
        <v>7</v>
      </c>
      <c r="H27" s="11" t="s">
        <v>8</v>
      </c>
      <c r="I27" s="13" t="s">
        <v>6</v>
      </c>
      <c r="J27" s="13" t="s">
        <v>8</v>
      </c>
      <c r="K27" s="12" t="s">
        <v>6</v>
      </c>
      <c r="L27" s="9" t="s">
        <v>7</v>
      </c>
      <c r="M27" s="10" t="s">
        <v>8</v>
      </c>
      <c r="N27" s="8" t="s">
        <v>6</v>
      </c>
      <c r="O27" s="9" t="s">
        <v>7</v>
      </c>
      <c r="P27" s="11" t="s">
        <v>8</v>
      </c>
      <c r="Q27" s="37" t="s">
        <v>6</v>
      </c>
      <c r="R27" s="13" t="s">
        <v>8</v>
      </c>
      <c r="S27" s="12" t="s">
        <v>6</v>
      </c>
      <c r="T27" s="9" t="s">
        <v>7</v>
      </c>
      <c r="U27" s="10" t="s">
        <v>8</v>
      </c>
      <c r="V27" s="8" t="s">
        <v>6</v>
      </c>
      <c r="W27" s="9" t="s">
        <v>7</v>
      </c>
      <c r="X27" s="11" t="s">
        <v>8</v>
      </c>
      <c r="Y27" s="38" t="s">
        <v>6</v>
      </c>
      <c r="Z27" s="13" t="s">
        <v>8</v>
      </c>
    </row>
    <row r="28" spans="1:26" ht="15.75" thickBot="1">
      <c r="A28">
        <f ca="1">IF(_xll.TM1RPTELISCONSOLIDATED($B$28,$B28),IF(_xll.TM1RPTELLEV($B$28,$B28)&lt;=3,_xll.TM1RPTELLEV($B$28,$B28),"D"),"N")</f>
        <v>0</v>
      </c>
      <c r="B28" s="14" t="str">
        <f ca="1">_xll.TM1RPTROW($B$9,"CXMD:DIM_Configuration","Product_Line","","Description EN",0)</f>
        <v>TOTAL PRODUCT</v>
      </c>
      <c r="C28" s="16">
        <f ca="1">_xll.DBRW($B$9,$C$18,$C$19,C$26,C$25,$C$21,$C$22,$B28,C$27)</f>
        <v>0</v>
      </c>
      <c r="D28" s="17">
        <f ca="1">_xll.DBRW($B$9,$C$18,$C$19,C$26,C$25,$C$21,$C$22,$B28,D$27)</f>
        <v>0</v>
      </c>
      <c r="E28" s="18">
        <f ca="1">_xll.DBRW($B$9,$C$18,$C$19,C$26,C$25,$C$21,$C$22,$B28,E$27)</f>
        <v>0</v>
      </c>
      <c r="F28" s="16">
        <f ca="1">_xll.DBRW($B$9,$C$18,$C$19,F$26,F$25,$C$21,$C$22,$B28,F$27)</f>
        <v>0</v>
      </c>
      <c r="G28" s="17">
        <f ca="1">_xll.DBRW($B$9,$C$18,$C$19,F$26,F$25,$C$21,$C$22,$B28,G$27)</f>
        <v>0</v>
      </c>
      <c r="H28" s="17">
        <f ca="1">_xll.DBRW($B$9,$C$18,$C$19,F$26,F$25,$C$21,$C$22,$B28,H$27)</f>
        <v>0</v>
      </c>
      <c r="I28" s="39">
        <f ca="1">IF(F28&lt;&gt;0,C28/F28,0)</f>
        <v>0</v>
      </c>
      <c r="J28" s="39">
        <f ca="1">IF(H28&lt;&gt;0,E28/H28,0)</f>
        <v>0</v>
      </c>
      <c r="K28" s="17">
        <f ca="1">_xll.DBRW($B$9,$C$18,$C$19,K$26,K$25,$C$21,$C$22,$B28,K$27)</f>
        <v>0</v>
      </c>
      <c r="L28" s="17">
        <f ca="1">_xll.DBRW($B$9,$C$18,$C$19,K$26,K$25,$C$21,$C$22,$B28,L$27)</f>
        <v>0</v>
      </c>
      <c r="M28" s="18">
        <f ca="1">_xll.DBRW($B$9,$C$18,$C$19,K$26,K$25,$C$21,$C$22,$B28,M$27)</f>
        <v>0</v>
      </c>
      <c r="N28" s="16">
        <f ca="1">_xll.DBRW($B$9,$C$18,$C$19,N$26,N$25,$C$21,$C$22,$B28,N$27)</f>
        <v>0</v>
      </c>
      <c r="O28" s="17">
        <f ca="1">_xll.DBRW($B$9,$C$18,$C$19,N$26,N$25,$C$21,$C$22,$B28,O$27)</f>
        <v>0</v>
      </c>
      <c r="P28" s="17">
        <f ca="1">_xll.DBRW($B$9,$C$18,$C$19,N$26,N$25,$C$21,$C$22,$B28,P$27)</f>
        <v>0</v>
      </c>
      <c r="Q28" s="39">
        <f ca="1">IF(N28&lt;&gt;0,K28/N28,0)</f>
        <v>0</v>
      </c>
      <c r="R28" s="39">
        <f ca="1">IF(P28&lt;&gt;0,M28/P28,0)</f>
        <v>0</v>
      </c>
      <c r="S28" s="17">
        <f ca="1">_xll.DBRW($B$9,$C$18,$C$19,S$26,S$25,$C$21,$C$22,$B28,S$27)</f>
        <v>0</v>
      </c>
      <c r="T28" s="17">
        <f ca="1">_xll.DBRW($B$9,$C$18,$C$19,S$26,S$25,$C$21,$C$22,$B28,T$27)</f>
        <v>0</v>
      </c>
      <c r="U28" s="18">
        <f ca="1">_xll.DBRW($B$9,$C$18,$C$19,S$26,S$25,$C$21,$C$22,$B28,U$27)</f>
        <v>0</v>
      </c>
      <c r="V28" s="16">
        <f ca="1">_xll.DBRW($B$9,$C$18,$C$19,V$26,V$25,$C$21,$C$22,$B28,V$27)</f>
        <v>0</v>
      </c>
      <c r="W28" s="17">
        <f ca="1">_xll.DBRW($B$9,$C$18,$C$19,V$26,V$25,$C$21,$C$22,$B28,W$27)</f>
        <v>0</v>
      </c>
      <c r="X28" s="17">
        <f ca="1">_xll.DBRW($B$9,$C$18,$C$19,V$26,V$25,$C$21,$C$22,$B28,X$27)</f>
        <v>0</v>
      </c>
      <c r="Y28" s="36">
        <f ca="1">IF(V28&lt;&gt;0,S28/V28,0)</f>
        <v>0</v>
      </c>
      <c r="Z28" s="2">
        <f ca="1">IF(X28&lt;&gt;0,U28/X28,0)</f>
        <v>0</v>
      </c>
    </row>
    <row r="29" spans="1:26" ht="15.75" thickBot="1">
      <c r="A29">
        <f ca="1">IF(_xll.TM1RPTELISCONSOLIDATED($B$28,$B29),IF(_xll.TM1RPTELLEV($B$28,$B29)&lt;=3,_xll.TM1RPTELLEV($B$28,$B29),"D"),"N")</f>
        <v>1</v>
      </c>
      <c r="B29" s="15" t="s">
        <v>43</v>
      </c>
      <c r="C29" s="19">
        <f ca="1">_xll.DBRW($B$9,$C$18,$C$19,C$26,C$25,$C$21,$C$22,$B29,C$27)</f>
        <v>0</v>
      </c>
      <c r="D29" s="20">
        <f ca="1">_xll.DBRW($B$9,$C$18,$C$19,C$26,C$25,$C$21,$C$22,$B29,D$27)</f>
        <v>0</v>
      </c>
      <c r="E29" s="21">
        <f ca="1">_xll.DBRW($B$9,$C$18,$C$19,C$26,C$25,$C$21,$C$22,$B29,E$27)</f>
        <v>0</v>
      </c>
      <c r="F29" s="19">
        <f ca="1">_xll.DBRW($B$9,$C$18,$C$19,F$26,F$25,$C$21,$C$22,$B29,F$27)</f>
        <v>0</v>
      </c>
      <c r="G29" s="20">
        <f ca="1">_xll.DBRW($B$9,$C$18,$C$19,F$26,F$25,$C$21,$C$22,$B29,G$27)</f>
        <v>0</v>
      </c>
      <c r="H29" s="20">
        <f ca="1">_xll.DBRW($B$9,$C$18,$C$19,F$26,F$25,$C$21,$C$22,$B29,H$27)</f>
        <v>0</v>
      </c>
      <c r="I29" s="40">
        <f t="shared" ref="I29:I50" ca="1" si="0">IF(F29&lt;&gt;0,C29/F29,0)</f>
        <v>0</v>
      </c>
      <c r="J29" s="40">
        <f t="shared" ref="J29:J50" ca="1" si="1">IF(H29&lt;&gt;0,E29/H29,0)</f>
        <v>0</v>
      </c>
      <c r="K29" s="20">
        <f ca="1">_xll.DBRW($B$9,$C$18,$C$19,K$26,K$25,$C$21,$C$22,$B29,K$27)</f>
        <v>0</v>
      </c>
      <c r="L29" s="20">
        <f ca="1">_xll.DBRW($B$9,$C$18,$C$19,K$26,K$25,$C$21,$C$22,$B29,L$27)</f>
        <v>0</v>
      </c>
      <c r="M29" s="21">
        <f ca="1">_xll.DBRW($B$9,$C$18,$C$19,K$26,K$25,$C$21,$C$22,$B29,M$27)</f>
        <v>0</v>
      </c>
      <c r="N29" s="19">
        <f ca="1">_xll.DBRW($B$9,$C$18,$C$19,N$26,N$25,$C$21,$C$22,$B29,N$27)</f>
        <v>0</v>
      </c>
      <c r="O29" s="20">
        <f ca="1">_xll.DBRW($B$9,$C$18,$C$19,N$26,N$25,$C$21,$C$22,$B29,O$27)</f>
        <v>0</v>
      </c>
      <c r="P29" s="20">
        <f ca="1">_xll.DBRW($B$9,$C$18,$C$19,N$26,N$25,$C$21,$C$22,$B29,P$27)</f>
        <v>0</v>
      </c>
      <c r="Q29" s="40">
        <f t="shared" ref="Q29:Q50" ca="1" si="2">IF(N29&lt;&gt;0,K29/N29,0)</f>
        <v>0</v>
      </c>
      <c r="R29" s="40">
        <f t="shared" ref="R29:R50" ca="1" si="3">IF(P29&lt;&gt;0,M29/P29,0)</f>
        <v>0</v>
      </c>
      <c r="S29" s="20">
        <f ca="1">_xll.DBRW($B$9,$C$18,$C$19,S$26,S$25,$C$21,$C$22,$B29,S$27)</f>
        <v>0</v>
      </c>
      <c r="T29" s="20">
        <f ca="1">_xll.DBRW($B$9,$C$18,$C$19,S$26,S$25,$C$21,$C$22,$B29,T$27)</f>
        <v>0</v>
      </c>
      <c r="U29" s="21">
        <f ca="1">_xll.DBRW($B$9,$C$18,$C$19,S$26,S$25,$C$21,$C$22,$B29,U$27)</f>
        <v>0</v>
      </c>
      <c r="V29" s="19">
        <f ca="1">_xll.DBRW($B$9,$C$18,$C$19,V$26,V$25,$C$21,$C$22,$B29,V$27)</f>
        <v>0</v>
      </c>
      <c r="W29" s="20">
        <f ca="1">_xll.DBRW($B$9,$C$18,$C$19,V$26,V$25,$C$21,$C$22,$B29,W$27)</f>
        <v>0</v>
      </c>
      <c r="X29" s="20">
        <f ca="1">_xll.DBRW($B$9,$C$18,$C$19,V$26,V$25,$C$21,$C$22,$B29,X$27)</f>
        <v>0</v>
      </c>
      <c r="Y29" s="36">
        <f t="shared" ref="Y29:Y50" ca="1" si="4">IF(V29&lt;&gt;0,S29/V29,0)</f>
        <v>0</v>
      </c>
      <c r="Z29" s="2">
        <f t="shared" ref="Z29:Z50" ca="1" si="5">IF(X29&lt;&gt;0,U29/X29,0)</f>
        <v>0</v>
      </c>
    </row>
    <row r="30" spans="1:26" ht="15.75" thickBot="1">
      <c r="A30">
        <f ca="1">IF(_xll.TM1RPTELISCONSOLIDATED($B$28,$B30),IF(_xll.TM1RPTELLEV($B$28,$B30)&lt;=3,_xll.TM1RPTELLEV($B$28,$B30),"D"),"N")</f>
        <v>1</v>
      </c>
      <c r="B30" s="15" t="s">
        <v>44</v>
      </c>
      <c r="C30" s="19">
        <f ca="1">_xll.DBRW($B$9,$C$18,$C$19,C$26,C$25,$C$21,$C$22,$B30,C$27)</f>
        <v>0</v>
      </c>
      <c r="D30" s="20">
        <f ca="1">_xll.DBRW($B$9,$C$18,$C$19,C$26,C$25,$C$21,$C$22,$B30,D$27)</f>
        <v>0</v>
      </c>
      <c r="E30" s="21">
        <f ca="1">_xll.DBRW($B$9,$C$18,$C$19,C$26,C$25,$C$21,$C$22,$B30,E$27)</f>
        <v>0</v>
      </c>
      <c r="F30" s="19">
        <f ca="1">_xll.DBRW($B$9,$C$18,$C$19,F$26,F$25,$C$21,$C$22,$B30,F$27)</f>
        <v>0</v>
      </c>
      <c r="G30" s="20">
        <f ca="1">_xll.DBRW($B$9,$C$18,$C$19,F$26,F$25,$C$21,$C$22,$B30,G$27)</f>
        <v>0</v>
      </c>
      <c r="H30" s="20">
        <f ca="1">_xll.DBRW($B$9,$C$18,$C$19,F$26,F$25,$C$21,$C$22,$B30,H$27)</f>
        <v>0</v>
      </c>
      <c r="I30" s="40">
        <f t="shared" ca="1" si="0"/>
        <v>0</v>
      </c>
      <c r="J30" s="40">
        <f t="shared" ca="1" si="1"/>
        <v>0</v>
      </c>
      <c r="K30" s="20">
        <f ca="1">_xll.DBRW($B$9,$C$18,$C$19,K$26,K$25,$C$21,$C$22,$B30,K$27)</f>
        <v>0</v>
      </c>
      <c r="L30" s="20">
        <f ca="1">_xll.DBRW($B$9,$C$18,$C$19,K$26,K$25,$C$21,$C$22,$B30,L$27)</f>
        <v>0</v>
      </c>
      <c r="M30" s="21">
        <f ca="1">_xll.DBRW($B$9,$C$18,$C$19,K$26,K$25,$C$21,$C$22,$B30,M$27)</f>
        <v>0</v>
      </c>
      <c r="N30" s="19">
        <f ca="1">_xll.DBRW($B$9,$C$18,$C$19,N$26,N$25,$C$21,$C$22,$B30,N$27)</f>
        <v>0</v>
      </c>
      <c r="O30" s="20">
        <f ca="1">_xll.DBRW($B$9,$C$18,$C$19,N$26,N$25,$C$21,$C$22,$B30,O$27)</f>
        <v>0</v>
      </c>
      <c r="P30" s="20">
        <f ca="1">_xll.DBRW($B$9,$C$18,$C$19,N$26,N$25,$C$21,$C$22,$B30,P$27)</f>
        <v>0</v>
      </c>
      <c r="Q30" s="40">
        <f t="shared" ca="1" si="2"/>
        <v>0</v>
      </c>
      <c r="R30" s="40">
        <f t="shared" ca="1" si="3"/>
        <v>0</v>
      </c>
      <c r="S30" s="20">
        <f ca="1">_xll.DBRW($B$9,$C$18,$C$19,S$26,S$25,$C$21,$C$22,$B30,S$27)</f>
        <v>0</v>
      </c>
      <c r="T30" s="20">
        <f ca="1">_xll.DBRW($B$9,$C$18,$C$19,S$26,S$25,$C$21,$C$22,$B30,T$27)</f>
        <v>0</v>
      </c>
      <c r="U30" s="21">
        <f ca="1">_xll.DBRW($B$9,$C$18,$C$19,S$26,S$25,$C$21,$C$22,$B30,U$27)</f>
        <v>0</v>
      </c>
      <c r="V30" s="19">
        <f ca="1">_xll.DBRW($B$9,$C$18,$C$19,V$26,V$25,$C$21,$C$22,$B30,V$27)</f>
        <v>0</v>
      </c>
      <c r="W30" s="20">
        <f ca="1">_xll.DBRW($B$9,$C$18,$C$19,V$26,V$25,$C$21,$C$22,$B30,W$27)</f>
        <v>0</v>
      </c>
      <c r="X30" s="20">
        <f ca="1">_xll.DBRW($B$9,$C$18,$C$19,V$26,V$25,$C$21,$C$22,$B30,X$27)</f>
        <v>0</v>
      </c>
      <c r="Y30" s="36">
        <f t="shared" ca="1" si="4"/>
        <v>0</v>
      </c>
      <c r="Z30" s="2">
        <f t="shared" ca="1" si="5"/>
        <v>0</v>
      </c>
    </row>
    <row r="31" spans="1:26" ht="15.75" thickBot="1">
      <c r="A31">
        <f ca="1">IF(_xll.TM1RPTELISCONSOLIDATED($B$28,$B31),IF(_xll.TM1RPTELLEV($B$28,$B31)&lt;=3,_xll.TM1RPTELLEV($B$28,$B31),"D"),"N")</f>
        <v>1</v>
      </c>
      <c r="B31" s="15" t="s">
        <v>45</v>
      </c>
      <c r="C31" s="19">
        <f ca="1">_xll.DBRW($B$9,$C$18,$C$19,C$26,C$25,$C$21,$C$22,$B31,C$27)</f>
        <v>0</v>
      </c>
      <c r="D31" s="20">
        <f ca="1">_xll.DBRW($B$9,$C$18,$C$19,C$26,C$25,$C$21,$C$22,$B31,D$27)</f>
        <v>0</v>
      </c>
      <c r="E31" s="21">
        <f ca="1">_xll.DBRW($B$9,$C$18,$C$19,C$26,C$25,$C$21,$C$22,$B31,E$27)</f>
        <v>0</v>
      </c>
      <c r="F31" s="19">
        <f ca="1">_xll.DBRW($B$9,$C$18,$C$19,F$26,F$25,$C$21,$C$22,$B31,F$27)</f>
        <v>0</v>
      </c>
      <c r="G31" s="20">
        <f ca="1">_xll.DBRW($B$9,$C$18,$C$19,F$26,F$25,$C$21,$C$22,$B31,G$27)</f>
        <v>0</v>
      </c>
      <c r="H31" s="20">
        <f ca="1">_xll.DBRW($B$9,$C$18,$C$19,F$26,F$25,$C$21,$C$22,$B31,H$27)</f>
        <v>0</v>
      </c>
      <c r="I31" s="40">
        <f t="shared" ca="1" si="0"/>
        <v>0</v>
      </c>
      <c r="J31" s="40">
        <f t="shared" ca="1" si="1"/>
        <v>0</v>
      </c>
      <c r="K31" s="20">
        <f ca="1">_xll.DBRW($B$9,$C$18,$C$19,K$26,K$25,$C$21,$C$22,$B31,K$27)</f>
        <v>0</v>
      </c>
      <c r="L31" s="20">
        <f ca="1">_xll.DBRW($B$9,$C$18,$C$19,K$26,K$25,$C$21,$C$22,$B31,L$27)</f>
        <v>0</v>
      </c>
      <c r="M31" s="21">
        <f ca="1">_xll.DBRW($B$9,$C$18,$C$19,K$26,K$25,$C$21,$C$22,$B31,M$27)</f>
        <v>0</v>
      </c>
      <c r="N31" s="19">
        <f ca="1">_xll.DBRW($B$9,$C$18,$C$19,N$26,N$25,$C$21,$C$22,$B31,N$27)</f>
        <v>0</v>
      </c>
      <c r="O31" s="20">
        <f ca="1">_xll.DBRW($B$9,$C$18,$C$19,N$26,N$25,$C$21,$C$22,$B31,O$27)</f>
        <v>0</v>
      </c>
      <c r="P31" s="20">
        <f ca="1">_xll.DBRW($B$9,$C$18,$C$19,N$26,N$25,$C$21,$C$22,$B31,P$27)</f>
        <v>0</v>
      </c>
      <c r="Q31" s="40">
        <f t="shared" ca="1" si="2"/>
        <v>0</v>
      </c>
      <c r="R31" s="40">
        <f t="shared" ca="1" si="3"/>
        <v>0</v>
      </c>
      <c r="S31" s="20">
        <f ca="1">_xll.DBRW($B$9,$C$18,$C$19,S$26,S$25,$C$21,$C$22,$B31,S$27)</f>
        <v>0</v>
      </c>
      <c r="T31" s="20">
        <f ca="1">_xll.DBRW($B$9,$C$18,$C$19,S$26,S$25,$C$21,$C$22,$B31,T$27)</f>
        <v>0</v>
      </c>
      <c r="U31" s="21">
        <f ca="1">_xll.DBRW($B$9,$C$18,$C$19,S$26,S$25,$C$21,$C$22,$B31,U$27)</f>
        <v>0</v>
      </c>
      <c r="V31" s="19">
        <f ca="1">_xll.DBRW($B$9,$C$18,$C$19,V$26,V$25,$C$21,$C$22,$B31,V$27)</f>
        <v>0</v>
      </c>
      <c r="W31" s="20">
        <f ca="1">_xll.DBRW($B$9,$C$18,$C$19,V$26,V$25,$C$21,$C$22,$B31,W$27)</f>
        <v>0</v>
      </c>
      <c r="X31" s="20">
        <f ca="1">_xll.DBRW($B$9,$C$18,$C$19,V$26,V$25,$C$21,$C$22,$B31,X$27)</f>
        <v>0</v>
      </c>
      <c r="Y31" s="36">
        <f t="shared" ca="1" si="4"/>
        <v>0</v>
      </c>
      <c r="Z31" s="2">
        <f t="shared" ca="1" si="5"/>
        <v>0</v>
      </c>
    </row>
    <row r="32" spans="1:26" ht="15.75" thickBot="1">
      <c r="A32">
        <f ca="1">IF(_xll.TM1RPTELISCONSOLIDATED($B$28,$B32),IF(_xll.TM1RPTELLEV($B$28,$B32)&lt;=3,_xll.TM1RPTELLEV($B$28,$B32),"D"),"N")</f>
        <v>1</v>
      </c>
      <c r="B32" s="15" t="s">
        <v>46</v>
      </c>
      <c r="C32" s="19">
        <f ca="1">_xll.DBRW($B$9,$C$18,$C$19,C$26,C$25,$C$21,$C$22,$B32,C$27)</f>
        <v>0</v>
      </c>
      <c r="D32" s="20">
        <f ca="1">_xll.DBRW($B$9,$C$18,$C$19,C$26,C$25,$C$21,$C$22,$B32,D$27)</f>
        <v>0</v>
      </c>
      <c r="E32" s="21">
        <f ca="1">_xll.DBRW($B$9,$C$18,$C$19,C$26,C$25,$C$21,$C$22,$B32,E$27)</f>
        <v>0</v>
      </c>
      <c r="F32" s="19">
        <f ca="1">_xll.DBRW($B$9,$C$18,$C$19,F$26,F$25,$C$21,$C$22,$B32,F$27)</f>
        <v>0</v>
      </c>
      <c r="G32" s="20">
        <f ca="1">_xll.DBRW($B$9,$C$18,$C$19,F$26,F$25,$C$21,$C$22,$B32,G$27)</f>
        <v>0</v>
      </c>
      <c r="H32" s="20">
        <f ca="1">_xll.DBRW($B$9,$C$18,$C$19,F$26,F$25,$C$21,$C$22,$B32,H$27)</f>
        <v>0</v>
      </c>
      <c r="I32" s="40">
        <f t="shared" ca="1" si="0"/>
        <v>0</v>
      </c>
      <c r="J32" s="40">
        <f t="shared" ca="1" si="1"/>
        <v>0</v>
      </c>
      <c r="K32" s="20">
        <f ca="1">_xll.DBRW($B$9,$C$18,$C$19,K$26,K$25,$C$21,$C$22,$B32,K$27)</f>
        <v>0</v>
      </c>
      <c r="L32" s="20">
        <f ca="1">_xll.DBRW($B$9,$C$18,$C$19,K$26,K$25,$C$21,$C$22,$B32,L$27)</f>
        <v>0</v>
      </c>
      <c r="M32" s="21">
        <f ca="1">_xll.DBRW($B$9,$C$18,$C$19,K$26,K$25,$C$21,$C$22,$B32,M$27)</f>
        <v>0</v>
      </c>
      <c r="N32" s="19">
        <f ca="1">_xll.DBRW($B$9,$C$18,$C$19,N$26,N$25,$C$21,$C$22,$B32,N$27)</f>
        <v>0</v>
      </c>
      <c r="O32" s="20">
        <f ca="1">_xll.DBRW($B$9,$C$18,$C$19,N$26,N$25,$C$21,$C$22,$B32,O$27)</f>
        <v>0</v>
      </c>
      <c r="P32" s="20">
        <f ca="1">_xll.DBRW($B$9,$C$18,$C$19,N$26,N$25,$C$21,$C$22,$B32,P$27)</f>
        <v>0</v>
      </c>
      <c r="Q32" s="40">
        <f t="shared" ca="1" si="2"/>
        <v>0</v>
      </c>
      <c r="R32" s="40">
        <f t="shared" ca="1" si="3"/>
        <v>0</v>
      </c>
      <c r="S32" s="20">
        <f ca="1">_xll.DBRW($B$9,$C$18,$C$19,S$26,S$25,$C$21,$C$22,$B32,S$27)</f>
        <v>0</v>
      </c>
      <c r="T32" s="20">
        <f ca="1">_xll.DBRW($B$9,$C$18,$C$19,S$26,S$25,$C$21,$C$22,$B32,T$27)</f>
        <v>0</v>
      </c>
      <c r="U32" s="21">
        <f ca="1">_xll.DBRW($B$9,$C$18,$C$19,S$26,S$25,$C$21,$C$22,$B32,U$27)</f>
        <v>0</v>
      </c>
      <c r="V32" s="19">
        <f ca="1">_xll.DBRW($B$9,$C$18,$C$19,V$26,V$25,$C$21,$C$22,$B32,V$27)</f>
        <v>0</v>
      </c>
      <c r="W32" s="20">
        <f ca="1">_xll.DBRW($B$9,$C$18,$C$19,V$26,V$25,$C$21,$C$22,$B32,W$27)</f>
        <v>0</v>
      </c>
      <c r="X32" s="20">
        <f ca="1">_xll.DBRW($B$9,$C$18,$C$19,V$26,V$25,$C$21,$C$22,$B32,X$27)</f>
        <v>0</v>
      </c>
      <c r="Y32" s="36">
        <f t="shared" ca="1" si="4"/>
        <v>0</v>
      </c>
      <c r="Z32" s="2">
        <f t="shared" ca="1" si="5"/>
        <v>0</v>
      </c>
    </row>
    <row r="33" spans="1:26" ht="15.75" thickBot="1">
      <c r="A33">
        <f ca="1">IF(_xll.TM1RPTELISCONSOLIDATED($B$28,$B33),IF(_xll.TM1RPTELLEV($B$28,$B33)&lt;=3,_xll.TM1RPTELLEV($B$28,$B33),"D"),"N")</f>
        <v>1</v>
      </c>
      <c r="B33" s="15" t="s">
        <v>47</v>
      </c>
      <c r="C33" s="19">
        <f ca="1">_xll.DBRW($B$9,$C$18,$C$19,C$26,C$25,$C$21,$C$22,$B33,C$27)</f>
        <v>0</v>
      </c>
      <c r="D33" s="20">
        <f ca="1">_xll.DBRW($B$9,$C$18,$C$19,C$26,C$25,$C$21,$C$22,$B33,D$27)</f>
        <v>0</v>
      </c>
      <c r="E33" s="21">
        <f ca="1">_xll.DBRW($B$9,$C$18,$C$19,C$26,C$25,$C$21,$C$22,$B33,E$27)</f>
        <v>0</v>
      </c>
      <c r="F33" s="19">
        <f ca="1">_xll.DBRW($B$9,$C$18,$C$19,F$26,F$25,$C$21,$C$22,$B33,F$27)</f>
        <v>0</v>
      </c>
      <c r="G33" s="20">
        <f ca="1">_xll.DBRW($B$9,$C$18,$C$19,F$26,F$25,$C$21,$C$22,$B33,G$27)</f>
        <v>0</v>
      </c>
      <c r="H33" s="20">
        <f ca="1">_xll.DBRW($B$9,$C$18,$C$19,F$26,F$25,$C$21,$C$22,$B33,H$27)</f>
        <v>0</v>
      </c>
      <c r="I33" s="40">
        <f t="shared" ca="1" si="0"/>
        <v>0</v>
      </c>
      <c r="J33" s="40">
        <f t="shared" ca="1" si="1"/>
        <v>0</v>
      </c>
      <c r="K33" s="20">
        <f ca="1">_xll.DBRW($B$9,$C$18,$C$19,K$26,K$25,$C$21,$C$22,$B33,K$27)</f>
        <v>0</v>
      </c>
      <c r="L33" s="20">
        <f ca="1">_xll.DBRW($B$9,$C$18,$C$19,K$26,K$25,$C$21,$C$22,$B33,L$27)</f>
        <v>0</v>
      </c>
      <c r="M33" s="21">
        <f ca="1">_xll.DBRW($B$9,$C$18,$C$19,K$26,K$25,$C$21,$C$22,$B33,M$27)</f>
        <v>0</v>
      </c>
      <c r="N33" s="19">
        <f ca="1">_xll.DBRW($B$9,$C$18,$C$19,N$26,N$25,$C$21,$C$22,$B33,N$27)</f>
        <v>0</v>
      </c>
      <c r="O33" s="20">
        <f ca="1">_xll.DBRW($B$9,$C$18,$C$19,N$26,N$25,$C$21,$C$22,$B33,O$27)</f>
        <v>0</v>
      </c>
      <c r="P33" s="20">
        <f ca="1">_xll.DBRW($B$9,$C$18,$C$19,N$26,N$25,$C$21,$C$22,$B33,P$27)</f>
        <v>0</v>
      </c>
      <c r="Q33" s="40">
        <f t="shared" ca="1" si="2"/>
        <v>0</v>
      </c>
      <c r="R33" s="40">
        <f t="shared" ca="1" si="3"/>
        <v>0</v>
      </c>
      <c r="S33" s="20">
        <f ca="1">_xll.DBRW($B$9,$C$18,$C$19,S$26,S$25,$C$21,$C$22,$B33,S$27)</f>
        <v>0</v>
      </c>
      <c r="T33" s="20">
        <f ca="1">_xll.DBRW($B$9,$C$18,$C$19,S$26,S$25,$C$21,$C$22,$B33,T$27)</f>
        <v>0</v>
      </c>
      <c r="U33" s="21">
        <f ca="1">_xll.DBRW($B$9,$C$18,$C$19,S$26,S$25,$C$21,$C$22,$B33,U$27)</f>
        <v>0</v>
      </c>
      <c r="V33" s="19">
        <f ca="1">_xll.DBRW($B$9,$C$18,$C$19,V$26,V$25,$C$21,$C$22,$B33,V$27)</f>
        <v>0</v>
      </c>
      <c r="W33" s="20">
        <f ca="1">_xll.DBRW($B$9,$C$18,$C$19,V$26,V$25,$C$21,$C$22,$B33,W$27)</f>
        <v>0</v>
      </c>
      <c r="X33" s="20">
        <f ca="1">_xll.DBRW($B$9,$C$18,$C$19,V$26,V$25,$C$21,$C$22,$B33,X$27)</f>
        <v>0</v>
      </c>
      <c r="Y33" s="36">
        <f t="shared" ca="1" si="4"/>
        <v>0</v>
      </c>
      <c r="Z33" s="2">
        <f t="shared" ca="1" si="5"/>
        <v>0</v>
      </c>
    </row>
    <row r="34" spans="1:26" ht="15.75" thickBot="1">
      <c r="A34">
        <f ca="1">IF(_xll.TM1RPTELISCONSOLIDATED($B$28,$B34),IF(_xll.TM1RPTELLEV($B$28,$B34)&lt;=3,_xll.TM1RPTELLEV($B$28,$B34),"D"),"N")</f>
        <v>1</v>
      </c>
      <c r="B34" s="15" t="s">
        <v>48</v>
      </c>
      <c r="C34" s="19">
        <f ca="1">_xll.DBRW($B$9,$C$18,$C$19,C$26,C$25,$C$21,$C$22,$B34,C$27)</f>
        <v>0</v>
      </c>
      <c r="D34" s="20">
        <f ca="1">_xll.DBRW($B$9,$C$18,$C$19,C$26,C$25,$C$21,$C$22,$B34,D$27)</f>
        <v>0</v>
      </c>
      <c r="E34" s="21">
        <f ca="1">_xll.DBRW($B$9,$C$18,$C$19,C$26,C$25,$C$21,$C$22,$B34,E$27)</f>
        <v>0</v>
      </c>
      <c r="F34" s="19">
        <f ca="1">_xll.DBRW($B$9,$C$18,$C$19,F$26,F$25,$C$21,$C$22,$B34,F$27)</f>
        <v>0</v>
      </c>
      <c r="G34" s="20">
        <f ca="1">_xll.DBRW($B$9,$C$18,$C$19,F$26,F$25,$C$21,$C$22,$B34,G$27)</f>
        <v>0</v>
      </c>
      <c r="H34" s="20">
        <f ca="1">_xll.DBRW($B$9,$C$18,$C$19,F$26,F$25,$C$21,$C$22,$B34,H$27)</f>
        <v>0</v>
      </c>
      <c r="I34" s="40">
        <f t="shared" ca="1" si="0"/>
        <v>0</v>
      </c>
      <c r="J34" s="40">
        <f t="shared" ca="1" si="1"/>
        <v>0</v>
      </c>
      <c r="K34" s="20">
        <f ca="1">_xll.DBRW($B$9,$C$18,$C$19,K$26,K$25,$C$21,$C$22,$B34,K$27)</f>
        <v>0</v>
      </c>
      <c r="L34" s="20">
        <f ca="1">_xll.DBRW($B$9,$C$18,$C$19,K$26,K$25,$C$21,$C$22,$B34,L$27)</f>
        <v>0</v>
      </c>
      <c r="M34" s="21">
        <f ca="1">_xll.DBRW($B$9,$C$18,$C$19,K$26,K$25,$C$21,$C$22,$B34,M$27)</f>
        <v>0</v>
      </c>
      <c r="N34" s="19">
        <f ca="1">_xll.DBRW($B$9,$C$18,$C$19,N$26,N$25,$C$21,$C$22,$B34,N$27)</f>
        <v>0</v>
      </c>
      <c r="O34" s="20">
        <f ca="1">_xll.DBRW($B$9,$C$18,$C$19,N$26,N$25,$C$21,$C$22,$B34,O$27)</f>
        <v>0</v>
      </c>
      <c r="P34" s="20">
        <f ca="1">_xll.DBRW($B$9,$C$18,$C$19,N$26,N$25,$C$21,$C$22,$B34,P$27)</f>
        <v>0</v>
      </c>
      <c r="Q34" s="40">
        <f t="shared" ca="1" si="2"/>
        <v>0</v>
      </c>
      <c r="R34" s="40">
        <f t="shared" ca="1" si="3"/>
        <v>0</v>
      </c>
      <c r="S34" s="20">
        <f ca="1">_xll.DBRW($B$9,$C$18,$C$19,S$26,S$25,$C$21,$C$22,$B34,S$27)</f>
        <v>0</v>
      </c>
      <c r="T34" s="20">
        <f ca="1">_xll.DBRW($B$9,$C$18,$C$19,S$26,S$25,$C$21,$C$22,$B34,T$27)</f>
        <v>0</v>
      </c>
      <c r="U34" s="21">
        <f ca="1">_xll.DBRW($B$9,$C$18,$C$19,S$26,S$25,$C$21,$C$22,$B34,U$27)</f>
        <v>0</v>
      </c>
      <c r="V34" s="19">
        <f ca="1">_xll.DBRW($B$9,$C$18,$C$19,V$26,V$25,$C$21,$C$22,$B34,V$27)</f>
        <v>0</v>
      </c>
      <c r="W34" s="20">
        <f ca="1">_xll.DBRW($B$9,$C$18,$C$19,V$26,V$25,$C$21,$C$22,$B34,W$27)</f>
        <v>0</v>
      </c>
      <c r="X34" s="20">
        <f ca="1">_xll.DBRW($B$9,$C$18,$C$19,V$26,V$25,$C$21,$C$22,$B34,X$27)</f>
        <v>0</v>
      </c>
      <c r="Y34" s="36">
        <f t="shared" ca="1" si="4"/>
        <v>0</v>
      </c>
      <c r="Z34" s="2">
        <f t="shared" ca="1" si="5"/>
        <v>0</v>
      </c>
    </row>
    <row r="35" spans="1:26" ht="15.75" thickBot="1">
      <c r="A35">
        <f ca="1">IF(_xll.TM1RPTELISCONSOLIDATED($B$28,$B35),IF(_xll.TM1RPTELLEV($B$28,$B35)&lt;=3,_xll.TM1RPTELLEV($B$28,$B35),"D"),"N")</f>
        <v>1</v>
      </c>
      <c r="B35" s="15" t="s">
        <v>49</v>
      </c>
      <c r="C35" s="19">
        <f ca="1">_xll.DBRW($B$9,$C$18,$C$19,C$26,C$25,$C$21,$C$22,$B35,C$27)</f>
        <v>0</v>
      </c>
      <c r="D35" s="20">
        <f ca="1">_xll.DBRW($B$9,$C$18,$C$19,C$26,C$25,$C$21,$C$22,$B35,D$27)</f>
        <v>0</v>
      </c>
      <c r="E35" s="21">
        <f ca="1">_xll.DBRW($B$9,$C$18,$C$19,C$26,C$25,$C$21,$C$22,$B35,E$27)</f>
        <v>0</v>
      </c>
      <c r="F35" s="19">
        <f ca="1">_xll.DBRW($B$9,$C$18,$C$19,F$26,F$25,$C$21,$C$22,$B35,F$27)</f>
        <v>0</v>
      </c>
      <c r="G35" s="20">
        <f ca="1">_xll.DBRW($B$9,$C$18,$C$19,F$26,F$25,$C$21,$C$22,$B35,G$27)</f>
        <v>0</v>
      </c>
      <c r="H35" s="20">
        <f ca="1">_xll.DBRW($B$9,$C$18,$C$19,F$26,F$25,$C$21,$C$22,$B35,H$27)</f>
        <v>0</v>
      </c>
      <c r="I35" s="40">
        <f t="shared" ca="1" si="0"/>
        <v>0</v>
      </c>
      <c r="J35" s="40">
        <f t="shared" ca="1" si="1"/>
        <v>0</v>
      </c>
      <c r="K35" s="20">
        <f ca="1">_xll.DBRW($B$9,$C$18,$C$19,K$26,K$25,$C$21,$C$22,$B35,K$27)</f>
        <v>0</v>
      </c>
      <c r="L35" s="20">
        <f ca="1">_xll.DBRW($B$9,$C$18,$C$19,K$26,K$25,$C$21,$C$22,$B35,L$27)</f>
        <v>0</v>
      </c>
      <c r="M35" s="21">
        <f ca="1">_xll.DBRW($B$9,$C$18,$C$19,K$26,K$25,$C$21,$C$22,$B35,M$27)</f>
        <v>0</v>
      </c>
      <c r="N35" s="19">
        <f ca="1">_xll.DBRW($B$9,$C$18,$C$19,N$26,N$25,$C$21,$C$22,$B35,N$27)</f>
        <v>0</v>
      </c>
      <c r="O35" s="20">
        <f ca="1">_xll.DBRW($B$9,$C$18,$C$19,N$26,N$25,$C$21,$C$22,$B35,O$27)</f>
        <v>0</v>
      </c>
      <c r="P35" s="20">
        <f ca="1">_xll.DBRW($B$9,$C$18,$C$19,N$26,N$25,$C$21,$C$22,$B35,P$27)</f>
        <v>0</v>
      </c>
      <c r="Q35" s="40">
        <f t="shared" ca="1" si="2"/>
        <v>0</v>
      </c>
      <c r="R35" s="40">
        <f t="shared" ca="1" si="3"/>
        <v>0</v>
      </c>
      <c r="S35" s="20">
        <f ca="1">_xll.DBRW($B$9,$C$18,$C$19,S$26,S$25,$C$21,$C$22,$B35,S$27)</f>
        <v>0</v>
      </c>
      <c r="T35" s="20">
        <f ca="1">_xll.DBRW($B$9,$C$18,$C$19,S$26,S$25,$C$21,$C$22,$B35,T$27)</f>
        <v>0</v>
      </c>
      <c r="U35" s="21">
        <f ca="1">_xll.DBRW($B$9,$C$18,$C$19,S$26,S$25,$C$21,$C$22,$B35,U$27)</f>
        <v>0</v>
      </c>
      <c r="V35" s="19">
        <f ca="1">_xll.DBRW($B$9,$C$18,$C$19,V$26,V$25,$C$21,$C$22,$B35,V$27)</f>
        <v>0</v>
      </c>
      <c r="W35" s="20">
        <f ca="1">_xll.DBRW($B$9,$C$18,$C$19,V$26,V$25,$C$21,$C$22,$B35,W$27)</f>
        <v>0</v>
      </c>
      <c r="X35" s="20">
        <f ca="1">_xll.DBRW($B$9,$C$18,$C$19,V$26,V$25,$C$21,$C$22,$B35,X$27)</f>
        <v>0</v>
      </c>
      <c r="Y35" s="36">
        <f t="shared" ca="1" si="4"/>
        <v>0</v>
      </c>
      <c r="Z35" s="2">
        <f t="shared" ca="1" si="5"/>
        <v>0</v>
      </c>
    </row>
    <row r="36" spans="1:26" ht="15.75" thickBot="1">
      <c r="A36">
        <f ca="1">IF(_xll.TM1RPTELISCONSOLIDATED($B$28,$B36),IF(_xll.TM1RPTELLEV($B$28,$B36)&lt;=3,_xll.TM1RPTELLEV($B$28,$B36),"D"),"N")</f>
        <v>1</v>
      </c>
      <c r="B36" s="15" t="s">
        <v>50</v>
      </c>
      <c r="C36" s="19">
        <f ca="1">_xll.DBRW($B$9,$C$18,$C$19,C$26,C$25,$C$21,$C$22,$B36,C$27)</f>
        <v>0</v>
      </c>
      <c r="D36" s="20">
        <f ca="1">_xll.DBRW($B$9,$C$18,$C$19,C$26,C$25,$C$21,$C$22,$B36,D$27)</f>
        <v>0</v>
      </c>
      <c r="E36" s="21">
        <f ca="1">_xll.DBRW($B$9,$C$18,$C$19,C$26,C$25,$C$21,$C$22,$B36,E$27)</f>
        <v>0</v>
      </c>
      <c r="F36" s="19">
        <f ca="1">_xll.DBRW($B$9,$C$18,$C$19,F$26,F$25,$C$21,$C$22,$B36,F$27)</f>
        <v>0</v>
      </c>
      <c r="G36" s="20">
        <f ca="1">_xll.DBRW($B$9,$C$18,$C$19,F$26,F$25,$C$21,$C$22,$B36,G$27)</f>
        <v>0</v>
      </c>
      <c r="H36" s="20">
        <f ca="1">_xll.DBRW($B$9,$C$18,$C$19,F$26,F$25,$C$21,$C$22,$B36,H$27)</f>
        <v>0</v>
      </c>
      <c r="I36" s="40">
        <f t="shared" ca="1" si="0"/>
        <v>0</v>
      </c>
      <c r="J36" s="40">
        <f t="shared" ca="1" si="1"/>
        <v>0</v>
      </c>
      <c r="K36" s="20">
        <f ca="1">_xll.DBRW($B$9,$C$18,$C$19,K$26,K$25,$C$21,$C$22,$B36,K$27)</f>
        <v>0</v>
      </c>
      <c r="L36" s="20">
        <f ca="1">_xll.DBRW($B$9,$C$18,$C$19,K$26,K$25,$C$21,$C$22,$B36,L$27)</f>
        <v>0</v>
      </c>
      <c r="M36" s="21">
        <f ca="1">_xll.DBRW($B$9,$C$18,$C$19,K$26,K$25,$C$21,$C$22,$B36,M$27)</f>
        <v>0</v>
      </c>
      <c r="N36" s="19">
        <f ca="1">_xll.DBRW($B$9,$C$18,$C$19,N$26,N$25,$C$21,$C$22,$B36,N$27)</f>
        <v>0</v>
      </c>
      <c r="O36" s="20">
        <f ca="1">_xll.DBRW($B$9,$C$18,$C$19,N$26,N$25,$C$21,$C$22,$B36,O$27)</f>
        <v>0</v>
      </c>
      <c r="P36" s="20">
        <f ca="1">_xll.DBRW($B$9,$C$18,$C$19,N$26,N$25,$C$21,$C$22,$B36,P$27)</f>
        <v>0</v>
      </c>
      <c r="Q36" s="40">
        <f t="shared" ca="1" si="2"/>
        <v>0</v>
      </c>
      <c r="R36" s="40">
        <f t="shared" ca="1" si="3"/>
        <v>0</v>
      </c>
      <c r="S36" s="20">
        <f ca="1">_xll.DBRW($B$9,$C$18,$C$19,S$26,S$25,$C$21,$C$22,$B36,S$27)</f>
        <v>0</v>
      </c>
      <c r="T36" s="20">
        <f ca="1">_xll.DBRW($B$9,$C$18,$C$19,S$26,S$25,$C$21,$C$22,$B36,T$27)</f>
        <v>0</v>
      </c>
      <c r="U36" s="21">
        <f ca="1">_xll.DBRW($B$9,$C$18,$C$19,S$26,S$25,$C$21,$C$22,$B36,U$27)</f>
        <v>0</v>
      </c>
      <c r="V36" s="19">
        <f ca="1">_xll.DBRW($B$9,$C$18,$C$19,V$26,V$25,$C$21,$C$22,$B36,V$27)</f>
        <v>0</v>
      </c>
      <c r="W36" s="20">
        <f ca="1">_xll.DBRW($B$9,$C$18,$C$19,V$26,V$25,$C$21,$C$22,$B36,W$27)</f>
        <v>0</v>
      </c>
      <c r="X36" s="20">
        <f ca="1">_xll.DBRW($B$9,$C$18,$C$19,V$26,V$25,$C$21,$C$22,$B36,X$27)</f>
        <v>0</v>
      </c>
      <c r="Y36" s="36">
        <f t="shared" ca="1" si="4"/>
        <v>0</v>
      </c>
      <c r="Z36" s="2">
        <f t="shared" ca="1" si="5"/>
        <v>0</v>
      </c>
    </row>
    <row r="37" spans="1:26" ht="15.75" thickBot="1">
      <c r="A37">
        <f ca="1">IF(_xll.TM1RPTELISCONSOLIDATED($B$28,$B37),IF(_xll.TM1RPTELLEV($B$28,$B37)&lt;=3,_xll.TM1RPTELLEV($B$28,$B37),"D"),"N")</f>
        <v>1</v>
      </c>
      <c r="B37" s="15" t="s">
        <v>51</v>
      </c>
      <c r="C37" s="19">
        <f ca="1">_xll.DBRW($B$9,$C$18,$C$19,C$26,C$25,$C$21,$C$22,$B37,C$27)</f>
        <v>0</v>
      </c>
      <c r="D37" s="20">
        <f ca="1">_xll.DBRW($B$9,$C$18,$C$19,C$26,C$25,$C$21,$C$22,$B37,D$27)</f>
        <v>0</v>
      </c>
      <c r="E37" s="21">
        <f ca="1">_xll.DBRW($B$9,$C$18,$C$19,C$26,C$25,$C$21,$C$22,$B37,E$27)</f>
        <v>0</v>
      </c>
      <c r="F37" s="19">
        <f ca="1">_xll.DBRW($B$9,$C$18,$C$19,F$26,F$25,$C$21,$C$22,$B37,F$27)</f>
        <v>0</v>
      </c>
      <c r="G37" s="20">
        <f ca="1">_xll.DBRW($B$9,$C$18,$C$19,F$26,F$25,$C$21,$C$22,$B37,G$27)</f>
        <v>0</v>
      </c>
      <c r="H37" s="20">
        <f ca="1">_xll.DBRW($B$9,$C$18,$C$19,F$26,F$25,$C$21,$C$22,$B37,H$27)</f>
        <v>0</v>
      </c>
      <c r="I37" s="40">
        <f t="shared" ca="1" si="0"/>
        <v>0</v>
      </c>
      <c r="J37" s="40">
        <f t="shared" ca="1" si="1"/>
        <v>0</v>
      </c>
      <c r="K37" s="20">
        <f ca="1">_xll.DBRW($B$9,$C$18,$C$19,K$26,K$25,$C$21,$C$22,$B37,K$27)</f>
        <v>0</v>
      </c>
      <c r="L37" s="20">
        <f ca="1">_xll.DBRW($B$9,$C$18,$C$19,K$26,K$25,$C$21,$C$22,$B37,L$27)</f>
        <v>0</v>
      </c>
      <c r="M37" s="21">
        <f ca="1">_xll.DBRW($B$9,$C$18,$C$19,K$26,K$25,$C$21,$C$22,$B37,M$27)</f>
        <v>0</v>
      </c>
      <c r="N37" s="19">
        <f ca="1">_xll.DBRW($B$9,$C$18,$C$19,N$26,N$25,$C$21,$C$22,$B37,N$27)</f>
        <v>0</v>
      </c>
      <c r="O37" s="20">
        <f ca="1">_xll.DBRW($B$9,$C$18,$C$19,N$26,N$25,$C$21,$C$22,$B37,O$27)</f>
        <v>0</v>
      </c>
      <c r="P37" s="20">
        <f ca="1">_xll.DBRW($B$9,$C$18,$C$19,N$26,N$25,$C$21,$C$22,$B37,P$27)</f>
        <v>0</v>
      </c>
      <c r="Q37" s="40">
        <f t="shared" ca="1" si="2"/>
        <v>0</v>
      </c>
      <c r="R37" s="40">
        <f t="shared" ca="1" si="3"/>
        <v>0</v>
      </c>
      <c r="S37" s="20">
        <f ca="1">_xll.DBRW($B$9,$C$18,$C$19,S$26,S$25,$C$21,$C$22,$B37,S$27)</f>
        <v>0</v>
      </c>
      <c r="T37" s="20">
        <f ca="1">_xll.DBRW($B$9,$C$18,$C$19,S$26,S$25,$C$21,$C$22,$B37,T$27)</f>
        <v>0</v>
      </c>
      <c r="U37" s="21">
        <f ca="1">_xll.DBRW($B$9,$C$18,$C$19,S$26,S$25,$C$21,$C$22,$B37,U$27)</f>
        <v>0</v>
      </c>
      <c r="V37" s="19">
        <f ca="1">_xll.DBRW($B$9,$C$18,$C$19,V$26,V$25,$C$21,$C$22,$B37,V$27)</f>
        <v>0</v>
      </c>
      <c r="W37" s="20">
        <f ca="1">_xll.DBRW($B$9,$C$18,$C$19,V$26,V$25,$C$21,$C$22,$B37,W$27)</f>
        <v>0</v>
      </c>
      <c r="X37" s="20">
        <f ca="1">_xll.DBRW($B$9,$C$18,$C$19,V$26,V$25,$C$21,$C$22,$B37,X$27)</f>
        <v>0</v>
      </c>
      <c r="Y37" s="36">
        <f t="shared" ca="1" si="4"/>
        <v>0</v>
      </c>
      <c r="Z37" s="2">
        <f t="shared" ca="1" si="5"/>
        <v>0</v>
      </c>
    </row>
    <row r="38" spans="1:26" ht="15.75" thickBot="1">
      <c r="A38">
        <f ca="1">IF(_xll.TM1RPTELISCONSOLIDATED($B$28,$B38),IF(_xll.TM1RPTELLEV($B$28,$B38)&lt;=3,_xll.TM1RPTELLEV($B$28,$B38),"D"),"N")</f>
        <v>1</v>
      </c>
      <c r="B38" s="15" t="s">
        <v>52</v>
      </c>
      <c r="C38" s="19">
        <f ca="1">_xll.DBRW($B$9,$C$18,$C$19,C$26,C$25,$C$21,$C$22,$B38,C$27)</f>
        <v>0</v>
      </c>
      <c r="D38" s="20">
        <f ca="1">_xll.DBRW($B$9,$C$18,$C$19,C$26,C$25,$C$21,$C$22,$B38,D$27)</f>
        <v>0</v>
      </c>
      <c r="E38" s="21">
        <f ca="1">_xll.DBRW($B$9,$C$18,$C$19,C$26,C$25,$C$21,$C$22,$B38,E$27)</f>
        <v>0</v>
      </c>
      <c r="F38" s="19">
        <f ca="1">_xll.DBRW($B$9,$C$18,$C$19,F$26,F$25,$C$21,$C$22,$B38,F$27)</f>
        <v>0</v>
      </c>
      <c r="G38" s="20">
        <f ca="1">_xll.DBRW($B$9,$C$18,$C$19,F$26,F$25,$C$21,$C$22,$B38,G$27)</f>
        <v>0</v>
      </c>
      <c r="H38" s="20">
        <f ca="1">_xll.DBRW($B$9,$C$18,$C$19,F$26,F$25,$C$21,$C$22,$B38,H$27)</f>
        <v>0</v>
      </c>
      <c r="I38" s="40">
        <f t="shared" ca="1" si="0"/>
        <v>0</v>
      </c>
      <c r="J38" s="40">
        <f t="shared" ca="1" si="1"/>
        <v>0</v>
      </c>
      <c r="K38" s="20">
        <f ca="1">_xll.DBRW($B$9,$C$18,$C$19,K$26,K$25,$C$21,$C$22,$B38,K$27)</f>
        <v>0</v>
      </c>
      <c r="L38" s="20">
        <f ca="1">_xll.DBRW($B$9,$C$18,$C$19,K$26,K$25,$C$21,$C$22,$B38,L$27)</f>
        <v>0</v>
      </c>
      <c r="M38" s="21">
        <f ca="1">_xll.DBRW($B$9,$C$18,$C$19,K$26,K$25,$C$21,$C$22,$B38,M$27)</f>
        <v>0</v>
      </c>
      <c r="N38" s="19">
        <f ca="1">_xll.DBRW($B$9,$C$18,$C$19,N$26,N$25,$C$21,$C$22,$B38,N$27)</f>
        <v>0</v>
      </c>
      <c r="O38" s="20">
        <f ca="1">_xll.DBRW($B$9,$C$18,$C$19,N$26,N$25,$C$21,$C$22,$B38,O$27)</f>
        <v>0</v>
      </c>
      <c r="P38" s="20">
        <f ca="1">_xll.DBRW($B$9,$C$18,$C$19,N$26,N$25,$C$21,$C$22,$B38,P$27)</f>
        <v>0</v>
      </c>
      <c r="Q38" s="40">
        <f t="shared" ca="1" si="2"/>
        <v>0</v>
      </c>
      <c r="R38" s="40">
        <f t="shared" ca="1" si="3"/>
        <v>0</v>
      </c>
      <c r="S38" s="20">
        <f ca="1">_xll.DBRW($B$9,$C$18,$C$19,S$26,S$25,$C$21,$C$22,$B38,S$27)</f>
        <v>0</v>
      </c>
      <c r="T38" s="20">
        <f ca="1">_xll.DBRW($B$9,$C$18,$C$19,S$26,S$25,$C$21,$C$22,$B38,T$27)</f>
        <v>0</v>
      </c>
      <c r="U38" s="21">
        <f ca="1">_xll.DBRW($B$9,$C$18,$C$19,S$26,S$25,$C$21,$C$22,$B38,U$27)</f>
        <v>0</v>
      </c>
      <c r="V38" s="19">
        <f ca="1">_xll.DBRW($B$9,$C$18,$C$19,V$26,V$25,$C$21,$C$22,$B38,V$27)</f>
        <v>0</v>
      </c>
      <c r="W38" s="20">
        <f ca="1">_xll.DBRW($B$9,$C$18,$C$19,V$26,V$25,$C$21,$C$22,$B38,W$27)</f>
        <v>0</v>
      </c>
      <c r="X38" s="20">
        <f ca="1">_xll.DBRW($B$9,$C$18,$C$19,V$26,V$25,$C$21,$C$22,$B38,X$27)</f>
        <v>0</v>
      </c>
      <c r="Y38" s="36">
        <f t="shared" ca="1" si="4"/>
        <v>0</v>
      </c>
      <c r="Z38" s="2">
        <f t="shared" ca="1" si="5"/>
        <v>0</v>
      </c>
    </row>
    <row r="39" spans="1:26" ht="15.75" thickBot="1">
      <c r="A39">
        <f ca="1">IF(_xll.TM1RPTELISCONSOLIDATED($B$28,$B39),IF(_xll.TM1RPTELLEV($B$28,$B39)&lt;=3,_xll.TM1RPTELLEV($B$28,$B39),"D"),"N")</f>
        <v>1</v>
      </c>
      <c r="B39" s="15" t="s">
        <v>53</v>
      </c>
      <c r="C39" s="19">
        <f ca="1">_xll.DBRW($B$9,$C$18,$C$19,C$26,C$25,$C$21,$C$22,$B39,C$27)</f>
        <v>0</v>
      </c>
      <c r="D39" s="20">
        <f ca="1">_xll.DBRW($B$9,$C$18,$C$19,C$26,C$25,$C$21,$C$22,$B39,D$27)</f>
        <v>0</v>
      </c>
      <c r="E39" s="21">
        <f ca="1">_xll.DBRW($B$9,$C$18,$C$19,C$26,C$25,$C$21,$C$22,$B39,E$27)</f>
        <v>0</v>
      </c>
      <c r="F39" s="19">
        <f ca="1">_xll.DBRW($B$9,$C$18,$C$19,F$26,F$25,$C$21,$C$22,$B39,F$27)</f>
        <v>0</v>
      </c>
      <c r="G39" s="20">
        <f ca="1">_xll.DBRW($B$9,$C$18,$C$19,F$26,F$25,$C$21,$C$22,$B39,G$27)</f>
        <v>0</v>
      </c>
      <c r="H39" s="20">
        <f ca="1">_xll.DBRW($B$9,$C$18,$C$19,F$26,F$25,$C$21,$C$22,$B39,H$27)</f>
        <v>0</v>
      </c>
      <c r="I39" s="40">
        <f t="shared" ca="1" si="0"/>
        <v>0</v>
      </c>
      <c r="J39" s="40">
        <f t="shared" ca="1" si="1"/>
        <v>0</v>
      </c>
      <c r="K39" s="20">
        <f ca="1">_xll.DBRW($B$9,$C$18,$C$19,K$26,K$25,$C$21,$C$22,$B39,K$27)</f>
        <v>0</v>
      </c>
      <c r="L39" s="20">
        <f ca="1">_xll.DBRW($B$9,$C$18,$C$19,K$26,K$25,$C$21,$C$22,$B39,L$27)</f>
        <v>0</v>
      </c>
      <c r="M39" s="21">
        <f ca="1">_xll.DBRW($B$9,$C$18,$C$19,K$26,K$25,$C$21,$C$22,$B39,M$27)</f>
        <v>0</v>
      </c>
      <c r="N39" s="19">
        <f ca="1">_xll.DBRW($B$9,$C$18,$C$19,N$26,N$25,$C$21,$C$22,$B39,N$27)</f>
        <v>0</v>
      </c>
      <c r="O39" s="20">
        <f ca="1">_xll.DBRW($B$9,$C$18,$C$19,N$26,N$25,$C$21,$C$22,$B39,O$27)</f>
        <v>0</v>
      </c>
      <c r="P39" s="20">
        <f ca="1">_xll.DBRW($B$9,$C$18,$C$19,N$26,N$25,$C$21,$C$22,$B39,P$27)</f>
        <v>0</v>
      </c>
      <c r="Q39" s="40">
        <f t="shared" ca="1" si="2"/>
        <v>0</v>
      </c>
      <c r="R39" s="40">
        <f t="shared" ca="1" si="3"/>
        <v>0</v>
      </c>
      <c r="S39" s="20">
        <f ca="1">_xll.DBRW($B$9,$C$18,$C$19,S$26,S$25,$C$21,$C$22,$B39,S$27)</f>
        <v>0</v>
      </c>
      <c r="T39" s="20">
        <f ca="1">_xll.DBRW($B$9,$C$18,$C$19,S$26,S$25,$C$21,$C$22,$B39,T$27)</f>
        <v>0</v>
      </c>
      <c r="U39" s="21">
        <f ca="1">_xll.DBRW($B$9,$C$18,$C$19,S$26,S$25,$C$21,$C$22,$B39,U$27)</f>
        <v>0</v>
      </c>
      <c r="V39" s="19">
        <f ca="1">_xll.DBRW($B$9,$C$18,$C$19,V$26,V$25,$C$21,$C$22,$B39,V$27)</f>
        <v>0</v>
      </c>
      <c r="W39" s="20">
        <f ca="1">_xll.DBRW($B$9,$C$18,$C$19,V$26,V$25,$C$21,$C$22,$B39,W$27)</f>
        <v>0</v>
      </c>
      <c r="X39" s="20">
        <f ca="1">_xll.DBRW($B$9,$C$18,$C$19,V$26,V$25,$C$21,$C$22,$B39,X$27)</f>
        <v>0</v>
      </c>
      <c r="Y39" s="36">
        <f t="shared" ca="1" si="4"/>
        <v>0</v>
      </c>
      <c r="Z39" s="2">
        <f t="shared" ca="1" si="5"/>
        <v>0</v>
      </c>
    </row>
    <row r="40" spans="1:26" ht="15.75" thickBot="1">
      <c r="A40">
        <f ca="1">IF(_xll.TM1RPTELISCONSOLIDATED($B$28,$B40),IF(_xll.TM1RPTELLEV($B$28,$B40)&lt;=3,_xll.TM1RPTELLEV($B$28,$B40),"D"),"N")</f>
        <v>1</v>
      </c>
      <c r="B40" s="15" t="s">
        <v>54</v>
      </c>
      <c r="C40" s="19">
        <f ca="1">_xll.DBRW($B$9,$C$18,$C$19,C$26,C$25,$C$21,$C$22,$B40,C$27)</f>
        <v>0</v>
      </c>
      <c r="D40" s="20">
        <f ca="1">_xll.DBRW($B$9,$C$18,$C$19,C$26,C$25,$C$21,$C$22,$B40,D$27)</f>
        <v>0</v>
      </c>
      <c r="E40" s="21">
        <f ca="1">_xll.DBRW($B$9,$C$18,$C$19,C$26,C$25,$C$21,$C$22,$B40,E$27)</f>
        <v>0</v>
      </c>
      <c r="F40" s="19">
        <f ca="1">_xll.DBRW($B$9,$C$18,$C$19,F$26,F$25,$C$21,$C$22,$B40,F$27)</f>
        <v>0</v>
      </c>
      <c r="G40" s="20">
        <f ca="1">_xll.DBRW($B$9,$C$18,$C$19,F$26,F$25,$C$21,$C$22,$B40,G$27)</f>
        <v>0</v>
      </c>
      <c r="H40" s="20">
        <f ca="1">_xll.DBRW($B$9,$C$18,$C$19,F$26,F$25,$C$21,$C$22,$B40,H$27)</f>
        <v>0</v>
      </c>
      <c r="I40" s="40">
        <f t="shared" ca="1" si="0"/>
        <v>0</v>
      </c>
      <c r="J40" s="40">
        <f t="shared" ca="1" si="1"/>
        <v>0</v>
      </c>
      <c r="K40" s="20">
        <f ca="1">_xll.DBRW($B$9,$C$18,$C$19,K$26,K$25,$C$21,$C$22,$B40,K$27)</f>
        <v>0</v>
      </c>
      <c r="L40" s="20">
        <f ca="1">_xll.DBRW($B$9,$C$18,$C$19,K$26,K$25,$C$21,$C$22,$B40,L$27)</f>
        <v>0</v>
      </c>
      <c r="M40" s="21">
        <f ca="1">_xll.DBRW($B$9,$C$18,$C$19,K$26,K$25,$C$21,$C$22,$B40,M$27)</f>
        <v>0</v>
      </c>
      <c r="N40" s="19">
        <f ca="1">_xll.DBRW($B$9,$C$18,$C$19,N$26,N$25,$C$21,$C$22,$B40,N$27)</f>
        <v>0</v>
      </c>
      <c r="O40" s="20">
        <f ca="1">_xll.DBRW($B$9,$C$18,$C$19,N$26,N$25,$C$21,$C$22,$B40,O$27)</f>
        <v>0</v>
      </c>
      <c r="P40" s="20">
        <f ca="1">_xll.DBRW($B$9,$C$18,$C$19,N$26,N$25,$C$21,$C$22,$B40,P$27)</f>
        <v>0</v>
      </c>
      <c r="Q40" s="40">
        <f t="shared" ca="1" si="2"/>
        <v>0</v>
      </c>
      <c r="R40" s="40">
        <f t="shared" ca="1" si="3"/>
        <v>0</v>
      </c>
      <c r="S40" s="20">
        <f ca="1">_xll.DBRW($B$9,$C$18,$C$19,S$26,S$25,$C$21,$C$22,$B40,S$27)</f>
        <v>0</v>
      </c>
      <c r="T40" s="20">
        <f ca="1">_xll.DBRW($B$9,$C$18,$C$19,S$26,S$25,$C$21,$C$22,$B40,T$27)</f>
        <v>0</v>
      </c>
      <c r="U40" s="21">
        <f ca="1">_xll.DBRW($B$9,$C$18,$C$19,S$26,S$25,$C$21,$C$22,$B40,U$27)</f>
        <v>0</v>
      </c>
      <c r="V40" s="19">
        <f ca="1">_xll.DBRW($B$9,$C$18,$C$19,V$26,V$25,$C$21,$C$22,$B40,V$27)</f>
        <v>0</v>
      </c>
      <c r="W40" s="20">
        <f ca="1">_xll.DBRW($B$9,$C$18,$C$19,V$26,V$25,$C$21,$C$22,$B40,W$27)</f>
        <v>0</v>
      </c>
      <c r="X40" s="20">
        <f ca="1">_xll.DBRW($B$9,$C$18,$C$19,V$26,V$25,$C$21,$C$22,$B40,X$27)</f>
        <v>0</v>
      </c>
      <c r="Y40" s="36">
        <f t="shared" ca="1" si="4"/>
        <v>0</v>
      </c>
      <c r="Z40" s="2">
        <f t="shared" ca="1" si="5"/>
        <v>0</v>
      </c>
    </row>
    <row r="41" spans="1:26" ht="15.75" thickBot="1">
      <c r="A41">
        <f ca="1">IF(_xll.TM1RPTELISCONSOLIDATED($B$28,$B41),IF(_xll.TM1RPTELLEV($B$28,$B41)&lt;=3,_xll.TM1RPTELLEV($B$28,$B41),"D"),"N")</f>
        <v>1</v>
      </c>
      <c r="B41" s="15" t="s">
        <v>55</v>
      </c>
      <c r="C41" s="19">
        <f ca="1">_xll.DBRW($B$9,$C$18,$C$19,C$26,C$25,$C$21,$C$22,$B41,C$27)</f>
        <v>0</v>
      </c>
      <c r="D41" s="20">
        <f ca="1">_xll.DBRW($B$9,$C$18,$C$19,C$26,C$25,$C$21,$C$22,$B41,D$27)</f>
        <v>0</v>
      </c>
      <c r="E41" s="21">
        <f ca="1">_xll.DBRW($B$9,$C$18,$C$19,C$26,C$25,$C$21,$C$22,$B41,E$27)</f>
        <v>0</v>
      </c>
      <c r="F41" s="19">
        <f ca="1">_xll.DBRW($B$9,$C$18,$C$19,F$26,F$25,$C$21,$C$22,$B41,F$27)</f>
        <v>0</v>
      </c>
      <c r="G41" s="20">
        <f ca="1">_xll.DBRW($B$9,$C$18,$C$19,F$26,F$25,$C$21,$C$22,$B41,G$27)</f>
        <v>0</v>
      </c>
      <c r="H41" s="20">
        <f ca="1">_xll.DBRW($B$9,$C$18,$C$19,F$26,F$25,$C$21,$C$22,$B41,H$27)</f>
        <v>0</v>
      </c>
      <c r="I41" s="40">
        <f t="shared" ca="1" si="0"/>
        <v>0</v>
      </c>
      <c r="J41" s="40">
        <f t="shared" ca="1" si="1"/>
        <v>0</v>
      </c>
      <c r="K41" s="20">
        <f ca="1">_xll.DBRW($B$9,$C$18,$C$19,K$26,K$25,$C$21,$C$22,$B41,K$27)</f>
        <v>0</v>
      </c>
      <c r="L41" s="20">
        <f ca="1">_xll.DBRW($B$9,$C$18,$C$19,K$26,K$25,$C$21,$C$22,$B41,L$27)</f>
        <v>0</v>
      </c>
      <c r="M41" s="21">
        <f ca="1">_xll.DBRW($B$9,$C$18,$C$19,K$26,K$25,$C$21,$C$22,$B41,M$27)</f>
        <v>0</v>
      </c>
      <c r="N41" s="19">
        <f ca="1">_xll.DBRW($B$9,$C$18,$C$19,N$26,N$25,$C$21,$C$22,$B41,N$27)</f>
        <v>0</v>
      </c>
      <c r="O41" s="20">
        <f ca="1">_xll.DBRW($B$9,$C$18,$C$19,N$26,N$25,$C$21,$C$22,$B41,O$27)</f>
        <v>0</v>
      </c>
      <c r="P41" s="20">
        <f ca="1">_xll.DBRW($B$9,$C$18,$C$19,N$26,N$25,$C$21,$C$22,$B41,P$27)</f>
        <v>0</v>
      </c>
      <c r="Q41" s="40">
        <f t="shared" ca="1" si="2"/>
        <v>0</v>
      </c>
      <c r="R41" s="40">
        <f t="shared" ca="1" si="3"/>
        <v>0</v>
      </c>
      <c r="S41" s="20">
        <f ca="1">_xll.DBRW($B$9,$C$18,$C$19,S$26,S$25,$C$21,$C$22,$B41,S$27)</f>
        <v>0</v>
      </c>
      <c r="T41" s="20">
        <f ca="1">_xll.DBRW($B$9,$C$18,$C$19,S$26,S$25,$C$21,$C$22,$B41,T$27)</f>
        <v>0</v>
      </c>
      <c r="U41" s="21">
        <f ca="1">_xll.DBRW($B$9,$C$18,$C$19,S$26,S$25,$C$21,$C$22,$B41,U$27)</f>
        <v>0</v>
      </c>
      <c r="V41" s="19">
        <f ca="1">_xll.DBRW($B$9,$C$18,$C$19,V$26,V$25,$C$21,$C$22,$B41,V$27)</f>
        <v>0</v>
      </c>
      <c r="W41" s="20">
        <f ca="1">_xll.DBRW($B$9,$C$18,$C$19,V$26,V$25,$C$21,$C$22,$B41,W$27)</f>
        <v>0</v>
      </c>
      <c r="X41" s="20">
        <f ca="1">_xll.DBRW($B$9,$C$18,$C$19,V$26,V$25,$C$21,$C$22,$B41,X$27)</f>
        <v>0</v>
      </c>
      <c r="Y41" s="36">
        <f t="shared" ca="1" si="4"/>
        <v>0</v>
      </c>
      <c r="Z41" s="2">
        <f t="shared" ca="1" si="5"/>
        <v>0</v>
      </c>
    </row>
    <row r="42" spans="1:26" ht="15.75" thickBot="1">
      <c r="A42">
        <f ca="1">IF(_xll.TM1RPTELISCONSOLIDATED($B$28,$B42),IF(_xll.TM1RPTELLEV($B$28,$B42)&lt;=3,_xll.TM1RPTELLEV($B$28,$B42),"D"),"N")</f>
        <v>1</v>
      </c>
      <c r="B42" s="15" t="s">
        <v>56</v>
      </c>
      <c r="C42" s="19">
        <f ca="1">_xll.DBRW($B$9,$C$18,$C$19,C$26,C$25,$C$21,$C$22,$B42,C$27)</f>
        <v>0</v>
      </c>
      <c r="D42" s="20">
        <f ca="1">_xll.DBRW($B$9,$C$18,$C$19,C$26,C$25,$C$21,$C$22,$B42,D$27)</f>
        <v>0</v>
      </c>
      <c r="E42" s="21">
        <f ca="1">_xll.DBRW($B$9,$C$18,$C$19,C$26,C$25,$C$21,$C$22,$B42,E$27)</f>
        <v>0</v>
      </c>
      <c r="F42" s="19">
        <f ca="1">_xll.DBRW($B$9,$C$18,$C$19,F$26,F$25,$C$21,$C$22,$B42,F$27)</f>
        <v>0</v>
      </c>
      <c r="G42" s="20">
        <f ca="1">_xll.DBRW($B$9,$C$18,$C$19,F$26,F$25,$C$21,$C$22,$B42,G$27)</f>
        <v>0</v>
      </c>
      <c r="H42" s="20">
        <f ca="1">_xll.DBRW($B$9,$C$18,$C$19,F$26,F$25,$C$21,$C$22,$B42,H$27)</f>
        <v>0</v>
      </c>
      <c r="I42" s="40">
        <f t="shared" ca="1" si="0"/>
        <v>0</v>
      </c>
      <c r="J42" s="40">
        <f t="shared" ca="1" si="1"/>
        <v>0</v>
      </c>
      <c r="K42" s="20">
        <f ca="1">_xll.DBRW($B$9,$C$18,$C$19,K$26,K$25,$C$21,$C$22,$B42,K$27)</f>
        <v>0</v>
      </c>
      <c r="L42" s="20">
        <f ca="1">_xll.DBRW($B$9,$C$18,$C$19,K$26,K$25,$C$21,$C$22,$B42,L$27)</f>
        <v>0</v>
      </c>
      <c r="M42" s="21">
        <f ca="1">_xll.DBRW($B$9,$C$18,$C$19,K$26,K$25,$C$21,$C$22,$B42,M$27)</f>
        <v>0</v>
      </c>
      <c r="N42" s="19">
        <f ca="1">_xll.DBRW($B$9,$C$18,$C$19,N$26,N$25,$C$21,$C$22,$B42,N$27)</f>
        <v>0</v>
      </c>
      <c r="O42" s="20">
        <f ca="1">_xll.DBRW($B$9,$C$18,$C$19,N$26,N$25,$C$21,$C$22,$B42,O$27)</f>
        <v>0</v>
      </c>
      <c r="P42" s="20">
        <f ca="1">_xll.DBRW($B$9,$C$18,$C$19,N$26,N$25,$C$21,$C$22,$B42,P$27)</f>
        <v>0</v>
      </c>
      <c r="Q42" s="40">
        <f t="shared" ca="1" si="2"/>
        <v>0</v>
      </c>
      <c r="R42" s="40">
        <f t="shared" ca="1" si="3"/>
        <v>0</v>
      </c>
      <c r="S42" s="20">
        <f ca="1">_xll.DBRW($B$9,$C$18,$C$19,S$26,S$25,$C$21,$C$22,$B42,S$27)</f>
        <v>0</v>
      </c>
      <c r="T42" s="20">
        <f ca="1">_xll.DBRW($B$9,$C$18,$C$19,S$26,S$25,$C$21,$C$22,$B42,T$27)</f>
        <v>0</v>
      </c>
      <c r="U42" s="21">
        <f ca="1">_xll.DBRW($B$9,$C$18,$C$19,S$26,S$25,$C$21,$C$22,$B42,U$27)</f>
        <v>0</v>
      </c>
      <c r="V42" s="19">
        <f ca="1">_xll.DBRW($B$9,$C$18,$C$19,V$26,V$25,$C$21,$C$22,$B42,V$27)</f>
        <v>0</v>
      </c>
      <c r="W42" s="20">
        <f ca="1">_xll.DBRW($B$9,$C$18,$C$19,V$26,V$25,$C$21,$C$22,$B42,W$27)</f>
        <v>0</v>
      </c>
      <c r="X42" s="20">
        <f ca="1">_xll.DBRW($B$9,$C$18,$C$19,V$26,V$25,$C$21,$C$22,$B42,X$27)</f>
        <v>0</v>
      </c>
      <c r="Y42" s="36">
        <f t="shared" ca="1" si="4"/>
        <v>0</v>
      </c>
      <c r="Z42" s="2">
        <f t="shared" ca="1" si="5"/>
        <v>0</v>
      </c>
    </row>
    <row r="43" spans="1:26" ht="15.75" thickBot="1">
      <c r="A43">
        <f ca="1">IF(_xll.TM1RPTELISCONSOLIDATED($B$28,$B43),IF(_xll.TM1RPTELLEV($B$28,$B43)&lt;=3,_xll.TM1RPTELLEV($B$28,$B43),"D"),"N")</f>
        <v>1</v>
      </c>
      <c r="B43" s="15" t="s">
        <v>57</v>
      </c>
      <c r="C43" s="19">
        <f ca="1">_xll.DBRW($B$9,$C$18,$C$19,C$26,C$25,$C$21,$C$22,$B43,C$27)</f>
        <v>0</v>
      </c>
      <c r="D43" s="20">
        <f ca="1">_xll.DBRW($B$9,$C$18,$C$19,C$26,C$25,$C$21,$C$22,$B43,D$27)</f>
        <v>0</v>
      </c>
      <c r="E43" s="21">
        <f ca="1">_xll.DBRW($B$9,$C$18,$C$19,C$26,C$25,$C$21,$C$22,$B43,E$27)</f>
        <v>0</v>
      </c>
      <c r="F43" s="19">
        <f ca="1">_xll.DBRW($B$9,$C$18,$C$19,F$26,F$25,$C$21,$C$22,$B43,F$27)</f>
        <v>0</v>
      </c>
      <c r="G43" s="20">
        <f ca="1">_xll.DBRW($B$9,$C$18,$C$19,F$26,F$25,$C$21,$C$22,$B43,G$27)</f>
        <v>0</v>
      </c>
      <c r="H43" s="20">
        <f ca="1">_xll.DBRW($B$9,$C$18,$C$19,F$26,F$25,$C$21,$C$22,$B43,H$27)</f>
        <v>0</v>
      </c>
      <c r="I43" s="40">
        <f t="shared" ca="1" si="0"/>
        <v>0</v>
      </c>
      <c r="J43" s="40">
        <f t="shared" ca="1" si="1"/>
        <v>0</v>
      </c>
      <c r="K43" s="20">
        <f ca="1">_xll.DBRW($B$9,$C$18,$C$19,K$26,K$25,$C$21,$C$22,$B43,K$27)</f>
        <v>0</v>
      </c>
      <c r="L43" s="20">
        <f ca="1">_xll.DBRW($B$9,$C$18,$C$19,K$26,K$25,$C$21,$C$22,$B43,L$27)</f>
        <v>0</v>
      </c>
      <c r="M43" s="21">
        <f ca="1">_xll.DBRW($B$9,$C$18,$C$19,K$26,K$25,$C$21,$C$22,$B43,M$27)</f>
        <v>0</v>
      </c>
      <c r="N43" s="19">
        <f ca="1">_xll.DBRW($B$9,$C$18,$C$19,N$26,N$25,$C$21,$C$22,$B43,N$27)</f>
        <v>0</v>
      </c>
      <c r="O43" s="20">
        <f ca="1">_xll.DBRW($B$9,$C$18,$C$19,N$26,N$25,$C$21,$C$22,$B43,O$27)</f>
        <v>0</v>
      </c>
      <c r="P43" s="20">
        <f ca="1">_xll.DBRW($B$9,$C$18,$C$19,N$26,N$25,$C$21,$C$22,$B43,P$27)</f>
        <v>0</v>
      </c>
      <c r="Q43" s="40">
        <f t="shared" ca="1" si="2"/>
        <v>0</v>
      </c>
      <c r="R43" s="40">
        <f t="shared" ca="1" si="3"/>
        <v>0</v>
      </c>
      <c r="S43" s="20">
        <f ca="1">_xll.DBRW($B$9,$C$18,$C$19,S$26,S$25,$C$21,$C$22,$B43,S$27)</f>
        <v>0</v>
      </c>
      <c r="T43" s="20">
        <f ca="1">_xll.DBRW($B$9,$C$18,$C$19,S$26,S$25,$C$21,$C$22,$B43,T$27)</f>
        <v>0</v>
      </c>
      <c r="U43" s="21">
        <f ca="1">_xll.DBRW($B$9,$C$18,$C$19,S$26,S$25,$C$21,$C$22,$B43,U$27)</f>
        <v>0</v>
      </c>
      <c r="V43" s="19">
        <f ca="1">_xll.DBRW($B$9,$C$18,$C$19,V$26,V$25,$C$21,$C$22,$B43,V$27)</f>
        <v>0</v>
      </c>
      <c r="W43" s="20">
        <f ca="1">_xll.DBRW($B$9,$C$18,$C$19,V$26,V$25,$C$21,$C$22,$B43,W$27)</f>
        <v>0</v>
      </c>
      <c r="X43" s="20">
        <f ca="1">_xll.DBRW($B$9,$C$18,$C$19,V$26,V$25,$C$21,$C$22,$B43,X$27)</f>
        <v>0</v>
      </c>
      <c r="Y43" s="36">
        <f t="shared" ca="1" si="4"/>
        <v>0</v>
      </c>
      <c r="Z43" s="2">
        <f t="shared" ca="1" si="5"/>
        <v>0</v>
      </c>
    </row>
    <row r="44" spans="1:26" ht="15.75" thickBot="1">
      <c r="A44">
        <f ca="1">IF(_xll.TM1RPTELISCONSOLIDATED($B$28,$B44),IF(_xll.TM1RPTELLEV($B$28,$B44)&lt;=3,_xll.TM1RPTELLEV($B$28,$B44),"D"),"N")</f>
        <v>1</v>
      </c>
      <c r="B44" s="15" t="s">
        <v>58</v>
      </c>
      <c r="C44" s="19">
        <f ca="1">_xll.DBRW($B$9,$C$18,$C$19,C$26,C$25,$C$21,$C$22,$B44,C$27)</f>
        <v>0</v>
      </c>
      <c r="D44" s="20">
        <f ca="1">_xll.DBRW($B$9,$C$18,$C$19,C$26,C$25,$C$21,$C$22,$B44,D$27)</f>
        <v>0</v>
      </c>
      <c r="E44" s="21">
        <f ca="1">_xll.DBRW($B$9,$C$18,$C$19,C$26,C$25,$C$21,$C$22,$B44,E$27)</f>
        <v>0</v>
      </c>
      <c r="F44" s="19">
        <f ca="1">_xll.DBRW($B$9,$C$18,$C$19,F$26,F$25,$C$21,$C$22,$B44,F$27)</f>
        <v>0</v>
      </c>
      <c r="G44" s="20">
        <f ca="1">_xll.DBRW($B$9,$C$18,$C$19,F$26,F$25,$C$21,$C$22,$B44,G$27)</f>
        <v>0</v>
      </c>
      <c r="H44" s="20">
        <f ca="1">_xll.DBRW($B$9,$C$18,$C$19,F$26,F$25,$C$21,$C$22,$B44,H$27)</f>
        <v>0</v>
      </c>
      <c r="I44" s="40">
        <f t="shared" ca="1" si="0"/>
        <v>0</v>
      </c>
      <c r="J44" s="40">
        <f t="shared" ca="1" si="1"/>
        <v>0</v>
      </c>
      <c r="K44" s="20">
        <f ca="1">_xll.DBRW($B$9,$C$18,$C$19,K$26,K$25,$C$21,$C$22,$B44,K$27)</f>
        <v>0</v>
      </c>
      <c r="L44" s="20">
        <f ca="1">_xll.DBRW($B$9,$C$18,$C$19,K$26,K$25,$C$21,$C$22,$B44,L$27)</f>
        <v>0</v>
      </c>
      <c r="M44" s="21">
        <f ca="1">_xll.DBRW($B$9,$C$18,$C$19,K$26,K$25,$C$21,$C$22,$B44,M$27)</f>
        <v>0</v>
      </c>
      <c r="N44" s="19">
        <f ca="1">_xll.DBRW($B$9,$C$18,$C$19,N$26,N$25,$C$21,$C$22,$B44,N$27)</f>
        <v>0</v>
      </c>
      <c r="O44" s="20">
        <f ca="1">_xll.DBRW($B$9,$C$18,$C$19,N$26,N$25,$C$21,$C$22,$B44,O$27)</f>
        <v>0</v>
      </c>
      <c r="P44" s="20">
        <f ca="1">_xll.DBRW($B$9,$C$18,$C$19,N$26,N$25,$C$21,$C$22,$B44,P$27)</f>
        <v>0</v>
      </c>
      <c r="Q44" s="40">
        <f t="shared" ca="1" si="2"/>
        <v>0</v>
      </c>
      <c r="R44" s="40">
        <f t="shared" ca="1" si="3"/>
        <v>0</v>
      </c>
      <c r="S44" s="20">
        <f ca="1">_xll.DBRW($B$9,$C$18,$C$19,S$26,S$25,$C$21,$C$22,$B44,S$27)</f>
        <v>0</v>
      </c>
      <c r="T44" s="20">
        <f ca="1">_xll.DBRW($B$9,$C$18,$C$19,S$26,S$25,$C$21,$C$22,$B44,T$27)</f>
        <v>0</v>
      </c>
      <c r="U44" s="21">
        <f ca="1">_xll.DBRW($B$9,$C$18,$C$19,S$26,S$25,$C$21,$C$22,$B44,U$27)</f>
        <v>0</v>
      </c>
      <c r="V44" s="19">
        <f ca="1">_xll.DBRW($B$9,$C$18,$C$19,V$26,V$25,$C$21,$C$22,$B44,V$27)</f>
        <v>0</v>
      </c>
      <c r="W44" s="20">
        <f ca="1">_xll.DBRW($B$9,$C$18,$C$19,V$26,V$25,$C$21,$C$22,$B44,W$27)</f>
        <v>0</v>
      </c>
      <c r="X44" s="20">
        <f ca="1">_xll.DBRW($B$9,$C$18,$C$19,V$26,V$25,$C$21,$C$22,$B44,X$27)</f>
        <v>0</v>
      </c>
      <c r="Y44" s="36">
        <f t="shared" ca="1" si="4"/>
        <v>0</v>
      </c>
      <c r="Z44" s="2">
        <f t="shared" ca="1" si="5"/>
        <v>0</v>
      </c>
    </row>
    <row r="45" spans="1:26" ht="15.75" thickBot="1">
      <c r="A45">
        <f ca="1">IF(_xll.TM1RPTELISCONSOLIDATED($B$28,$B45),IF(_xll.TM1RPTELLEV($B$28,$B45)&lt;=3,_xll.TM1RPTELLEV($B$28,$B45),"D"),"N")</f>
        <v>1</v>
      </c>
      <c r="B45" s="15" t="s">
        <v>59</v>
      </c>
      <c r="C45" s="19">
        <f ca="1">_xll.DBRW($B$9,$C$18,$C$19,C$26,C$25,$C$21,$C$22,$B45,C$27)</f>
        <v>0</v>
      </c>
      <c r="D45" s="20">
        <f ca="1">_xll.DBRW($B$9,$C$18,$C$19,C$26,C$25,$C$21,$C$22,$B45,D$27)</f>
        <v>0</v>
      </c>
      <c r="E45" s="21">
        <f ca="1">_xll.DBRW($B$9,$C$18,$C$19,C$26,C$25,$C$21,$C$22,$B45,E$27)</f>
        <v>0</v>
      </c>
      <c r="F45" s="19">
        <f ca="1">_xll.DBRW($B$9,$C$18,$C$19,F$26,F$25,$C$21,$C$22,$B45,F$27)</f>
        <v>0</v>
      </c>
      <c r="G45" s="20">
        <f ca="1">_xll.DBRW($B$9,$C$18,$C$19,F$26,F$25,$C$21,$C$22,$B45,G$27)</f>
        <v>0</v>
      </c>
      <c r="H45" s="20">
        <f ca="1">_xll.DBRW($B$9,$C$18,$C$19,F$26,F$25,$C$21,$C$22,$B45,H$27)</f>
        <v>0</v>
      </c>
      <c r="I45" s="40">
        <f t="shared" ca="1" si="0"/>
        <v>0</v>
      </c>
      <c r="J45" s="40">
        <f t="shared" ca="1" si="1"/>
        <v>0</v>
      </c>
      <c r="K45" s="20">
        <f ca="1">_xll.DBRW($B$9,$C$18,$C$19,K$26,K$25,$C$21,$C$22,$B45,K$27)</f>
        <v>0</v>
      </c>
      <c r="L45" s="20">
        <f ca="1">_xll.DBRW($B$9,$C$18,$C$19,K$26,K$25,$C$21,$C$22,$B45,L$27)</f>
        <v>0</v>
      </c>
      <c r="M45" s="21">
        <f ca="1">_xll.DBRW($B$9,$C$18,$C$19,K$26,K$25,$C$21,$C$22,$B45,M$27)</f>
        <v>0</v>
      </c>
      <c r="N45" s="19">
        <f ca="1">_xll.DBRW($B$9,$C$18,$C$19,N$26,N$25,$C$21,$C$22,$B45,N$27)</f>
        <v>0</v>
      </c>
      <c r="O45" s="20">
        <f ca="1">_xll.DBRW($B$9,$C$18,$C$19,N$26,N$25,$C$21,$C$22,$B45,O$27)</f>
        <v>0</v>
      </c>
      <c r="P45" s="20">
        <f ca="1">_xll.DBRW($B$9,$C$18,$C$19,N$26,N$25,$C$21,$C$22,$B45,P$27)</f>
        <v>0</v>
      </c>
      <c r="Q45" s="40">
        <f t="shared" ca="1" si="2"/>
        <v>0</v>
      </c>
      <c r="R45" s="40">
        <f t="shared" ca="1" si="3"/>
        <v>0</v>
      </c>
      <c r="S45" s="20">
        <f ca="1">_xll.DBRW($B$9,$C$18,$C$19,S$26,S$25,$C$21,$C$22,$B45,S$27)</f>
        <v>0</v>
      </c>
      <c r="T45" s="20">
        <f ca="1">_xll.DBRW($B$9,$C$18,$C$19,S$26,S$25,$C$21,$C$22,$B45,T$27)</f>
        <v>0</v>
      </c>
      <c r="U45" s="21">
        <f ca="1">_xll.DBRW($B$9,$C$18,$C$19,S$26,S$25,$C$21,$C$22,$B45,U$27)</f>
        <v>0</v>
      </c>
      <c r="V45" s="19">
        <f ca="1">_xll.DBRW($B$9,$C$18,$C$19,V$26,V$25,$C$21,$C$22,$B45,V$27)</f>
        <v>0</v>
      </c>
      <c r="W45" s="20">
        <f ca="1">_xll.DBRW($B$9,$C$18,$C$19,V$26,V$25,$C$21,$C$22,$B45,W$27)</f>
        <v>0</v>
      </c>
      <c r="X45" s="20">
        <f ca="1">_xll.DBRW($B$9,$C$18,$C$19,V$26,V$25,$C$21,$C$22,$B45,X$27)</f>
        <v>0</v>
      </c>
      <c r="Y45" s="36">
        <f t="shared" ca="1" si="4"/>
        <v>0</v>
      </c>
      <c r="Z45" s="2">
        <f t="shared" ca="1" si="5"/>
        <v>0</v>
      </c>
    </row>
    <row r="46" spans="1:26" ht="15.75" thickBot="1">
      <c r="A46">
        <f ca="1">IF(_xll.TM1RPTELISCONSOLIDATED($B$28,$B46),IF(_xll.TM1RPTELLEV($B$28,$B46)&lt;=3,_xll.TM1RPTELLEV($B$28,$B46),"D"),"N")</f>
        <v>1</v>
      </c>
      <c r="B46" s="15" t="s">
        <v>60</v>
      </c>
      <c r="C46" s="19">
        <f ca="1">_xll.DBRW($B$9,$C$18,$C$19,C$26,C$25,$C$21,$C$22,$B46,C$27)</f>
        <v>0</v>
      </c>
      <c r="D46" s="20">
        <f ca="1">_xll.DBRW($B$9,$C$18,$C$19,C$26,C$25,$C$21,$C$22,$B46,D$27)</f>
        <v>0</v>
      </c>
      <c r="E46" s="21">
        <f ca="1">_xll.DBRW($B$9,$C$18,$C$19,C$26,C$25,$C$21,$C$22,$B46,E$27)</f>
        <v>0</v>
      </c>
      <c r="F46" s="19">
        <f ca="1">_xll.DBRW($B$9,$C$18,$C$19,F$26,F$25,$C$21,$C$22,$B46,F$27)</f>
        <v>0</v>
      </c>
      <c r="G46" s="20">
        <f ca="1">_xll.DBRW($B$9,$C$18,$C$19,F$26,F$25,$C$21,$C$22,$B46,G$27)</f>
        <v>0</v>
      </c>
      <c r="H46" s="20">
        <f ca="1">_xll.DBRW($B$9,$C$18,$C$19,F$26,F$25,$C$21,$C$22,$B46,H$27)</f>
        <v>0</v>
      </c>
      <c r="I46" s="40">
        <f t="shared" ca="1" si="0"/>
        <v>0</v>
      </c>
      <c r="J46" s="40">
        <f t="shared" ca="1" si="1"/>
        <v>0</v>
      </c>
      <c r="K46" s="20">
        <f ca="1">_xll.DBRW($B$9,$C$18,$C$19,K$26,K$25,$C$21,$C$22,$B46,K$27)</f>
        <v>0</v>
      </c>
      <c r="L46" s="20">
        <f ca="1">_xll.DBRW($B$9,$C$18,$C$19,K$26,K$25,$C$21,$C$22,$B46,L$27)</f>
        <v>0</v>
      </c>
      <c r="M46" s="21">
        <f ca="1">_xll.DBRW($B$9,$C$18,$C$19,K$26,K$25,$C$21,$C$22,$B46,M$27)</f>
        <v>0</v>
      </c>
      <c r="N46" s="19">
        <f ca="1">_xll.DBRW($B$9,$C$18,$C$19,N$26,N$25,$C$21,$C$22,$B46,N$27)</f>
        <v>0</v>
      </c>
      <c r="O46" s="20">
        <f ca="1">_xll.DBRW($B$9,$C$18,$C$19,N$26,N$25,$C$21,$C$22,$B46,O$27)</f>
        <v>0</v>
      </c>
      <c r="P46" s="20">
        <f ca="1">_xll.DBRW($B$9,$C$18,$C$19,N$26,N$25,$C$21,$C$22,$B46,P$27)</f>
        <v>0</v>
      </c>
      <c r="Q46" s="40">
        <f t="shared" ca="1" si="2"/>
        <v>0</v>
      </c>
      <c r="R46" s="40">
        <f t="shared" ca="1" si="3"/>
        <v>0</v>
      </c>
      <c r="S46" s="20">
        <f ca="1">_xll.DBRW($B$9,$C$18,$C$19,S$26,S$25,$C$21,$C$22,$B46,S$27)</f>
        <v>0</v>
      </c>
      <c r="T46" s="20">
        <f ca="1">_xll.DBRW($B$9,$C$18,$C$19,S$26,S$25,$C$21,$C$22,$B46,T$27)</f>
        <v>0</v>
      </c>
      <c r="U46" s="21">
        <f ca="1">_xll.DBRW($B$9,$C$18,$C$19,S$26,S$25,$C$21,$C$22,$B46,U$27)</f>
        <v>0</v>
      </c>
      <c r="V46" s="19">
        <f ca="1">_xll.DBRW($B$9,$C$18,$C$19,V$26,V$25,$C$21,$C$22,$B46,V$27)</f>
        <v>0</v>
      </c>
      <c r="W46" s="20">
        <f ca="1">_xll.DBRW($B$9,$C$18,$C$19,V$26,V$25,$C$21,$C$22,$B46,W$27)</f>
        <v>0</v>
      </c>
      <c r="X46" s="20">
        <f ca="1">_xll.DBRW($B$9,$C$18,$C$19,V$26,V$25,$C$21,$C$22,$B46,X$27)</f>
        <v>0</v>
      </c>
      <c r="Y46" s="36">
        <f t="shared" ca="1" si="4"/>
        <v>0</v>
      </c>
      <c r="Z46" s="2">
        <f t="shared" ca="1" si="5"/>
        <v>0</v>
      </c>
    </row>
    <row r="47" spans="1:26" ht="15.75" thickBot="1">
      <c r="A47">
        <f ca="1">IF(_xll.TM1RPTELISCONSOLIDATED($B$28,$B47),IF(_xll.TM1RPTELLEV($B$28,$B47)&lt;=3,_xll.TM1RPTELLEV($B$28,$B47),"D"),"N")</f>
        <v>1</v>
      </c>
      <c r="B47" s="15" t="s">
        <v>61</v>
      </c>
      <c r="C47" s="19">
        <f ca="1">_xll.DBRW($B$9,$C$18,$C$19,C$26,C$25,$C$21,$C$22,$B47,C$27)</f>
        <v>0</v>
      </c>
      <c r="D47" s="20">
        <f ca="1">_xll.DBRW($B$9,$C$18,$C$19,C$26,C$25,$C$21,$C$22,$B47,D$27)</f>
        <v>0</v>
      </c>
      <c r="E47" s="21">
        <f ca="1">_xll.DBRW($B$9,$C$18,$C$19,C$26,C$25,$C$21,$C$22,$B47,E$27)</f>
        <v>0</v>
      </c>
      <c r="F47" s="19">
        <f ca="1">_xll.DBRW($B$9,$C$18,$C$19,F$26,F$25,$C$21,$C$22,$B47,F$27)</f>
        <v>0</v>
      </c>
      <c r="G47" s="20">
        <f ca="1">_xll.DBRW($B$9,$C$18,$C$19,F$26,F$25,$C$21,$C$22,$B47,G$27)</f>
        <v>0</v>
      </c>
      <c r="H47" s="20">
        <f ca="1">_xll.DBRW($B$9,$C$18,$C$19,F$26,F$25,$C$21,$C$22,$B47,H$27)</f>
        <v>0</v>
      </c>
      <c r="I47" s="40">
        <f t="shared" ca="1" si="0"/>
        <v>0</v>
      </c>
      <c r="J47" s="40">
        <f t="shared" ca="1" si="1"/>
        <v>0</v>
      </c>
      <c r="K47" s="20">
        <f ca="1">_xll.DBRW($B$9,$C$18,$C$19,K$26,K$25,$C$21,$C$22,$B47,K$27)</f>
        <v>0</v>
      </c>
      <c r="L47" s="20">
        <f ca="1">_xll.DBRW($B$9,$C$18,$C$19,K$26,K$25,$C$21,$C$22,$B47,L$27)</f>
        <v>0</v>
      </c>
      <c r="M47" s="21">
        <f ca="1">_xll.DBRW($B$9,$C$18,$C$19,K$26,K$25,$C$21,$C$22,$B47,M$27)</f>
        <v>0</v>
      </c>
      <c r="N47" s="19">
        <f ca="1">_xll.DBRW($B$9,$C$18,$C$19,N$26,N$25,$C$21,$C$22,$B47,N$27)</f>
        <v>0</v>
      </c>
      <c r="O47" s="20">
        <f ca="1">_xll.DBRW($B$9,$C$18,$C$19,N$26,N$25,$C$21,$C$22,$B47,O$27)</f>
        <v>0</v>
      </c>
      <c r="P47" s="20">
        <f ca="1">_xll.DBRW($B$9,$C$18,$C$19,N$26,N$25,$C$21,$C$22,$B47,P$27)</f>
        <v>0</v>
      </c>
      <c r="Q47" s="40">
        <f t="shared" ca="1" si="2"/>
        <v>0</v>
      </c>
      <c r="R47" s="40">
        <f t="shared" ca="1" si="3"/>
        <v>0</v>
      </c>
      <c r="S47" s="20">
        <f ca="1">_xll.DBRW($B$9,$C$18,$C$19,S$26,S$25,$C$21,$C$22,$B47,S$27)</f>
        <v>0</v>
      </c>
      <c r="T47" s="20">
        <f ca="1">_xll.DBRW($B$9,$C$18,$C$19,S$26,S$25,$C$21,$C$22,$B47,T$27)</f>
        <v>0</v>
      </c>
      <c r="U47" s="21">
        <f ca="1">_xll.DBRW($B$9,$C$18,$C$19,S$26,S$25,$C$21,$C$22,$B47,U$27)</f>
        <v>0</v>
      </c>
      <c r="V47" s="19">
        <f ca="1">_xll.DBRW($B$9,$C$18,$C$19,V$26,V$25,$C$21,$C$22,$B47,V$27)</f>
        <v>0</v>
      </c>
      <c r="W47" s="20">
        <f ca="1">_xll.DBRW($B$9,$C$18,$C$19,V$26,V$25,$C$21,$C$22,$B47,W$27)</f>
        <v>0</v>
      </c>
      <c r="X47" s="20">
        <f ca="1">_xll.DBRW($B$9,$C$18,$C$19,V$26,V$25,$C$21,$C$22,$B47,X$27)</f>
        <v>0</v>
      </c>
      <c r="Y47" s="36">
        <f t="shared" ca="1" si="4"/>
        <v>0</v>
      </c>
      <c r="Z47" s="2">
        <f t="shared" ca="1" si="5"/>
        <v>0</v>
      </c>
    </row>
    <row r="48" spans="1:26" ht="15.75" thickBot="1">
      <c r="A48">
        <f ca="1">IF(_xll.TM1RPTELISCONSOLIDATED($B$28,$B48),IF(_xll.TM1RPTELLEV($B$28,$B48)&lt;=3,_xll.TM1RPTELLEV($B$28,$B48),"D"),"N")</f>
        <v>1</v>
      </c>
      <c r="B48" s="15" t="s">
        <v>62</v>
      </c>
      <c r="C48" s="19">
        <f ca="1">_xll.DBRW($B$9,$C$18,$C$19,C$26,C$25,$C$21,$C$22,$B48,C$27)</f>
        <v>0</v>
      </c>
      <c r="D48" s="20">
        <f ca="1">_xll.DBRW($B$9,$C$18,$C$19,C$26,C$25,$C$21,$C$22,$B48,D$27)</f>
        <v>0</v>
      </c>
      <c r="E48" s="21">
        <f ca="1">_xll.DBRW($B$9,$C$18,$C$19,C$26,C$25,$C$21,$C$22,$B48,E$27)</f>
        <v>0</v>
      </c>
      <c r="F48" s="19">
        <f ca="1">_xll.DBRW($B$9,$C$18,$C$19,F$26,F$25,$C$21,$C$22,$B48,F$27)</f>
        <v>0</v>
      </c>
      <c r="G48" s="20">
        <f ca="1">_xll.DBRW($B$9,$C$18,$C$19,F$26,F$25,$C$21,$C$22,$B48,G$27)</f>
        <v>0</v>
      </c>
      <c r="H48" s="20">
        <f ca="1">_xll.DBRW($B$9,$C$18,$C$19,F$26,F$25,$C$21,$C$22,$B48,H$27)</f>
        <v>0</v>
      </c>
      <c r="I48" s="40">
        <f t="shared" ca="1" si="0"/>
        <v>0</v>
      </c>
      <c r="J48" s="40">
        <f t="shared" ca="1" si="1"/>
        <v>0</v>
      </c>
      <c r="K48" s="20">
        <f ca="1">_xll.DBRW($B$9,$C$18,$C$19,K$26,K$25,$C$21,$C$22,$B48,K$27)</f>
        <v>0</v>
      </c>
      <c r="L48" s="20">
        <f ca="1">_xll.DBRW($B$9,$C$18,$C$19,K$26,K$25,$C$21,$C$22,$B48,L$27)</f>
        <v>0</v>
      </c>
      <c r="M48" s="21">
        <f ca="1">_xll.DBRW($B$9,$C$18,$C$19,K$26,K$25,$C$21,$C$22,$B48,M$27)</f>
        <v>0</v>
      </c>
      <c r="N48" s="19">
        <f ca="1">_xll.DBRW($B$9,$C$18,$C$19,N$26,N$25,$C$21,$C$22,$B48,N$27)</f>
        <v>0</v>
      </c>
      <c r="O48" s="20">
        <f ca="1">_xll.DBRW($B$9,$C$18,$C$19,N$26,N$25,$C$21,$C$22,$B48,O$27)</f>
        <v>0</v>
      </c>
      <c r="P48" s="20">
        <f ca="1">_xll.DBRW($B$9,$C$18,$C$19,N$26,N$25,$C$21,$C$22,$B48,P$27)</f>
        <v>0</v>
      </c>
      <c r="Q48" s="40">
        <f t="shared" ca="1" si="2"/>
        <v>0</v>
      </c>
      <c r="R48" s="40">
        <f t="shared" ca="1" si="3"/>
        <v>0</v>
      </c>
      <c r="S48" s="20">
        <f ca="1">_xll.DBRW($B$9,$C$18,$C$19,S$26,S$25,$C$21,$C$22,$B48,S$27)</f>
        <v>0</v>
      </c>
      <c r="T48" s="20">
        <f ca="1">_xll.DBRW($B$9,$C$18,$C$19,S$26,S$25,$C$21,$C$22,$B48,T$27)</f>
        <v>0</v>
      </c>
      <c r="U48" s="21">
        <f ca="1">_xll.DBRW($B$9,$C$18,$C$19,S$26,S$25,$C$21,$C$22,$B48,U$27)</f>
        <v>0</v>
      </c>
      <c r="V48" s="19">
        <f ca="1">_xll.DBRW($B$9,$C$18,$C$19,V$26,V$25,$C$21,$C$22,$B48,V$27)</f>
        <v>0</v>
      </c>
      <c r="W48" s="20">
        <f ca="1">_xll.DBRW($B$9,$C$18,$C$19,V$26,V$25,$C$21,$C$22,$B48,W$27)</f>
        <v>0</v>
      </c>
      <c r="X48" s="20">
        <f ca="1">_xll.DBRW($B$9,$C$18,$C$19,V$26,V$25,$C$21,$C$22,$B48,X$27)</f>
        <v>0</v>
      </c>
      <c r="Y48" s="36">
        <f t="shared" ca="1" si="4"/>
        <v>0</v>
      </c>
      <c r="Z48" s="2">
        <f t="shared" ca="1" si="5"/>
        <v>0</v>
      </c>
    </row>
    <row r="49" spans="1:26" ht="15.75" thickBot="1">
      <c r="A49">
        <f ca="1">IF(_xll.TM1RPTELISCONSOLIDATED($B$28,$B49),IF(_xll.TM1RPTELLEV($B$28,$B49)&lt;=3,_xll.TM1RPTELLEV($B$28,$B49),"D"),"N")</f>
        <v>1</v>
      </c>
      <c r="B49" s="15" t="s">
        <v>63</v>
      </c>
      <c r="C49" s="19">
        <f ca="1">_xll.DBRW($B$9,$C$18,$C$19,C$26,C$25,$C$21,$C$22,$B49,C$27)</f>
        <v>0</v>
      </c>
      <c r="D49" s="20">
        <f ca="1">_xll.DBRW($B$9,$C$18,$C$19,C$26,C$25,$C$21,$C$22,$B49,D$27)</f>
        <v>0</v>
      </c>
      <c r="E49" s="21">
        <f ca="1">_xll.DBRW($B$9,$C$18,$C$19,C$26,C$25,$C$21,$C$22,$B49,E$27)</f>
        <v>0</v>
      </c>
      <c r="F49" s="19">
        <f ca="1">_xll.DBRW($B$9,$C$18,$C$19,F$26,F$25,$C$21,$C$22,$B49,F$27)</f>
        <v>0</v>
      </c>
      <c r="G49" s="20">
        <f ca="1">_xll.DBRW($B$9,$C$18,$C$19,F$26,F$25,$C$21,$C$22,$B49,G$27)</f>
        <v>0</v>
      </c>
      <c r="H49" s="20">
        <f ca="1">_xll.DBRW($B$9,$C$18,$C$19,F$26,F$25,$C$21,$C$22,$B49,H$27)</f>
        <v>0</v>
      </c>
      <c r="I49" s="40">
        <f t="shared" ca="1" si="0"/>
        <v>0</v>
      </c>
      <c r="J49" s="40">
        <f t="shared" ca="1" si="1"/>
        <v>0</v>
      </c>
      <c r="K49" s="20">
        <f ca="1">_xll.DBRW($B$9,$C$18,$C$19,K$26,K$25,$C$21,$C$22,$B49,K$27)</f>
        <v>0</v>
      </c>
      <c r="L49" s="20">
        <f ca="1">_xll.DBRW($B$9,$C$18,$C$19,K$26,K$25,$C$21,$C$22,$B49,L$27)</f>
        <v>0</v>
      </c>
      <c r="M49" s="21">
        <f ca="1">_xll.DBRW($B$9,$C$18,$C$19,K$26,K$25,$C$21,$C$22,$B49,M$27)</f>
        <v>0</v>
      </c>
      <c r="N49" s="19">
        <f ca="1">_xll.DBRW($B$9,$C$18,$C$19,N$26,N$25,$C$21,$C$22,$B49,N$27)</f>
        <v>0</v>
      </c>
      <c r="O49" s="20">
        <f ca="1">_xll.DBRW($B$9,$C$18,$C$19,N$26,N$25,$C$21,$C$22,$B49,O$27)</f>
        <v>0</v>
      </c>
      <c r="P49" s="20">
        <f ca="1">_xll.DBRW($B$9,$C$18,$C$19,N$26,N$25,$C$21,$C$22,$B49,P$27)</f>
        <v>0</v>
      </c>
      <c r="Q49" s="40">
        <f t="shared" ca="1" si="2"/>
        <v>0</v>
      </c>
      <c r="R49" s="40">
        <f t="shared" ca="1" si="3"/>
        <v>0</v>
      </c>
      <c r="S49" s="20">
        <f ca="1">_xll.DBRW($B$9,$C$18,$C$19,S$26,S$25,$C$21,$C$22,$B49,S$27)</f>
        <v>0</v>
      </c>
      <c r="T49" s="20">
        <f ca="1">_xll.DBRW($B$9,$C$18,$C$19,S$26,S$25,$C$21,$C$22,$B49,T$27)</f>
        <v>0</v>
      </c>
      <c r="U49" s="21">
        <f ca="1">_xll.DBRW($B$9,$C$18,$C$19,S$26,S$25,$C$21,$C$22,$B49,U$27)</f>
        <v>0</v>
      </c>
      <c r="V49" s="19">
        <f ca="1">_xll.DBRW($B$9,$C$18,$C$19,V$26,V$25,$C$21,$C$22,$B49,V$27)</f>
        <v>0</v>
      </c>
      <c r="W49" s="20">
        <f ca="1">_xll.DBRW($B$9,$C$18,$C$19,V$26,V$25,$C$21,$C$22,$B49,W$27)</f>
        <v>0</v>
      </c>
      <c r="X49" s="20">
        <f ca="1">_xll.DBRW($B$9,$C$18,$C$19,V$26,V$25,$C$21,$C$22,$B49,X$27)</f>
        <v>0</v>
      </c>
      <c r="Y49" s="36">
        <f t="shared" ca="1" si="4"/>
        <v>0</v>
      </c>
      <c r="Z49" s="2">
        <f t="shared" ca="1" si="5"/>
        <v>0</v>
      </c>
    </row>
    <row r="50" spans="1:26">
      <c r="A50">
        <f ca="1">IF(_xll.TM1RPTELISCONSOLIDATED($B$28,$B50),IF(_xll.TM1RPTELLEV($B$28,$B50)&lt;=3,_xll.TM1RPTELLEV($B$28,$B50),"D"),"N")</f>
        <v>1</v>
      </c>
      <c r="B50" s="15" t="s">
        <v>64</v>
      </c>
      <c r="C50" s="19">
        <f ca="1">_xll.DBRW($B$9,$C$18,$C$19,C$26,C$25,$C$21,$C$22,$B50,C$27)</f>
        <v>0</v>
      </c>
      <c r="D50" s="20">
        <f ca="1">_xll.DBRW($B$9,$C$18,$C$19,C$26,C$25,$C$21,$C$22,$B50,D$27)</f>
        <v>0</v>
      </c>
      <c r="E50" s="21">
        <f ca="1">_xll.DBRW($B$9,$C$18,$C$19,C$26,C$25,$C$21,$C$22,$B50,E$27)</f>
        <v>0</v>
      </c>
      <c r="F50" s="19">
        <f ca="1">_xll.DBRW($B$9,$C$18,$C$19,F$26,F$25,$C$21,$C$22,$B50,F$27)</f>
        <v>0</v>
      </c>
      <c r="G50" s="20">
        <f ca="1">_xll.DBRW($B$9,$C$18,$C$19,F$26,F$25,$C$21,$C$22,$B50,G$27)</f>
        <v>0</v>
      </c>
      <c r="H50" s="20">
        <f ca="1">_xll.DBRW($B$9,$C$18,$C$19,F$26,F$25,$C$21,$C$22,$B50,H$27)</f>
        <v>0</v>
      </c>
      <c r="I50" s="40">
        <f t="shared" ca="1" si="0"/>
        <v>0</v>
      </c>
      <c r="J50" s="40">
        <f t="shared" ca="1" si="1"/>
        <v>0</v>
      </c>
      <c r="K50" s="20">
        <f ca="1">_xll.DBRW($B$9,$C$18,$C$19,K$26,K$25,$C$21,$C$22,$B50,K$27)</f>
        <v>0</v>
      </c>
      <c r="L50" s="20">
        <f ca="1">_xll.DBRW($B$9,$C$18,$C$19,K$26,K$25,$C$21,$C$22,$B50,L$27)</f>
        <v>0</v>
      </c>
      <c r="M50" s="21">
        <f ca="1">_xll.DBRW($B$9,$C$18,$C$19,K$26,K$25,$C$21,$C$22,$B50,M$27)</f>
        <v>0</v>
      </c>
      <c r="N50" s="19">
        <f ca="1">_xll.DBRW($B$9,$C$18,$C$19,N$26,N$25,$C$21,$C$22,$B50,N$27)</f>
        <v>0</v>
      </c>
      <c r="O50" s="20">
        <f ca="1">_xll.DBRW($B$9,$C$18,$C$19,N$26,N$25,$C$21,$C$22,$B50,O$27)</f>
        <v>0</v>
      </c>
      <c r="P50" s="20">
        <f ca="1">_xll.DBRW($B$9,$C$18,$C$19,N$26,N$25,$C$21,$C$22,$B50,P$27)</f>
        <v>0</v>
      </c>
      <c r="Q50" s="40">
        <f t="shared" ca="1" si="2"/>
        <v>0</v>
      </c>
      <c r="R50" s="40">
        <f t="shared" ca="1" si="3"/>
        <v>0</v>
      </c>
      <c r="S50" s="20">
        <f ca="1">_xll.DBRW($B$9,$C$18,$C$19,S$26,S$25,$C$21,$C$22,$B50,S$27)</f>
        <v>0</v>
      </c>
      <c r="T50" s="20">
        <f ca="1">_xll.DBRW($B$9,$C$18,$C$19,S$26,S$25,$C$21,$C$22,$B50,T$27)</f>
        <v>0</v>
      </c>
      <c r="U50" s="21">
        <f ca="1">_xll.DBRW($B$9,$C$18,$C$19,S$26,S$25,$C$21,$C$22,$B50,U$27)</f>
        <v>0</v>
      </c>
      <c r="V50" s="19">
        <f ca="1">_xll.DBRW($B$9,$C$18,$C$19,V$26,V$25,$C$21,$C$22,$B50,V$27)</f>
        <v>0</v>
      </c>
      <c r="W50" s="20">
        <f ca="1">_xll.DBRW($B$9,$C$18,$C$19,V$26,V$25,$C$21,$C$22,$B50,W$27)</f>
        <v>0</v>
      </c>
      <c r="X50" s="20">
        <f ca="1">_xll.DBRW($B$9,$C$18,$C$19,V$26,V$25,$C$21,$C$22,$B50,X$27)</f>
        <v>0</v>
      </c>
      <c r="Y50" s="36">
        <f t="shared" ca="1" si="4"/>
        <v>0</v>
      </c>
      <c r="Z50" s="2">
        <f t="shared" ca="1" si="5"/>
        <v>0</v>
      </c>
    </row>
    <row r="51" spans="1:26" hidden="1"/>
    <row r="52" spans="1:26" hidden="1"/>
    <row r="53" spans="1:26" hidden="1"/>
    <row r="54" spans="1:26" hidden="1"/>
    <row r="55" spans="1:26" hidden="1"/>
    <row r="56" spans="1:26" hidden="1"/>
    <row r="57" spans="1:26" hidden="1"/>
    <row r="58" spans="1:26" hidden="1"/>
    <row r="59" spans="1:26" hidden="1"/>
    <row r="60" spans="1:26" hidden="1"/>
    <row r="61" spans="1:26" hidden="1"/>
    <row r="62" spans="1:26" hidden="1"/>
    <row r="63" spans="1:26" hidden="1"/>
    <row r="64" spans="1:26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5">
    <mergeCell ref="I25:J26"/>
    <mergeCell ref="Q25:R26"/>
    <mergeCell ref="Y25:Z26"/>
    <mergeCell ref="C25:E25"/>
    <mergeCell ref="F25:H25"/>
    <mergeCell ref="C26:E26"/>
    <mergeCell ref="F26:H26"/>
    <mergeCell ref="K25:M25"/>
    <mergeCell ref="K26:M26"/>
    <mergeCell ref="N26:P26"/>
    <mergeCell ref="N25:P25"/>
    <mergeCell ref="S26:U26"/>
    <mergeCell ref="S25:U25"/>
    <mergeCell ref="V26:X26"/>
    <mergeCell ref="V25:X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733425</xdr:colOff>
                <xdr:row>21</xdr:row>
                <xdr:rowOff>66675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/>
  <sheetData>
    <row r="20" spans="6:6">
      <c r="F20" t="s">
        <v>9</v>
      </c>
    </row>
    <row r="21" spans="6:6">
      <c r="F21" t="s">
        <v>10</v>
      </c>
    </row>
    <row r="22" spans="6:6">
      <c r="F22" t="s">
        <v>11</v>
      </c>
    </row>
    <row r="23" spans="6:6">
      <c r="F23" t="s">
        <v>12</v>
      </c>
    </row>
    <row r="24" spans="6:6">
      <c r="F24" t="s">
        <v>13</v>
      </c>
    </row>
    <row r="25" spans="6:6">
      <c r="F25" t="s">
        <v>14</v>
      </c>
    </row>
    <row r="26" spans="6:6">
      <c r="F26" t="s">
        <v>15</v>
      </c>
    </row>
    <row r="27" spans="6:6">
      <c r="F27" t="s">
        <v>16</v>
      </c>
    </row>
    <row r="28" spans="6:6">
      <c r="F28" t="s">
        <v>17</v>
      </c>
    </row>
    <row r="29" spans="6:6">
      <c r="F29" t="s">
        <v>18</v>
      </c>
    </row>
    <row r="30" spans="6:6">
      <c r="F30" t="s">
        <v>19</v>
      </c>
    </row>
    <row r="31" spans="6:6">
      <c r="F31" t="s">
        <v>20</v>
      </c>
    </row>
    <row r="32" spans="6:6">
      <c r="F32" t="s">
        <v>21</v>
      </c>
    </row>
    <row r="33" spans="6:6">
      <c r="F33" t="s">
        <v>22</v>
      </c>
    </row>
    <row r="34" spans="6:6">
      <c r="F34" t="s">
        <v>23</v>
      </c>
    </row>
    <row r="35" spans="6:6">
      <c r="F35" t="s">
        <v>24</v>
      </c>
    </row>
    <row r="36" spans="6:6">
      <c r="F36" t="s">
        <v>25</v>
      </c>
    </row>
    <row r="37" spans="6:6">
      <c r="F37" t="s">
        <v>26</v>
      </c>
    </row>
    <row r="38" spans="6:6">
      <c r="F38" t="s">
        <v>27</v>
      </c>
    </row>
    <row r="39" spans="6:6">
      <c r="F39" t="s">
        <v>28</v>
      </c>
    </row>
    <row r="40" spans="6:6">
      <c r="F40" t="s">
        <v>29</v>
      </c>
    </row>
    <row r="41" spans="6:6">
      <c r="F41" t="s">
        <v>30</v>
      </c>
    </row>
    <row r="42" spans="6:6">
      <c r="F42" t="s">
        <v>31</v>
      </c>
    </row>
    <row r="43" spans="6:6">
      <c r="F43" t="s">
        <v>32</v>
      </c>
    </row>
    <row r="44" spans="6:6">
      <c r="F44" t="s">
        <v>33</v>
      </c>
    </row>
    <row r="45" spans="6:6">
      <c r="F45" t="s">
        <v>34</v>
      </c>
    </row>
    <row r="46" spans="6:6">
      <c r="F46" t="s">
        <v>35</v>
      </c>
    </row>
    <row r="47" spans="6:6">
      <c r="F4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{AR}01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2016-12-01T15:25:04Z</dcterms:created>
  <dcterms:modified xsi:type="dcterms:W3CDTF">2022-01-25T09:09:03Z</dcterms:modified>
</cp:coreProperties>
</file>