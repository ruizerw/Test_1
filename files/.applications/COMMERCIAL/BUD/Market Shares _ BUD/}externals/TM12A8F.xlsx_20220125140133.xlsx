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drawings/drawing4.xml" ContentType="application/vnd.openxmlformats-officedocument.drawing+xml"/>
  <Override PartName="/xl/activeX/activeX4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23040" windowHeight="9975"/>
  </bookViews>
  <sheets>
    <sheet name="Sales Analysis Summary" sheetId="1" r:id="rId1"/>
    <sheet name="Sales Analysis Detailed" sheetId="5" r:id="rId2"/>
    <sheet name="{AR}01 (2)" sheetId="6" state="hidden" r:id="rId3"/>
    <sheet name="Market shares summary" sheetId="7" r:id="rId4"/>
    <sheet name="{AR}01 (3)" sheetId="8" state="hidden" r:id="rId5"/>
    <sheet name="Market shares detailed" sheetId="9" r:id="rId6"/>
    <sheet name="{AR}01 (4)" sheetId="10" state="hidden" r:id="rId7"/>
  </sheets>
  <definedNames>
    <definedName name="TM1REBUILDOPTION">1</definedName>
    <definedName name="TM1RPTDATARNGARPT1" localSheetId="5">'Market shares detailed'!$31:$186</definedName>
    <definedName name="TM1RPTDATARNGARPT1" localSheetId="3">'Market shares summary'!$28:$50</definedName>
    <definedName name="TM1RPTDATARNGARPT1" localSheetId="1">'Sales Analysis Detailed'!$23:$23</definedName>
    <definedName name="TM1RPTDATARNGARPT1" localSheetId="0">'Sales Analysis Summary'!$27:$27</definedName>
    <definedName name="TM1RPTFMTIDCOL" localSheetId="5">'Market shares detailed'!$A$1:$A$8</definedName>
    <definedName name="TM1RPTFMTIDCOL" localSheetId="3">'Market shares summary'!$A$1:$A$8</definedName>
    <definedName name="TM1RPTFMTIDCOL" localSheetId="1">'Sales Analysis Detailed'!$A$1:$A$8</definedName>
    <definedName name="TM1RPTFMTIDCOL" localSheetId="0">'Sales Analysis Summary'!$A$1:$A$8</definedName>
    <definedName name="TM1RPTFMTRNG" localSheetId="5">'Market shares detailed'!$G$1:$AK$8</definedName>
    <definedName name="TM1RPTFMTRNG" localSheetId="3">'Market shares summary'!$B$1:$AF$8</definedName>
    <definedName name="TM1RPTFMTRNG" localSheetId="1">'Sales Analysis Detailed'!$B$1:$O$8</definedName>
    <definedName name="TM1RPTFMTRNG" localSheetId="0">'Sales Analysis Summary'!$B$1:$Q$8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9" i="5"/>
  <c r="G15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H21" i="9"/>
  <c r="H22" i="9"/>
  <c r="AD25" i="7"/>
  <c r="AF28" i="9"/>
  <c r="C21" i="7"/>
  <c r="H24" i="9"/>
  <c r="C22" i="7"/>
  <c r="H25" i="9"/>
  <c r="AK186" i="9"/>
  <c r="AH186" i="9"/>
  <c r="AM186" i="9"/>
  <c r="AI186" i="9"/>
  <c r="AF186" i="9"/>
  <c r="AL186" i="9"/>
  <c r="AJ186" i="9"/>
  <c r="AG186" i="9"/>
  <c r="S25" i="7"/>
  <c r="X28" i="9"/>
  <c r="AC186" i="9"/>
  <c r="Z186" i="9"/>
  <c r="AE186" i="9"/>
  <c r="AA186" i="9"/>
  <c r="X186" i="9"/>
  <c r="AD186" i="9"/>
  <c r="AB186" i="9"/>
  <c r="Y186" i="9"/>
  <c r="K25" i="7"/>
  <c r="P28" i="9"/>
  <c r="U186" i="9"/>
  <c r="R186" i="9"/>
  <c r="W186" i="9"/>
  <c r="S186" i="9"/>
  <c r="P186" i="9"/>
  <c r="V186" i="9"/>
  <c r="T186" i="9"/>
  <c r="Q186" i="9"/>
  <c r="C25" i="7"/>
  <c r="H28" i="9"/>
  <c r="M186" i="9"/>
  <c r="J186" i="9"/>
  <c r="O186" i="9"/>
  <c r="K186" i="9"/>
  <c r="H186" i="9"/>
  <c r="N186" i="9"/>
  <c r="L186" i="9"/>
  <c r="I186" i="9"/>
  <c r="AK185" i="9"/>
  <c r="AH185" i="9"/>
  <c r="AM185" i="9"/>
  <c r="AI185" i="9"/>
  <c r="AF185" i="9"/>
  <c r="AL185" i="9"/>
  <c r="AJ185" i="9"/>
  <c r="AG185" i="9"/>
  <c r="AC185" i="9"/>
  <c r="Z185" i="9"/>
  <c r="AE185" i="9"/>
  <c r="AA185" i="9"/>
  <c r="X185" i="9"/>
  <c r="AD185" i="9"/>
  <c r="AB185" i="9"/>
  <c r="Y185" i="9"/>
  <c r="U185" i="9"/>
  <c r="R185" i="9"/>
  <c r="W185" i="9"/>
  <c r="S185" i="9"/>
  <c r="P185" i="9"/>
  <c r="V185" i="9"/>
  <c r="T185" i="9"/>
  <c r="Q185" i="9"/>
  <c r="M185" i="9"/>
  <c r="J185" i="9"/>
  <c r="O185" i="9"/>
  <c r="K185" i="9"/>
  <c r="H185" i="9"/>
  <c r="N185" i="9"/>
  <c r="L185" i="9"/>
  <c r="I185" i="9"/>
  <c r="AK184" i="9"/>
  <c r="AH184" i="9"/>
  <c r="AM184" i="9"/>
  <c r="AI184" i="9"/>
  <c r="AF184" i="9"/>
  <c r="AL184" i="9"/>
  <c r="AJ184" i="9"/>
  <c r="AG184" i="9"/>
  <c r="AC184" i="9"/>
  <c r="Z184" i="9"/>
  <c r="AE184" i="9"/>
  <c r="AA184" i="9"/>
  <c r="X184" i="9"/>
  <c r="AD184" i="9"/>
  <c r="AB184" i="9"/>
  <c r="Y184" i="9"/>
  <c r="U184" i="9"/>
  <c r="R184" i="9"/>
  <c r="W184" i="9"/>
  <c r="S184" i="9"/>
  <c r="P184" i="9"/>
  <c r="V184" i="9"/>
  <c r="T184" i="9"/>
  <c r="Q184" i="9"/>
  <c r="M184" i="9"/>
  <c r="J184" i="9"/>
  <c r="O184" i="9"/>
  <c r="K184" i="9"/>
  <c r="H184" i="9"/>
  <c r="N184" i="9"/>
  <c r="L184" i="9"/>
  <c r="I184" i="9"/>
  <c r="AK183" i="9"/>
  <c r="AH183" i="9"/>
  <c r="AM183" i="9"/>
  <c r="AI183" i="9"/>
  <c r="AF183" i="9"/>
  <c r="AL183" i="9"/>
  <c r="AJ183" i="9"/>
  <c r="AG183" i="9"/>
  <c r="AC183" i="9"/>
  <c r="Z183" i="9"/>
  <c r="AE183" i="9"/>
  <c r="AA183" i="9"/>
  <c r="X183" i="9"/>
  <c r="AD183" i="9"/>
  <c r="AB183" i="9"/>
  <c r="Y183" i="9"/>
  <c r="U183" i="9"/>
  <c r="R183" i="9"/>
  <c r="W183" i="9"/>
  <c r="S183" i="9"/>
  <c r="P183" i="9"/>
  <c r="V183" i="9"/>
  <c r="T183" i="9"/>
  <c r="Q183" i="9"/>
  <c r="M183" i="9"/>
  <c r="J183" i="9"/>
  <c r="O183" i="9"/>
  <c r="K183" i="9"/>
  <c r="H183" i="9"/>
  <c r="N183" i="9"/>
  <c r="L183" i="9"/>
  <c r="I183" i="9"/>
  <c r="AK182" i="9"/>
  <c r="AH182" i="9"/>
  <c r="AM182" i="9"/>
  <c r="AI182" i="9"/>
  <c r="AF182" i="9"/>
  <c r="AL182" i="9"/>
  <c r="AJ182" i="9"/>
  <c r="AG182" i="9"/>
  <c r="AC182" i="9"/>
  <c r="Z182" i="9"/>
  <c r="AE182" i="9"/>
  <c r="AA182" i="9"/>
  <c r="X182" i="9"/>
  <c r="AD182" i="9"/>
  <c r="AB182" i="9"/>
  <c r="Y182" i="9"/>
  <c r="U182" i="9"/>
  <c r="R182" i="9"/>
  <c r="W182" i="9"/>
  <c r="S182" i="9"/>
  <c r="P182" i="9"/>
  <c r="V182" i="9"/>
  <c r="T182" i="9"/>
  <c r="Q182" i="9"/>
  <c r="M182" i="9"/>
  <c r="J182" i="9"/>
  <c r="O182" i="9"/>
  <c r="K182" i="9"/>
  <c r="H182" i="9"/>
  <c r="N182" i="9"/>
  <c r="L182" i="9"/>
  <c r="I182" i="9"/>
  <c r="AK181" i="9"/>
  <c r="AH181" i="9"/>
  <c r="AM181" i="9"/>
  <c r="AI181" i="9"/>
  <c r="AF181" i="9"/>
  <c r="AL181" i="9"/>
  <c r="AJ181" i="9"/>
  <c r="AG181" i="9"/>
  <c r="AC181" i="9"/>
  <c r="Z181" i="9"/>
  <c r="AE181" i="9"/>
  <c r="AA181" i="9"/>
  <c r="X181" i="9"/>
  <c r="AD181" i="9"/>
  <c r="AB181" i="9"/>
  <c r="Y181" i="9"/>
  <c r="U181" i="9"/>
  <c r="R181" i="9"/>
  <c r="W181" i="9"/>
  <c r="S181" i="9"/>
  <c r="P181" i="9"/>
  <c r="V181" i="9"/>
  <c r="T181" i="9"/>
  <c r="Q181" i="9"/>
  <c r="M181" i="9"/>
  <c r="J181" i="9"/>
  <c r="O181" i="9"/>
  <c r="K181" i="9"/>
  <c r="H181" i="9"/>
  <c r="N181" i="9"/>
  <c r="L181" i="9"/>
  <c r="I181" i="9"/>
  <c r="AK180" i="9"/>
  <c r="AH180" i="9"/>
  <c r="AM180" i="9"/>
  <c r="AI180" i="9"/>
  <c r="AF180" i="9"/>
  <c r="AL180" i="9"/>
  <c r="AJ180" i="9"/>
  <c r="AG180" i="9"/>
  <c r="AC180" i="9"/>
  <c r="Z180" i="9"/>
  <c r="AE180" i="9"/>
  <c r="AA180" i="9"/>
  <c r="X180" i="9"/>
  <c r="AD180" i="9"/>
  <c r="AB180" i="9"/>
  <c r="Y180" i="9"/>
  <c r="U180" i="9"/>
  <c r="R180" i="9"/>
  <c r="W180" i="9"/>
  <c r="S180" i="9"/>
  <c r="P180" i="9"/>
  <c r="V180" i="9"/>
  <c r="T180" i="9"/>
  <c r="Q180" i="9"/>
  <c r="M180" i="9"/>
  <c r="J180" i="9"/>
  <c r="O180" i="9"/>
  <c r="K180" i="9"/>
  <c r="H180" i="9"/>
  <c r="N180" i="9"/>
  <c r="L180" i="9"/>
  <c r="I180" i="9"/>
  <c r="AK179" i="9"/>
  <c r="AH179" i="9"/>
  <c r="AM179" i="9"/>
  <c r="AI179" i="9"/>
  <c r="AF179" i="9"/>
  <c r="AL179" i="9"/>
  <c r="AJ179" i="9"/>
  <c r="AG179" i="9"/>
  <c r="AC179" i="9"/>
  <c r="Z179" i="9"/>
  <c r="AE179" i="9"/>
  <c r="AA179" i="9"/>
  <c r="X179" i="9"/>
  <c r="AD179" i="9"/>
  <c r="AB179" i="9"/>
  <c r="Y179" i="9"/>
  <c r="U179" i="9"/>
  <c r="R179" i="9"/>
  <c r="W179" i="9"/>
  <c r="S179" i="9"/>
  <c r="P179" i="9"/>
  <c r="V179" i="9"/>
  <c r="T179" i="9"/>
  <c r="Q179" i="9"/>
  <c r="M179" i="9"/>
  <c r="J179" i="9"/>
  <c r="O179" i="9"/>
  <c r="K179" i="9"/>
  <c r="H179" i="9"/>
  <c r="N179" i="9"/>
  <c r="L179" i="9"/>
  <c r="I179" i="9"/>
  <c r="AK178" i="9"/>
  <c r="AH178" i="9"/>
  <c r="AM178" i="9"/>
  <c r="AI178" i="9"/>
  <c r="AF178" i="9"/>
  <c r="AL178" i="9"/>
  <c r="AJ178" i="9"/>
  <c r="AG178" i="9"/>
  <c r="AC178" i="9"/>
  <c r="Z178" i="9"/>
  <c r="AE178" i="9"/>
  <c r="AA178" i="9"/>
  <c r="X178" i="9"/>
  <c r="AD178" i="9"/>
  <c r="AB178" i="9"/>
  <c r="Y178" i="9"/>
  <c r="U178" i="9"/>
  <c r="R178" i="9"/>
  <c r="W178" i="9"/>
  <c r="S178" i="9"/>
  <c r="P178" i="9"/>
  <c r="V178" i="9"/>
  <c r="T178" i="9"/>
  <c r="Q178" i="9"/>
  <c r="M178" i="9"/>
  <c r="J178" i="9"/>
  <c r="O178" i="9"/>
  <c r="K178" i="9"/>
  <c r="H178" i="9"/>
  <c r="N178" i="9"/>
  <c r="L178" i="9"/>
  <c r="I178" i="9"/>
  <c r="AK177" i="9"/>
  <c r="AH177" i="9"/>
  <c r="AM177" i="9"/>
  <c r="AI177" i="9"/>
  <c r="AF177" i="9"/>
  <c r="AL177" i="9"/>
  <c r="AJ177" i="9"/>
  <c r="AG177" i="9"/>
  <c r="AC177" i="9"/>
  <c r="Z177" i="9"/>
  <c r="AE177" i="9"/>
  <c r="AA177" i="9"/>
  <c r="X177" i="9"/>
  <c r="AD177" i="9"/>
  <c r="AB177" i="9"/>
  <c r="Y177" i="9"/>
  <c r="U177" i="9"/>
  <c r="R177" i="9"/>
  <c r="W177" i="9"/>
  <c r="S177" i="9"/>
  <c r="P177" i="9"/>
  <c r="V177" i="9"/>
  <c r="T177" i="9"/>
  <c r="Q177" i="9"/>
  <c r="M177" i="9"/>
  <c r="J177" i="9"/>
  <c r="O177" i="9"/>
  <c r="K177" i="9"/>
  <c r="H177" i="9"/>
  <c r="N177" i="9"/>
  <c r="L177" i="9"/>
  <c r="I177" i="9"/>
  <c r="AK176" i="9"/>
  <c r="AH176" i="9"/>
  <c r="AM176" i="9"/>
  <c r="AI176" i="9"/>
  <c r="AF176" i="9"/>
  <c r="AL176" i="9"/>
  <c r="AJ176" i="9"/>
  <c r="AG176" i="9"/>
  <c r="AC176" i="9"/>
  <c r="Z176" i="9"/>
  <c r="AE176" i="9"/>
  <c r="AA176" i="9"/>
  <c r="X176" i="9"/>
  <c r="AD176" i="9"/>
  <c r="AB176" i="9"/>
  <c r="Y176" i="9"/>
  <c r="U176" i="9"/>
  <c r="R176" i="9"/>
  <c r="W176" i="9"/>
  <c r="S176" i="9"/>
  <c r="P176" i="9"/>
  <c r="V176" i="9"/>
  <c r="T176" i="9"/>
  <c r="Q176" i="9"/>
  <c r="M176" i="9"/>
  <c r="J176" i="9"/>
  <c r="O176" i="9"/>
  <c r="K176" i="9"/>
  <c r="H176" i="9"/>
  <c r="N176" i="9"/>
  <c r="L176" i="9"/>
  <c r="I176" i="9"/>
  <c r="AK175" i="9"/>
  <c r="AH175" i="9"/>
  <c r="AM175" i="9"/>
  <c r="AI175" i="9"/>
  <c r="AF175" i="9"/>
  <c r="AL175" i="9"/>
  <c r="AJ175" i="9"/>
  <c r="AG175" i="9"/>
  <c r="AC175" i="9"/>
  <c r="Z175" i="9"/>
  <c r="AE175" i="9"/>
  <c r="AA175" i="9"/>
  <c r="X175" i="9"/>
  <c r="AD175" i="9"/>
  <c r="AB175" i="9"/>
  <c r="Y175" i="9"/>
  <c r="U175" i="9"/>
  <c r="R175" i="9"/>
  <c r="W175" i="9"/>
  <c r="S175" i="9"/>
  <c r="P175" i="9"/>
  <c r="V175" i="9"/>
  <c r="T175" i="9"/>
  <c r="Q175" i="9"/>
  <c r="M175" i="9"/>
  <c r="J175" i="9"/>
  <c r="O175" i="9"/>
  <c r="K175" i="9"/>
  <c r="H175" i="9"/>
  <c r="N175" i="9"/>
  <c r="L175" i="9"/>
  <c r="I175" i="9"/>
  <c r="AK174" i="9"/>
  <c r="AH174" i="9"/>
  <c r="AM174" i="9"/>
  <c r="AI174" i="9"/>
  <c r="AF174" i="9"/>
  <c r="AL174" i="9"/>
  <c r="AJ174" i="9"/>
  <c r="AG174" i="9"/>
  <c r="AC174" i="9"/>
  <c r="Z174" i="9"/>
  <c r="AE174" i="9"/>
  <c r="AA174" i="9"/>
  <c r="X174" i="9"/>
  <c r="AD174" i="9"/>
  <c r="AB174" i="9"/>
  <c r="Y174" i="9"/>
  <c r="U174" i="9"/>
  <c r="R174" i="9"/>
  <c r="W174" i="9"/>
  <c r="S174" i="9"/>
  <c r="P174" i="9"/>
  <c r="V174" i="9"/>
  <c r="T174" i="9"/>
  <c r="Q174" i="9"/>
  <c r="M174" i="9"/>
  <c r="J174" i="9"/>
  <c r="O174" i="9"/>
  <c r="K174" i="9"/>
  <c r="H174" i="9"/>
  <c r="N174" i="9"/>
  <c r="L174" i="9"/>
  <c r="I174" i="9"/>
  <c r="AK173" i="9"/>
  <c r="AH173" i="9"/>
  <c r="AM173" i="9"/>
  <c r="AI173" i="9"/>
  <c r="AF173" i="9"/>
  <c r="AL173" i="9"/>
  <c r="AJ173" i="9"/>
  <c r="AG173" i="9"/>
  <c r="AC173" i="9"/>
  <c r="Z173" i="9"/>
  <c r="AE173" i="9"/>
  <c r="AA173" i="9"/>
  <c r="X173" i="9"/>
  <c r="AD173" i="9"/>
  <c r="AB173" i="9"/>
  <c r="Y173" i="9"/>
  <c r="U173" i="9"/>
  <c r="R173" i="9"/>
  <c r="W173" i="9"/>
  <c r="S173" i="9"/>
  <c r="P173" i="9"/>
  <c r="V173" i="9"/>
  <c r="T173" i="9"/>
  <c r="Q173" i="9"/>
  <c r="M173" i="9"/>
  <c r="J173" i="9"/>
  <c r="O173" i="9"/>
  <c r="K173" i="9"/>
  <c r="H173" i="9"/>
  <c r="N173" i="9"/>
  <c r="L173" i="9"/>
  <c r="I173" i="9"/>
  <c r="AK172" i="9"/>
  <c r="AH172" i="9"/>
  <c r="AM172" i="9"/>
  <c r="AI172" i="9"/>
  <c r="AF172" i="9"/>
  <c r="AL172" i="9"/>
  <c r="AJ172" i="9"/>
  <c r="AG172" i="9"/>
  <c r="AC172" i="9"/>
  <c r="Z172" i="9"/>
  <c r="AE172" i="9"/>
  <c r="AA172" i="9"/>
  <c r="X172" i="9"/>
  <c r="AD172" i="9"/>
  <c r="AB172" i="9"/>
  <c r="Y172" i="9"/>
  <c r="U172" i="9"/>
  <c r="R172" i="9"/>
  <c r="W172" i="9"/>
  <c r="S172" i="9"/>
  <c r="P172" i="9"/>
  <c r="V172" i="9"/>
  <c r="T172" i="9"/>
  <c r="Q172" i="9"/>
  <c r="M172" i="9"/>
  <c r="J172" i="9"/>
  <c r="O172" i="9"/>
  <c r="K172" i="9"/>
  <c r="H172" i="9"/>
  <c r="N172" i="9"/>
  <c r="L172" i="9"/>
  <c r="I172" i="9"/>
  <c r="AK171" i="9"/>
  <c r="AH171" i="9"/>
  <c r="AM171" i="9"/>
  <c r="AI171" i="9"/>
  <c r="AF171" i="9"/>
  <c r="AL171" i="9"/>
  <c r="AJ171" i="9"/>
  <c r="AG171" i="9"/>
  <c r="AC171" i="9"/>
  <c r="Z171" i="9"/>
  <c r="AE171" i="9"/>
  <c r="AA171" i="9"/>
  <c r="X171" i="9"/>
  <c r="AD171" i="9"/>
  <c r="AB171" i="9"/>
  <c r="Y171" i="9"/>
  <c r="U171" i="9"/>
  <c r="R171" i="9"/>
  <c r="W171" i="9"/>
  <c r="S171" i="9"/>
  <c r="P171" i="9"/>
  <c r="V171" i="9"/>
  <c r="T171" i="9"/>
  <c r="Q171" i="9"/>
  <c r="M171" i="9"/>
  <c r="J171" i="9"/>
  <c r="O171" i="9"/>
  <c r="K171" i="9"/>
  <c r="H171" i="9"/>
  <c r="N171" i="9"/>
  <c r="L171" i="9"/>
  <c r="I171" i="9"/>
  <c r="AK170" i="9"/>
  <c r="AH170" i="9"/>
  <c r="AM170" i="9"/>
  <c r="AI170" i="9"/>
  <c r="AF170" i="9"/>
  <c r="AL170" i="9"/>
  <c r="AJ170" i="9"/>
  <c r="AG170" i="9"/>
  <c r="AC170" i="9"/>
  <c r="Z170" i="9"/>
  <c r="AE170" i="9"/>
  <c r="AA170" i="9"/>
  <c r="X170" i="9"/>
  <c r="AD170" i="9"/>
  <c r="AB170" i="9"/>
  <c r="Y170" i="9"/>
  <c r="U170" i="9"/>
  <c r="R170" i="9"/>
  <c r="W170" i="9"/>
  <c r="S170" i="9"/>
  <c r="P170" i="9"/>
  <c r="V170" i="9"/>
  <c r="T170" i="9"/>
  <c r="Q170" i="9"/>
  <c r="M170" i="9"/>
  <c r="J170" i="9"/>
  <c r="O170" i="9"/>
  <c r="K170" i="9"/>
  <c r="H170" i="9"/>
  <c r="N170" i="9"/>
  <c r="L170" i="9"/>
  <c r="I170" i="9"/>
  <c r="AK169" i="9"/>
  <c r="AH169" i="9"/>
  <c r="AM169" i="9"/>
  <c r="AI169" i="9"/>
  <c r="AF169" i="9"/>
  <c r="AL169" i="9"/>
  <c r="AJ169" i="9"/>
  <c r="AG169" i="9"/>
  <c r="AC169" i="9"/>
  <c r="Z169" i="9"/>
  <c r="AE169" i="9"/>
  <c r="AA169" i="9"/>
  <c r="X169" i="9"/>
  <c r="AD169" i="9"/>
  <c r="AB169" i="9"/>
  <c r="Y169" i="9"/>
  <c r="U169" i="9"/>
  <c r="R169" i="9"/>
  <c r="W169" i="9"/>
  <c r="S169" i="9"/>
  <c r="P169" i="9"/>
  <c r="V169" i="9"/>
  <c r="T169" i="9"/>
  <c r="Q169" i="9"/>
  <c r="M169" i="9"/>
  <c r="J169" i="9"/>
  <c r="O169" i="9"/>
  <c r="K169" i="9"/>
  <c r="H169" i="9"/>
  <c r="N169" i="9"/>
  <c r="L169" i="9"/>
  <c r="I169" i="9"/>
  <c r="AK168" i="9"/>
  <c r="AH168" i="9"/>
  <c r="AM168" i="9"/>
  <c r="AI168" i="9"/>
  <c r="AF168" i="9"/>
  <c r="AL168" i="9"/>
  <c r="AJ168" i="9"/>
  <c r="AG168" i="9"/>
  <c r="AC168" i="9"/>
  <c r="Z168" i="9"/>
  <c r="AE168" i="9"/>
  <c r="AA168" i="9"/>
  <c r="X168" i="9"/>
  <c r="AD168" i="9"/>
  <c r="AB168" i="9"/>
  <c r="Y168" i="9"/>
  <c r="U168" i="9"/>
  <c r="R168" i="9"/>
  <c r="W168" i="9"/>
  <c r="S168" i="9"/>
  <c r="P168" i="9"/>
  <c r="V168" i="9"/>
  <c r="T168" i="9"/>
  <c r="Q168" i="9"/>
  <c r="M168" i="9"/>
  <c r="J168" i="9"/>
  <c r="O168" i="9"/>
  <c r="K168" i="9"/>
  <c r="H168" i="9"/>
  <c r="N168" i="9"/>
  <c r="L168" i="9"/>
  <c r="I168" i="9"/>
  <c r="AK167" i="9"/>
  <c r="AH167" i="9"/>
  <c r="AM167" i="9"/>
  <c r="AI167" i="9"/>
  <c r="AF167" i="9"/>
  <c r="AL167" i="9"/>
  <c r="AJ167" i="9"/>
  <c r="AG167" i="9"/>
  <c r="AC167" i="9"/>
  <c r="Z167" i="9"/>
  <c r="AE167" i="9"/>
  <c r="AA167" i="9"/>
  <c r="X167" i="9"/>
  <c r="AD167" i="9"/>
  <c r="AB167" i="9"/>
  <c r="Y167" i="9"/>
  <c r="U167" i="9"/>
  <c r="R167" i="9"/>
  <c r="W167" i="9"/>
  <c r="S167" i="9"/>
  <c r="P167" i="9"/>
  <c r="V167" i="9"/>
  <c r="T167" i="9"/>
  <c r="Q167" i="9"/>
  <c r="M167" i="9"/>
  <c r="J167" i="9"/>
  <c r="O167" i="9"/>
  <c r="K167" i="9"/>
  <c r="H167" i="9"/>
  <c r="N167" i="9"/>
  <c r="L167" i="9"/>
  <c r="I167" i="9"/>
  <c r="AK166" i="9"/>
  <c r="AH166" i="9"/>
  <c r="AM166" i="9"/>
  <c r="AI166" i="9"/>
  <c r="AF166" i="9"/>
  <c r="AL166" i="9"/>
  <c r="AJ166" i="9"/>
  <c r="AG166" i="9"/>
  <c r="AC166" i="9"/>
  <c r="Z166" i="9"/>
  <c r="AE166" i="9"/>
  <c r="AA166" i="9"/>
  <c r="X166" i="9"/>
  <c r="AD166" i="9"/>
  <c r="AB166" i="9"/>
  <c r="Y166" i="9"/>
  <c r="U166" i="9"/>
  <c r="R166" i="9"/>
  <c r="W166" i="9"/>
  <c r="S166" i="9"/>
  <c r="P166" i="9"/>
  <c r="V166" i="9"/>
  <c r="T166" i="9"/>
  <c r="Q166" i="9"/>
  <c r="M166" i="9"/>
  <c r="J166" i="9"/>
  <c r="O166" i="9"/>
  <c r="K166" i="9"/>
  <c r="H166" i="9"/>
  <c r="N166" i="9"/>
  <c r="L166" i="9"/>
  <c r="I166" i="9"/>
  <c r="AK165" i="9"/>
  <c r="AH165" i="9"/>
  <c r="AM165" i="9"/>
  <c r="AI165" i="9"/>
  <c r="AF165" i="9"/>
  <c r="AL165" i="9"/>
  <c r="AJ165" i="9"/>
  <c r="AG165" i="9"/>
  <c r="AC165" i="9"/>
  <c r="Z165" i="9"/>
  <c r="AE165" i="9"/>
  <c r="AA165" i="9"/>
  <c r="X165" i="9"/>
  <c r="AD165" i="9"/>
  <c r="AB165" i="9"/>
  <c r="Y165" i="9"/>
  <c r="U165" i="9"/>
  <c r="R165" i="9"/>
  <c r="W165" i="9"/>
  <c r="S165" i="9"/>
  <c r="P165" i="9"/>
  <c r="V165" i="9"/>
  <c r="T165" i="9"/>
  <c r="Q165" i="9"/>
  <c r="M165" i="9"/>
  <c r="J165" i="9"/>
  <c r="O165" i="9"/>
  <c r="K165" i="9"/>
  <c r="H165" i="9"/>
  <c r="N165" i="9"/>
  <c r="L165" i="9"/>
  <c r="I165" i="9"/>
  <c r="AK164" i="9"/>
  <c r="AH164" i="9"/>
  <c r="AM164" i="9"/>
  <c r="AI164" i="9"/>
  <c r="AF164" i="9"/>
  <c r="AL164" i="9"/>
  <c r="AJ164" i="9"/>
  <c r="AG164" i="9"/>
  <c r="AC164" i="9"/>
  <c r="Z164" i="9"/>
  <c r="AE164" i="9"/>
  <c r="AA164" i="9"/>
  <c r="X164" i="9"/>
  <c r="AD164" i="9"/>
  <c r="AB164" i="9"/>
  <c r="Y164" i="9"/>
  <c r="U164" i="9"/>
  <c r="R164" i="9"/>
  <c r="W164" i="9"/>
  <c r="S164" i="9"/>
  <c r="P164" i="9"/>
  <c r="V164" i="9"/>
  <c r="T164" i="9"/>
  <c r="Q164" i="9"/>
  <c r="M164" i="9"/>
  <c r="J164" i="9"/>
  <c r="O164" i="9"/>
  <c r="K164" i="9"/>
  <c r="H164" i="9"/>
  <c r="N164" i="9"/>
  <c r="L164" i="9"/>
  <c r="I164" i="9"/>
  <c r="AK163" i="9"/>
  <c r="AH163" i="9"/>
  <c r="AM163" i="9"/>
  <c r="AI163" i="9"/>
  <c r="AF163" i="9"/>
  <c r="AL163" i="9"/>
  <c r="AJ163" i="9"/>
  <c r="AG163" i="9"/>
  <c r="AC163" i="9"/>
  <c r="Z163" i="9"/>
  <c r="AE163" i="9"/>
  <c r="AA163" i="9"/>
  <c r="X163" i="9"/>
  <c r="AD163" i="9"/>
  <c r="AB163" i="9"/>
  <c r="Y163" i="9"/>
  <c r="U163" i="9"/>
  <c r="R163" i="9"/>
  <c r="W163" i="9"/>
  <c r="S163" i="9"/>
  <c r="P163" i="9"/>
  <c r="V163" i="9"/>
  <c r="T163" i="9"/>
  <c r="Q163" i="9"/>
  <c r="M163" i="9"/>
  <c r="J163" i="9"/>
  <c r="O163" i="9"/>
  <c r="K163" i="9"/>
  <c r="H163" i="9"/>
  <c r="N163" i="9"/>
  <c r="L163" i="9"/>
  <c r="I163" i="9"/>
  <c r="AK162" i="9"/>
  <c r="AH162" i="9"/>
  <c r="AM162" i="9"/>
  <c r="AI162" i="9"/>
  <c r="AF162" i="9"/>
  <c r="AL162" i="9"/>
  <c r="AJ162" i="9"/>
  <c r="AG162" i="9"/>
  <c r="AC162" i="9"/>
  <c r="Z162" i="9"/>
  <c r="AE162" i="9"/>
  <c r="AA162" i="9"/>
  <c r="X162" i="9"/>
  <c r="AD162" i="9"/>
  <c r="AB162" i="9"/>
  <c r="Y162" i="9"/>
  <c r="U162" i="9"/>
  <c r="R162" i="9"/>
  <c r="W162" i="9"/>
  <c r="S162" i="9"/>
  <c r="P162" i="9"/>
  <c r="V162" i="9"/>
  <c r="T162" i="9"/>
  <c r="Q162" i="9"/>
  <c r="M162" i="9"/>
  <c r="J162" i="9"/>
  <c r="O162" i="9"/>
  <c r="K162" i="9"/>
  <c r="H162" i="9"/>
  <c r="N162" i="9"/>
  <c r="L162" i="9"/>
  <c r="I162" i="9"/>
  <c r="AK161" i="9"/>
  <c r="AH161" i="9"/>
  <c r="AM161" i="9"/>
  <c r="AI161" i="9"/>
  <c r="AF161" i="9"/>
  <c r="AL161" i="9"/>
  <c r="AJ161" i="9"/>
  <c r="AG161" i="9"/>
  <c r="AC161" i="9"/>
  <c r="Z161" i="9"/>
  <c r="AE161" i="9"/>
  <c r="AA161" i="9"/>
  <c r="X161" i="9"/>
  <c r="AD161" i="9"/>
  <c r="AB161" i="9"/>
  <c r="Y161" i="9"/>
  <c r="U161" i="9"/>
  <c r="R161" i="9"/>
  <c r="W161" i="9"/>
  <c r="S161" i="9"/>
  <c r="P161" i="9"/>
  <c r="V161" i="9"/>
  <c r="T161" i="9"/>
  <c r="Q161" i="9"/>
  <c r="M161" i="9"/>
  <c r="J161" i="9"/>
  <c r="O161" i="9"/>
  <c r="K161" i="9"/>
  <c r="H161" i="9"/>
  <c r="N161" i="9"/>
  <c r="L161" i="9"/>
  <c r="I161" i="9"/>
  <c r="AK160" i="9"/>
  <c r="AH160" i="9"/>
  <c r="AM160" i="9"/>
  <c r="AI160" i="9"/>
  <c r="AF160" i="9"/>
  <c r="AL160" i="9"/>
  <c r="AJ160" i="9"/>
  <c r="AG160" i="9"/>
  <c r="AC160" i="9"/>
  <c r="Z160" i="9"/>
  <c r="AE160" i="9"/>
  <c r="AA160" i="9"/>
  <c r="X160" i="9"/>
  <c r="AD160" i="9"/>
  <c r="AB160" i="9"/>
  <c r="Y160" i="9"/>
  <c r="U160" i="9"/>
  <c r="R160" i="9"/>
  <c r="W160" i="9"/>
  <c r="S160" i="9"/>
  <c r="P160" i="9"/>
  <c r="V160" i="9"/>
  <c r="T160" i="9"/>
  <c r="Q160" i="9"/>
  <c r="M160" i="9"/>
  <c r="J160" i="9"/>
  <c r="O160" i="9"/>
  <c r="K160" i="9"/>
  <c r="H160" i="9"/>
  <c r="N160" i="9"/>
  <c r="L160" i="9"/>
  <c r="I160" i="9"/>
  <c r="AK159" i="9"/>
  <c r="AH159" i="9"/>
  <c r="AM159" i="9"/>
  <c r="AI159" i="9"/>
  <c r="AF159" i="9"/>
  <c r="AL159" i="9"/>
  <c r="AJ159" i="9"/>
  <c r="AG159" i="9"/>
  <c r="AC159" i="9"/>
  <c r="Z159" i="9"/>
  <c r="AE159" i="9"/>
  <c r="AA159" i="9"/>
  <c r="X159" i="9"/>
  <c r="AD159" i="9"/>
  <c r="AB159" i="9"/>
  <c r="Y159" i="9"/>
  <c r="U159" i="9"/>
  <c r="R159" i="9"/>
  <c r="W159" i="9"/>
  <c r="S159" i="9"/>
  <c r="P159" i="9"/>
  <c r="V159" i="9"/>
  <c r="T159" i="9"/>
  <c r="Q159" i="9"/>
  <c r="M159" i="9"/>
  <c r="J159" i="9"/>
  <c r="O159" i="9"/>
  <c r="K159" i="9"/>
  <c r="H159" i="9"/>
  <c r="N159" i="9"/>
  <c r="L159" i="9"/>
  <c r="I159" i="9"/>
  <c r="AK158" i="9"/>
  <c r="AH158" i="9"/>
  <c r="AM158" i="9"/>
  <c r="AI158" i="9"/>
  <c r="AF158" i="9"/>
  <c r="AL158" i="9"/>
  <c r="AJ158" i="9"/>
  <c r="AG158" i="9"/>
  <c r="AC158" i="9"/>
  <c r="Z158" i="9"/>
  <c r="AE158" i="9"/>
  <c r="AA158" i="9"/>
  <c r="X158" i="9"/>
  <c r="AD158" i="9"/>
  <c r="AB158" i="9"/>
  <c r="Y158" i="9"/>
  <c r="U158" i="9"/>
  <c r="R158" i="9"/>
  <c r="W158" i="9"/>
  <c r="S158" i="9"/>
  <c r="P158" i="9"/>
  <c r="V158" i="9"/>
  <c r="T158" i="9"/>
  <c r="Q158" i="9"/>
  <c r="M158" i="9"/>
  <c r="J158" i="9"/>
  <c r="O158" i="9"/>
  <c r="K158" i="9"/>
  <c r="H158" i="9"/>
  <c r="N158" i="9"/>
  <c r="L158" i="9"/>
  <c r="I158" i="9"/>
  <c r="AK157" i="9"/>
  <c r="AH157" i="9"/>
  <c r="AM157" i="9"/>
  <c r="AI157" i="9"/>
  <c r="AF157" i="9"/>
  <c r="AL157" i="9"/>
  <c r="AJ157" i="9"/>
  <c r="AG157" i="9"/>
  <c r="AC157" i="9"/>
  <c r="Z157" i="9"/>
  <c r="AE157" i="9"/>
  <c r="AA157" i="9"/>
  <c r="X157" i="9"/>
  <c r="AD157" i="9"/>
  <c r="AB157" i="9"/>
  <c r="Y157" i="9"/>
  <c r="U157" i="9"/>
  <c r="R157" i="9"/>
  <c r="W157" i="9"/>
  <c r="S157" i="9"/>
  <c r="P157" i="9"/>
  <c r="V157" i="9"/>
  <c r="T157" i="9"/>
  <c r="Q157" i="9"/>
  <c r="M157" i="9"/>
  <c r="J157" i="9"/>
  <c r="O157" i="9"/>
  <c r="K157" i="9"/>
  <c r="H157" i="9"/>
  <c r="N157" i="9"/>
  <c r="L157" i="9"/>
  <c r="I157" i="9"/>
  <c r="AK156" i="9"/>
  <c r="AH156" i="9"/>
  <c r="AM156" i="9"/>
  <c r="AI156" i="9"/>
  <c r="AF156" i="9"/>
  <c r="AL156" i="9"/>
  <c r="AJ156" i="9"/>
  <c r="AG156" i="9"/>
  <c r="AC156" i="9"/>
  <c r="Z156" i="9"/>
  <c r="AE156" i="9"/>
  <c r="AA156" i="9"/>
  <c r="X156" i="9"/>
  <c r="AD156" i="9"/>
  <c r="AB156" i="9"/>
  <c r="Y156" i="9"/>
  <c r="U156" i="9"/>
  <c r="R156" i="9"/>
  <c r="W156" i="9"/>
  <c r="S156" i="9"/>
  <c r="P156" i="9"/>
  <c r="V156" i="9"/>
  <c r="T156" i="9"/>
  <c r="Q156" i="9"/>
  <c r="M156" i="9"/>
  <c r="J156" i="9"/>
  <c r="O156" i="9"/>
  <c r="K156" i="9"/>
  <c r="H156" i="9"/>
  <c r="N156" i="9"/>
  <c r="L156" i="9"/>
  <c r="I156" i="9"/>
  <c r="AK155" i="9"/>
  <c r="AH155" i="9"/>
  <c r="AM155" i="9"/>
  <c r="AI155" i="9"/>
  <c r="AF155" i="9"/>
  <c r="AL155" i="9"/>
  <c r="AJ155" i="9"/>
  <c r="AG155" i="9"/>
  <c r="AC155" i="9"/>
  <c r="Z155" i="9"/>
  <c r="AE155" i="9"/>
  <c r="AA155" i="9"/>
  <c r="X155" i="9"/>
  <c r="AD155" i="9"/>
  <c r="AB155" i="9"/>
  <c r="Y155" i="9"/>
  <c r="U155" i="9"/>
  <c r="R155" i="9"/>
  <c r="W155" i="9"/>
  <c r="S155" i="9"/>
  <c r="P155" i="9"/>
  <c r="V155" i="9"/>
  <c r="T155" i="9"/>
  <c r="Q155" i="9"/>
  <c r="M155" i="9"/>
  <c r="J155" i="9"/>
  <c r="O155" i="9"/>
  <c r="K155" i="9"/>
  <c r="H155" i="9"/>
  <c r="N155" i="9"/>
  <c r="L155" i="9"/>
  <c r="I155" i="9"/>
  <c r="AK154" i="9"/>
  <c r="AH154" i="9"/>
  <c r="AM154" i="9"/>
  <c r="AI154" i="9"/>
  <c r="AF154" i="9"/>
  <c r="AL154" i="9"/>
  <c r="AJ154" i="9"/>
  <c r="AG154" i="9"/>
  <c r="AC154" i="9"/>
  <c r="Z154" i="9"/>
  <c r="AE154" i="9"/>
  <c r="AA154" i="9"/>
  <c r="X154" i="9"/>
  <c r="AD154" i="9"/>
  <c r="AB154" i="9"/>
  <c r="Y154" i="9"/>
  <c r="U154" i="9"/>
  <c r="R154" i="9"/>
  <c r="W154" i="9"/>
  <c r="S154" i="9"/>
  <c r="P154" i="9"/>
  <c r="V154" i="9"/>
  <c r="T154" i="9"/>
  <c r="Q154" i="9"/>
  <c r="M154" i="9"/>
  <c r="J154" i="9"/>
  <c r="O154" i="9"/>
  <c r="K154" i="9"/>
  <c r="H154" i="9"/>
  <c r="N154" i="9"/>
  <c r="L154" i="9"/>
  <c r="I154" i="9"/>
  <c r="AK153" i="9"/>
  <c r="AH153" i="9"/>
  <c r="AM153" i="9"/>
  <c r="AI153" i="9"/>
  <c r="AF153" i="9"/>
  <c r="AL153" i="9"/>
  <c r="AJ153" i="9"/>
  <c r="AG153" i="9"/>
  <c r="AC153" i="9"/>
  <c r="Z153" i="9"/>
  <c r="AE153" i="9"/>
  <c r="AA153" i="9"/>
  <c r="X153" i="9"/>
  <c r="AD153" i="9"/>
  <c r="AB153" i="9"/>
  <c r="Y153" i="9"/>
  <c r="U153" i="9"/>
  <c r="R153" i="9"/>
  <c r="W153" i="9"/>
  <c r="S153" i="9"/>
  <c r="P153" i="9"/>
  <c r="V153" i="9"/>
  <c r="T153" i="9"/>
  <c r="Q153" i="9"/>
  <c r="M153" i="9"/>
  <c r="J153" i="9"/>
  <c r="O153" i="9"/>
  <c r="K153" i="9"/>
  <c r="H153" i="9"/>
  <c r="N153" i="9"/>
  <c r="L153" i="9"/>
  <c r="I153" i="9"/>
  <c r="AK152" i="9"/>
  <c r="AH152" i="9"/>
  <c r="AM152" i="9"/>
  <c r="AI152" i="9"/>
  <c r="AF152" i="9"/>
  <c r="AL152" i="9"/>
  <c r="AJ152" i="9"/>
  <c r="AG152" i="9"/>
  <c r="AC152" i="9"/>
  <c r="Z152" i="9"/>
  <c r="AE152" i="9"/>
  <c r="AA152" i="9"/>
  <c r="X152" i="9"/>
  <c r="AD152" i="9"/>
  <c r="AB152" i="9"/>
  <c r="Y152" i="9"/>
  <c r="U152" i="9"/>
  <c r="R152" i="9"/>
  <c r="W152" i="9"/>
  <c r="S152" i="9"/>
  <c r="P152" i="9"/>
  <c r="V152" i="9"/>
  <c r="T152" i="9"/>
  <c r="Q152" i="9"/>
  <c r="M152" i="9"/>
  <c r="J152" i="9"/>
  <c r="O152" i="9"/>
  <c r="K152" i="9"/>
  <c r="H152" i="9"/>
  <c r="N152" i="9"/>
  <c r="L152" i="9"/>
  <c r="I152" i="9"/>
  <c r="AK151" i="9"/>
  <c r="AH151" i="9"/>
  <c r="AM151" i="9"/>
  <c r="AI151" i="9"/>
  <c r="AF151" i="9"/>
  <c r="AL151" i="9"/>
  <c r="AJ151" i="9"/>
  <c r="AG151" i="9"/>
  <c r="AC151" i="9"/>
  <c r="Z151" i="9"/>
  <c r="AE151" i="9"/>
  <c r="AA151" i="9"/>
  <c r="X151" i="9"/>
  <c r="AD151" i="9"/>
  <c r="AB151" i="9"/>
  <c r="Y151" i="9"/>
  <c r="U151" i="9"/>
  <c r="R151" i="9"/>
  <c r="W151" i="9"/>
  <c r="S151" i="9"/>
  <c r="P151" i="9"/>
  <c r="V151" i="9"/>
  <c r="T151" i="9"/>
  <c r="Q151" i="9"/>
  <c r="M151" i="9"/>
  <c r="J151" i="9"/>
  <c r="O151" i="9"/>
  <c r="K151" i="9"/>
  <c r="H151" i="9"/>
  <c r="N151" i="9"/>
  <c r="L151" i="9"/>
  <c r="I151" i="9"/>
  <c r="AK150" i="9"/>
  <c r="AH150" i="9"/>
  <c r="AM150" i="9"/>
  <c r="AI150" i="9"/>
  <c r="AF150" i="9"/>
  <c r="AL150" i="9"/>
  <c r="AJ150" i="9"/>
  <c r="AG150" i="9"/>
  <c r="AC150" i="9"/>
  <c r="Z150" i="9"/>
  <c r="AE150" i="9"/>
  <c r="AA150" i="9"/>
  <c r="X150" i="9"/>
  <c r="AD150" i="9"/>
  <c r="AB150" i="9"/>
  <c r="Y150" i="9"/>
  <c r="U150" i="9"/>
  <c r="R150" i="9"/>
  <c r="W150" i="9"/>
  <c r="S150" i="9"/>
  <c r="P150" i="9"/>
  <c r="V150" i="9"/>
  <c r="T150" i="9"/>
  <c r="Q150" i="9"/>
  <c r="M150" i="9"/>
  <c r="J150" i="9"/>
  <c r="O150" i="9"/>
  <c r="K150" i="9"/>
  <c r="H150" i="9"/>
  <c r="N150" i="9"/>
  <c r="L150" i="9"/>
  <c r="I150" i="9"/>
  <c r="AK149" i="9"/>
  <c r="AH149" i="9"/>
  <c r="AM149" i="9"/>
  <c r="AI149" i="9"/>
  <c r="AF149" i="9"/>
  <c r="AL149" i="9"/>
  <c r="AJ149" i="9"/>
  <c r="AG149" i="9"/>
  <c r="AC149" i="9"/>
  <c r="Z149" i="9"/>
  <c r="AE149" i="9"/>
  <c r="AA149" i="9"/>
  <c r="X149" i="9"/>
  <c r="AD149" i="9"/>
  <c r="AB149" i="9"/>
  <c r="Y149" i="9"/>
  <c r="U149" i="9"/>
  <c r="R149" i="9"/>
  <c r="W149" i="9"/>
  <c r="S149" i="9"/>
  <c r="P149" i="9"/>
  <c r="V149" i="9"/>
  <c r="T149" i="9"/>
  <c r="Q149" i="9"/>
  <c r="M149" i="9"/>
  <c r="J149" i="9"/>
  <c r="O149" i="9"/>
  <c r="K149" i="9"/>
  <c r="H149" i="9"/>
  <c r="N149" i="9"/>
  <c r="L149" i="9"/>
  <c r="I149" i="9"/>
  <c r="AK148" i="9"/>
  <c r="AH148" i="9"/>
  <c r="AM148" i="9"/>
  <c r="AI148" i="9"/>
  <c r="AF148" i="9"/>
  <c r="AL148" i="9"/>
  <c r="AJ148" i="9"/>
  <c r="AG148" i="9"/>
  <c r="AC148" i="9"/>
  <c r="Z148" i="9"/>
  <c r="AE148" i="9"/>
  <c r="AA148" i="9"/>
  <c r="X148" i="9"/>
  <c r="AD148" i="9"/>
  <c r="AB148" i="9"/>
  <c r="Y148" i="9"/>
  <c r="U148" i="9"/>
  <c r="R148" i="9"/>
  <c r="W148" i="9"/>
  <c r="S148" i="9"/>
  <c r="P148" i="9"/>
  <c r="V148" i="9"/>
  <c r="T148" i="9"/>
  <c r="Q148" i="9"/>
  <c r="M148" i="9"/>
  <c r="J148" i="9"/>
  <c r="O148" i="9"/>
  <c r="K148" i="9"/>
  <c r="H148" i="9"/>
  <c r="N148" i="9"/>
  <c r="L148" i="9"/>
  <c r="I148" i="9"/>
  <c r="AK147" i="9"/>
  <c r="AH147" i="9"/>
  <c r="AM147" i="9"/>
  <c r="AI147" i="9"/>
  <c r="AF147" i="9"/>
  <c r="AL147" i="9"/>
  <c r="AJ147" i="9"/>
  <c r="AG147" i="9"/>
  <c r="AC147" i="9"/>
  <c r="Z147" i="9"/>
  <c r="AE147" i="9"/>
  <c r="AA147" i="9"/>
  <c r="X147" i="9"/>
  <c r="AD147" i="9"/>
  <c r="AB147" i="9"/>
  <c r="Y147" i="9"/>
  <c r="U147" i="9"/>
  <c r="R147" i="9"/>
  <c r="W147" i="9"/>
  <c r="S147" i="9"/>
  <c r="P147" i="9"/>
  <c r="V147" i="9"/>
  <c r="T147" i="9"/>
  <c r="Q147" i="9"/>
  <c r="M147" i="9"/>
  <c r="J147" i="9"/>
  <c r="O147" i="9"/>
  <c r="K147" i="9"/>
  <c r="H147" i="9"/>
  <c r="N147" i="9"/>
  <c r="L147" i="9"/>
  <c r="I147" i="9"/>
  <c r="AK146" i="9"/>
  <c r="AH146" i="9"/>
  <c r="AM146" i="9"/>
  <c r="AI146" i="9"/>
  <c r="AF146" i="9"/>
  <c r="AL146" i="9"/>
  <c r="AJ146" i="9"/>
  <c r="AG146" i="9"/>
  <c r="AC146" i="9"/>
  <c r="Z146" i="9"/>
  <c r="AE146" i="9"/>
  <c r="AA146" i="9"/>
  <c r="X146" i="9"/>
  <c r="AD146" i="9"/>
  <c r="AB146" i="9"/>
  <c r="Y146" i="9"/>
  <c r="U146" i="9"/>
  <c r="R146" i="9"/>
  <c r="W146" i="9"/>
  <c r="S146" i="9"/>
  <c r="P146" i="9"/>
  <c r="V146" i="9"/>
  <c r="T146" i="9"/>
  <c r="Q146" i="9"/>
  <c r="M146" i="9"/>
  <c r="J146" i="9"/>
  <c r="O146" i="9"/>
  <c r="K146" i="9"/>
  <c r="H146" i="9"/>
  <c r="N146" i="9"/>
  <c r="L146" i="9"/>
  <c r="I146" i="9"/>
  <c r="AK145" i="9"/>
  <c r="AH145" i="9"/>
  <c r="AM145" i="9"/>
  <c r="AI145" i="9"/>
  <c r="AF145" i="9"/>
  <c r="AL145" i="9"/>
  <c r="AJ145" i="9"/>
  <c r="AG145" i="9"/>
  <c r="AC145" i="9"/>
  <c r="Z145" i="9"/>
  <c r="AE145" i="9"/>
  <c r="AA145" i="9"/>
  <c r="X145" i="9"/>
  <c r="AD145" i="9"/>
  <c r="AB145" i="9"/>
  <c r="Y145" i="9"/>
  <c r="U145" i="9"/>
  <c r="R145" i="9"/>
  <c r="W145" i="9"/>
  <c r="S145" i="9"/>
  <c r="P145" i="9"/>
  <c r="V145" i="9"/>
  <c r="T145" i="9"/>
  <c r="Q145" i="9"/>
  <c r="M145" i="9"/>
  <c r="J145" i="9"/>
  <c r="O145" i="9"/>
  <c r="K145" i="9"/>
  <c r="H145" i="9"/>
  <c r="N145" i="9"/>
  <c r="L145" i="9"/>
  <c r="I145" i="9"/>
  <c r="AK144" i="9"/>
  <c r="AH144" i="9"/>
  <c r="AM144" i="9"/>
  <c r="AI144" i="9"/>
  <c r="AF144" i="9"/>
  <c r="AL144" i="9"/>
  <c r="AJ144" i="9"/>
  <c r="AG144" i="9"/>
  <c r="AC144" i="9"/>
  <c r="Z144" i="9"/>
  <c r="AE144" i="9"/>
  <c r="AA144" i="9"/>
  <c r="X144" i="9"/>
  <c r="AD144" i="9"/>
  <c r="AB144" i="9"/>
  <c r="Y144" i="9"/>
  <c r="U144" i="9"/>
  <c r="R144" i="9"/>
  <c r="W144" i="9"/>
  <c r="S144" i="9"/>
  <c r="P144" i="9"/>
  <c r="V144" i="9"/>
  <c r="T144" i="9"/>
  <c r="Q144" i="9"/>
  <c r="M144" i="9"/>
  <c r="J144" i="9"/>
  <c r="O144" i="9"/>
  <c r="K144" i="9"/>
  <c r="H144" i="9"/>
  <c r="N144" i="9"/>
  <c r="L144" i="9"/>
  <c r="I144" i="9"/>
  <c r="AK143" i="9"/>
  <c r="AH143" i="9"/>
  <c r="AM143" i="9"/>
  <c r="AI143" i="9"/>
  <c r="AF143" i="9"/>
  <c r="AL143" i="9"/>
  <c r="AJ143" i="9"/>
  <c r="AG143" i="9"/>
  <c r="AC143" i="9"/>
  <c r="Z143" i="9"/>
  <c r="AE143" i="9"/>
  <c r="AA143" i="9"/>
  <c r="X143" i="9"/>
  <c r="AD143" i="9"/>
  <c r="AB143" i="9"/>
  <c r="Y143" i="9"/>
  <c r="U143" i="9"/>
  <c r="R143" i="9"/>
  <c r="W143" i="9"/>
  <c r="S143" i="9"/>
  <c r="P143" i="9"/>
  <c r="V143" i="9"/>
  <c r="T143" i="9"/>
  <c r="Q143" i="9"/>
  <c r="M143" i="9"/>
  <c r="J143" i="9"/>
  <c r="O143" i="9"/>
  <c r="K143" i="9"/>
  <c r="H143" i="9"/>
  <c r="N143" i="9"/>
  <c r="L143" i="9"/>
  <c r="I143" i="9"/>
  <c r="AK142" i="9"/>
  <c r="AH142" i="9"/>
  <c r="AM142" i="9"/>
  <c r="AI142" i="9"/>
  <c r="AF142" i="9"/>
  <c r="AL142" i="9"/>
  <c r="AJ142" i="9"/>
  <c r="AG142" i="9"/>
  <c r="AC142" i="9"/>
  <c r="Z142" i="9"/>
  <c r="AE142" i="9"/>
  <c r="AA142" i="9"/>
  <c r="X142" i="9"/>
  <c r="AD142" i="9"/>
  <c r="AB142" i="9"/>
  <c r="Y142" i="9"/>
  <c r="U142" i="9"/>
  <c r="R142" i="9"/>
  <c r="W142" i="9"/>
  <c r="S142" i="9"/>
  <c r="P142" i="9"/>
  <c r="V142" i="9"/>
  <c r="T142" i="9"/>
  <c r="Q142" i="9"/>
  <c r="M142" i="9"/>
  <c r="J142" i="9"/>
  <c r="O142" i="9"/>
  <c r="K142" i="9"/>
  <c r="H142" i="9"/>
  <c r="N142" i="9"/>
  <c r="L142" i="9"/>
  <c r="I142" i="9"/>
  <c r="AK141" i="9"/>
  <c r="AH141" i="9"/>
  <c r="AM141" i="9"/>
  <c r="AI141" i="9"/>
  <c r="AF141" i="9"/>
  <c r="AL141" i="9"/>
  <c r="AJ141" i="9"/>
  <c r="AG141" i="9"/>
  <c r="AC141" i="9"/>
  <c r="Z141" i="9"/>
  <c r="AE141" i="9"/>
  <c r="AA141" i="9"/>
  <c r="X141" i="9"/>
  <c r="AD141" i="9"/>
  <c r="AB141" i="9"/>
  <c r="Y141" i="9"/>
  <c r="U141" i="9"/>
  <c r="R141" i="9"/>
  <c r="W141" i="9"/>
  <c r="S141" i="9"/>
  <c r="P141" i="9"/>
  <c r="V141" i="9"/>
  <c r="T141" i="9"/>
  <c r="Q141" i="9"/>
  <c r="M141" i="9"/>
  <c r="J141" i="9"/>
  <c r="O141" i="9"/>
  <c r="K141" i="9"/>
  <c r="H141" i="9"/>
  <c r="N141" i="9"/>
  <c r="L141" i="9"/>
  <c r="I141" i="9"/>
  <c r="AK140" i="9"/>
  <c r="AH140" i="9"/>
  <c r="AM140" i="9"/>
  <c r="AI140" i="9"/>
  <c r="AF140" i="9"/>
  <c r="AL140" i="9"/>
  <c r="AJ140" i="9"/>
  <c r="AG140" i="9"/>
  <c r="AC140" i="9"/>
  <c r="Z140" i="9"/>
  <c r="AE140" i="9"/>
  <c r="AA140" i="9"/>
  <c r="X140" i="9"/>
  <c r="AD140" i="9"/>
  <c r="AB140" i="9"/>
  <c r="Y140" i="9"/>
  <c r="U140" i="9"/>
  <c r="R140" i="9"/>
  <c r="W140" i="9"/>
  <c r="S140" i="9"/>
  <c r="P140" i="9"/>
  <c r="V140" i="9"/>
  <c r="T140" i="9"/>
  <c r="Q140" i="9"/>
  <c r="M140" i="9"/>
  <c r="J140" i="9"/>
  <c r="O140" i="9"/>
  <c r="K140" i="9"/>
  <c r="H140" i="9"/>
  <c r="N140" i="9"/>
  <c r="L140" i="9"/>
  <c r="I140" i="9"/>
  <c r="AK139" i="9"/>
  <c r="AH139" i="9"/>
  <c r="AM139" i="9"/>
  <c r="AI139" i="9"/>
  <c r="AF139" i="9"/>
  <c r="AL139" i="9"/>
  <c r="AJ139" i="9"/>
  <c r="AG139" i="9"/>
  <c r="AC139" i="9"/>
  <c r="Z139" i="9"/>
  <c r="AE139" i="9"/>
  <c r="AA139" i="9"/>
  <c r="X139" i="9"/>
  <c r="AD139" i="9"/>
  <c r="AB139" i="9"/>
  <c r="Y139" i="9"/>
  <c r="U139" i="9"/>
  <c r="R139" i="9"/>
  <c r="W139" i="9"/>
  <c r="S139" i="9"/>
  <c r="P139" i="9"/>
  <c r="V139" i="9"/>
  <c r="T139" i="9"/>
  <c r="Q139" i="9"/>
  <c r="M139" i="9"/>
  <c r="J139" i="9"/>
  <c r="O139" i="9"/>
  <c r="K139" i="9"/>
  <c r="H139" i="9"/>
  <c r="N139" i="9"/>
  <c r="L139" i="9"/>
  <c r="I139" i="9"/>
  <c r="AK138" i="9"/>
  <c r="AH138" i="9"/>
  <c r="AM138" i="9"/>
  <c r="AI138" i="9"/>
  <c r="AF138" i="9"/>
  <c r="AL138" i="9"/>
  <c r="AJ138" i="9"/>
  <c r="AG138" i="9"/>
  <c r="AC138" i="9"/>
  <c r="Z138" i="9"/>
  <c r="AE138" i="9"/>
  <c r="AA138" i="9"/>
  <c r="X138" i="9"/>
  <c r="AD138" i="9"/>
  <c r="AB138" i="9"/>
  <c r="Y138" i="9"/>
  <c r="U138" i="9"/>
  <c r="R138" i="9"/>
  <c r="W138" i="9"/>
  <c r="S138" i="9"/>
  <c r="P138" i="9"/>
  <c r="V138" i="9"/>
  <c r="T138" i="9"/>
  <c r="Q138" i="9"/>
  <c r="M138" i="9"/>
  <c r="J138" i="9"/>
  <c r="O138" i="9"/>
  <c r="K138" i="9"/>
  <c r="H138" i="9"/>
  <c r="N138" i="9"/>
  <c r="L138" i="9"/>
  <c r="I138" i="9"/>
  <c r="AK137" i="9"/>
  <c r="AH137" i="9"/>
  <c r="AM137" i="9"/>
  <c r="AI137" i="9"/>
  <c r="AF137" i="9"/>
  <c r="AL137" i="9"/>
  <c r="AJ137" i="9"/>
  <c r="AG137" i="9"/>
  <c r="AC137" i="9"/>
  <c r="Z137" i="9"/>
  <c r="AE137" i="9"/>
  <c r="AA137" i="9"/>
  <c r="X137" i="9"/>
  <c r="AD137" i="9"/>
  <c r="AB137" i="9"/>
  <c r="Y137" i="9"/>
  <c r="U137" i="9"/>
  <c r="R137" i="9"/>
  <c r="W137" i="9"/>
  <c r="S137" i="9"/>
  <c r="P137" i="9"/>
  <c r="V137" i="9"/>
  <c r="T137" i="9"/>
  <c r="Q137" i="9"/>
  <c r="M137" i="9"/>
  <c r="J137" i="9"/>
  <c r="O137" i="9"/>
  <c r="K137" i="9"/>
  <c r="H137" i="9"/>
  <c r="N137" i="9"/>
  <c r="L137" i="9"/>
  <c r="I137" i="9"/>
  <c r="AK136" i="9"/>
  <c r="AH136" i="9"/>
  <c r="AM136" i="9"/>
  <c r="AI136" i="9"/>
  <c r="AF136" i="9"/>
  <c r="AL136" i="9"/>
  <c r="AJ136" i="9"/>
  <c r="AG136" i="9"/>
  <c r="AC136" i="9"/>
  <c r="Z136" i="9"/>
  <c r="AE136" i="9"/>
  <c r="AA136" i="9"/>
  <c r="X136" i="9"/>
  <c r="AD136" i="9"/>
  <c r="AB136" i="9"/>
  <c r="Y136" i="9"/>
  <c r="U136" i="9"/>
  <c r="R136" i="9"/>
  <c r="W136" i="9"/>
  <c r="S136" i="9"/>
  <c r="P136" i="9"/>
  <c r="V136" i="9"/>
  <c r="T136" i="9"/>
  <c r="Q136" i="9"/>
  <c r="M136" i="9"/>
  <c r="J136" i="9"/>
  <c r="O136" i="9"/>
  <c r="K136" i="9"/>
  <c r="H136" i="9"/>
  <c r="N136" i="9"/>
  <c r="L136" i="9"/>
  <c r="I136" i="9"/>
  <c r="AK135" i="9"/>
  <c r="AH135" i="9"/>
  <c r="AM135" i="9"/>
  <c r="AI135" i="9"/>
  <c r="AF135" i="9"/>
  <c r="AL135" i="9"/>
  <c r="AJ135" i="9"/>
  <c r="AG135" i="9"/>
  <c r="AC135" i="9"/>
  <c r="Z135" i="9"/>
  <c r="AE135" i="9"/>
  <c r="AA135" i="9"/>
  <c r="X135" i="9"/>
  <c r="AD135" i="9"/>
  <c r="AB135" i="9"/>
  <c r="Y135" i="9"/>
  <c r="U135" i="9"/>
  <c r="R135" i="9"/>
  <c r="W135" i="9"/>
  <c r="S135" i="9"/>
  <c r="P135" i="9"/>
  <c r="V135" i="9"/>
  <c r="T135" i="9"/>
  <c r="Q135" i="9"/>
  <c r="M135" i="9"/>
  <c r="J135" i="9"/>
  <c r="O135" i="9"/>
  <c r="K135" i="9"/>
  <c r="H135" i="9"/>
  <c r="N135" i="9"/>
  <c r="L135" i="9"/>
  <c r="I135" i="9"/>
  <c r="AK134" i="9"/>
  <c r="AH134" i="9"/>
  <c r="AM134" i="9"/>
  <c r="AI134" i="9"/>
  <c r="AF134" i="9"/>
  <c r="AL134" i="9"/>
  <c r="AJ134" i="9"/>
  <c r="AG134" i="9"/>
  <c r="AC134" i="9"/>
  <c r="Z134" i="9"/>
  <c r="AE134" i="9"/>
  <c r="AA134" i="9"/>
  <c r="X134" i="9"/>
  <c r="AD134" i="9"/>
  <c r="AB134" i="9"/>
  <c r="Y134" i="9"/>
  <c r="U134" i="9"/>
  <c r="R134" i="9"/>
  <c r="W134" i="9"/>
  <c r="S134" i="9"/>
  <c r="P134" i="9"/>
  <c r="V134" i="9"/>
  <c r="T134" i="9"/>
  <c r="Q134" i="9"/>
  <c r="M134" i="9"/>
  <c r="J134" i="9"/>
  <c r="O134" i="9"/>
  <c r="K134" i="9"/>
  <c r="H134" i="9"/>
  <c r="N134" i="9"/>
  <c r="L134" i="9"/>
  <c r="I134" i="9"/>
  <c r="AK133" i="9"/>
  <c r="AH133" i="9"/>
  <c r="AM133" i="9"/>
  <c r="AI133" i="9"/>
  <c r="AF133" i="9"/>
  <c r="AL133" i="9"/>
  <c r="AJ133" i="9"/>
  <c r="AG133" i="9"/>
  <c r="AC133" i="9"/>
  <c r="Z133" i="9"/>
  <c r="AE133" i="9"/>
  <c r="AA133" i="9"/>
  <c r="X133" i="9"/>
  <c r="AD133" i="9"/>
  <c r="AB133" i="9"/>
  <c r="Y133" i="9"/>
  <c r="U133" i="9"/>
  <c r="R133" i="9"/>
  <c r="W133" i="9"/>
  <c r="S133" i="9"/>
  <c r="P133" i="9"/>
  <c r="V133" i="9"/>
  <c r="T133" i="9"/>
  <c r="Q133" i="9"/>
  <c r="M133" i="9"/>
  <c r="J133" i="9"/>
  <c r="O133" i="9"/>
  <c r="K133" i="9"/>
  <c r="H133" i="9"/>
  <c r="N133" i="9"/>
  <c r="L133" i="9"/>
  <c r="I133" i="9"/>
  <c r="AK132" i="9"/>
  <c r="AH132" i="9"/>
  <c r="AM132" i="9"/>
  <c r="AI132" i="9"/>
  <c r="AF132" i="9"/>
  <c r="AL132" i="9"/>
  <c r="AJ132" i="9"/>
  <c r="AG132" i="9"/>
  <c r="AC132" i="9"/>
  <c r="Z132" i="9"/>
  <c r="AE132" i="9"/>
  <c r="AA132" i="9"/>
  <c r="X132" i="9"/>
  <c r="AD132" i="9"/>
  <c r="AB132" i="9"/>
  <c r="Y132" i="9"/>
  <c r="U132" i="9"/>
  <c r="R132" i="9"/>
  <c r="W132" i="9"/>
  <c r="S132" i="9"/>
  <c r="P132" i="9"/>
  <c r="V132" i="9"/>
  <c r="T132" i="9"/>
  <c r="Q132" i="9"/>
  <c r="M132" i="9"/>
  <c r="J132" i="9"/>
  <c r="O132" i="9"/>
  <c r="K132" i="9"/>
  <c r="H132" i="9"/>
  <c r="N132" i="9"/>
  <c r="L132" i="9"/>
  <c r="I132" i="9"/>
  <c r="AK131" i="9"/>
  <c r="AH131" i="9"/>
  <c r="AM131" i="9"/>
  <c r="AI131" i="9"/>
  <c r="AF131" i="9"/>
  <c r="AL131" i="9"/>
  <c r="AJ131" i="9"/>
  <c r="AG131" i="9"/>
  <c r="AC131" i="9"/>
  <c r="Z131" i="9"/>
  <c r="AE131" i="9"/>
  <c r="AA131" i="9"/>
  <c r="X131" i="9"/>
  <c r="AD131" i="9"/>
  <c r="AB131" i="9"/>
  <c r="Y131" i="9"/>
  <c r="U131" i="9"/>
  <c r="R131" i="9"/>
  <c r="W131" i="9"/>
  <c r="S131" i="9"/>
  <c r="P131" i="9"/>
  <c r="V131" i="9"/>
  <c r="T131" i="9"/>
  <c r="Q131" i="9"/>
  <c r="M131" i="9"/>
  <c r="J131" i="9"/>
  <c r="O131" i="9"/>
  <c r="K131" i="9"/>
  <c r="H131" i="9"/>
  <c r="N131" i="9"/>
  <c r="L131" i="9"/>
  <c r="I131" i="9"/>
  <c r="AK130" i="9"/>
  <c r="AH130" i="9"/>
  <c r="AM130" i="9"/>
  <c r="AI130" i="9"/>
  <c r="AF130" i="9"/>
  <c r="AL130" i="9"/>
  <c r="AJ130" i="9"/>
  <c r="AG130" i="9"/>
  <c r="AC130" i="9"/>
  <c r="Z130" i="9"/>
  <c r="AE130" i="9"/>
  <c r="AA130" i="9"/>
  <c r="X130" i="9"/>
  <c r="AD130" i="9"/>
  <c r="AB130" i="9"/>
  <c r="Y130" i="9"/>
  <c r="U130" i="9"/>
  <c r="R130" i="9"/>
  <c r="W130" i="9"/>
  <c r="S130" i="9"/>
  <c r="P130" i="9"/>
  <c r="V130" i="9"/>
  <c r="T130" i="9"/>
  <c r="Q130" i="9"/>
  <c r="M130" i="9"/>
  <c r="J130" i="9"/>
  <c r="O130" i="9"/>
  <c r="K130" i="9"/>
  <c r="H130" i="9"/>
  <c r="N130" i="9"/>
  <c r="L130" i="9"/>
  <c r="I130" i="9"/>
  <c r="AK129" i="9"/>
  <c r="AH129" i="9"/>
  <c r="AM129" i="9"/>
  <c r="AI129" i="9"/>
  <c r="AF129" i="9"/>
  <c r="AL129" i="9"/>
  <c r="AJ129" i="9"/>
  <c r="AG129" i="9"/>
  <c r="AC129" i="9"/>
  <c r="Z129" i="9"/>
  <c r="AE129" i="9"/>
  <c r="AA129" i="9"/>
  <c r="X129" i="9"/>
  <c r="AD129" i="9"/>
  <c r="AB129" i="9"/>
  <c r="Y129" i="9"/>
  <c r="U129" i="9"/>
  <c r="R129" i="9"/>
  <c r="W129" i="9"/>
  <c r="S129" i="9"/>
  <c r="P129" i="9"/>
  <c r="V129" i="9"/>
  <c r="T129" i="9"/>
  <c r="Q129" i="9"/>
  <c r="M129" i="9"/>
  <c r="J129" i="9"/>
  <c r="O129" i="9"/>
  <c r="K129" i="9"/>
  <c r="H129" i="9"/>
  <c r="N129" i="9"/>
  <c r="L129" i="9"/>
  <c r="I129" i="9"/>
  <c r="AK128" i="9"/>
  <c r="AH128" i="9"/>
  <c r="AM128" i="9"/>
  <c r="AI128" i="9"/>
  <c r="AF128" i="9"/>
  <c r="AL128" i="9"/>
  <c r="AJ128" i="9"/>
  <c r="AG128" i="9"/>
  <c r="AC128" i="9"/>
  <c r="Z128" i="9"/>
  <c r="AE128" i="9"/>
  <c r="AA128" i="9"/>
  <c r="X128" i="9"/>
  <c r="AD128" i="9"/>
  <c r="AB128" i="9"/>
  <c r="Y128" i="9"/>
  <c r="U128" i="9"/>
  <c r="R128" i="9"/>
  <c r="W128" i="9"/>
  <c r="S128" i="9"/>
  <c r="P128" i="9"/>
  <c r="V128" i="9"/>
  <c r="T128" i="9"/>
  <c r="Q128" i="9"/>
  <c r="M128" i="9"/>
  <c r="J128" i="9"/>
  <c r="O128" i="9"/>
  <c r="K128" i="9"/>
  <c r="H128" i="9"/>
  <c r="N128" i="9"/>
  <c r="L128" i="9"/>
  <c r="I128" i="9"/>
  <c r="AK127" i="9"/>
  <c r="AH127" i="9"/>
  <c r="AM127" i="9"/>
  <c r="AI127" i="9"/>
  <c r="AF127" i="9"/>
  <c r="AL127" i="9"/>
  <c r="AJ127" i="9"/>
  <c r="AG127" i="9"/>
  <c r="AC127" i="9"/>
  <c r="Z127" i="9"/>
  <c r="AE127" i="9"/>
  <c r="AA127" i="9"/>
  <c r="X127" i="9"/>
  <c r="AD127" i="9"/>
  <c r="AB127" i="9"/>
  <c r="Y127" i="9"/>
  <c r="U127" i="9"/>
  <c r="R127" i="9"/>
  <c r="W127" i="9"/>
  <c r="S127" i="9"/>
  <c r="P127" i="9"/>
  <c r="V127" i="9"/>
  <c r="T127" i="9"/>
  <c r="Q127" i="9"/>
  <c r="M127" i="9"/>
  <c r="J127" i="9"/>
  <c r="O127" i="9"/>
  <c r="K127" i="9"/>
  <c r="H127" i="9"/>
  <c r="N127" i="9"/>
  <c r="L127" i="9"/>
  <c r="I127" i="9"/>
  <c r="AK126" i="9"/>
  <c r="AH126" i="9"/>
  <c r="AM126" i="9"/>
  <c r="AI126" i="9"/>
  <c r="AF126" i="9"/>
  <c r="AL126" i="9"/>
  <c r="AJ126" i="9"/>
  <c r="AG126" i="9"/>
  <c r="AC126" i="9"/>
  <c r="Z126" i="9"/>
  <c r="AE126" i="9"/>
  <c r="AA126" i="9"/>
  <c r="X126" i="9"/>
  <c r="AD126" i="9"/>
  <c r="AB126" i="9"/>
  <c r="Y126" i="9"/>
  <c r="U126" i="9"/>
  <c r="R126" i="9"/>
  <c r="W126" i="9"/>
  <c r="S126" i="9"/>
  <c r="P126" i="9"/>
  <c r="V126" i="9"/>
  <c r="T126" i="9"/>
  <c r="Q126" i="9"/>
  <c r="M126" i="9"/>
  <c r="J126" i="9"/>
  <c r="O126" i="9"/>
  <c r="K126" i="9"/>
  <c r="H126" i="9"/>
  <c r="N126" i="9"/>
  <c r="L126" i="9"/>
  <c r="I126" i="9"/>
  <c r="AK125" i="9"/>
  <c r="AH125" i="9"/>
  <c r="AM125" i="9"/>
  <c r="AI125" i="9"/>
  <c r="AF125" i="9"/>
  <c r="AL125" i="9"/>
  <c r="AJ125" i="9"/>
  <c r="AG125" i="9"/>
  <c r="AC125" i="9"/>
  <c r="Z125" i="9"/>
  <c r="AE125" i="9"/>
  <c r="AA125" i="9"/>
  <c r="X125" i="9"/>
  <c r="AD125" i="9"/>
  <c r="AB125" i="9"/>
  <c r="Y125" i="9"/>
  <c r="U125" i="9"/>
  <c r="R125" i="9"/>
  <c r="W125" i="9"/>
  <c r="S125" i="9"/>
  <c r="P125" i="9"/>
  <c r="V125" i="9"/>
  <c r="T125" i="9"/>
  <c r="Q125" i="9"/>
  <c r="M125" i="9"/>
  <c r="J125" i="9"/>
  <c r="O125" i="9"/>
  <c r="K125" i="9"/>
  <c r="H125" i="9"/>
  <c r="N125" i="9"/>
  <c r="L125" i="9"/>
  <c r="I125" i="9"/>
  <c r="AK124" i="9"/>
  <c r="AH124" i="9"/>
  <c r="AM124" i="9"/>
  <c r="AI124" i="9"/>
  <c r="AF124" i="9"/>
  <c r="AL124" i="9"/>
  <c r="AJ124" i="9"/>
  <c r="AG124" i="9"/>
  <c r="AC124" i="9"/>
  <c r="Z124" i="9"/>
  <c r="AE124" i="9"/>
  <c r="AA124" i="9"/>
  <c r="X124" i="9"/>
  <c r="AD124" i="9"/>
  <c r="AB124" i="9"/>
  <c r="Y124" i="9"/>
  <c r="U124" i="9"/>
  <c r="R124" i="9"/>
  <c r="W124" i="9"/>
  <c r="S124" i="9"/>
  <c r="P124" i="9"/>
  <c r="V124" i="9"/>
  <c r="T124" i="9"/>
  <c r="Q124" i="9"/>
  <c r="M124" i="9"/>
  <c r="J124" i="9"/>
  <c r="O124" i="9"/>
  <c r="K124" i="9"/>
  <c r="H124" i="9"/>
  <c r="N124" i="9"/>
  <c r="L124" i="9"/>
  <c r="I124" i="9"/>
  <c r="AK123" i="9"/>
  <c r="AH123" i="9"/>
  <c r="AM123" i="9"/>
  <c r="AI123" i="9"/>
  <c r="AF123" i="9"/>
  <c r="AL123" i="9"/>
  <c r="AJ123" i="9"/>
  <c r="AG123" i="9"/>
  <c r="AC123" i="9"/>
  <c r="Z123" i="9"/>
  <c r="AE123" i="9"/>
  <c r="AA123" i="9"/>
  <c r="X123" i="9"/>
  <c r="AD123" i="9"/>
  <c r="AB123" i="9"/>
  <c r="Y123" i="9"/>
  <c r="U123" i="9"/>
  <c r="R123" i="9"/>
  <c r="W123" i="9"/>
  <c r="S123" i="9"/>
  <c r="P123" i="9"/>
  <c r="V123" i="9"/>
  <c r="T123" i="9"/>
  <c r="Q123" i="9"/>
  <c r="M123" i="9"/>
  <c r="J123" i="9"/>
  <c r="O123" i="9"/>
  <c r="K123" i="9"/>
  <c r="H123" i="9"/>
  <c r="N123" i="9"/>
  <c r="L123" i="9"/>
  <c r="I123" i="9"/>
  <c r="AK122" i="9"/>
  <c r="AH122" i="9"/>
  <c r="AM122" i="9"/>
  <c r="AI122" i="9"/>
  <c r="AF122" i="9"/>
  <c r="AL122" i="9"/>
  <c r="AJ122" i="9"/>
  <c r="AG122" i="9"/>
  <c r="AC122" i="9"/>
  <c r="Z122" i="9"/>
  <c r="AE122" i="9"/>
  <c r="AA122" i="9"/>
  <c r="X122" i="9"/>
  <c r="AD122" i="9"/>
  <c r="AB122" i="9"/>
  <c r="Y122" i="9"/>
  <c r="U122" i="9"/>
  <c r="R122" i="9"/>
  <c r="W122" i="9"/>
  <c r="S122" i="9"/>
  <c r="P122" i="9"/>
  <c r="V122" i="9"/>
  <c r="T122" i="9"/>
  <c r="Q122" i="9"/>
  <c r="M122" i="9"/>
  <c r="J122" i="9"/>
  <c r="O122" i="9"/>
  <c r="K122" i="9"/>
  <c r="H122" i="9"/>
  <c r="N122" i="9"/>
  <c r="L122" i="9"/>
  <c r="I122" i="9"/>
  <c r="AK121" i="9"/>
  <c r="AH121" i="9"/>
  <c r="AM121" i="9"/>
  <c r="AI121" i="9"/>
  <c r="AF121" i="9"/>
  <c r="AL121" i="9"/>
  <c r="AJ121" i="9"/>
  <c r="AG121" i="9"/>
  <c r="AC121" i="9"/>
  <c r="Z121" i="9"/>
  <c r="AE121" i="9"/>
  <c r="AA121" i="9"/>
  <c r="X121" i="9"/>
  <c r="AD121" i="9"/>
  <c r="AB121" i="9"/>
  <c r="Y121" i="9"/>
  <c r="U121" i="9"/>
  <c r="R121" i="9"/>
  <c r="W121" i="9"/>
  <c r="S121" i="9"/>
  <c r="P121" i="9"/>
  <c r="V121" i="9"/>
  <c r="T121" i="9"/>
  <c r="Q121" i="9"/>
  <c r="M121" i="9"/>
  <c r="J121" i="9"/>
  <c r="O121" i="9"/>
  <c r="K121" i="9"/>
  <c r="H121" i="9"/>
  <c r="N121" i="9"/>
  <c r="L121" i="9"/>
  <c r="I121" i="9"/>
  <c r="AK120" i="9"/>
  <c r="AH120" i="9"/>
  <c r="AM120" i="9"/>
  <c r="AI120" i="9"/>
  <c r="AF120" i="9"/>
  <c r="AL120" i="9"/>
  <c r="AJ120" i="9"/>
  <c r="AG120" i="9"/>
  <c r="AC120" i="9"/>
  <c r="Z120" i="9"/>
  <c r="AE120" i="9"/>
  <c r="AA120" i="9"/>
  <c r="X120" i="9"/>
  <c r="AD120" i="9"/>
  <c r="AB120" i="9"/>
  <c r="Y120" i="9"/>
  <c r="U120" i="9"/>
  <c r="R120" i="9"/>
  <c r="W120" i="9"/>
  <c r="S120" i="9"/>
  <c r="P120" i="9"/>
  <c r="V120" i="9"/>
  <c r="T120" i="9"/>
  <c r="Q120" i="9"/>
  <c r="M120" i="9"/>
  <c r="J120" i="9"/>
  <c r="O120" i="9"/>
  <c r="K120" i="9"/>
  <c r="H120" i="9"/>
  <c r="N120" i="9"/>
  <c r="L120" i="9"/>
  <c r="I120" i="9"/>
  <c r="AK119" i="9"/>
  <c r="AH119" i="9"/>
  <c r="AM119" i="9"/>
  <c r="AI119" i="9"/>
  <c r="AF119" i="9"/>
  <c r="AL119" i="9"/>
  <c r="AJ119" i="9"/>
  <c r="AG119" i="9"/>
  <c r="AC119" i="9"/>
  <c r="Z119" i="9"/>
  <c r="AE119" i="9"/>
  <c r="AA119" i="9"/>
  <c r="X119" i="9"/>
  <c r="AD119" i="9"/>
  <c r="AB119" i="9"/>
  <c r="Y119" i="9"/>
  <c r="U119" i="9"/>
  <c r="R119" i="9"/>
  <c r="W119" i="9"/>
  <c r="S119" i="9"/>
  <c r="P119" i="9"/>
  <c r="V119" i="9"/>
  <c r="T119" i="9"/>
  <c r="Q119" i="9"/>
  <c r="M119" i="9"/>
  <c r="J119" i="9"/>
  <c r="O119" i="9"/>
  <c r="K119" i="9"/>
  <c r="H119" i="9"/>
  <c r="N119" i="9"/>
  <c r="L119" i="9"/>
  <c r="I119" i="9"/>
  <c r="AK118" i="9"/>
  <c r="AH118" i="9"/>
  <c r="AM118" i="9"/>
  <c r="AI118" i="9"/>
  <c r="AF118" i="9"/>
  <c r="AL118" i="9"/>
  <c r="AJ118" i="9"/>
  <c r="AG118" i="9"/>
  <c r="AC118" i="9"/>
  <c r="Z118" i="9"/>
  <c r="AE118" i="9"/>
  <c r="AA118" i="9"/>
  <c r="X118" i="9"/>
  <c r="AD118" i="9"/>
  <c r="AB118" i="9"/>
  <c r="Y118" i="9"/>
  <c r="U118" i="9"/>
  <c r="R118" i="9"/>
  <c r="W118" i="9"/>
  <c r="S118" i="9"/>
  <c r="P118" i="9"/>
  <c r="V118" i="9"/>
  <c r="T118" i="9"/>
  <c r="Q118" i="9"/>
  <c r="M118" i="9"/>
  <c r="J118" i="9"/>
  <c r="O118" i="9"/>
  <c r="K118" i="9"/>
  <c r="H118" i="9"/>
  <c r="N118" i="9"/>
  <c r="L118" i="9"/>
  <c r="I118" i="9"/>
  <c r="AK117" i="9"/>
  <c r="AH117" i="9"/>
  <c r="AM117" i="9"/>
  <c r="AI117" i="9"/>
  <c r="AF117" i="9"/>
  <c r="AL117" i="9"/>
  <c r="AJ117" i="9"/>
  <c r="AG117" i="9"/>
  <c r="AC117" i="9"/>
  <c r="Z117" i="9"/>
  <c r="AE117" i="9"/>
  <c r="AA117" i="9"/>
  <c r="X117" i="9"/>
  <c r="AD117" i="9"/>
  <c r="AB117" i="9"/>
  <c r="Y117" i="9"/>
  <c r="U117" i="9"/>
  <c r="R117" i="9"/>
  <c r="W117" i="9"/>
  <c r="S117" i="9"/>
  <c r="P117" i="9"/>
  <c r="V117" i="9"/>
  <c r="T117" i="9"/>
  <c r="Q117" i="9"/>
  <c r="M117" i="9"/>
  <c r="J117" i="9"/>
  <c r="O117" i="9"/>
  <c r="K117" i="9"/>
  <c r="H117" i="9"/>
  <c r="N117" i="9"/>
  <c r="L117" i="9"/>
  <c r="I117" i="9"/>
  <c r="AK116" i="9"/>
  <c r="AH116" i="9"/>
  <c r="AM116" i="9"/>
  <c r="AI116" i="9"/>
  <c r="AF116" i="9"/>
  <c r="AL116" i="9"/>
  <c r="AJ116" i="9"/>
  <c r="AG116" i="9"/>
  <c r="AC116" i="9"/>
  <c r="Z116" i="9"/>
  <c r="AE116" i="9"/>
  <c r="AA116" i="9"/>
  <c r="X116" i="9"/>
  <c r="AD116" i="9"/>
  <c r="AB116" i="9"/>
  <c r="Y116" i="9"/>
  <c r="U116" i="9"/>
  <c r="R116" i="9"/>
  <c r="W116" i="9"/>
  <c r="S116" i="9"/>
  <c r="P116" i="9"/>
  <c r="V116" i="9"/>
  <c r="T116" i="9"/>
  <c r="Q116" i="9"/>
  <c r="M116" i="9"/>
  <c r="J116" i="9"/>
  <c r="O116" i="9"/>
  <c r="K116" i="9"/>
  <c r="H116" i="9"/>
  <c r="N116" i="9"/>
  <c r="L116" i="9"/>
  <c r="I116" i="9"/>
  <c r="AK115" i="9"/>
  <c r="AH115" i="9"/>
  <c r="AM115" i="9"/>
  <c r="AI115" i="9"/>
  <c r="AF115" i="9"/>
  <c r="AL115" i="9"/>
  <c r="AJ115" i="9"/>
  <c r="AG115" i="9"/>
  <c r="AC115" i="9"/>
  <c r="Z115" i="9"/>
  <c r="AE115" i="9"/>
  <c r="AA115" i="9"/>
  <c r="X115" i="9"/>
  <c r="AD115" i="9"/>
  <c r="AB115" i="9"/>
  <c r="Y115" i="9"/>
  <c r="U115" i="9"/>
  <c r="R115" i="9"/>
  <c r="W115" i="9"/>
  <c r="S115" i="9"/>
  <c r="P115" i="9"/>
  <c r="V115" i="9"/>
  <c r="T115" i="9"/>
  <c r="Q115" i="9"/>
  <c r="M115" i="9"/>
  <c r="J115" i="9"/>
  <c r="O115" i="9"/>
  <c r="K115" i="9"/>
  <c r="H115" i="9"/>
  <c r="N115" i="9"/>
  <c r="L115" i="9"/>
  <c r="I115" i="9"/>
  <c r="AK114" i="9"/>
  <c r="AH114" i="9"/>
  <c r="AM114" i="9"/>
  <c r="AI114" i="9"/>
  <c r="AF114" i="9"/>
  <c r="AL114" i="9"/>
  <c r="AJ114" i="9"/>
  <c r="AG114" i="9"/>
  <c r="AC114" i="9"/>
  <c r="Z114" i="9"/>
  <c r="AE114" i="9"/>
  <c r="AA114" i="9"/>
  <c r="X114" i="9"/>
  <c r="AD114" i="9"/>
  <c r="AB114" i="9"/>
  <c r="Y114" i="9"/>
  <c r="U114" i="9"/>
  <c r="R114" i="9"/>
  <c r="W114" i="9"/>
  <c r="S114" i="9"/>
  <c r="P114" i="9"/>
  <c r="V114" i="9"/>
  <c r="T114" i="9"/>
  <c r="Q114" i="9"/>
  <c r="M114" i="9"/>
  <c r="J114" i="9"/>
  <c r="O114" i="9"/>
  <c r="K114" i="9"/>
  <c r="H114" i="9"/>
  <c r="N114" i="9"/>
  <c r="L114" i="9"/>
  <c r="I114" i="9"/>
  <c r="AK113" i="9"/>
  <c r="AH113" i="9"/>
  <c r="AM113" i="9"/>
  <c r="AI113" i="9"/>
  <c r="AF113" i="9"/>
  <c r="AL113" i="9"/>
  <c r="AJ113" i="9"/>
  <c r="AG113" i="9"/>
  <c r="AC113" i="9"/>
  <c r="Z113" i="9"/>
  <c r="AE113" i="9"/>
  <c r="AA113" i="9"/>
  <c r="X113" i="9"/>
  <c r="AD113" i="9"/>
  <c r="AB113" i="9"/>
  <c r="Y113" i="9"/>
  <c r="U113" i="9"/>
  <c r="R113" i="9"/>
  <c r="W113" i="9"/>
  <c r="S113" i="9"/>
  <c r="P113" i="9"/>
  <c r="V113" i="9"/>
  <c r="T113" i="9"/>
  <c r="Q113" i="9"/>
  <c r="M113" i="9"/>
  <c r="J113" i="9"/>
  <c r="O113" i="9"/>
  <c r="K113" i="9"/>
  <c r="H113" i="9"/>
  <c r="N113" i="9"/>
  <c r="L113" i="9"/>
  <c r="I113" i="9"/>
  <c r="AK112" i="9"/>
  <c r="AH112" i="9"/>
  <c r="AM112" i="9"/>
  <c r="AI112" i="9"/>
  <c r="AF112" i="9"/>
  <c r="AL112" i="9"/>
  <c r="AJ112" i="9"/>
  <c r="AG112" i="9"/>
  <c r="AC112" i="9"/>
  <c r="Z112" i="9"/>
  <c r="AE112" i="9"/>
  <c r="AA112" i="9"/>
  <c r="X112" i="9"/>
  <c r="AD112" i="9"/>
  <c r="AB112" i="9"/>
  <c r="Y112" i="9"/>
  <c r="U112" i="9"/>
  <c r="R112" i="9"/>
  <c r="W112" i="9"/>
  <c r="S112" i="9"/>
  <c r="P112" i="9"/>
  <c r="V112" i="9"/>
  <c r="T112" i="9"/>
  <c r="Q112" i="9"/>
  <c r="M112" i="9"/>
  <c r="J112" i="9"/>
  <c r="O112" i="9"/>
  <c r="K112" i="9"/>
  <c r="H112" i="9"/>
  <c r="N112" i="9"/>
  <c r="L112" i="9"/>
  <c r="I112" i="9"/>
  <c r="AK111" i="9"/>
  <c r="AH111" i="9"/>
  <c r="AM111" i="9"/>
  <c r="AI111" i="9"/>
  <c r="AF111" i="9"/>
  <c r="AL111" i="9"/>
  <c r="AJ111" i="9"/>
  <c r="AG111" i="9"/>
  <c r="AC111" i="9"/>
  <c r="Z111" i="9"/>
  <c r="AE111" i="9"/>
  <c r="AA111" i="9"/>
  <c r="X111" i="9"/>
  <c r="AD111" i="9"/>
  <c r="AB111" i="9"/>
  <c r="Y111" i="9"/>
  <c r="U111" i="9"/>
  <c r="R111" i="9"/>
  <c r="W111" i="9"/>
  <c r="S111" i="9"/>
  <c r="P111" i="9"/>
  <c r="V111" i="9"/>
  <c r="T111" i="9"/>
  <c r="Q111" i="9"/>
  <c r="M111" i="9"/>
  <c r="J111" i="9"/>
  <c r="O111" i="9"/>
  <c r="K111" i="9"/>
  <c r="H111" i="9"/>
  <c r="N111" i="9"/>
  <c r="L111" i="9"/>
  <c r="I111" i="9"/>
  <c r="AK110" i="9"/>
  <c r="AH110" i="9"/>
  <c r="AM110" i="9"/>
  <c r="AI110" i="9"/>
  <c r="AF110" i="9"/>
  <c r="AL110" i="9"/>
  <c r="AJ110" i="9"/>
  <c r="AG110" i="9"/>
  <c r="AC110" i="9"/>
  <c r="Z110" i="9"/>
  <c r="AE110" i="9"/>
  <c r="AA110" i="9"/>
  <c r="X110" i="9"/>
  <c r="AD110" i="9"/>
  <c r="AB110" i="9"/>
  <c r="Y110" i="9"/>
  <c r="U110" i="9"/>
  <c r="R110" i="9"/>
  <c r="W110" i="9"/>
  <c r="S110" i="9"/>
  <c r="P110" i="9"/>
  <c r="V110" i="9"/>
  <c r="T110" i="9"/>
  <c r="Q110" i="9"/>
  <c r="M110" i="9"/>
  <c r="J110" i="9"/>
  <c r="O110" i="9"/>
  <c r="K110" i="9"/>
  <c r="H110" i="9"/>
  <c r="N110" i="9"/>
  <c r="L110" i="9"/>
  <c r="I110" i="9"/>
  <c r="AK109" i="9"/>
  <c r="AH109" i="9"/>
  <c r="AM109" i="9"/>
  <c r="AI109" i="9"/>
  <c r="AF109" i="9"/>
  <c r="AL109" i="9"/>
  <c r="AJ109" i="9"/>
  <c r="AG109" i="9"/>
  <c r="AC109" i="9"/>
  <c r="Z109" i="9"/>
  <c r="AE109" i="9"/>
  <c r="AA109" i="9"/>
  <c r="X109" i="9"/>
  <c r="AD109" i="9"/>
  <c r="AB109" i="9"/>
  <c r="Y109" i="9"/>
  <c r="U109" i="9"/>
  <c r="R109" i="9"/>
  <c r="W109" i="9"/>
  <c r="S109" i="9"/>
  <c r="P109" i="9"/>
  <c r="V109" i="9"/>
  <c r="T109" i="9"/>
  <c r="Q109" i="9"/>
  <c r="M109" i="9"/>
  <c r="J109" i="9"/>
  <c r="O109" i="9"/>
  <c r="K109" i="9"/>
  <c r="H109" i="9"/>
  <c r="N109" i="9"/>
  <c r="L109" i="9"/>
  <c r="I109" i="9"/>
  <c r="AK108" i="9"/>
  <c r="AH108" i="9"/>
  <c r="AM108" i="9"/>
  <c r="AI108" i="9"/>
  <c r="AF108" i="9"/>
  <c r="AL108" i="9"/>
  <c r="AJ108" i="9"/>
  <c r="AG108" i="9"/>
  <c r="AC108" i="9"/>
  <c r="Z108" i="9"/>
  <c r="AE108" i="9"/>
  <c r="AA108" i="9"/>
  <c r="X108" i="9"/>
  <c r="AD108" i="9"/>
  <c r="AB108" i="9"/>
  <c r="Y108" i="9"/>
  <c r="U108" i="9"/>
  <c r="R108" i="9"/>
  <c r="W108" i="9"/>
  <c r="S108" i="9"/>
  <c r="P108" i="9"/>
  <c r="V108" i="9"/>
  <c r="T108" i="9"/>
  <c r="Q108" i="9"/>
  <c r="M108" i="9"/>
  <c r="J108" i="9"/>
  <c r="O108" i="9"/>
  <c r="K108" i="9"/>
  <c r="H108" i="9"/>
  <c r="N108" i="9"/>
  <c r="L108" i="9"/>
  <c r="I108" i="9"/>
  <c r="AK107" i="9"/>
  <c r="AH107" i="9"/>
  <c r="AM107" i="9"/>
  <c r="AI107" i="9"/>
  <c r="AF107" i="9"/>
  <c r="AL107" i="9"/>
  <c r="AJ107" i="9"/>
  <c r="AG107" i="9"/>
  <c r="AC107" i="9"/>
  <c r="Z107" i="9"/>
  <c r="AE107" i="9"/>
  <c r="AA107" i="9"/>
  <c r="X107" i="9"/>
  <c r="AD107" i="9"/>
  <c r="AB107" i="9"/>
  <c r="Y107" i="9"/>
  <c r="U107" i="9"/>
  <c r="R107" i="9"/>
  <c r="W107" i="9"/>
  <c r="S107" i="9"/>
  <c r="P107" i="9"/>
  <c r="V107" i="9"/>
  <c r="T107" i="9"/>
  <c r="Q107" i="9"/>
  <c r="M107" i="9"/>
  <c r="J107" i="9"/>
  <c r="O107" i="9"/>
  <c r="K107" i="9"/>
  <c r="H107" i="9"/>
  <c r="N107" i="9"/>
  <c r="L107" i="9"/>
  <c r="I107" i="9"/>
  <c r="AK106" i="9"/>
  <c r="AH106" i="9"/>
  <c r="AM106" i="9"/>
  <c r="AI106" i="9"/>
  <c r="AF106" i="9"/>
  <c r="AL106" i="9"/>
  <c r="AJ106" i="9"/>
  <c r="AG106" i="9"/>
  <c r="AC106" i="9"/>
  <c r="Z106" i="9"/>
  <c r="AE106" i="9"/>
  <c r="AA106" i="9"/>
  <c r="X106" i="9"/>
  <c r="AD106" i="9"/>
  <c r="AB106" i="9"/>
  <c r="Y106" i="9"/>
  <c r="U106" i="9"/>
  <c r="R106" i="9"/>
  <c r="W106" i="9"/>
  <c r="S106" i="9"/>
  <c r="P106" i="9"/>
  <c r="V106" i="9"/>
  <c r="T106" i="9"/>
  <c r="Q106" i="9"/>
  <c r="M106" i="9"/>
  <c r="J106" i="9"/>
  <c r="O106" i="9"/>
  <c r="K106" i="9"/>
  <c r="H106" i="9"/>
  <c r="N106" i="9"/>
  <c r="L106" i="9"/>
  <c r="I106" i="9"/>
  <c r="AK105" i="9"/>
  <c r="AH105" i="9"/>
  <c r="AM105" i="9"/>
  <c r="AI105" i="9"/>
  <c r="AF105" i="9"/>
  <c r="AL105" i="9"/>
  <c r="AJ105" i="9"/>
  <c r="AG105" i="9"/>
  <c r="AC105" i="9"/>
  <c r="Z105" i="9"/>
  <c r="AE105" i="9"/>
  <c r="AA105" i="9"/>
  <c r="X105" i="9"/>
  <c r="AD105" i="9"/>
  <c r="AB105" i="9"/>
  <c r="Y105" i="9"/>
  <c r="U105" i="9"/>
  <c r="R105" i="9"/>
  <c r="W105" i="9"/>
  <c r="S105" i="9"/>
  <c r="P105" i="9"/>
  <c r="V105" i="9"/>
  <c r="T105" i="9"/>
  <c r="Q105" i="9"/>
  <c r="M105" i="9"/>
  <c r="J105" i="9"/>
  <c r="O105" i="9"/>
  <c r="K105" i="9"/>
  <c r="H105" i="9"/>
  <c r="N105" i="9"/>
  <c r="L105" i="9"/>
  <c r="I105" i="9"/>
  <c r="AK104" i="9"/>
  <c r="AH104" i="9"/>
  <c r="AM104" i="9"/>
  <c r="AI104" i="9"/>
  <c r="AF104" i="9"/>
  <c r="AL104" i="9"/>
  <c r="AJ104" i="9"/>
  <c r="AG104" i="9"/>
  <c r="AC104" i="9"/>
  <c r="Z104" i="9"/>
  <c r="AE104" i="9"/>
  <c r="AA104" i="9"/>
  <c r="X104" i="9"/>
  <c r="AD104" i="9"/>
  <c r="AB104" i="9"/>
  <c r="Y104" i="9"/>
  <c r="U104" i="9"/>
  <c r="R104" i="9"/>
  <c r="W104" i="9"/>
  <c r="S104" i="9"/>
  <c r="P104" i="9"/>
  <c r="V104" i="9"/>
  <c r="T104" i="9"/>
  <c r="Q104" i="9"/>
  <c r="M104" i="9"/>
  <c r="J104" i="9"/>
  <c r="O104" i="9"/>
  <c r="K104" i="9"/>
  <c r="H104" i="9"/>
  <c r="N104" i="9"/>
  <c r="L104" i="9"/>
  <c r="I104" i="9"/>
  <c r="AK103" i="9"/>
  <c r="AH103" i="9"/>
  <c r="AM103" i="9"/>
  <c r="AI103" i="9"/>
  <c r="AF103" i="9"/>
  <c r="AL103" i="9"/>
  <c r="AJ103" i="9"/>
  <c r="AG103" i="9"/>
  <c r="AC103" i="9"/>
  <c r="Z103" i="9"/>
  <c r="AE103" i="9"/>
  <c r="AA103" i="9"/>
  <c r="X103" i="9"/>
  <c r="AD103" i="9"/>
  <c r="AB103" i="9"/>
  <c r="Y103" i="9"/>
  <c r="U103" i="9"/>
  <c r="R103" i="9"/>
  <c r="W103" i="9"/>
  <c r="S103" i="9"/>
  <c r="P103" i="9"/>
  <c r="V103" i="9"/>
  <c r="T103" i="9"/>
  <c r="Q103" i="9"/>
  <c r="M103" i="9"/>
  <c r="J103" i="9"/>
  <c r="O103" i="9"/>
  <c r="K103" i="9"/>
  <c r="H103" i="9"/>
  <c r="N103" i="9"/>
  <c r="L103" i="9"/>
  <c r="I103" i="9"/>
  <c r="AK102" i="9"/>
  <c r="AH102" i="9"/>
  <c r="AM102" i="9"/>
  <c r="AI102" i="9"/>
  <c r="AF102" i="9"/>
  <c r="AL102" i="9"/>
  <c r="AJ102" i="9"/>
  <c r="AG102" i="9"/>
  <c r="AC102" i="9"/>
  <c r="Z102" i="9"/>
  <c r="AE102" i="9"/>
  <c r="AA102" i="9"/>
  <c r="X102" i="9"/>
  <c r="AD102" i="9"/>
  <c r="AB102" i="9"/>
  <c r="Y102" i="9"/>
  <c r="U102" i="9"/>
  <c r="R102" i="9"/>
  <c r="W102" i="9"/>
  <c r="S102" i="9"/>
  <c r="P102" i="9"/>
  <c r="V102" i="9"/>
  <c r="T102" i="9"/>
  <c r="Q102" i="9"/>
  <c r="M102" i="9"/>
  <c r="J102" i="9"/>
  <c r="O102" i="9"/>
  <c r="K102" i="9"/>
  <c r="H102" i="9"/>
  <c r="N102" i="9"/>
  <c r="L102" i="9"/>
  <c r="I102" i="9"/>
  <c r="AK101" i="9"/>
  <c r="AH101" i="9"/>
  <c r="AM101" i="9"/>
  <c r="AI101" i="9"/>
  <c r="AF101" i="9"/>
  <c r="AL101" i="9"/>
  <c r="AJ101" i="9"/>
  <c r="AG101" i="9"/>
  <c r="AC101" i="9"/>
  <c r="Z101" i="9"/>
  <c r="AE101" i="9"/>
  <c r="AA101" i="9"/>
  <c r="X101" i="9"/>
  <c r="AD101" i="9"/>
  <c r="AB101" i="9"/>
  <c r="Y101" i="9"/>
  <c r="U101" i="9"/>
  <c r="R101" i="9"/>
  <c r="W101" i="9"/>
  <c r="S101" i="9"/>
  <c r="P101" i="9"/>
  <c r="V101" i="9"/>
  <c r="T101" i="9"/>
  <c r="Q101" i="9"/>
  <c r="M101" i="9"/>
  <c r="J101" i="9"/>
  <c r="O101" i="9"/>
  <c r="K101" i="9"/>
  <c r="H101" i="9"/>
  <c r="N101" i="9"/>
  <c r="L101" i="9"/>
  <c r="I101" i="9"/>
  <c r="AK100" i="9"/>
  <c r="AH100" i="9"/>
  <c r="AM100" i="9"/>
  <c r="AI100" i="9"/>
  <c r="AF100" i="9"/>
  <c r="AL100" i="9"/>
  <c r="AJ100" i="9"/>
  <c r="AG100" i="9"/>
  <c r="AC100" i="9"/>
  <c r="Z100" i="9"/>
  <c r="AE100" i="9"/>
  <c r="AA100" i="9"/>
  <c r="X100" i="9"/>
  <c r="AD100" i="9"/>
  <c r="AB100" i="9"/>
  <c r="Y100" i="9"/>
  <c r="U100" i="9"/>
  <c r="R100" i="9"/>
  <c r="W100" i="9"/>
  <c r="S100" i="9"/>
  <c r="P100" i="9"/>
  <c r="V100" i="9"/>
  <c r="T100" i="9"/>
  <c r="Q100" i="9"/>
  <c r="M100" i="9"/>
  <c r="J100" i="9"/>
  <c r="O100" i="9"/>
  <c r="K100" i="9"/>
  <c r="H100" i="9"/>
  <c r="N100" i="9"/>
  <c r="L100" i="9"/>
  <c r="I100" i="9"/>
  <c r="AK99" i="9"/>
  <c r="AH99" i="9"/>
  <c r="AM99" i="9"/>
  <c r="AI99" i="9"/>
  <c r="AF99" i="9"/>
  <c r="AL99" i="9"/>
  <c r="AJ99" i="9"/>
  <c r="AG99" i="9"/>
  <c r="AC99" i="9"/>
  <c r="Z99" i="9"/>
  <c r="AE99" i="9"/>
  <c r="AA99" i="9"/>
  <c r="X99" i="9"/>
  <c r="AD99" i="9"/>
  <c r="AB99" i="9"/>
  <c r="Y99" i="9"/>
  <c r="U99" i="9"/>
  <c r="R99" i="9"/>
  <c r="W99" i="9"/>
  <c r="S99" i="9"/>
  <c r="P99" i="9"/>
  <c r="V99" i="9"/>
  <c r="T99" i="9"/>
  <c r="Q99" i="9"/>
  <c r="M99" i="9"/>
  <c r="J99" i="9"/>
  <c r="O99" i="9"/>
  <c r="K99" i="9"/>
  <c r="H99" i="9"/>
  <c r="N99" i="9"/>
  <c r="L99" i="9"/>
  <c r="I99" i="9"/>
  <c r="AK98" i="9"/>
  <c r="AH98" i="9"/>
  <c r="AM98" i="9"/>
  <c r="AI98" i="9"/>
  <c r="AF98" i="9"/>
  <c r="AL98" i="9"/>
  <c r="AJ98" i="9"/>
  <c r="AG98" i="9"/>
  <c r="AC98" i="9"/>
  <c r="Z98" i="9"/>
  <c r="AE98" i="9"/>
  <c r="AA98" i="9"/>
  <c r="X98" i="9"/>
  <c r="AD98" i="9"/>
  <c r="AB98" i="9"/>
  <c r="Y98" i="9"/>
  <c r="U98" i="9"/>
  <c r="R98" i="9"/>
  <c r="W98" i="9"/>
  <c r="S98" i="9"/>
  <c r="P98" i="9"/>
  <c r="V98" i="9"/>
  <c r="T98" i="9"/>
  <c r="Q98" i="9"/>
  <c r="M98" i="9"/>
  <c r="J98" i="9"/>
  <c r="O98" i="9"/>
  <c r="K98" i="9"/>
  <c r="H98" i="9"/>
  <c r="N98" i="9"/>
  <c r="L98" i="9"/>
  <c r="I98" i="9"/>
  <c r="AK97" i="9"/>
  <c r="AH97" i="9"/>
  <c r="AM97" i="9"/>
  <c r="AI97" i="9"/>
  <c r="AF97" i="9"/>
  <c r="AL97" i="9"/>
  <c r="AJ97" i="9"/>
  <c r="AG97" i="9"/>
  <c r="AC97" i="9"/>
  <c r="Z97" i="9"/>
  <c r="AE97" i="9"/>
  <c r="AA97" i="9"/>
  <c r="X97" i="9"/>
  <c r="AD97" i="9"/>
  <c r="AB97" i="9"/>
  <c r="Y97" i="9"/>
  <c r="U97" i="9"/>
  <c r="R97" i="9"/>
  <c r="W97" i="9"/>
  <c r="S97" i="9"/>
  <c r="P97" i="9"/>
  <c r="V97" i="9"/>
  <c r="T97" i="9"/>
  <c r="Q97" i="9"/>
  <c r="M97" i="9"/>
  <c r="J97" i="9"/>
  <c r="O97" i="9"/>
  <c r="K97" i="9"/>
  <c r="H97" i="9"/>
  <c r="N97" i="9"/>
  <c r="L97" i="9"/>
  <c r="I97" i="9"/>
  <c r="AK96" i="9"/>
  <c r="AH96" i="9"/>
  <c r="AM96" i="9"/>
  <c r="AI96" i="9"/>
  <c r="AF96" i="9"/>
  <c r="AL96" i="9"/>
  <c r="AJ96" i="9"/>
  <c r="AG96" i="9"/>
  <c r="AC96" i="9"/>
  <c r="Z96" i="9"/>
  <c r="AE96" i="9"/>
  <c r="AA96" i="9"/>
  <c r="X96" i="9"/>
  <c r="AD96" i="9"/>
  <c r="AB96" i="9"/>
  <c r="Y96" i="9"/>
  <c r="U96" i="9"/>
  <c r="R96" i="9"/>
  <c r="W96" i="9"/>
  <c r="S96" i="9"/>
  <c r="P96" i="9"/>
  <c r="V96" i="9"/>
  <c r="T96" i="9"/>
  <c r="Q96" i="9"/>
  <c r="M96" i="9"/>
  <c r="J96" i="9"/>
  <c r="O96" i="9"/>
  <c r="K96" i="9"/>
  <c r="H96" i="9"/>
  <c r="N96" i="9"/>
  <c r="L96" i="9"/>
  <c r="I96" i="9"/>
  <c r="AK95" i="9"/>
  <c r="AH95" i="9"/>
  <c r="AM95" i="9"/>
  <c r="AI95" i="9"/>
  <c r="AF95" i="9"/>
  <c r="AL95" i="9"/>
  <c r="AJ95" i="9"/>
  <c r="AG95" i="9"/>
  <c r="AC95" i="9"/>
  <c r="Z95" i="9"/>
  <c r="AE95" i="9"/>
  <c r="AA95" i="9"/>
  <c r="X95" i="9"/>
  <c r="AD95" i="9"/>
  <c r="AB95" i="9"/>
  <c r="Y95" i="9"/>
  <c r="U95" i="9"/>
  <c r="R95" i="9"/>
  <c r="W95" i="9"/>
  <c r="S95" i="9"/>
  <c r="P95" i="9"/>
  <c r="V95" i="9"/>
  <c r="T95" i="9"/>
  <c r="Q95" i="9"/>
  <c r="M95" i="9"/>
  <c r="J95" i="9"/>
  <c r="O95" i="9"/>
  <c r="K95" i="9"/>
  <c r="H95" i="9"/>
  <c r="N95" i="9"/>
  <c r="L95" i="9"/>
  <c r="I95" i="9"/>
  <c r="AK94" i="9"/>
  <c r="AH94" i="9"/>
  <c r="AM94" i="9"/>
  <c r="AI94" i="9"/>
  <c r="AF94" i="9"/>
  <c r="AL94" i="9"/>
  <c r="AJ94" i="9"/>
  <c r="AG94" i="9"/>
  <c r="AC94" i="9"/>
  <c r="Z94" i="9"/>
  <c r="AE94" i="9"/>
  <c r="AA94" i="9"/>
  <c r="X94" i="9"/>
  <c r="AD94" i="9"/>
  <c r="AB94" i="9"/>
  <c r="Y94" i="9"/>
  <c r="U94" i="9"/>
  <c r="R94" i="9"/>
  <c r="W94" i="9"/>
  <c r="S94" i="9"/>
  <c r="P94" i="9"/>
  <c r="V94" i="9"/>
  <c r="T94" i="9"/>
  <c r="Q94" i="9"/>
  <c r="M94" i="9"/>
  <c r="J94" i="9"/>
  <c r="O94" i="9"/>
  <c r="K94" i="9"/>
  <c r="H94" i="9"/>
  <c r="N94" i="9"/>
  <c r="L94" i="9"/>
  <c r="I94" i="9"/>
  <c r="AK93" i="9"/>
  <c r="AH93" i="9"/>
  <c r="AM93" i="9"/>
  <c r="AI93" i="9"/>
  <c r="AF93" i="9"/>
  <c r="AL93" i="9"/>
  <c r="AJ93" i="9"/>
  <c r="AG93" i="9"/>
  <c r="AC93" i="9"/>
  <c r="Z93" i="9"/>
  <c r="AE93" i="9"/>
  <c r="AA93" i="9"/>
  <c r="X93" i="9"/>
  <c r="AD93" i="9"/>
  <c r="AB93" i="9"/>
  <c r="Y93" i="9"/>
  <c r="U93" i="9"/>
  <c r="R93" i="9"/>
  <c r="W93" i="9"/>
  <c r="S93" i="9"/>
  <c r="P93" i="9"/>
  <c r="V93" i="9"/>
  <c r="T93" i="9"/>
  <c r="Q93" i="9"/>
  <c r="M93" i="9"/>
  <c r="J93" i="9"/>
  <c r="O93" i="9"/>
  <c r="K93" i="9"/>
  <c r="H93" i="9"/>
  <c r="N93" i="9"/>
  <c r="L93" i="9"/>
  <c r="I93" i="9"/>
  <c r="AK92" i="9"/>
  <c r="AH92" i="9"/>
  <c r="AM92" i="9"/>
  <c r="AI92" i="9"/>
  <c r="AF92" i="9"/>
  <c r="AL92" i="9"/>
  <c r="AJ92" i="9"/>
  <c r="AG92" i="9"/>
  <c r="AC92" i="9"/>
  <c r="Z92" i="9"/>
  <c r="AE92" i="9"/>
  <c r="AA92" i="9"/>
  <c r="X92" i="9"/>
  <c r="AD92" i="9"/>
  <c r="AB92" i="9"/>
  <c r="Y92" i="9"/>
  <c r="U92" i="9"/>
  <c r="R92" i="9"/>
  <c r="W92" i="9"/>
  <c r="S92" i="9"/>
  <c r="P92" i="9"/>
  <c r="V92" i="9"/>
  <c r="T92" i="9"/>
  <c r="Q92" i="9"/>
  <c r="M92" i="9"/>
  <c r="J92" i="9"/>
  <c r="O92" i="9"/>
  <c r="K92" i="9"/>
  <c r="H92" i="9"/>
  <c r="N92" i="9"/>
  <c r="L92" i="9"/>
  <c r="I92" i="9"/>
  <c r="AK91" i="9"/>
  <c r="AH91" i="9"/>
  <c r="AM91" i="9"/>
  <c r="AI91" i="9"/>
  <c r="AF91" i="9"/>
  <c r="AL91" i="9"/>
  <c r="AJ91" i="9"/>
  <c r="AG91" i="9"/>
  <c r="AC91" i="9"/>
  <c r="Z91" i="9"/>
  <c r="AE91" i="9"/>
  <c r="AA91" i="9"/>
  <c r="X91" i="9"/>
  <c r="AD91" i="9"/>
  <c r="AB91" i="9"/>
  <c r="Y91" i="9"/>
  <c r="U91" i="9"/>
  <c r="R91" i="9"/>
  <c r="W91" i="9"/>
  <c r="S91" i="9"/>
  <c r="P91" i="9"/>
  <c r="V91" i="9"/>
  <c r="T91" i="9"/>
  <c r="Q91" i="9"/>
  <c r="M91" i="9"/>
  <c r="J91" i="9"/>
  <c r="O91" i="9"/>
  <c r="K91" i="9"/>
  <c r="H91" i="9"/>
  <c r="N91" i="9"/>
  <c r="L91" i="9"/>
  <c r="I91" i="9"/>
  <c r="AK90" i="9"/>
  <c r="AH90" i="9"/>
  <c r="AM90" i="9"/>
  <c r="AI90" i="9"/>
  <c r="AF90" i="9"/>
  <c r="AL90" i="9"/>
  <c r="AJ90" i="9"/>
  <c r="AG90" i="9"/>
  <c r="AC90" i="9"/>
  <c r="Z90" i="9"/>
  <c r="AE90" i="9"/>
  <c r="AA90" i="9"/>
  <c r="X90" i="9"/>
  <c r="AD90" i="9"/>
  <c r="AB90" i="9"/>
  <c r="Y90" i="9"/>
  <c r="U90" i="9"/>
  <c r="R90" i="9"/>
  <c r="W90" i="9"/>
  <c r="S90" i="9"/>
  <c r="P90" i="9"/>
  <c r="V90" i="9"/>
  <c r="T90" i="9"/>
  <c r="Q90" i="9"/>
  <c r="M90" i="9"/>
  <c r="J90" i="9"/>
  <c r="O90" i="9"/>
  <c r="K90" i="9"/>
  <c r="H90" i="9"/>
  <c r="N90" i="9"/>
  <c r="L90" i="9"/>
  <c r="I90" i="9"/>
  <c r="AK89" i="9"/>
  <c r="AH89" i="9"/>
  <c r="AM89" i="9"/>
  <c r="AI89" i="9"/>
  <c r="AF89" i="9"/>
  <c r="AL89" i="9"/>
  <c r="AJ89" i="9"/>
  <c r="AG89" i="9"/>
  <c r="AC89" i="9"/>
  <c r="Z89" i="9"/>
  <c r="AE89" i="9"/>
  <c r="AA89" i="9"/>
  <c r="X89" i="9"/>
  <c r="AD89" i="9"/>
  <c r="AB89" i="9"/>
  <c r="Y89" i="9"/>
  <c r="U89" i="9"/>
  <c r="R89" i="9"/>
  <c r="W89" i="9"/>
  <c r="S89" i="9"/>
  <c r="P89" i="9"/>
  <c r="V89" i="9"/>
  <c r="T89" i="9"/>
  <c r="Q89" i="9"/>
  <c r="M89" i="9"/>
  <c r="J89" i="9"/>
  <c r="O89" i="9"/>
  <c r="K89" i="9"/>
  <c r="H89" i="9"/>
  <c r="N89" i="9"/>
  <c r="L89" i="9"/>
  <c r="I89" i="9"/>
  <c r="AK88" i="9"/>
  <c r="AH88" i="9"/>
  <c r="AM88" i="9"/>
  <c r="AI88" i="9"/>
  <c r="AF88" i="9"/>
  <c r="AL88" i="9"/>
  <c r="AJ88" i="9"/>
  <c r="AG88" i="9"/>
  <c r="AC88" i="9"/>
  <c r="Z88" i="9"/>
  <c r="AE88" i="9"/>
  <c r="AA88" i="9"/>
  <c r="X88" i="9"/>
  <c r="AD88" i="9"/>
  <c r="AB88" i="9"/>
  <c r="Y88" i="9"/>
  <c r="U88" i="9"/>
  <c r="R88" i="9"/>
  <c r="W88" i="9"/>
  <c r="S88" i="9"/>
  <c r="P88" i="9"/>
  <c r="V88" i="9"/>
  <c r="T88" i="9"/>
  <c r="Q88" i="9"/>
  <c r="M88" i="9"/>
  <c r="J88" i="9"/>
  <c r="O88" i="9"/>
  <c r="K88" i="9"/>
  <c r="H88" i="9"/>
  <c r="N88" i="9"/>
  <c r="L88" i="9"/>
  <c r="I88" i="9"/>
  <c r="AK87" i="9"/>
  <c r="AH87" i="9"/>
  <c r="AM87" i="9"/>
  <c r="AI87" i="9"/>
  <c r="AF87" i="9"/>
  <c r="AL87" i="9"/>
  <c r="AJ87" i="9"/>
  <c r="AG87" i="9"/>
  <c r="AC87" i="9"/>
  <c r="Z87" i="9"/>
  <c r="AE87" i="9"/>
  <c r="AA87" i="9"/>
  <c r="X87" i="9"/>
  <c r="AD87" i="9"/>
  <c r="AB87" i="9"/>
  <c r="Y87" i="9"/>
  <c r="U87" i="9"/>
  <c r="R87" i="9"/>
  <c r="W87" i="9"/>
  <c r="S87" i="9"/>
  <c r="P87" i="9"/>
  <c r="V87" i="9"/>
  <c r="T87" i="9"/>
  <c r="Q87" i="9"/>
  <c r="M87" i="9"/>
  <c r="J87" i="9"/>
  <c r="O87" i="9"/>
  <c r="K87" i="9"/>
  <c r="H87" i="9"/>
  <c r="N87" i="9"/>
  <c r="L87" i="9"/>
  <c r="I87" i="9"/>
  <c r="AK86" i="9"/>
  <c r="AH86" i="9"/>
  <c r="AM86" i="9"/>
  <c r="AI86" i="9"/>
  <c r="AF86" i="9"/>
  <c r="AL86" i="9"/>
  <c r="AJ86" i="9"/>
  <c r="AG86" i="9"/>
  <c r="AC86" i="9"/>
  <c r="Z86" i="9"/>
  <c r="AE86" i="9"/>
  <c r="AA86" i="9"/>
  <c r="X86" i="9"/>
  <c r="AD86" i="9"/>
  <c r="AB86" i="9"/>
  <c r="Y86" i="9"/>
  <c r="U86" i="9"/>
  <c r="R86" i="9"/>
  <c r="W86" i="9"/>
  <c r="S86" i="9"/>
  <c r="P86" i="9"/>
  <c r="V86" i="9"/>
  <c r="T86" i="9"/>
  <c r="Q86" i="9"/>
  <c r="M86" i="9"/>
  <c r="J86" i="9"/>
  <c r="O86" i="9"/>
  <c r="K86" i="9"/>
  <c r="H86" i="9"/>
  <c r="N86" i="9"/>
  <c r="L86" i="9"/>
  <c r="I86" i="9"/>
  <c r="AK85" i="9"/>
  <c r="AH85" i="9"/>
  <c r="AM85" i="9"/>
  <c r="AI85" i="9"/>
  <c r="AF85" i="9"/>
  <c r="AL85" i="9"/>
  <c r="AJ85" i="9"/>
  <c r="AG85" i="9"/>
  <c r="AC85" i="9"/>
  <c r="Z85" i="9"/>
  <c r="AE85" i="9"/>
  <c r="AA85" i="9"/>
  <c r="X85" i="9"/>
  <c r="AD85" i="9"/>
  <c r="AB85" i="9"/>
  <c r="Y85" i="9"/>
  <c r="U85" i="9"/>
  <c r="R85" i="9"/>
  <c r="W85" i="9"/>
  <c r="S85" i="9"/>
  <c r="P85" i="9"/>
  <c r="V85" i="9"/>
  <c r="T85" i="9"/>
  <c r="Q85" i="9"/>
  <c r="M85" i="9"/>
  <c r="J85" i="9"/>
  <c r="O85" i="9"/>
  <c r="K85" i="9"/>
  <c r="H85" i="9"/>
  <c r="N85" i="9"/>
  <c r="L85" i="9"/>
  <c r="I85" i="9"/>
  <c r="AK84" i="9"/>
  <c r="AH84" i="9"/>
  <c r="AM84" i="9"/>
  <c r="AI84" i="9"/>
  <c r="AF84" i="9"/>
  <c r="AL84" i="9"/>
  <c r="AJ84" i="9"/>
  <c r="AG84" i="9"/>
  <c r="AC84" i="9"/>
  <c r="Z84" i="9"/>
  <c r="AE84" i="9"/>
  <c r="AA84" i="9"/>
  <c r="X84" i="9"/>
  <c r="AD84" i="9"/>
  <c r="AB84" i="9"/>
  <c r="Y84" i="9"/>
  <c r="U84" i="9"/>
  <c r="R84" i="9"/>
  <c r="W84" i="9"/>
  <c r="S84" i="9"/>
  <c r="P84" i="9"/>
  <c r="V84" i="9"/>
  <c r="T84" i="9"/>
  <c r="Q84" i="9"/>
  <c r="M84" i="9"/>
  <c r="J84" i="9"/>
  <c r="O84" i="9"/>
  <c r="K84" i="9"/>
  <c r="H84" i="9"/>
  <c r="N84" i="9"/>
  <c r="L84" i="9"/>
  <c r="I84" i="9"/>
  <c r="AK83" i="9"/>
  <c r="AH83" i="9"/>
  <c r="AM83" i="9"/>
  <c r="AI83" i="9"/>
  <c r="AF83" i="9"/>
  <c r="AL83" i="9"/>
  <c r="AJ83" i="9"/>
  <c r="AG83" i="9"/>
  <c r="AC83" i="9"/>
  <c r="Z83" i="9"/>
  <c r="AE83" i="9"/>
  <c r="AA83" i="9"/>
  <c r="X83" i="9"/>
  <c r="AD83" i="9"/>
  <c r="AB83" i="9"/>
  <c r="Y83" i="9"/>
  <c r="U83" i="9"/>
  <c r="R83" i="9"/>
  <c r="W83" i="9"/>
  <c r="S83" i="9"/>
  <c r="P83" i="9"/>
  <c r="V83" i="9"/>
  <c r="T83" i="9"/>
  <c r="Q83" i="9"/>
  <c r="M83" i="9"/>
  <c r="J83" i="9"/>
  <c r="O83" i="9"/>
  <c r="K83" i="9"/>
  <c r="H83" i="9"/>
  <c r="N83" i="9"/>
  <c r="L83" i="9"/>
  <c r="I83" i="9"/>
  <c r="AK82" i="9"/>
  <c r="AH82" i="9"/>
  <c r="AM82" i="9"/>
  <c r="AI82" i="9"/>
  <c r="AF82" i="9"/>
  <c r="AL82" i="9"/>
  <c r="AJ82" i="9"/>
  <c r="AG82" i="9"/>
  <c r="AC82" i="9"/>
  <c r="Z82" i="9"/>
  <c r="AE82" i="9"/>
  <c r="AA82" i="9"/>
  <c r="X82" i="9"/>
  <c r="AD82" i="9"/>
  <c r="AB82" i="9"/>
  <c r="Y82" i="9"/>
  <c r="U82" i="9"/>
  <c r="R82" i="9"/>
  <c r="W82" i="9"/>
  <c r="S82" i="9"/>
  <c r="P82" i="9"/>
  <c r="V82" i="9"/>
  <c r="T82" i="9"/>
  <c r="Q82" i="9"/>
  <c r="M82" i="9"/>
  <c r="J82" i="9"/>
  <c r="O82" i="9"/>
  <c r="K82" i="9"/>
  <c r="H82" i="9"/>
  <c r="N82" i="9"/>
  <c r="L82" i="9"/>
  <c r="I82" i="9"/>
  <c r="AK81" i="9"/>
  <c r="AH81" i="9"/>
  <c r="AM81" i="9"/>
  <c r="AI81" i="9"/>
  <c r="AF81" i="9"/>
  <c r="AL81" i="9"/>
  <c r="AJ81" i="9"/>
  <c r="AG81" i="9"/>
  <c r="AC81" i="9"/>
  <c r="Z81" i="9"/>
  <c r="AE81" i="9"/>
  <c r="AA81" i="9"/>
  <c r="X81" i="9"/>
  <c r="AD81" i="9"/>
  <c r="AB81" i="9"/>
  <c r="Y81" i="9"/>
  <c r="U81" i="9"/>
  <c r="R81" i="9"/>
  <c r="W81" i="9"/>
  <c r="S81" i="9"/>
  <c r="P81" i="9"/>
  <c r="V81" i="9"/>
  <c r="T81" i="9"/>
  <c r="Q81" i="9"/>
  <c r="M81" i="9"/>
  <c r="J81" i="9"/>
  <c r="O81" i="9"/>
  <c r="K81" i="9"/>
  <c r="H81" i="9"/>
  <c r="N81" i="9"/>
  <c r="L81" i="9"/>
  <c r="I81" i="9"/>
  <c r="AK80" i="9"/>
  <c r="AH80" i="9"/>
  <c r="AM80" i="9"/>
  <c r="AI80" i="9"/>
  <c r="AF80" i="9"/>
  <c r="AL80" i="9"/>
  <c r="AJ80" i="9"/>
  <c r="AG80" i="9"/>
  <c r="AC80" i="9"/>
  <c r="Z80" i="9"/>
  <c r="AE80" i="9"/>
  <c r="AA80" i="9"/>
  <c r="X80" i="9"/>
  <c r="AD80" i="9"/>
  <c r="AB80" i="9"/>
  <c r="Y80" i="9"/>
  <c r="U80" i="9"/>
  <c r="R80" i="9"/>
  <c r="W80" i="9"/>
  <c r="S80" i="9"/>
  <c r="P80" i="9"/>
  <c r="V80" i="9"/>
  <c r="T80" i="9"/>
  <c r="Q80" i="9"/>
  <c r="M80" i="9"/>
  <c r="J80" i="9"/>
  <c r="O80" i="9"/>
  <c r="K80" i="9"/>
  <c r="H80" i="9"/>
  <c r="N80" i="9"/>
  <c r="L80" i="9"/>
  <c r="I80" i="9"/>
  <c r="AK79" i="9"/>
  <c r="AH79" i="9"/>
  <c r="AM79" i="9"/>
  <c r="AI79" i="9"/>
  <c r="AF79" i="9"/>
  <c r="AL79" i="9"/>
  <c r="AJ79" i="9"/>
  <c r="AG79" i="9"/>
  <c r="AC79" i="9"/>
  <c r="Z79" i="9"/>
  <c r="AE79" i="9"/>
  <c r="AA79" i="9"/>
  <c r="X79" i="9"/>
  <c r="AD79" i="9"/>
  <c r="AB79" i="9"/>
  <c r="Y79" i="9"/>
  <c r="U79" i="9"/>
  <c r="R79" i="9"/>
  <c r="W79" i="9"/>
  <c r="S79" i="9"/>
  <c r="P79" i="9"/>
  <c r="V79" i="9"/>
  <c r="T79" i="9"/>
  <c r="Q79" i="9"/>
  <c r="M79" i="9"/>
  <c r="J79" i="9"/>
  <c r="O79" i="9"/>
  <c r="K79" i="9"/>
  <c r="H79" i="9"/>
  <c r="N79" i="9"/>
  <c r="L79" i="9"/>
  <c r="I79" i="9"/>
  <c r="AK78" i="9"/>
  <c r="AH78" i="9"/>
  <c r="AM78" i="9"/>
  <c r="AI78" i="9"/>
  <c r="AF78" i="9"/>
  <c r="AL78" i="9"/>
  <c r="AJ78" i="9"/>
  <c r="AG78" i="9"/>
  <c r="AC78" i="9"/>
  <c r="Z78" i="9"/>
  <c r="AE78" i="9"/>
  <c r="AA78" i="9"/>
  <c r="X78" i="9"/>
  <c r="AD78" i="9"/>
  <c r="AB78" i="9"/>
  <c r="Y78" i="9"/>
  <c r="U78" i="9"/>
  <c r="R78" i="9"/>
  <c r="W78" i="9"/>
  <c r="S78" i="9"/>
  <c r="P78" i="9"/>
  <c r="V78" i="9"/>
  <c r="T78" i="9"/>
  <c r="Q78" i="9"/>
  <c r="M78" i="9"/>
  <c r="J78" i="9"/>
  <c r="O78" i="9"/>
  <c r="K78" i="9"/>
  <c r="H78" i="9"/>
  <c r="N78" i="9"/>
  <c r="L78" i="9"/>
  <c r="I78" i="9"/>
  <c r="AK77" i="9"/>
  <c r="AH77" i="9"/>
  <c r="AM77" i="9"/>
  <c r="AI77" i="9"/>
  <c r="AF77" i="9"/>
  <c r="AL77" i="9"/>
  <c r="AJ77" i="9"/>
  <c r="AG77" i="9"/>
  <c r="AC77" i="9"/>
  <c r="Z77" i="9"/>
  <c r="AE77" i="9"/>
  <c r="AA77" i="9"/>
  <c r="X77" i="9"/>
  <c r="AD77" i="9"/>
  <c r="AB77" i="9"/>
  <c r="Y77" i="9"/>
  <c r="U77" i="9"/>
  <c r="R77" i="9"/>
  <c r="W77" i="9"/>
  <c r="S77" i="9"/>
  <c r="P77" i="9"/>
  <c r="V77" i="9"/>
  <c r="T77" i="9"/>
  <c r="Q77" i="9"/>
  <c r="M77" i="9"/>
  <c r="J77" i="9"/>
  <c r="O77" i="9"/>
  <c r="K77" i="9"/>
  <c r="H77" i="9"/>
  <c r="N77" i="9"/>
  <c r="L77" i="9"/>
  <c r="I77" i="9"/>
  <c r="AK76" i="9"/>
  <c r="AH76" i="9"/>
  <c r="AM76" i="9"/>
  <c r="AI76" i="9"/>
  <c r="AF76" i="9"/>
  <c r="AL76" i="9"/>
  <c r="AJ76" i="9"/>
  <c r="AG76" i="9"/>
  <c r="AC76" i="9"/>
  <c r="Z76" i="9"/>
  <c r="AE76" i="9"/>
  <c r="AA76" i="9"/>
  <c r="X76" i="9"/>
  <c r="AD76" i="9"/>
  <c r="AB76" i="9"/>
  <c r="Y76" i="9"/>
  <c r="U76" i="9"/>
  <c r="R76" i="9"/>
  <c r="W76" i="9"/>
  <c r="S76" i="9"/>
  <c r="P76" i="9"/>
  <c r="V76" i="9"/>
  <c r="T76" i="9"/>
  <c r="Q76" i="9"/>
  <c r="M76" i="9"/>
  <c r="J76" i="9"/>
  <c r="O76" i="9"/>
  <c r="K76" i="9"/>
  <c r="H76" i="9"/>
  <c r="N76" i="9"/>
  <c r="L76" i="9"/>
  <c r="I76" i="9"/>
  <c r="AK75" i="9"/>
  <c r="AH75" i="9"/>
  <c r="AM75" i="9"/>
  <c r="AI75" i="9"/>
  <c r="AF75" i="9"/>
  <c r="AL75" i="9"/>
  <c r="AJ75" i="9"/>
  <c r="AG75" i="9"/>
  <c r="AC75" i="9"/>
  <c r="Z75" i="9"/>
  <c r="AE75" i="9"/>
  <c r="AA75" i="9"/>
  <c r="X75" i="9"/>
  <c r="AD75" i="9"/>
  <c r="AB75" i="9"/>
  <c r="Y75" i="9"/>
  <c r="U75" i="9"/>
  <c r="R75" i="9"/>
  <c r="W75" i="9"/>
  <c r="S75" i="9"/>
  <c r="P75" i="9"/>
  <c r="V75" i="9"/>
  <c r="T75" i="9"/>
  <c r="Q75" i="9"/>
  <c r="M75" i="9"/>
  <c r="J75" i="9"/>
  <c r="O75" i="9"/>
  <c r="K75" i="9"/>
  <c r="H75" i="9"/>
  <c r="N75" i="9"/>
  <c r="L75" i="9"/>
  <c r="I75" i="9"/>
  <c r="AK74" i="9"/>
  <c r="AH74" i="9"/>
  <c r="AM74" i="9"/>
  <c r="AI74" i="9"/>
  <c r="AF74" i="9"/>
  <c r="AL74" i="9"/>
  <c r="AJ74" i="9"/>
  <c r="AG74" i="9"/>
  <c r="AC74" i="9"/>
  <c r="Z74" i="9"/>
  <c r="AE74" i="9"/>
  <c r="AA74" i="9"/>
  <c r="X74" i="9"/>
  <c r="AD74" i="9"/>
  <c r="AB74" i="9"/>
  <c r="Y74" i="9"/>
  <c r="U74" i="9"/>
  <c r="R74" i="9"/>
  <c r="W74" i="9"/>
  <c r="S74" i="9"/>
  <c r="P74" i="9"/>
  <c r="V74" i="9"/>
  <c r="T74" i="9"/>
  <c r="Q74" i="9"/>
  <c r="M74" i="9"/>
  <c r="J74" i="9"/>
  <c r="O74" i="9"/>
  <c r="K74" i="9"/>
  <c r="H74" i="9"/>
  <c r="N74" i="9"/>
  <c r="L74" i="9"/>
  <c r="I74" i="9"/>
  <c r="AK73" i="9"/>
  <c r="AH73" i="9"/>
  <c r="AM73" i="9"/>
  <c r="AI73" i="9"/>
  <c r="AF73" i="9"/>
  <c r="AL73" i="9"/>
  <c r="AJ73" i="9"/>
  <c r="AG73" i="9"/>
  <c r="AC73" i="9"/>
  <c r="Z73" i="9"/>
  <c r="AE73" i="9"/>
  <c r="AA73" i="9"/>
  <c r="X73" i="9"/>
  <c r="AD73" i="9"/>
  <c r="AB73" i="9"/>
  <c r="Y73" i="9"/>
  <c r="U73" i="9"/>
  <c r="R73" i="9"/>
  <c r="W73" i="9"/>
  <c r="S73" i="9"/>
  <c r="P73" i="9"/>
  <c r="V73" i="9"/>
  <c r="T73" i="9"/>
  <c r="Q73" i="9"/>
  <c r="M73" i="9"/>
  <c r="J73" i="9"/>
  <c r="O73" i="9"/>
  <c r="K73" i="9"/>
  <c r="H73" i="9"/>
  <c r="N73" i="9"/>
  <c r="L73" i="9"/>
  <c r="I73" i="9"/>
  <c r="AK72" i="9"/>
  <c r="AH72" i="9"/>
  <c r="AM72" i="9"/>
  <c r="AI72" i="9"/>
  <c r="AF72" i="9"/>
  <c r="AL72" i="9"/>
  <c r="AJ72" i="9"/>
  <c r="AG72" i="9"/>
  <c r="AC72" i="9"/>
  <c r="Z72" i="9"/>
  <c r="AE72" i="9"/>
  <c r="AA72" i="9"/>
  <c r="X72" i="9"/>
  <c r="AD72" i="9"/>
  <c r="AB72" i="9"/>
  <c r="Y72" i="9"/>
  <c r="U72" i="9"/>
  <c r="R72" i="9"/>
  <c r="W72" i="9"/>
  <c r="S72" i="9"/>
  <c r="P72" i="9"/>
  <c r="V72" i="9"/>
  <c r="T72" i="9"/>
  <c r="Q72" i="9"/>
  <c r="M72" i="9"/>
  <c r="J72" i="9"/>
  <c r="O72" i="9"/>
  <c r="K72" i="9"/>
  <c r="H72" i="9"/>
  <c r="N72" i="9"/>
  <c r="L72" i="9"/>
  <c r="I72" i="9"/>
  <c r="AK71" i="9"/>
  <c r="AH71" i="9"/>
  <c r="AM71" i="9"/>
  <c r="AI71" i="9"/>
  <c r="AF71" i="9"/>
  <c r="AL71" i="9"/>
  <c r="AJ71" i="9"/>
  <c r="AG71" i="9"/>
  <c r="AC71" i="9"/>
  <c r="Z71" i="9"/>
  <c r="AE71" i="9"/>
  <c r="AA71" i="9"/>
  <c r="X71" i="9"/>
  <c r="AD71" i="9"/>
  <c r="AB71" i="9"/>
  <c r="Y71" i="9"/>
  <c r="U71" i="9"/>
  <c r="R71" i="9"/>
  <c r="W71" i="9"/>
  <c r="S71" i="9"/>
  <c r="P71" i="9"/>
  <c r="V71" i="9"/>
  <c r="T71" i="9"/>
  <c r="Q71" i="9"/>
  <c r="M71" i="9"/>
  <c r="J71" i="9"/>
  <c r="O71" i="9"/>
  <c r="K71" i="9"/>
  <c r="H71" i="9"/>
  <c r="N71" i="9"/>
  <c r="L71" i="9"/>
  <c r="I71" i="9"/>
  <c r="AK70" i="9"/>
  <c r="AH70" i="9"/>
  <c r="AM70" i="9"/>
  <c r="AI70" i="9"/>
  <c r="AF70" i="9"/>
  <c r="AL70" i="9"/>
  <c r="AJ70" i="9"/>
  <c r="AG70" i="9"/>
  <c r="AC70" i="9"/>
  <c r="Z70" i="9"/>
  <c r="AE70" i="9"/>
  <c r="AA70" i="9"/>
  <c r="X70" i="9"/>
  <c r="AD70" i="9"/>
  <c r="AB70" i="9"/>
  <c r="Y70" i="9"/>
  <c r="U70" i="9"/>
  <c r="R70" i="9"/>
  <c r="W70" i="9"/>
  <c r="S70" i="9"/>
  <c r="P70" i="9"/>
  <c r="V70" i="9"/>
  <c r="T70" i="9"/>
  <c r="Q70" i="9"/>
  <c r="M70" i="9"/>
  <c r="J70" i="9"/>
  <c r="O70" i="9"/>
  <c r="K70" i="9"/>
  <c r="H70" i="9"/>
  <c r="N70" i="9"/>
  <c r="L70" i="9"/>
  <c r="I70" i="9"/>
  <c r="AK69" i="9"/>
  <c r="AH69" i="9"/>
  <c r="AM69" i="9"/>
  <c r="AI69" i="9"/>
  <c r="AF69" i="9"/>
  <c r="AL69" i="9"/>
  <c r="AJ69" i="9"/>
  <c r="AG69" i="9"/>
  <c r="AC69" i="9"/>
  <c r="Z69" i="9"/>
  <c r="AE69" i="9"/>
  <c r="AA69" i="9"/>
  <c r="X69" i="9"/>
  <c r="AD69" i="9"/>
  <c r="AB69" i="9"/>
  <c r="Y69" i="9"/>
  <c r="U69" i="9"/>
  <c r="R69" i="9"/>
  <c r="W69" i="9"/>
  <c r="S69" i="9"/>
  <c r="P69" i="9"/>
  <c r="V69" i="9"/>
  <c r="T69" i="9"/>
  <c r="Q69" i="9"/>
  <c r="M69" i="9"/>
  <c r="J69" i="9"/>
  <c r="O69" i="9"/>
  <c r="K69" i="9"/>
  <c r="H69" i="9"/>
  <c r="N69" i="9"/>
  <c r="L69" i="9"/>
  <c r="I69" i="9"/>
  <c r="AK68" i="9"/>
  <c r="AH68" i="9"/>
  <c r="AM68" i="9"/>
  <c r="AI68" i="9"/>
  <c r="AF68" i="9"/>
  <c r="AL68" i="9"/>
  <c r="AJ68" i="9"/>
  <c r="AG68" i="9"/>
  <c r="AC68" i="9"/>
  <c r="Z68" i="9"/>
  <c r="AE68" i="9"/>
  <c r="AA68" i="9"/>
  <c r="X68" i="9"/>
  <c r="AD68" i="9"/>
  <c r="AB68" i="9"/>
  <c r="Y68" i="9"/>
  <c r="U68" i="9"/>
  <c r="R68" i="9"/>
  <c r="W68" i="9"/>
  <c r="S68" i="9"/>
  <c r="P68" i="9"/>
  <c r="V68" i="9"/>
  <c r="T68" i="9"/>
  <c r="Q68" i="9"/>
  <c r="M68" i="9"/>
  <c r="J68" i="9"/>
  <c r="O68" i="9"/>
  <c r="K68" i="9"/>
  <c r="H68" i="9"/>
  <c r="N68" i="9"/>
  <c r="L68" i="9"/>
  <c r="I68" i="9"/>
  <c r="AK67" i="9"/>
  <c r="AH67" i="9"/>
  <c r="AM67" i="9"/>
  <c r="AI67" i="9"/>
  <c r="AF67" i="9"/>
  <c r="AL67" i="9"/>
  <c r="AJ67" i="9"/>
  <c r="AG67" i="9"/>
  <c r="AC67" i="9"/>
  <c r="Z67" i="9"/>
  <c r="AE67" i="9"/>
  <c r="AA67" i="9"/>
  <c r="X67" i="9"/>
  <c r="AD67" i="9"/>
  <c r="AB67" i="9"/>
  <c r="Y67" i="9"/>
  <c r="U67" i="9"/>
  <c r="R67" i="9"/>
  <c r="W67" i="9"/>
  <c r="S67" i="9"/>
  <c r="P67" i="9"/>
  <c r="V67" i="9"/>
  <c r="T67" i="9"/>
  <c r="Q67" i="9"/>
  <c r="M67" i="9"/>
  <c r="J67" i="9"/>
  <c r="O67" i="9"/>
  <c r="K67" i="9"/>
  <c r="H67" i="9"/>
  <c r="N67" i="9"/>
  <c r="L67" i="9"/>
  <c r="I67" i="9"/>
  <c r="AK66" i="9"/>
  <c r="AH66" i="9"/>
  <c r="AM66" i="9"/>
  <c r="AI66" i="9"/>
  <c r="AF66" i="9"/>
  <c r="AL66" i="9"/>
  <c r="AJ66" i="9"/>
  <c r="AG66" i="9"/>
  <c r="AC66" i="9"/>
  <c r="Z66" i="9"/>
  <c r="AE66" i="9"/>
  <c r="AA66" i="9"/>
  <c r="X66" i="9"/>
  <c r="AD66" i="9"/>
  <c r="AB66" i="9"/>
  <c r="Y66" i="9"/>
  <c r="U66" i="9"/>
  <c r="R66" i="9"/>
  <c r="W66" i="9"/>
  <c r="S66" i="9"/>
  <c r="P66" i="9"/>
  <c r="V66" i="9"/>
  <c r="T66" i="9"/>
  <c r="Q66" i="9"/>
  <c r="M66" i="9"/>
  <c r="J66" i="9"/>
  <c r="O66" i="9"/>
  <c r="K66" i="9"/>
  <c r="H66" i="9"/>
  <c r="N66" i="9"/>
  <c r="L66" i="9"/>
  <c r="I66" i="9"/>
  <c r="AK65" i="9"/>
  <c r="AH65" i="9"/>
  <c r="AM65" i="9"/>
  <c r="AI65" i="9"/>
  <c r="AF65" i="9"/>
  <c r="AL65" i="9"/>
  <c r="AJ65" i="9"/>
  <c r="AG65" i="9"/>
  <c r="AC65" i="9"/>
  <c r="Z65" i="9"/>
  <c r="AE65" i="9"/>
  <c r="AA65" i="9"/>
  <c r="X65" i="9"/>
  <c r="AD65" i="9"/>
  <c r="AB65" i="9"/>
  <c r="Y65" i="9"/>
  <c r="U65" i="9"/>
  <c r="R65" i="9"/>
  <c r="W65" i="9"/>
  <c r="S65" i="9"/>
  <c r="P65" i="9"/>
  <c r="V65" i="9"/>
  <c r="T65" i="9"/>
  <c r="Q65" i="9"/>
  <c r="M65" i="9"/>
  <c r="J65" i="9"/>
  <c r="O65" i="9"/>
  <c r="K65" i="9"/>
  <c r="H65" i="9"/>
  <c r="N65" i="9"/>
  <c r="L65" i="9"/>
  <c r="I65" i="9"/>
  <c r="AK64" i="9"/>
  <c r="AH64" i="9"/>
  <c r="AM64" i="9"/>
  <c r="AI64" i="9"/>
  <c r="AF64" i="9"/>
  <c r="AL64" i="9"/>
  <c r="AJ64" i="9"/>
  <c r="AG64" i="9"/>
  <c r="AC64" i="9"/>
  <c r="Z64" i="9"/>
  <c r="AE64" i="9"/>
  <c r="AA64" i="9"/>
  <c r="X64" i="9"/>
  <c r="AD64" i="9"/>
  <c r="AB64" i="9"/>
  <c r="Y64" i="9"/>
  <c r="U64" i="9"/>
  <c r="R64" i="9"/>
  <c r="W64" i="9"/>
  <c r="S64" i="9"/>
  <c r="P64" i="9"/>
  <c r="V64" i="9"/>
  <c r="T64" i="9"/>
  <c r="Q64" i="9"/>
  <c r="M64" i="9"/>
  <c r="J64" i="9"/>
  <c r="O64" i="9"/>
  <c r="K64" i="9"/>
  <c r="H64" i="9"/>
  <c r="N64" i="9"/>
  <c r="L64" i="9"/>
  <c r="I64" i="9"/>
  <c r="AK63" i="9"/>
  <c r="AH63" i="9"/>
  <c r="AM63" i="9"/>
  <c r="AI63" i="9"/>
  <c r="AF63" i="9"/>
  <c r="AL63" i="9"/>
  <c r="AJ63" i="9"/>
  <c r="AG63" i="9"/>
  <c r="AC63" i="9"/>
  <c r="Z63" i="9"/>
  <c r="AE63" i="9"/>
  <c r="AA63" i="9"/>
  <c r="X63" i="9"/>
  <c r="AD63" i="9"/>
  <c r="AB63" i="9"/>
  <c r="Y63" i="9"/>
  <c r="U63" i="9"/>
  <c r="R63" i="9"/>
  <c r="W63" i="9"/>
  <c r="S63" i="9"/>
  <c r="P63" i="9"/>
  <c r="V63" i="9"/>
  <c r="T63" i="9"/>
  <c r="Q63" i="9"/>
  <c r="M63" i="9"/>
  <c r="J63" i="9"/>
  <c r="O63" i="9"/>
  <c r="K63" i="9"/>
  <c r="H63" i="9"/>
  <c r="N63" i="9"/>
  <c r="L63" i="9"/>
  <c r="I63" i="9"/>
  <c r="AK62" i="9"/>
  <c r="AH62" i="9"/>
  <c r="AM62" i="9"/>
  <c r="AI62" i="9"/>
  <c r="AF62" i="9"/>
  <c r="AL62" i="9"/>
  <c r="AJ62" i="9"/>
  <c r="AG62" i="9"/>
  <c r="AC62" i="9"/>
  <c r="Z62" i="9"/>
  <c r="AE62" i="9"/>
  <c r="AA62" i="9"/>
  <c r="X62" i="9"/>
  <c r="AD62" i="9"/>
  <c r="AB62" i="9"/>
  <c r="Y62" i="9"/>
  <c r="U62" i="9"/>
  <c r="R62" i="9"/>
  <c r="W62" i="9"/>
  <c r="S62" i="9"/>
  <c r="P62" i="9"/>
  <c r="V62" i="9"/>
  <c r="T62" i="9"/>
  <c r="Q62" i="9"/>
  <c r="M62" i="9"/>
  <c r="J62" i="9"/>
  <c r="O62" i="9"/>
  <c r="K62" i="9"/>
  <c r="H62" i="9"/>
  <c r="N62" i="9"/>
  <c r="L62" i="9"/>
  <c r="I62" i="9"/>
  <c r="AK61" i="9"/>
  <c r="AH61" i="9"/>
  <c r="AM61" i="9"/>
  <c r="AI61" i="9"/>
  <c r="AF61" i="9"/>
  <c r="AL61" i="9"/>
  <c r="AJ61" i="9"/>
  <c r="AG61" i="9"/>
  <c r="AC61" i="9"/>
  <c r="Z61" i="9"/>
  <c r="AE61" i="9"/>
  <c r="AA61" i="9"/>
  <c r="X61" i="9"/>
  <c r="AD61" i="9"/>
  <c r="AB61" i="9"/>
  <c r="Y61" i="9"/>
  <c r="U61" i="9"/>
  <c r="R61" i="9"/>
  <c r="W61" i="9"/>
  <c r="S61" i="9"/>
  <c r="P61" i="9"/>
  <c r="V61" i="9"/>
  <c r="T61" i="9"/>
  <c r="Q61" i="9"/>
  <c r="M61" i="9"/>
  <c r="J61" i="9"/>
  <c r="O61" i="9"/>
  <c r="K61" i="9"/>
  <c r="H61" i="9"/>
  <c r="N61" i="9"/>
  <c r="L61" i="9"/>
  <c r="I61" i="9"/>
  <c r="AK60" i="9"/>
  <c r="AH60" i="9"/>
  <c r="AM60" i="9"/>
  <c r="AI60" i="9"/>
  <c r="AF60" i="9"/>
  <c r="AL60" i="9"/>
  <c r="AJ60" i="9"/>
  <c r="AG60" i="9"/>
  <c r="AC60" i="9"/>
  <c r="Z60" i="9"/>
  <c r="AE60" i="9"/>
  <c r="AA60" i="9"/>
  <c r="X60" i="9"/>
  <c r="AD60" i="9"/>
  <c r="AB60" i="9"/>
  <c r="Y60" i="9"/>
  <c r="U60" i="9"/>
  <c r="R60" i="9"/>
  <c r="W60" i="9"/>
  <c r="S60" i="9"/>
  <c r="P60" i="9"/>
  <c r="V60" i="9"/>
  <c r="T60" i="9"/>
  <c r="Q60" i="9"/>
  <c r="M60" i="9"/>
  <c r="J60" i="9"/>
  <c r="O60" i="9"/>
  <c r="K60" i="9"/>
  <c r="H60" i="9"/>
  <c r="N60" i="9"/>
  <c r="L60" i="9"/>
  <c r="I60" i="9"/>
  <c r="AK59" i="9"/>
  <c r="AH59" i="9"/>
  <c r="AM59" i="9"/>
  <c r="AI59" i="9"/>
  <c r="AF59" i="9"/>
  <c r="AL59" i="9"/>
  <c r="AJ59" i="9"/>
  <c r="AG59" i="9"/>
  <c r="AC59" i="9"/>
  <c r="Z59" i="9"/>
  <c r="AE59" i="9"/>
  <c r="AA59" i="9"/>
  <c r="X59" i="9"/>
  <c r="AD59" i="9"/>
  <c r="AB59" i="9"/>
  <c r="Y59" i="9"/>
  <c r="U59" i="9"/>
  <c r="R59" i="9"/>
  <c r="W59" i="9"/>
  <c r="S59" i="9"/>
  <c r="P59" i="9"/>
  <c r="V59" i="9"/>
  <c r="T59" i="9"/>
  <c r="Q59" i="9"/>
  <c r="M59" i="9"/>
  <c r="J59" i="9"/>
  <c r="O59" i="9"/>
  <c r="K59" i="9"/>
  <c r="H59" i="9"/>
  <c r="N59" i="9"/>
  <c r="L59" i="9"/>
  <c r="I59" i="9"/>
  <c r="AK58" i="9"/>
  <c r="AH58" i="9"/>
  <c r="AM58" i="9"/>
  <c r="AI58" i="9"/>
  <c r="AF58" i="9"/>
  <c r="AL58" i="9"/>
  <c r="AJ58" i="9"/>
  <c r="AG58" i="9"/>
  <c r="AC58" i="9"/>
  <c r="Z58" i="9"/>
  <c r="AE58" i="9"/>
  <c r="AA58" i="9"/>
  <c r="X58" i="9"/>
  <c r="AD58" i="9"/>
  <c r="AB58" i="9"/>
  <c r="Y58" i="9"/>
  <c r="U58" i="9"/>
  <c r="R58" i="9"/>
  <c r="W58" i="9"/>
  <c r="S58" i="9"/>
  <c r="P58" i="9"/>
  <c r="V58" i="9"/>
  <c r="T58" i="9"/>
  <c r="Q58" i="9"/>
  <c r="M58" i="9"/>
  <c r="J58" i="9"/>
  <c r="O58" i="9"/>
  <c r="K58" i="9"/>
  <c r="H58" i="9"/>
  <c r="N58" i="9"/>
  <c r="L58" i="9"/>
  <c r="I58" i="9"/>
  <c r="AK57" i="9"/>
  <c r="AH57" i="9"/>
  <c r="AM57" i="9"/>
  <c r="AI57" i="9"/>
  <c r="AF57" i="9"/>
  <c r="AL57" i="9"/>
  <c r="AJ57" i="9"/>
  <c r="AG57" i="9"/>
  <c r="AC57" i="9"/>
  <c r="Z57" i="9"/>
  <c r="AE57" i="9"/>
  <c r="AA57" i="9"/>
  <c r="X57" i="9"/>
  <c r="AD57" i="9"/>
  <c r="AB57" i="9"/>
  <c r="Y57" i="9"/>
  <c r="U57" i="9"/>
  <c r="R57" i="9"/>
  <c r="W57" i="9"/>
  <c r="S57" i="9"/>
  <c r="P57" i="9"/>
  <c r="V57" i="9"/>
  <c r="T57" i="9"/>
  <c r="Q57" i="9"/>
  <c r="M57" i="9"/>
  <c r="J57" i="9"/>
  <c r="O57" i="9"/>
  <c r="K57" i="9"/>
  <c r="H57" i="9"/>
  <c r="N57" i="9"/>
  <c r="L57" i="9"/>
  <c r="I57" i="9"/>
  <c r="AK56" i="9"/>
  <c r="AH56" i="9"/>
  <c r="AM56" i="9"/>
  <c r="AI56" i="9"/>
  <c r="AF56" i="9"/>
  <c r="AL56" i="9"/>
  <c r="AJ56" i="9"/>
  <c r="AG56" i="9"/>
  <c r="AC56" i="9"/>
  <c r="Z56" i="9"/>
  <c r="AE56" i="9"/>
  <c r="AA56" i="9"/>
  <c r="X56" i="9"/>
  <c r="AD56" i="9"/>
  <c r="AB56" i="9"/>
  <c r="Y56" i="9"/>
  <c r="U56" i="9"/>
  <c r="R56" i="9"/>
  <c r="W56" i="9"/>
  <c r="S56" i="9"/>
  <c r="P56" i="9"/>
  <c r="V56" i="9"/>
  <c r="T56" i="9"/>
  <c r="Q56" i="9"/>
  <c r="M56" i="9"/>
  <c r="J56" i="9"/>
  <c r="O56" i="9"/>
  <c r="K56" i="9"/>
  <c r="H56" i="9"/>
  <c r="N56" i="9"/>
  <c r="L56" i="9"/>
  <c r="I56" i="9"/>
  <c r="AK55" i="9"/>
  <c r="AH55" i="9"/>
  <c r="AM55" i="9"/>
  <c r="AI55" i="9"/>
  <c r="AF55" i="9"/>
  <c r="AL55" i="9"/>
  <c r="AJ55" i="9"/>
  <c r="AG55" i="9"/>
  <c r="AC55" i="9"/>
  <c r="Z55" i="9"/>
  <c r="AE55" i="9"/>
  <c r="AA55" i="9"/>
  <c r="X55" i="9"/>
  <c r="AD55" i="9"/>
  <c r="AB55" i="9"/>
  <c r="Y55" i="9"/>
  <c r="U55" i="9"/>
  <c r="R55" i="9"/>
  <c r="W55" i="9"/>
  <c r="S55" i="9"/>
  <c r="P55" i="9"/>
  <c r="V55" i="9"/>
  <c r="T55" i="9"/>
  <c r="Q55" i="9"/>
  <c r="M55" i="9"/>
  <c r="J55" i="9"/>
  <c r="O55" i="9"/>
  <c r="K55" i="9"/>
  <c r="H55" i="9"/>
  <c r="N55" i="9"/>
  <c r="L55" i="9"/>
  <c r="I55" i="9"/>
  <c r="AK54" i="9"/>
  <c r="AH54" i="9"/>
  <c r="AM54" i="9"/>
  <c r="AI54" i="9"/>
  <c r="AF54" i="9"/>
  <c r="AL54" i="9"/>
  <c r="AJ54" i="9"/>
  <c r="AG54" i="9"/>
  <c r="AC54" i="9"/>
  <c r="Z54" i="9"/>
  <c r="AE54" i="9"/>
  <c r="AA54" i="9"/>
  <c r="X54" i="9"/>
  <c r="AD54" i="9"/>
  <c r="AB54" i="9"/>
  <c r="Y54" i="9"/>
  <c r="U54" i="9"/>
  <c r="R54" i="9"/>
  <c r="W54" i="9"/>
  <c r="S54" i="9"/>
  <c r="P54" i="9"/>
  <c r="V54" i="9"/>
  <c r="T54" i="9"/>
  <c r="Q54" i="9"/>
  <c r="M54" i="9"/>
  <c r="J54" i="9"/>
  <c r="O54" i="9"/>
  <c r="K54" i="9"/>
  <c r="H54" i="9"/>
  <c r="N54" i="9"/>
  <c r="L54" i="9"/>
  <c r="I54" i="9"/>
  <c r="AK53" i="9"/>
  <c r="AH53" i="9"/>
  <c r="AM53" i="9"/>
  <c r="AI53" i="9"/>
  <c r="AF53" i="9"/>
  <c r="AL53" i="9"/>
  <c r="AJ53" i="9"/>
  <c r="AG53" i="9"/>
  <c r="AC53" i="9"/>
  <c r="Z53" i="9"/>
  <c r="AE53" i="9"/>
  <c r="AA53" i="9"/>
  <c r="X53" i="9"/>
  <c r="AD53" i="9"/>
  <c r="AB53" i="9"/>
  <c r="Y53" i="9"/>
  <c r="U53" i="9"/>
  <c r="R53" i="9"/>
  <c r="W53" i="9"/>
  <c r="S53" i="9"/>
  <c r="P53" i="9"/>
  <c r="V53" i="9"/>
  <c r="T53" i="9"/>
  <c r="Q53" i="9"/>
  <c r="M53" i="9"/>
  <c r="J53" i="9"/>
  <c r="O53" i="9"/>
  <c r="K53" i="9"/>
  <c r="H53" i="9"/>
  <c r="N53" i="9"/>
  <c r="L53" i="9"/>
  <c r="I53" i="9"/>
  <c r="AK52" i="9"/>
  <c r="AH52" i="9"/>
  <c r="AM52" i="9"/>
  <c r="AI52" i="9"/>
  <c r="AF52" i="9"/>
  <c r="AL52" i="9"/>
  <c r="AJ52" i="9"/>
  <c r="AG52" i="9"/>
  <c r="AC52" i="9"/>
  <c r="Z52" i="9"/>
  <c r="AE52" i="9"/>
  <c r="AA52" i="9"/>
  <c r="X52" i="9"/>
  <c r="AD52" i="9"/>
  <c r="AB52" i="9"/>
  <c r="Y52" i="9"/>
  <c r="U52" i="9"/>
  <c r="R52" i="9"/>
  <c r="W52" i="9"/>
  <c r="S52" i="9"/>
  <c r="P52" i="9"/>
  <c r="V52" i="9"/>
  <c r="T52" i="9"/>
  <c r="Q52" i="9"/>
  <c r="M52" i="9"/>
  <c r="J52" i="9"/>
  <c r="O52" i="9"/>
  <c r="K52" i="9"/>
  <c r="H52" i="9"/>
  <c r="N52" i="9"/>
  <c r="L52" i="9"/>
  <c r="I52" i="9"/>
  <c r="AK51" i="9"/>
  <c r="AH51" i="9"/>
  <c r="AM51" i="9"/>
  <c r="AI51" i="9"/>
  <c r="AF51" i="9"/>
  <c r="AL51" i="9"/>
  <c r="AJ51" i="9"/>
  <c r="AG51" i="9"/>
  <c r="AC51" i="9"/>
  <c r="Z51" i="9"/>
  <c r="AE51" i="9"/>
  <c r="AA51" i="9"/>
  <c r="X51" i="9"/>
  <c r="AD51" i="9"/>
  <c r="AB51" i="9"/>
  <c r="Y51" i="9"/>
  <c r="U51" i="9"/>
  <c r="R51" i="9"/>
  <c r="W51" i="9"/>
  <c r="S51" i="9"/>
  <c r="P51" i="9"/>
  <c r="V51" i="9"/>
  <c r="T51" i="9"/>
  <c r="Q51" i="9"/>
  <c r="M51" i="9"/>
  <c r="J51" i="9"/>
  <c r="O51" i="9"/>
  <c r="K51" i="9"/>
  <c r="H51" i="9"/>
  <c r="N51" i="9"/>
  <c r="L51" i="9"/>
  <c r="I51" i="9"/>
  <c r="AK50" i="9"/>
  <c r="AH50" i="9"/>
  <c r="AM50" i="9"/>
  <c r="AI50" i="9"/>
  <c r="AF50" i="9"/>
  <c r="AL50" i="9"/>
  <c r="AJ50" i="9"/>
  <c r="AG50" i="9"/>
  <c r="AC50" i="9"/>
  <c r="Z50" i="9"/>
  <c r="AE50" i="9"/>
  <c r="AA50" i="9"/>
  <c r="X50" i="9"/>
  <c r="AD50" i="9"/>
  <c r="AB50" i="9"/>
  <c r="Y50" i="9"/>
  <c r="U50" i="9"/>
  <c r="R50" i="9"/>
  <c r="W50" i="9"/>
  <c r="S50" i="9"/>
  <c r="P50" i="9"/>
  <c r="V50" i="9"/>
  <c r="T50" i="9"/>
  <c r="Q50" i="9"/>
  <c r="M50" i="9"/>
  <c r="J50" i="9"/>
  <c r="O50" i="9"/>
  <c r="K50" i="9"/>
  <c r="H50" i="9"/>
  <c r="N50" i="9"/>
  <c r="L50" i="9"/>
  <c r="I50" i="9"/>
  <c r="AK49" i="9"/>
  <c r="AH49" i="9"/>
  <c r="AM49" i="9"/>
  <c r="AI49" i="9"/>
  <c r="AF49" i="9"/>
  <c r="AL49" i="9"/>
  <c r="AJ49" i="9"/>
  <c r="AG49" i="9"/>
  <c r="AC49" i="9"/>
  <c r="Z49" i="9"/>
  <c r="AE49" i="9"/>
  <c r="AA49" i="9"/>
  <c r="X49" i="9"/>
  <c r="AD49" i="9"/>
  <c r="AB49" i="9"/>
  <c r="Y49" i="9"/>
  <c r="U49" i="9"/>
  <c r="R49" i="9"/>
  <c r="W49" i="9"/>
  <c r="S49" i="9"/>
  <c r="P49" i="9"/>
  <c r="V49" i="9"/>
  <c r="T49" i="9"/>
  <c r="Q49" i="9"/>
  <c r="M49" i="9"/>
  <c r="J49" i="9"/>
  <c r="O49" i="9"/>
  <c r="K49" i="9"/>
  <c r="H49" i="9"/>
  <c r="N49" i="9"/>
  <c r="L49" i="9"/>
  <c r="I49" i="9"/>
  <c r="AK48" i="9"/>
  <c r="AH48" i="9"/>
  <c r="AM48" i="9"/>
  <c r="AI48" i="9"/>
  <c r="AF48" i="9"/>
  <c r="AL48" i="9"/>
  <c r="AJ48" i="9"/>
  <c r="AG48" i="9"/>
  <c r="AC48" i="9"/>
  <c r="Z48" i="9"/>
  <c r="AE48" i="9"/>
  <c r="AA48" i="9"/>
  <c r="X48" i="9"/>
  <c r="AD48" i="9"/>
  <c r="AB48" i="9"/>
  <c r="Y48" i="9"/>
  <c r="U48" i="9"/>
  <c r="R48" i="9"/>
  <c r="W48" i="9"/>
  <c r="S48" i="9"/>
  <c r="P48" i="9"/>
  <c r="V48" i="9"/>
  <c r="T48" i="9"/>
  <c r="Q48" i="9"/>
  <c r="M48" i="9"/>
  <c r="J48" i="9"/>
  <c r="O48" i="9"/>
  <c r="K48" i="9"/>
  <c r="H48" i="9"/>
  <c r="N48" i="9"/>
  <c r="L48" i="9"/>
  <c r="I48" i="9"/>
  <c r="AK47" i="9"/>
  <c r="AH47" i="9"/>
  <c r="AM47" i="9"/>
  <c r="AI47" i="9"/>
  <c r="AF47" i="9"/>
  <c r="AL47" i="9"/>
  <c r="AJ47" i="9"/>
  <c r="AG47" i="9"/>
  <c r="AC47" i="9"/>
  <c r="Z47" i="9"/>
  <c r="AE47" i="9"/>
  <c r="AA47" i="9"/>
  <c r="X47" i="9"/>
  <c r="AD47" i="9"/>
  <c r="AB47" i="9"/>
  <c r="Y47" i="9"/>
  <c r="U47" i="9"/>
  <c r="R47" i="9"/>
  <c r="W47" i="9"/>
  <c r="S47" i="9"/>
  <c r="P47" i="9"/>
  <c r="V47" i="9"/>
  <c r="T47" i="9"/>
  <c r="Q47" i="9"/>
  <c r="M47" i="9"/>
  <c r="J47" i="9"/>
  <c r="O47" i="9"/>
  <c r="K47" i="9"/>
  <c r="H47" i="9"/>
  <c r="N47" i="9"/>
  <c r="L47" i="9"/>
  <c r="I47" i="9"/>
  <c r="AK46" i="9"/>
  <c r="AH46" i="9"/>
  <c r="AM46" i="9"/>
  <c r="AI46" i="9"/>
  <c r="AF46" i="9"/>
  <c r="AL46" i="9"/>
  <c r="AJ46" i="9"/>
  <c r="AG46" i="9"/>
  <c r="AC46" i="9"/>
  <c r="Z46" i="9"/>
  <c r="AE46" i="9"/>
  <c r="AA46" i="9"/>
  <c r="X46" i="9"/>
  <c r="AD46" i="9"/>
  <c r="AB46" i="9"/>
  <c r="Y46" i="9"/>
  <c r="U46" i="9"/>
  <c r="R46" i="9"/>
  <c r="W46" i="9"/>
  <c r="S46" i="9"/>
  <c r="P46" i="9"/>
  <c r="V46" i="9"/>
  <c r="T46" i="9"/>
  <c r="Q46" i="9"/>
  <c r="M46" i="9"/>
  <c r="J46" i="9"/>
  <c r="O46" i="9"/>
  <c r="K46" i="9"/>
  <c r="H46" i="9"/>
  <c r="N46" i="9"/>
  <c r="L46" i="9"/>
  <c r="I46" i="9"/>
  <c r="AK45" i="9"/>
  <c r="AH45" i="9"/>
  <c r="AM45" i="9"/>
  <c r="AI45" i="9"/>
  <c r="AF45" i="9"/>
  <c r="AL45" i="9"/>
  <c r="AJ45" i="9"/>
  <c r="AG45" i="9"/>
  <c r="AC45" i="9"/>
  <c r="Z45" i="9"/>
  <c r="AE45" i="9"/>
  <c r="AA45" i="9"/>
  <c r="X45" i="9"/>
  <c r="AD45" i="9"/>
  <c r="AB45" i="9"/>
  <c r="Y45" i="9"/>
  <c r="U45" i="9"/>
  <c r="R45" i="9"/>
  <c r="W45" i="9"/>
  <c r="S45" i="9"/>
  <c r="P45" i="9"/>
  <c r="V45" i="9"/>
  <c r="T45" i="9"/>
  <c r="Q45" i="9"/>
  <c r="M45" i="9"/>
  <c r="J45" i="9"/>
  <c r="O45" i="9"/>
  <c r="K45" i="9"/>
  <c r="H45" i="9"/>
  <c r="N45" i="9"/>
  <c r="L45" i="9"/>
  <c r="I45" i="9"/>
  <c r="AK44" i="9"/>
  <c r="AH44" i="9"/>
  <c r="AM44" i="9"/>
  <c r="AI44" i="9"/>
  <c r="AF44" i="9"/>
  <c r="AL44" i="9"/>
  <c r="AJ44" i="9"/>
  <c r="AG44" i="9"/>
  <c r="AC44" i="9"/>
  <c r="Z44" i="9"/>
  <c r="AE44" i="9"/>
  <c r="AA44" i="9"/>
  <c r="X44" i="9"/>
  <c r="AD44" i="9"/>
  <c r="AB44" i="9"/>
  <c r="Y44" i="9"/>
  <c r="U44" i="9"/>
  <c r="R44" i="9"/>
  <c r="W44" i="9"/>
  <c r="S44" i="9"/>
  <c r="P44" i="9"/>
  <c r="V44" i="9"/>
  <c r="T44" i="9"/>
  <c r="Q44" i="9"/>
  <c r="M44" i="9"/>
  <c r="J44" i="9"/>
  <c r="O44" i="9"/>
  <c r="K44" i="9"/>
  <c r="H44" i="9"/>
  <c r="N44" i="9"/>
  <c r="L44" i="9"/>
  <c r="I44" i="9"/>
  <c r="AK43" i="9"/>
  <c r="AH43" i="9"/>
  <c r="AM43" i="9"/>
  <c r="AI43" i="9"/>
  <c r="AF43" i="9"/>
  <c r="AL43" i="9"/>
  <c r="AJ43" i="9"/>
  <c r="AG43" i="9"/>
  <c r="AC43" i="9"/>
  <c r="Z43" i="9"/>
  <c r="AE43" i="9"/>
  <c r="AA43" i="9"/>
  <c r="X43" i="9"/>
  <c r="AD43" i="9"/>
  <c r="AB43" i="9"/>
  <c r="Y43" i="9"/>
  <c r="U43" i="9"/>
  <c r="R43" i="9"/>
  <c r="W43" i="9"/>
  <c r="S43" i="9"/>
  <c r="P43" i="9"/>
  <c r="V43" i="9"/>
  <c r="T43" i="9"/>
  <c r="Q43" i="9"/>
  <c r="M43" i="9"/>
  <c r="J43" i="9"/>
  <c r="O43" i="9"/>
  <c r="K43" i="9"/>
  <c r="H43" i="9"/>
  <c r="N43" i="9"/>
  <c r="L43" i="9"/>
  <c r="I43" i="9"/>
  <c r="AK42" i="9"/>
  <c r="AH42" i="9"/>
  <c r="AM42" i="9"/>
  <c r="AI42" i="9"/>
  <c r="AF42" i="9"/>
  <c r="AL42" i="9"/>
  <c r="AJ42" i="9"/>
  <c r="AG42" i="9"/>
  <c r="AC42" i="9"/>
  <c r="Z42" i="9"/>
  <c r="AE42" i="9"/>
  <c r="AA42" i="9"/>
  <c r="X42" i="9"/>
  <c r="AD42" i="9"/>
  <c r="AB42" i="9"/>
  <c r="Y42" i="9"/>
  <c r="U42" i="9"/>
  <c r="R42" i="9"/>
  <c r="W42" i="9"/>
  <c r="S42" i="9"/>
  <c r="P42" i="9"/>
  <c r="V42" i="9"/>
  <c r="T42" i="9"/>
  <c r="Q42" i="9"/>
  <c r="M42" i="9"/>
  <c r="J42" i="9"/>
  <c r="O42" i="9"/>
  <c r="K42" i="9"/>
  <c r="H42" i="9"/>
  <c r="N42" i="9"/>
  <c r="L42" i="9"/>
  <c r="I42" i="9"/>
  <c r="AK41" i="9"/>
  <c r="AH41" i="9"/>
  <c r="AM41" i="9"/>
  <c r="AI41" i="9"/>
  <c r="AF41" i="9"/>
  <c r="AL41" i="9"/>
  <c r="AJ41" i="9"/>
  <c r="AG41" i="9"/>
  <c r="AC41" i="9"/>
  <c r="Z41" i="9"/>
  <c r="AE41" i="9"/>
  <c r="AA41" i="9"/>
  <c r="X41" i="9"/>
  <c r="AD41" i="9"/>
  <c r="AB41" i="9"/>
  <c r="Y41" i="9"/>
  <c r="U41" i="9"/>
  <c r="R41" i="9"/>
  <c r="W41" i="9"/>
  <c r="S41" i="9"/>
  <c r="P41" i="9"/>
  <c r="V41" i="9"/>
  <c r="T41" i="9"/>
  <c r="Q41" i="9"/>
  <c r="M41" i="9"/>
  <c r="J41" i="9"/>
  <c r="O41" i="9"/>
  <c r="K41" i="9"/>
  <c r="H41" i="9"/>
  <c r="N41" i="9"/>
  <c r="L41" i="9"/>
  <c r="I41" i="9"/>
  <c r="AK40" i="9"/>
  <c r="AH40" i="9"/>
  <c r="AM40" i="9"/>
  <c r="AI40" i="9"/>
  <c r="AF40" i="9"/>
  <c r="AL40" i="9"/>
  <c r="AJ40" i="9"/>
  <c r="AG40" i="9"/>
  <c r="AC40" i="9"/>
  <c r="Z40" i="9"/>
  <c r="AE40" i="9"/>
  <c r="AA40" i="9"/>
  <c r="X40" i="9"/>
  <c r="AD40" i="9"/>
  <c r="AB40" i="9"/>
  <c r="Y40" i="9"/>
  <c r="U40" i="9"/>
  <c r="R40" i="9"/>
  <c r="W40" i="9"/>
  <c r="S40" i="9"/>
  <c r="P40" i="9"/>
  <c r="V40" i="9"/>
  <c r="T40" i="9"/>
  <c r="Q40" i="9"/>
  <c r="M40" i="9"/>
  <c r="J40" i="9"/>
  <c r="O40" i="9"/>
  <c r="K40" i="9"/>
  <c r="H40" i="9"/>
  <c r="N40" i="9"/>
  <c r="L40" i="9"/>
  <c r="I40" i="9"/>
  <c r="AK39" i="9"/>
  <c r="AH39" i="9"/>
  <c r="AM39" i="9"/>
  <c r="AI39" i="9"/>
  <c r="AF39" i="9"/>
  <c r="AL39" i="9"/>
  <c r="AJ39" i="9"/>
  <c r="AG39" i="9"/>
  <c r="AC39" i="9"/>
  <c r="Z39" i="9"/>
  <c r="AE39" i="9"/>
  <c r="AA39" i="9"/>
  <c r="X39" i="9"/>
  <c r="AD39" i="9"/>
  <c r="AB39" i="9"/>
  <c r="Y39" i="9"/>
  <c r="U39" i="9"/>
  <c r="R39" i="9"/>
  <c r="W39" i="9"/>
  <c r="S39" i="9"/>
  <c r="P39" i="9"/>
  <c r="V39" i="9"/>
  <c r="T39" i="9"/>
  <c r="Q39" i="9"/>
  <c r="M39" i="9"/>
  <c r="J39" i="9"/>
  <c r="O39" i="9"/>
  <c r="K39" i="9"/>
  <c r="H39" i="9"/>
  <c r="N39" i="9"/>
  <c r="L39" i="9"/>
  <c r="I39" i="9"/>
  <c r="AK38" i="9"/>
  <c r="AH38" i="9"/>
  <c r="AM38" i="9"/>
  <c r="AI38" i="9"/>
  <c r="AF38" i="9"/>
  <c r="AL38" i="9"/>
  <c r="AJ38" i="9"/>
  <c r="AG38" i="9"/>
  <c r="AC38" i="9"/>
  <c r="Z38" i="9"/>
  <c r="AE38" i="9"/>
  <c r="AA38" i="9"/>
  <c r="X38" i="9"/>
  <c r="AD38" i="9"/>
  <c r="AB38" i="9"/>
  <c r="Y38" i="9"/>
  <c r="U38" i="9"/>
  <c r="R38" i="9"/>
  <c r="W38" i="9"/>
  <c r="S38" i="9"/>
  <c r="P38" i="9"/>
  <c r="V38" i="9"/>
  <c r="T38" i="9"/>
  <c r="Q38" i="9"/>
  <c r="M38" i="9"/>
  <c r="J38" i="9"/>
  <c r="O38" i="9"/>
  <c r="K38" i="9"/>
  <c r="H38" i="9"/>
  <c r="N38" i="9"/>
  <c r="L38" i="9"/>
  <c r="I38" i="9"/>
  <c r="AK37" i="9"/>
  <c r="AH37" i="9"/>
  <c r="AM37" i="9"/>
  <c r="AI37" i="9"/>
  <c r="AF37" i="9"/>
  <c r="AL37" i="9"/>
  <c r="AJ37" i="9"/>
  <c r="AG37" i="9"/>
  <c r="AC37" i="9"/>
  <c r="Z37" i="9"/>
  <c r="AE37" i="9"/>
  <c r="AA37" i="9"/>
  <c r="X37" i="9"/>
  <c r="AD37" i="9"/>
  <c r="AB37" i="9"/>
  <c r="Y37" i="9"/>
  <c r="U37" i="9"/>
  <c r="R37" i="9"/>
  <c r="W37" i="9"/>
  <c r="S37" i="9"/>
  <c r="P37" i="9"/>
  <c r="V37" i="9"/>
  <c r="T37" i="9"/>
  <c r="Q37" i="9"/>
  <c r="M37" i="9"/>
  <c r="J37" i="9"/>
  <c r="O37" i="9"/>
  <c r="K37" i="9"/>
  <c r="H37" i="9"/>
  <c r="N37" i="9"/>
  <c r="L37" i="9"/>
  <c r="I37" i="9"/>
  <c r="AK36" i="9"/>
  <c r="AH36" i="9"/>
  <c r="AM36" i="9"/>
  <c r="AI36" i="9"/>
  <c r="AF36" i="9"/>
  <c r="AL36" i="9"/>
  <c r="AJ36" i="9"/>
  <c r="AG36" i="9"/>
  <c r="AC36" i="9"/>
  <c r="Z36" i="9"/>
  <c r="AE36" i="9"/>
  <c r="AA36" i="9"/>
  <c r="X36" i="9"/>
  <c r="AD36" i="9"/>
  <c r="AB36" i="9"/>
  <c r="Y36" i="9"/>
  <c r="U36" i="9"/>
  <c r="R36" i="9"/>
  <c r="W36" i="9"/>
  <c r="S36" i="9"/>
  <c r="P36" i="9"/>
  <c r="V36" i="9"/>
  <c r="T36" i="9"/>
  <c r="Q36" i="9"/>
  <c r="M36" i="9"/>
  <c r="J36" i="9"/>
  <c r="O36" i="9"/>
  <c r="K36" i="9"/>
  <c r="H36" i="9"/>
  <c r="N36" i="9"/>
  <c r="L36" i="9"/>
  <c r="I36" i="9"/>
  <c r="AK35" i="9"/>
  <c r="AH35" i="9"/>
  <c r="AM35" i="9"/>
  <c r="AI35" i="9"/>
  <c r="AF35" i="9"/>
  <c r="AL35" i="9"/>
  <c r="AJ35" i="9"/>
  <c r="AG35" i="9"/>
  <c r="AC35" i="9"/>
  <c r="Z35" i="9"/>
  <c r="AE35" i="9"/>
  <c r="AA35" i="9"/>
  <c r="X35" i="9"/>
  <c r="AD35" i="9"/>
  <c r="AB35" i="9"/>
  <c r="Y35" i="9"/>
  <c r="U35" i="9"/>
  <c r="R35" i="9"/>
  <c r="W35" i="9"/>
  <c r="S35" i="9"/>
  <c r="P35" i="9"/>
  <c r="V35" i="9"/>
  <c r="T35" i="9"/>
  <c r="Q35" i="9"/>
  <c r="M35" i="9"/>
  <c r="J35" i="9"/>
  <c r="O35" i="9"/>
  <c r="K35" i="9"/>
  <c r="H35" i="9"/>
  <c r="N35" i="9"/>
  <c r="L35" i="9"/>
  <c r="I35" i="9"/>
  <c r="AK34" i="9"/>
  <c r="AH34" i="9"/>
  <c r="AM34" i="9"/>
  <c r="AI34" i="9"/>
  <c r="AF34" i="9"/>
  <c r="AL34" i="9"/>
  <c r="AJ34" i="9"/>
  <c r="AG34" i="9"/>
  <c r="AC34" i="9"/>
  <c r="Z34" i="9"/>
  <c r="AE34" i="9"/>
  <c r="AA34" i="9"/>
  <c r="X34" i="9"/>
  <c r="AD34" i="9"/>
  <c r="AB34" i="9"/>
  <c r="Y34" i="9"/>
  <c r="U34" i="9"/>
  <c r="R34" i="9"/>
  <c r="W34" i="9"/>
  <c r="S34" i="9"/>
  <c r="P34" i="9"/>
  <c r="V34" i="9"/>
  <c r="T34" i="9"/>
  <c r="Q34" i="9"/>
  <c r="M34" i="9"/>
  <c r="J34" i="9"/>
  <c r="O34" i="9"/>
  <c r="K34" i="9"/>
  <c r="H34" i="9"/>
  <c r="N34" i="9"/>
  <c r="L34" i="9"/>
  <c r="I34" i="9"/>
  <c r="AK33" i="9"/>
  <c r="AH33" i="9"/>
  <c r="AM33" i="9"/>
  <c r="AI33" i="9"/>
  <c r="AF33" i="9"/>
  <c r="AL33" i="9"/>
  <c r="AJ33" i="9"/>
  <c r="AG33" i="9"/>
  <c r="AC33" i="9"/>
  <c r="Z33" i="9"/>
  <c r="AE33" i="9"/>
  <c r="AA33" i="9"/>
  <c r="X33" i="9"/>
  <c r="AD33" i="9"/>
  <c r="AB33" i="9"/>
  <c r="Y33" i="9"/>
  <c r="U33" i="9"/>
  <c r="R33" i="9"/>
  <c r="W33" i="9"/>
  <c r="S33" i="9"/>
  <c r="P33" i="9"/>
  <c r="V33" i="9"/>
  <c r="T33" i="9"/>
  <c r="Q33" i="9"/>
  <c r="M33" i="9"/>
  <c r="J33" i="9"/>
  <c r="O33" i="9"/>
  <c r="K33" i="9"/>
  <c r="H33" i="9"/>
  <c r="N33" i="9"/>
  <c r="L33" i="9"/>
  <c r="I33" i="9"/>
  <c r="AK32" i="9"/>
  <c r="AH32" i="9"/>
  <c r="AM32" i="9"/>
  <c r="AI32" i="9"/>
  <c r="AF32" i="9"/>
  <c r="AL32" i="9"/>
  <c r="AJ32" i="9"/>
  <c r="AG32" i="9"/>
  <c r="AC32" i="9"/>
  <c r="Z32" i="9"/>
  <c r="AE32" i="9"/>
  <c r="AA32" i="9"/>
  <c r="X32" i="9"/>
  <c r="AD32" i="9"/>
  <c r="AB32" i="9"/>
  <c r="Y32" i="9"/>
  <c r="U32" i="9"/>
  <c r="R32" i="9"/>
  <c r="W32" i="9"/>
  <c r="S32" i="9"/>
  <c r="P32" i="9"/>
  <c r="V32" i="9"/>
  <c r="T32" i="9"/>
  <c r="Q32" i="9"/>
  <c r="M32" i="9"/>
  <c r="J32" i="9"/>
  <c r="O32" i="9"/>
  <c r="K32" i="9"/>
  <c r="H32" i="9"/>
  <c r="N32" i="9"/>
  <c r="L32" i="9"/>
  <c r="I32" i="9"/>
  <c r="G31" i="9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B9" i="7"/>
  <c r="C18" i="7"/>
  <c r="C19" i="7"/>
  <c r="AF50" i="7"/>
  <c r="AA25" i="7"/>
  <c r="AC50" i="7"/>
  <c r="AH50" i="7"/>
  <c r="AD50" i="7"/>
  <c r="AA50" i="7"/>
  <c r="AG50" i="7"/>
  <c r="AE50" i="7"/>
  <c r="AB50" i="7"/>
  <c r="V25" i="7"/>
  <c r="X50" i="7"/>
  <c r="U50" i="7"/>
  <c r="Z50" i="7"/>
  <c r="V50" i="7"/>
  <c r="S50" i="7"/>
  <c r="Y50" i="7"/>
  <c r="W50" i="7"/>
  <c r="T50" i="7"/>
  <c r="N25" i="7"/>
  <c r="P50" i="7"/>
  <c r="M50" i="7"/>
  <c r="R50" i="7"/>
  <c r="N50" i="7"/>
  <c r="K50" i="7"/>
  <c r="Q50" i="7"/>
  <c r="O50" i="7"/>
  <c r="L50" i="7"/>
  <c r="F25" i="7"/>
  <c r="H50" i="7"/>
  <c r="E50" i="7"/>
  <c r="J50" i="7"/>
  <c r="F50" i="7"/>
  <c r="C50" i="7"/>
  <c r="I50" i="7"/>
  <c r="G50" i="7"/>
  <c r="D50" i="7"/>
  <c r="AF49" i="7"/>
  <c r="AC49" i="7"/>
  <c r="AH49" i="7"/>
  <c r="AD49" i="7"/>
  <c r="AA49" i="7"/>
  <c r="AG49" i="7"/>
  <c r="AE49" i="7"/>
  <c r="AB49" i="7"/>
  <c r="X49" i="7"/>
  <c r="U49" i="7"/>
  <c r="Z49" i="7"/>
  <c r="V49" i="7"/>
  <c r="S49" i="7"/>
  <c r="Y49" i="7"/>
  <c r="W49" i="7"/>
  <c r="T49" i="7"/>
  <c r="P49" i="7"/>
  <c r="M49" i="7"/>
  <c r="R49" i="7"/>
  <c r="N49" i="7"/>
  <c r="K49" i="7"/>
  <c r="Q49" i="7"/>
  <c r="O49" i="7"/>
  <c r="L49" i="7"/>
  <c r="H49" i="7"/>
  <c r="E49" i="7"/>
  <c r="J49" i="7"/>
  <c r="F49" i="7"/>
  <c r="C49" i="7"/>
  <c r="I49" i="7"/>
  <c r="G49" i="7"/>
  <c r="D49" i="7"/>
  <c r="AF48" i="7"/>
  <c r="AC48" i="7"/>
  <c r="AH48" i="7"/>
  <c r="AD48" i="7"/>
  <c r="AA48" i="7"/>
  <c r="AG48" i="7"/>
  <c r="AE48" i="7"/>
  <c r="AB48" i="7"/>
  <c r="X48" i="7"/>
  <c r="U48" i="7"/>
  <c r="Z48" i="7"/>
  <c r="V48" i="7"/>
  <c r="S48" i="7"/>
  <c r="Y48" i="7"/>
  <c r="W48" i="7"/>
  <c r="T48" i="7"/>
  <c r="P48" i="7"/>
  <c r="M48" i="7"/>
  <c r="R48" i="7"/>
  <c r="N48" i="7"/>
  <c r="K48" i="7"/>
  <c r="Q48" i="7"/>
  <c r="O48" i="7"/>
  <c r="L48" i="7"/>
  <c r="H48" i="7"/>
  <c r="E48" i="7"/>
  <c r="J48" i="7"/>
  <c r="F48" i="7"/>
  <c r="C48" i="7"/>
  <c r="I48" i="7"/>
  <c r="G48" i="7"/>
  <c r="D48" i="7"/>
  <c r="AF47" i="7"/>
  <c r="AC47" i="7"/>
  <c r="AH47" i="7"/>
  <c r="AD47" i="7"/>
  <c r="AA47" i="7"/>
  <c r="AG47" i="7"/>
  <c r="AE47" i="7"/>
  <c r="AB47" i="7"/>
  <c r="X47" i="7"/>
  <c r="U47" i="7"/>
  <c r="Z47" i="7"/>
  <c r="V47" i="7"/>
  <c r="S47" i="7"/>
  <c r="Y47" i="7"/>
  <c r="W47" i="7"/>
  <c r="T47" i="7"/>
  <c r="P47" i="7"/>
  <c r="M47" i="7"/>
  <c r="R47" i="7"/>
  <c r="N47" i="7"/>
  <c r="K47" i="7"/>
  <c r="Q47" i="7"/>
  <c r="O47" i="7"/>
  <c r="L47" i="7"/>
  <c r="H47" i="7"/>
  <c r="E47" i="7"/>
  <c r="J47" i="7"/>
  <c r="F47" i="7"/>
  <c r="C47" i="7"/>
  <c r="I47" i="7"/>
  <c r="G47" i="7"/>
  <c r="D47" i="7"/>
  <c r="AF46" i="7"/>
  <c r="AC46" i="7"/>
  <c r="AH46" i="7"/>
  <c r="AD46" i="7"/>
  <c r="AA46" i="7"/>
  <c r="AG46" i="7"/>
  <c r="AE46" i="7"/>
  <c r="AB46" i="7"/>
  <c r="X46" i="7"/>
  <c r="U46" i="7"/>
  <c r="Z46" i="7"/>
  <c r="V46" i="7"/>
  <c r="S46" i="7"/>
  <c r="Y46" i="7"/>
  <c r="W46" i="7"/>
  <c r="T46" i="7"/>
  <c r="P46" i="7"/>
  <c r="M46" i="7"/>
  <c r="R46" i="7"/>
  <c r="N46" i="7"/>
  <c r="K46" i="7"/>
  <c r="Q46" i="7"/>
  <c r="O46" i="7"/>
  <c r="L46" i="7"/>
  <c r="H46" i="7"/>
  <c r="E46" i="7"/>
  <c r="J46" i="7"/>
  <c r="F46" i="7"/>
  <c r="C46" i="7"/>
  <c r="I46" i="7"/>
  <c r="G46" i="7"/>
  <c r="D46" i="7"/>
  <c r="AF45" i="7"/>
  <c r="AC45" i="7"/>
  <c r="AH45" i="7"/>
  <c r="AD45" i="7"/>
  <c r="AA45" i="7"/>
  <c r="AG45" i="7"/>
  <c r="AE45" i="7"/>
  <c r="AB45" i="7"/>
  <c r="X45" i="7"/>
  <c r="U45" i="7"/>
  <c r="Z45" i="7"/>
  <c r="V45" i="7"/>
  <c r="S45" i="7"/>
  <c r="Y45" i="7"/>
  <c r="W45" i="7"/>
  <c r="T45" i="7"/>
  <c r="P45" i="7"/>
  <c r="M45" i="7"/>
  <c r="R45" i="7"/>
  <c r="N45" i="7"/>
  <c r="K45" i="7"/>
  <c r="Q45" i="7"/>
  <c r="O45" i="7"/>
  <c r="L45" i="7"/>
  <c r="H45" i="7"/>
  <c r="E45" i="7"/>
  <c r="J45" i="7"/>
  <c r="F45" i="7"/>
  <c r="C45" i="7"/>
  <c r="I45" i="7"/>
  <c r="G45" i="7"/>
  <c r="D45" i="7"/>
  <c r="AF44" i="7"/>
  <c r="AC44" i="7"/>
  <c r="AH44" i="7"/>
  <c r="AD44" i="7"/>
  <c r="AA44" i="7"/>
  <c r="AG44" i="7"/>
  <c r="AE44" i="7"/>
  <c r="AB44" i="7"/>
  <c r="X44" i="7"/>
  <c r="U44" i="7"/>
  <c r="Z44" i="7"/>
  <c r="V44" i="7"/>
  <c r="S44" i="7"/>
  <c r="Y44" i="7"/>
  <c r="W44" i="7"/>
  <c r="T44" i="7"/>
  <c r="P44" i="7"/>
  <c r="M44" i="7"/>
  <c r="R44" i="7"/>
  <c r="N44" i="7"/>
  <c r="K44" i="7"/>
  <c r="Q44" i="7"/>
  <c r="O44" i="7"/>
  <c r="L44" i="7"/>
  <c r="H44" i="7"/>
  <c r="E44" i="7"/>
  <c r="J44" i="7"/>
  <c r="F44" i="7"/>
  <c r="C44" i="7"/>
  <c r="I44" i="7"/>
  <c r="G44" i="7"/>
  <c r="D44" i="7"/>
  <c r="AF43" i="7"/>
  <c r="AC43" i="7"/>
  <c r="AH43" i="7"/>
  <c r="AD43" i="7"/>
  <c r="AA43" i="7"/>
  <c r="AG43" i="7"/>
  <c r="AE43" i="7"/>
  <c r="AB43" i="7"/>
  <c r="X43" i="7"/>
  <c r="U43" i="7"/>
  <c r="Z43" i="7"/>
  <c r="V43" i="7"/>
  <c r="S43" i="7"/>
  <c r="Y43" i="7"/>
  <c r="W43" i="7"/>
  <c r="T43" i="7"/>
  <c r="P43" i="7"/>
  <c r="M43" i="7"/>
  <c r="R43" i="7"/>
  <c r="N43" i="7"/>
  <c r="K43" i="7"/>
  <c r="Q43" i="7"/>
  <c r="O43" i="7"/>
  <c r="L43" i="7"/>
  <c r="H43" i="7"/>
  <c r="E43" i="7"/>
  <c r="J43" i="7"/>
  <c r="F43" i="7"/>
  <c r="C43" i="7"/>
  <c r="I43" i="7"/>
  <c r="G43" i="7"/>
  <c r="D43" i="7"/>
  <c r="AF42" i="7"/>
  <c r="AC42" i="7"/>
  <c r="AH42" i="7"/>
  <c r="AD42" i="7"/>
  <c r="AA42" i="7"/>
  <c r="AG42" i="7"/>
  <c r="AE42" i="7"/>
  <c r="AB42" i="7"/>
  <c r="X42" i="7"/>
  <c r="U42" i="7"/>
  <c r="Z42" i="7"/>
  <c r="V42" i="7"/>
  <c r="S42" i="7"/>
  <c r="Y42" i="7"/>
  <c r="W42" i="7"/>
  <c r="T42" i="7"/>
  <c r="P42" i="7"/>
  <c r="M42" i="7"/>
  <c r="R42" i="7"/>
  <c r="N42" i="7"/>
  <c r="K42" i="7"/>
  <c r="Q42" i="7"/>
  <c r="O42" i="7"/>
  <c r="L42" i="7"/>
  <c r="H42" i="7"/>
  <c r="E42" i="7"/>
  <c r="J42" i="7"/>
  <c r="F42" i="7"/>
  <c r="C42" i="7"/>
  <c r="I42" i="7"/>
  <c r="G42" i="7"/>
  <c r="D42" i="7"/>
  <c r="AF41" i="7"/>
  <c r="AC41" i="7"/>
  <c r="AH41" i="7"/>
  <c r="AD41" i="7"/>
  <c r="AA41" i="7"/>
  <c r="AG41" i="7"/>
  <c r="AE41" i="7"/>
  <c r="AB41" i="7"/>
  <c r="X41" i="7"/>
  <c r="U41" i="7"/>
  <c r="Z41" i="7"/>
  <c r="V41" i="7"/>
  <c r="S41" i="7"/>
  <c r="Y41" i="7"/>
  <c r="W41" i="7"/>
  <c r="T41" i="7"/>
  <c r="P41" i="7"/>
  <c r="M41" i="7"/>
  <c r="R41" i="7"/>
  <c r="N41" i="7"/>
  <c r="K41" i="7"/>
  <c r="Q41" i="7"/>
  <c r="O41" i="7"/>
  <c r="L41" i="7"/>
  <c r="H41" i="7"/>
  <c r="E41" i="7"/>
  <c r="J41" i="7"/>
  <c r="F41" i="7"/>
  <c r="C41" i="7"/>
  <c r="I41" i="7"/>
  <c r="G41" i="7"/>
  <c r="D41" i="7"/>
  <c r="AF40" i="7"/>
  <c r="AC40" i="7"/>
  <c r="AH40" i="7"/>
  <c r="AD40" i="7"/>
  <c r="AA40" i="7"/>
  <c r="AG40" i="7"/>
  <c r="AE40" i="7"/>
  <c r="AB40" i="7"/>
  <c r="X40" i="7"/>
  <c r="U40" i="7"/>
  <c r="Z40" i="7"/>
  <c r="V40" i="7"/>
  <c r="S40" i="7"/>
  <c r="Y40" i="7"/>
  <c r="W40" i="7"/>
  <c r="T40" i="7"/>
  <c r="P40" i="7"/>
  <c r="M40" i="7"/>
  <c r="R40" i="7"/>
  <c r="N40" i="7"/>
  <c r="K40" i="7"/>
  <c r="Q40" i="7"/>
  <c r="O40" i="7"/>
  <c r="L40" i="7"/>
  <c r="H40" i="7"/>
  <c r="E40" i="7"/>
  <c r="J40" i="7"/>
  <c r="F40" i="7"/>
  <c r="C40" i="7"/>
  <c r="I40" i="7"/>
  <c r="G40" i="7"/>
  <c r="D40" i="7"/>
  <c r="AF39" i="7"/>
  <c r="AC39" i="7"/>
  <c r="AH39" i="7"/>
  <c r="AD39" i="7"/>
  <c r="AA39" i="7"/>
  <c r="AG39" i="7"/>
  <c r="AE39" i="7"/>
  <c r="AB39" i="7"/>
  <c r="X39" i="7"/>
  <c r="U39" i="7"/>
  <c r="Z39" i="7"/>
  <c r="V39" i="7"/>
  <c r="S39" i="7"/>
  <c r="Y39" i="7"/>
  <c r="W39" i="7"/>
  <c r="T39" i="7"/>
  <c r="P39" i="7"/>
  <c r="M39" i="7"/>
  <c r="R39" i="7"/>
  <c r="N39" i="7"/>
  <c r="K39" i="7"/>
  <c r="Q39" i="7"/>
  <c r="O39" i="7"/>
  <c r="L39" i="7"/>
  <c r="H39" i="7"/>
  <c r="E39" i="7"/>
  <c r="J39" i="7"/>
  <c r="F39" i="7"/>
  <c r="C39" i="7"/>
  <c r="I39" i="7"/>
  <c r="G39" i="7"/>
  <c r="D39" i="7"/>
  <c r="AF38" i="7"/>
  <c r="AC38" i="7"/>
  <c r="AH38" i="7"/>
  <c r="AD38" i="7"/>
  <c r="AA38" i="7"/>
  <c r="AG38" i="7"/>
  <c r="AE38" i="7"/>
  <c r="AB38" i="7"/>
  <c r="X38" i="7"/>
  <c r="U38" i="7"/>
  <c r="Z38" i="7"/>
  <c r="V38" i="7"/>
  <c r="S38" i="7"/>
  <c r="Y38" i="7"/>
  <c r="W38" i="7"/>
  <c r="T38" i="7"/>
  <c r="P38" i="7"/>
  <c r="M38" i="7"/>
  <c r="R38" i="7"/>
  <c r="N38" i="7"/>
  <c r="K38" i="7"/>
  <c r="Q38" i="7"/>
  <c r="O38" i="7"/>
  <c r="L38" i="7"/>
  <c r="H38" i="7"/>
  <c r="E38" i="7"/>
  <c r="J38" i="7"/>
  <c r="F38" i="7"/>
  <c r="C38" i="7"/>
  <c r="I38" i="7"/>
  <c r="G38" i="7"/>
  <c r="D38" i="7"/>
  <c r="AF37" i="7"/>
  <c r="AC37" i="7"/>
  <c r="AH37" i="7"/>
  <c r="AD37" i="7"/>
  <c r="AA37" i="7"/>
  <c r="AG37" i="7"/>
  <c r="AE37" i="7"/>
  <c r="AB37" i="7"/>
  <c r="X37" i="7"/>
  <c r="U37" i="7"/>
  <c r="Z37" i="7"/>
  <c r="V37" i="7"/>
  <c r="S37" i="7"/>
  <c r="Y37" i="7"/>
  <c r="W37" i="7"/>
  <c r="T37" i="7"/>
  <c r="P37" i="7"/>
  <c r="M37" i="7"/>
  <c r="R37" i="7"/>
  <c r="N37" i="7"/>
  <c r="K37" i="7"/>
  <c r="Q37" i="7"/>
  <c r="O37" i="7"/>
  <c r="L37" i="7"/>
  <c r="H37" i="7"/>
  <c r="E37" i="7"/>
  <c r="J37" i="7"/>
  <c r="F37" i="7"/>
  <c r="C37" i="7"/>
  <c r="I37" i="7"/>
  <c r="G37" i="7"/>
  <c r="D37" i="7"/>
  <c r="AF36" i="7"/>
  <c r="AC36" i="7"/>
  <c r="AH36" i="7"/>
  <c r="AD36" i="7"/>
  <c r="AA36" i="7"/>
  <c r="AG36" i="7"/>
  <c r="AE36" i="7"/>
  <c r="AB36" i="7"/>
  <c r="X36" i="7"/>
  <c r="U36" i="7"/>
  <c r="Z36" i="7"/>
  <c r="V36" i="7"/>
  <c r="S36" i="7"/>
  <c r="Y36" i="7"/>
  <c r="W36" i="7"/>
  <c r="T36" i="7"/>
  <c r="P36" i="7"/>
  <c r="M36" i="7"/>
  <c r="R36" i="7"/>
  <c r="N36" i="7"/>
  <c r="K36" i="7"/>
  <c r="Q36" i="7"/>
  <c r="O36" i="7"/>
  <c r="L36" i="7"/>
  <c r="H36" i="7"/>
  <c r="E36" i="7"/>
  <c r="J36" i="7"/>
  <c r="F36" i="7"/>
  <c r="C36" i="7"/>
  <c r="I36" i="7"/>
  <c r="G36" i="7"/>
  <c r="D36" i="7"/>
  <c r="AF35" i="7"/>
  <c r="AC35" i="7"/>
  <c r="AH35" i="7"/>
  <c r="AD35" i="7"/>
  <c r="AA35" i="7"/>
  <c r="AG35" i="7"/>
  <c r="AE35" i="7"/>
  <c r="AB35" i="7"/>
  <c r="X35" i="7"/>
  <c r="U35" i="7"/>
  <c r="Z35" i="7"/>
  <c r="V35" i="7"/>
  <c r="S35" i="7"/>
  <c r="Y35" i="7"/>
  <c r="W35" i="7"/>
  <c r="T35" i="7"/>
  <c r="P35" i="7"/>
  <c r="M35" i="7"/>
  <c r="R35" i="7"/>
  <c r="N35" i="7"/>
  <c r="K35" i="7"/>
  <c r="Q35" i="7"/>
  <c r="O35" i="7"/>
  <c r="L35" i="7"/>
  <c r="H35" i="7"/>
  <c r="E35" i="7"/>
  <c r="J35" i="7"/>
  <c r="F35" i="7"/>
  <c r="C35" i="7"/>
  <c r="I35" i="7"/>
  <c r="G35" i="7"/>
  <c r="D35" i="7"/>
  <c r="AF34" i="7"/>
  <c r="AC34" i="7"/>
  <c r="AH34" i="7"/>
  <c r="AD34" i="7"/>
  <c r="AA34" i="7"/>
  <c r="AG34" i="7"/>
  <c r="AE34" i="7"/>
  <c r="AB34" i="7"/>
  <c r="X34" i="7"/>
  <c r="U34" i="7"/>
  <c r="Z34" i="7"/>
  <c r="V34" i="7"/>
  <c r="S34" i="7"/>
  <c r="Y34" i="7"/>
  <c r="W34" i="7"/>
  <c r="T34" i="7"/>
  <c r="P34" i="7"/>
  <c r="M34" i="7"/>
  <c r="R34" i="7"/>
  <c r="N34" i="7"/>
  <c r="K34" i="7"/>
  <c r="Q34" i="7"/>
  <c r="O34" i="7"/>
  <c r="L34" i="7"/>
  <c r="H34" i="7"/>
  <c r="E34" i="7"/>
  <c r="J34" i="7"/>
  <c r="F34" i="7"/>
  <c r="C34" i="7"/>
  <c r="I34" i="7"/>
  <c r="G34" i="7"/>
  <c r="D34" i="7"/>
  <c r="AF33" i="7"/>
  <c r="AC33" i="7"/>
  <c r="AH33" i="7"/>
  <c r="AD33" i="7"/>
  <c r="AA33" i="7"/>
  <c r="AG33" i="7"/>
  <c r="AE33" i="7"/>
  <c r="AB33" i="7"/>
  <c r="X33" i="7"/>
  <c r="U33" i="7"/>
  <c r="Z33" i="7"/>
  <c r="V33" i="7"/>
  <c r="S33" i="7"/>
  <c r="Y33" i="7"/>
  <c r="W33" i="7"/>
  <c r="T33" i="7"/>
  <c r="P33" i="7"/>
  <c r="M33" i="7"/>
  <c r="R33" i="7"/>
  <c r="N33" i="7"/>
  <c r="K33" i="7"/>
  <c r="Q33" i="7"/>
  <c r="O33" i="7"/>
  <c r="L33" i="7"/>
  <c r="H33" i="7"/>
  <c r="E33" i="7"/>
  <c r="J33" i="7"/>
  <c r="F33" i="7"/>
  <c r="C33" i="7"/>
  <c r="I33" i="7"/>
  <c r="G33" i="7"/>
  <c r="D33" i="7"/>
  <c r="AF32" i="7"/>
  <c r="AC32" i="7"/>
  <c r="AH32" i="7"/>
  <c r="AD32" i="7"/>
  <c r="AA32" i="7"/>
  <c r="AG32" i="7"/>
  <c r="AE32" i="7"/>
  <c r="AB32" i="7"/>
  <c r="X32" i="7"/>
  <c r="U32" i="7"/>
  <c r="Z32" i="7"/>
  <c r="V32" i="7"/>
  <c r="S32" i="7"/>
  <c r="Y32" i="7"/>
  <c r="W32" i="7"/>
  <c r="T32" i="7"/>
  <c r="P32" i="7"/>
  <c r="M32" i="7"/>
  <c r="R32" i="7"/>
  <c r="N32" i="7"/>
  <c r="K32" i="7"/>
  <c r="Q32" i="7"/>
  <c r="O32" i="7"/>
  <c r="L32" i="7"/>
  <c r="H32" i="7"/>
  <c r="E32" i="7"/>
  <c r="J32" i="7"/>
  <c r="F32" i="7"/>
  <c r="C32" i="7"/>
  <c r="I32" i="7"/>
  <c r="G32" i="7"/>
  <c r="D32" i="7"/>
  <c r="AF31" i="7"/>
  <c r="AC31" i="7"/>
  <c r="AH31" i="7"/>
  <c r="AD31" i="7"/>
  <c r="AA31" i="7"/>
  <c r="AG31" i="7"/>
  <c r="AE31" i="7"/>
  <c r="AB31" i="7"/>
  <c r="X31" i="7"/>
  <c r="U31" i="7"/>
  <c r="Z31" i="7"/>
  <c r="V31" i="7"/>
  <c r="S31" i="7"/>
  <c r="Y31" i="7"/>
  <c r="W31" i="7"/>
  <c r="T31" i="7"/>
  <c r="P31" i="7"/>
  <c r="M31" i="7"/>
  <c r="R31" i="7"/>
  <c r="N31" i="7"/>
  <c r="K31" i="7"/>
  <c r="Q31" i="7"/>
  <c r="O31" i="7"/>
  <c r="L31" i="7"/>
  <c r="H31" i="7"/>
  <c r="E31" i="7"/>
  <c r="J31" i="7"/>
  <c r="F31" i="7"/>
  <c r="C31" i="7"/>
  <c r="I31" i="7"/>
  <c r="G31" i="7"/>
  <c r="D31" i="7"/>
  <c r="AF30" i="7"/>
  <c r="AC30" i="7"/>
  <c r="AH30" i="7"/>
  <c r="AD30" i="7"/>
  <c r="AA30" i="7"/>
  <c r="AG30" i="7"/>
  <c r="AE30" i="7"/>
  <c r="AB30" i="7"/>
  <c r="X30" i="7"/>
  <c r="U30" i="7"/>
  <c r="Z30" i="7"/>
  <c r="V30" i="7"/>
  <c r="S30" i="7"/>
  <c r="Y30" i="7"/>
  <c r="W30" i="7"/>
  <c r="T30" i="7"/>
  <c r="P30" i="7"/>
  <c r="M30" i="7"/>
  <c r="R30" i="7"/>
  <c r="N30" i="7"/>
  <c r="K30" i="7"/>
  <c r="Q30" i="7"/>
  <c r="O30" i="7"/>
  <c r="L30" i="7"/>
  <c r="H30" i="7"/>
  <c r="E30" i="7"/>
  <c r="J30" i="7"/>
  <c r="F30" i="7"/>
  <c r="C30" i="7"/>
  <c r="I30" i="7"/>
  <c r="G30" i="7"/>
  <c r="D30" i="7"/>
  <c r="AF29" i="7"/>
  <c r="AC29" i="7"/>
  <c r="AH29" i="7"/>
  <c r="AD29" i="7"/>
  <c r="AA29" i="7"/>
  <c r="AG29" i="7"/>
  <c r="AE29" i="7"/>
  <c r="AB29" i="7"/>
  <c r="X29" i="7"/>
  <c r="U29" i="7"/>
  <c r="Z29" i="7"/>
  <c r="V29" i="7"/>
  <c r="S29" i="7"/>
  <c r="Y29" i="7"/>
  <c r="W29" i="7"/>
  <c r="T29" i="7"/>
  <c r="P29" i="7"/>
  <c r="M29" i="7"/>
  <c r="R29" i="7"/>
  <c r="N29" i="7"/>
  <c r="K29" i="7"/>
  <c r="Q29" i="7"/>
  <c r="O29" i="7"/>
  <c r="L29" i="7"/>
  <c r="H29" i="7"/>
  <c r="E29" i="7"/>
  <c r="J29" i="7"/>
  <c r="F29" i="7"/>
  <c r="C29" i="7"/>
  <c r="I29" i="7"/>
  <c r="G29" i="7"/>
  <c r="D29" i="7"/>
  <c r="B28" i="7"/>
  <c r="C16" i="5"/>
  <c r="N25" i="1"/>
  <c r="N21" i="5"/>
  <c r="C21" i="1"/>
  <c r="C17" i="5"/>
  <c r="C18" i="5"/>
  <c r="C15" i="5"/>
  <c r="J25" i="1"/>
  <c r="J21" i="5"/>
  <c r="B23" i="5"/>
  <c r="K23" i="5"/>
  <c r="F25" i="1"/>
  <c r="F21" i="5"/>
  <c r="G23" i="5"/>
  <c r="C25" i="1"/>
  <c r="C21" i="5"/>
  <c r="D23" i="5"/>
  <c r="O23" i="5"/>
  <c r="N23" i="5"/>
  <c r="J23" i="5"/>
  <c r="F23" i="5"/>
  <c r="C23" i="5"/>
  <c r="C20" i="1"/>
  <c r="C22" i="1"/>
  <c r="C18" i="1"/>
  <c r="B27" i="1"/>
  <c r="O27" i="1"/>
  <c r="K27" i="1"/>
  <c r="G27" i="1"/>
  <c r="D27" i="1"/>
  <c r="N27" i="1"/>
  <c r="J27" i="1"/>
  <c r="F27" i="1"/>
  <c r="C27" i="1"/>
  <c r="AK31" i="9"/>
  <c r="AH31" i="9"/>
  <c r="AM31" i="9"/>
  <c r="AI31" i="9"/>
  <c r="AF31" i="9"/>
  <c r="AL31" i="9"/>
  <c r="AJ31" i="9"/>
  <c r="AG31" i="9"/>
  <c r="AC31" i="9"/>
  <c r="Z31" i="9"/>
  <c r="AE31" i="9"/>
  <c r="AA31" i="9"/>
  <c r="X31" i="9"/>
  <c r="AD31" i="9"/>
  <c r="AB31" i="9"/>
  <c r="Y31" i="9"/>
  <c r="U31" i="9"/>
  <c r="R31" i="9"/>
  <c r="W31" i="9"/>
  <c r="S31" i="9"/>
  <c r="P31" i="9"/>
  <c r="V31" i="9"/>
  <c r="T31" i="9"/>
  <c r="Q31" i="9"/>
  <c r="M31" i="9"/>
  <c r="J31" i="9"/>
  <c r="O31" i="9"/>
  <c r="K31" i="9"/>
  <c r="H31" i="9"/>
  <c r="N31" i="9"/>
  <c r="L31" i="9"/>
  <c r="I31" i="9"/>
  <c r="A31" i="9"/>
  <c r="A5" i="9"/>
  <c r="A4" i="9"/>
  <c r="A3" i="9"/>
  <c r="A2" i="9"/>
  <c r="AF28" i="7"/>
  <c r="AC28" i="7"/>
  <c r="AH28" i="7"/>
  <c r="AD28" i="7"/>
  <c r="AA28" i="7"/>
  <c r="AG28" i="7"/>
  <c r="AE28" i="7"/>
  <c r="AB28" i="7"/>
  <c r="X28" i="7"/>
  <c r="U28" i="7"/>
  <c r="Z28" i="7"/>
  <c r="V28" i="7"/>
  <c r="S28" i="7"/>
  <c r="Y28" i="7"/>
  <c r="W28" i="7"/>
  <c r="T28" i="7"/>
  <c r="P28" i="7"/>
  <c r="M28" i="7"/>
  <c r="R28" i="7"/>
  <c r="N28" i="7"/>
  <c r="K28" i="7"/>
  <c r="Q28" i="7"/>
  <c r="O28" i="7"/>
  <c r="L28" i="7"/>
  <c r="H28" i="7"/>
  <c r="E28" i="7"/>
  <c r="J28" i="7"/>
  <c r="F28" i="7"/>
  <c r="C28" i="7"/>
  <c r="I28" i="7"/>
  <c r="G28" i="7"/>
  <c r="D28" i="7"/>
  <c r="A28" i="7"/>
  <c r="A5" i="7"/>
  <c r="A4" i="7"/>
  <c r="A3" i="7"/>
  <c r="A2" i="7"/>
  <c r="Q23" i="5"/>
  <c r="P23" i="5"/>
  <c r="M23" i="5"/>
  <c r="L23" i="5"/>
  <c r="I23" i="5"/>
  <c r="H23" i="5"/>
  <c r="E23" i="5"/>
  <c r="A23" i="5"/>
  <c r="A5" i="5"/>
  <c r="A4" i="5"/>
  <c r="A3" i="5"/>
  <c r="A2" i="5"/>
  <c r="Q27" i="1"/>
  <c r="M27" i="1"/>
  <c r="L27" i="1"/>
  <c r="I27" i="1"/>
  <c r="E27" i="1"/>
  <c r="P27" i="1"/>
  <c r="H27" i="1"/>
  <c r="A27" i="1"/>
  <c r="A5" i="1"/>
  <c r="A4" i="1"/>
  <c r="A3" i="1"/>
  <c r="A2" i="1"/>
</calcChain>
</file>

<file path=xl/sharedStrings.xml><?xml version="1.0" encoding="utf-8"?>
<sst xmlns="http://schemas.openxmlformats.org/spreadsheetml/2006/main" count="644" uniqueCount="325">
  <si>
    <t>Customer_Supplier</t>
  </si>
  <si>
    <t>Currency</t>
  </si>
  <si>
    <t>Month</t>
  </si>
  <si>
    <t>Origin_Company</t>
  </si>
  <si>
    <t>Allocation</t>
  </si>
  <si>
    <t>QTY</t>
  </si>
  <si>
    <t>SALES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</si>
  <si>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</si>
  <si>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</si>
  <si>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</si>
  <si>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</si>
  <si>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</si>
  <si>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</si>
  <si>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</si>
  <si>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</si>
  <si>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</si>
  <si>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</si>
  <si>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</si>
  <si>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</si>
  <si>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</si>
  <si>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</si>
  <si>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</si>
  <si>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</si>
  <si>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</si>
  <si>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</si>
  <si>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</si>
  <si>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</si>
  <si>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</si>
  <si>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</si>
  <si>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</si>
  <si>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</si>
  <si>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</si>
  <si>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</si>
  <si>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</si>
  <si>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</si>
  <si>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</si>
  <si>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</si>
  <si>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</si>
  <si>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</si>
  <si>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</si>
  <si>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SALES %</t>
  </si>
  <si>
    <t>N-1</t>
  </si>
  <si>
    <t>% of net sales machines + parts</t>
  </si>
  <si>
    <t xml:space="preserve">Sales performance analysis </t>
  </si>
  <si>
    <t>% of net sales machines+ parts</t>
  </si>
  <si>
    <t>SALES % N-1</t>
  </si>
  <si>
    <t>F - 700100 - MOUNTED REV. PLOUGHS</t>
  </si>
  <si>
    <t>F - 700200 - SEMI-MOUNTED REV. PLOUGHS</t>
  </si>
  <si>
    <t>F - 700300 - SEMI MOUNTED PLOUGHS</t>
  </si>
  <si>
    <t>F - 701100 - DEEP WORKING CULTIVATORS</t>
  </si>
  <si>
    <t>S - 701120 - SOIL LOOSENERS</t>
  </si>
  <si>
    <t>S - 701130 - DISC/TINES CULTIVATIORS</t>
  </si>
  <si>
    <t>F - 701200 - STUBBLE CULTIVATORS(DCH)</t>
  </si>
  <si>
    <t>S - 701210 - STUBBLE CULT. W DISC</t>
  </si>
  <si>
    <t>S - 701220 - STUBBLE CULT.W TINES</t>
  </si>
  <si>
    <t>F - 701300 - DISC HARROW (CCR)</t>
  </si>
  <si>
    <t>S - 701310 - TANDEM DISC HARR (CCR-A)</t>
  </si>
  <si>
    <t>S - 701320 - OFFSET DISC HARR (CCR-B)</t>
  </si>
  <si>
    <t>F - 701500 - STRIP TILL (STL)</t>
  </si>
  <si>
    <t>F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</si>
  <si>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</si>
  <si>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</si>
  <si>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</si>
  <si>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</si>
  <si>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F - 702100 - MECHANICAL SEED DRILL(SLM</t>
  </si>
  <si>
    <t>S - 702110 - MOUN.SEED DRILL MEC(SLM-A</t>
  </si>
  <si>
    <t>S - 702120 - INTEGR. SEED DRILL (SLM-B</t>
  </si>
  <si>
    <t>F - 702200 - PNEUMATIC SEED DRILL (SLP</t>
  </si>
  <si>
    <t>S - 702210 - MOUNTED SEED DRILL (SLP-A</t>
  </si>
  <si>
    <t>S - 702220 - INTÉGR PNEUM.C (SLP</t>
  </si>
  <si>
    <t>S - 702230 - SEEDING BAR (SLP-C)</t>
  </si>
  <si>
    <t>S - 702240 - TRAIL.SEED DRILL(SLP-D)</t>
  </si>
  <si>
    <t>S - 702260 - MOUNTED MIN TILL (SLP-F)</t>
  </si>
  <si>
    <t>S - 702270 - TRAIL. MIN TILL (SLP-G)</t>
  </si>
  <si>
    <t>F - 702300 - FRONT HOP/SEED CART (TF)</t>
  </si>
  <si>
    <t>F - 702600 - PNEUMATIC PLANTER</t>
  </si>
  <si>
    <t>F - 703100 - TWIN DISC &amp; UNIVERSAL</t>
  </si>
  <si>
    <t>F - 704100 - MOUNTED SPRAYERS</t>
  </si>
  <si>
    <t>F - 704200 - TRAILED SPRAYERS</t>
  </si>
  <si>
    <t>F - 704700 - INTEGRATED SPRAYERS</t>
  </si>
  <si>
    <t>F - 705100 - HEDGE GRASS CUTTERS &amp; SHR</t>
  </si>
  <si>
    <t>S - 705110 - OFFSET ARM VERGE SHREDDER</t>
  </si>
  <si>
    <t>S - 705120 - HEDGE AND GRASS CUTTERS</t>
  </si>
  <si>
    <t>F - 706100 - SHREDDER HORIZONTAL AXIS</t>
  </si>
  <si>
    <t>F - 706200 - ROTARY TOPPERS</t>
  </si>
  <si>
    <t>F - 707100 - MOWERS</t>
  </si>
  <si>
    <t>S - 707110 - DISC MOWERS</t>
  </si>
  <si>
    <t>S - 707120 - FRONT&amp;TRIPLE DISC MOWERS</t>
  </si>
  <si>
    <t>S - 707130 - DRUM MOWERS</t>
  </si>
  <si>
    <t>S - 707150 - TRAILED DISC MOWERS</t>
  </si>
  <si>
    <t>F - 707200 - MOWER CONDITIONERS</t>
  </si>
  <si>
    <t>F - 707300 - CONDITIONERS</t>
  </si>
  <si>
    <t>F - 707400 - RAKES</t>
  </si>
  <si>
    <t>S - 707410 - GYRORAKES</t>
  </si>
  <si>
    <t>S - 707430 - BELT MERGER</t>
  </si>
  <si>
    <t>F - 707500 - GYROTEDDERS</t>
  </si>
  <si>
    <t>F - 707600 - TEDDER-RAKE COMBINATIONS</t>
  </si>
  <si>
    <t>F - 708100 - ROUND BALERS</t>
  </si>
  <si>
    <t>F - 708200 - ROUND BALER-WRAPPER COMBI</t>
  </si>
  <si>
    <t>F - 708300 - HIGH DENSITY BALERS</t>
  </si>
  <si>
    <t>F - 715100 - SILAGE CUTTERS</t>
  </si>
  <si>
    <t>F - 715200 - BLOWERS &amp; FEEDERS &amp; RECYC</t>
  </si>
  <si>
    <t>F - 715300 - SELF-PROPELLED TMR MIXERS</t>
  </si>
  <si>
    <t>F - 715400 - TMR MIXERS</t>
  </si>
  <si>
    <t>Sales performance analysis - summary</t>
  </si>
  <si>
    <t>F - 700000 - PLOUGHING</t>
  </si>
  <si>
    <t>F - 701000 - TILLAGE</t>
  </si>
  <si>
    <t>S - 701100 - DEEP WORKING CULTIVATORS</t>
  </si>
  <si>
    <t>S - 701110 - SUB SOILER</t>
  </si>
  <si>
    <t>S - 701140 - TINES CULTIVATORS (CPR-D)</t>
  </si>
  <si>
    <t>S - 701200 - STUBBLE CULTIVATORS(DCH)</t>
  </si>
  <si>
    <t>S - 701300 - DISC HARROW (CCR)</t>
  </si>
  <si>
    <t>S - 701330 - SEED BED TAND.DISC(CCR-C)</t>
  </si>
  <si>
    <t>S - 701340 - DEEP TANDEM DISC (CCR-D)</t>
  </si>
  <si>
    <t>F - 701400 - VERTICAL TILLAGE (VTL)</t>
  </si>
  <si>
    <t>S - 701600 - SEED BED PREP.TOOLS(PLS)</t>
  </si>
  <si>
    <t>S - 701650 - RECIPRO HARROWS (PLS-E)</t>
  </si>
  <si>
    <t>S - 701660 - DISC/TINE CULT.(PLS-F)</t>
  </si>
  <si>
    <t>S - 701670 - DISC/TINE CULT.(PLS-F)</t>
  </si>
  <si>
    <t>F - 701700 - ROLLERS(ROL)</t>
  </si>
  <si>
    <t>F - 701800 - INTER ROW CULT. (BIN)</t>
  </si>
  <si>
    <t>F - 702000 - SEEDING</t>
  </si>
  <si>
    <t>S - 702100 - MECHANICAL SEED DRILL(SLM</t>
  </si>
  <si>
    <t>S - 702130 - TRAILED MIN TILL (SLM-C)</t>
  </si>
  <si>
    <t>S - 702140 - TRAILED NO TILL (SLM-D)</t>
  </si>
  <si>
    <t>S - 702200 - PNEUMATIC SEED DRILL (SLP</t>
  </si>
  <si>
    <t>S - 702250 - TRAIL.SEED NO TILL (SLP-E</t>
  </si>
  <si>
    <t>F - 702500 - MECHANICAL PLANTERS</t>
  </si>
  <si>
    <t>F - 702700 - TRANSPLANTERS</t>
  </si>
  <si>
    <t>F - 702900 - SEEDING COMBINATIONS</t>
  </si>
  <si>
    <t>F - 703000 - FERTILISING</t>
  </si>
  <si>
    <t>F - 703200 - PNEUMATIC SPREADER</t>
  </si>
  <si>
    <t>F - 703300 - SELF PROP FERTILIZING</t>
  </si>
  <si>
    <t>F - 703600 - FERTILIZER SPREADER CART</t>
  </si>
  <si>
    <t>F - 703700 - CARRYING FRAME SPREADERS</t>
  </si>
  <si>
    <t>F - 703800 - LIFTING EQUIPMENT (MAN)</t>
  </si>
  <si>
    <t>F - 704000 - SPRAYING</t>
  </si>
  <si>
    <t>F - 704300 - VINEYARD &amp; ORCHARD SPRAYE</t>
  </si>
  <si>
    <t>F - 704400 - SELF-PROP. FIELD SPRAYERS</t>
  </si>
  <si>
    <t>F - 704500 - PROFESIONAL SPAYERS</t>
  </si>
  <si>
    <t>F - 704600 - LANDSCAPE SPRAYERS</t>
  </si>
  <si>
    <t>F - 704900 - SPRAYING EQUIPMENTS</t>
  </si>
  <si>
    <t>F - 705000 - LANDSCAPE MAINTENANCE</t>
  </si>
  <si>
    <t>S - 705100 - HEDGE GRASS CUTTERS &amp; SHR</t>
  </si>
  <si>
    <t>F - 705200 - SALT &amp; SAND SPREADERS</t>
  </si>
  <si>
    <t>F - 705400 - BUILDINGS &amp; AMENITY SPRAY</t>
  </si>
  <si>
    <t>F - 705500 - GREEN AREA SPRAYER</t>
  </si>
  <si>
    <t>F - 706000 - SHREDDING</t>
  </si>
  <si>
    <t>F - 707000 - HAY &amp; FORAGE</t>
  </si>
  <si>
    <t>S - 707100 - MOWERS</t>
  </si>
  <si>
    <t>S - 707400 - RAKES</t>
  </si>
  <si>
    <t>S - 707450 - TRAILED WHEEL RAKES</t>
  </si>
  <si>
    <t>F - 708000 - BALERS</t>
  </si>
  <si>
    <t>F - 708400 - SMALL SQUARE BALER</t>
  </si>
  <si>
    <t>F - 715000 - BEDDING &amp; FEEDING</t>
  </si>
  <si>
    <t>F - 715500 - FEED DELIVERY BOXES</t>
  </si>
  <si>
    <t>F - 715600 - AUTO. FEEDING SYSTEM.</t>
  </si>
  <si>
    <t>F - 715800 - DISTRIBUTORS / FEEDERS</t>
  </si>
  <si>
    <t>Prev_IC_mapping</t>
  </si>
  <si>
    <t>MARKET SHARES - 4 PERIODS</t>
  </si>
  <si>
    <t>Country</t>
  </si>
  <si>
    <t>Market Share %</t>
  </si>
  <si>
    <t>KUHN Sales</t>
  </si>
  <si>
    <t>KUHN_Scope</t>
  </si>
  <si>
    <t>Unit.Price</t>
  </si>
  <si>
    <t>Market Shares - 4 periods</t>
  </si>
  <si>
    <t>Market Shares</t>
  </si>
  <si>
    <t>F - 718000 - MANURE SPREADING</t>
  </si>
  <si>
    <t>F - 718200 - REAR DISCHARGES SPREADERS</t>
  </si>
  <si>
    <t>F - 718300 - SIDE SPREADERS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</si>
  <si>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</si>
  <si>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</si>
  <si>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</si>
  <si>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</si>
  <si>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</si>
  <si>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</si>
  <si>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</si>
  <si>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</si>
  <si>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</si>
  <si>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</si>
  <si>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</si>
  <si>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</si>
  <si>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</si>
  <si>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</si>
  <si>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</si>
  <si>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</si>
  <si>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</si>
  <si>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</si>
  <si>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</si>
  <si>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</si>
  <si>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</si>
  <si>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</si>
  <si>
    <t>F - CRP - Mounted reversible ploughs</t>
  </si>
  <si>
    <t>F - RSP - Semi-mounted reversible ploughs</t>
  </si>
  <si>
    <t>F - SSP - Semi-mounted conventional ploughs</t>
  </si>
  <si>
    <t>F - CROT - Rotary ploughs</t>
  </si>
  <si>
    <t>F - F-CORPS - Bodies and skim coulters</t>
  </si>
  <si>
    <t>F - PC-LAB - Ploughing</t>
  </si>
  <si>
    <t>F - F-CPR - Deep working cultivators</t>
  </si>
  <si>
    <t>SF - SF-CPR_A -Sub soilers</t>
  </si>
  <si>
    <t>SF - SF-CPR_B -Soil looseners</t>
  </si>
  <si>
    <t>SF - SF-CPR_C -Discs / tines cultivators</t>
  </si>
  <si>
    <t>SF - SF-CPR_D -Tines cultivators</t>
  </si>
  <si>
    <t>SF - PC-F-CPR -Deep working cultivators</t>
  </si>
  <si>
    <t>F - F-DCH - Stubble cultivators</t>
  </si>
  <si>
    <t>SF - SF-DCH_A -Stubble cultivators with discs</t>
  </si>
  <si>
    <t>SF - SF-DCH_B -Stubble cultivators with tines</t>
  </si>
  <si>
    <t>SF - PC-F-DCH -Stubble cultivators</t>
  </si>
  <si>
    <t>F - F-CCR - Disc harrows</t>
  </si>
  <si>
    <t>SF - SF-CCR_C -Seed bed tandem disc harrow</t>
  </si>
  <si>
    <t>SF - SF-CCR_A -Tandem disc harrows</t>
  </si>
  <si>
    <t>SF - SF-CCR_D -Tandem disc harrow for deep tillage</t>
  </si>
  <si>
    <t>SF - SF-CCR_B -Offset disc harrows</t>
  </si>
  <si>
    <t>SF - PC-F-CCR -Disc harrows</t>
  </si>
  <si>
    <t>F - F-VTL - Vertical tillage</t>
  </si>
  <si>
    <t>F - F-STL - Strip-Till</t>
  </si>
  <si>
    <t>F - F-PLS - Seedbed preparation tools</t>
  </si>
  <si>
    <t>SF - SF-PLS_A -Seed bed cultivators</t>
  </si>
  <si>
    <t>SF - SF-PLS_F -Seed bed cultivators with discs and tines</t>
  </si>
  <si>
    <t>SF - SF-PLS_B -Integrated seed bed cultivators</t>
  </si>
  <si>
    <t>SF - SF-PLS_D -Power harrows</t>
  </si>
  <si>
    <t>SF - SF-PLS_E -Reciprocating Harrows</t>
  </si>
  <si>
    <t>SF - SF-PLS_C -Power tillers</t>
  </si>
  <si>
    <t>SF - PC-F-PLS -Seedbed preparation tools</t>
  </si>
  <si>
    <t>F - F-ROL - Rollers</t>
  </si>
  <si>
    <t>F - F-ADD - Additional Tillage</t>
  </si>
  <si>
    <t>F - F-BIN - Inter-row cultivators</t>
  </si>
  <si>
    <t>F - PC-SOL - Tillage</t>
  </si>
  <si>
    <t>F - TF - Front Hoppers / Seed Carts</t>
  </si>
  <si>
    <t>F - F-SLM - Mechanical seed drills</t>
  </si>
  <si>
    <t>SF - SF-SLM_A -Mounted seed drills mechanical</t>
  </si>
  <si>
    <t>SF - SF-SLM_B -Integrated seed drills mechanical</t>
  </si>
  <si>
    <t>SF - SF-SLM_C -Trailed seed drills min till</t>
  </si>
  <si>
    <t>SF - SF-SLM_D -Trailed seed drills no till meca</t>
  </si>
  <si>
    <t>SF - PC-F-SLM -Mechanical seed drills</t>
  </si>
  <si>
    <t>F - F-SLP - Pneumatic seed drills</t>
  </si>
  <si>
    <t>SF - SF-SLP_B -Integrated seed drills pneumatic</t>
  </si>
  <si>
    <t>SF - SF-SLP_C -Seeding bar front hopper / seed cart</t>
  </si>
  <si>
    <t>SF - SF-SLP_E -Trailed seed drills No Till</t>
  </si>
  <si>
    <t>SF - SF-SLP_F -Mounted seed drills min till</t>
  </si>
  <si>
    <t>SF - SF-SLP_G -Trailed seed drills min till</t>
  </si>
  <si>
    <t>SF - SF-SLP_D -Trailed seed drills for conventional seeding</t>
  </si>
  <si>
    <t>SF - SF-SLP_A -Mounted seed drills</t>
  </si>
  <si>
    <t>SF - PC-F-SLP -Pneumatic seed drills</t>
  </si>
  <si>
    <t>F - F-SH - Cover crop seeders</t>
  </si>
  <si>
    <t>F - F-SMM - Mechanical precision seed drills</t>
  </si>
  <si>
    <t>F - F-SMP - Pneumatic precision seed drills</t>
  </si>
  <si>
    <t>F - F-CTAP - Transport or coupling trailer for seeder</t>
  </si>
  <si>
    <t>F - PL - Transplanter</t>
  </si>
  <si>
    <t>F - PC-SEM - Seeding</t>
  </si>
  <si>
    <t>F - MAN - Lifting Equipment</t>
  </si>
  <si>
    <t>F - DE - Fertiliser Spreaders</t>
  </si>
  <si>
    <t>F - F-RAVDIS - Fertiliser Spreader Cart</t>
  </si>
  <si>
    <t>F - CHARIOT - Carrying frame</t>
  </si>
  <si>
    <t>F - PC-FER - Fertilisation</t>
  </si>
  <si>
    <t>F - F-PAA - Self-propelled field sprayers</t>
  </si>
  <si>
    <t>F - PAT - Trailed agricultural sprayers</t>
  </si>
  <si>
    <t>F - PAP - Mounted agricultural sprayers</t>
  </si>
  <si>
    <t>F - PE - Integrated sprayers</t>
  </si>
  <si>
    <t>F - F-PVV - Vineyard and orchard sprayers</t>
  </si>
  <si>
    <t>F - ATO - Air blast sprayers</t>
  </si>
  <si>
    <t>F - TGC - Trailed field sprayers</t>
  </si>
  <si>
    <t>F - PGC - Mounted field sprayers</t>
  </si>
  <si>
    <t>F - PEV - Amenity sprayers</t>
  </si>
  <si>
    <t>F - PC-PLV - Spraying</t>
  </si>
  <si>
    <t>F - F-PLV-EQU - Equipment for sprayers</t>
  </si>
  <si>
    <t>F - BAC - Offset arm Verge Shredders</t>
  </si>
  <si>
    <t>F - FD - Hedge and Grass Cutters</t>
  </si>
  <si>
    <t>SF - FDBA -Hedge and Grass Cutters - Rear Arm</t>
  </si>
  <si>
    <t>SF - FDGP -Professional-Duty Boom Mowers</t>
  </si>
  <si>
    <t>SF - FD-420-490 -AGRI-LONGER 34-45 HP</t>
  </si>
  <si>
    <t>SF - SF-POLY-LONGER -POLY-LONGER 51 HP</t>
  </si>
  <si>
    <t>SF - FD-490-550 -MULTI-LONGER 44-60 HP</t>
  </si>
  <si>
    <t>SF - FD-550-620 -PRO-LONGER 80 HP</t>
  </si>
  <si>
    <t>SF - PC-FD -Hedge and Grass Cutters</t>
  </si>
  <si>
    <t>F - DSS - Salt and Sand Spreaders</t>
  </si>
  <si>
    <t>F - PEV2 - Amenity sprayers</t>
  </si>
  <si>
    <t>F - PBAT - Sprayers for buildings</t>
  </si>
  <si>
    <t>F - PC-ENT - Landscape Maintenance</t>
  </si>
  <si>
    <t>F - BAH - Shredder with horizontal axis</t>
  </si>
  <si>
    <t>F - BAV - Rotary Toppers</t>
  </si>
  <si>
    <t>F - PC-BRO - Shredders</t>
  </si>
  <si>
    <t>F - GMD - Mowers</t>
  </si>
  <si>
    <t>SF - FF -Front Mounted Disc Mowers</t>
  </si>
  <si>
    <t>SF - FGS -Select Range Disc Mowers</t>
  </si>
  <si>
    <t>SF - FTR -Trailed disc mowers</t>
  </si>
  <si>
    <t>SF - FT -Triple Gang Disc Mowers</t>
  </si>
  <si>
    <t>SF - FRH -Horizontal Fold Disc Mowers</t>
  </si>
  <si>
    <t>SF - FRV -Vertical Fold Disc Mowers</t>
  </si>
  <si>
    <t>SF - PDF -Mower cutterbars</t>
  </si>
  <si>
    <t>SF - FTF -Front mounted drum mowers</t>
  </si>
  <si>
    <t>SF - FTTR -Trailed drum mowers</t>
  </si>
  <si>
    <t>SF - FTT -Triple drum mowers</t>
  </si>
  <si>
    <t>SF - FTP -Mounted drum mowers</t>
  </si>
  <si>
    <t>SF - FA -FA Sicklebar Mowers</t>
  </si>
  <si>
    <t>SF - PC-GMD -Mowers</t>
  </si>
  <si>
    <t>F - FC - Mower Conditioners</t>
  </si>
  <si>
    <t>F - COND - Conditioners</t>
  </si>
  <si>
    <t>F - GF - Gyrotedders</t>
  </si>
  <si>
    <t>F - GA - Rakes</t>
  </si>
  <si>
    <t>SF - GAP -Mounted Gyrorakes</t>
  </si>
  <si>
    <t>SF - GASP -Semi-Mounted Gyrorakes</t>
  </si>
  <si>
    <t>SF - GAT -Trailed Gyrorakes</t>
  </si>
  <si>
    <t>SF - ANTP -Belt merger</t>
  </si>
  <si>
    <t>SF - RST -Trailed wheel rakes</t>
  </si>
  <si>
    <t>SF - KUHNFLEX -Kuhnflex</t>
  </si>
  <si>
    <t>SF - PC-GA -Rakes</t>
  </si>
  <si>
    <t>F - GRS - Tedder-Rake Combinations</t>
  </si>
  <si>
    <t>F - PC-RFO - Hay / Silage Making</t>
  </si>
  <si>
    <t>F - PBR - Round balers</t>
  </si>
  <si>
    <t>F - PCBR - Round Baler-Wrapper Combinations</t>
  </si>
  <si>
    <t>F - PHD - High density balers</t>
  </si>
  <si>
    <t>F - F-PMD - Small square balers</t>
  </si>
  <si>
    <t>F - PC-PRE - Balers</t>
  </si>
  <si>
    <t>F - EUR - TMR Mixers</t>
  </si>
  <si>
    <t>F - SP - Self-Propelled TMR Mixers</t>
  </si>
  <si>
    <t>F - F-AFS - Automatic Feeding System</t>
  </si>
  <si>
    <t>F - DES - Silage Cutters</t>
  </si>
  <si>
    <t>F - PPD - Straw Blowers &amp; Feeders</t>
  </si>
  <si>
    <t>F - DP - Silage Feeders &amp; Straw Blowers</t>
  </si>
  <si>
    <t>F - DEL - Feed Delivery Boxes</t>
  </si>
  <si>
    <t>F - DERBALROND - Round Bale Distributors / Feeders</t>
  </si>
  <si>
    <t>F - DEROUL - Distributors / Feeders</t>
  </si>
  <si>
    <t>F - REC - Recycling Machines</t>
  </si>
  <si>
    <t>F - PC-CDE - Bedding &amp; 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</si>
</sst>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- &quot;@"/>
    <numFmt numFmtId="165" formatCode="&quot;+ &quot;@"/>
    <numFmt numFmtId="166" formatCode="0&quot; &quot;%"/>
    <numFmt numFmtId="167" formatCode="0.0&quot; &quot;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C00000"/>
      <name val="Adobe Heiti Std R"/>
      <family val="2"/>
      <charset val="128"/>
    </font>
    <font>
      <b/>
      <i/>
      <sz val="9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0" applyFont="1"/>
    <xf numFmtId="3" fontId="3" fillId="0" borderId="0" xfId="0" applyNumberFormat="1" applyFo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8" borderId="0" xfId="0" applyFill="1"/>
    <xf numFmtId="0" fontId="0" fillId="9" borderId="0" xfId="0" applyFill="1" applyBorder="1"/>
    <xf numFmtId="0" fontId="1" fillId="8" borderId="0" xfId="0" applyFont="1" applyFill="1"/>
    <xf numFmtId="0" fontId="6" fillId="8" borderId="0" xfId="0" applyFont="1" applyFill="1"/>
    <xf numFmtId="0" fontId="0" fillId="10" borderId="0" xfId="0" applyFill="1"/>
    <xf numFmtId="0" fontId="0" fillId="0" borderId="0" xfId="0" applyFill="1"/>
    <xf numFmtId="0" fontId="0" fillId="0" borderId="0" xfId="0" applyFill="1" applyBorder="1"/>
    <xf numFmtId="0" fontId="2" fillId="4" borderId="4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left" vertical="center" wrapText="1"/>
    </xf>
    <xf numFmtId="0" fontId="0" fillId="2" borderId="1" xfId="0" applyFill="1" applyBorder="1"/>
    <xf numFmtId="3" fontId="4" fillId="2" borderId="1" xfId="0" applyNumberFormat="1" applyFont="1" applyFill="1" applyBorder="1"/>
    <xf numFmtId="0" fontId="0" fillId="3" borderId="1" xfId="0" applyFill="1" applyBorder="1"/>
    <xf numFmtId="3" fontId="4" fillId="3" borderId="1" xfId="0" applyNumberFormat="1" applyFont="1" applyFill="1" applyBorder="1"/>
    <xf numFmtId="0" fontId="0" fillId="5" borderId="1" xfId="0" applyFill="1" applyBorder="1"/>
    <xf numFmtId="3" fontId="4" fillId="5" borderId="1" xfId="0" applyNumberFormat="1" applyFont="1" applyFill="1" applyBorder="1"/>
    <xf numFmtId="0" fontId="0" fillId="6" borderId="1" xfId="0" applyFill="1" applyBorder="1"/>
    <xf numFmtId="3" fontId="4" fillId="6" borderId="1" xfId="0" applyNumberFormat="1" applyFont="1" applyFill="1" applyBorder="1"/>
    <xf numFmtId="0" fontId="0" fillId="7" borderId="1" xfId="0" applyFill="1" applyBorder="1"/>
    <xf numFmtId="3" fontId="4" fillId="7" borderId="1" xfId="0" applyNumberFormat="1" applyFont="1" applyFill="1" applyBorder="1"/>
    <xf numFmtId="3" fontId="4" fillId="2" borderId="2" xfId="0" applyNumberFormat="1" applyFont="1" applyFill="1" applyBorder="1"/>
    <xf numFmtId="3" fontId="4" fillId="3" borderId="2" xfId="0" applyNumberFormat="1" applyFont="1" applyFill="1" applyBorder="1"/>
    <xf numFmtId="3" fontId="4" fillId="5" borderId="2" xfId="0" applyNumberFormat="1" applyFont="1" applyFill="1" applyBorder="1"/>
    <xf numFmtId="3" fontId="4" fillId="6" borderId="2" xfId="0" applyNumberFormat="1" applyFont="1" applyFill="1" applyBorder="1"/>
    <xf numFmtId="3" fontId="4" fillId="7" borderId="2" xfId="0" applyNumberFormat="1" applyFont="1" applyFill="1" applyBorder="1"/>
    <xf numFmtId="3" fontId="4" fillId="2" borderId="3" xfId="0" applyNumberFormat="1" applyFont="1" applyFill="1" applyBorder="1"/>
    <xf numFmtId="3" fontId="4" fillId="3" borderId="3" xfId="0" applyNumberFormat="1" applyFont="1" applyFill="1" applyBorder="1"/>
    <xf numFmtId="3" fontId="4" fillId="5" borderId="3" xfId="0" applyNumberFormat="1" applyFont="1" applyFill="1" applyBorder="1"/>
    <xf numFmtId="3" fontId="4" fillId="6" borderId="3" xfId="0" applyNumberFormat="1" applyFont="1" applyFill="1" applyBorder="1"/>
    <xf numFmtId="3" fontId="4" fillId="7" borderId="3" xfId="0" applyNumberFormat="1" applyFont="1" applyFill="1" applyBorder="1"/>
    <xf numFmtId="166" fontId="5" fillId="2" borderId="10" xfId="0" applyNumberFormat="1" applyFont="1" applyFill="1" applyBorder="1"/>
    <xf numFmtId="166" fontId="5" fillId="3" borderId="10" xfId="0" applyNumberFormat="1" applyFont="1" applyFill="1" applyBorder="1"/>
    <xf numFmtId="166" fontId="5" fillId="5" borderId="10" xfId="0" applyNumberFormat="1" applyFont="1" applyFill="1" applyBorder="1"/>
    <xf numFmtId="166" fontId="5" fillId="6" borderId="10" xfId="0" applyNumberFormat="1" applyFont="1" applyFill="1" applyBorder="1"/>
    <xf numFmtId="166" fontId="5" fillId="7" borderId="10" xfId="0" applyNumberFormat="1" applyFont="1" applyFill="1" applyBorder="1"/>
    <xf numFmtId="164" fontId="0" fillId="2" borderId="1" xfId="0" applyNumberFormat="1" applyFill="1" applyBorder="1" applyAlignment="1"/>
    <xf numFmtId="165" fontId="0" fillId="3" borderId="1" xfId="0" applyNumberFormat="1" applyFill="1" applyBorder="1" applyAlignment="1">
      <alignment horizontal="left" indent="1"/>
    </xf>
    <xf numFmtId="0" fontId="0" fillId="0" borderId="0" xfId="0" applyAlignment="1">
      <alignment horizontal="center"/>
    </xf>
    <xf numFmtId="3" fontId="3" fillId="2" borderId="1" xfId="0" applyNumberFormat="1" applyFont="1" applyFill="1" applyBorder="1"/>
    <xf numFmtId="3" fontId="3" fillId="2" borderId="2" xfId="0" applyNumberFormat="1" applyFont="1" applyFill="1" applyBorder="1"/>
    <xf numFmtId="9" fontId="9" fillId="2" borderId="10" xfId="1" applyFont="1" applyFill="1" applyBorder="1" applyAlignment="1">
      <alignment horizontal="center"/>
    </xf>
    <xf numFmtId="3" fontId="3" fillId="2" borderId="3" xfId="0" applyNumberFormat="1" applyFont="1" applyFill="1" applyBorder="1"/>
    <xf numFmtId="3" fontId="3" fillId="3" borderId="1" xfId="0" applyNumberFormat="1" applyFont="1" applyFill="1" applyBorder="1"/>
    <xf numFmtId="3" fontId="3" fillId="3" borderId="2" xfId="0" applyNumberFormat="1" applyFont="1" applyFill="1" applyBorder="1"/>
    <xf numFmtId="9" fontId="9" fillId="3" borderId="10" xfId="1" applyFont="1" applyFill="1" applyBorder="1" applyAlignment="1">
      <alignment horizontal="center"/>
    </xf>
    <xf numFmtId="3" fontId="3" fillId="3" borderId="3" xfId="0" applyNumberFormat="1" applyFont="1" applyFill="1" applyBorder="1"/>
    <xf numFmtId="3" fontId="3" fillId="5" borderId="1" xfId="0" applyNumberFormat="1" applyFont="1" applyFill="1" applyBorder="1"/>
    <xf numFmtId="3" fontId="3" fillId="5" borderId="2" xfId="0" applyNumberFormat="1" applyFont="1" applyFill="1" applyBorder="1"/>
    <xf numFmtId="9" fontId="9" fillId="5" borderId="10" xfId="1" applyFont="1" applyFill="1" applyBorder="1" applyAlignment="1">
      <alignment horizontal="center"/>
    </xf>
    <xf numFmtId="3" fontId="3" fillId="5" borderId="3" xfId="0" applyNumberFormat="1" applyFont="1" applyFill="1" applyBorder="1"/>
    <xf numFmtId="0" fontId="0" fillId="0" borderId="1" xfId="0" applyFill="1" applyBorder="1"/>
    <xf numFmtId="3" fontId="3" fillId="0" borderId="1" xfId="0" applyNumberFormat="1" applyFont="1" applyFill="1" applyBorder="1"/>
    <xf numFmtId="3" fontId="3" fillId="0" borderId="2" xfId="0" applyNumberFormat="1" applyFont="1" applyFill="1" applyBorder="1"/>
    <xf numFmtId="9" fontId="9" fillId="0" borderId="10" xfId="1" applyFont="1" applyFill="1" applyBorder="1" applyAlignment="1">
      <alignment horizontal="center"/>
    </xf>
    <xf numFmtId="3" fontId="3" fillId="0" borderId="3" xfId="0" applyNumberFormat="1" applyFont="1" applyFill="1" applyBorder="1"/>
    <xf numFmtId="3" fontId="3" fillId="7" borderId="1" xfId="0" applyNumberFormat="1" applyFont="1" applyFill="1" applyBorder="1"/>
    <xf numFmtId="3" fontId="3" fillId="7" borderId="2" xfId="0" applyNumberFormat="1" applyFont="1" applyFill="1" applyBorder="1"/>
    <xf numFmtId="9" fontId="9" fillId="7" borderId="10" xfId="1" applyFont="1" applyFill="1" applyBorder="1" applyAlignment="1">
      <alignment horizontal="center"/>
    </xf>
    <xf numFmtId="3" fontId="3" fillId="7" borderId="3" xfId="0" applyNumberFormat="1" applyFont="1" applyFill="1" applyBorder="1"/>
    <xf numFmtId="3" fontId="3" fillId="0" borderId="0" xfId="0" applyNumberFormat="1" applyFont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1" borderId="0" xfId="0" applyFill="1"/>
    <xf numFmtId="0" fontId="10" fillId="11" borderId="0" xfId="0" applyFont="1" applyFill="1"/>
    <xf numFmtId="0" fontId="0" fillId="11" borderId="0" xfId="0" applyFill="1" applyAlignment="1">
      <alignment horizontal="center"/>
    </xf>
    <xf numFmtId="0" fontId="1" fillId="11" borderId="0" xfId="0" applyFont="1" applyFill="1"/>
    <xf numFmtId="0" fontId="6" fillId="11" borderId="0" xfId="0" applyFont="1" applyFill="1"/>
    <xf numFmtId="0" fontId="0" fillId="0" borderId="0" xfId="0" applyAlignment="1">
      <alignment vertical="center"/>
    </xf>
    <xf numFmtId="0" fontId="0" fillId="11" borderId="0" xfId="0" applyFill="1" applyAlignment="1">
      <alignment vertic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9" fontId="3" fillId="2" borderId="0" xfId="1" applyFont="1" applyFill="1" applyAlignment="1">
      <alignment horizontal="center"/>
    </xf>
    <xf numFmtId="164" fontId="0" fillId="3" borderId="1" xfId="0" applyNumberFormat="1" applyFill="1" applyBorder="1" applyAlignment="1">
      <alignment horizontal="left" indent="1"/>
    </xf>
    <xf numFmtId="165" fontId="0" fillId="5" borderId="1" xfId="0" applyNumberFormat="1" applyFill="1" applyBorder="1" applyAlignment="1">
      <alignment horizontal="left" indent="2"/>
    </xf>
    <xf numFmtId="164" fontId="0" fillId="5" borderId="1" xfId="0" applyNumberFormat="1" applyFill="1" applyBorder="1" applyAlignment="1">
      <alignment horizontal="left" indent="2"/>
    </xf>
    <xf numFmtId="0" fontId="0" fillId="2" borderId="2" xfId="0" applyFill="1" applyBorder="1"/>
    <xf numFmtId="3" fontId="4" fillId="2" borderId="11" xfId="0" applyNumberFormat="1" applyFont="1" applyFill="1" applyBorder="1"/>
    <xf numFmtId="3" fontId="4" fillId="2" borderId="12" xfId="0" applyNumberFormat="1" applyFont="1" applyFill="1" applyBorder="1"/>
    <xf numFmtId="3" fontId="4" fillId="2" borderId="13" xfId="0" applyNumberFormat="1" applyFont="1" applyFill="1" applyBorder="1"/>
    <xf numFmtId="3" fontId="4" fillId="2" borderId="17" xfId="0" applyNumberFormat="1" applyFont="1" applyFill="1" applyBorder="1"/>
    <xf numFmtId="167" fontId="5" fillId="2" borderId="10" xfId="0" applyNumberFormat="1" applyFont="1" applyFill="1" applyBorder="1"/>
    <xf numFmtId="167" fontId="5" fillId="2" borderId="7" xfId="0" applyNumberFormat="1" applyFont="1" applyFill="1" applyBorder="1"/>
    <xf numFmtId="0" fontId="0" fillId="3" borderId="2" xfId="0" applyFill="1" applyBorder="1"/>
    <xf numFmtId="3" fontId="4" fillId="3" borderId="18" xfId="0" applyNumberFormat="1" applyFont="1" applyFill="1" applyBorder="1"/>
    <xf numFmtId="3" fontId="4" fillId="3" borderId="19" xfId="0" applyNumberFormat="1" applyFont="1" applyFill="1" applyBorder="1"/>
    <xf numFmtId="167" fontId="5" fillId="3" borderId="10" xfId="0" applyNumberFormat="1" applyFont="1" applyFill="1" applyBorder="1"/>
    <xf numFmtId="167" fontId="5" fillId="3" borderId="7" xfId="0" applyNumberFormat="1" applyFont="1" applyFill="1" applyBorder="1"/>
    <xf numFmtId="0" fontId="0" fillId="5" borderId="2" xfId="0" applyFill="1" applyBorder="1"/>
    <xf numFmtId="3" fontId="4" fillId="5" borderId="18" xfId="0" applyNumberFormat="1" applyFont="1" applyFill="1" applyBorder="1"/>
    <xf numFmtId="3" fontId="4" fillId="5" borderId="19" xfId="0" applyNumberFormat="1" applyFont="1" applyFill="1" applyBorder="1"/>
    <xf numFmtId="167" fontId="5" fillId="5" borderId="10" xfId="0" applyNumberFormat="1" applyFont="1" applyFill="1" applyBorder="1"/>
    <xf numFmtId="167" fontId="5" fillId="5" borderId="7" xfId="0" applyNumberFormat="1" applyFont="1" applyFill="1" applyBorder="1"/>
    <xf numFmtId="0" fontId="0" fillId="6" borderId="2" xfId="0" applyFill="1" applyBorder="1"/>
    <xf numFmtId="3" fontId="4" fillId="6" borderId="18" xfId="0" applyNumberFormat="1" applyFont="1" applyFill="1" applyBorder="1"/>
    <xf numFmtId="3" fontId="4" fillId="6" borderId="19" xfId="0" applyNumberFormat="1" applyFont="1" applyFill="1" applyBorder="1"/>
    <xf numFmtId="167" fontId="5" fillId="6" borderId="10" xfId="0" applyNumberFormat="1" applyFont="1" applyFill="1" applyBorder="1"/>
    <xf numFmtId="167" fontId="5" fillId="6" borderId="7" xfId="0" applyNumberFormat="1" applyFont="1" applyFill="1" applyBorder="1"/>
    <xf numFmtId="0" fontId="0" fillId="7" borderId="2" xfId="0" applyFill="1" applyBorder="1"/>
    <xf numFmtId="3" fontId="4" fillId="7" borderId="14" xfId="0" applyNumberFormat="1" applyFont="1" applyFill="1" applyBorder="1"/>
    <xf numFmtId="3" fontId="4" fillId="7" borderId="15" xfId="0" applyNumberFormat="1" applyFont="1" applyFill="1" applyBorder="1"/>
    <xf numFmtId="3" fontId="4" fillId="7" borderId="16" xfId="0" applyNumberFormat="1" applyFont="1" applyFill="1" applyBorder="1"/>
    <xf numFmtId="3" fontId="4" fillId="7" borderId="20" xfId="0" applyNumberFormat="1" applyFont="1" applyFill="1" applyBorder="1"/>
    <xf numFmtId="167" fontId="5" fillId="7" borderId="10" xfId="0" applyNumberFormat="1" applyFont="1" applyFill="1" applyBorder="1"/>
    <xf numFmtId="167" fontId="5" fillId="7" borderId="7" xfId="0" applyNumberFormat="1" applyFont="1" applyFill="1" applyBorder="1"/>
    <xf numFmtId="4" fontId="3" fillId="0" borderId="0" xfId="0" applyNumberFormat="1" applyFont="1"/>
    <xf numFmtId="0" fontId="8" fillId="11" borderId="0" xfId="0" applyFont="1" applyFill="1" applyAlignment="1">
      <alignment vertical="center"/>
    </xf>
    <xf numFmtId="0" fontId="2" fillId="12" borderId="33" xfId="0" applyFont="1" applyFill="1" applyBorder="1" applyAlignment="1">
      <alignment horizontal="center"/>
    </xf>
    <xf numFmtId="0" fontId="2" fillId="12" borderId="34" xfId="0" applyFont="1" applyFill="1" applyBorder="1" applyAlignment="1">
      <alignment horizontal="center"/>
    </xf>
    <xf numFmtId="0" fontId="2" fillId="12" borderId="35" xfId="0" applyFont="1" applyFill="1" applyBorder="1" applyAlignment="1">
      <alignment horizontal="center"/>
    </xf>
    <xf numFmtId="0" fontId="2" fillId="12" borderId="36" xfId="0" applyFont="1" applyFill="1" applyBorder="1" applyAlignment="1">
      <alignment horizontal="center"/>
    </xf>
    <xf numFmtId="0" fontId="2" fillId="12" borderId="37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2" fillId="12" borderId="4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167" fontId="5" fillId="2" borderId="4" xfId="0" applyNumberFormat="1" applyFont="1" applyFill="1" applyBorder="1"/>
    <xf numFmtId="165" fontId="0" fillId="3" borderId="2" xfId="0" applyNumberFormat="1" applyFill="1" applyBorder="1" applyAlignment="1">
      <alignment horizontal="left" indent="1"/>
    </xf>
    <xf numFmtId="9" fontId="3" fillId="2" borderId="41" xfId="1" applyFont="1" applyFill="1" applyBorder="1"/>
    <xf numFmtId="9" fontId="3" fillId="2" borderId="42" xfId="1" applyFont="1" applyFill="1" applyBorder="1"/>
    <xf numFmtId="9" fontId="3" fillId="3" borderId="41" xfId="1" applyFont="1" applyFill="1" applyBorder="1"/>
    <xf numFmtId="9" fontId="3" fillId="3" borderId="42" xfId="1" applyFont="1" applyFill="1" applyBorder="1"/>
    <xf numFmtId="9" fontId="3" fillId="5" borderId="41" xfId="1" applyFont="1" applyFill="1" applyBorder="1"/>
    <xf numFmtId="9" fontId="3" fillId="5" borderId="42" xfId="1" applyFont="1" applyFill="1" applyBorder="1"/>
    <xf numFmtId="3" fontId="3" fillId="6" borderId="1" xfId="0" applyNumberFormat="1" applyFont="1" applyFill="1" applyBorder="1"/>
    <xf numFmtId="3" fontId="3" fillId="6" borderId="2" xfId="0" applyNumberFormat="1" applyFont="1" applyFill="1" applyBorder="1"/>
    <xf numFmtId="9" fontId="3" fillId="6" borderId="41" xfId="1" applyFont="1" applyFill="1" applyBorder="1"/>
    <xf numFmtId="9" fontId="3" fillId="6" borderId="42" xfId="1" applyFont="1" applyFill="1" applyBorder="1"/>
    <xf numFmtId="3" fontId="3" fillId="6" borderId="3" xfId="0" applyNumberFormat="1" applyFont="1" applyFill="1" applyBorder="1"/>
    <xf numFmtId="9" fontId="3" fillId="7" borderId="41" xfId="1" applyFont="1" applyFill="1" applyBorder="1"/>
    <xf numFmtId="9" fontId="3" fillId="7" borderId="42" xfId="1" applyFont="1" applyFill="1" applyBorder="1"/>
    <xf numFmtId="0" fontId="10" fillId="8" borderId="0" xfId="0" applyFont="1" applyFill="1"/>
    <xf numFmtId="0" fontId="0" fillId="8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4" borderId="16" xfId="0" applyFont="1" applyFill="1" applyBorder="1" applyAlignment="1">
      <alignment horizontal="center"/>
    </xf>
    <xf numFmtId="9" fontId="3" fillId="2" borderId="0" xfId="1" applyFont="1" applyFill="1"/>
    <xf numFmtId="165" fontId="0" fillId="6" borderId="1" xfId="0" applyNumberFormat="1" applyFill="1" applyBorder="1" applyAlignment="1">
      <alignment horizontal="left" indent="3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12" borderId="25" xfId="0" applyFont="1" applyFill="1" applyBorder="1" applyAlignment="1">
      <alignment horizontal="center" vertical="center" wrapText="1"/>
    </xf>
    <xf numFmtId="0" fontId="2" fillId="12" borderId="26" xfId="0" applyFont="1" applyFill="1" applyBorder="1" applyAlignment="1">
      <alignment horizontal="center" vertical="center" wrapText="1"/>
    </xf>
    <xf numFmtId="0" fontId="2" fillId="12" borderId="31" xfId="0" applyFont="1" applyFill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center" vertical="center" wrapText="1"/>
    </xf>
    <xf numFmtId="0" fontId="2" fillId="12" borderId="28" xfId="0" applyFont="1" applyFill="1" applyBorder="1" applyAlignment="1">
      <alignment horizontal="center" wrapText="1"/>
    </xf>
    <xf numFmtId="0" fontId="2" fillId="12" borderId="29" xfId="0" applyFont="1" applyFill="1" applyBorder="1" applyAlignment="1">
      <alignment horizontal="center" wrapText="1"/>
    </xf>
    <xf numFmtId="0" fontId="2" fillId="12" borderId="30" xfId="0" applyFont="1" applyFill="1" applyBorder="1" applyAlignment="1">
      <alignment horizontal="center" wrapText="1"/>
    </xf>
    <xf numFmtId="0" fontId="2" fillId="12" borderId="6" xfId="0" applyFont="1" applyFill="1" applyBorder="1" applyAlignment="1">
      <alignment horizontal="center" wrapText="1"/>
    </xf>
    <xf numFmtId="0" fontId="2" fillId="12" borderId="21" xfId="0" applyFont="1" applyFill="1" applyBorder="1" applyAlignment="1">
      <alignment horizontal="center" wrapText="1"/>
    </xf>
    <xf numFmtId="0" fontId="2" fillId="12" borderId="22" xfId="0" applyFont="1" applyFill="1" applyBorder="1" applyAlignment="1">
      <alignment horizontal="center" wrapText="1"/>
    </xf>
    <xf numFmtId="0" fontId="2" fillId="12" borderId="23" xfId="0" applyFont="1" applyFill="1" applyBorder="1" applyAlignment="1">
      <alignment horizontal="center" wrapText="1"/>
    </xf>
    <xf numFmtId="0" fontId="2" fillId="12" borderId="24" xfId="0" applyFont="1" applyFill="1" applyBorder="1" applyAlignment="1">
      <alignment horizontal="center" wrapText="1"/>
    </xf>
    <xf numFmtId="0" fontId="2" fillId="12" borderId="7" xfId="0" applyFont="1" applyFill="1" applyBorder="1" applyAlignment="1">
      <alignment horizontal="center" wrapText="1"/>
    </xf>
    <xf numFmtId="0" fontId="2" fillId="12" borderId="27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360"/>
  <ax:ocxPr ax:name="_ExtentY" ax:value="2090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175261</xdr:rowOff>
    </xdr:from>
    <xdr:to>
      <xdr:col>11</xdr:col>
      <xdr:colOff>110491</xdr:colOff>
      <xdr:row>14</xdr:row>
      <xdr:rowOff>180747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38301"/>
          <a:ext cx="14016991" cy="10951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</xdr:row>
          <xdr:rowOff>142875</xdr:rowOff>
        </xdr:from>
        <xdr:to>
          <xdr:col>6</xdr:col>
          <xdr:colOff>381000</xdr:colOff>
          <xdr:row>18</xdr:row>
          <xdr:rowOff>485775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1132184</xdr:colOff>
      <xdr:row>12</xdr:row>
      <xdr:rowOff>161365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49310" cy="7100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628650</xdr:colOff>
          <xdr:row>16</xdr:row>
          <xdr:rowOff>58392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176875</xdr:rowOff>
    </xdr:from>
    <xdr:to>
      <xdr:col>13</xdr:col>
      <xdr:colOff>58420</xdr:colOff>
      <xdr:row>16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00120" cy="12801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6</xdr:col>
          <xdr:colOff>276225</xdr:colOff>
          <xdr:row>23</xdr:row>
          <xdr:rowOff>28575</xdr:rowOff>
        </xdr:to>
        <xdr:sp macro="" textlink="">
          <xdr:nvSpPr>
            <xdr:cNvPr id="8193" name="TIButton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15</xdr:col>
      <xdr:colOff>220981</xdr:colOff>
      <xdr:row>20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69041" cy="91336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23</xdr:row>
          <xdr:rowOff>0</xdr:rowOff>
        </xdr:from>
        <xdr:to>
          <xdr:col>14</xdr:col>
          <xdr:colOff>152400</xdr:colOff>
          <xdr:row>25</xdr:row>
          <xdr:rowOff>0</xdr:rowOff>
        </xdr:to>
        <xdr:sp macro="" textlink="">
          <xdr:nvSpPr>
            <xdr:cNvPr id="10241" name="TIButton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T180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31" sqref="B31"/>
      <selection pane="bottomRight" activeCell="C20" sqref="C20"/>
    </sheetView>
  </sheetViews>
  <sheetFormatPr defaultColWidth="0" defaultRowHeight="15" zeroHeight="1"/>
  <cols>
    <col min="1" max="1" width="18.7109375" hidden="1" customWidth="1"/>
    <col min="2" max="2" width="69.42578125" customWidth="1"/>
    <col min="3" max="3" width="10.7109375" customWidth="1"/>
    <col min="4" max="4" width="20.7109375" customWidth="1"/>
    <col min="5" max="5" width="13.7109375" customWidth="1"/>
    <col min="6" max="6" width="10.7109375" customWidth="1"/>
    <col min="7" max="7" width="20.7109375" customWidth="1"/>
    <col min="8" max="9" width="12.7109375" customWidth="1"/>
    <col min="10" max="10" width="10.7109375" customWidth="1"/>
    <col min="11" max="11" width="20.7109375" customWidth="1"/>
    <col min="12" max="13" width="12.7109375" customWidth="1"/>
    <col min="14" max="14" width="10.7109375" customWidth="1"/>
    <col min="15" max="15" width="20.7109375" customWidth="1"/>
    <col min="16" max="17" width="12.7109375" customWidth="1"/>
    <col min="18" max="18" width="11.5703125" customWidth="1"/>
    <col min="19" max="20" width="11.5703125" style="12" hidden="1" customWidth="1"/>
    <col min="21" max="16384" width="11.5703125" hidden="1"/>
  </cols>
  <sheetData>
    <row r="1" spans="1:20" hidden="1">
      <c r="A1" t="s">
        <v>38</v>
      </c>
      <c r="R1" s="7"/>
    </row>
    <row r="2" spans="1:20" hidden="1">
      <c r="A2">
        <f>0</f>
        <v>0</v>
      </c>
      <c r="B2" s="16"/>
      <c r="C2" s="17"/>
      <c r="D2" s="26"/>
      <c r="E2" s="36"/>
      <c r="F2" s="31"/>
      <c r="G2" s="17"/>
      <c r="H2" s="36"/>
      <c r="I2" s="36"/>
      <c r="J2" s="17"/>
      <c r="K2" s="17"/>
      <c r="L2" s="36"/>
      <c r="M2" s="36"/>
      <c r="N2" s="17"/>
      <c r="O2" s="17"/>
      <c r="P2" s="36"/>
      <c r="Q2" s="36"/>
      <c r="R2" s="7"/>
    </row>
    <row r="3" spans="1:20" hidden="1">
      <c r="A3">
        <f>1</f>
        <v>1</v>
      </c>
      <c r="B3" s="18"/>
      <c r="C3" s="19"/>
      <c r="D3" s="27"/>
      <c r="E3" s="37"/>
      <c r="F3" s="32"/>
      <c r="G3" s="19"/>
      <c r="H3" s="37"/>
      <c r="I3" s="37"/>
      <c r="J3" s="19"/>
      <c r="K3" s="19"/>
      <c r="L3" s="37"/>
      <c r="M3" s="37"/>
      <c r="N3" s="19"/>
      <c r="O3" s="19"/>
      <c r="P3" s="37"/>
      <c r="Q3" s="37"/>
      <c r="R3" s="7"/>
    </row>
    <row r="4" spans="1:20" hidden="1">
      <c r="A4">
        <f>2</f>
        <v>2</v>
      </c>
      <c r="B4" s="20"/>
      <c r="C4" s="21"/>
      <c r="D4" s="28"/>
      <c r="E4" s="38"/>
      <c r="F4" s="33"/>
      <c r="G4" s="21"/>
      <c r="H4" s="38"/>
      <c r="I4" s="38"/>
      <c r="J4" s="21"/>
      <c r="K4" s="21"/>
      <c r="L4" s="38"/>
      <c r="M4" s="38"/>
      <c r="N4" s="21"/>
      <c r="O4" s="21"/>
      <c r="P4" s="38"/>
      <c r="Q4" s="38"/>
      <c r="R4" s="7"/>
    </row>
    <row r="5" spans="1:20" hidden="1">
      <c r="A5">
        <f>3</f>
        <v>3</v>
      </c>
      <c r="B5" s="22"/>
      <c r="C5" s="23"/>
      <c r="D5" s="29"/>
      <c r="E5" s="39"/>
      <c r="F5" s="34"/>
      <c r="G5" s="23"/>
      <c r="H5" s="39"/>
      <c r="I5" s="39"/>
      <c r="J5" s="23"/>
      <c r="K5" s="23"/>
      <c r="L5" s="39"/>
      <c r="M5" s="39"/>
      <c r="N5" s="23"/>
      <c r="O5" s="23"/>
      <c r="P5" s="39"/>
      <c r="Q5" s="39"/>
      <c r="R5" s="7"/>
    </row>
    <row r="6" spans="1:20" hidden="1">
      <c r="A6" t="s">
        <v>36</v>
      </c>
      <c r="B6" s="24"/>
      <c r="C6" s="25"/>
      <c r="D6" s="30"/>
      <c r="E6" s="40"/>
      <c r="F6" s="35"/>
      <c r="G6" s="25"/>
      <c r="H6" s="40"/>
      <c r="I6" s="40"/>
      <c r="J6" s="25"/>
      <c r="K6" s="25"/>
      <c r="L6" s="40"/>
      <c r="M6" s="40"/>
      <c r="N6" s="25"/>
      <c r="O6" s="25"/>
      <c r="P6" s="40"/>
      <c r="Q6" s="40"/>
      <c r="R6" s="7"/>
    </row>
    <row r="7" spans="1:20" hidden="1">
      <c r="A7" t="s">
        <v>37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7"/>
    </row>
    <row r="8" spans="1:20" hidden="1">
      <c r="A8" t="s">
        <v>39</v>
      </c>
      <c r="R8" s="7"/>
    </row>
    <row r="9" spans="1:20" hidden="1">
      <c r="B9" t="str">
        <f ca="1">_xll.TM1RPTVIEW("CXMD:FTM_DATA_MARGIN:ARPT1", 1, _xll.TM1RPTTITLE("CXMD:Month",$C$20), _xll.TM1RPTTITLE("CXMD:DIM_Origin_Company",$C$21), _xll.TM1RPTTITLE("CXMD:DIM_Allocation",$C$22), _xll.TM1RPTTITLE("CXMD:DIM_Customer_Supplier",$C$18),TM1RPTFMTRNG,TM1RPTFMTIDCOL)</f>
        <v>CXMD:FTM_DATA_MARGIN:ARPT1</v>
      </c>
      <c r="R9" s="7"/>
    </row>
    <row r="10" spans="1:2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3"/>
      <c r="T10" s="13"/>
    </row>
    <row r="11" spans="1:2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3"/>
      <c r="T11" s="13"/>
    </row>
    <row r="12" spans="1:2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3"/>
      <c r="T12" s="13"/>
    </row>
    <row r="13" spans="1:2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3"/>
      <c r="T13" s="13"/>
    </row>
    <row r="14" spans="1:2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3"/>
      <c r="T14" s="13"/>
    </row>
    <row r="15" spans="1:2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3"/>
      <c r="T15" s="13"/>
    </row>
    <row r="16" spans="1:2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3"/>
      <c r="T16" s="13"/>
    </row>
    <row r="17" spans="1:18" hidden="1">
      <c r="R17" s="7"/>
    </row>
    <row r="18" spans="1:18" hidden="1">
      <c r="B18" s="1" t="s">
        <v>0</v>
      </c>
      <c r="C18" t="str">
        <f ca="1">_xll.SUBNM("CXMD:DIM_Customer_Supplier","","Others")</f>
        <v>Others</v>
      </c>
      <c r="R18" s="7"/>
    </row>
    <row r="19" spans="1:18" ht="39.75" customHeight="1">
      <c r="A19" s="7"/>
      <c r="B19" s="15" t="s">
        <v>104</v>
      </c>
      <c r="C19" s="7"/>
      <c r="D19" s="7"/>
      <c r="E19" s="7"/>
      <c r="F19" s="1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>
      <c r="B20" s="9" t="s">
        <v>2</v>
      </c>
      <c r="C20" s="10" t="str">
        <f ca="1">_xll.SUBNM("CXMD:Month","","Total_Month")</f>
        <v>Total_Month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>
      <c r="B21" s="9" t="s">
        <v>3</v>
      </c>
      <c r="C21" s="10" t="str">
        <f ca="1">_xll.SUBNM("CXMD:DIM_Origin_Company","","KUHN GERMANY","Name EN")</f>
        <v>KUHN GERMANY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idden="1">
      <c r="B22" s="9" t="s">
        <v>4</v>
      </c>
      <c r="C22" s="7" t="str">
        <f ca="1">CONCATENATE(_xll.DBRA("CXMD:DIM_Origin_Company",C21,"Origin Company"),"_SALES")</f>
        <v>D_SALES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8.1" customHeight="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idden="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28.9" customHeight="1">
      <c r="B25" s="7"/>
      <c r="C25" s="144" t="str">
        <f ca="1">_xll.SUBNM("CXMD:Actuality","Actuality","AC2018","Description EN")</f>
        <v>AC2018</v>
      </c>
      <c r="D25" s="145"/>
      <c r="E25" s="142" t="s">
        <v>42</v>
      </c>
      <c r="F25" s="144" t="str">
        <f ca="1">_xll.SUBNM("CXMD:Actuality","","BU2019draft","Description EN")</f>
        <v>BU2019draft</v>
      </c>
      <c r="G25" s="146"/>
      <c r="H25" s="14" t="s">
        <v>40</v>
      </c>
      <c r="I25" s="142" t="s">
        <v>42</v>
      </c>
      <c r="J25" s="147" t="str">
        <f ca="1">_xll.SUBNM("CXMD:Actuality","","FC3_2019","Description EN")</f>
        <v>FC3_2019</v>
      </c>
      <c r="K25" s="146"/>
      <c r="L25" s="14" t="s">
        <v>40</v>
      </c>
      <c r="M25" s="142" t="s">
        <v>42</v>
      </c>
      <c r="N25" s="147" t="str">
        <f ca="1">_xll.SUBNM("CXMD:Actuality","","BU2020Draft","Description EN")</f>
        <v>BU2020Draft</v>
      </c>
      <c r="O25" s="146"/>
      <c r="P25" s="14" t="s">
        <v>40</v>
      </c>
      <c r="Q25" s="142" t="s">
        <v>42</v>
      </c>
      <c r="R25" s="7"/>
    </row>
    <row r="26" spans="1:18">
      <c r="B26" s="7"/>
      <c r="C26" s="3" t="s">
        <v>5</v>
      </c>
      <c r="D26" s="3" t="s">
        <v>6</v>
      </c>
      <c r="E26" s="143"/>
      <c r="F26" s="3" t="s">
        <v>5</v>
      </c>
      <c r="G26" s="4" t="s">
        <v>6</v>
      </c>
      <c r="H26" s="6" t="s">
        <v>41</v>
      </c>
      <c r="I26" s="143"/>
      <c r="J26" s="5" t="s">
        <v>5</v>
      </c>
      <c r="K26" s="4" t="s">
        <v>6</v>
      </c>
      <c r="L26" s="6" t="s">
        <v>41</v>
      </c>
      <c r="M26" s="143"/>
      <c r="N26" s="5" t="s">
        <v>5</v>
      </c>
      <c r="O26" s="4" t="s">
        <v>6</v>
      </c>
      <c r="P26" s="6" t="s">
        <v>41</v>
      </c>
      <c r="Q26" s="143"/>
      <c r="R26" s="7"/>
    </row>
    <row r="27" spans="1:18">
      <c r="A27" t="str">
        <f ca="1">IF(_xll.TM1RPTELISCONSOLIDATED($B$27,$B27),IF(_xll.TM1RPTELLEV($B$27,$B27)&lt;=3,_xll.TM1RPTELLEV($B$27,$B27),"D"),"N")</f>
        <v>N</v>
      </c>
      <c r="B27" s="41" t="str">
        <f ca="1">_xll.TM1RPTROW($B$9,"CXMD:DIM_Configuration","Product_Line","","Description EN",0)</f>
        <v/>
      </c>
      <c r="C27" s="17" t="str">
        <f ca="1">_xll.DBRW($B$9,$C$20,C$25,$C$21,$C$22,$C$18,$B27,C$26)</f>
        <v/>
      </c>
      <c r="D27" s="26" t="str">
        <f ca="1">_xll.DBRW($B$9,$C$20,D$25,$C$21,$C$22,$C$18,$B27,D$26)</f>
        <v/>
      </c>
      <c r="E27" s="36" t="e">
        <f ca="1">D27/$D$27</f>
        <v>#VALUE!</v>
      </c>
      <c r="F27" s="31" t="str">
        <f ca="1">_xll.DBRW($B$9,$C$20,F$25,$C$21,$C$22,$C$18,$B27,F$26)</f>
        <v/>
      </c>
      <c r="G27" s="17" t="str">
        <f ca="1">_xll.DBRW($B$9,$C$20,F$25,$C$21,$C$22,$C$18,$B27,G$26)</f>
        <v/>
      </c>
      <c r="H27" s="36" t="e">
        <f ca="1">IF(D27&lt;&gt;0,(G27-D27)/D27,0)</f>
        <v>#VALUE!</v>
      </c>
      <c r="I27" s="36" t="e">
        <f ca="1">G27/$G$27</f>
        <v>#VALUE!</v>
      </c>
      <c r="J27" s="17" t="str">
        <f ca="1">_xll.DBRW($B$9,$C$20,J$25,$C$21,$C$22,$C$18,$B27,J$26)</f>
        <v/>
      </c>
      <c r="K27" s="17" t="str">
        <f ca="1">_xll.DBRW($B$9,$C$20,J$25,$C$21,$C$22,$C$18,$B27,K$26)</f>
        <v/>
      </c>
      <c r="L27" s="36" t="e">
        <f ca="1">IF(G27&lt;&gt;0,(K27-G27)/G27,0)</f>
        <v>#VALUE!</v>
      </c>
      <c r="M27" s="36" t="e">
        <f ca="1">K27/$K$27</f>
        <v>#VALUE!</v>
      </c>
      <c r="N27" s="17" t="str">
        <f ca="1">_xll.DBRW($B$9,$C$20,N$25,$C$21,$C$22,$C$18,$B27,N$26)</f>
        <v/>
      </c>
      <c r="O27" s="17" t="str">
        <f ca="1">_xll.DBRW($B$9,$C$20,N$25,$C$21,$C$22,$C$18,$B27,O$26)</f>
        <v/>
      </c>
      <c r="P27" s="36" t="e">
        <f ca="1">IF(K27&lt;&gt;0,(O27-K27)/K27,0)</f>
        <v>#VALUE!</v>
      </c>
      <c r="Q27" s="36" t="e">
        <f ca="1">O27/$O$27</f>
        <v>#VALUE!</v>
      </c>
      <c r="R27" s="7"/>
    </row>
    <row r="28" spans="1:18"/>
    <row r="29" spans="1:18" hidden="1"/>
    <row r="30" spans="1:18" hidden="1"/>
    <row r="31" spans="1:18" hidden="1"/>
    <row r="32" spans="1:18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</sheetData>
  <mergeCells count="8">
    <mergeCell ref="Q25:Q26"/>
    <mergeCell ref="C25:D25"/>
    <mergeCell ref="F25:G25"/>
    <mergeCell ref="J25:K25"/>
    <mergeCell ref="N25:O25"/>
    <mergeCell ref="E25:E26"/>
    <mergeCell ref="I25:I26"/>
    <mergeCell ref="M25:M26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247650</xdr:colOff>
                <xdr:row>18</xdr:row>
                <xdr:rowOff>142875</xdr:rowOff>
              </from>
              <to>
                <xdr:col>6</xdr:col>
                <xdr:colOff>381000</xdr:colOff>
                <xdr:row>18</xdr:row>
                <xdr:rowOff>485775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R624"/>
  <sheetViews>
    <sheetView showGridLines="0" topLeftCell="B10" zoomScale="115" zoomScaleNormal="115" workbookViewId="0">
      <selection activeCell="B9" sqref="B9"/>
    </sheetView>
  </sheetViews>
  <sheetFormatPr defaultColWidth="0" defaultRowHeight="15" zeroHeight="1"/>
  <cols>
    <col min="1" max="1" width="18.7109375" hidden="1" customWidth="1"/>
    <col min="2" max="2" width="56.28515625" customWidth="1"/>
    <col min="3" max="3" width="10.85546875" customWidth="1"/>
    <col min="4" max="4" width="20.7109375" customWidth="1"/>
    <col min="5" max="5" width="15.28515625" style="43" customWidth="1"/>
    <col min="6" max="6" width="10.85546875" customWidth="1"/>
    <col min="7" max="7" width="20.7109375" customWidth="1"/>
    <col min="8" max="8" width="8.7109375" style="43" customWidth="1"/>
    <col min="9" max="9" width="14.85546875" style="43" customWidth="1"/>
    <col min="10" max="10" width="10.85546875" customWidth="1"/>
    <col min="11" max="11" width="20.7109375" customWidth="1"/>
    <col min="12" max="12" width="8.7109375" style="43" customWidth="1"/>
    <col min="13" max="13" width="15.140625" style="43" customWidth="1"/>
    <col min="14" max="14" width="10.85546875" customWidth="1"/>
    <col min="15" max="15" width="20.7109375" customWidth="1"/>
    <col min="16" max="16" width="8.7109375" style="43" customWidth="1"/>
    <col min="17" max="17" width="15" style="43" customWidth="1"/>
    <col min="18" max="18" width="1" customWidth="1"/>
    <col min="19" max="16384" width="11.5703125" hidden="1"/>
  </cols>
  <sheetData>
    <row r="1" spans="1:17" hidden="1">
      <c r="A1" t="s">
        <v>38</v>
      </c>
    </row>
    <row r="2" spans="1:17" hidden="1">
      <c r="A2">
        <f>0</f>
        <v>0</v>
      </c>
      <c r="B2" s="16"/>
      <c r="C2" s="44"/>
      <c r="D2" s="45"/>
      <c r="E2" s="46"/>
      <c r="F2" s="47"/>
      <c r="G2" s="47"/>
      <c r="H2" s="46"/>
      <c r="I2" s="46"/>
      <c r="J2" s="44"/>
      <c r="K2" s="44"/>
      <c r="L2" s="46"/>
      <c r="M2" s="46"/>
      <c r="N2" s="44"/>
      <c r="O2" s="44"/>
      <c r="P2" s="46"/>
      <c r="Q2" s="46"/>
    </row>
    <row r="3" spans="1:17" hidden="1">
      <c r="A3">
        <f>1</f>
        <v>1</v>
      </c>
      <c r="B3" s="18"/>
      <c r="C3" s="48"/>
      <c r="D3" s="49"/>
      <c r="E3" s="50"/>
      <c r="F3" s="51"/>
      <c r="G3" s="51"/>
      <c r="H3" s="50"/>
      <c r="I3" s="50"/>
      <c r="J3" s="48"/>
      <c r="K3" s="48"/>
      <c r="L3" s="50"/>
      <c r="M3" s="50"/>
      <c r="N3" s="48"/>
      <c r="O3" s="48"/>
      <c r="P3" s="50"/>
      <c r="Q3" s="50"/>
    </row>
    <row r="4" spans="1:17" hidden="1">
      <c r="A4">
        <f>2</f>
        <v>2</v>
      </c>
      <c r="B4" s="20"/>
      <c r="C4" s="52"/>
      <c r="D4" s="53"/>
      <c r="E4" s="54"/>
      <c r="F4" s="55"/>
      <c r="G4" s="55"/>
      <c r="H4" s="54"/>
      <c r="I4" s="54"/>
      <c r="J4" s="52"/>
      <c r="K4" s="52"/>
      <c r="L4" s="54"/>
      <c r="M4" s="54"/>
      <c r="N4" s="52"/>
      <c r="O4" s="52"/>
      <c r="P4" s="54"/>
      <c r="Q4" s="54"/>
    </row>
    <row r="5" spans="1:17" hidden="1">
      <c r="A5">
        <f>3</f>
        <v>3</v>
      </c>
      <c r="B5" s="56"/>
      <c r="C5" s="57"/>
      <c r="D5" s="58"/>
      <c r="E5" s="59"/>
      <c r="F5" s="60"/>
      <c r="G5" s="60"/>
      <c r="H5" s="59"/>
      <c r="I5" s="59"/>
      <c r="J5" s="57"/>
      <c r="K5" s="57"/>
      <c r="L5" s="59"/>
      <c r="M5" s="59"/>
      <c r="N5" s="57"/>
      <c r="O5" s="57"/>
      <c r="P5" s="59"/>
      <c r="Q5" s="59"/>
    </row>
    <row r="6" spans="1:17" hidden="1">
      <c r="A6" t="s">
        <v>36</v>
      </c>
      <c r="B6" s="24"/>
      <c r="C6" s="61"/>
      <c r="D6" s="62"/>
      <c r="E6" s="63"/>
      <c r="F6" s="64"/>
      <c r="G6" s="64"/>
      <c r="H6" s="63"/>
      <c r="I6" s="63"/>
      <c r="J6" s="61"/>
      <c r="K6" s="61"/>
      <c r="L6" s="63"/>
      <c r="M6" s="63"/>
      <c r="N6" s="61"/>
      <c r="O6" s="61"/>
      <c r="P6" s="63"/>
      <c r="Q6" s="63"/>
    </row>
    <row r="7" spans="1:17" hidden="1">
      <c r="A7" t="s">
        <v>37</v>
      </c>
      <c r="C7" s="2"/>
      <c r="D7" s="2"/>
      <c r="E7" s="65"/>
      <c r="F7" s="2"/>
      <c r="G7" s="2"/>
      <c r="H7" s="65"/>
      <c r="I7" s="65"/>
      <c r="J7" s="2"/>
      <c r="K7" s="2"/>
      <c r="L7" s="65"/>
      <c r="M7" s="65"/>
      <c r="N7" s="2"/>
      <c r="O7" s="2"/>
      <c r="P7" s="65"/>
      <c r="Q7" s="65"/>
    </row>
    <row r="8" spans="1:17" hidden="1">
      <c r="A8" t="s">
        <v>39</v>
      </c>
    </row>
    <row r="9" spans="1:17" hidden="1">
      <c r="B9" t="str">
        <f ca="1">_xll.TM1RPTVIEW("CXMD:FTM_DATA_MARGIN:ARPT1", 1, _xll.TM1RPTTITLE("CXMD:Month",$C$16), _xll.TM1RPTTITLE("CXMD:DIM_Origin_Company",$C$17), _xll.TM1RPTTITLE("CXMD:DIM_Allocation",$C$18), _xll.TM1RPTTITLE("CXMD:DIM_Customer_Supplier",$C$15),TM1RPTFMTRNG,TM1RPTFMTIDCOL)</f>
        <v>CXMD:FTM_DATA_MARGIN:ARPT1</v>
      </c>
    </row>
    <row r="10" spans="1:17" s="66" customFormat="1">
      <c r="E10" s="67"/>
      <c r="H10" s="67"/>
      <c r="I10" s="67"/>
      <c r="L10" s="67"/>
      <c r="M10" s="67"/>
      <c r="P10" s="67"/>
      <c r="Q10" s="67"/>
    </row>
    <row r="11" spans="1:17" s="66" customFormat="1">
      <c r="E11" s="67"/>
      <c r="H11" s="67"/>
      <c r="I11" s="67"/>
      <c r="L11" s="67"/>
      <c r="M11" s="67"/>
      <c r="P11" s="67"/>
      <c r="Q11" s="67"/>
    </row>
    <row r="12" spans="1:17" s="66" customFormat="1">
      <c r="E12" s="67"/>
      <c r="H12" s="67"/>
      <c r="I12" s="67"/>
      <c r="L12" s="67"/>
      <c r="M12" s="67"/>
      <c r="P12" s="67"/>
      <c r="Q12" s="67"/>
    </row>
    <row r="13" spans="1:17" s="66" customFormat="1">
      <c r="E13" s="67"/>
      <c r="H13" s="67"/>
      <c r="I13" s="67"/>
      <c r="L13" s="67"/>
      <c r="M13" s="67"/>
      <c r="P13" s="67"/>
      <c r="Q13" s="67"/>
    </row>
    <row r="14" spans="1:17" s="68" customFormat="1" ht="25.15" customHeight="1">
      <c r="B14" s="69" t="s">
        <v>43</v>
      </c>
      <c r="E14" s="70"/>
      <c r="H14" s="70"/>
      <c r="I14" s="70"/>
      <c r="L14" s="70"/>
      <c r="M14" s="70"/>
      <c r="P14" s="70"/>
      <c r="Q14" s="70"/>
    </row>
    <row r="15" spans="1:17" s="68" customFormat="1" hidden="1">
      <c r="B15" s="71" t="s">
        <v>0</v>
      </c>
      <c r="C15" s="68" t="str">
        <f ca="1">_xll.SUBNM("CXMD:DIM_Customer_Supplier","","Others")</f>
        <v>Others</v>
      </c>
      <c r="E15" s="70"/>
      <c r="H15" s="70"/>
      <c r="I15" s="70"/>
      <c r="L15" s="70"/>
      <c r="M15" s="70"/>
      <c r="P15" s="70"/>
      <c r="Q15" s="70"/>
    </row>
    <row r="16" spans="1:17" s="68" customFormat="1" ht="15.75" thickBot="1">
      <c r="B16" s="71" t="s">
        <v>2</v>
      </c>
      <c r="C16" s="72" t="str">
        <f ca="1">_xll.SUBNM("CXMD:Month","","Total_Month")</f>
        <v>Total_Month</v>
      </c>
      <c r="E16" s="70"/>
      <c r="G16" s="70"/>
      <c r="H16" s="70"/>
      <c r="I16" s="70"/>
      <c r="L16" s="70"/>
      <c r="M16" s="70"/>
      <c r="P16" s="70"/>
      <c r="Q16" s="70"/>
    </row>
    <row r="17" spans="1:17" s="68" customFormat="1">
      <c r="B17" s="71" t="s">
        <v>3</v>
      </c>
      <c r="C17" s="72" t="str">
        <f ca="1">'Sales Analysis Summary'!C21</f>
        <v>KUHN GERMANY</v>
      </c>
      <c r="E17" s="70"/>
      <c r="H17" s="70"/>
      <c r="I17" s="70"/>
      <c r="L17" s="70"/>
      <c r="M17" s="70"/>
      <c r="P17" s="70"/>
      <c r="Q17" s="70"/>
    </row>
    <row r="18" spans="1:17" s="68" customFormat="1" hidden="1">
      <c r="B18" s="71" t="s">
        <v>4</v>
      </c>
      <c r="C18" s="68" t="str">
        <f ca="1">_xll.SUBNM("CXMD:DIM_Allocation","","Total Allocation","Allocation EN")</f>
        <v>Total Allocation</v>
      </c>
      <c r="E18" s="70"/>
      <c r="H18" s="70"/>
      <c r="I18" s="70"/>
      <c r="L18" s="70"/>
      <c r="M18" s="70"/>
      <c r="P18" s="70"/>
      <c r="Q18" s="70"/>
    </row>
    <row r="19" spans="1:17" s="68" customFormat="1" hidden="1">
      <c r="E19" s="70"/>
      <c r="H19" s="70"/>
      <c r="I19" s="70"/>
      <c r="L19" s="70"/>
      <c r="M19" s="70"/>
      <c r="P19" s="70"/>
      <c r="Q19" s="70"/>
    </row>
    <row r="20" spans="1:17" s="68" customFormat="1" ht="15.75" thickBot="1">
      <c r="E20" s="70"/>
      <c r="H20" s="70"/>
      <c r="I20" s="70"/>
      <c r="L20" s="70"/>
      <c r="M20" s="70"/>
      <c r="P20" s="70"/>
      <c r="Q20" s="70"/>
    </row>
    <row r="21" spans="1:17" s="73" customFormat="1" ht="28.9" customHeight="1">
      <c r="B21" s="74"/>
      <c r="C21" s="152" t="str">
        <f ca="1">'Sales Analysis Summary'!C25</f>
        <v>AC2018</v>
      </c>
      <c r="D21" s="148"/>
      <c r="E21" s="150" t="s">
        <v>44</v>
      </c>
      <c r="F21" s="152" t="str">
        <f ca="1">'Sales Analysis Summary'!F25</f>
        <v>BU2019draft</v>
      </c>
      <c r="G21" s="148"/>
      <c r="H21" s="148" t="s">
        <v>45</v>
      </c>
      <c r="I21" s="150" t="s">
        <v>44</v>
      </c>
      <c r="J21" s="152" t="str">
        <f ca="1">'Sales Analysis Summary'!J25</f>
        <v>FC3_2019</v>
      </c>
      <c r="K21" s="148"/>
      <c r="L21" s="148" t="s">
        <v>45</v>
      </c>
      <c r="M21" s="150" t="s">
        <v>44</v>
      </c>
      <c r="N21" s="152" t="str">
        <f ca="1">'Sales Analysis Summary'!N25</f>
        <v>BU2020Draft</v>
      </c>
      <c r="O21" s="148"/>
      <c r="P21" s="148" t="s">
        <v>45</v>
      </c>
      <c r="Q21" s="150" t="s">
        <v>44</v>
      </c>
    </row>
    <row r="22" spans="1:17" ht="15.75" thickBot="1">
      <c r="B22" s="68"/>
      <c r="C22" s="75" t="s">
        <v>5</v>
      </c>
      <c r="D22" s="76" t="s">
        <v>6</v>
      </c>
      <c r="E22" s="151"/>
      <c r="F22" s="75" t="s">
        <v>5</v>
      </c>
      <c r="G22" s="76" t="s">
        <v>6</v>
      </c>
      <c r="H22" s="149"/>
      <c r="I22" s="151"/>
      <c r="J22" s="75" t="s">
        <v>5</v>
      </c>
      <c r="K22" s="76" t="s">
        <v>6</v>
      </c>
      <c r="L22" s="149"/>
      <c r="M22" s="151"/>
      <c r="N22" s="75" t="s">
        <v>5</v>
      </c>
      <c r="O22" s="76" t="s">
        <v>6</v>
      </c>
      <c r="P22" s="149"/>
      <c r="Q22" s="151"/>
    </row>
    <row r="23" spans="1:17">
      <c r="A23" t="str">
        <f ca="1">IF(_xll.TM1RPTELISCONSOLIDATED($B$23,$B23),IF(_xll.TM1RPTELLEV($B$23,$B23)&lt;=3,_xll.TM1RPTELLEV($B$23,$B23),"D"),"N")</f>
        <v>N</v>
      </c>
      <c r="B23" s="41" t="str">
        <f ca="1">_xll.TM1RPTROW($B$9,"CXMD:DIM_Configuration","Product_Market_Shares_BUD_Meeting","","Description EN",0)</f>
        <v/>
      </c>
      <c r="C23" s="44" t="str">
        <f ca="1">_xll.DBRW($B$9,$C$16,C$21,$C$17,$C$18,$C$15,$B23,C$22)</f>
        <v/>
      </c>
      <c r="D23" s="45" t="str">
        <f ca="1">_xll.DBRW($B$9,$C$16,C$21,$C$17,$C$18,$C$15,$B23,D$22)</f>
        <v/>
      </c>
      <c r="E23" s="46" t="e">
        <f ca="1">D23/$D$23</f>
        <v>#VALUE!</v>
      </c>
      <c r="F23" s="47" t="str">
        <f ca="1">_xll.DBRW($B$9,$C$16,F$21,$C$17,$C$18,$C$15,$B23,F$22)</f>
        <v/>
      </c>
      <c r="G23" s="47" t="str">
        <f ca="1">_xll.DBRW($B$9,$C$16,F$21,$C$17,$C$18,$C$15,$B23,G$22)</f>
        <v/>
      </c>
      <c r="H23" s="46" t="e">
        <f ca="1">IF(D23&lt;&gt;0,(G23-D23)/D23,0)</f>
        <v>#VALUE!</v>
      </c>
      <c r="I23" s="46" t="e">
        <f ca="1">G23/$G$23</f>
        <v>#VALUE!</v>
      </c>
      <c r="J23" s="44" t="str">
        <f ca="1">_xll.DBRW($B$9,$C$16,J$21,$C$17,$C$18,$C$15,$B23,J$22)</f>
        <v/>
      </c>
      <c r="K23" s="44" t="str">
        <f ca="1">_xll.DBRW($B$9,$C$16,J$21,$C$17,$C$18,$C$15,$B23,K$22)</f>
        <v/>
      </c>
      <c r="L23" s="46" t="e">
        <f ca="1">IF(G23&lt;&gt;0,(K23-G23)/G23,0)</f>
        <v>#VALUE!</v>
      </c>
      <c r="M23" s="46" t="e">
        <f ca="1">K23/$K$23</f>
        <v>#VALUE!</v>
      </c>
      <c r="N23" s="44" t="str">
        <f ca="1">_xll.DBRW($B$9,$C$16,N$21,$C$17,$C$18,$C$15,$B23,N$22)</f>
        <v/>
      </c>
      <c r="O23" s="44" t="str">
        <f ca="1">_xll.DBRW($B$9,$C$16,N$21,$C$17,$C$18,$C$15,$B23,O$22)</f>
        <v/>
      </c>
      <c r="P23" s="77" t="e">
        <f ca="1">IF(K23&lt;&gt;0,(O23-K23)/K23,0)</f>
        <v>#VALUE!</v>
      </c>
      <c r="Q23" s="77" t="e">
        <f ca="1">O23/$K$23</f>
        <v>#VALUE!</v>
      </c>
    </row>
    <row r="24" spans="1:17"/>
    <row r="25" spans="1:17" hidden="1"/>
    <row r="26" spans="1:17" hidden="1"/>
    <row r="27" spans="1:17" hidden="1"/>
    <row r="28" spans="1:17" hidden="1"/>
    <row r="29" spans="1:17" hidden="1"/>
    <row r="30" spans="1:17" hidden="1"/>
    <row r="31" spans="1:17" hidden="1"/>
    <row r="32" spans="1:17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</sheetData>
  <mergeCells count="11">
    <mergeCell ref="J21:K21"/>
    <mergeCell ref="C21:D21"/>
    <mergeCell ref="E21:E22"/>
    <mergeCell ref="F21:G21"/>
    <mergeCell ref="H21:H22"/>
    <mergeCell ref="I21:I22"/>
    <mergeCell ref="L21:L22"/>
    <mergeCell ref="M21:M22"/>
    <mergeCell ref="N21:O21"/>
    <mergeCell ref="P21:P22"/>
    <mergeCell ref="Q21:Q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628650</xdr:colOff>
                <xdr:row>16</xdr:row>
                <xdr:rowOff>57150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:B162"/>
  <sheetViews>
    <sheetView topLeftCell="A20" workbookViewId="0"/>
  </sheetViews>
  <sheetFormatPr defaultColWidth="11.42578125" defaultRowHeight="15"/>
  <sheetData>
    <row r="23" spans="2:2">
      <c r="B23" t="s">
        <v>7</v>
      </c>
    </row>
    <row r="24" spans="2:2">
      <c r="B24" t="s">
        <v>8</v>
      </c>
    </row>
    <row r="25" spans="2:2">
      <c r="B25" t="s">
        <v>9</v>
      </c>
    </row>
    <row r="26" spans="2:2">
      <c r="B26" t="s">
        <v>105</v>
      </c>
    </row>
    <row r="27" spans="2:2">
      <c r="B27" t="s">
        <v>46</v>
      </c>
    </row>
    <row r="28" spans="2:2">
      <c r="B28" t="s">
        <v>47</v>
      </c>
    </row>
    <row r="29" spans="2:2">
      <c r="B29" t="s">
        <v>48</v>
      </c>
    </row>
    <row r="30" spans="2:2">
      <c r="B30" t="s">
        <v>10</v>
      </c>
    </row>
    <row r="31" spans="2:2">
      <c r="B31" t="s">
        <v>106</v>
      </c>
    </row>
    <row r="32" spans="2:2">
      <c r="B32" t="s">
        <v>49</v>
      </c>
    </row>
    <row r="33" spans="2:2">
      <c r="B33" t="s">
        <v>107</v>
      </c>
    </row>
    <row r="34" spans="2:2">
      <c r="B34" t="s">
        <v>108</v>
      </c>
    </row>
    <row r="35" spans="2:2">
      <c r="B35" t="s">
        <v>50</v>
      </c>
    </row>
    <row r="36" spans="2:2">
      <c r="B36" t="s">
        <v>51</v>
      </c>
    </row>
    <row r="37" spans="2:2">
      <c r="B37" t="s">
        <v>109</v>
      </c>
    </row>
    <row r="38" spans="2:2">
      <c r="B38" t="s">
        <v>52</v>
      </c>
    </row>
    <row r="39" spans="2:2">
      <c r="B39" t="s">
        <v>110</v>
      </c>
    </row>
    <row r="40" spans="2:2">
      <c r="B40" t="s">
        <v>53</v>
      </c>
    </row>
    <row r="41" spans="2:2">
      <c r="B41" t="s">
        <v>54</v>
      </c>
    </row>
    <row r="42" spans="2:2">
      <c r="B42" t="s">
        <v>55</v>
      </c>
    </row>
    <row r="43" spans="2:2">
      <c r="B43" t="s">
        <v>111</v>
      </c>
    </row>
    <row r="44" spans="2:2">
      <c r="B44" t="s">
        <v>56</v>
      </c>
    </row>
    <row r="45" spans="2:2">
      <c r="B45" t="s">
        <v>57</v>
      </c>
    </row>
    <row r="46" spans="2:2">
      <c r="B46" t="s">
        <v>112</v>
      </c>
    </row>
    <row r="47" spans="2:2">
      <c r="B47" t="s">
        <v>113</v>
      </c>
    </row>
    <row r="48" spans="2:2">
      <c r="B48" t="s">
        <v>114</v>
      </c>
    </row>
    <row r="49" spans="2:2">
      <c r="B49" t="s">
        <v>58</v>
      </c>
    </row>
    <row r="50" spans="2:2">
      <c r="B50" t="s">
        <v>59</v>
      </c>
    </row>
    <row r="51" spans="2:2">
      <c r="B51" t="s">
        <v>115</v>
      </c>
    </row>
    <row r="52" spans="2:2">
      <c r="B52" t="s">
        <v>60</v>
      </c>
    </row>
    <row r="53" spans="2:2">
      <c r="B53" t="s">
        <v>61</v>
      </c>
    </row>
    <row r="54" spans="2:2">
      <c r="B54" t="s">
        <v>62</v>
      </c>
    </row>
    <row r="55" spans="2:2">
      <c r="B55" t="s">
        <v>63</v>
      </c>
    </row>
    <row r="56" spans="2:2">
      <c r="B56" t="s">
        <v>116</v>
      </c>
    </row>
    <row r="57" spans="2:2">
      <c r="B57" t="s">
        <v>117</v>
      </c>
    </row>
    <row r="58" spans="2:2">
      <c r="B58" t="s">
        <v>118</v>
      </c>
    </row>
    <row r="59" spans="2:2">
      <c r="B59" t="s">
        <v>119</v>
      </c>
    </row>
    <row r="60" spans="2:2">
      <c r="B60" t="s">
        <v>120</v>
      </c>
    </row>
    <row r="61" spans="2:2">
      <c r="B61" t="s">
        <v>11</v>
      </c>
    </row>
    <row r="62" spans="2:2">
      <c r="B62" t="s">
        <v>121</v>
      </c>
    </row>
    <row r="63" spans="2:2">
      <c r="B63" t="s">
        <v>64</v>
      </c>
    </row>
    <row r="64" spans="2:2">
      <c r="B64" t="s">
        <v>122</v>
      </c>
    </row>
    <row r="65" spans="2:2">
      <c r="B65" t="s">
        <v>65</v>
      </c>
    </row>
    <row r="66" spans="2:2">
      <c r="B66" t="s">
        <v>66</v>
      </c>
    </row>
    <row r="67" spans="2:2">
      <c r="B67" t="s">
        <v>123</v>
      </c>
    </row>
    <row r="68" spans="2:2">
      <c r="B68" t="s">
        <v>124</v>
      </c>
    </row>
    <row r="69" spans="2:2">
      <c r="B69" t="s">
        <v>67</v>
      </c>
    </row>
    <row r="70" spans="2:2">
      <c r="B70" t="s">
        <v>125</v>
      </c>
    </row>
    <row r="71" spans="2:2">
      <c r="B71" t="s">
        <v>68</v>
      </c>
    </row>
    <row r="72" spans="2:2">
      <c r="B72" t="s">
        <v>69</v>
      </c>
    </row>
    <row r="73" spans="2:2">
      <c r="B73" t="s">
        <v>70</v>
      </c>
    </row>
    <row r="74" spans="2:2">
      <c r="B74" t="s">
        <v>71</v>
      </c>
    </row>
    <row r="75" spans="2:2">
      <c r="B75" t="s">
        <v>126</v>
      </c>
    </row>
    <row r="76" spans="2:2">
      <c r="B76" t="s">
        <v>72</v>
      </c>
    </row>
    <row r="77" spans="2:2">
      <c r="B77" t="s">
        <v>73</v>
      </c>
    </row>
    <row r="78" spans="2:2">
      <c r="B78" t="s">
        <v>74</v>
      </c>
    </row>
    <row r="79" spans="2:2">
      <c r="B79" t="s">
        <v>127</v>
      </c>
    </row>
    <row r="80" spans="2:2">
      <c r="B80" t="s">
        <v>75</v>
      </c>
    </row>
    <row r="81" spans="2:2">
      <c r="B81" t="s">
        <v>128</v>
      </c>
    </row>
    <row r="82" spans="2:2">
      <c r="B82" t="s">
        <v>129</v>
      </c>
    </row>
    <row r="83" spans="2:2">
      <c r="B83" t="s">
        <v>12</v>
      </c>
    </row>
    <row r="84" spans="2:2">
      <c r="B84" t="s">
        <v>130</v>
      </c>
    </row>
    <row r="85" spans="2:2">
      <c r="B85" t="s">
        <v>76</v>
      </c>
    </row>
    <row r="86" spans="2:2">
      <c r="B86" t="s">
        <v>131</v>
      </c>
    </row>
    <row r="87" spans="2:2">
      <c r="B87" t="s">
        <v>132</v>
      </c>
    </row>
    <row r="88" spans="2:2">
      <c r="B88" t="s">
        <v>133</v>
      </c>
    </row>
    <row r="89" spans="2:2">
      <c r="B89" t="s">
        <v>134</v>
      </c>
    </row>
    <row r="90" spans="2:2">
      <c r="B90" t="s">
        <v>135</v>
      </c>
    </row>
    <row r="91" spans="2:2">
      <c r="B91" t="s">
        <v>13</v>
      </c>
    </row>
    <row r="92" spans="2:2">
      <c r="B92" t="s">
        <v>136</v>
      </c>
    </row>
    <row r="93" spans="2:2">
      <c r="B93" t="s">
        <v>77</v>
      </c>
    </row>
    <row r="94" spans="2:2">
      <c r="B94" t="s">
        <v>78</v>
      </c>
    </row>
    <row r="95" spans="2:2">
      <c r="B95" t="s">
        <v>137</v>
      </c>
    </row>
    <row r="96" spans="2:2">
      <c r="B96" t="s">
        <v>138</v>
      </c>
    </row>
    <row r="97" spans="2:2">
      <c r="B97" t="s">
        <v>139</v>
      </c>
    </row>
    <row r="98" spans="2:2">
      <c r="B98" t="s">
        <v>140</v>
      </c>
    </row>
    <row r="99" spans="2:2">
      <c r="B99" t="s">
        <v>79</v>
      </c>
    </row>
    <row r="100" spans="2:2">
      <c r="B100" t="s">
        <v>141</v>
      </c>
    </row>
    <row r="101" spans="2:2">
      <c r="B101" t="s">
        <v>14</v>
      </c>
    </row>
    <row r="102" spans="2:2">
      <c r="B102" t="s">
        <v>142</v>
      </c>
    </row>
    <row r="103" spans="2:2">
      <c r="B103" t="s">
        <v>80</v>
      </c>
    </row>
    <row r="104" spans="2:2">
      <c r="B104" t="s">
        <v>143</v>
      </c>
    </row>
    <row r="105" spans="2:2">
      <c r="B105" t="s">
        <v>81</v>
      </c>
    </row>
    <row r="106" spans="2:2">
      <c r="B106" t="s">
        <v>82</v>
      </c>
    </row>
    <row r="107" spans="2:2">
      <c r="B107" t="s">
        <v>144</v>
      </c>
    </row>
    <row r="108" spans="2:2">
      <c r="B108" t="s">
        <v>145</v>
      </c>
    </row>
    <row r="109" spans="2:2">
      <c r="B109" t="s">
        <v>146</v>
      </c>
    </row>
    <row r="110" spans="2:2">
      <c r="B110" t="s">
        <v>15</v>
      </c>
    </row>
    <row r="111" spans="2:2">
      <c r="B111" t="s">
        <v>147</v>
      </c>
    </row>
    <row r="112" spans="2:2">
      <c r="B112" t="s">
        <v>83</v>
      </c>
    </row>
    <row r="113" spans="2:2">
      <c r="B113" t="s">
        <v>84</v>
      </c>
    </row>
    <row r="114" spans="2:2">
      <c r="B114" t="s">
        <v>16</v>
      </c>
    </row>
    <row r="115" spans="2:2">
      <c r="B115" t="s">
        <v>148</v>
      </c>
    </row>
    <row r="116" spans="2:2">
      <c r="B116" t="s">
        <v>85</v>
      </c>
    </row>
    <row r="117" spans="2:2">
      <c r="B117" t="s">
        <v>149</v>
      </c>
    </row>
    <row r="118" spans="2:2">
      <c r="B118" t="s">
        <v>86</v>
      </c>
    </row>
    <row r="119" spans="2:2">
      <c r="B119" t="s">
        <v>87</v>
      </c>
    </row>
    <row r="120" spans="2:2">
      <c r="B120" t="s">
        <v>88</v>
      </c>
    </row>
    <row r="121" spans="2:2">
      <c r="B121" t="s">
        <v>89</v>
      </c>
    </row>
    <row r="122" spans="2:2">
      <c r="B122" t="s">
        <v>90</v>
      </c>
    </row>
    <row r="123" spans="2:2">
      <c r="B123" t="s">
        <v>91</v>
      </c>
    </row>
    <row r="124" spans="2:2">
      <c r="B124" t="s">
        <v>92</v>
      </c>
    </row>
    <row r="125" spans="2:2">
      <c r="B125" t="s">
        <v>150</v>
      </c>
    </row>
    <row r="126" spans="2:2">
      <c r="B126" t="s">
        <v>93</v>
      </c>
    </row>
    <row r="127" spans="2:2">
      <c r="B127" t="s">
        <v>94</v>
      </c>
    </row>
    <row r="128" spans="2:2">
      <c r="B128" t="s">
        <v>151</v>
      </c>
    </row>
    <row r="129" spans="2:2">
      <c r="B129" t="s">
        <v>95</v>
      </c>
    </row>
    <row r="130" spans="2:2">
      <c r="B130" t="s">
        <v>96</v>
      </c>
    </row>
    <row r="131" spans="2:2">
      <c r="B131" t="s">
        <v>17</v>
      </c>
    </row>
    <row r="132" spans="2:2">
      <c r="B132" t="s">
        <v>152</v>
      </c>
    </row>
    <row r="133" spans="2:2">
      <c r="B133" t="s">
        <v>97</v>
      </c>
    </row>
    <row r="134" spans="2:2">
      <c r="B134" t="s">
        <v>98</v>
      </c>
    </row>
    <row r="135" spans="2:2">
      <c r="B135" t="s">
        <v>99</v>
      </c>
    </row>
    <row r="136" spans="2:2">
      <c r="B136" t="s">
        <v>153</v>
      </c>
    </row>
    <row r="137" spans="2:2">
      <c r="B137" t="s">
        <v>18</v>
      </c>
    </row>
    <row r="138" spans="2:2">
      <c r="B138" t="s">
        <v>19</v>
      </c>
    </row>
    <row r="139" spans="2:2">
      <c r="B139" t="s">
        <v>20</v>
      </c>
    </row>
    <row r="140" spans="2:2">
      <c r="B140" t="s">
        <v>154</v>
      </c>
    </row>
    <row r="141" spans="2:2">
      <c r="B141" t="s">
        <v>100</v>
      </c>
    </row>
    <row r="142" spans="2:2">
      <c r="B142" t="s">
        <v>101</v>
      </c>
    </row>
    <row r="143" spans="2:2">
      <c r="B143" t="s">
        <v>102</v>
      </c>
    </row>
    <row r="144" spans="2:2">
      <c r="B144" t="s">
        <v>103</v>
      </c>
    </row>
    <row r="145" spans="2:2">
      <c r="B145" t="s">
        <v>155</v>
      </c>
    </row>
    <row r="146" spans="2:2">
      <c r="B146" t="s">
        <v>156</v>
      </c>
    </row>
    <row r="147" spans="2:2">
      <c r="B147" t="s">
        <v>157</v>
      </c>
    </row>
    <row r="148" spans="2:2">
      <c r="B148" t="s">
        <v>21</v>
      </c>
    </row>
    <row r="149" spans="2:2">
      <c r="B149" t="s">
        <v>22</v>
      </c>
    </row>
    <row r="150" spans="2:2">
      <c r="B150" t="s">
        <v>23</v>
      </c>
    </row>
    <row r="151" spans="2:2">
      <c r="B151" t="s">
        <v>24</v>
      </c>
    </row>
    <row r="152" spans="2:2">
      <c r="B152" t="s">
        <v>25</v>
      </c>
    </row>
    <row r="153" spans="2:2">
      <c r="B153" t="s">
        <v>26</v>
      </c>
    </row>
    <row r="154" spans="2:2">
      <c r="B154" t="s">
        <v>27</v>
      </c>
    </row>
    <row r="155" spans="2:2">
      <c r="B155" t="s">
        <v>28</v>
      </c>
    </row>
    <row r="156" spans="2:2">
      <c r="B156" t="s">
        <v>29</v>
      </c>
    </row>
    <row r="157" spans="2:2">
      <c r="B157" t="s">
        <v>30</v>
      </c>
    </row>
    <row r="158" spans="2:2">
      <c r="B158" t="s">
        <v>31</v>
      </c>
    </row>
    <row r="159" spans="2:2">
      <c r="B159" t="s">
        <v>32</v>
      </c>
    </row>
    <row r="160" spans="2:2">
      <c r="B160" t="s">
        <v>33</v>
      </c>
    </row>
    <row r="161" spans="2:2">
      <c r="B161" t="s">
        <v>34</v>
      </c>
    </row>
    <row r="162" spans="2:2">
      <c r="B162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W239"/>
  <sheetViews>
    <sheetView showGridLines="0" topLeftCell="B1" zoomScale="90" zoomScaleNormal="90" workbookViewId="0">
      <pane xSplit="1" ySplit="27" topLeftCell="C28" activePane="bottomRight" state="frozen"/>
      <selection activeCell="B55" sqref="B55"/>
      <selection pane="topRight" activeCell="B55" sqref="B55"/>
      <selection pane="bottomLeft" activeCell="B55" sqref="B55"/>
      <selection pane="bottomRight" activeCell="B9" sqref="A9:XFD9"/>
    </sheetView>
  </sheetViews>
  <sheetFormatPr defaultColWidth="0" defaultRowHeight="15" zeroHeight="1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0.7109375" customWidth="1"/>
    <col min="6" max="6" width="12.7109375" customWidth="1"/>
    <col min="7" max="7" width="14.7109375" customWidth="1"/>
    <col min="8" max="8" width="20.7109375" customWidth="1"/>
    <col min="9" max="11" width="12.7109375" customWidth="1"/>
    <col min="12" max="12" width="14.7109375" customWidth="1"/>
    <col min="13" max="13" width="20.7109375" customWidth="1"/>
    <col min="14" max="14" width="12.7109375" customWidth="1"/>
    <col min="15" max="15" width="14.7109375" customWidth="1"/>
    <col min="16" max="16" width="20.7109375" customWidth="1"/>
    <col min="17" max="19" width="12.7109375" customWidth="1"/>
    <col min="20" max="20" width="14.7109375" customWidth="1"/>
    <col min="21" max="21" width="20.7109375" customWidth="1"/>
    <col min="22" max="22" width="12.7109375" customWidth="1"/>
    <col min="23" max="23" width="14.7109375" customWidth="1"/>
    <col min="24" max="24" width="20.7109375" customWidth="1"/>
    <col min="25" max="27" width="12.7109375" customWidth="1"/>
    <col min="28" max="28" width="14.7109375" customWidth="1"/>
    <col min="29" max="29" width="20.7109375" customWidth="1"/>
    <col min="30" max="30" width="12.7109375" customWidth="1"/>
    <col min="31" max="31" width="14.7109375" customWidth="1"/>
    <col min="32" max="32" width="20.7109375" customWidth="1"/>
    <col min="33" max="34" width="12.7109375" customWidth="1"/>
    <col min="35" max="1011" width="0" hidden="1" customWidth="1"/>
    <col min="1012" max="16384" width="11.5703125" hidden="1"/>
  </cols>
  <sheetData>
    <row r="1" spans="1:34" hidden="1">
      <c r="A1" t="s">
        <v>38</v>
      </c>
    </row>
    <row r="2" spans="1:34" hidden="1">
      <c r="A2">
        <f>0</f>
        <v>0</v>
      </c>
      <c r="B2" s="81"/>
      <c r="C2" s="82"/>
      <c r="D2" s="83"/>
      <c r="E2" s="84"/>
      <c r="F2" s="82"/>
      <c r="G2" s="83"/>
      <c r="H2" s="85"/>
      <c r="I2" s="86"/>
      <c r="J2" s="87"/>
      <c r="K2" s="82"/>
      <c r="L2" s="83"/>
      <c r="M2" s="84"/>
      <c r="N2" s="82"/>
      <c r="O2" s="83"/>
      <c r="P2" s="84"/>
      <c r="Q2" s="86"/>
      <c r="R2" s="86"/>
      <c r="S2" s="82"/>
      <c r="T2" s="83"/>
      <c r="U2" s="84"/>
      <c r="V2" s="82"/>
      <c r="W2" s="83"/>
      <c r="X2" s="84"/>
      <c r="Y2" s="86"/>
      <c r="Z2" s="86"/>
      <c r="AA2" s="82"/>
      <c r="AB2" s="83"/>
      <c r="AC2" s="84"/>
      <c r="AD2" s="82"/>
      <c r="AE2" s="83"/>
      <c r="AF2" s="85"/>
      <c r="AG2" s="86"/>
      <c r="AH2" s="86"/>
    </row>
    <row r="3" spans="1:34" hidden="1">
      <c r="A3">
        <f>1</f>
        <v>1</v>
      </c>
      <c r="B3" s="88"/>
      <c r="C3" s="89"/>
      <c r="D3" s="19"/>
      <c r="E3" s="90"/>
      <c r="F3" s="89"/>
      <c r="G3" s="19"/>
      <c r="H3" s="27"/>
      <c r="I3" s="91"/>
      <c r="J3" s="92"/>
      <c r="K3" s="89"/>
      <c r="L3" s="19"/>
      <c r="M3" s="90"/>
      <c r="N3" s="89"/>
      <c r="O3" s="19"/>
      <c r="P3" s="90"/>
      <c r="Q3" s="91"/>
      <c r="R3" s="91"/>
      <c r="S3" s="89"/>
      <c r="T3" s="19"/>
      <c r="U3" s="90"/>
      <c r="V3" s="89"/>
      <c r="W3" s="19"/>
      <c r="X3" s="90"/>
      <c r="Y3" s="91"/>
      <c r="Z3" s="91"/>
      <c r="AA3" s="89"/>
      <c r="AB3" s="19"/>
      <c r="AC3" s="90"/>
      <c r="AD3" s="89"/>
      <c r="AE3" s="19"/>
      <c r="AF3" s="27"/>
      <c r="AG3" s="91"/>
      <c r="AH3" s="91"/>
    </row>
    <row r="4" spans="1:34" hidden="1">
      <c r="A4">
        <f>2</f>
        <v>2</v>
      </c>
      <c r="B4" s="93"/>
      <c r="C4" s="94"/>
      <c r="D4" s="21"/>
      <c r="E4" s="95"/>
      <c r="F4" s="94"/>
      <c r="G4" s="21"/>
      <c r="H4" s="28"/>
      <c r="I4" s="96"/>
      <c r="J4" s="97"/>
      <c r="K4" s="94"/>
      <c r="L4" s="21"/>
      <c r="M4" s="95"/>
      <c r="N4" s="94"/>
      <c r="O4" s="21"/>
      <c r="P4" s="95"/>
      <c r="Q4" s="96"/>
      <c r="R4" s="96"/>
      <c r="S4" s="94"/>
      <c r="T4" s="21"/>
      <c r="U4" s="95"/>
      <c r="V4" s="94"/>
      <c r="W4" s="21"/>
      <c r="X4" s="95"/>
      <c r="Y4" s="96"/>
      <c r="Z4" s="96"/>
      <c r="AA4" s="94"/>
      <c r="AB4" s="21"/>
      <c r="AC4" s="95"/>
      <c r="AD4" s="94"/>
      <c r="AE4" s="21"/>
      <c r="AF4" s="28"/>
      <c r="AG4" s="96"/>
      <c r="AH4" s="96"/>
    </row>
    <row r="5" spans="1:34" hidden="1">
      <c r="A5">
        <f>3</f>
        <v>3</v>
      </c>
      <c r="B5" s="98"/>
      <c r="C5" s="99"/>
      <c r="D5" s="23"/>
      <c r="E5" s="100"/>
      <c r="F5" s="99"/>
      <c r="G5" s="23"/>
      <c r="H5" s="29"/>
      <c r="I5" s="101"/>
      <c r="J5" s="102"/>
      <c r="K5" s="99"/>
      <c r="L5" s="23"/>
      <c r="M5" s="100"/>
      <c r="N5" s="99"/>
      <c r="O5" s="23"/>
      <c r="P5" s="100"/>
      <c r="Q5" s="101"/>
      <c r="R5" s="101"/>
      <c r="S5" s="99"/>
      <c r="T5" s="23"/>
      <c r="U5" s="100"/>
      <c r="V5" s="99"/>
      <c r="W5" s="23"/>
      <c r="X5" s="100"/>
      <c r="Y5" s="101"/>
      <c r="Z5" s="101"/>
      <c r="AA5" s="99"/>
      <c r="AB5" s="23"/>
      <c r="AC5" s="100"/>
      <c r="AD5" s="99"/>
      <c r="AE5" s="23"/>
      <c r="AF5" s="29"/>
      <c r="AG5" s="101"/>
      <c r="AH5" s="101"/>
    </row>
    <row r="6" spans="1:34" ht="15.75" hidden="1" thickBot="1">
      <c r="A6" t="s">
        <v>36</v>
      </c>
      <c r="B6" s="103"/>
      <c r="C6" s="104"/>
      <c r="D6" s="105"/>
      <c r="E6" s="106"/>
      <c r="F6" s="104"/>
      <c r="G6" s="105"/>
      <c r="H6" s="107"/>
      <c r="I6" s="108"/>
      <c r="J6" s="109"/>
      <c r="K6" s="104"/>
      <c r="L6" s="105"/>
      <c r="M6" s="106"/>
      <c r="N6" s="104"/>
      <c r="O6" s="105"/>
      <c r="P6" s="106"/>
      <c r="Q6" s="108"/>
      <c r="R6" s="108"/>
      <c r="S6" s="104"/>
      <c r="T6" s="105"/>
      <c r="U6" s="106"/>
      <c r="V6" s="104"/>
      <c r="W6" s="105"/>
      <c r="X6" s="106"/>
      <c r="Y6" s="108"/>
      <c r="Z6" s="108"/>
      <c r="AA6" s="104"/>
      <c r="AB6" s="105"/>
      <c r="AC6" s="106"/>
      <c r="AD6" s="104"/>
      <c r="AE6" s="105"/>
      <c r="AF6" s="107"/>
      <c r="AG6" s="108"/>
      <c r="AH6" s="108"/>
    </row>
    <row r="7" spans="1:34" hidden="1">
      <c r="A7" t="s">
        <v>37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</row>
    <row r="8" spans="1:34" hidden="1">
      <c r="A8" t="s">
        <v>39</v>
      </c>
    </row>
    <row r="9" spans="1:34" hidden="1">
      <c r="B9" t="str">
        <f ca="1">_xll.TM1RPTVIEW("CXMD:OTC_DATA_MARKET_ANALYSIS:ARPT1", 0, _xll.TM1RPTTITLE("CXMD:Currency",$C$18), _xll.TM1RPTTITLE("CXMD:DIM_Prev_IC_mapping",$C$19), _xll.TM1RPTTITLE("CXMD:DIM_Origin_Company",$C$21), _xll.TM1RPTTITLE("CXMD:DIM_Country",$C$22),TM1RPTFMTRNG,TM1RPTFMTIDCOL)</f>
        <v>CXMD:OTC_DATA_MARKET_ANALYSIS:ARPT1</v>
      </c>
    </row>
    <row r="10" spans="1:3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idden="1"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</row>
    <row r="18" spans="1:34" hidden="1">
      <c r="B18" s="71" t="s">
        <v>1</v>
      </c>
      <c r="C18" s="68" t="str">
        <f ca="1">_xll.SUBNM("CXMD:Currency","Par défaut","CD_LC","Description EN")</f>
        <v>Local currency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</row>
    <row r="19" spans="1:34" hidden="1">
      <c r="B19" s="71" t="s">
        <v>158</v>
      </c>
      <c r="C19" s="68" t="str">
        <f ca="1">_xll.SUBNM("CXMD:Prev_IC_mapping","","Others")</f>
        <v>Others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</row>
    <row r="20" spans="1:34" ht="19.899999999999999" customHeight="1">
      <c r="B20" s="111" t="s">
        <v>159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</row>
    <row r="21" spans="1:34">
      <c r="B21" s="71" t="s">
        <v>3</v>
      </c>
      <c r="C21" s="72" t="str">
        <f ca="1">_xll.SUBNM("CXMD:DIM_Origin_Company","","KUHN GERMANY","Name EN")</f>
        <v>KUHN GERMANY</v>
      </c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</row>
    <row r="22" spans="1:34">
      <c r="B22" s="71" t="s">
        <v>160</v>
      </c>
      <c r="C22" s="72" t="str">
        <f ca="1">_xll.SUBNM("CXMD:DIM_Country","Total Country SOM","C-101","Country Name")</f>
        <v>ALLEMAGNE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</row>
    <row r="23" spans="1:34" hidden="1"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</row>
    <row r="24" spans="1:34" ht="7.15" customHeight="1" thickBot="1"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</row>
    <row r="25" spans="1:34" ht="14.45" customHeight="1">
      <c r="B25" s="68"/>
      <c r="C25" s="161" t="str">
        <f ca="1">_xll.SUBNM("CXMD:Actuality","Actuality_Market_Share","AC2018","Description EN")</f>
        <v>AC2018</v>
      </c>
      <c r="D25" s="162"/>
      <c r="E25" s="163"/>
      <c r="F25" s="161" t="str">
        <f ca="1">_xll.SUBNM("CXMD:Actuality","Actuality_Market_Share","AC2018","Description EN")</f>
        <v>AC2018</v>
      </c>
      <c r="G25" s="162"/>
      <c r="H25" s="164"/>
      <c r="I25" s="153" t="s">
        <v>161</v>
      </c>
      <c r="J25" s="154"/>
      <c r="K25" s="161" t="str">
        <f ca="1">_xll.SUBNM("CXMD:Actuality","Actuality_Market_Share","BU2019draft","Description EN")</f>
        <v>BU2019draft</v>
      </c>
      <c r="L25" s="162"/>
      <c r="M25" s="163"/>
      <c r="N25" s="161" t="str">
        <f ca="1">_xll.SUBNM("CXMD:Actuality","Actuality_Market_Share","BU2019draft","Description EN")</f>
        <v>BU2019draft</v>
      </c>
      <c r="O25" s="162"/>
      <c r="P25" s="164"/>
      <c r="Q25" s="153" t="s">
        <v>161</v>
      </c>
      <c r="R25" s="154"/>
      <c r="S25" s="166" t="str">
        <f ca="1">_xll.SUBNM("CXMD:Actuality","Actuality_Market_Share","FC3_2019","Description EN")</f>
        <v>FC3_2019</v>
      </c>
      <c r="T25" s="162"/>
      <c r="U25" s="163"/>
      <c r="V25" s="161" t="str">
        <f ca="1">_xll.SUBNM("CXMD:Actuality","Actuality_Market_Share","FC3_2019","Description EN")</f>
        <v>FC3_2019</v>
      </c>
      <c r="W25" s="162"/>
      <c r="X25" s="164"/>
      <c r="Y25" s="153" t="s">
        <v>161</v>
      </c>
      <c r="Z25" s="154"/>
      <c r="AA25" s="166" t="str">
        <f ca="1">_xll.SUBNM("CXMD:Actuality","Actuality_Market_Share","BU2020Draft","Description EN")</f>
        <v>BU2020Draft</v>
      </c>
      <c r="AB25" s="162"/>
      <c r="AC25" s="163"/>
      <c r="AD25" s="161" t="str">
        <f ca="1">_xll.SUBNM("CXMD:Actuality","Actuality_Market_Share","BU2020Draft","Description EN")</f>
        <v>BU2020Draft</v>
      </c>
      <c r="AE25" s="162"/>
      <c r="AF25" s="164"/>
      <c r="AG25" s="153" t="s">
        <v>161</v>
      </c>
      <c r="AH25" s="154"/>
    </row>
    <row r="26" spans="1:34">
      <c r="B26" s="68"/>
      <c r="C26" s="157" t="s">
        <v>162</v>
      </c>
      <c r="D26" s="158"/>
      <c r="E26" s="159"/>
      <c r="F26" s="157" t="s">
        <v>163</v>
      </c>
      <c r="G26" s="158"/>
      <c r="H26" s="160"/>
      <c r="I26" s="155"/>
      <c r="J26" s="156"/>
      <c r="K26" s="157" t="s">
        <v>162</v>
      </c>
      <c r="L26" s="158"/>
      <c r="M26" s="159"/>
      <c r="N26" s="157" t="s">
        <v>163</v>
      </c>
      <c r="O26" s="158"/>
      <c r="P26" s="160"/>
      <c r="Q26" s="155"/>
      <c r="R26" s="156"/>
      <c r="S26" s="165" t="s">
        <v>162</v>
      </c>
      <c r="T26" s="158"/>
      <c r="U26" s="159"/>
      <c r="V26" s="157" t="s">
        <v>163</v>
      </c>
      <c r="W26" s="158"/>
      <c r="X26" s="160"/>
      <c r="Y26" s="155"/>
      <c r="Z26" s="156"/>
      <c r="AA26" s="165" t="s">
        <v>162</v>
      </c>
      <c r="AB26" s="158"/>
      <c r="AC26" s="159"/>
      <c r="AD26" s="157" t="s">
        <v>163</v>
      </c>
      <c r="AE26" s="158"/>
      <c r="AF26" s="160"/>
      <c r="AG26" s="155"/>
      <c r="AH26" s="156"/>
    </row>
    <row r="27" spans="1:34" ht="15.75" thickBot="1">
      <c r="B27" s="68"/>
      <c r="C27" s="112" t="s">
        <v>5</v>
      </c>
      <c r="D27" s="113" t="s">
        <v>164</v>
      </c>
      <c r="E27" s="114" t="s">
        <v>6</v>
      </c>
      <c r="F27" s="112" t="s">
        <v>5</v>
      </c>
      <c r="G27" s="113" t="s">
        <v>164</v>
      </c>
      <c r="H27" s="115" t="s">
        <v>6</v>
      </c>
      <c r="I27" s="116" t="s">
        <v>5</v>
      </c>
      <c r="J27" s="116" t="s">
        <v>6</v>
      </c>
      <c r="K27" s="112" t="s">
        <v>5</v>
      </c>
      <c r="L27" s="113" t="s">
        <v>164</v>
      </c>
      <c r="M27" s="114" t="s">
        <v>6</v>
      </c>
      <c r="N27" s="112" t="s">
        <v>5</v>
      </c>
      <c r="O27" s="113" t="s">
        <v>164</v>
      </c>
      <c r="P27" s="115" t="s">
        <v>6</v>
      </c>
      <c r="Q27" s="117" t="s">
        <v>5</v>
      </c>
      <c r="R27" s="117" t="s">
        <v>6</v>
      </c>
      <c r="S27" s="118" t="s">
        <v>5</v>
      </c>
      <c r="T27" s="113" t="s">
        <v>164</v>
      </c>
      <c r="U27" s="114" t="s">
        <v>6</v>
      </c>
      <c r="V27" s="112" t="s">
        <v>5</v>
      </c>
      <c r="W27" s="113" t="s">
        <v>164</v>
      </c>
      <c r="X27" s="115" t="s">
        <v>6</v>
      </c>
      <c r="Y27" s="117" t="s">
        <v>5</v>
      </c>
      <c r="Z27" s="116" t="s">
        <v>6</v>
      </c>
      <c r="AA27" s="118" t="s">
        <v>5</v>
      </c>
      <c r="AB27" s="113" t="s">
        <v>164</v>
      </c>
      <c r="AC27" s="114" t="s">
        <v>6</v>
      </c>
      <c r="AD27" s="112" t="s">
        <v>5</v>
      </c>
      <c r="AE27" s="113" t="s">
        <v>164</v>
      </c>
      <c r="AF27" s="115" t="s">
        <v>6</v>
      </c>
      <c r="AG27" s="119" t="s">
        <v>5</v>
      </c>
      <c r="AH27" s="116" t="s">
        <v>6</v>
      </c>
    </row>
    <row r="28" spans="1:34">
      <c r="A28">
        <f ca="1">IF(_xll.TM1RPTELISCONSOLIDATED($B$28,$B28),IF(_xll.TM1RPTELLEV($B$28,$B28)&lt;=3,_xll.TM1RPTELLEV($B$28,$B28),"D"),"N")</f>
        <v>0</v>
      </c>
      <c r="B28" s="120" t="str">
        <f ca="1">_xll.TM1RPTROW($B$9,"CXMD:DIM_Configuration","Product_Line","","Description EN",0)</f>
        <v>TOTAL PRODUCT</v>
      </c>
      <c r="C28" s="82">
        <f ca="1">_xll.DBRW($B$9,$C$18,$C$19,C$26,C$25,$C$21,$C$22,$B28,C$27)</f>
        <v>0</v>
      </c>
      <c r="D28" s="83">
        <f ca="1">_xll.DBRW($B$9,$C$18,$C$19,C$26,C$25,$C$21,$C$22,$B28,D$27)</f>
        <v>0</v>
      </c>
      <c r="E28" s="84">
        <f ca="1">_xll.DBRW($B$9,$C$18,$C$19,C$26,C$25,$C$21,$C$22,$B28,E$27)</f>
        <v>0</v>
      </c>
      <c r="F28" s="82">
        <f ca="1">_xll.DBRW($B$9,$C$18,$C$19,F$26,F$25,$C$21,$C$22,$B28,F$27)</f>
        <v>0</v>
      </c>
      <c r="G28" s="83">
        <f ca="1">_xll.DBRW($B$9,$C$18,$C$19,F$26,F$25,$C$21,$C$22,$B28,G$27)</f>
        <v>0</v>
      </c>
      <c r="H28" s="85">
        <f ca="1">_xll.DBRW($B$9,$C$18,$C$19,F$26,F$25,$C$21,$C$22,$B28,H$27)</f>
        <v>0</v>
      </c>
      <c r="I28" s="86">
        <f ca="1">IF(F28&lt;&gt;0,C28/F28,0)</f>
        <v>0</v>
      </c>
      <c r="J28" s="87">
        <f ca="1">IF(H28&lt;&gt;0,E28/H28,0)</f>
        <v>0</v>
      </c>
      <c r="K28" s="82">
        <f ca="1">_xll.DBRW($B$9,$C$18,$C$19,K$26,K$25,$C$21,$C$22,$B28,K$27)</f>
        <v>0</v>
      </c>
      <c r="L28" s="83">
        <f ca="1">_xll.DBRW($B$9,$C$18,$C$19,K$26,K$25,$C$21,$C$22,$B28,L$27)</f>
        <v>0</v>
      </c>
      <c r="M28" s="84">
        <f ca="1">_xll.DBRW($B$9,$C$18,$C$19,K$26,K$25,$C$21,$C$22,$B28,M$27)</f>
        <v>0</v>
      </c>
      <c r="N28" s="82">
        <f ca="1">_xll.DBRW($B$9,$C$18,$C$19,N$26,N$25,$C$21,$C$22,$B28,N$27)</f>
        <v>0</v>
      </c>
      <c r="O28" s="83">
        <f ca="1">_xll.DBRW($B$9,$C$18,$C$19,N$26,N$25,$C$21,$C$22,$B28,O$27)</f>
        <v>0</v>
      </c>
      <c r="P28" s="84">
        <f ca="1">_xll.DBRW($B$9,$C$18,$C$19,N$26,N$25,$C$21,$C$22,$B28,P$27)</f>
        <v>0</v>
      </c>
      <c r="Q28" s="86">
        <f ca="1">IF(N28&lt;&gt;0,K28/N28,0)</f>
        <v>0</v>
      </c>
      <c r="R28" s="86">
        <f ca="1">IF(P28&lt;&gt;0,M28/P28,0)</f>
        <v>0</v>
      </c>
      <c r="S28" s="82">
        <f ca="1">_xll.DBRW($B$9,$C$18,$C$19,S$26,S$25,$C$21,$C$22,$B28,S$27)</f>
        <v>0</v>
      </c>
      <c r="T28" s="83">
        <f ca="1">_xll.DBRW($B$9,$C$18,$C$19,S$26,S$25,$C$21,$C$22,$B28,T$27)</f>
        <v>0</v>
      </c>
      <c r="U28" s="84">
        <f ca="1">_xll.DBRW($B$9,$C$18,$C$19,S$26,S$25,$C$21,$C$22,$B28,U$27)</f>
        <v>0</v>
      </c>
      <c r="V28" s="82">
        <f ca="1">_xll.DBRW($B$9,$C$18,$C$19,V$26,V$25,$C$21,$C$22,$B28,V$27)</f>
        <v>0</v>
      </c>
      <c r="W28" s="83">
        <f ca="1">_xll.DBRW($B$9,$C$18,$C$19,V$26,V$25,$C$21,$C$22,$B28,W$27)</f>
        <v>0</v>
      </c>
      <c r="X28" s="84">
        <f ca="1">_xll.DBRW($B$9,$C$18,$C$19,V$26,V$25,$C$21,$C$22,$B28,X$27)</f>
        <v>0</v>
      </c>
      <c r="Y28" s="86">
        <f ca="1">IF(V28&lt;&gt;0,S28/V28,0)</f>
        <v>0</v>
      </c>
      <c r="Z28" s="86">
        <f ca="1">IF(X28&lt;&gt;0,U28/X28,0)</f>
        <v>0</v>
      </c>
      <c r="AA28" s="82">
        <f ca="1">_xll.DBRW($B$9,$C$18,$C$19,AA$26,AA$25,$C$21,$C$22,$B28,AA$27)</f>
        <v>0</v>
      </c>
      <c r="AB28" s="83">
        <f ca="1">_xll.DBRW($B$9,$C$18,$C$19,AA$26,AA$25,$C$21,$C$22,$B28,AB$27)</f>
        <v>0</v>
      </c>
      <c r="AC28" s="84">
        <f ca="1">_xll.DBRW($B$9,$C$18,$C$19,AA$26,AA$25,$C$21,$C$22,$B28,AC$27)</f>
        <v>0</v>
      </c>
      <c r="AD28" s="82">
        <f ca="1">_xll.DBRW($B$9,$C$18,$C$19,AD$26,AD$25,$C$21,$C$22,$B28,AD$27)</f>
        <v>0</v>
      </c>
      <c r="AE28" s="83">
        <f ca="1">_xll.DBRW($B$9,$C$18,$C$19,AD$26,AD$25,$C$21,$C$22,$B28,AE$27)</f>
        <v>0</v>
      </c>
      <c r="AF28" s="85">
        <f ca="1">_xll.DBRW($B$9,$C$18,$C$19,AD$26,AD$25,$C$21,$C$22,$B28,AF$27)</f>
        <v>0</v>
      </c>
      <c r="AG28" s="121">
        <f ca="1">IF(AD28&lt;&gt;0,AA28/AD28,0)</f>
        <v>0</v>
      </c>
      <c r="AH28" s="121">
        <f ca="1">IF(AF28&lt;&gt;0,AC28/AF28,0)</f>
        <v>0</v>
      </c>
    </row>
    <row r="29" spans="1:34">
      <c r="A29">
        <f ca="1">IF(_xll.TM1RPTELISCONSOLIDATED($B$28,$B29),IF(_xll.TM1RPTELLEV($B$28,$B29)&lt;=3,_xll.TM1RPTELLEV($B$28,$B29),"D"),"N")</f>
        <v>1</v>
      </c>
      <c r="B29" s="122" t="s">
        <v>170</v>
      </c>
      <c r="C29" s="89">
        <f ca="1">_xll.DBRW($B$9,$C$18,$C$19,C$26,C$25,$C$21,$C$22,$B29,C$27)</f>
        <v>0</v>
      </c>
      <c r="D29" s="19">
        <f ca="1">_xll.DBRW($B$9,$C$18,$C$19,C$26,C$25,$C$21,$C$22,$B29,D$27)</f>
        <v>0</v>
      </c>
      <c r="E29" s="90">
        <f ca="1">_xll.DBRW($B$9,$C$18,$C$19,C$26,C$25,$C$21,$C$22,$B29,E$27)</f>
        <v>0</v>
      </c>
      <c r="F29" s="89">
        <f ca="1">_xll.DBRW($B$9,$C$18,$C$19,F$26,F$25,$C$21,$C$22,$B29,F$27)</f>
        <v>0</v>
      </c>
      <c r="G29" s="19">
        <f ca="1">_xll.DBRW($B$9,$C$18,$C$19,F$26,F$25,$C$21,$C$22,$B29,G$27)</f>
        <v>0</v>
      </c>
      <c r="H29" s="27">
        <f ca="1">_xll.DBRW($B$9,$C$18,$C$19,F$26,F$25,$C$21,$C$22,$B29,H$27)</f>
        <v>0</v>
      </c>
      <c r="I29" s="91">
        <f t="shared" ref="I29:I50" ca="1" si="0">IF(F29&lt;&gt;0,C29/F29,0)</f>
        <v>0</v>
      </c>
      <c r="J29" s="92">
        <f t="shared" ref="J29:J50" ca="1" si="1">IF(H29&lt;&gt;0,E29/H29,0)</f>
        <v>0</v>
      </c>
      <c r="K29" s="89">
        <f ca="1">_xll.DBRW($B$9,$C$18,$C$19,K$26,K$25,$C$21,$C$22,$B29,K$27)</f>
        <v>0</v>
      </c>
      <c r="L29" s="19">
        <f ca="1">_xll.DBRW($B$9,$C$18,$C$19,K$26,K$25,$C$21,$C$22,$B29,L$27)</f>
        <v>0</v>
      </c>
      <c r="M29" s="90">
        <f ca="1">_xll.DBRW($B$9,$C$18,$C$19,K$26,K$25,$C$21,$C$22,$B29,M$27)</f>
        <v>0</v>
      </c>
      <c r="N29" s="89">
        <f ca="1">_xll.DBRW($B$9,$C$18,$C$19,N$26,N$25,$C$21,$C$22,$B29,N$27)</f>
        <v>0</v>
      </c>
      <c r="O29" s="19">
        <f ca="1">_xll.DBRW($B$9,$C$18,$C$19,N$26,N$25,$C$21,$C$22,$B29,O$27)</f>
        <v>0</v>
      </c>
      <c r="P29" s="90">
        <f ca="1">_xll.DBRW($B$9,$C$18,$C$19,N$26,N$25,$C$21,$C$22,$B29,P$27)</f>
        <v>0</v>
      </c>
      <c r="Q29" s="91">
        <f t="shared" ref="Q29:Q50" ca="1" si="2">IF(N29&lt;&gt;0,K29/N29,0)</f>
        <v>0</v>
      </c>
      <c r="R29" s="91">
        <f t="shared" ref="R29:R50" ca="1" si="3">IF(P29&lt;&gt;0,M29/P29,0)</f>
        <v>0</v>
      </c>
      <c r="S29" s="89">
        <f ca="1">_xll.DBRW($B$9,$C$18,$C$19,S$26,S$25,$C$21,$C$22,$B29,S$27)</f>
        <v>0</v>
      </c>
      <c r="T29" s="19">
        <f ca="1">_xll.DBRW($B$9,$C$18,$C$19,S$26,S$25,$C$21,$C$22,$B29,T$27)</f>
        <v>0</v>
      </c>
      <c r="U29" s="90">
        <f ca="1">_xll.DBRW($B$9,$C$18,$C$19,S$26,S$25,$C$21,$C$22,$B29,U$27)</f>
        <v>0</v>
      </c>
      <c r="V29" s="89">
        <f ca="1">_xll.DBRW($B$9,$C$18,$C$19,V$26,V$25,$C$21,$C$22,$B29,V$27)</f>
        <v>0</v>
      </c>
      <c r="W29" s="19">
        <f ca="1">_xll.DBRW($B$9,$C$18,$C$19,V$26,V$25,$C$21,$C$22,$B29,W$27)</f>
        <v>0</v>
      </c>
      <c r="X29" s="90">
        <f ca="1">_xll.DBRW($B$9,$C$18,$C$19,V$26,V$25,$C$21,$C$22,$B29,X$27)</f>
        <v>0</v>
      </c>
      <c r="Y29" s="91">
        <f t="shared" ref="Y29:Y50" ca="1" si="4">IF(V29&lt;&gt;0,S29/V29,0)</f>
        <v>0</v>
      </c>
      <c r="Z29" s="91">
        <f t="shared" ref="Z29:Z50" ca="1" si="5">IF(X29&lt;&gt;0,U29/X29,0)</f>
        <v>0</v>
      </c>
      <c r="AA29" s="89">
        <f ca="1">_xll.DBRW($B$9,$C$18,$C$19,AA$26,AA$25,$C$21,$C$22,$B29,AA$27)</f>
        <v>0</v>
      </c>
      <c r="AB29" s="19">
        <f ca="1">_xll.DBRW($B$9,$C$18,$C$19,AA$26,AA$25,$C$21,$C$22,$B29,AB$27)</f>
        <v>0</v>
      </c>
      <c r="AC29" s="90">
        <f ca="1">_xll.DBRW($B$9,$C$18,$C$19,AA$26,AA$25,$C$21,$C$22,$B29,AC$27)</f>
        <v>0</v>
      </c>
      <c r="AD29" s="89">
        <f ca="1">_xll.DBRW($B$9,$C$18,$C$19,AD$26,AD$25,$C$21,$C$22,$B29,AD$27)</f>
        <v>0</v>
      </c>
      <c r="AE29" s="19">
        <f ca="1">_xll.DBRW($B$9,$C$18,$C$19,AD$26,AD$25,$C$21,$C$22,$B29,AE$27)</f>
        <v>0</v>
      </c>
      <c r="AF29" s="27">
        <f ca="1">_xll.DBRW($B$9,$C$18,$C$19,AD$26,AD$25,$C$21,$C$22,$B29,AF$27)</f>
        <v>0</v>
      </c>
      <c r="AG29" s="121">
        <f t="shared" ref="AG29:AG50" ca="1" si="6">IF(AD29&lt;&gt;0,AA29/AD29,0)</f>
        <v>0</v>
      </c>
      <c r="AH29" s="121">
        <f t="shared" ref="AH29:AH50" ca="1" si="7">IF(AF29&lt;&gt;0,AC29/AF29,0)</f>
        <v>0</v>
      </c>
    </row>
    <row r="30" spans="1:34">
      <c r="A30">
        <f ca="1">IF(_xll.TM1RPTELISCONSOLIDATED($B$28,$B30),IF(_xll.TM1RPTELLEV($B$28,$B30)&lt;=3,_xll.TM1RPTELLEV($B$28,$B30),"D"),"N")</f>
        <v>1</v>
      </c>
      <c r="B30" s="122" t="s">
        <v>171</v>
      </c>
      <c r="C30" s="89">
        <f ca="1">_xll.DBRW($B$9,$C$18,$C$19,C$26,C$25,$C$21,$C$22,$B30,C$27)</f>
        <v>0</v>
      </c>
      <c r="D30" s="19">
        <f ca="1">_xll.DBRW($B$9,$C$18,$C$19,C$26,C$25,$C$21,$C$22,$B30,D$27)</f>
        <v>0</v>
      </c>
      <c r="E30" s="90">
        <f ca="1">_xll.DBRW($B$9,$C$18,$C$19,C$26,C$25,$C$21,$C$22,$B30,E$27)</f>
        <v>0</v>
      </c>
      <c r="F30" s="89">
        <f ca="1">_xll.DBRW($B$9,$C$18,$C$19,F$26,F$25,$C$21,$C$22,$B30,F$27)</f>
        <v>0</v>
      </c>
      <c r="G30" s="19">
        <f ca="1">_xll.DBRW($B$9,$C$18,$C$19,F$26,F$25,$C$21,$C$22,$B30,G$27)</f>
        <v>0</v>
      </c>
      <c r="H30" s="27">
        <f ca="1">_xll.DBRW($B$9,$C$18,$C$19,F$26,F$25,$C$21,$C$22,$B30,H$27)</f>
        <v>0</v>
      </c>
      <c r="I30" s="91">
        <f t="shared" ca="1" si="0"/>
        <v>0</v>
      </c>
      <c r="J30" s="92">
        <f t="shared" ca="1" si="1"/>
        <v>0</v>
      </c>
      <c r="K30" s="89">
        <f ca="1">_xll.DBRW($B$9,$C$18,$C$19,K$26,K$25,$C$21,$C$22,$B30,K$27)</f>
        <v>0</v>
      </c>
      <c r="L30" s="19">
        <f ca="1">_xll.DBRW($B$9,$C$18,$C$19,K$26,K$25,$C$21,$C$22,$B30,L$27)</f>
        <v>0</v>
      </c>
      <c r="M30" s="90">
        <f ca="1">_xll.DBRW($B$9,$C$18,$C$19,K$26,K$25,$C$21,$C$22,$B30,M$27)</f>
        <v>0</v>
      </c>
      <c r="N30" s="89">
        <f ca="1">_xll.DBRW($B$9,$C$18,$C$19,N$26,N$25,$C$21,$C$22,$B30,N$27)</f>
        <v>0</v>
      </c>
      <c r="O30" s="19">
        <f ca="1">_xll.DBRW($B$9,$C$18,$C$19,N$26,N$25,$C$21,$C$22,$B30,O$27)</f>
        <v>0</v>
      </c>
      <c r="P30" s="90">
        <f ca="1">_xll.DBRW($B$9,$C$18,$C$19,N$26,N$25,$C$21,$C$22,$B30,P$27)</f>
        <v>0</v>
      </c>
      <c r="Q30" s="91">
        <f t="shared" ca="1" si="2"/>
        <v>0</v>
      </c>
      <c r="R30" s="91">
        <f t="shared" ca="1" si="3"/>
        <v>0</v>
      </c>
      <c r="S30" s="89">
        <f ca="1">_xll.DBRW($B$9,$C$18,$C$19,S$26,S$25,$C$21,$C$22,$B30,S$27)</f>
        <v>0</v>
      </c>
      <c r="T30" s="19">
        <f ca="1">_xll.DBRW($B$9,$C$18,$C$19,S$26,S$25,$C$21,$C$22,$B30,T$27)</f>
        <v>0</v>
      </c>
      <c r="U30" s="90">
        <f ca="1">_xll.DBRW($B$9,$C$18,$C$19,S$26,S$25,$C$21,$C$22,$B30,U$27)</f>
        <v>0</v>
      </c>
      <c r="V30" s="89">
        <f ca="1">_xll.DBRW($B$9,$C$18,$C$19,V$26,V$25,$C$21,$C$22,$B30,V$27)</f>
        <v>0</v>
      </c>
      <c r="W30" s="19">
        <f ca="1">_xll.DBRW($B$9,$C$18,$C$19,V$26,V$25,$C$21,$C$22,$B30,W$27)</f>
        <v>0</v>
      </c>
      <c r="X30" s="90">
        <f ca="1">_xll.DBRW($B$9,$C$18,$C$19,V$26,V$25,$C$21,$C$22,$B30,X$27)</f>
        <v>0</v>
      </c>
      <c r="Y30" s="91">
        <f t="shared" ca="1" si="4"/>
        <v>0</v>
      </c>
      <c r="Z30" s="91">
        <f t="shared" ca="1" si="5"/>
        <v>0</v>
      </c>
      <c r="AA30" s="89">
        <f ca="1">_xll.DBRW($B$9,$C$18,$C$19,AA$26,AA$25,$C$21,$C$22,$B30,AA$27)</f>
        <v>0</v>
      </c>
      <c r="AB30" s="19">
        <f ca="1">_xll.DBRW($B$9,$C$18,$C$19,AA$26,AA$25,$C$21,$C$22,$B30,AB$27)</f>
        <v>0</v>
      </c>
      <c r="AC30" s="90">
        <f ca="1">_xll.DBRW($B$9,$C$18,$C$19,AA$26,AA$25,$C$21,$C$22,$B30,AC$27)</f>
        <v>0</v>
      </c>
      <c r="AD30" s="89">
        <f ca="1">_xll.DBRW($B$9,$C$18,$C$19,AD$26,AD$25,$C$21,$C$22,$B30,AD$27)</f>
        <v>0</v>
      </c>
      <c r="AE30" s="19">
        <f ca="1">_xll.DBRW($B$9,$C$18,$C$19,AD$26,AD$25,$C$21,$C$22,$B30,AE$27)</f>
        <v>0</v>
      </c>
      <c r="AF30" s="27">
        <f ca="1">_xll.DBRW($B$9,$C$18,$C$19,AD$26,AD$25,$C$21,$C$22,$B30,AF$27)</f>
        <v>0</v>
      </c>
      <c r="AG30" s="121">
        <f t="shared" ca="1" si="6"/>
        <v>0</v>
      </c>
      <c r="AH30" s="121">
        <f t="shared" ca="1" si="7"/>
        <v>0</v>
      </c>
    </row>
    <row r="31" spans="1:34">
      <c r="A31">
        <f ca="1">IF(_xll.TM1RPTELISCONSOLIDATED($B$28,$B31),IF(_xll.TM1RPTELLEV($B$28,$B31)&lt;=3,_xll.TM1RPTELLEV($B$28,$B31),"D"),"N")</f>
        <v>1</v>
      </c>
      <c r="B31" s="122" t="s">
        <v>172</v>
      </c>
      <c r="C31" s="89">
        <f ca="1">_xll.DBRW($B$9,$C$18,$C$19,C$26,C$25,$C$21,$C$22,$B31,C$27)</f>
        <v>0</v>
      </c>
      <c r="D31" s="19">
        <f ca="1">_xll.DBRW($B$9,$C$18,$C$19,C$26,C$25,$C$21,$C$22,$B31,D$27)</f>
        <v>0</v>
      </c>
      <c r="E31" s="90">
        <f ca="1">_xll.DBRW($B$9,$C$18,$C$19,C$26,C$25,$C$21,$C$22,$B31,E$27)</f>
        <v>0</v>
      </c>
      <c r="F31" s="89">
        <f ca="1">_xll.DBRW($B$9,$C$18,$C$19,F$26,F$25,$C$21,$C$22,$B31,F$27)</f>
        <v>0</v>
      </c>
      <c r="G31" s="19">
        <f ca="1">_xll.DBRW($B$9,$C$18,$C$19,F$26,F$25,$C$21,$C$22,$B31,G$27)</f>
        <v>0</v>
      </c>
      <c r="H31" s="27">
        <f ca="1">_xll.DBRW($B$9,$C$18,$C$19,F$26,F$25,$C$21,$C$22,$B31,H$27)</f>
        <v>0</v>
      </c>
      <c r="I31" s="91">
        <f t="shared" ca="1" si="0"/>
        <v>0</v>
      </c>
      <c r="J31" s="92">
        <f t="shared" ca="1" si="1"/>
        <v>0</v>
      </c>
      <c r="K31" s="89">
        <f ca="1">_xll.DBRW($B$9,$C$18,$C$19,K$26,K$25,$C$21,$C$22,$B31,K$27)</f>
        <v>0</v>
      </c>
      <c r="L31" s="19">
        <f ca="1">_xll.DBRW($B$9,$C$18,$C$19,K$26,K$25,$C$21,$C$22,$B31,L$27)</f>
        <v>0</v>
      </c>
      <c r="M31" s="90">
        <f ca="1">_xll.DBRW($B$9,$C$18,$C$19,K$26,K$25,$C$21,$C$22,$B31,M$27)</f>
        <v>0</v>
      </c>
      <c r="N31" s="89">
        <f ca="1">_xll.DBRW($B$9,$C$18,$C$19,N$26,N$25,$C$21,$C$22,$B31,N$27)</f>
        <v>0</v>
      </c>
      <c r="O31" s="19">
        <f ca="1">_xll.DBRW($B$9,$C$18,$C$19,N$26,N$25,$C$21,$C$22,$B31,O$27)</f>
        <v>0</v>
      </c>
      <c r="P31" s="90">
        <f ca="1">_xll.DBRW($B$9,$C$18,$C$19,N$26,N$25,$C$21,$C$22,$B31,P$27)</f>
        <v>0</v>
      </c>
      <c r="Q31" s="91">
        <f t="shared" ca="1" si="2"/>
        <v>0</v>
      </c>
      <c r="R31" s="91">
        <f t="shared" ca="1" si="3"/>
        <v>0</v>
      </c>
      <c r="S31" s="89">
        <f ca="1">_xll.DBRW($B$9,$C$18,$C$19,S$26,S$25,$C$21,$C$22,$B31,S$27)</f>
        <v>0</v>
      </c>
      <c r="T31" s="19">
        <f ca="1">_xll.DBRW($B$9,$C$18,$C$19,S$26,S$25,$C$21,$C$22,$B31,T$27)</f>
        <v>0</v>
      </c>
      <c r="U31" s="90">
        <f ca="1">_xll.DBRW($B$9,$C$18,$C$19,S$26,S$25,$C$21,$C$22,$B31,U$27)</f>
        <v>0</v>
      </c>
      <c r="V31" s="89">
        <f ca="1">_xll.DBRW($B$9,$C$18,$C$19,V$26,V$25,$C$21,$C$22,$B31,V$27)</f>
        <v>0</v>
      </c>
      <c r="W31" s="19">
        <f ca="1">_xll.DBRW($B$9,$C$18,$C$19,V$26,V$25,$C$21,$C$22,$B31,W$27)</f>
        <v>0</v>
      </c>
      <c r="X31" s="90">
        <f ca="1">_xll.DBRW($B$9,$C$18,$C$19,V$26,V$25,$C$21,$C$22,$B31,X$27)</f>
        <v>0</v>
      </c>
      <c r="Y31" s="91">
        <f t="shared" ca="1" si="4"/>
        <v>0</v>
      </c>
      <c r="Z31" s="91">
        <f t="shared" ca="1" si="5"/>
        <v>0</v>
      </c>
      <c r="AA31" s="89">
        <f ca="1">_xll.DBRW($B$9,$C$18,$C$19,AA$26,AA$25,$C$21,$C$22,$B31,AA$27)</f>
        <v>0</v>
      </c>
      <c r="AB31" s="19">
        <f ca="1">_xll.DBRW($B$9,$C$18,$C$19,AA$26,AA$25,$C$21,$C$22,$B31,AB$27)</f>
        <v>0</v>
      </c>
      <c r="AC31" s="90">
        <f ca="1">_xll.DBRW($B$9,$C$18,$C$19,AA$26,AA$25,$C$21,$C$22,$B31,AC$27)</f>
        <v>0</v>
      </c>
      <c r="AD31" s="89">
        <f ca="1">_xll.DBRW($B$9,$C$18,$C$19,AD$26,AD$25,$C$21,$C$22,$B31,AD$27)</f>
        <v>0</v>
      </c>
      <c r="AE31" s="19">
        <f ca="1">_xll.DBRW($B$9,$C$18,$C$19,AD$26,AD$25,$C$21,$C$22,$B31,AE$27)</f>
        <v>0</v>
      </c>
      <c r="AF31" s="27">
        <f ca="1">_xll.DBRW($B$9,$C$18,$C$19,AD$26,AD$25,$C$21,$C$22,$B31,AF$27)</f>
        <v>0</v>
      </c>
      <c r="AG31" s="121">
        <f t="shared" ca="1" si="6"/>
        <v>0</v>
      </c>
      <c r="AH31" s="121">
        <f t="shared" ca="1" si="7"/>
        <v>0</v>
      </c>
    </row>
    <row r="32" spans="1:34">
      <c r="A32">
        <f ca="1">IF(_xll.TM1RPTELISCONSOLIDATED($B$28,$B32),IF(_xll.TM1RPTELLEV($B$28,$B32)&lt;=3,_xll.TM1RPTELLEV($B$28,$B32),"D"),"N")</f>
        <v>1</v>
      </c>
      <c r="B32" s="122" t="s">
        <v>173</v>
      </c>
      <c r="C32" s="89">
        <f ca="1">_xll.DBRW($B$9,$C$18,$C$19,C$26,C$25,$C$21,$C$22,$B32,C$27)</f>
        <v>0</v>
      </c>
      <c r="D32" s="19">
        <f ca="1">_xll.DBRW($B$9,$C$18,$C$19,C$26,C$25,$C$21,$C$22,$B32,D$27)</f>
        <v>0</v>
      </c>
      <c r="E32" s="90">
        <f ca="1">_xll.DBRW($B$9,$C$18,$C$19,C$26,C$25,$C$21,$C$22,$B32,E$27)</f>
        <v>0</v>
      </c>
      <c r="F32" s="89">
        <f ca="1">_xll.DBRW($B$9,$C$18,$C$19,F$26,F$25,$C$21,$C$22,$B32,F$27)</f>
        <v>0</v>
      </c>
      <c r="G32" s="19">
        <f ca="1">_xll.DBRW($B$9,$C$18,$C$19,F$26,F$25,$C$21,$C$22,$B32,G$27)</f>
        <v>0</v>
      </c>
      <c r="H32" s="27">
        <f ca="1">_xll.DBRW($B$9,$C$18,$C$19,F$26,F$25,$C$21,$C$22,$B32,H$27)</f>
        <v>0</v>
      </c>
      <c r="I32" s="91">
        <f t="shared" ca="1" si="0"/>
        <v>0</v>
      </c>
      <c r="J32" s="92">
        <f t="shared" ca="1" si="1"/>
        <v>0</v>
      </c>
      <c r="K32" s="89">
        <f ca="1">_xll.DBRW($B$9,$C$18,$C$19,K$26,K$25,$C$21,$C$22,$B32,K$27)</f>
        <v>0</v>
      </c>
      <c r="L32" s="19">
        <f ca="1">_xll.DBRW($B$9,$C$18,$C$19,K$26,K$25,$C$21,$C$22,$B32,L$27)</f>
        <v>0</v>
      </c>
      <c r="M32" s="90">
        <f ca="1">_xll.DBRW($B$9,$C$18,$C$19,K$26,K$25,$C$21,$C$22,$B32,M$27)</f>
        <v>0</v>
      </c>
      <c r="N32" s="89">
        <f ca="1">_xll.DBRW($B$9,$C$18,$C$19,N$26,N$25,$C$21,$C$22,$B32,N$27)</f>
        <v>0</v>
      </c>
      <c r="O32" s="19">
        <f ca="1">_xll.DBRW($B$9,$C$18,$C$19,N$26,N$25,$C$21,$C$22,$B32,O$27)</f>
        <v>0</v>
      </c>
      <c r="P32" s="90">
        <f ca="1">_xll.DBRW($B$9,$C$18,$C$19,N$26,N$25,$C$21,$C$22,$B32,P$27)</f>
        <v>0</v>
      </c>
      <c r="Q32" s="91">
        <f t="shared" ca="1" si="2"/>
        <v>0</v>
      </c>
      <c r="R32" s="91">
        <f t="shared" ca="1" si="3"/>
        <v>0</v>
      </c>
      <c r="S32" s="89">
        <f ca="1">_xll.DBRW($B$9,$C$18,$C$19,S$26,S$25,$C$21,$C$22,$B32,S$27)</f>
        <v>0</v>
      </c>
      <c r="T32" s="19">
        <f ca="1">_xll.DBRW($B$9,$C$18,$C$19,S$26,S$25,$C$21,$C$22,$B32,T$27)</f>
        <v>0</v>
      </c>
      <c r="U32" s="90">
        <f ca="1">_xll.DBRW($B$9,$C$18,$C$19,S$26,S$25,$C$21,$C$22,$B32,U$27)</f>
        <v>0</v>
      </c>
      <c r="V32" s="89">
        <f ca="1">_xll.DBRW($B$9,$C$18,$C$19,V$26,V$25,$C$21,$C$22,$B32,V$27)</f>
        <v>0</v>
      </c>
      <c r="W32" s="19">
        <f ca="1">_xll.DBRW($B$9,$C$18,$C$19,V$26,V$25,$C$21,$C$22,$B32,W$27)</f>
        <v>0</v>
      </c>
      <c r="X32" s="90">
        <f ca="1">_xll.DBRW($B$9,$C$18,$C$19,V$26,V$25,$C$21,$C$22,$B32,X$27)</f>
        <v>0</v>
      </c>
      <c r="Y32" s="91">
        <f t="shared" ca="1" si="4"/>
        <v>0</v>
      </c>
      <c r="Z32" s="91">
        <f t="shared" ca="1" si="5"/>
        <v>0</v>
      </c>
      <c r="AA32" s="89">
        <f ca="1">_xll.DBRW($B$9,$C$18,$C$19,AA$26,AA$25,$C$21,$C$22,$B32,AA$27)</f>
        <v>0</v>
      </c>
      <c r="AB32" s="19">
        <f ca="1">_xll.DBRW($B$9,$C$18,$C$19,AA$26,AA$25,$C$21,$C$22,$B32,AB$27)</f>
        <v>0</v>
      </c>
      <c r="AC32" s="90">
        <f ca="1">_xll.DBRW($B$9,$C$18,$C$19,AA$26,AA$25,$C$21,$C$22,$B32,AC$27)</f>
        <v>0</v>
      </c>
      <c r="AD32" s="89">
        <f ca="1">_xll.DBRW($B$9,$C$18,$C$19,AD$26,AD$25,$C$21,$C$22,$B32,AD$27)</f>
        <v>0</v>
      </c>
      <c r="AE32" s="19">
        <f ca="1">_xll.DBRW($B$9,$C$18,$C$19,AD$26,AD$25,$C$21,$C$22,$B32,AE$27)</f>
        <v>0</v>
      </c>
      <c r="AF32" s="27">
        <f ca="1">_xll.DBRW($B$9,$C$18,$C$19,AD$26,AD$25,$C$21,$C$22,$B32,AF$27)</f>
        <v>0</v>
      </c>
      <c r="AG32" s="121">
        <f t="shared" ca="1" si="6"/>
        <v>0</v>
      </c>
      <c r="AH32" s="121">
        <f t="shared" ca="1" si="7"/>
        <v>0</v>
      </c>
    </row>
    <row r="33" spans="1:34">
      <c r="A33">
        <f ca="1">IF(_xll.TM1RPTELISCONSOLIDATED($B$28,$B33),IF(_xll.TM1RPTELLEV($B$28,$B33)&lt;=3,_xll.TM1RPTELLEV($B$28,$B33),"D"),"N")</f>
        <v>1</v>
      </c>
      <c r="B33" s="122" t="s">
        <v>174</v>
      </c>
      <c r="C33" s="89">
        <f ca="1">_xll.DBRW($B$9,$C$18,$C$19,C$26,C$25,$C$21,$C$22,$B33,C$27)</f>
        <v>0</v>
      </c>
      <c r="D33" s="19">
        <f ca="1">_xll.DBRW($B$9,$C$18,$C$19,C$26,C$25,$C$21,$C$22,$B33,D$27)</f>
        <v>0</v>
      </c>
      <c r="E33" s="90">
        <f ca="1">_xll.DBRW($B$9,$C$18,$C$19,C$26,C$25,$C$21,$C$22,$B33,E$27)</f>
        <v>0</v>
      </c>
      <c r="F33" s="89">
        <f ca="1">_xll.DBRW($B$9,$C$18,$C$19,F$26,F$25,$C$21,$C$22,$B33,F$27)</f>
        <v>0</v>
      </c>
      <c r="G33" s="19">
        <f ca="1">_xll.DBRW($B$9,$C$18,$C$19,F$26,F$25,$C$21,$C$22,$B33,G$27)</f>
        <v>0</v>
      </c>
      <c r="H33" s="27">
        <f ca="1">_xll.DBRW($B$9,$C$18,$C$19,F$26,F$25,$C$21,$C$22,$B33,H$27)</f>
        <v>0</v>
      </c>
      <c r="I33" s="91">
        <f t="shared" ca="1" si="0"/>
        <v>0</v>
      </c>
      <c r="J33" s="92">
        <f t="shared" ca="1" si="1"/>
        <v>0</v>
      </c>
      <c r="K33" s="89">
        <f ca="1">_xll.DBRW($B$9,$C$18,$C$19,K$26,K$25,$C$21,$C$22,$B33,K$27)</f>
        <v>0</v>
      </c>
      <c r="L33" s="19">
        <f ca="1">_xll.DBRW($B$9,$C$18,$C$19,K$26,K$25,$C$21,$C$22,$B33,L$27)</f>
        <v>0</v>
      </c>
      <c r="M33" s="90">
        <f ca="1">_xll.DBRW($B$9,$C$18,$C$19,K$26,K$25,$C$21,$C$22,$B33,M$27)</f>
        <v>0</v>
      </c>
      <c r="N33" s="89">
        <f ca="1">_xll.DBRW($B$9,$C$18,$C$19,N$26,N$25,$C$21,$C$22,$B33,N$27)</f>
        <v>0</v>
      </c>
      <c r="O33" s="19">
        <f ca="1">_xll.DBRW($B$9,$C$18,$C$19,N$26,N$25,$C$21,$C$22,$B33,O$27)</f>
        <v>0</v>
      </c>
      <c r="P33" s="90">
        <f ca="1">_xll.DBRW($B$9,$C$18,$C$19,N$26,N$25,$C$21,$C$22,$B33,P$27)</f>
        <v>0</v>
      </c>
      <c r="Q33" s="91">
        <f t="shared" ca="1" si="2"/>
        <v>0</v>
      </c>
      <c r="R33" s="91">
        <f t="shared" ca="1" si="3"/>
        <v>0</v>
      </c>
      <c r="S33" s="89">
        <f ca="1">_xll.DBRW($B$9,$C$18,$C$19,S$26,S$25,$C$21,$C$22,$B33,S$27)</f>
        <v>0</v>
      </c>
      <c r="T33" s="19">
        <f ca="1">_xll.DBRW($B$9,$C$18,$C$19,S$26,S$25,$C$21,$C$22,$B33,T$27)</f>
        <v>0</v>
      </c>
      <c r="U33" s="90">
        <f ca="1">_xll.DBRW($B$9,$C$18,$C$19,S$26,S$25,$C$21,$C$22,$B33,U$27)</f>
        <v>0</v>
      </c>
      <c r="V33" s="89">
        <f ca="1">_xll.DBRW($B$9,$C$18,$C$19,V$26,V$25,$C$21,$C$22,$B33,V$27)</f>
        <v>0</v>
      </c>
      <c r="W33" s="19">
        <f ca="1">_xll.DBRW($B$9,$C$18,$C$19,V$26,V$25,$C$21,$C$22,$B33,W$27)</f>
        <v>0</v>
      </c>
      <c r="X33" s="90">
        <f ca="1">_xll.DBRW($B$9,$C$18,$C$19,V$26,V$25,$C$21,$C$22,$B33,X$27)</f>
        <v>0</v>
      </c>
      <c r="Y33" s="91">
        <f t="shared" ca="1" si="4"/>
        <v>0</v>
      </c>
      <c r="Z33" s="91">
        <f t="shared" ca="1" si="5"/>
        <v>0</v>
      </c>
      <c r="AA33" s="89">
        <f ca="1">_xll.DBRW($B$9,$C$18,$C$19,AA$26,AA$25,$C$21,$C$22,$B33,AA$27)</f>
        <v>0</v>
      </c>
      <c r="AB33" s="19">
        <f ca="1">_xll.DBRW($B$9,$C$18,$C$19,AA$26,AA$25,$C$21,$C$22,$B33,AB$27)</f>
        <v>0</v>
      </c>
      <c r="AC33" s="90">
        <f ca="1">_xll.DBRW($B$9,$C$18,$C$19,AA$26,AA$25,$C$21,$C$22,$B33,AC$27)</f>
        <v>0</v>
      </c>
      <c r="AD33" s="89">
        <f ca="1">_xll.DBRW($B$9,$C$18,$C$19,AD$26,AD$25,$C$21,$C$22,$B33,AD$27)</f>
        <v>0</v>
      </c>
      <c r="AE33" s="19">
        <f ca="1">_xll.DBRW($B$9,$C$18,$C$19,AD$26,AD$25,$C$21,$C$22,$B33,AE$27)</f>
        <v>0</v>
      </c>
      <c r="AF33" s="27">
        <f ca="1">_xll.DBRW($B$9,$C$18,$C$19,AD$26,AD$25,$C$21,$C$22,$B33,AF$27)</f>
        <v>0</v>
      </c>
      <c r="AG33" s="121">
        <f t="shared" ca="1" si="6"/>
        <v>0</v>
      </c>
      <c r="AH33" s="121">
        <f t="shared" ca="1" si="7"/>
        <v>0</v>
      </c>
    </row>
    <row r="34" spans="1:34">
      <c r="A34">
        <f ca="1">IF(_xll.TM1RPTELISCONSOLIDATED($B$28,$B34),IF(_xll.TM1RPTELLEV($B$28,$B34)&lt;=3,_xll.TM1RPTELLEV($B$28,$B34),"D"),"N")</f>
        <v>1</v>
      </c>
      <c r="B34" s="122" t="s">
        <v>175</v>
      </c>
      <c r="C34" s="89">
        <f ca="1">_xll.DBRW($B$9,$C$18,$C$19,C$26,C$25,$C$21,$C$22,$B34,C$27)</f>
        <v>0</v>
      </c>
      <c r="D34" s="19">
        <f ca="1">_xll.DBRW($B$9,$C$18,$C$19,C$26,C$25,$C$21,$C$22,$B34,D$27)</f>
        <v>0</v>
      </c>
      <c r="E34" s="90">
        <f ca="1">_xll.DBRW($B$9,$C$18,$C$19,C$26,C$25,$C$21,$C$22,$B34,E$27)</f>
        <v>0</v>
      </c>
      <c r="F34" s="89">
        <f ca="1">_xll.DBRW($B$9,$C$18,$C$19,F$26,F$25,$C$21,$C$22,$B34,F$27)</f>
        <v>0</v>
      </c>
      <c r="G34" s="19">
        <f ca="1">_xll.DBRW($B$9,$C$18,$C$19,F$26,F$25,$C$21,$C$22,$B34,G$27)</f>
        <v>0</v>
      </c>
      <c r="H34" s="27">
        <f ca="1">_xll.DBRW($B$9,$C$18,$C$19,F$26,F$25,$C$21,$C$22,$B34,H$27)</f>
        <v>0</v>
      </c>
      <c r="I34" s="91">
        <f t="shared" ca="1" si="0"/>
        <v>0</v>
      </c>
      <c r="J34" s="92">
        <f t="shared" ca="1" si="1"/>
        <v>0</v>
      </c>
      <c r="K34" s="89">
        <f ca="1">_xll.DBRW($B$9,$C$18,$C$19,K$26,K$25,$C$21,$C$22,$B34,K$27)</f>
        <v>0</v>
      </c>
      <c r="L34" s="19">
        <f ca="1">_xll.DBRW($B$9,$C$18,$C$19,K$26,K$25,$C$21,$C$22,$B34,L$27)</f>
        <v>0</v>
      </c>
      <c r="M34" s="90">
        <f ca="1">_xll.DBRW($B$9,$C$18,$C$19,K$26,K$25,$C$21,$C$22,$B34,M$27)</f>
        <v>0</v>
      </c>
      <c r="N34" s="89">
        <f ca="1">_xll.DBRW($B$9,$C$18,$C$19,N$26,N$25,$C$21,$C$22,$B34,N$27)</f>
        <v>0</v>
      </c>
      <c r="O34" s="19">
        <f ca="1">_xll.DBRW($B$9,$C$18,$C$19,N$26,N$25,$C$21,$C$22,$B34,O$27)</f>
        <v>0</v>
      </c>
      <c r="P34" s="90">
        <f ca="1">_xll.DBRW($B$9,$C$18,$C$19,N$26,N$25,$C$21,$C$22,$B34,P$27)</f>
        <v>0</v>
      </c>
      <c r="Q34" s="91">
        <f t="shared" ca="1" si="2"/>
        <v>0</v>
      </c>
      <c r="R34" s="91">
        <f t="shared" ca="1" si="3"/>
        <v>0</v>
      </c>
      <c r="S34" s="89">
        <f ca="1">_xll.DBRW($B$9,$C$18,$C$19,S$26,S$25,$C$21,$C$22,$B34,S$27)</f>
        <v>0</v>
      </c>
      <c r="T34" s="19">
        <f ca="1">_xll.DBRW($B$9,$C$18,$C$19,S$26,S$25,$C$21,$C$22,$B34,T$27)</f>
        <v>0</v>
      </c>
      <c r="U34" s="90">
        <f ca="1">_xll.DBRW($B$9,$C$18,$C$19,S$26,S$25,$C$21,$C$22,$B34,U$27)</f>
        <v>0</v>
      </c>
      <c r="V34" s="89">
        <f ca="1">_xll.DBRW($B$9,$C$18,$C$19,V$26,V$25,$C$21,$C$22,$B34,V$27)</f>
        <v>0</v>
      </c>
      <c r="W34" s="19">
        <f ca="1">_xll.DBRW($B$9,$C$18,$C$19,V$26,V$25,$C$21,$C$22,$B34,W$27)</f>
        <v>0</v>
      </c>
      <c r="X34" s="90">
        <f ca="1">_xll.DBRW($B$9,$C$18,$C$19,V$26,V$25,$C$21,$C$22,$B34,X$27)</f>
        <v>0</v>
      </c>
      <c r="Y34" s="91">
        <f t="shared" ca="1" si="4"/>
        <v>0</v>
      </c>
      <c r="Z34" s="91">
        <f t="shared" ca="1" si="5"/>
        <v>0</v>
      </c>
      <c r="AA34" s="89">
        <f ca="1">_xll.DBRW($B$9,$C$18,$C$19,AA$26,AA$25,$C$21,$C$22,$B34,AA$27)</f>
        <v>0</v>
      </c>
      <c r="AB34" s="19">
        <f ca="1">_xll.DBRW($B$9,$C$18,$C$19,AA$26,AA$25,$C$21,$C$22,$B34,AB$27)</f>
        <v>0</v>
      </c>
      <c r="AC34" s="90">
        <f ca="1">_xll.DBRW($B$9,$C$18,$C$19,AA$26,AA$25,$C$21,$C$22,$B34,AC$27)</f>
        <v>0</v>
      </c>
      <c r="AD34" s="89">
        <f ca="1">_xll.DBRW($B$9,$C$18,$C$19,AD$26,AD$25,$C$21,$C$22,$B34,AD$27)</f>
        <v>0</v>
      </c>
      <c r="AE34" s="19">
        <f ca="1">_xll.DBRW($B$9,$C$18,$C$19,AD$26,AD$25,$C$21,$C$22,$B34,AE$27)</f>
        <v>0</v>
      </c>
      <c r="AF34" s="27">
        <f ca="1">_xll.DBRW($B$9,$C$18,$C$19,AD$26,AD$25,$C$21,$C$22,$B34,AF$27)</f>
        <v>0</v>
      </c>
      <c r="AG34" s="121">
        <f t="shared" ca="1" si="6"/>
        <v>0</v>
      </c>
      <c r="AH34" s="121">
        <f t="shared" ca="1" si="7"/>
        <v>0</v>
      </c>
    </row>
    <row r="35" spans="1:34">
      <c r="A35">
        <f ca="1">IF(_xll.TM1RPTELISCONSOLIDATED($B$28,$B35),IF(_xll.TM1RPTELLEV($B$28,$B35)&lt;=3,_xll.TM1RPTELLEV($B$28,$B35),"D"),"N")</f>
        <v>1</v>
      </c>
      <c r="B35" s="122" t="s">
        <v>176</v>
      </c>
      <c r="C35" s="89">
        <f ca="1">_xll.DBRW($B$9,$C$18,$C$19,C$26,C$25,$C$21,$C$22,$B35,C$27)</f>
        <v>0</v>
      </c>
      <c r="D35" s="19">
        <f ca="1">_xll.DBRW($B$9,$C$18,$C$19,C$26,C$25,$C$21,$C$22,$B35,D$27)</f>
        <v>0</v>
      </c>
      <c r="E35" s="90">
        <f ca="1">_xll.DBRW($B$9,$C$18,$C$19,C$26,C$25,$C$21,$C$22,$B35,E$27)</f>
        <v>0</v>
      </c>
      <c r="F35" s="89">
        <f ca="1">_xll.DBRW($B$9,$C$18,$C$19,F$26,F$25,$C$21,$C$22,$B35,F$27)</f>
        <v>0</v>
      </c>
      <c r="G35" s="19">
        <f ca="1">_xll.DBRW($B$9,$C$18,$C$19,F$26,F$25,$C$21,$C$22,$B35,G$27)</f>
        <v>0</v>
      </c>
      <c r="H35" s="27">
        <f ca="1">_xll.DBRW($B$9,$C$18,$C$19,F$26,F$25,$C$21,$C$22,$B35,H$27)</f>
        <v>0</v>
      </c>
      <c r="I35" s="91">
        <f t="shared" ca="1" si="0"/>
        <v>0</v>
      </c>
      <c r="J35" s="92">
        <f t="shared" ca="1" si="1"/>
        <v>0</v>
      </c>
      <c r="K35" s="89">
        <f ca="1">_xll.DBRW($B$9,$C$18,$C$19,K$26,K$25,$C$21,$C$22,$B35,K$27)</f>
        <v>0</v>
      </c>
      <c r="L35" s="19">
        <f ca="1">_xll.DBRW($B$9,$C$18,$C$19,K$26,K$25,$C$21,$C$22,$B35,L$27)</f>
        <v>0</v>
      </c>
      <c r="M35" s="90">
        <f ca="1">_xll.DBRW($B$9,$C$18,$C$19,K$26,K$25,$C$21,$C$22,$B35,M$27)</f>
        <v>0</v>
      </c>
      <c r="N35" s="89">
        <f ca="1">_xll.DBRW($B$9,$C$18,$C$19,N$26,N$25,$C$21,$C$22,$B35,N$27)</f>
        <v>0</v>
      </c>
      <c r="O35" s="19">
        <f ca="1">_xll.DBRW($B$9,$C$18,$C$19,N$26,N$25,$C$21,$C$22,$B35,O$27)</f>
        <v>0</v>
      </c>
      <c r="P35" s="90">
        <f ca="1">_xll.DBRW($B$9,$C$18,$C$19,N$26,N$25,$C$21,$C$22,$B35,P$27)</f>
        <v>0</v>
      </c>
      <c r="Q35" s="91">
        <f t="shared" ca="1" si="2"/>
        <v>0</v>
      </c>
      <c r="R35" s="91">
        <f t="shared" ca="1" si="3"/>
        <v>0</v>
      </c>
      <c r="S35" s="89">
        <f ca="1">_xll.DBRW($B$9,$C$18,$C$19,S$26,S$25,$C$21,$C$22,$B35,S$27)</f>
        <v>0</v>
      </c>
      <c r="T35" s="19">
        <f ca="1">_xll.DBRW($B$9,$C$18,$C$19,S$26,S$25,$C$21,$C$22,$B35,T$27)</f>
        <v>0</v>
      </c>
      <c r="U35" s="90">
        <f ca="1">_xll.DBRW($B$9,$C$18,$C$19,S$26,S$25,$C$21,$C$22,$B35,U$27)</f>
        <v>0</v>
      </c>
      <c r="V35" s="89">
        <f ca="1">_xll.DBRW($B$9,$C$18,$C$19,V$26,V$25,$C$21,$C$22,$B35,V$27)</f>
        <v>0</v>
      </c>
      <c r="W35" s="19">
        <f ca="1">_xll.DBRW($B$9,$C$18,$C$19,V$26,V$25,$C$21,$C$22,$B35,W$27)</f>
        <v>0</v>
      </c>
      <c r="X35" s="90">
        <f ca="1">_xll.DBRW($B$9,$C$18,$C$19,V$26,V$25,$C$21,$C$22,$B35,X$27)</f>
        <v>0</v>
      </c>
      <c r="Y35" s="91">
        <f t="shared" ca="1" si="4"/>
        <v>0</v>
      </c>
      <c r="Z35" s="91">
        <f t="shared" ca="1" si="5"/>
        <v>0</v>
      </c>
      <c r="AA35" s="89">
        <f ca="1">_xll.DBRW($B$9,$C$18,$C$19,AA$26,AA$25,$C$21,$C$22,$B35,AA$27)</f>
        <v>0</v>
      </c>
      <c r="AB35" s="19">
        <f ca="1">_xll.DBRW($B$9,$C$18,$C$19,AA$26,AA$25,$C$21,$C$22,$B35,AB$27)</f>
        <v>0</v>
      </c>
      <c r="AC35" s="90">
        <f ca="1">_xll.DBRW($B$9,$C$18,$C$19,AA$26,AA$25,$C$21,$C$22,$B35,AC$27)</f>
        <v>0</v>
      </c>
      <c r="AD35" s="89">
        <f ca="1">_xll.DBRW($B$9,$C$18,$C$19,AD$26,AD$25,$C$21,$C$22,$B35,AD$27)</f>
        <v>0</v>
      </c>
      <c r="AE35" s="19">
        <f ca="1">_xll.DBRW($B$9,$C$18,$C$19,AD$26,AD$25,$C$21,$C$22,$B35,AE$27)</f>
        <v>0</v>
      </c>
      <c r="AF35" s="27">
        <f ca="1">_xll.DBRW($B$9,$C$18,$C$19,AD$26,AD$25,$C$21,$C$22,$B35,AF$27)</f>
        <v>0</v>
      </c>
      <c r="AG35" s="121">
        <f t="shared" ca="1" si="6"/>
        <v>0</v>
      </c>
      <c r="AH35" s="121">
        <f t="shared" ca="1" si="7"/>
        <v>0</v>
      </c>
    </row>
    <row r="36" spans="1:34">
      <c r="A36">
        <f ca="1">IF(_xll.TM1RPTELISCONSOLIDATED($B$28,$B36),IF(_xll.TM1RPTELLEV($B$28,$B36)&lt;=3,_xll.TM1RPTELLEV($B$28,$B36),"D"),"N")</f>
        <v>1</v>
      </c>
      <c r="B36" s="122" t="s">
        <v>177</v>
      </c>
      <c r="C36" s="89">
        <f ca="1">_xll.DBRW($B$9,$C$18,$C$19,C$26,C$25,$C$21,$C$22,$B36,C$27)</f>
        <v>0</v>
      </c>
      <c r="D36" s="19">
        <f ca="1">_xll.DBRW($B$9,$C$18,$C$19,C$26,C$25,$C$21,$C$22,$B36,D$27)</f>
        <v>0</v>
      </c>
      <c r="E36" s="90">
        <f ca="1">_xll.DBRW($B$9,$C$18,$C$19,C$26,C$25,$C$21,$C$22,$B36,E$27)</f>
        <v>0</v>
      </c>
      <c r="F36" s="89">
        <f ca="1">_xll.DBRW($B$9,$C$18,$C$19,F$26,F$25,$C$21,$C$22,$B36,F$27)</f>
        <v>0</v>
      </c>
      <c r="G36" s="19">
        <f ca="1">_xll.DBRW($B$9,$C$18,$C$19,F$26,F$25,$C$21,$C$22,$B36,G$27)</f>
        <v>0</v>
      </c>
      <c r="H36" s="27">
        <f ca="1">_xll.DBRW($B$9,$C$18,$C$19,F$26,F$25,$C$21,$C$22,$B36,H$27)</f>
        <v>0</v>
      </c>
      <c r="I36" s="91">
        <f t="shared" ca="1" si="0"/>
        <v>0</v>
      </c>
      <c r="J36" s="92">
        <f t="shared" ca="1" si="1"/>
        <v>0</v>
      </c>
      <c r="K36" s="89">
        <f ca="1">_xll.DBRW($B$9,$C$18,$C$19,K$26,K$25,$C$21,$C$22,$B36,K$27)</f>
        <v>0</v>
      </c>
      <c r="L36" s="19">
        <f ca="1">_xll.DBRW($B$9,$C$18,$C$19,K$26,K$25,$C$21,$C$22,$B36,L$27)</f>
        <v>0</v>
      </c>
      <c r="M36" s="90">
        <f ca="1">_xll.DBRW($B$9,$C$18,$C$19,K$26,K$25,$C$21,$C$22,$B36,M$27)</f>
        <v>0</v>
      </c>
      <c r="N36" s="89">
        <f ca="1">_xll.DBRW($B$9,$C$18,$C$19,N$26,N$25,$C$21,$C$22,$B36,N$27)</f>
        <v>0</v>
      </c>
      <c r="O36" s="19">
        <f ca="1">_xll.DBRW($B$9,$C$18,$C$19,N$26,N$25,$C$21,$C$22,$B36,O$27)</f>
        <v>0</v>
      </c>
      <c r="P36" s="90">
        <f ca="1">_xll.DBRW($B$9,$C$18,$C$19,N$26,N$25,$C$21,$C$22,$B36,P$27)</f>
        <v>0</v>
      </c>
      <c r="Q36" s="91">
        <f t="shared" ca="1" si="2"/>
        <v>0</v>
      </c>
      <c r="R36" s="91">
        <f t="shared" ca="1" si="3"/>
        <v>0</v>
      </c>
      <c r="S36" s="89">
        <f ca="1">_xll.DBRW($B$9,$C$18,$C$19,S$26,S$25,$C$21,$C$22,$B36,S$27)</f>
        <v>0</v>
      </c>
      <c r="T36" s="19">
        <f ca="1">_xll.DBRW($B$9,$C$18,$C$19,S$26,S$25,$C$21,$C$22,$B36,T$27)</f>
        <v>0</v>
      </c>
      <c r="U36" s="90">
        <f ca="1">_xll.DBRW($B$9,$C$18,$C$19,S$26,S$25,$C$21,$C$22,$B36,U$27)</f>
        <v>0</v>
      </c>
      <c r="V36" s="89">
        <f ca="1">_xll.DBRW($B$9,$C$18,$C$19,V$26,V$25,$C$21,$C$22,$B36,V$27)</f>
        <v>0</v>
      </c>
      <c r="W36" s="19">
        <f ca="1">_xll.DBRW($B$9,$C$18,$C$19,V$26,V$25,$C$21,$C$22,$B36,W$27)</f>
        <v>0</v>
      </c>
      <c r="X36" s="90">
        <f ca="1">_xll.DBRW($B$9,$C$18,$C$19,V$26,V$25,$C$21,$C$22,$B36,X$27)</f>
        <v>0</v>
      </c>
      <c r="Y36" s="91">
        <f t="shared" ca="1" si="4"/>
        <v>0</v>
      </c>
      <c r="Z36" s="91">
        <f t="shared" ca="1" si="5"/>
        <v>0</v>
      </c>
      <c r="AA36" s="89">
        <f ca="1">_xll.DBRW($B$9,$C$18,$C$19,AA$26,AA$25,$C$21,$C$22,$B36,AA$27)</f>
        <v>0</v>
      </c>
      <c r="AB36" s="19">
        <f ca="1">_xll.DBRW($B$9,$C$18,$C$19,AA$26,AA$25,$C$21,$C$22,$B36,AB$27)</f>
        <v>0</v>
      </c>
      <c r="AC36" s="90">
        <f ca="1">_xll.DBRW($B$9,$C$18,$C$19,AA$26,AA$25,$C$21,$C$22,$B36,AC$27)</f>
        <v>0</v>
      </c>
      <c r="AD36" s="89">
        <f ca="1">_xll.DBRW($B$9,$C$18,$C$19,AD$26,AD$25,$C$21,$C$22,$B36,AD$27)</f>
        <v>0</v>
      </c>
      <c r="AE36" s="19">
        <f ca="1">_xll.DBRW($B$9,$C$18,$C$19,AD$26,AD$25,$C$21,$C$22,$B36,AE$27)</f>
        <v>0</v>
      </c>
      <c r="AF36" s="27">
        <f ca="1">_xll.DBRW($B$9,$C$18,$C$19,AD$26,AD$25,$C$21,$C$22,$B36,AF$27)</f>
        <v>0</v>
      </c>
      <c r="AG36" s="121">
        <f t="shared" ca="1" si="6"/>
        <v>0</v>
      </c>
      <c r="AH36" s="121">
        <f t="shared" ca="1" si="7"/>
        <v>0</v>
      </c>
    </row>
    <row r="37" spans="1:34">
      <c r="A37">
        <f ca="1">IF(_xll.TM1RPTELISCONSOLIDATED($B$28,$B37),IF(_xll.TM1RPTELLEV($B$28,$B37)&lt;=3,_xll.TM1RPTELLEV($B$28,$B37),"D"),"N")</f>
        <v>1</v>
      </c>
      <c r="B37" s="122" t="s">
        <v>178</v>
      </c>
      <c r="C37" s="89">
        <f ca="1">_xll.DBRW($B$9,$C$18,$C$19,C$26,C$25,$C$21,$C$22,$B37,C$27)</f>
        <v>0</v>
      </c>
      <c r="D37" s="19">
        <f ca="1">_xll.DBRW($B$9,$C$18,$C$19,C$26,C$25,$C$21,$C$22,$B37,D$27)</f>
        <v>0</v>
      </c>
      <c r="E37" s="90">
        <f ca="1">_xll.DBRW($B$9,$C$18,$C$19,C$26,C$25,$C$21,$C$22,$B37,E$27)</f>
        <v>0</v>
      </c>
      <c r="F37" s="89">
        <f ca="1">_xll.DBRW($B$9,$C$18,$C$19,F$26,F$25,$C$21,$C$22,$B37,F$27)</f>
        <v>0</v>
      </c>
      <c r="G37" s="19">
        <f ca="1">_xll.DBRW($B$9,$C$18,$C$19,F$26,F$25,$C$21,$C$22,$B37,G$27)</f>
        <v>0</v>
      </c>
      <c r="H37" s="27">
        <f ca="1">_xll.DBRW($B$9,$C$18,$C$19,F$26,F$25,$C$21,$C$22,$B37,H$27)</f>
        <v>0</v>
      </c>
      <c r="I37" s="91">
        <f t="shared" ca="1" si="0"/>
        <v>0</v>
      </c>
      <c r="J37" s="92">
        <f t="shared" ca="1" si="1"/>
        <v>0</v>
      </c>
      <c r="K37" s="89">
        <f ca="1">_xll.DBRW($B$9,$C$18,$C$19,K$26,K$25,$C$21,$C$22,$B37,K$27)</f>
        <v>0</v>
      </c>
      <c r="L37" s="19">
        <f ca="1">_xll.DBRW($B$9,$C$18,$C$19,K$26,K$25,$C$21,$C$22,$B37,L$27)</f>
        <v>0</v>
      </c>
      <c r="M37" s="90">
        <f ca="1">_xll.DBRW($B$9,$C$18,$C$19,K$26,K$25,$C$21,$C$22,$B37,M$27)</f>
        <v>0</v>
      </c>
      <c r="N37" s="89">
        <f ca="1">_xll.DBRW($B$9,$C$18,$C$19,N$26,N$25,$C$21,$C$22,$B37,N$27)</f>
        <v>0</v>
      </c>
      <c r="O37" s="19">
        <f ca="1">_xll.DBRW($B$9,$C$18,$C$19,N$26,N$25,$C$21,$C$22,$B37,O$27)</f>
        <v>0</v>
      </c>
      <c r="P37" s="90">
        <f ca="1">_xll.DBRW($B$9,$C$18,$C$19,N$26,N$25,$C$21,$C$22,$B37,P$27)</f>
        <v>0</v>
      </c>
      <c r="Q37" s="91">
        <f t="shared" ca="1" si="2"/>
        <v>0</v>
      </c>
      <c r="R37" s="91">
        <f t="shared" ca="1" si="3"/>
        <v>0</v>
      </c>
      <c r="S37" s="89">
        <f ca="1">_xll.DBRW($B$9,$C$18,$C$19,S$26,S$25,$C$21,$C$22,$B37,S$27)</f>
        <v>0</v>
      </c>
      <c r="T37" s="19">
        <f ca="1">_xll.DBRW($B$9,$C$18,$C$19,S$26,S$25,$C$21,$C$22,$B37,T$27)</f>
        <v>0</v>
      </c>
      <c r="U37" s="90">
        <f ca="1">_xll.DBRW($B$9,$C$18,$C$19,S$26,S$25,$C$21,$C$22,$B37,U$27)</f>
        <v>0</v>
      </c>
      <c r="V37" s="89">
        <f ca="1">_xll.DBRW($B$9,$C$18,$C$19,V$26,V$25,$C$21,$C$22,$B37,V$27)</f>
        <v>0</v>
      </c>
      <c r="W37" s="19">
        <f ca="1">_xll.DBRW($B$9,$C$18,$C$19,V$26,V$25,$C$21,$C$22,$B37,W$27)</f>
        <v>0</v>
      </c>
      <c r="X37" s="90">
        <f ca="1">_xll.DBRW($B$9,$C$18,$C$19,V$26,V$25,$C$21,$C$22,$B37,X$27)</f>
        <v>0</v>
      </c>
      <c r="Y37" s="91">
        <f t="shared" ca="1" si="4"/>
        <v>0</v>
      </c>
      <c r="Z37" s="91">
        <f t="shared" ca="1" si="5"/>
        <v>0</v>
      </c>
      <c r="AA37" s="89">
        <f ca="1">_xll.DBRW($B$9,$C$18,$C$19,AA$26,AA$25,$C$21,$C$22,$B37,AA$27)</f>
        <v>0</v>
      </c>
      <c r="AB37" s="19">
        <f ca="1">_xll.DBRW($B$9,$C$18,$C$19,AA$26,AA$25,$C$21,$C$22,$B37,AB$27)</f>
        <v>0</v>
      </c>
      <c r="AC37" s="90">
        <f ca="1">_xll.DBRW($B$9,$C$18,$C$19,AA$26,AA$25,$C$21,$C$22,$B37,AC$27)</f>
        <v>0</v>
      </c>
      <c r="AD37" s="89">
        <f ca="1">_xll.DBRW($B$9,$C$18,$C$19,AD$26,AD$25,$C$21,$C$22,$B37,AD$27)</f>
        <v>0</v>
      </c>
      <c r="AE37" s="19">
        <f ca="1">_xll.DBRW($B$9,$C$18,$C$19,AD$26,AD$25,$C$21,$C$22,$B37,AE$27)</f>
        <v>0</v>
      </c>
      <c r="AF37" s="27">
        <f ca="1">_xll.DBRW($B$9,$C$18,$C$19,AD$26,AD$25,$C$21,$C$22,$B37,AF$27)</f>
        <v>0</v>
      </c>
      <c r="AG37" s="121">
        <f t="shared" ca="1" si="6"/>
        <v>0</v>
      </c>
      <c r="AH37" s="121">
        <f t="shared" ca="1" si="7"/>
        <v>0</v>
      </c>
    </row>
    <row r="38" spans="1:34">
      <c r="A38">
        <f ca="1">IF(_xll.TM1RPTELISCONSOLIDATED($B$28,$B38),IF(_xll.TM1RPTELLEV($B$28,$B38)&lt;=3,_xll.TM1RPTELLEV($B$28,$B38),"D"),"N")</f>
        <v>1</v>
      </c>
      <c r="B38" s="122" t="s">
        <v>179</v>
      </c>
      <c r="C38" s="89">
        <f ca="1">_xll.DBRW($B$9,$C$18,$C$19,C$26,C$25,$C$21,$C$22,$B38,C$27)</f>
        <v>0</v>
      </c>
      <c r="D38" s="19">
        <f ca="1">_xll.DBRW($B$9,$C$18,$C$19,C$26,C$25,$C$21,$C$22,$B38,D$27)</f>
        <v>0</v>
      </c>
      <c r="E38" s="90">
        <f ca="1">_xll.DBRW($B$9,$C$18,$C$19,C$26,C$25,$C$21,$C$22,$B38,E$27)</f>
        <v>0</v>
      </c>
      <c r="F38" s="89">
        <f ca="1">_xll.DBRW($B$9,$C$18,$C$19,F$26,F$25,$C$21,$C$22,$B38,F$27)</f>
        <v>0</v>
      </c>
      <c r="G38" s="19">
        <f ca="1">_xll.DBRW($B$9,$C$18,$C$19,F$26,F$25,$C$21,$C$22,$B38,G$27)</f>
        <v>0</v>
      </c>
      <c r="H38" s="27">
        <f ca="1">_xll.DBRW($B$9,$C$18,$C$19,F$26,F$25,$C$21,$C$22,$B38,H$27)</f>
        <v>0</v>
      </c>
      <c r="I38" s="91">
        <f t="shared" ca="1" si="0"/>
        <v>0</v>
      </c>
      <c r="J38" s="92">
        <f t="shared" ca="1" si="1"/>
        <v>0</v>
      </c>
      <c r="K38" s="89">
        <f ca="1">_xll.DBRW($B$9,$C$18,$C$19,K$26,K$25,$C$21,$C$22,$B38,K$27)</f>
        <v>0</v>
      </c>
      <c r="L38" s="19">
        <f ca="1">_xll.DBRW($B$9,$C$18,$C$19,K$26,K$25,$C$21,$C$22,$B38,L$27)</f>
        <v>0</v>
      </c>
      <c r="M38" s="90">
        <f ca="1">_xll.DBRW($B$9,$C$18,$C$19,K$26,K$25,$C$21,$C$22,$B38,M$27)</f>
        <v>0</v>
      </c>
      <c r="N38" s="89">
        <f ca="1">_xll.DBRW($B$9,$C$18,$C$19,N$26,N$25,$C$21,$C$22,$B38,N$27)</f>
        <v>0</v>
      </c>
      <c r="O38" s="19">
        <f ca="1">_xll.DBRW($B$9,$C$18,$C$19,N$26,N$25,$C$21,$C$22,$B38,O$27)</f>
        <v>0</v>
      </c>
      <c r="P38" s="90">
        <f ca="1">_xll.DBRW($B$9,$C$18,$C$19,N$26,N$25,$C$21,$C$22,$B38,P$27)</f>
        <v>0</v>
      </c>
      <c r="Q38" s="91">
        <f t="shared" ca="1" si="2"/>
        <v>0</v>
      </c>
      <c r="R38" s="91">
        <f t="shared" ca="1" si="3"/>
        <v>0</v>
      </c>
      <c r="S38" s="89">
        <f ca="1">_xll.DBRW($B$9,$C$18,$C$19,S$26,S$25,$C$21,$C$22,$B38,S$27)</f>
        <v>0</v>
      </c>
      <c r="T38" s="19">
        <f ca="1">_xll.DBRW($B$9,$C$18,$C$19,S$26,S$25,$C$21,$C$22,$B38,T$27)</f>
        <v>0</v>
      </c>
      <c r="U38" s="90">
        <f ca="1">_xll.DBRW($B$9,$C$18,$C$19,S$26,S$25,$C$21,$C$22,$B38,U$27)</f>
        <v>0</v>
      </c>
      <c r="V38" s="89">
        <f ca="1">_xll.DBRW($B$9,$C$18,$C$19,V$26,V$25,$C$21,$C$22,$B38,V$27)</f>
        <v>0</v>
      </c>
      <c r="W38" s="19">
        <f ca="1">_xll.DBRW($B$9,$C$18,$C$19,V$26,V$25,$C$21,$C$22,$B38,W$27)</f>
        <v>0</v>
      </c>
      <c r="X38" s="90">
        <f ca="1">_xll.DBRW($B$9,$C$18,$C$19,V$26,V$25,$C$21,$C$22,$B38,X$27)</f>
        <v>0</v>
      </c>
      <c r="Y38" s="91">
        <f t="shared" ca="1" si="4"/>
        <v>0</v>
      </c>
      <c r="Z38" s="91">
        <f t="shared" ca="1" si="5"/>
        <v>0</v>
      </c>
      <c r="AA38" s="89">
        <f ca="1">_xll.DBRW($B$9,$C$18,$C$19,AA$26,AA$25,$C$21,$C$22,$B38,AA$27)</f>
        <v>0</v>
      </c>
      <c r="AB38" s="19">
        <f ca="1">_xll.DBRW($B$9,$C$18,$C$19,AA$26,AA$25,$C$21,$C$22,$B38,AB$27)</f>
        <v>0</v>
      </c>
      <c r="AC38" s="90">
        <f ca="1">_xll.DBRW($B$9,$C$18,$C$19,AA$26,AA$25,$C$21,$C$22,$B38,AC$27)</f>
        <v>0</v>
      </c>
      <c r="AD38" s="89">
        <f ca="1">_xll.DBRW($B$9,$C$18,$C$19,AD$26,AD$25,$C$21,$C$22,$B38,AD$27)</f>
        <v>0</v>
      </c>
      <c r="AE38" s="19">
        <f ca="1">_xll.DBRW($B$9,$C$18,$C$19,AD$26,AD$25,$C$21,$C$22,$B38,AE$27)</f>
        <v>0</v>
      </c>
      <c r="AF38" s="27">
        <f ca="1">_xll.DBRW($B$9,$C$18,$C$19,AD$26,AD$25,$C$21,$C$22,$B38,AF$27)</f>
        <v>0</v>
      </c>
      <c r="AG38" s="121">
        <f t="shared" ca="1" si="6"/>
        <v>0</v>
      </c>
      <c r="AH38" s="121">
        <f t="shared" ca="1" si="7"/>
        <v>0</v>
      </c>
    </row>
    <row r="39" spans="1:34">
      <c r="A39">
        <f ca="1">IF(_xll.TM1RPTELISCONSOLIDATED($B$28,$B39),IF(_xll.TM1RPTELLEV($B$28,$B39)&lt;=3,_xll.TM1RPTELLEV($B$28,$B39),"D"),"N")</f>
        <v>1</v>
      </c>
      <c r="B39" s="122" t="s">
        <v>180</v>
      </c>
      <c r="C39" s="89">
        <f ca="1">_xll.DBRW($B$9,$C$18,$C$19,C$26,C$25,$C$21,$C$22,$B39,C$27)</f>
        <v>0</v>
      </c>
      <c r="D39" s="19">
        <f ca="1">_xll.DBRW($B$9,$C$18,$C$19,C$26,C$25,$C$21,$C$22,$B39,D$27)</f>
        <v>0</v>
      </c>
      <c r="E39" s="90">
        <f ca="1">_xll.DBRW($B$9,$C$18,$C$19,C$26,C$25,$C$21,$C$22,$B39,E$27)</f>
        <v>0</v>
      </c>
      <c r="F39" s="89">
        <f ca="1">_xll.DBRW($B$9,$C$18,$C$19,F$26,F$25,$C$21,$C$22,$B39,F$27)</f>
        <v>0</v>
      </c>
      <c r="G39" s="19">
        <f ca="1">_xll.DBRW($B$9,$C$18,$C$19,F$26,F$25,$C$21,$C$22,$B39,G$27)</f>
        <v>0</v>
      </c>
      <c r="H39" s="27">
        <f ca="1">_xll.DBRW($B$9,$C$18,$C$19,F$26,F$25,$C$21,$C$22,$B39,H$27)</f>
        <v>0</v>
      </c>
      <c r="I39" s="91">
        <f t="shared" ca="1" si="0"/>
        <v>0</v>
      </c>
      <c r="J39" s="92">
        <f t="shared" ca="1" si="1"/>
        <v>0</v>
      </c>
      <c r="K39" s="89">
        <f ca="1">_xll.DBRW($B$9,$C$18,$C$19,K$26,K$25,$C$21,$C$22,$B39,K$27)</f>
        <v>0</v>
      </c>
      <c r="L39" s="19">
        <f ca="1">_xll.DBRW($B$9,$C$18,$C$19,K$26,K$25,$C$21,$C$22,$B39,L$27)</f>
        <v>0</v>
      </c>
      <c r="M39" s="90">
        <f ca="1">_xll.DBRW($B$9,$C$18,$C$19,K$26,K$25,$C$21,$C$22,$B39,M$27)</f>
        <v>0</v>
      </c>
      <c r="N39" s="89">
        <f ca="1">_xll.DBRW($B$9,$C$18,$C$19,N$26,N$25,$C$21,$C$22,$B39,N$27)</f>
        <v>0</v>
      </c>
      <c r="O39" s="19">
        <f ca="1">_xll.DBRW($B$9,$C$18,$C$19,N$26,N$25,$C$21,$C$22,$B39,O$27)</f>
        <v>0</v>
      </c>
      <c r="P39" s="90">
        <f ca="1">_xll.DBRW($B$9,$C$18,$C$19,N$26,N$25,$C$21,$C$22,$B39,P$27)</f>
        <v>0</v>
      </c>
      <c r="Q39" s="91">
        <f t="shared" ca="1" si="2"/>
        <v>0</v>
      </c>
      <c r="R39" s="91">
        <f t="shared" ca="1" si="3"/>
        <v>0</v>
      </c>
      <c r="S39" s="89">
        <f ca="1">_xll.DBRW($B$9,$C$18,$C$19,S$26,S$25,$C$21,$C$22,$B39,S$27)</f>
        <v>0</v>
      </c>
      <c r="T39" s="19">
        <f ca="1">_xll.DBRW($B$9,$C$18,$C$19,S$26,S$25,$C$21,$C$22,$B39,T$27)</f>
        <v>0</v>
      </c>
      <c r="U39" s="90">
        <f ca="1">_xll.DBRW($B$9,$C$18,$C$19,S$26,S$25,$C$21,$C$22,$B39,U$27)</f>
        <v>0</v>
      </c>
      <c r="V39" s="89">
        <f ca="1">_xll.DBRW($B$9,$C$18,$C$19,V$26,V$25,$C$21,$C$22,$B39,V$27)</f>
        <v>0</v>
      </c>
      <c r="W39" s="19">
        <f ca="1">_xll.DBRW($B$9,$C$18,$C$19,V$26,V$25,$C$21,$C$22,$B39,W$27)</f>
        <v>0</v>
      </c>
      <c r="X39" s="90">
        <f ca="1">_xll.DBRW($B$9,$C$18,$C$19,V$26,V$25,$C$21,$C$22,$B39,X$27)</f>
        <v>0</v>
      </c>
      <c r="Y39" s="91">
        <f t="shared" ca="1" si="4"/>
        <v>0</v>
      </c>
      <c r="Z39" s="91">
        <f t="shared" ca="1" si="5"/>
        <v>0</v>
      </c>
      <c r="AA39" s="89">
        <f ca="1">_xll.DBRW($B$9,$C$18,$C$19,AA$26,AA$25,$C$21,$C$22,$B39,AA$27)</f>
        <v>0</v>
      </c>
      <c r="AB39" s="19">
        <f ca="1">_xll.DBRW($B$9,$C$18,$C$19,AA$26,AA$25,$C$21,$C$22,$B39,AB$27)</f>
        <v>0</v>
      </c>
      <c r="AC39" s="90">
        <f ca="1">_xll.DBRW($B$9,$C$18,$C$19,AA$26,AA$25,$C$21,$C$22,$B39,AC$27)</f>
        <v>0</v>
      </c>
      <c r="AD39" s="89">
        <f ca="1">_xll.DBRW($B$9,$C$18,$C$19,AD$26,AD$25,$C$21,$C$22,$B39,AD$27)</f>
        <v>0</v>
      </c>
      <c r="AE39" s="19">
        <f ca="1">_xll.DBRW($B$9,$C$18,$C$19,AD$26,AD$25,$C$21,$C$22,$B39,AE$27)</f>
        <v>0</v>
      </c>
      <c r="AF39" s="27">
        <f ca="1">_xll.DBRW($B$9,$C$18,$C$19,AD$26,AD$25,$C$21,$C$22,$B39,AF$27)</f>
        <v>0</v>
      </c>
      <c r="AG39" s="121">
        <f t="shared" ca="1" si="6"/>
        <v>0</v>
      </c>
      <c r="AH39" s="121">
        <f t="shared" ca="1" si="7"/>
        <v>0</v>
      </c>
    </row>
    <row r="40" spans="1:34">
      <c r="A40">
        <f ca="1">IF(_xll.TM1RPTELISCONSOLIDATED($B$28,$B40),IF(_xll.TM1RPTELLEV($B$28,$B40)&lt;=3,_xll.TM1RPTELLEV($B$28,$B40),"D"),"N")</f>
        <v>1</v>
      </c>
      <c r="B40" s="122" t="s">
        <v>181</v>
      </c>
      <c r="C40" s="89">
        <f ca="1">_xll.DBRW($B$9,$C$18,$C$19,C$26,C$25,$C$21,$C$22,$B40,C$27)</f>
        <v>0</v>
      </c>
      <c r="D40" s="19">
        <f ca="1">_xll.DBRW($B$9,$C$18,$C$19,C$26,C$25,$C$21,$C$22,$B40,D$27)</f>
        <v>0</v>
      </c>
      <c r="E40" s="90">
        <f ca="1">_xll.DBRW($B$9,$C$18,$C$19,C$26,C$25,$C$21,$C$22,$B40,E$27)</f>
        <v>0</v>
      </c>
      <c r="F40" s="89">
        <f ca="1">_xll.DBRW($B$9,$C$18,$C$19,F$26,F$25,$C$21,$C$22,$B40,F$27)</f>
        <v>0</v>
      </c>
      <c r="G40" s="19">
        <f ca="1">_xll.DBRW($B$9,$C$18,$C$19,F$26,F$25,$C$21,$C$22,$B40,G$27)</f>
        <v>0</v>
      </c>
      <c r="H40" s="27">
        <f ca="1">_xll.DBRW($B$9,$C$18,$C$19,F$26,F$25,$C$21,$C$22,$B40,H$27)</f>
        <v>0</v>
      </c>
      <c r="I40" s="91">
        <f t="shared" ca="1" si="0"/>
        <v>0</v>
      </c>
      <c r="J40" s="92">
        <f t="shared" ca="1" si="1"/>
        <v>0</v>
      </c>
      <c r="K40" s="89">
        <f ca="1">_xll.DBRW($B$9,$C$18,$C$19,K$26,K$25,$C$21,$C$22,$B40,K$27)</f>
        <v>0</v>
      </c>
      <c r="L40" s="19">
        <f ca="1">_xll.DBRW($B$9,$C$18,$C$19,K$26,K$25,$C$21,$C$22,$B40,L$27)</f>
        <v>0</v>
      </c>
      <c r="M40" s="90">
        <f ca="1">_xll.DBRW($B$9,$C$18,$C$19,K$26,K$25,$C$21,$C$22,$B40,M$27)</f>
        <v>0</v>
      </c>
      <c r="N40" s="89">
        <f ca="1">_xll.DBRW($B$9,$C$18,$C$19,N$26,N$25,$C$21,$C$22,$B40,N$27)</f>
        <v>0</v>
      </c>
      <c r="O40" s="19">
        <f ca="1">_xll.DBRW($B$9,$C$18,$C$19,N$26,N$25,$C$21,$C$22,$B40,O$27)</f>
        <v>0</v>
      </c>
      <c r="P40" s="90">
        <f ca="1">_xll.DBRW($B$9,$C$18,$C$19,N$26,N$25,$C$21,$C$22,$B40,P$27)</f>
        <v>0</v>
      </c>
      <c r="Q40" s="91">
        <f t="shared" ca="1" si="2"/>
        <v>0</v>
      </c>
      <c r="R40" s="91">
        <f t="shared" ca="1" si="3"/>
        <v>0</v>
      </c>
      <c r="S40" s="89">
        <f ca="1">_xll.DBRW($B$9,$C$18,$C$19,S$26,S$25,$C$21,$C$22,$B40,S$27)</f>
        <v>0</v>
      </c>
      <c r="T40" s="19">
        <f ca="1">_xll.DBRW($B$9,$C$18,$C$19,S$26,S$25,$C$21,$C$22,$B40,T$27)</f>
        <v>0</v>
      </c>
      <c r="U40" s="90">
        <f ca="1">_xll.DBRW($B$9,$C$18,$C$19,S$26,S$25,$C$21,$C$22,$B40,U$27)</f>
        <v>0</v>
      </c>
      <c r="V40" s="89">
        <f ca="1">_xll.DBRW($B$9,$C$18,$C$19,V$26,V$25,$C$21,$C$22,$B40,V$27)</f>
        <v>0</v>
      </c>
      <c r="W40" s="19">
        <f ca="1">_xll.DBRW($B$9,$C$18,$C$19,V$26,V$25,$C$21,$C$22,$B40,W$27)</f>
        <v>0</v>
      </c>
      <c r="X40" s="90">
        <f ca="1">_xll.DBRW($B$9,$C$18,$C$19,V$26,V$25,$C$21,$C$22,$B40,X$27)</f>
        <v>0</v>
      </c>
      <c r="Y40" s="91">
        <f t="shared" ca="1" si="4"/>
        <v>0</v>
      </c>
      <c r="Z40" s="91">
        <f t="shared" ca="1" si="5"/>
        <v>0</v>
      </c>
      <c r="AA40" s="89">
        <f ca="1">_xll.DBRW($B$9,$C$18,$C$19,AA$26,AA$25,$C$21,$C$22,$B40,AA$27)</f>
        <v>0</v>
      </c>
      <c r="AB40" s="19">
        <f ca="1">_xll.DBRW($B$9,$C$18,$C$19,AA$26,AA$25,$C$21,$C$22,$B40,AB$27)</f>
        <v>0</v>
      </c>
      <c r="AC40" s="90">
        <f ca="1">_xll.DBRW($B$9,$C$18,$C$19,AA$26,AA$25,$C$21,$C$22,$B40,AC$27)</f>
        <v>0</v>
      </c>
      <c r="AD40" s="89">
        <f ca="1">_xll.DBRW($B$9,$C$18,$C$19,AD$26,AD$25,$C$21,$C$22,$B40,AD$27)</f>
        <v>0</v>
      </c>
      <c r="AE40" s="19">
        <f ca="1">_xll.DBRW($B$9,$C$18,$C$19,AD$26,AD$25,$C$21,$C$22,$B40,AE$27)</f>
        <v>0</v>
      </c>
      <c r="AF40" s="27">
        <f ca="1">_xll.DBRW($B$9,$C$18,$C$19,AD$26,AD$25,$C$21,$C$22,$B40,AF$27)</f>
        <v>0</v>
      </c>
      <c r="AG40" s="121">
        <f t="shared" ca="1" si="6"/>
        <v>0</v>
      </c>
      <c r="AH40" s="121">
        <f t="shared" ca="1" si="7"/>
        <v>0</v>
      </c>
    </row>
    <row r="41" spans="1:34">
      <c r="A41">
        <f ca="1">IF(_xll.TM1RPTELISCONSOLIDATED($B$28,$B41),IF(_xll.TM1RPTELLEV($B$28,$B41)&lt;=3,_xll.TM1RPTELLEV($B$28,$B41),"D"),"N")</f>
        <v>1</v>
      </c>
      <c r="B41" s="122" t="s">
        <v>182</v>
      </c>
      <c r="C41" s="89">
        <f ca="1">_xll.DBRW($B$9,$C$18,$C$19,C$26,C$25,$C$21,$C$22,$B41,C$27)</f>
        <v>0</v>
      </c>
      <c r="D41" s="19">
        <f ca="1">_xll.DBRW($B$9,$C$18,$C$19,C$26,C$25,$C$21,$C$22,$B41,D$27)</f>
        <v>0</v>
      </c>
      <c r="E41" s="90">
        <f ca="1">_xll.DBRW($B$9,$C$18,$C$19,C$26,C$25,$C$21,$C$22,$B41,E$27)</f>
        <v>0</v>
      </c>
      <c r="F41" s="89">
        <f ca="1">_xll.DBRW($B$9,$C$18,$C$19,F$26,F$25,$C$21,$C$22,$B41,F$27)</f>
        <v>0</v>
      </c>
      <c r="G41" s="19">
        <f ca="1">_xll.DBRW($B$9,$C$18,$C$19,F$26,F$25,$C$21,$C$22,$B41,G$27)</f>
        <v>0</v>
      </c>
      <c r="H41" s="27">
        <f ca="1">_xll.DBRW($B$9,$C$18,$C$19,F$26,F$25,$C$21,$C$22,$B41,H$27)</f>
        <v>0</v>
      </c>
      <c r="I41" s="91">
        <f t="shared" ca="1" si="0"/>
        <v>0</v>
      </c>
      <c r="J41" s="92">
        <f t="shared" ca="1" si="1"/>
        <v>0</v>
      </c>
      <c r="K41" s="89">
        <f ca="1">_xll.DBRW($B$9,$C$18,$C$19,K$26,K$25,$C$21,$C$22,$B41,K$27)</f>
        <v>0</v>
      </c>
      <c r="L41" s="19">
        <f ca="1">_xll.DBRW($B$9,$C$18,$C$19,K$26,K$25,$C$21,$C$22,$B41,L$27)</f>
        <v>0</v>
      </c>
      <c r="M41" s="90">
        <f ca="1">_xll.DBRW($B$9,$C$18,$C$19,K$26,K$25,$C$21,$C$22,$B41,M$27)</f>
        <v>0</v>
      </c>
      <c r="N41" s="89">
        <f ca="1">_xll.DBRW($B$9,$C$18,$C$19,N$26,N$25,$C$21,$C$22,$B41,N$27)</f>
        <v>0</v>
      </c>
      <c r="O41" s="19">
        <f ca="1">_xll.DBRW($B$9,$C$18,$C$19,N$26,N$25,$C$21,$C$22,$B41,O$27)</f>
        <v>0</v>
      </c>
      <c r="P41" s="90">
        <f ca="1">_xll.DBRW($B$9,$C$18,$C$19,N$26,N$25,$C$21,$C$22,$B41,P$27)</f>
        <v>0</v>
      </c>
      <c r="Q41" s="91">
        <f t="shared" ca="1" si="2"/>
        <v>0</v>
      </c>
      <c r="R41" s="91">
        <f t="shared" ca="1" si="3"/>
        <v>0</v>
      </c>
      <c r="S41" s="89">
        <f ca="1">_xll.DBRW($B$9,$C$18,$C$19,S$26,S$25,$C$21,$C$22,$B41,S$27)</f>
        <v>0</v>
      </c>
      <c r="T41" s="19">
        <f ca="1">_xll.DBRW($B$9,$C$18,$C$19,S$26,S$25,$C$21,$C$22,$B41,T$27)</f>
        <v>0</v>
      </c>
      <c r="U41" s="90">
        <f ca="1">_xll.DBRW($B$9,$C$18,$C$19,S$26,S$25,$C$21,$C$22,$B41,U$27)</f>
        <v>0</v>
      </c>
      <c r="V41" s="89">
        <f ca="1">_xll.DBRW($B$9,$C$18,$C$19,V$26,V$25,$C$21,$C$22,$B41,V$27)</f>
        <v>0</v>
      </c>
      <c r="W41" s="19">
        <f ca="1">_xll.DBRW($B$9,$C$18,$C$19,V$26,V$25,$C$21,$C$22,$B41,W$27)</f>
        <v>0</v>
      </c>
      <c r="X41" s="90">
        <f ca="1">_xll.DBRW($B$9,$C$18,$C$19,V$26,V$25,$C$21,$C$22,$B41,X$27)</f>
        <v>0</v>
      </c>
      <c r="Y41" s="91">
        <f t="shared" ca="1" si="4"/>
        <v>0</v>
      </c>
      <c r="Z41" s="91">
        <f t="shared" ca="1" si="5"/>
        <v>0</v>
      </c>
      <c r="AA41" s="89">
        <f ca="1">_xll.DBRW($B$9,$C$18,$C$19,AA$26,AA$25,$C$21,$C$22,$B41,AA$27)</f>
        <v>0</v>
      </c>
      <c r="AB41" s="19">
        <f ca="1">_xll.DBRW($B$9,$C$18,$C$19,AA$26,AA$25,$C$21,$C$22,$B41,AB$27)</f>
        <v>0</v>
      </c>
      <c r="AC41" s="90">
        <f ca="1">_xll.DBRW($B$9,$C$18,$C$19,AA$26,AA$25,$C$21,$C$22,$B41,AC$27)</f>
        <v>0</v>
      </c>
      <c r="AD41" s="89">
        <f ca="1">_xll.DBRW($B$9,$C$18,$C$19,AD$26,AD$25,$C$21,$C$22,$B41,AD$27)</f>
        <v>0</v>
      </c>
      <c r="AE41" s="19">
        <f ca="1">_xll.DBRW($B$9,$C$18,$C$19,AD$26,AD$25,$C$21,$C$22,$B41,AE$27)</f>
        <v>0</v>
      </c>
      <c r="AF41" s="27">
        <f ca="1">_xll.DBRW($B$9,$C$18,$C$19,AD$26,AD$25,$C$21,$C$22,$B41,AF$27)</f>
        <v>0</v>
      </c>
      <c r="AG41" s="121">
        <f t="shared" ca="1" si="6"/>
        <v>0</v>
      </c>
      <c r="AH41" s="121">
        <f t="shared" ca="1" si="7"/>
        <v>0</v>
      </c>
    </row>
    <row r="42" spans="1:34">
      <c r="A42">
        <f ca="1">IF(_xll.TM1RPTELISCONSOLIDATED($B$28,$B42),IF(_xll.TM1RPTELLEV($B$28,$B42)&lt;=3,_xll.TM1RPTELLEV($B$28,$B42),"D"),"N")</f>
        <v>1</v>
      </c>
      <c r="B42" s="122" t="s">
        <v>183</v>
      </c>
      <c r="C42" s="89">
        <f ca="1">_xll.DBRW($B$9,$C$18,$C$19,C$26,C$25,$C$21,$C$22,$B42,C$27)</f>
        <v>0</v>
      </c>
      <c r="D42" s="19">
        <f ca="1">_xll.DBRW($B$9,$C$18,$C$19,C$26,C$25,$C$21,$C$22,$B42,D$27)</f>
        <v>0</v>
      </c>
      <c r="E42" s="90">
        <f ca="1">_xll.DBRW($B$9,$C$18,$C$19,C$26,C$25,$C$21,$C$22,$B42,E$27)</f>
        <v>0</v>
      </c>
      <c r="F42" s="89">
        <f ca="1">_xll.DBRW($B$9,$C$18,$C$19,F$26,F$25,$C$21,$C$22,$B42,F$27)</f>
        <v>0</v>
      </c>
      <c r="G42" s="19">
        <f ca="1">_xll.DBRW($B$9,$C$18,$C$19,F$26,F$25,$C$21,$C$22,$B42,G$27)</f>
        <v>0</v>
      </c>
      <c r="H42" s="27">
        <f ca="1">_xll.DBRW($B$9,$C$18,$C$19,F$26,F$25,$C$21,$C$22,$B42,H$27)</f>
        <v>0</v>
      </c>
      <c r="I42" s="91">
        <f t="shared" ca="1" si="0"/>
        <v>0</v>
      </c>
      <c r="J42" s="92">
        <f t="shared" ca="1" si="1"/>
        <v>0</v>
      </c>
      <c r="K42" s="89">
        <f ca="1">_xll.DBRW($B$9,$C$18,$C$19,K$26,K$25,$C$21,$C$22,$B42,K$27)</f>
        <v>0</v>
      </c>
      <c r="L42" s="19">
        <f ca="1">_xll.DBRW($B$9,$C$18,$C$19,K$26,K$25,$C$21,$C$22,$B42,L$27)</f>
        <v>0</v>
      </c>
      <c r="M42" s="90">
        <f ca="1">_xll.DBRW($B$9,$C$18,$C$19,K$26,K$25,$C$21,$C$22,$B42,M$27)</f>
        <v>0</v>
      </c>
      <c r="N42" s="89">
        <f ca="1">_xll.DBRW($B$9,$C$18,$C$19,N$26,N$25,$C$21,$C$22,$B42,N$27)</f>
        <v>0</v>
      </c>
      <c r="O42" s="19">
        <f ca="1">_xll.DBRW($B$9,$C$18,$C$19,N$26,N$25,$C$21,$C$22,$B42,O$27)</f>
        <v>0</v>
      </c>
      <c r="P42" s="90">
        <f ca="1">_xll.DBRW($B$9,$C$18,$C$19,N$26,N$25,$C$21,$C$22,$B42,P$27)</f>
        <v>0</v>
      </c>
      <c r="Q42" s="91">
        <f t="shared" ca="1" si="2"/>
        <v>0</v>
      </c>
      <c r="R42" s="91">
        <f t="shared" ca="1" si="3"/>
        <v>0</v>
      </c>
      <c r="S42" s="89">
        <f ca="1">_xll.DBRW($B$9,$C$18,$C$19,S$26,S$25,$C$21,$C$22,$B42,S$27)</f>
        <v>0</v>
      </c>
      <c r="T42" s="19">
        <f ca="1">_xll.DBRW($B$9,$C$18,$C$19,S$26,S$25,$C$21,$C$22,$B42,T$27)</f>
        <v>0</v>
      </c>
      <c r="U42" s="90">
        <f ca="1">_xll.DBRW($B$9,$C$18,$C$19,S$26,S$25,$C$21,$C$22,$B42,U$27)</f>
        <v>0</v>
      </c>
      <c r="V42" s="89">
        <f ca="1">_xll.DBRW($B$9,$C$18,$C$19,V$26,V$25,$C$21,$C$22,$B42,V$27)</f>
        <v>0</v>
      </c>
      <c r="W42" s="19">
        <f ca="1">_xll.DBRW($B$9,$C$18,$C$19,V$26,V$25,$C$21,$C$22,$B42,W$27)</f>
        <v>0</v>
      </c>
      <c r="X42" s="90">
        <f ca="1">_xll.DBRW($B$9,$C$18,$C$19,V$26,V$25,$C$21,$C$22,$B42,X$27)</f>
        <v>0</v>
      </c>
      <c r="Y42" s="91">
        <f t="shared" ca="1" si="4"/>
        <v>0</v>
      </c>
      <c r="Z42" s="91">
        <f t="shared" ca="1" si="5"/>
        <v>0</v>
      </c>
      <c r="AA42" s="89">
        <f ca="1">_xll.DBRW($B$9,$C$18,$C$19,AA$26,AA$25,$C$21,$C$22,$B42,AA$27)</f>
        <v>0</v>
      </c>
      <c r="AB42" s="19">
        <f ca="1">_xll.DBRW($B$9,$C$18,$C$19,AA$26,AA$25,$C$21,$C$22,$B42,AB$27)</f>
        <v>0</v>
      </c>
      <c r="AC42" s="90">
        <f ca="1">_xll.DBRW($B$9,$C$18,$C$19,AA$26,AA$25,$C$21,$C$22,$B42,AC$27)</f>
        <v>0</v>
      </c>
      <c r="AD42" s="89">
        <f ca="1">_xll.DBRW($B$9,$C$18,$C$19,AD$26,AD$25,$C$21,$C$22,$B42,AD$27)</f>
        <v>0</v>
      </c>
      <c r="AE42" s="19">
        <f ca="1">_xll.DBRW($B$9,$C$18,$C$19,AD$26,AD$25,$C$21,$C$22,$B42,AE$27)</f>
        <v>0</v>
      </c>
      <c r="AF42" s="27">
        <f ca="1">_xll.DBRW($B$9,$C$18,$C$19,AD$26,AD$25,$C$21,$C$22,$B42,AF$27)</f>
        <v>0</v>
      </c>
      <c r="AG42" s="121">
        <f t="shared" ca="1" si="6"/>
        <v>0</v>
      </c>
      <c r="AH42" s="121">
        <f t="shared" ca="1" si="7"/>
        <v>0</v>
      </c>
    </row>
    <row r="43" spans="1:34">
      <c r="A43">
        <f ca="1">IF(_xll.TM1RPTELISCONSOLIDATED($B$28,$B43),IF(_xll.TM1RPTELLEV($B$28,$B43)&lt;=3,_xll.TM1RPTELLEV($B$28,$B43),"D"),"N")</f>
        <v>1</v>
      </c>
      <c r="B43" s="122" t="s">
        <v>184</v>
      </c>
      <c r="C43" s="89">
        <f ca="1">_xll.DBRW($B$9,$C$18,$C$19,C$26,C$25,$C$21,$C$22,$B43,C$27)</f>
        <v>0</v>
      </c>
      <c r="D43" s="19">
        <f ca="1">_xll.DBRW($B$9,$C$18,$C$19,C$26,C$25,$C$21,$C$22,$B43,D$27)</f>
        <v>0</v>
      </c>
      <c r="E43" s="90">
        <f ca="1">_xll.DBRW($B$9,$C$18,$C$19,C$26,C$25,$C$21,$C$22,$B43,E$27)</f>
        <v>0</v>
      </c>
      <c r="F43" s="89">
        <f ca="1">_xll.DBRW($B$9,$C$18,$C$19,F$26,F$25,$C$21,$C$22,$B43,F$27)</f>
        <v>0</v>
      </c>
      <c r="G43" s="19">
        <f ca="1">_xll.DBRW($B$9,$C$18,$C$19,F$26,F$25,$C$21,$C$22,$B43,G$27)</f>
        <v>0</v>
      </c>
      <c r="H43" s="27">
        <f ca="1">_xll.DBRW($B$9,$C$18,$C$19,F$26,F$25,$C$21,$C$22,$B43,H$27)</f>
        <v>0</v>
      </c>
      <c r="I43" s="91">
        <f t="shared" ca="1" si="0"/>
        <v>0</v>
      </c>
      <c r="J43" s="92">
        <f t="shared" ca="1" si="1"/>
        <v>0</v>
      </c>
      <c r="K43" s="89">
        <f ca="1">_xll.DBRW($B$9,$C$18,$C$19,K$26,K$25,$C$21,$C$22,$B43,K$27)</f>
        <v>0</v>
      </c>
      <c r="L43" s="19">
        <f ca="1">_xll.DBRW($B$9,$C$18,$C$19,K$26,K$25,$C$21,$C$22,$B43,L$27)</f>
        <v>0</v>
      </c>
      <c r="M43" s="90">
        <f ca="1">_xll.DBRW($B$9,$C$18,$C$19,K$26,K$25,$C$21,$C$22,$B43,M$27)</f>
        <v>0</v>
      </c>
      <c r="N43" s="89">
        <f ca="1">_xll.DBRW($B$9,$C$18,$C$19,N$26,N$25,$C$21,$C$22,$B43,N$27)</f>
        <v>0</v>
      </c>
      <c r="O43" s="19">
        <f ca="1">_xll.DBRW($B$9,$C$18,$C$19,N$26,N$25,$C$21,$C$22,$B43,O$27)</f>
        <v>0</v>
      </c>
      <c r="P43" s="90">
        <f ca="1">_xll.DBRW($B$9,$C$18,$C$19,N$26,N$25,$C$21,$C$22,$B43,P$27)</f>
        <v>0</v>
      </c>
      <c r="Q43" s="91">
        <f t="shared" ca="1" si="2"/>
        <v>0</v>
      </c>
      <c r="R43" s="91">
        <f t="shared" ca="1" si="3"/>
        <v>0</v>
      </c>
      <c r="S43" s="89">
        <f ca="1">_xll.DBRW($B$9,$C$18,$C$19,S$26,S$25,$C$21,$C$22,$B43,S$27)</f>
        <v>0</v>
      </c>
      <c r="T43" s="19">
        <f ca="1">_xll.DBRW($B$9,$C$18,$C$19,S$26,S$25,$C$21,$C$22,$B43,T$27)</f>
        <v>0</v>
      </c>
      <c r="U43" s="90">
        <f ca="1">_xll.DBRW($B$9,$C$18,$C$19,S$26,S$25,$C$21,$C$22,$B43,U$27)</f>
        <v>0</v>
      </c>
      <c r="V43" s="89">
        <f ca="1">_xll.DBRW($B$9,$C$18,$C$19,V$26,V$25,$C$21,$C$22,$B43,V$27)</f>
        <v>0</v>
      </c>
      <c r="W43" s="19">
        <f ca="1">_xll.DBRW($B$9,$C$18,$C$19,V$26,V$25,$C$21,$C$22,$B43,W$27)</f>
        <v>0</v>
      </c>
      <c r="X43" s="90">
        <f ca="1">_xll.DBRW($B$9,$C$18,$C$19,V$26,V$25,$C$21,$C$22,$B43,X$27)</f>
        <v>0</v>
      </c>
      <c r="Y43" s="91">
        <f t="shared" ca="1" si="4"/>
        <v>0</v>
      </c>
      <c r="Z43" s="91">
        <f t="shared" ca="1" si="5"/>
        <v>0</v>
      </c>
      <c r="AA43" s="89">
        <f ca="1">_xll.DBRW($B$9,$C$18,$C$19,AA$26,AA$25,$C$21,$C$22,$B43,AA$27)</f>
        <v>0</v>
      </c>
      <c r="AB43" s="19">
        <f ca="1">_xll.DBRW($B$9,$C$18,$C$19,AA$26,AA$25,$C$21,$C$22,$B43,AB$27)</f>
        <v>0</v>
      </c>
      <c r="AC43" s="90">
        <f ca="1">_xll.DBRW($B$9,$C$18,$C$19,AA$26,AA$25,$C$21,$C$22,$B43,AC$27)</f>
        <v>0</v>
      </c>
      <c r="AD43" s="89">
        <f ca="1">_xll.DBRW($B$9,$C$18,$C$19,AD$26,AD$25,$C$21,$C$22,$B43,AD$27)</f>
        <v>0</v>
      </c>
      <c r="AE43" s="19">
        <f ca="1">_xll.DBRW($B$9,$C$18,$C$19,AD$26,AD$25,$C$21,$C$22,$B43,AE$27)</f>
        <v>0</v>
      </c>
      <c r="AF43" s="27">
        <f ca="1">_xll.DBRW($B$9,$C$18,$C$19,AD$26,AD$25,$C$21,$C$22,$B43,AF$27)</f>
        <v>0</v>
      </c>
      <c r="AG43" s="121">
        <f t="shared" ca="1" si="6"/>
        <v>0</v>
      </c>
      <c r="AH43" s="121">
        <f t="shared" ca="1" si="7"/>
        <v>0</v>
      </c>
    </row>
    <row r="44" spans="1:34">
      <c r="A44">
        <f ca="1">IF(_xll.TM1RPTELISCONSOLIDATED($B$28,$B44),IF(_xll.TM1RPTELLEV($B$28,$B44)&lt;=3,_xll.TM1RPTELLEV($B$28,$B44),"D"),"N")</f>
        <v>1</v>
      </c>
      <c r="B44" s="122" t="s">
        <v>185</v>
      </c>
      <c r="C44" s="89">
        <f ca="1">_xll.DBRW($B$9,$C$18,$C$19,C$26,C$25,$C$21,$C$22,$B44,C$27)</f>
        <v>0</v>
      </c>
      <c r="D44" s="19">
        <f ca="1">_xll.DBRW($B$9,$C$18,$C$19,C$26,C$25,$C$21,$C$22,$B44,D$27)</f>
        <v>0</v>
      </c>
      <c r="E44" s="90">
        <f ca="1">_xll.DBRW($B$9,$C$18,$C$19,C$26,C$25,$C$21,$C$22,$B44,E$27)</f>
        <v>0</v>
      </c>
      <c r="F44" s="89">
        <f ca="1">_xll.DBRW($B$9,$C$18,$C$19,F$26,F$25,$C$21,$C$22,$B44,F$27)</f>
        <v>0</v>
      </c>
      <c r="G44" s="19">
        <f ca="1">_xll.DBRW($B$9,$C$18,$C$19,F$26,F$25,$C$21,$C$22,$B44,G$27)</f>
        <v>0</v>
      </c>
      <c r="H44" s="27">
        <f ca="1">_xll.DBRW($B$9,$C$18,$C$19,F$26,F$25,$C$21,$C$22,$B44,H$27)</f>
        <v>0</v>
      </c>
      <c r="I44" s="91">
        <f t="shared" ca="1" si="0"/>
        <v>0</v>
      </c>
      <c r="J44" s="92">
        <f t="shared" ca="1" si="1"/>
        <v>0</v>
      </c>
      <c r="K44" s="89">
        <f ca="1">_xll.DBRW($B$9,$C$18,$C$19,K$26,K$25,$C$21,$C$22,$B44,K$27)</f>
        <v>0</v>
      </c>
      <c r="L44" s="19">
        <f ca="1">_xll.DBRW($B$9,$C$18,$C$19,K$26,K$25,$C$21,$C$22,$B44,L$27)</f>
        <v>0</v>
      </c>
      <c r="M44" s="90">
        <f ca="1">_xll.DBRW($B$9,$C$18,$C$19,K$26,K$25,$C$21,$C$22,$B44,M$27)</f>
        <v>0</v>
      </c>
      <c r="N44" s="89">
        <f ca="1">_xll.DBRW($B$9,$C$18,$C$19,N$26,N$25,$C$21,$C$22,$B44,N$27)</f>
        <v>0</v>
      </c>
      <c r="O44" s="19">
        <f ca="1">_xll.DBRW($B$9,$C$18,$C$19,N$26,N$25,$C$21,$C$22,$B44,O$27)</f>
        <v>0</v>
      </c>
      <c r="P44" s="90">
        <f ca="1">_xll.DBRW($B$9,$C$18,$C$19,N$26,N$25,$C$21,$C$22,$B44,P$27)</f>
        <v>0</v>
      </c>
      <c r="Q44" s="91">
        <f t="shared" ca="1" si="2"/>
        <v>0</v>
      </c>
      <c r="R44" s="91">
        <f t="shared" ca="1" si="3"/>
        <v>0</v>
      </c>
      <c r="S44" s="89">
        <f ca="1">_xll.DBRW($B$9,$C$18,$C$19,S$26,S$25,$C$21,$C$22,$B44,S$27)</f>
        <v>0</v>
      </c>
      <c r="T44" s="19">
        <f ca="1">_xll.DBRW($B$9,$C$18,$C$19,S$26,S$25,$C$21,$C$22,$B44,T$27)</f>
        <v>0</v>
      </c>
      <c r="U44" s="90">
        <f ca="1">_xll.DBRW($B$9,$C$18,$C$19,S$26,S$25,$C$21,$C$22,$B44,U$27)</f>
        <v>0</v>
      </c>
      <c r="V44" s="89">
        <f ca="1">_xll.DBRW($B$9,$C$18,$C$19,V$26,V$25,$C$21,$C$22,$B44,V$27)</f>
        <v>0</v>
      </c>
      <c r="W44" s="19">
        <f ca="1">_xll.DBRW($B$9,$C$18,$C$19,V$26,V$25,$C$21,$C$22,$B44,W$27)</f>
        <v>0</v>
      </c>
      <c r="X44" s="90">
        <f ca="1">_xll.DBRW($B$9,$C$18,$C$19,V$26,V$25,$C$21,$C$22,$B44,X$27)</f>
        <v>0</v>
      </c>
      <c r="Y44" s="91">
        <f t="shared" ca="1" si="4"/>
        <v>0</v>
      </c>
      <c r="Z44" s="91">
        <f t="shared" ca="1" si="5"/>
        <v>0</v>
      </c>
      <c r="AA44" s="89">
        <f ca="1">_xll.DBRW($B$9,$C$18,$C$19,AA$26,AA$25,$C$21,$C$22,$B44,AA$27)</f>
        <v>0</v>
      </c>
      <c r="AB44" s="19">
        <f ca="1">_xll.DBRW($B$9,$C$18,$C$19,AA$26,AA$25,$C$21,$C$22,$B44,AB$27)</f>
        <v>0</v>
      </c>
      <c r="AC44" s="90">
        <f ca="1">_xll.DBRW($B$9,$C$18,$C$19,AA$26,AA$25,$C$21,$C$22,$B44,AC$27)</f>
        <v>0</v>
      </c>
      <c r="AD44" s="89">
        <f ca="1">_xll.DBRW($B$9,$C$18,$C$19,AD$26,AD$25,$C$21,$C$22,$B44,AD$27)</f>
        <v>0</v>
      </c>
      <c r="AE44" s="19">
        <f ca="1">_xll.DBRW($B$9,$C$18,$C$19,AD$26,AD$25,$C$21,$C$22,$B44,AE$27)</f>
        <v>0</v>
      </c>
      <c r="AF44" s="27">
        <f ca="1">_xll.DBRW($B$9,$C$18,$C$19,AD$26,AD$25,$C$21,$C$22,$B44,AF$27)</f>
        <v>0</v>
      </c>
      <c r="AG44" s="121">
        <f t="shared" ca="1" si="6"/>
        <v>0</v>
      </c>
      <c r="AH44" s="121">
        <f t="shared" ca="1" si="7"/>
        <v>0</v>
      </c>
    </row>
    <row r="45" spans="1:34">
      <c r="A45">
        <f ca="1">IF(_xll.TM1RPTELISCONSOLIDATED($B$28,$B45),IF(_xll.TM1RPTELLEV($B$28,$B45)&lt;=3,_xll.TM1RPTELLEV($B$28,$B45),"D"),"N")</f>
        <v>1</v>
      </c>
      <c r="B45" s="122" t="s">
        <v>186</v>
      </c>
      <c r="C45" s="89">
        <f ca="1">_xll.DBRW($B$9,$C$18,$C$19,C$26,C$25,$C$21,$C$22,$B45,C$27)</f>
        <v>0</v>
      </c>
      <c r="D45" s="19">
        <f ca="1">_xll.DBRW($B$9,$C$18,$C$19,C$26,C$25,$C$21,$C$22,$B45,D$27)</f>
        <v>0</v>
      </c>
      <c r="E45" s="90">
        <f ca="1">_xll.DBRW($B$9,$C$18,$C$19,C$26,C$25,$C$21,$C$22,$B45,E$27)</f>
        <v>0</v>
      </c>
      <c r="F45" s="89">
        <f ca="1">_xll.DBRW($B$9,$C$18,$C$19,F$26,F$25,$C$21,$C$22,$B45,F$27)</f>
        <v>0</v>
      </c>
      <c r="G45" s="19">
        <f ca="1">_xll.DBRW($B$9,$C$18,$C$19,F$26,F$25,$C$21,$C$22,$B45,G$27)</f>
        <v>0</v>
      </c>
      <c r="H45" s="27">
        <f ca="1">_xll.DBRW($B$9,$C$18,$C$19,F$26,F$25,$C$21,$C$22,$B45,H$27)</f>
        <v>0</v>
      </c>
      <c r="I45" s="91">
        <f t="shared" ca="1" si="0"/>
        <v>0</v>
      </c>
      <c r="J45" s="92">
        <f t="shared" ca="1" si="1"/>
        <v>0</v>
      </c>
      <c r="K45" s="89">
        <f ca="1">_xll.DBRW($B$9,$C$18,$C$19,K$26,K$25,$C$21,$C$22,$B45,K$27)</f>
        <v>0</v>
      </c>
      <c r="L45" s="19">
        <f ca="1">_xll.DBRW($B$9,$C$18,$C$19,K$26,K$25,$C$21,$C$22,$B45,L$27)</f>
        <v>0</v>
      </c>
      <c r="M45" s="90">
        <f ca="1">_xll.DBRW($B$9,$C$18,$C$19,K$26,K$25,$C$21,$C$22,$B45,M$27)</f>
        <v>0</v>
      </c>
      <c r="N45" s="89">
        <f ca="1">_xll.DBRW($B$9,$C$18,$C$19,N$26,N$25,$C$21,$C$22,$B45,N$27)</f>
        <v>0</v>
      </c>
      <c r="O45" s="19">
        <f ca="1">_xll.DBRW($B$9,$C$18,$C$19,N$26,N$25,$C$21,$C$22,$B45,O$27)</f>
        <v>0</v>
      </c>
      <c r="P45" s="90">
        <f ca="1">_xll.DBRW($B$9,$C$18,$C$19,N$26,N$25,$C$21,$C$22,$B45,P$27)</f>
        <v>0</v>
      </c>
      <c r="Q45" s="91">
        <f t="shared" ca="1" si="2"/>
        <v>0</v>
      </c>
      <c r="R45" s="91">
        <f t="shared" ca="1" si="3"/>
        <v>0</v>
      </c>
      <c r="S45" s="89">
        <f ca="1">_xll.DBRW($B$9,$C$18,$C$19,S$26,S$25,$C$21,$C$22,$B45,S$27)</f>
        <v>0</v>
      </c>
      <c r="T45" s="19">
        <f ca="1">_xll.DBRW($B$9,$C$18,$C$19,S$26,S$25,$C$21,$C$22,$B45,T$27)</f>
        <v>0</v>
      </c>
      <c r="U45" s="90">
        <f ca="1">_xll.DBRW($B$9,$C$18,$C$19,S$26,S$25,$C$21,$C$22,$B45,U$27)</f>
        <v>0</v>
      </c>
      <c r="V45" s="89">
        <f ca="1">_xll.DBRW($B$9,$C$18,$C$19,V$26,V$25,$C$21,$C$22,$B45,V$27)</f>
        <v>0</v>
      </c>
      <c r="W45" s="19">
        <f ca="1">_xll.DBRW($B$9,$C$18,$C$19,V$26,V$25,$C$21,$C$22,$B45,W$27)</f>
        <v>0</v>
      </c>
      <c r="X45" s="90">
        <f ca="1">_xll.DBRW($B$9,$C$18,$C$19,V$26,V$25,$C$21,$C$22,$B45,X$27)</f>
        <v>0</v>
      </c>
      <c r="Y45" s="91">
        <f t="shared" ca="1" si="4"/>
        <v>0</v>
      </c>
      <c r="Z45" s="91">
        <f t="shared" ca="1" si="5"/>
        <v>0</v>
      </c>
      <c r="AA45" s="89">
        <f ca="1">_xll.DBRW($B$9,$C$18,$C$19,AA$26,AA$25,$C$21,$C$22,$B45,AA$27)</f>
        <v>0</v>
      </c>
      <c r="AB45" s="19">
        <f ca="1">_xll.DBRW($B$9,$C$18,$C$19,AA$26,AA$25,$C$21,$C$22,$B45,AB$27)</f>
        <v>0</v>
      </c>
      <c r="AC45" s="90">
        <f ca="1">_xll.DBRW($B$9,$C$18,$C$19,AA$26,AA$25,$C$21,$C$22,$B45,AC$27)</f>
        <v>0</v>
      </c>
      <c r="AD45" s="89">
        <f ca="1">_xll.DBRW($B$9,$C$18,$C$19,AD$26,AD$25,$C$21,$C$22,$B45,AD$27)</f>
        <v>0</v>
      </c>
      <c r="AE45" s="19">
        <f ca="1">_xll.DBRW($B$9,$C$18,$C$19,AD$26,AD$25,$C$21,$C$22,$B45,AE$27)</f>
        <v>0</v>
      </c>
      <c r="AF45" s="27">
        <f ca="1">_xll.DBRW($B$9,$C$18,$C$19,AD$26,AD$25,$C$21,$C$22,$B45,AF$27)</f>
        <v>0</v>
      </c>
      <c r="AG45" s="121">
        <f t="shared" ca="1" si="6"/>
        <v>0</v>
      </c>
      <c r="AH45" s="121">
        <f t="shared" ca="1" si="7"/>
        <v>0</v>
      </c>
    </row>
    <row r="46" spans="1:34">
      <c r="A46">
        <f ca="1">IF(_xll.TM1RPTELISCONSOLIDATED($B$28,$B46),IF(_xll.TM1RPTELLEV($B$28,$B46)&lt;=3,_xll.TM1RPTELLEV($B$28,$B46),"D"),"N")</f>
        <v>1</v>
      </c>
      <c r="B46" s="122" t="s">
        <v>187</v>
      </c>
      <c r="C46" s="89">
        <f ca="1">_xll.DBRW($B$9,$C$18,$C$19,C$26,C$25,$C$21,$C$22,$B46,C$27)</f>
        <v>0</v>
      </c>
      <c r="D46" s="19">
        <f ca="1">_xll.DBRW($B$9,$C$18,$C$19,C$26,C$25,$C$21,$C$22,$B46,D$27)</f>
        <v>0</v>
      </c>
      <c r="E46" s="90">
        <f ca="1">_xll.DBRW($B$9,$C$18,$C$19,C$26,C$25,$C$21,$C$22,$B46,E$27)</f>
        <v>0</v>
      </c>
      <c r="F46" s="89">
        <f ca="1">_xll.DBRW($B$9,$C$18,$C$19,F$26,F$25,$C$21,$C$22,$B46,F$27)</f>
        <v>0</v>
      </c>
      <c r="G46" s="19">
        <f ca="1">_xll.DBRW($B$9,$C$18,$C$19,F$26,F$25,$C$21,$C$22,$B46,G$27)</f>
        <v>0</v>
      </c>
      <c r="H46" s="27">
        <f ca="1">_xll.DBRW($B$9,$C$18,$C$19,F$26,F$25,$C$21,$C$22,$B46,H$27)</f>
        <v>0</v>
      </c>
      <c r="I46" s="91">
        <f t="shared" ca="1" si="0"/>
        <v>0</v>
      </c>
      <c r="J46" s="92">
        <f t="shared" ca="1" si="1"/>
        <v>0</v>
      </c>
      <c r="K46" s="89">
        <f ca="1">_xll.DBRW($B$9,$C$18,$C$19,K$26,K$25,$C$21,$C$22,$B46,K$27)</f>
        <v>0</v>
      </c>
      <c r="L46" s="19">
        <f ca="1">_xll.DBRW($B$9,$C$18,$C$19,K$26,K$25,$C$21,$C$22,$B46,L$27)</f>
        <v>0</v>
      </c>
      <c r="M46" s="90">
        <f ca="1">_xll.DBRW($B$9,$C$18,$C$19,K$26,K$25,$C$21,$C$22,$B46,M$27)</f>
        <v>0</v>
      </c>
      <c r="N46" s="89">
        <f ca="1">_xll.DBRW($B$9,$C$18,$C$19,N$26,N$25,$C$21,$C$22,$B46,N$27)</f>
        <v>0</v>
      </c>
      <c r="O46" s="19">
        <f ca="1">_xll.DBRW($B$9,$C$18,$C$19,N$26,N$25,$C$21,$C$22,$B46,O$27)</f>
        <v>0</v>
      </c>
      <c r="P46" s="90">
        <f ca="1">_xll.DBRW($B$9,$C$18,$C$19,N$26,N$25,$C$21,$C$22,$B46,P$27)</f>
        <v>0</v>
      </c>
      <c r="Q46" s="91">
        <f t="shared" ca="1" si="2"/>
        <v>0</v>
      </c>
      <c r="R46" s="91">
        <f t="shared" ca="1" si="3"/>
        <v>0</v>
      </c>
      <c r="S46" s="89">
        <f ca="1">_xll.DBRW($B$9,$C$18,$C$19,S$26,S$25,$C$21,$C$22,$B46,S$27)</f>
        <v>0</v>
      </c>
      <c r="T46" s="19">
        <f ca="1">_xll.DBRW($B$9,$C$18,$C$19,S$26,S$25,$C$21,$C$22,$B46,T$27)</f>
        <v>0</v>
      </c>
      <c r="U46" s="90">
        <f ca="1">_xll.DBRW($B$9,$C$18,$C$19,S$26,S$25,$C$21,$C$22,$B46,U$27)</f>
        <v>0</v>
      </c>
      <c r="V46" s="89">
        <f ca="1">_xll.DBRW($B$9,$C$18,$C$19,V$26,V$25,$C$21,$C$22,$B46,V$27)</f>
        <v>0</v>
      </c>
      <c r="W46" s="19">
        <f ca="1">_xll.DBRW($B$9,$C$18,$C$19,V$26,V$25,$C$21,$C$22,$B46,W$27)</f>
        <v>0</v>
      </c>
      <c r="X46" s="90">
        <f ca="1">_xll.DBRW($B$9,$C$18,$C$19,V$26,V$25,$C$21,$C$22,$B46,X$27)</f>
        <v>0</v>
      </c>
      <c r="Y46" s="91">
        <f t="shared" ca="1" si="4"/>
        <v>0</v>
      </c>
      <c r="Z46" s="91">
        <f t="shared" ca="1" si="5"/>
        <v>0</v>
      </c>
      <c r="AA46" s="89">
        <f ca="1">_xll.DBRW($B$9,$C$18,$C$19,AA$26,AA$25,$C$21,$C$22,$B46,AA$27)</f>
        <v>0</v>
      </c>
      <c r="AB46" s="19">
        <f ca="1">_xll.DBRW($B$9,$C$18,$C$19,AA$26,AA$25,$C$21,$C$22,$B46,AB$27)</f>
        <v>0</v>
      </c>
      <c r="AC46" s="90">
        <f ca="1">_xll.DBRW($B$9,$C$18,$C$19,AA$26,AA$25,$C$21,$C$22,$B46,AC$27)</f>
        <v>0</v>
      </c>
      <c r="AD46" s="89">
        <f ca="1">_xll.DBRW($B$9,$C$18,$C$19,AD$26,AD$25,$C$21,$C$22,$B46,AD$27)</f>
        <v>0</v>
      </c>
      <c r="AE46" s="19">
        <f ca="1">_xll.DBRW($B$9,$C$18,$C$19,AD$26,AD$25,$C$21,$C$22,$B46,AE$27)</f>
        <v>0</v>
      </c>
      <c r="AF46" s="27">
        <f ca="1">_xll.DBRW($B$9,$C$18,$C$19,AD$26,AD$25,$C$21,$C$22,$B46,AF$27)</f>
        <v>0</v>
      </c>
      <c r="AG46" s="121">
        <f t="shared" ca="1" si="6"/>
        <v>0</v>
      </c>
      <c r="AH46" s="121">
        <f t="shared" ca="1" si="7"/>
        <v>0</v>
      </c>
    </row>
    <row r="47" spans="1:34">
      <c r="A47">
        <f ca="1">IF(_xll.TM1RPTELISCONSOLIDATED($B$28,$B47),IF(_xll.TM1RPTELLEV($B$28,$B47)&lt;=3,_xll.TM1RPTELLEV($B$28,$B47),"D"),"N")</f>
        <v>1</v>
      </c>
      <c r="B47" s="122" t="s">
        <v>188</v>
      </c>
      <c r="C47" s="89">
        <f ca="1">_xll.DBRW($B$9,$C$18,$C$19,C$26,C$25,$C$21,$C$22,$B47,C$27)</f>
        <v>0</v>
      </c>
      <c r="D47" s="19">
        <f ca="1">_xll.DBRW($B$9,$C$18,$C$19,C$26,C$25,$C$21,$C$22,$B47,D$27)</f>
        <v>0</v>
      </c>
      <c r="E47" s="90">
        <f ca="1">_xll.DBRW($B$9,$C$18,$C$19,C$26,C$25,$C$21,$C$22,$B47,E$27)</f>
        <v>0</v>
      </c>
      <c r="F47" s="89">
        <f ca="1">_xll.DBRW($B$9,$C$18,$C$19,F$26,F$25,$C$21,$C$22,$B47,F$27)</f>
        <v>0</v>
      </c>
      <c r="G47" s="19">
        <f ca="1">_xll.DBRW($B$9,$C$18,$C$19,F$26,F$25,$C$21,$C$22,$B47,G$27)</f>
        <v>0</v>
      </c>
      <c r="H47" s="27">
        <f ca="1">_xll.DBRW($B$9,$C$18,$C$19,F$26,F$25,$C$21,$C$22,$B47,H$27)</f>
        <v>0</v>
      </c>
      <c r="I47" s="91">
        <f t="shared" ca="1" si="0"/>
        <v>0</v>
      </c>
      <c r="J47" s="92">
        <f t="shared" ca="1" si="1"/>
        <v>0</v>
      </c>
      <c r="K47" s="89">
        <f ca="1">_xll.DBRW($B$9,$C$18,$C$19,K$26,K$25,$C$21,$C$22,$B47,K$27)</f>
        <v>0</v>
      </c>
      <c r="L47" s="19">
        <f ca="1">_xll.DBRW($B$9,$C$18,$C$19,K$26,K$25,$C$21,$C$22,$B47,L$27)</f>
        <v>0</v>
      </c>
      <c r="M47" s="90">
        <f ca="1">_xll.DBRW($B$9,$C$18,$C$19,K$26,K$25,$C$21,$C$22,$B47,M$27)</f>
        <v>0</v>
      </c>
      <c r="N47" s="89">
        <f ca="1">_xll.DBRW($B$9,$C$18,$C$19,N$26,N$25,$C$21,$C$22,$B47,N$27)</f>
        <v>0</v>
      </c>
      <c r="O47" s="19">
        <f ca="1">_xll.DBRW($B$9,$C$18,$C$19,N$26,N$25,$C$21,$C$22,$B47,O$27)</f>
        <v>0</v>
      </c>
      <c r="P47" s="90">
        <f ca="1">_xll.DBRW($B$9,$C$18,$C$19,N$26,N$25,$C$21,$C$22,$B47,P$27)</f>
        <v>0</v>
      </c>
      <c r="Q47" s="91">
        <f t="shared" ca="1" si="2"/>
        <v>0</v>
      </c>
      <c r="R47" s="91">
        <f t="shared" ca="1" si="3"/>
        <v>0</v>
      </c>
      <c r="S47" s="89">
        <f ca="1">_xll.DBRW($B$9,$C$18,$C$19,S$26,S$25,$C$21,$C$22,$B47,S$27)</f>
        <v>0</v>
      </c>
      <c r="T47" s="19">
        <f ca="1">_xll.DBRW($B$9,$C$18,$C$19,S$26,S$25,$C$21,$C$22,$B47,T$27)</f>
        <v>0</v>
      </c>
      <c r="U47" s="90">
        <f ca="1">_xll.DBRW($B$9,$C$18,$C$19,S$26,S$25,$C$21,$C$22,$B47,U$27)</f>
        <v>0</v>
      </c>
      <c r="V47" s="89">
        <f ca="1">_xll.DBRW($B$9,$C$18,$C$19,V$26,V$25,$C$21,$C$22,$B47,V$27)</f>
        <v>0</v>
      </c>
      <c r="W47" s="19">
        <f ca="1">_xll.DBRW($B$9,$C$18,$C$19,V$26,V$25,$C$21,$C$22,$B47,W$27)</f>
        <v>0</v>
      </c>
      <c r="X47" s="90">
        <f ca="1">_xll.DBRW($B$9,$C$18,$C$19,V$26,V$25,$C$21,$C$22,$B47,X$27)</f>
        <v>0</v>
      </c>
      <c r="Y47" s="91">
        <f t="shared" ca="1" si="4"/>
        <v>0</v>
      </c>
      <c r="Z47" s="91">
        <f t="shared" ca="1" si="5"/>
        <v>0</v>
      </c>
      <c r="AA47" s="89">
        <f ca="1">_xll.DBRW($B$9,$C$18,$C$19,AA$26,AA$25,$C$21,$C$22,$B47,AA$27)</f>
        <v>0</v>
      </c>
      <c r="AB47" s="19">
        <f ca="1">_xll.DBRW($B$9,$C$18,$C$19,AA$26,AA$25,$C$21,$C$22,$B47,AB$27)</f>
        <v>0</v>
      </c>
      <c r="AC47" s="90">
        <f ca="1">_xll.DBRW($B$9,$C$18,$C$19,AA$26,AA$25,$C$21,$C$22,$B47,AC$27)</f>
        <v>0</v>
      </c>
      <c r="AD47" s="89">
        <f ca="1">_xll.DBRW($B$9,$C$18,$C$19,AD$26,AD$25,$C$21,$C$22,$B47,AD$27)</f>
        <v>0</v>
      </c>
      <c r="AE47" s="19">
        <f ca="1">_xll.DBRW($B$9,$C$18,$C$19,AD$26,AD$25,$C$21,$C$22,$B47,AE$27)</f>
        <v>0</v>
      </c>
      <c r="AF47" s="27">
        <f ca="1">_xll.DBRW($B$9,$C$18,$C$19,AD$26,AD$25,$C$21,$C$22,$B47,AF$27)</f>
        <v>0</v>
      </c>
      <c r="AG47" s="121">
        <f t="shared" ca="1" si="6"/>
        <v>0</v>
      </c>
      <c r="AH47" s="121">
        <f t="shared" ca="1" si="7"/>
        <v>0</v>
      </c>
    </row>
    <row r="48" spans="1:34">
      <c r="A48">
        <f ca="1">IF(_xll.TM1RPTELISCONSOLIDATED($B$28,$B48),IF(_xll.TM1RPTELLEV($B$28,$B48)&lt;=3,_xll.TM1RPTELLEV($B$28,$B48),"D"),"N")</f>
        <v>1</v>
      </c>
      <c r="B48" s="122" t="s">
        <v>189</v>
      </c>
      <c r="C48" s="89">
        <f ca="1">_xll.DBRW($B$9,$C$18,$C$19,C$26,C$25,$C$21,$C$22,$B48,C$27)</f>
        <v>0</v>
      </c>
      <c r="D48" s="19">
        <f ca="1">_xll.DBRW($B$9,$C$18,$C$19,C$26,C$25,$C$21,$C$22,$B48,D$27)</f>
        <v>0</v>
      </c>
      <c r="E48" s="90">
        <f ca="1">_xll.DBRW($B$9,$C$18,$C$19,C$26,C$25,$C$21,$C$22,$B48,E$27)</f>
        <v>0</v>
      </c>
      <c r="F48" s="89">
        <f ca="1">_xll.DBRW($B$9,$C$18,$C$19,F$26,F$25,$C$21,$C$22,$B48,F$27)</f>
        <v>0</v>
      </c>
      <c r="G48" s="19">
        <f ca="1">_xll.DBRW($B$9,$C$18,$C$19,F$26,F$25,$C$21,$C$22,$B48,G$27)</f>
        <v>0</v>
      </c>
      <c r="H48" s="27">
        <f ca="1">_xll.DBRW($B$9,$C$18,$C$19,F$26,F$25,$C$21,$C$22,$B48,H$27)</f>
        <v>0</v>
      </c>
      <c r="I48" s="91">
        <f t="shared" ca="1" si="0"/>
        <v>0</v>
      </c>
      <c r="J48" s="92">
        <f t="shared" ca="1" si="1"/>
        <v>0</v>
      </c>
      <c r="K48" s="89">
        <f ca="1">_xll.DBRW($B$9,$C$18,$C$19,K$26,K$25,$C$21,$C$22,$B48,K$27)</f>
        <v>0</v>
      </c>
      <c r="L48" s="19">
        <f ca="1">_xll.DBRW($B$9,$C$18,$C$19,K$26,K$25,$C$21,$C$22,$B48,L$27)</f>
        <v>0</v>
      </c>
      <c r="M48" s="90">
        <f ca="1">_xll.DBRW($B$9,$C$18,$C$19,K$26,K$25,$C$21,$C$22,$B48,M$27)</f>
        <v>0</v>
      </c>
      <c r="N48" s="89">
        <f ca="1">_xll.DBRW($B$9,$C$18,$C$19,N$26,N$25,$C$21,$C$22,$B48,N$27)</f>
        <v>0</v>
      </c>
      <c r="O48" s="19">
        <f ca="1">_xll.DBRW($B$9,$C$18,$C$19,N$26,N$25,$C$21,$C$22,$B48,O$27)</f>
        <v>0</v>
      </c>
      <c r="P48" s="90">
        <f ca="1">_xll.DBRW($B$9,$C$18,$C$19,N$26,N$25,$C$21,$C$22,$B48,P$27)</f>
        <v>0</v>
      </c>
      <c r="Q48" s="91">
        <f t="shared" ca="1" si="2"/>
        <v>0</v>
      </c>
      <c r="R48" s="91">
        <f t="shared" ca="1" si="3"/>
        <v>0</v>
      </c>
      <c r="S48" s="89">
        <f ca="1">_xll.DBRW($B$9,$C$18,$C$19,S$26,S$25,$C$21,$C$22,$B48,S$27)</f>
        <v>0</v>
      </c>
      <c r="T48" s="19">
        <f ca="1">_xll.DBRW($B$9,$C$18,$C$19,S$26,S$25,$C$21,$C$22,$B48,T$27)</f>
        <v>0</v>
      </c>
      <c r="U48" s="90">
        <f ca="1">_xll.DBRW($B$9,$C$18,$C$19,S$26,S$25,$C$21,$C$22,$B48,U$27)</f>
        <v>0</v>
      </c>
      <c r="V48" s="89">
        <f ca="1">_xll.DBRW($B$9,$C$18,$C$19,V$26,V$25,$C$21,$C$22,$B48,V$27)</f>
        <v>0</v>
      </c>
      <c r="W48" s="19">
        <f ca="1">_xll.DBRW($B$9,$C$18,$C$19,V$26,V$25,$C$21,$C$22,$B48,W$27)</f>
        <v>0</v>
      </c>
      <c r="X48" s="90">
        <f ca="1">_xll.DBRW($B$9,$C$18,$C$19,V$26,V$25,$C$21,$C$22,$B48,X$27)</f>
        <v>0</v>
      </c>
      <c r="Y48" s="91">
        <f t="shared" ca="1" si="4"/>
        <v>0</v>
      </c>
      <c r="Z48" s="91">
        <f t="shared" ca="1" si="5"/>
        <v>0</v>
      </c>
      <c r="AA48" s="89">
        <f ca="1">_xll.DBRW($B$9,$C$18,$C$19,AA$26,AA$25,$C$21,$C$22,$B48,AA$27)</f>
        <v>0</v>
      </c>
      <c r="AB48" s="19">
        <f ca="1">_xll.DBRW($B$9,$C$18,$C$19,AA$26,AA$25,$C$21,$C$22,$B48,AB$27)</f>
        <v>0</v>
      </c>
      <c r="AC48" s="90">
        <f ca="1">_xll.DBRW($B$9,$C$18,$C$19,AA$26,AA$25,$C$21,$C$22,$B48,AC$27)</f>
        <v>0</v>
      </c>
      <c r="AD48" s="89">
        <f ca="1">_xll.DBRW($B$9,$C$18,$C$19,AD$26,AD$25,$C$21,$C$22,$B48,AD$27)</f>
        <v>0</v>
      </c>
      <c r="AE48" s="19">
        <f ca="1">_xll.DBRW($B$9,$C$18,$C$19,AD$26,AD$25,$C$21,$C$22,$B48,AE$27)</f>
        <v>0</v>
      </c>
      <c r="AF48" s="27">
        <f ca="1">_xll.DBRW($B$9,$C$18,$C$19,AD$26,AD$25,$C$21,$C$22,$B48,AF$27)</f>
        <v>0</v>
      </c>
      <c r="AG48" s="121">
        <f t="shared" ca="1" si="6"/>
        <v>0</v>
      </c>
      <c r="AH48" s="121">
        <f t="shared" ca="1" si="7"/>
        <v>0</v>
      </c>
    </row>
    <row r="49" spans="1:34">
      <c r="A49">
        <f ca="1">IF(_xll.TM1RPTELISCONSOLIDATED($B$28,$B49),IF(_xll.TM1RPTELLEV($B$28,$B49)&lt;=3,_xll.TM1RPTELLEV($B$28,$B49),"D"),"N")</f>
        <v>1</v>
      </c>
      <c r="B49" s="122" t="s">
        <v>190</v>
      </c>
      <c r="C49" s="89">
        <f ca="1">_xll.DBRW($B$9,$C$18,$C$19,C$26,C$25,$C$21,$C$22,$B49,C$27)</f>
        <v>0</v>
      </c>
      <c r="D49" s="19">
        <f ca="1">_xll.DBRW($B$9,$C$18,$C$19,C$26,C$25,$C$21,$C$22,$B49,D$27)</f>
        <v>0</v>
      </c>
      <c r="E49" s="90">
        <f ca="1">_xll.DBRW($B$9,$C$18,$C$19,C$26,C$25,$C$21,$C$22,$B49,E$27)</f>
        <v>0</v>
      </c>
      <c r="F49" s="89">
        <f ca="1">_xll.DBRW($B$9,$C$18,$C$19,F$26,F$25,$C$21,$C$22,$B49,F$27)</f>
        <v>0</v>
      </c>
      <c r="G49" s="19">
        <f ca="1">_xll.DBRW($B$9,$C$18,$C$19,F$26,F$25,$C$21,$C$22,$B49,G$27)</f>
        <v>0</v>
      </c>
      <c r="H49" s="27">
        <f ca="1">_xll.DBRW($B$9,$C$18,$C$19,F$26,F$25,$C$21,$C$22,$B49,H$27)</f>
        <v>0</v>
      </c>
      <c r="I49" s="91">
        <f t="shared" ca="1" si="0"/>
        <v>0</v>
      </c>
      <c r="J49" s="92">
        <f t="shared" ca="1" si="1"/>
        <v>0</v>
      </c>
      <c r="K49" s="89">
        <f ca="1">_xll.DBRW($B$9,$C$18,$C$19,K$26,K$25,$C$21,$C$22,$B49,K$27)</f>
        <v>0</v>
      </c>
      <c r="L49" s="19">
        <f ca="1">_xll.DBRW($B$9,$C$18,$C$19,K$26,K$25,$C$21,$C$22,$B49,L$27)</f>
        <v>0</v>
      </c>
      <c r="M49" s="90">
        <f ca="1">_xll.DBRW($B$9,$C$18,$C$19,K$26,K$25,$C$21,$C$22,$B49,M$27)</f>
        <v>0</v>
      </c>
      <c r="N49" s="89">
        <f ca="1">_xll.DBRW($B$9,$C$18,$C$19,N$26,N$25,$C$21,$C$22,$B49,N$27)</f>
        <v>0</v>
      </c>
      <c r="O49" s="19">
        <f ca="1">_xll.DBRW($B$9,$C$18,$C$19,N$26,N$25,$C$21,$C$22,$B49,O$27)</f>
        <v>0</v>
      </c>
      <c r="P49" s="90">
        <f ca="1">_xll.DBRW($B$9,$C$18,$C$19,N$26,N$25,$C$21,$C$22,$B49,P$27)</f>
        <v>0</v>
      </c>
      <c r="Q49" s="91">
        <f t="shared" ca="1" si="2"/>
        <v>0</v>
      </c>
      <c r="R49" s="91">
        <f t="shared" ca="1" si="3"/>
        <v>0</v>
      </c>
      <c r="S49" s="89">
        <f ca="1">_xll.DBRW($B$9,$C$18,$C$19,S$26,S$25,$C$21,$C$22,$B49,S$27)</f>
        <v>0</v>
      </c>
      <c r="T49" s="19">
        <f ca="1">_xll.DBRW($B$9,$C$18,$C$19,S$26,S$25,$C$21,$C$22,$B49,T$27)</f>
        <v>0</v>
      </c>
      <c r="U49" s="90">
        <f ca="1">_xll.DBRW($B$9,$C$18,$C$19,S$26,S$25,$C$21,$C$22,$B49,U$27)</f>
        <v>0</v>
      </c>
      <c r="V49" s="89">
        <f ca="1">_xll.DBRW($B$9,$C$18,$C$19,V$26,V$25,$C$21,$C$22,$B49,V$27)</f>
        <v>0</v>
      </c>
      <c r="W49" s="19">
        <f ca="1">_xll.DBRW($B$9,$C$18,$C$19,V$26,V$25,$C$21,$C$22,$B49,W$27)</f>
        <v>0</v>
      </c>
      <c r="X49" s="90">
        <f ca="1">_xll.DBRW($B$9,$C$18,$C$19,V$26,V$25,$C$21,$C$22,$B49,X$27)</f>
        <v>0</v>
      </c>
      <c r="Y49" s="91">
        <f t="shared" ca="1" si="4"/>
        <v>0</v>
      </c>
      <c r="Z49" s="91">
        <f t="shared" ca="1" si="5"/>
        <v>0</v>
      </c>
      <c r="AA49" s="89">
        <f ca="1">_xll.DBRW($B$9,$C$18,$C$19,AA$26,AA$25,$C$21,$C$22,$B49,AA$27)</f>
        <v>0</v>
      </c>
      <c r="AB49" s="19">
        <f ca="1">_xll.DBRW($B$9,$C$18,$C$19,AA$26,AA$25,$C$21,$C$22,$B49,AB$27)</f>
        <v>0</v>
      </c>
      <c r="AC49" s="90">
        <f ca="1">_xll.DBRW($B$9,$C$18,$C$19,AA$26,AA$25,$C$21,$C$22,$B49,AC$27)</f>
        <v>0</v>
      </c>
      <c r="AD49" s="89">
        <f ca="1">_xll.DBRW($B$9,$C$18,$C$19,AD$26,AD$25,$C$21,$C$22,$B49,AD$27)</f>
        <v>0</v>
      </c>
      <c r="AE49" s="19">
        <f ca="1">_xll.DBRW($B$9,$C$18,$C$19,AD$26,AD$25,$C$21,$C$22,$B49,AE$27)</f>
        <v>0</v>
      </c>
      <c r="AF49" s="27">
        <f ca="1">_xll.DBRW($B$9,$C$18,$C$19,AD$26,AD$25,$C$21,$C$22,$B49,AF$27)</f>
        <v>0</v>
      </c>
      <c r="AG49" s="121">
        <f t="shared" ca="1" si="6"/>
        <v>0</v>
      </c>
      <c r="AH49" s="121">
        <f t="shared" ca="1" si="7"/>
        <v>0</v>
      </c>
    </row>
    <row r="50" spans="1:34">
      <c r="A50">
        <f ca="1">IF(_xll.TM1RPTELISCONSOLIDATED($B$28,$B50),IF(_xll.TM1RPTELLEV($B$28,$B50)&lt;=3,_xll.TM1RPTELLEV($B$28,$B50),"D"),"N")</f>
        <v>1</v>
      </c>
      <c r="B50" s="122" t="s">
        <v>191</v>
      </c>
      <c r="C50" s="89">
        <f ca="1">_xll.DBRW($B$9,$C$18,$C$19,C$26,C$25,$C$21,$C$22,$B50,C$27)</f>
        <v>0</v>
      </c>
      <c r="D50" s="19">
        <f ca="1">_xll.DBRW($B$9,$C$18,$C$19,C$26,C$25,$C$21,$C$22,$B50,D$27)</f>
        <v>0</v>
      </c>
      <c r="E50" s="90">
        <f ca="1">_xll.DBRW($B$9,$C$18,$C$19,C$26,C$25,$C$21,$C$22,$B50,E$27)</f>
        <v>0</v>
      </c>
      <c r="F50" s="89">
        <f ca="1">_xll.DBRW($B$9,$C$18,$C$19,F$26,F$25,$C$21,$C$22,$B50,F$27)</f>
        <v>0</v>
      </c>
      <c r="G50" s="19">
        <f ca="1">_xll.DBRW($B$9,$C$18,$C$19,F$26,F$25,$C$21,$C$22,$B50,G$27)</f>
        <v>0</v>
      </c>
      <c r="H50" s="27">
        <f ca="1">_xll.DBRW($B$9,$C$18,$C$19,F$26,F$25,$C$21,$C$22,$B50,H$27)</f>
        <v>0</v>
      </c>
      <c r="I50" s="91">
        <f t="shared" ca="1" si="0"/>
        <v>0</v>
      </c>
      <c r="J50" s="92">
        <f t="shared" ca="1" si="1"/>
        <v>0</v>
      </c>
      <c r="K50" s="89">
        <f ca="1">_xll.DBRW($B$9,$C$18,$C$19,K$26,K$25,$C$21,$C$22,$B50,K$27)</f>
        <v>0</v>
      </c>
      <c r="L50" s="19">
        <f ca="1">_xll.DBRW($B$9,$C$18,$C$19,K$26,K$25,$C$21,$C$22,$B50,L$27)</f>
        <v>0</v>
      </c>
      <c r="M50" s="90">
        <f ca="1">_xll.DBRW($B$9,$C$18,$C$19,K$26,K$25,$C$21,$C$22,$B50,M$27)</f>
        <v>0</v>
      </c>
      <c r="N50" s="89">
        <f ca="1">_xll.DBRW($B$9,$C$18,$C$19,N$26,N$25,$C$21,$C$22,$B50,N$27)</f>
        <v>0</v>
      </c>
      <c r="O50" s="19">
        <f ca="1">_xll.DBRW($B$9,$C$18,$C$19,N$26,N$25,$C$21,$C$22,$B50,O$27)</f>
        <v>0</v>
      </c>
      <c r="P50" s="90">
        <f ca="1">_xll.DBRW($B$9,$C$18,$C$19,N$26,N$25,$C$21,$C$22,$B50,P$27)</f>
        <v>0</v>
      </c>
      <c r="Q50" s="91">
        <f t="shared" ca="1" si="2"/>
        <v>0</v>
      </c>
      <c r="R50" s="91">
        <f t="shared" ca="1" si="3"/>
        <v>0</v>
      </c>
      <c r="S50" s="89">
        <f ca="1">_xll.DBRW($B$9,$C$18,$C$19,S$26,S$25,$C$21,$C$22,$B50,S$27)</f>
        <v>0</v>
      </c>
      <c r="T50" s="19">
        <f ca="1">_xll.DBRW($B$9,$C$18,$C$19,S$26,S$25,$C$21,$C$22,$B50,T$27)</f>
        <v>0</v>
      </c>
      <c r="U50" s="90">
        <f ca="1">_xll.DBRW($B$9,$C$18,$C$19,S$26,S$25,$C$21,$C$22,$B50,U$27)</f>
        <v>0</v>
      </c>
      <c r="V50" s="89">
        <f ca="1">_xll.DBRW($B$9,$C$18,$C$19,V$26,V$25,$C$21,$C$22,$B50,V$27)</f>
        <v>0</v>
      </c>
      <c r="W50" s="19">
        <f ca="1">_xll.DBRW($B$9,$C$18,$C$19,V$26,V$25,$C$21,$C$22,$B50,W$27)</f>
        <v>0</v>
      </c>
      <c r="X50" s="90">
        <f ca="1">_xll.DBRW($B$9,$C$18,$C$19,V$26,V$25,$C$21,$C$22,$B50,X$27)</f>
        <v>0</v>
      </c>
      <c r="Y50" s="91">
        <f t="shared" ca="1" si="4"/>
        <v>0</v>
      </c>
      <c r="Z50" s="91">
        <f t="shared" ca="1" si="5"/>
        <v>0</v>
      </c>
      <c r="AA50" s="89">
        <f ca="1">_xll.DBRW($B$9,$C$18,$C$19,AA$26,AA$25,$C$21,$C$22,$B50,AA$27)</f>
        <v>0</v>
      </c>
      <c r="AB50" s="19">
        <f ca="1">_xll.DBRW($B$9,$C$18,$C$19,AA$26,AA$25,$C$21,$C$22,$B50,AB$27)</f>
        <v>0</v>
      </c>
      <c r="AC50" s="90">
        <f ca="1">_xll.DBRW($B$9,$C$18,$C$19,AA$26,AA$25,$C$21,$C$22,$B50,AC$27)</f>
        <v>0</v>
      </c>
      <c r="AD50" s="89">
        <f ca="1">_xll.DBRW($B$9,$C$18,$C$19,AD$26,AD$25,$C$21,$C$22,$B50,AD$27)</f>
        <v>0</v>
      </c>
      <c r="AE50" s="19">
        <f ca="1">_xll.DBRW($B$9,$C$18,$C$19,AD$26,AD$25,$C$21,$C$22,$B50,AE$27)</f>
        <v>0</v>
      </c>
      <c r="AF50" s="27">
        <f ca="1">_xll.DBRW($B$9,$C$18,$C$19,AD$26,AD$25,$C$21,$C$22,$B50,AF$27)</f>
        <v>0</v>
      </c>
      <c r="AG50" s="121">
        <f t="shared" ca="1" si="6"/>
        <v>0</v>
      </c>
      <c r="AH50" s="121">
        <f t="shared" ca="1" si="7"/>
        <v>0</v>
      </c>
    </row>
    <row r="51" spans="1:34"/>
    <row r="52" spans="1:34" hidden="1"/>
    <row r="53" spans="1:34" hidden="1"/>
    <row r="54" spans="1:34" hidden="1"/>
    <row r="55" spans="1:34" hidden="1"/>
    <row r="56" spans="1:34" hidden="1"/>
    <row r="57" spans="1:34" hidden="1"/>
    <row r="58" spans="1:34" hidden="1"/>
    <row r="59" spans="1:34" hidden="1"/>
    <row r="60" spans="1:34" hidden="1"/>
    <row r="61" spans="1:34" hidden="1"/>
    <row r="62" spans="1:34" hidden="1"/>
    <row r="63" spans="1:34" hidden="1"/>
    <row r="64" spans="1:3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</sheetData>
  <mergeCells count="20">
    <mergeCell ref="AG25:AH26"/>
    <mergeCell ref="S26:U26"/>
    <mergeCell ref="V26:X26"/>
    <mergeCell ref="AA26:AC26"/>
    <mergeCell ref="AD26:AF26"/>
    <mergeCell ref="S25:U25"/>
    <mergeCell ref="V25:X25"/>
    <mergeCell ref="Y25:Z26"/>
    <mergeCell ref="AA25:AC25"/>
    <mergeCell ref="AD25:AF25"/>
    <mergeCell ref="Q25:R26"/>
    <mergeCell ref="C26:E26"/>
    <mergeCell ref="F26:H26"/>
    <mergeCell ref="K26:M26"/>
    <mergeCell ref="N26:P26"/>
    <mergeCell ref="C25:E25"/>
    <mergeCell ref="F25:H25"/>
    <mergeCell ref="I25:J26"/>
    <mergeCell ref="K25:M25"/>
    <mergeCell ref="N25:P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276225</xdr:colOff>
                <xdr:row>23</xdr:row>
                <xdr:rowOff>28575</xdr:rowOff>
              </to>
            </anchor>
          </controlPr>
        </control>
      </mc:Choice>
      <mc:Fallback>
        <control shapeId="8193" r:id="rId4" name="TI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0:F47"/>
  <sheetViews>
    <sheetView workbookViewId="0"/>
  </sheetViews>
  <sheetFormatPr defaultColWidth="11.42578125" defaultRowHeight="15"/>
  <sheetData>
    <row r="20" spans="6:6">
      <c r="F20" t="s">
        <v>7</v>
      </c>
    </row>
    <row r="21" spans="6:6">
      <c r="F21" t="s">
        <v>9</v>
      </c>
    </row>
    <row r="22" spans="6:6">
      <c r="F22" t="s">
        <v>10</v>
      </c>
    </row>
    <row r="23" spans="6:6">
      <c r="F23" t="s">
        <v>11</v>
      </c>
    </row>
    <row r="24" spans="6:6">
      <c r="F24" t="s">
        <v>12</v>
      </c>
    </row>
    <row r="25" spans="6:6">
      <c r="F25" t="s">
        <v>13</v>
      </c>
    </row>
    <row r="26" spans="6:6">
      <c r="F26" t="s">
        <v>14</v>
      </c>
    </row>
    <row r="27" spans="6:6">
      <c r="F27" t="s">
        <v>15</v>
      </c>
    </row>
    <row r="28" spans="6:6">
      <c r="F28" t="s">
        <v>16</v>
      </c>
    </row>
    <row r="29" spans="6:6">
      <c r="F29" t="s">
        <v>17</v>
      </c>
    </row>
    <row r="30" spans="6:6">
      <c r="F30" t="s">
        <v>18</v>
      </c>
    </row>
    <row r="31" spans="6:6">
      <c r="F31" t="s">
        <v>19</v>
      </c>
    </row>
    <row r="32" spans="6:6">
      <c r="F32" t="s">
        <v>20</v>
      </c>
    </row>
    <row r="33" spans="6:6">
      <c r="F33" t="s">
        <v>21</v>
      </c>
    </row>
    <row r="34" spans="6:6">
      <c r="F34" t="s">
        <v>22</v>
      </c>
    </row>
    <row r="35" spans="6:6">
      <c r="F35" t="s">
        <v>23</v>
      </c>
    </row>
    <row r="36" spans="6:6">
      <c r="F36" t="s">
        <v>24</v>
      </c>
    </row>
    <row r="37" spans="6:6">
      <c r="F37" t="s">
        <v>25</v>
      </c>
    </row>
    <row r="38" spans="6:6">
      <c r="F38" t="s">
        <v>26</v>
      </c>
    </row>
    <row r="39" spans="6:6">
      <c r="F39" t="s">
        <v>27</v>
      </c>
    </row>
    <row r="40" spans="6:6">
      <c r="F40" t="s">
        <v>28</v>
      </c>
    </row>
    <row r="41" spans="6:6">
      <c r="F41" t="s">
        <v>29</v>
      </c>
    </row>
    <row r="42" spans="6:6">
      <c r="F42" t="s">
        <v>30</v>
      </c>
    </row>
    <row r="43" spans="6:6">
      <c r="F43" t="s">
        <v>31</v>
      </c>
    </row>
    <row r="44" spans="6:6">
      <c r="F44" t="s">
        <v>32</v>
      </c>
    </row>
    <row r="45" spans="6:6">
      <c r="F45" t="s">
        <v>33</v>
      </c>
    </row>
    <row r="46" spans="6:6">
      <c r="F46" t="s">
        <v>34</v>
      </c>
    </row>
    <row r="47" spans="6:6">
      <c r="F47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ALT6309"/>
  <sheetViews>
    <sheetView showGridLines="0" topLeftCell="G16" workbookViewId="0">
      <selection activeCell="G15" sqref="A15:XFD15"/>
    </sheetView>
  </sheetViews>
  <sheetFormatPr defaultColWidth="0" defaultRowHeight="15" zeroHeight="1"/>
  <cols>
    <col min="1" max="1" width="18.7109375" hidden="1" customWidth="1"/>
    <col min="2" max="6" width="0" hidden="1" customWidth="1"/>
    <col min="7" max="7" width="52.28515625" customWidth="1"/>
    <col min="8" max="8" width="10.7109375" customWidth="1"/>
    <col min="9" max="9" width="12.7109375" customWidth="1"/>
    <col min="10" max="10" width="20.7109375" customWidth="1"/>
    <col min="11" max="11" width="10.7109375" customWidth="1"/>
    <col min="12" max="12" width="12.7109375" customWidth="1"/>
    <col min="13" max="13" width="20.7109375" customWidth="1"/>
    <col min="14" max="16" width="10.7109375" customWidth="1"/>
    <col min="17" max="17" width="12.7109375" customWidth="1"/>
    <col min="18" max="18" width="20.7109375" customWidth="1"/>
    <col min="19" max="19" width="10.7109375" customWidth="1"/>
    <col min="20" max="20" width="12.7109375" customWidth="1"/>
    <col min="21" max="21" width="20.7109375" customWidth="1"/>
    <col min="22" max="24" width="10.7109375" customWidth="1"/>
    <col min="25" max="25" width="12.7109375" customWidth="1"/>
    <col min="26" max="26" width="20.7109375" customWidth="1"/>
    <col min="27" max="27" width="10.7109375" customWidth="1"/>
    <col min="28" max="28" width="12.7109375" customWidth="1"/>
    <col min="29" max="29" width="20.7109375" customWidth="1"/>
    <col min="30" max="32" width="10.7109375" customWidth="1"/>
    <col min="33" max="33" width="12.7109375" customWidth="1"/>
    <col min="34" max="34" width="20.7109375" customWidth="1"/>
    <col min="35" max="35" width="10.7109375" customWidth="1"/>
    <col min="36" max="36" width="12.7109375" customWidth="1"/>
    <col min="37" max="37" width="20.7109375" customWidth="1"/>
    <col min="38" max="39" width="10.7109375" customWidth="1"/>
    <col min="40" max="40" width="2.140625" style="12" customWidth="1"/>
    <col min="41" max="1008" width="0" hidden="1" customWidth="1"/>
    <col min="1009" max="16384" width="11.5703125" hidden="1"/>
  </cols>
  <sheetData>
    <row r="1" spans="1:40" hidden="1">
      <c r="A1" t="s">
        <v>38</v>
      </c>
    </row>
    <row r="2" spans="1:40" hidden="1">
      <c r="A2">
        <f>0</f>
        <v>0</v>
      </c>
      <c r="G2" s="16"/>
      <c r="H2" s="44"/>
      <c r="I2" s="44"/>
      <c r="J2" s="44"/>
      <c r="K2" s="44"/>
      <c r="L2" s="44"/>
      <c r="M2" s="45"/>
      <c r="N2" s="123"/>
      <c r="O2" s="124"/>
      <c r="P2" s="47"/>
      <c r="Q2" s="44"/>
      <c r="R2" s="44"/>
      <c r="S2" s="44"/>
      <c r="T2" s="44"/>
      <c r="U2" s="45"/>
      <c r="V2" s="123"/>
      <c r="W2" s="124"/>
      <c r="X2" s="47"/>
      <c r="Y2" s="44"/>
      <c r="Z2" s="44"/>
      <c r="AA2" s="44"/>
      <c r="AB2" s="44"/>
      <c r="AC2" s="45"/>
      <c r="AD2" s="123"/>
      <c r="AE2" s="124"/>
      <c r="AF2" s="47"/>
      <c r="AG2" s="44"/>
      <c r="AH2" s="44"/>
      <c r="AI2" s="44"/>
      <c r="AJ2" s="44"/>
      <c r="AK2" s="45"/>
      <c r="AL2" s="123"/>
      <c r="AM2" s="124"/>
    </row>
    <row r="3" spans="1:40" hidden="1">
      <c r="A3">
        <f>1</f>
        <v>1</v>
      </c>
      <c r="G3" s="18"/>
      <c r="H3" s="48"/>
      <c r="I3" s="48"/>
      <c r="J3" s="48"/>
      <c r="K3" s="48"/>
      <c r="L3" s="48"/>
      <c r="M3" s="49"/>
      <c r="N3" s="125"/>
      <c r="O3" s="126"/>
      <c r="P3" s="51"/>
      <c r="Q3" s="48"/>
      <c r="R3" s="48"/>
      <c r="S3" s="48"/>
      <c r="T3" s="48"/>
      <c r="U3" s="49"/>
      <c r="V3" s="125"/>
      <c r="W3" s="126"/>
      <c r="X3" s="51"/>
      <c r="Y3" s="48"/>
      <c r="Z3" s="48"/>
      <c r="AA3" s="48"/>
      <c r="AB3" s="48"/>
      <c r="AC3" s="49"/>
      <c r="AD3" s="125"/>
      <c r="AE3" s="126"/>
      <c r="AF3" s="51"/>
      <c r="AG3" s="48"/>
      <c r="AH3" s="48"/>
      <c r="AI3" s="48"/>
      <c r="AJ3" s="48"/>
      <c r="AK3" s="49"/>
      <c r="AL3" s="125"/>
      <c r="AM3" s="126"/>
    </row>
    <row r="4" spans="1:40" hidden="1">
      <c r="A4">
        <f>2</f>
        <v>2</v>
      </c>
      <c r="G4" s="20"/>
      <c r="H4" s="52"/>
      <c r="I4" s="52"/>
      <c r="J4" s="52"/>
      <c r="K4" s="52"/>
      <c r="L4" s="52"/>
      <c r="M4" s="53"/>
      <c r="N4" s="127"/>
      <c r="O4" s="128"/>
      <c r="P4" s="55"/>
      <c r="Q4" s="52"/>
      <c r="R4" s="52"/>
      <c r="S4" s="52"/>
      <c r="T4" s="52"/>
      <c r="U4" s="53"/>
      <c r="V4" s="127"/>
      <c r="W4" s="128"/>
      <c r="X4" s="55"/>
      <c r="Y4" s="52"/>
      <c r="Z4" s="52"/>
      <c r="AA4" s="52"/>
      <c r="AB4" s="52"/>
      <c r="AC4" s="53"/>
      <c r="AD4" s="127"/>
      <c r="AE4" s="128"/>
      <c r="AF4" s="55"/>
      <c r="AG4" s="52"/>
      <c r="AH4" s="52"/>
      <c r="AI4" s="52"/>
      <c r="AJ4" s="52"/>
      <c r="AK4" s="53"/>
      <c r="AL4" s="127"/>
      <c r="AM4" s="128"/>
    </row>
    <row r="5" spans="1:40" hidden="1">
      <c r="A5">
        <f>3</f>
        <v>3</v>
      </c>
      <c r="G5" s="22"/>
      <c r="H5" s="129"/>
      <c r="I5" s="129"/>
      <c r="J5" s="129"/>
      <c r="K5" s="129"/>
      <c r="L5" s="129"/>
      <c r="M5" s="130"/>
      <c r="N5" s="131"/>
      <c r="O5" s="132"/>
      <c r="P5" s="133"/>
      <c r="Q5" s="129"/>
      <c r="R5" s="129"/>
      <c r="S5" s="129"/>
      <c r="T5" s="129"/>
      <c r="U5" s="130"/>
      <c r="V5" s="131"/>
      <c r="W5" s="132"/>
      <c r="X5" s="133"/>
      <c r="Y5" s="129"/>
      <c r="Z5" s="129"/>
      <c r="AA5" s="129"/>
      <c r="AB5" s="129"/>
      <c r="AC5" s="130"/>
      <c r="AD5" s="131"/>
      <c r="AE5" s="132"/>
      <c r="AF5" s="133"/>
      <c r="AG5" s="129"/>
      <c r="AH5" s="129"/>
      <c r="AI5" s="129"/>
      <c r="AJ5" s="129"/>
      <c r="AK5" s="130"/>
      <c r="AL5" s="131"/>
      <c r="AM5" s="132"/>
    </row>
    <row r="6" spans="1:40" hidden="1">
      <c r="A6" t="s">
        <v>36</v>
      </c>
      <c r="G6" s="24"/>
      <c r="H6" s="61"/>
      <c r="I6" s="61"/>
      <c r="J6" s="61"/>
      <c r="K6" s="61"/>
      <c r="L6" s="61"/>
      <c r="M6" s="62"/>
      <c r="N6" s="134"/>
      <c r="O6" s="135"/>
      <c r="P6" s="64"/>
      <c r="Q6" s="61"/>
      <c r="R6" s="61"/>
      <c r="S6" s="61"/>
      <c r="T6" s="61"/>
      <c r="U6" s="62"/>
      <c r="V6" s="134"/>
      <c r="W6" s="135"/>
      <c r="X6" s="64"/>
      <c r="Y6" s="61"/>
      <c r="Z6" s="61"/>
      <c r="AA6" s="61"/>
      <c r="AB6" s="61"/>
      <c r="AC6" s="62"/>
      <c r="AD6" s="134"/>
      <c r="AE6" s="135"/>
      <c r="AF6" s="64"/>
      <c r="AG6" s="61"/>
      <c r="AH6" s="61"/>
      <c r="AI6" s="61"/>
      <c r="AJ6" s="61"/>
      <c r="AK6" s="62"/>
      <c r="AL6" s="134"/>
      <c r="AM6" s="135"/>
    </row>
    <row r="7" spans="1:40" hidden="1">
      <c r="A7" t="s">
        <v>37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</row>
    <row r="8" spans="1:40" hidden="1">
      <c r="A8" t="s">
        <v>39</v>
      </c>
    </row>
    <row r="9" spans="1:40" hidden="1"/>
    <row r="10" spans="1:40" hidden="1"/>
    <row r="11" spans="1:40" hidden="1"/>
    <row r="12" spans="1:40" hidden="1"/>
    <row r="13" spans="1:40" hidden="1"/>
    <row r="14" spans="1:40" hidden="1"/>
    <row r="15" spans="1:40" hidden="1">
      <c r="G15" t="str">
        <f ca="1">_xll.TM1RPTVIEW("CXMD:OTC_DATA_MARKET_ANALYSIS:ARPT1", 1, _xll.TM1RPTTITLE("CXMD:Currency",$H$21), _xll.TM1RPTTITLE("CXMD:DIM_Prev_IC_mapping",$H$22), _xll.TM1RPTTITLE("CXMD:DIM_Origin_Company",$H$24), _xll.TM1RPTTITLE("CXMD:DIM_Country",$H$25),TM1RPTFMTRNG,TM1RPTFMTIDCOL)</f>
        <v>CXMD:OTC_DATA_MARKET_ANALYSIS:ARPT1</v>
      </c>
    </row>
    <row r="16" spans="1:40" s="66" customFormat="1">
      <c r="AN16" s="12"/>
    </row>
    <row r="17" spans="1:40" s="66" customFormat="1">
      <c r="AN17" s="12"/>
    </row>
    <row r="18" spans="1:40" s="66" customFormat="1">
      <c r="AN18" s="12"/>
    </row>
    <row r="19" spans="1:40" s="66" customFormat="1">
      <c r="AN19" s="12"/>
    </row>
    <row r="20" spans="1:40" s="66" customFormat="1">
      <c r="AN20" s="12"/>
    </row>
    <row r="21" spans="1:40" s="7" customFormat="1" hidden="1">
      <c r="G21" s="9" t="s">
        <v>1</v>
      </c>
      <c r="H21" s="7" t="str">
        <f ca="1">_xll.SUBNM("CXMD:Currency","Par défaut","CD_LC","Description EN")</f>
        <v>Local currency</v>
      </c>
      <c r="AN21" s="12"/>
    </row>
    <row r="22" spans="1:40" s="7" customFormat="1" hidden="1">
      <c r="G22" s="9" t="s">
        <v>158</v>
      </c>
      <c r="H22" s="7" t="str">
        <f ca="1">_xll.SUBNM("CXMD:Prev_IC_mapping","","Others")</f>
        <v>Others</v>
      </c>
      <c r="AN22" s="12"/>
    </row>
    <row r="23" spans="1:40" s="7" customFormat="1" ht="25.9" customHeight="1">
      <c r="G23" s="136" t="s">
        <v>165</v>
      </c>
      <c r="AN23" s="12"/>
    </row>
    <row r="24" spans="1:40" s="7" customFormat="1">
      <c r="G24" s="9" t="s">
        <v>3</v>
      </c>
      <c r="H24" s="10" t="str">
        <f ca="1">'Market shares summary'!C21</f>
        <v>KUHN GERMANY</v>
      </c>
      <c r="AN24" s="12"/>
    </row>
    <row r="25" spans="1:40" s="7" customFormat="1">
      <c r="G25" s="9" t="s">
        <v>160</v>
      </c>
      <c r="H25" s="10" t="str">
        <f ca="1">'Market shares summary'!C22</f>
        <v>ALLEMAGNE</v>
      </c>
      <c r="AN25" s="12"/>
    </row>
    <row r="26" spans="1:40" s="7" customFormat="1" hidden="1">
      <c r="AN26" s="12"/>
    </row>
    <row r="27" spans="1:40" s="7" customFormat="1" ht="15.75" thickBot="1">
      <c r="AN27" s="12"/>
    </row>
    <row r="28" spans="1:40" s="73" customFormat="1" ht="28.9" customHeight="1">
      <c r="G28" s="137"/>
      <c r="H28" s="167" t="str">
        <f ca="1">'Market shares summary'!C25</f>
        <v>AC2018</v>
      </c>
      <c r="I28" s="168"/>
      <c r="J28" s="168"/>
      <c r="K28" s="168"/>
      <c r="L28" s="168"/>
      <c r="M28" s="169"/>
      <c r="N28" s="148" t="s">
        <v>166</v>
      </c>
      <c r="O28" s="150"/>
      <c r="P28" s="167" t="str">
        <f ca="1">'Market shares summary'!K25</f>
        <v>BU2019draft</v>
      </c>
      <c r="Q28" s="168"/>
      <c r="R28" s="168"/>
      <c r="S28" s="168"/>
      <c r="T28" s="168"/>
      <c r="U28" s="169"/>
      <c r="V28" s="148" t="s">
        <v>166</v>
      </c>
      <c r="W28" s="150"/>
      <c r="X28" s="167" t="str">
        <f ca="1">'Market shares summary'!S25</f>
        <v>FC3_2019</v>
      </c>
      <c r="Y28" s="168"/>
      <c r="Z28" s="168"/>
      <c r="AA28" s="168"/>
      <c r="AB28" s="168"/>
      <c r="AC28" s="169"/>
      <c r="AD28" s="148" t="s">
        <v>166</v>
      </c>
      <c r="AE28" s="150"/>
      <c r="AF28" s="167" t="str">
        <f ca="1">'Market shares summary'!AD25</f>
        <v>BU2020Draft</v>
      </c>
      <c r="AG28" s="168"/>
      <c r="AH28" s="168"/>
      <c r="AI28" s="168"/>
      <c r="AJ28" s="168"/>
      <c r="AK28" s="169"/>
      <c r="AL28" s="148" t="s">
        <v>166</v>
      </c>
      <c r="AM28" s="150"/>
      <c r="AN28" s="138"/>
    </row>
    <row r="29" spans="1:40">
      <c r="G29" s="7"/>
      <c r="H29" s="172" t="s">
        <v>162</v>
      </c>
      <c r="I29" s="170"/>
      <c r="J29" s="170"/>
      <c r="K29" s="170" t="s">
        <v>163</v>
      </c>
      <c r="L29" s="170"/>
      <c r="M29" s="170"/>
      <c r="N29" s="170"/>
      <c r="O29" s="171"/>
      <c r="P29" s="173" t="s">
        <v>162</v>
      </c>
      <c r="Q29" s="174"/>
      <c r="R29" s="174"/>
      <c r="S29" s="174" t="s">
        <v>163</v>
      </c>
      <c r="T29" s="174"/>
      <c r="U29" s="174"/>
      <c r="V29" s="170"/>
      <c r="W29" s="171"/>
      <c r="X29" s="173" t="s">
        <v>162</v>
      </c>
      <c r="Y29" s="174"/>
      <c r="Z29" s="174"/>
      <c r="AA29" s="174" t="s">
        <v>163</v>
      </c>
      <c r="AB29" s="174"/>
      <c r="AC29" s="174"/>
      <c r="AD29" s="170"/>
      <c r="AE29" s="171"/>
      <c r="AF29" s="173" t="s">
        <v>162</v>
      </c>
      <c r="AG29" s="174"/>
      <c r="AH29" s="174"/>
      <c r="AI29" s="174" t="s">
        <v>163</v>
      </c>
      <c r="AJ29" s="174"/>
      <c r="AK29" s="174"/>
      <c r="AL29" s="170"/>
      <c r="AM29" s="171"/>
    </row>
    <row r="30" spans="1:40" ht="15.75" thickBot="1">
      <c r="G30" s="7"/>
      <c r="H30" s="75" t="s">
        <v>5</v>
      </c>
      <c r="I30" s="76" t="s">
        <v>164</v>
      </c>
      <c r="J30" s="76" t="s">
        <v>6</v>
      </c>
      <c r="K30" s="76" t="s">
        <v>5</v>
      </c>
      <c r="L30" s="76" t="s">
        <v>164</v>
      </c>
      <c r="M30" s="76" t="s">
        <v>6</v>
      </c>
      <c r="N30" s="76" t="s">
        <v>5</v>
      </c>
      <c r="O30" s="139" t="s">
        <v>6</v>
      </c>
      <c r="P30" s="75" t="s">
        <v>5</v>
      </c>
      <c r="Q30" s="76" t="s">
        <v>164</v>
      </c>
      <c r="R30" s="76" t="s">
        <v>6</v>
      </c>
      <c r="S30" s="76" t="s">
        <v>5</v>
      </c>
      <c r="T30" s="76" t="s">
        <v>164</v>
      </c>
      <c r="U30" s="76" t="s">
        <v>6</v>
      </c>
      <c r="V30" s="76" t="s">
        <v>5</v>
      </c>
      <c r="W30" s="139" t="s">
        <v>6</v>
      </c>
      <c r="X30" s="75" t="s">
        <v>5</v>
      </c>
      <c r="Y30" s="76" t="s">
        <v>164</v>
      </c>
      <c r="Z30" s="76" t="s">
        <v>6</v>
      </c>
      <c r="AA30" s="76" t="s">
        <v>5</v>
      </c>
      <c r="AB30" s="76" t="s">
        <v>164</v>
      </c>
      <c r="AC30" s="76" t="s">
        <v>6</v>
      </c>
      <c r="AD30" s="76" t="s">
        <v>5</v>
      </c>
      <c r="AE30" s="139" t="s">
        <v>6</v>
      </c>
      <c r="AF30" s="75" t="s">
        <v>5</v>
      </c>
      <c r="AG30" s="76" t="s">
        <v>164</v>
      </c>
      <c r="AH30" s="76" t="s">
        <v>6</v>
      </c>
      <c r="AI30" s="76" t="s">
        <v>5</v>
      </c>
      <c r="AJ30" s="76" t="s">
        <v>164</v>
      </c>
      <c r="AK30" s="76" t="s">
        <v>6</v>
      </c>
      <c r="AL30" s="76" t="s">
        <v>5</v>
      </c>
      <c r="AM30" s="139" t="s">
        <v>6</v>
      </c>
    </row>
    <row r="31" spans="1:40">
      <c r="A31">
        <f ca="1">IF(_xll.TM1RPTELISCONSOLIDATED($G$31,$G31),IF(_xll.TM1RPTELLEV($G$31,$G31)&lt;=3,_xll.TM1RPTELLEV($G$31,$G31),"D"),"N")</f>
        <v>0</v>
      </c>
      <c r="G31" s="41" t="str">
        <f ca="1">_xll.TM1RPTROW($G$15,"CXMD:DIM_Configuration","Product_Market_Shares_BUD_Meeting","","Description EN",0)</f>
        <v>TOTAL PRODUCT</v>
      </c>
      <c r="H31" s="44">
        <f ca="1">_xll.DBRW($G$15,$H$21,$H$22,H$29,H$28,$H$24,$H$25,$G31,H$30)</f>
        <v>0</v>
      </c>
      <c r="I31" s="44">
        <f ca="1">_xll.DBRW($G$15,$H$21,$H$22,H$29,H$28,$H$24,$H$25,$G31,I$30)</f>
        <v>0</v>
      </c>
      <c r="J31" s="44">
        <f ca="1">_xll.DBRW($G$15,$H$21,$H$22,H$29,H$28,$H$24,$H$25,$G31,J$30)</f>
        <v>0</v>
      </c>
      <c r="K31" s="44">
        <f ca="1">_xll.DBRW($G$15,$H$21,$H$22,K$29,H$28,$H$24,$H$25,$G31,K$30)</f>
        <v>0</v>
      </c>
      <c r="L31" s="44">
        <f ca="1">_xll.DBRW($G$15,$H$21,$H$22,K$29,H$28,$H$24,$H$25,$G31,L$30)</f>
        <v>0</v>
      </c>
      <c r="M31" s="45">
        <f ca="1">_xll.DBRW($G$15,$H$21,$H$22,K$29,H$28,$H$24,$H$25,$G31,M$30)</f>
        <v>0</v>
      </c>
      <c r="N31" s="123">
        <f ca="1">IF(K31&lt;&gt;0,H31/K31,0)</f>
        <v>0</v>
      </c>
      <c r="O31" s="124">
        <f ca="1">IF(M31&lt;&gt;0,J31/M31,0)</f>
        <v>0</v>
      </c>
      <c r="P31" s="47">
        <f ca="1">_xll.DBRW($G$15,$H$21,$H$22,P$29,P$28,$H$24,$H$25,$G31,P$30)</f>
        <v>0</v>
      </c>
      <c r="Q31" s="44">
        <f ca="1">_xll.DBRW($G$15,$H$21,$H$22,P$29,P$28,$H$24,$H$25,$G31,Q$30)</f>
        <v>0</v>
      </c>
      <c r="R31" s="44">
        <f ca="1">_xll.DBRW($G$15,$H$21,$H$22,P$29,P$28,$H$24,$H$25,$G31,R$30)</f>
        <v>0</v>
      </c>
      <c r="S31" s="44">
        <f ca="1">_xll.DBRW($G$15,$H$21,$H$22,S$29,P$28,$H$24,$H$25,$G31,S$30)</f>
        <v>0</v>
      </c>
      <c r="T31" s="44">
        <f ca="1">_xll.DBRW($G$15,$H$21,$H$22,S$29,P$28,$H$24,$H$25,$G31,T$30)</f>
        <v>0</v>
      </c>
      <c r="U31" s="45">
        <f ca="1">_xll.DBRW($G$15,$H$21,$H$22,S$29,P$28,$H$24,$H$25,$G31,U$30)</f>
        <v>0</v>
      </c>
      <c r="V31" s="123">
        <f ca="1">IF(S31&lt;&gt;0,P31/S31,0)</f>
        <v>0</v>
      </c>
      <c r="W31" s="124">
        <f ca="1">IF(U31&lt;&gt;0,R31/U31,0)</f>
        <v>0</v>
      </c>
      <c r="X31" s="47">
        <f ca="1">_xll.DBRW($G$15,$H$21,$H$22,X$29,X$28,$H$24,$H$25,$G31,X$30)</f>
        <v>0</v>
      </c>
      <c r="Y31" s="44">
        <f ca="1">_xll.DBRW($G$15,$H$21,$H$22,X$29,X$28,$H$24,$H$25,$G31,Y$30)</f>
        <v>0</v>
      </c>
      <c r="Z31" s="44">
        <f ca="1">_xll.DBRW($G$15,$H$21,$H$22,X$29,X$28,$H$24,$H$25,$G31,Z$30)</f>
        <v>0</v>
      </c>
      <c r="AA31" s="44">
        <f ca="1">_xll.DBRW($G$15,$H$21,$H$22,AA$29,X$28,$H$24,$H$25,$G31,AA$30)</f>
        <v>0</v>
      </c>
      <c r="AB31" s="44">
        <f ca="1">_xll.DBRW($G$15,$H$21,$H$22,AA$29,X$28,$H$24,$H$25,$G31,AB$30)</f>
        <v>0</v>
      </c>
      <c r="AC31" s="45">
        <f ca="1">_xll.DBRW($G$15,$H$21,$H$22,AA$29,X$28,$H$24,$H$25,$G31,AC$30)</f>
        <v>0</v>
      </c>
      <c r="AD31" s="123">
        <f ca="1">IF(AA31&lt;&gt;0,X31/AA31,0)</f>
        <v>0</v>
      </c>
      <c r="AE31" s="124">
        <f ca="1">IF(AC31&lt;&gt;0,Z31/AC31,0)</f>
        <v>0</v>
      </c>
      <c r="AF31" s="47">
        <f ca="1">_xll.DBRW($G$15,$H$21,$H$22,AF$29,AF$28,$H$24,$H$25,$G31,AF$30)</f>
        <v>0</v>
      </c>
      <c r="AG31" s="44">
        <f ca="1">_xll.DBRW($G$15,$H$21,$H$22,AF$29,AF$28,$H$24,$H$25,$G31,AG$30)</f>
        <v>0</v>
      </c>
      <c r="AH31" s="44">
        <f ca="1">_xll.DBRW($G$15,$H$21,$H$22,AF$29,AF$28,$H$24,$H$25,$G31,AH$30)</f>
        <v>0</v>
      </c>
      <c r="AI31" s="44">
        <f ca="1">_xll.DBRW($G$15,$H$21,$H$22,AI$29,AF$28,$H$24,$H$25,$G31,AI$30)</f>
        <v>0</v>
      </c>
      <c r="AJ31" s="44">
        <f ca="1">_xll.DBRW($G$15,$H$21,$H$22,AI$29,AF$28,$H$24,$H$25,$G31,AJ$30)</f>
        <v>0</v>
      </c>
      <c r="AK31" s="45">
        <f ca="1">_xll.DBRW($G$15,$H$21,$H$22,AI$29,AF$28,$H$24,$H$25,$G31,AK$30)</f>
        <v>0</v>
      </c>
      <c r="AL31" s="140">
        <f ca="1">IF(AI31&lt;&gt;0,AF31/AI31,0)</f>
        <v>0</v>
      </c>
      <c r="AM31" s="140">
        <f ca="1">IF(AK31&lt;&gt;0,AH31/AK31,0)</f>
        <v>0</v>
      </c>
    </row>
    <row r="32" spans="1:40">
      <c r="A32">
        <f ca="1">IF(_xll.TM1RPTELISCONSOLIDATED($G$31,$G32),IF(_xll.TM1RPTELLEV($G$31,$G32)&lt;=3,_xll.TM1RPTELLEV($G$31,$G32),"D"),"N")</f>
        <v>1</v>
      </c>
      <c r="G32" s="78" t="s">
        <v>170</v>
      </c>
      <c r="H32" s="48">
        <f ca="1">_xll.DBRW($G$15,$H$21,$H$22,H$29,H$28,$H$24,$H$25,$G32,H$30)</f>
        <v>0</v>
      </c>
      <c r="I32" s="48">
        <f ca="1">_xll.DBRW($G$15,$H$21,$H$22,H$29,H$28,$H$24,$H$25,$G32,I$30)</f>
        <v>0</v>
      </c>
      <c r="J32" s="48">
        <f ca="1">_xll.DBRW($G$15,$H$21,$H$22,H$29,H$28,$H$24,$H$25,$G32,J$30)</f>
        <v>0</v>
      </c>
      <c r="K32" s="48">
        <f ca="1">_xll.DBRW($G$15,$H$21,$H$22,K$29,H$28,$H$24,$H$25,$G32,K$30)</f>
        <v>0</v>
      </c>
      <c r="L32" s="48">
        <f ca="1">_xll.DBRW($G$15,$H$21,$H$22,K$29,H$28,$H$24,$H$25,$G32,L$30)</f>
        <v>0</v>
      </c>
      <c r="M32" s="49">
        <f ca="1">_xll.DBRW($G$15,$H$21,$H$22,K$29,H$28,$H$24,$H$25,$G32,M$30)</f>
        <v>0</v>
      </c>
      <c r="N32" s="125">
        <f t="shared" ref="N32:N95" ca="1" si="0">IF(K32&lt;&gt;0,H32/K32,0)</f>
        <v>0</v>
      </c>
      <c r="O32" s="126">
        <f t="shared" ref="O32:O95" ca="1" si="1">IF(M32&lt;&gt;0,J32/M32,0)</f>
        <v>0</v>
      </c>
      <c r="P32" s="51">
        <f ca="1">_xll.DBRW($G$15,$H$21,$H$22,P$29,P$28,$H$24,$H$25,$G32,P$30)</f>
        <v>0</v>
      </c>
      <c r="Q32" s="48">
        <f ca="1">_xll.DBRW($G$15,$H$21,$H$22,P$29,P$28,$H$24,$H$25,$G32,Q$30)</f>
        <v>0</v>
      </c>
      <c r="R32" s="48">
        <f ca="1">_xll.DBRW($G$15,$H$21,$H$22,P$29,P$28,$H$24,$H$25,$G32,R$30)</f>
        <v>0</v>
      </c>
      <c r="S32" s="48">
        <f ca="1">_xll.DBRW($G$15,$H$21,$H$22,S$29,P$28,$H$24,$H$25,$G32,S$30)</f>
        <v>0</v>
      </c>
      <c r="T32" s="48">
        <f ca="1">_xll.DBRW($G$15,$H$21,$H$22,S$29,P$28,$H$24,$H$25,$G32,T$30)</f>
        <v>0</v>
      </c>
      <c r="U32" s="49">
        <f ca="1">_xll.DBRW($G$15,$H$21,$H$22,S$29,P$28,$H$24,$H$25,$G32,U$30)</f>
        <v>0</v>
      </c>
      <c r="V32" s="125">
        <f t="shared" ref="V32:V95" ca="1" si="2">IF(S32&lt;&gt;0,P32/S32,0)</f>
        <v>0</v>
      </c>
      <c r="W32" s="126">
        <f t="shared" ref="W32:W95" ca="1" si="3">IF(U32&lt;&gt;0,R32/U32,0)</f>
        <v>0</v>
      </c>
      <c r="X32" s="51">
        <f ca="1">_xll.DBRW($G$15,$H$21,$H$22,X$29,X$28,$H$24,$H$25,$G32,X$30)</f>
        <v>0</v>
      </c>
      <c r="Y32" s="48">
        <f ca="1">_xll.DBRW($G$15,$H$21,$H$22,X$29,X$28,$H$24,$H$25,$G32,Y$30)</f>
        <v>0</v>
      </c>
      <c r="Z32" s="48">
        <f ca="1">_xll.DBRW($G$15,$H$21,$H$22,X$29,X$28,$H$24,$H$25,$G32,Z$30)</f>
        <v>0</v>
      </c>
      <c r="AA32" s="48">
        <f ca="1">_xll.DBRW($G$15,$H$21,$H$22,AA$29,X$28,$H$24,$H$25,$G32,AA$30)</f>
        <v>0</v>
      </c>
      <c r="AB32" s="48">
        <f ca="1">_xll.DBRW($G$15,$H$21,$H$22,AA$29,X$28,$H$24,$H$25,$G32,AB$30)</f>
        <v>0</v>
      </c>
      <c r="AC32" s="49">
        <f ca="1">_xll.DBRW($G$15,$H$21,$H$22,AA$29,X$28,$H$24,$H$25,$G32,AC$30)</f>
        <v>0</v>
      </c>
      <c r="AD32" s="125">
        <f t="shared" ref="AD32:AD95" ca="1" si="4">IF(AA32&lt;&gt;0,X32/AA32,0)</f>
        <v>0</v>
      </c>
      <c r="AE32" s="126">
        <f t="shared" ref="AE32:AE95" ca="1" si="5">IF(AC32&lt;&gt;0,Z32/AC32,0)</f>
        <v>0</v>
      </c>
      <c r="AF32" s="51">
        <f ca="1">_xll.DBRW($G$15,$H$21,$H$22,AF$29,AF$28,$H$24,$H$25,$G32,AF$30)</f>
        <v>0</v>
      </c>
      <c r="AG32" s="48">
        <f ca="1">_xll.DBRW($G$15,$H$21,$H$22,AF$29,AF$28,$H$24,$H$25,$G32,AG$30)</f>
        <v>0</v>
      </c>
      <c r="AH32" s="48">
        <f ca="1">_xll.DBRW($G$15,$H$21,$H$22,AF$29,AF$28,$H$24,$H$25,$G32,AH$30)</f>
        <v>0</v>
      </c>
      <c r="AI32" s="48">
        <f ca="1">_xll.DBRW($G$15,$H$21,$H$22,AI$29,AF$28,$H$24,$H$25,$G32,AI$30)</f>
        <v>0</v>
      </c>
      <c r="AJ32" s="48">
        <f ca="1">_xll.DBRW($G$15,$H$21,$H$22,AI$29,AF$28,$H$24,$H$25,$G32,AJ$30)</f>
        <v>0</v>
      </c>
      <c r="AK32" s="49">
        <f ca="1">_xll.DBRW($G$15,$H$21,$H$22,AI$29,AF$28,$H$24,$H$25,$G32,AK$30)</f>
        <v>0</v>
      </c>
      <c r="AL32" s="140">
        <f t="shared" ref="AL32:AL95" ca="1" si="6">IF(AI32&lt;&gt;0,AF32/AI32,0)</f>
        <v>0</v>
      </c>
      <c r="AM32" s="140">
        <f t="shared" ref="AM32:AM95" ca="1" si="7">IF(AK32&lt;&gt;0,AH32/AK32,0)</f>
        <v>0</v>
      </c>
    </row>
    <row r="33" spans="1:39">
      <c r="A33">
        <f ca="1">IF(_xll.TM1RPTELISCONSOLIDATED($G$31,$G33),IF(_xll.TM1RPTELLEV($G$31,$G33)&lt;=3,_xll.TM1RPTELLEV($G$31,$G33),"D"),"N")</f>
        <v>2</v>
      </c>
      <c r="G33" s="79" t="s">
        <v>192</v>
      </c>
      <c r="H33" s="52">
        <f ca="1">_xll.DBRW($G$15,$H$21,$H$22,H$29,H$28,$H$24,$H$25,$G33,H$30)</f>
        <v>0</v>
      </c>
      <c r="I33" s="52">
        <f ca="1">_xll.DBRW($G$15,$H$21,$H$22,H$29,H$28,$H$24,$H$25,$G33,I$30)</f>
        <v>0</v>
      </c>
      <c r="J33" s="52">
        <f ca="1">_xll.DBRW($G$15,$H$21,$H$22,H$29,H$28,$H$24,$H$25,$G33,J$30)</f>
        <v>0</v>
      </c>
      <c r="K33" s="52">
        <f ca="1">_xll.DBRW($G$15,$H$21,$H$22,K$29,H$28,$H$24,$H$25,$G33,K$30)</f>
        <v>0</v>
      </c>
      <c r="L33" s="52">
        <f ca="1">_xll.DBRW($G$15,$H$21,$H$22,K$29,H$28,$H$24,$H$25,$G33,L$30)</f>
        <v>0</v>
      </c>
      <c r="M33" s="53">
        <f ca="1">_xll.DBRW($G$15,$H$21,$H$22,K$29,H$28,$H$24,$H$25,$G33,M$30)</f>
        <v>0</v>
      </c>
      <c r="N33" s="127">
        <f t="shared" ca="1" si="0"/>
        <v>0</v>
      </c>
      <c r="O33" s="128">
        <f t="shared" ca="1" si="1"/>
        <v>0</v>
      </c>
      <c r="P33" s="55">
        <f ca="1">_xll.DBRW($G$15,$H$21,$H$22,P$29,P$28,$H$24,$H$25,$G33,P$30)</f>
        <v>0</v>
      </c>
      <c r="Q33" s="52">
        <f ca="1">_xll.DBRW($G$15,$H$21,$H$22,P$29,P$28,$H$24,$H$25,$G33,Q$30)</f>
        <v>0</v>
      </c>
      <c r="R33" s="52">
        <f ca="1">_xll.DBRW($G$15,$H$21,$H$22,P$29,P$28,$H$24,$H$25,$G33,R$30)</f>
        <v>0</v>
      </c>
      <c r="S33" s="52">
        <f ca="1">_xll.DBRW($G$15,$H$21,$H$22,S$29,P$28,$H$24,$H$25,$G33,S$30)</f>
        <v>0</v>
      </c>
      <c r="T33" s="52">
        <f ca="1">_xll.DBRW($G$15,$H$21,$H$22,S$29,P$28,$H$24,$H$25,$G33,T$30)</f>
        <v>0</v>
      </c>
      <c r="U33" s="53">
        <f ca="1">_xll.DBRW($G$15,$H$21,$H$22,S$29,P$28,$H$24,$H$25,$G33,U$30)</f>
        <v>0</v>
      </c>
      <c r="V33" s="127">
        <f t="shared" ca="1" si="2"/>
        <v>0</v>
      </c>
      <c r="W33" s="128">
        <f t="shared" ca="1" si="3"/>
        <v>0</v>
      </c>
      <c r="X33" s="55">
        <f ca="1">_xll.DBRW($G$15,$H$21,$H$22,X$29,X$28,$H$24,$H$25,$G33,X$30)</f>
        <v>0</v>
      </c>
      <c r="Y33" s="52">
        <f ca="1">_xll.DBRW($G$15,$H$21,$H$22,X$29,X$28,$H$24,$H$25,$G33,Y$30)</f>
        <v>0</v>
      </c>
      <c r="Z33" s="52">
        <f ca="1">_xll.DBRW($G$15,$H$21,$H$22,X$29,X$28,$H$24,$H$25,$G33,Z$30)</f>
        <v>0</v>
      </c>
      <c r="AA33" s="52">
        <f ca="1">_xll.DBRW($G$15,$H$21,$H$22,AA$29,X$28,$H$24,$H$25,$G33,AA$30)</f>
        <v>0</v>
      </c>
      <c r="AB33" s="52">
        <f ca="1">_xll.DBRW($G$15,$H$21,$H$22,AA$29,X$28,$H$24,$H$25,$G33,AB$30)</f>
        <v>0</v>
      </c>
      <c r="AC33" s="53">
        <f ca="1">_xll.DBRW($G$15,$H$21,$H$22,AA$29,X$28,$H$24,$H$25,$G33,AC$30)</f>
        <v>0</v>
      </c>
      <c r="AD33" s="127">
        <f t="shared" ca="1" si="4"/>
        <v>0</v>
      </c>
      <c r="AE33" s="128">
        <f t="shared" ca="1" si="5"/>
        <v>0</v>
      </c>
      <c r="AF33" s="55">
        <f ca="1">_xll.DBRW($G$15,$H$21,$H$22,AF$29,AF$28,$H$24,$H$25,$G33,AF$30)</f>
        <v>0</v>
      </c>
      <c r="AG33" s="52">
        <f ca="1">_xll.DBRW($G$15,$H$21,$H$22,AF$29,AF$28,$H$24,$H$25,$G33,AG$30)</f>
        <v>0</v>
      </c>
      <c r="AH33" s="52">
        <f ca="1">_xll.DBRW($G$15,$H$21,$H$22,AF$29,AF$28,$H$24,$H$25,$G33,AH$30)</f>
        <v>0</v>
      </c>
      <c r="AI33" s="52">
        <f ca="1">_xll.DBRW($G$15,$H$21,$H$22,AI$29,AF$28,$H$24,$H$25,$G33,AI$30)</f>
        <v>0</v>
      </c>
      <c r="AJ33" s="52">
        <f ca="1">_xll.DBRW($G$15,$H$21,$H$22,AI$29,AF$28,$H$24,$H$25,$G33,AJ$30)</f>
        <v>0</v>
      </c>
      <c r="AK33" s="53">
        <f ca="1">_xll.DBRW($G$15,$H$21,$H$22,AI$29,AF$28,$H$24,$H$25,$G33,AK$30)</f>
        <v>0</v>
      </c>
      <c r="AL33" s="140">
        <f t="shared" ca="1" si="6"/>
        <v>0</v>
      </c>
      <c r="AM33" s="140">
        <f t="shared" ca="1" si="7"/>
        <v>0</v>
      </c>
    </row>
    <row r="34" spans="1:39">
      <c r="A34">
        <f ca="1">IF(_xll.TM1RPTELISCONSOLIDATED($G$31,$G34),IF(_xll.TM1RPTELLEV($G$31,$G34)&lt;=3,_xll.TM1RPTELLEV($G$31,$G34),"D"),"N")</f>
        <v>2</v>
      </c>
      <c r="G34" s="79" t="s">
        <v>193</v>
      </c>
      <c r="H34" s="52">
        <f ca="1">_xll.DBRW($G$15,$H$21,$H$22,H$29,H$28,$H$24,$H$25,$G34,H$30)</f>
        <v>0</v>
      </c>
      <c r="I34" s="52">
        <f ca="1">_xll.DBRW($G$15,$H$21,$H$22,H$29,H$28,$H$24,$H$25,$G34,I$30)</f>
        <v>0</v>
      </c>
      <c r="J34" s="52">
        <f ca="1">_xll.DBRW($G$15,$H$21,$H$22,H$29,H$28,$H$24,$H$25,$G34,J$30)</f>
        <v>0</v>
      </c>
      <c r="K34" s="52">
        <f ca="1">_xll.DBRW($G$15,$H$21,$H$22,K$29,H$28,$H$24,$H$25,$G34,K$30)</f>
        <v>0</v>
      </c>
      <c r="L34" s="52">
        <f ca="1">_xll.DBRW($G$15,$H$21,$H$22,K$29,H$28,$H$24,$H$25,$G34,L$30)</f>
        <v>0</v>
      </c>
      <c r="M34" s="53">
        <f ca="1">_xll.DBRW($G$15,$H$21,$H$22,K$29,H$28,$H$24,$H$25,$G34,M$30)</f>
        <v>0</v>
      </c>
      <c r="N34" s="127">
        <f t="shared" ca="1" si="0"/>
        <v>0</v>
      </c>
      <c r="O34" s="128">
        <f t="shared" ca="1" si="1"/>
        <v>0</v>
      </c>
      <c r="P34" s="55">
        <f ca="1">_xll.DBRW($G$15,$H$21,$H$22,P$29,P$28,$H$24,$H$25,$G34,P$30)</f>
        <v>0</v>
      </c>
      <c r="Q34" s="52">
        <f ca="1">_xll.DBRW($G$15,$H$21,$H$22,P$29,P$28,$H$24,$H$25,$G34,Q$30)</f>
        <v>0</v>
      </c>
      <c r="R34" s="52">
        <f ca="1">_xll.DBRW($G$15,$H$21,$H$22,P$29,P$28,$H$24,$H$25,$G34,R$30)</f>
        <v>0</v>
      </c>
      <c r="S34" s="52">
        <f ca="1">_xll.DBRW($G$15,$H$21,$H$22,S$29,P$28,$H$24,$H$25,$G34,S$30)</f>
        <v>0</v>
      </c>
      <c r="T34" s="52">
        <f ca="1">_xll.DBRW($G$15,$H$21,$H$22,S$29,P$28,$H$24,$H$25,$G34,T$30)</f>
        <v>0</v>
      </c>
      <c r="U34" s="53">
        <f ca="1">_xll.DBRW($G$15,$H$21,$H$22,S$29,P$28,$H$24,$H$25,$G34,U$30)</f>
        <v>0</v>
      </c>
      <c r="V34" s="127">
        <f t="shared" ca="1" si="2"/>
        <v>0</v>
      </c>
      <c r="W34" s="128">
        <f t="shared" ca="1" si="3"/>
        <v>0</v>
      </c>
      <c r="X34" s="55">
        <f ca="1">_xll.DBRW($G$15,$H$21,$H$22,X$29,X$28,$H$24,$H$25,$G34,X$30)</f>
        <v>0</v>
      </c>
      <c r="Y34" s="52">
        <f ca="1">_xll.DBRW($G$15,$H$21,$H$22,X$29,X$28,$H$24,$H$25,$G34,Y$30)</f>
        <v>0</v>
      </c>
      <c r="Z34" s="52">
        <f ca="1">_xll.DBRW($G$15,$H$21,$H$22,X$29,X$28,$H$24,$H$25,$G34,Z$30)</f>
        <v>0</v>
      </c>
      <c r="AA34" s="52">
        <f ca="1">_xll.DBRW($G$15,$H$21,$H$22,AA$29,X$28,$H$24,$H$25,$G34,AA$30)</f>
        <v>0</v>
      </c>
      <c r="AB34" s="52">
        <f ca="1">_xll.DBRW($G$15,$H$21,$H$22,AA$29,X$28,$H$24,$H$25,$G34,AB$30)</f>
        <v>0</v>
      </c>
      <c r="AC34" s="53">
        <f ca="1">_xll.DBRW($G$15,$H$21,$H$22,AA$29,X$28,$H$24,$H$25,$G34,AC$30)</f>
        <v>0</v>
      </c>
      <c r="AD34" s="127">
        <f t="shared" ca="1" si="4"/>
        <v>0</v>
      </c>
      <c r="AE34" s="128">
        <f t="shared" ca="1" si="5"/>
        <v>0</v>
      </c>
      <c r="AF34" s="55">
        <f ca="1">_xll.DBRW($G$15,$H$21,$H$22,AF$29,AF$28,$H$24,$H$25,$G34,AF$30)</f>
        <v>0</v>
      </c>
      <c r="AG34" s="52">
        <f ca="1">_xll.DBRW($G$15,$H$21,$H$22,AF$29,AF$28,$H$24,$H$25,$G34,AG$30)</f>
        <v>0</v>
      </c>
      <c r="AH34" s="52">
        <f ca="1">_xll.DBRW($G$15,$H$21,$H$22,AF$29,AF$28,$H$24,$H$25,$G34,AH$30)</f>
        <v>0</v>
      </c>
      <c r="AI34" s="52">
        <f ca="1">_xll.DBRW($G$15,$H$21,$H$22,AI$29,AF$28,$H$24,$H$25,$G34,AI$30)</f>
        <v>0</v>
      </c>
      <c r="AJ34" s="52">
        <f ca="1">_xll.DBRW($G$15,$H$21,$H$22,AI$29,AF$28,$H$24,$H$25,$G34,AJ$30)</f>
        <v>0</v>
      </c>
      <c r="AK34" s="53">
        <f ca="1">_xll.DBRW($G$15,$H$21,$H$22,AI$29,AF$28,$H$24,$H$25,$G34,AK$30)</f>
        <v>0</v>
      </c>
      <c r="AL34" s="140">
        <f t="shared" ca="1" si="6"/>
        <v>0</v>
      </c>
      <c r="AM34" s="140">
        <f t="shared" ca="1" si="7"/>
        <v>0</v>
      </c>
    </row>
    <row r="35" spans="1:39">
      <c r="A35">
        <f ca="1">IF(_xll.TM1RPTELISCONSOLIDATED($G$31,$G35),IF(_xll.TM1RPTELLEV($G$31,$G35)&lt;=3,_xll.TM1RPTELLEV($G$31,$G35),"D"),"N")</f>
        <v>2</v>
      </c>
      <c r="G35" s="79" t="s">
        <v>194</v>
      </c>
      <c r="H35" s="52">
        <f ca="1">_xll.DBRW($G$15,$H$21,$H$22,H$29,H$28,$H$24,$H$25,$G35,H$30)</f>
        <v>0</v>
      </c>
      <c r="I35" s="52">
        <f ca="1">_xll.DBRW($G$15,$H$21,$H$22,H$29,H$28,$H$24,$H$25,$G35,I$30)</f>
        <v>0</v>
      </c>
      <c r="J35" s="52">
        <f ca="1">_xll.DBRW($G$15,$H$21,$H$22,H$29,H$28,$H$24,$H$25,$G35,J$30)</f>
        <v>0</v>
      </c>
      <c r="K35" s="52">
        <f ca="1">_xll.DBRW($G$15,$H$21,$H$22,K$29,H$28,$H$24,$H$25,$G35,K$30)</f>
        <v>0</v>
      </c>
      <c r="L35" s="52">
        <f ca="1">_xll.DBRW($G$15,$H$21,$H$22,K$29,H$28,$H$24,$H$25,$G35,L$30)</f>
        <v>0</v>
      </c>
      <c r="M35" s="53">
        <f ca="1">_xll.DBRW($G$15,$H$21,$H$22,K$29,H$28,$H$24,$H$25,$G35,M$30)</f>
        <v>0</v>
      </c>
      <c r="N35" s="127">
        <f t="shared" ca="1" si="0"/>
        <v>0</v>
      </c>
      <c r="O35" s="128">
        <f t="shared" ca="1" si="1"/>
        <v>0</v>
      </c>
      <c r="P35" s="55">
        <f ca="1">_xll.DBRW($G$15,$H$21,$H$22,P$29,P$28,$H$24,$H$25,$G35,P$30)</f>
        <v>0</v>
      </c>
      <c r="Q35" s="52">
        <f ca="1">_xll.DBRW($G$15,$H$21,$H$22,P$29,P$28,$H$24,$H$25,$G35,Q$30)</f>
        <v>0</v>
      </c>
      <c r="R35" s="52">
        <f ca="1">_xll.DBRW($G$15,$H$21,$H$22,P$29,P$28,$H$24,$H$25,$G35,R$30)</f>
        <v>0</v>
      </c>
      <c r="S35" s="52">
        <f ca="1">_xll.DBRW($G$15,$H$21,$H$22,S$29,P$28,$H$24,$H$25,$G35,S$30)</f>
        <v>0</v>
      </c>
      <c r="T35" s="52">
        <f ca="1">_xll.DBRW($G$15,$H$21,$H$22,S$29,P$28,$H$24,$H$25,$G35,T$30)</f>
        <v>0</v>
      </c>
      <c r="U35" s="53">
        <f ca="1">_xll.DBRW($G$15,$H$21,$H$22,S$29,P$28,$H$24,$H$25,$G35,U$30)</f>
        <v>0</v>
      </c>
      <c r="V35" s="127">
        <f t="shared" ca="1" si="2"/>
        <v>0</v>
      </c>
      <c r="W35" s="128">
        <f t="shared" ca="1" si="3"/>
        <v>0</v>
      </c>
      <c r="X35" s="55">
        <f ca="1">_xll.DBRW($G$15,$H$21,$H$22,X$29,X$28,$H$24,$H$25,$G35,X$30)</f>
        <v>0</v>
      </c>
      <c r="Y35" s="52">
        <f ca="1">_xll.DBRW($G$15,$H$21,$H$22,X$29,X$28,$H$24,$H$25,$G35,Y$30)</f>
        <v>0</v>
      </c>
      <c r="Z35" s="52">
        <f ca="1">_xll.DBRW($G$15,$H$21,$H$22,X$29,X$28,$H$24,$H$25,$G35,Z$30)</f>
        <v>0</v>
      </c>
      <c r="AA35" s="52">
        <f ca="1">_xll.DBRW($G$15,$H$21,$H$22,AA$29,X$28,$H$24,$H$25,$G35,AA$30)</f>
        <v>0</v>
      </c>
      <c r="AB35" s="52">
        <f ca="1">_xll.DBRW($G$15,$H$21,$H$22,AA$29,X$28,$H$24,$H$25,$G35,AB$30)</f>
        <v>0</v>
      </c>
      <c r="AC35" s="53">
        <f ca="1">_xll.DBRW($G$15,$H$21,$H$22,AA$29,X$28,$H$24,$H$25,$G35,AC$30)</f>
        <v>0</v>
      </c>
      <c r="AD35" s="127">
        <f t="shared" ca="1" si="4"/>
        <v>0</v>
      </c>
      <c r="AE35" s="128">
        <f t="shared" ca="1" si="5"/>
        <v>0</v>
      </c>
      <c r="AF35" s="55">
        <f ca="1">_xll.DBRW($G$15,$H$21,$H$22,AF$29,AF$28,$H$24,$H$25,$G35,AF$30)</f>
        <v>0</v>
      </c>
      <c r="AG35" s="52">
        <f ca="1">_xll.DBRW($G$15,$H$21,$H$22,AF$29,AF$28,$H$24,$H$25,$G35,AG$30)</f>
        <v>0</v>
      </c>
      <c r="AH35" s="52">
        <f ca="1">_xll.DBRW($G$15,$H$21,$H$22,AF$29,AF$28,$H$24,$H$25,$G35,AH$30)</f>
        <v>0</v>
      </c>
      <c r="AI35" s="52">
        <f ca="1">_xll.DBRW($G$15,$H$21,$H$22,AI$29,AF$28,$H$24,$H$25,$G35,AI$30)</f>
        <v>0</v>
      </c>
      <c r="AJ35" s="52">
        <f ca="1">_xll.DBRW($G$15,$H$21,$H$22,AI$29,AF$28,$H$24,$H$25,$G35,AJ$30)</f>
        <v>0</v>
      </c>
      <c r="AK35" s="53">
        <f ca="1">_xll.DBRW($G$15,$H$21,$H$22,AI$29,AF$28,$H$24,$H$25,$G35,AK$30)</f>
        <v>0</v>
      </c>
      <c r="AL35" s="140">
        <f t="shared" ca="1" si="6"/>
        <v>0</v>
      </c>
      <c r="AM35" s="140">
        <f t="shared" ca="1" si="7"/>
        <v>0</v>
      </c>
    </row>
    <row r="36" spans="1:39">
      <c r="A36">
        <f ca="1">IF(_xll.TM1RPTELISCONSOLIDATED($G$31,$G36),IF(_xll.TM1RPTELLEV($G$31,$G36)&lt;=3,_xll.TM1RPTELLEV($G$31,$G36),"D"),"N")</f>
        <v>2</v>
      </c>
      <c r="G36" s="79" t="s">
        <v>195</v>
      </c>
      <c r="H36" s="52">
        <f ca="1">_xll.DBRW($G$15,$H$21,$H$22,H$29,H$28,$H$24,$H$25,$G36,H$30)</f>
        <v>0</v>
      </c>
      <c r="I36" s="52">
        <f ca="1">_xll.DBRW($G$15,$H$21,$H$22,H$29,H$28,$H$24,$H$25,$G36,I$30)</f>
        <v>0</v>
      </c>
      <c r="J36" s="52">
        <f ca="1">_xll.DBRW($G$15,$H$21,$H$22,H$29,H$28,$H$24,$H$25,$G36,J$30)</f>
        <v>0</v>
      </c>
      <c r="K36" s="52">
        <f ca="1">_xll.DBRW($G$15,$H$21,$H$22,K$29,H$28,$H$24,$H$25,$G36,K$30)</f>
        <v>0</v>
      </c>
      <c r="L36" s="52">
        <f ca="1">_xll.DBRW($G$15,$H$21,$H$22,K$29,H$28,$H$24,$H$25,$G36,L$30)</f>
        <v>0</v>
      </c>
      <c r="M36" s="53">
        <f ca="1">_xll.DBRW($G$15,$H$21,$H$22,K$29,H$28,$H$24,$H$25,$G36,M$30)</f>
        <v>0</v>
      </c>
      <c r="N36" s="127">
        <f t="shared" ca="1" si="0"/>
        <v>0</v>
      </c>
      <c r="O36" s="128">
        <f t="shared" ca="1" si="1"/>
        <v>0</v>
      </c>
      <c r="P36" s="55">
        <f ca="1">_xll.DBRW($G$15,$H$21,$H$22,P$29,P$28,$H$24,$H$25,$G36,P$30)</f>
        <v>0</v>
      </c>
      <c r="Q36" s="52">
        <f ca="1">_xll.DBRW($G$15,$H$21,$H$22,P$29,P$28,$H$24,$H$25,$G36,Q$30)</f>
        <v>0</v>
      </c>
      <c r="R36" s="52">
        <f ca="1">_xll.DBRW($G$15,$H$21,$H$22,P$29,P$28,$H$24,$H$25,$G36,R$30)</f>
        <v>0</v>
      </c>
      <c r="S36" s="52">
        <f ca="1">_xll.DBRW($G$15,$H$21,$H$22,S$29,P$28,$H$24,$H$25,$G36,S$30)</f>
        <v>0</v>
      </c>
      <c r="T36" s="52">
        <f ca="1">_xll.DBRW($G$15,$H$21,$H$22,S$29,P$28,$H$24,$H$25,$G36,T$30)</f>
        <v>0</v>
      </c>
      <c r="U36" s="53">
        <f ca="1">_xll.DBRW($G$15,$H$21,$H$22,S$29,P$28,$H$24,$H$25,$G36,U$30)</f>
        <v>0</v>
      </c>
      <c r="V36" s="127">
        <f t="shared" ca="1" si="2"/>
        <v>0</v>
      </c>
      <c r="W36" s="128">
        <f t="shared" ca="1" si="3"/>
        <v>0</v>
      </c>
      <c r="X36" s="55">
        <f ca="1">_xll.DBRW($G$15,$H$21,$H$22,X$29,X$28,$H$24,$H$25,$G36,X$30)</f>
        <v>0</v>
      </c>
      <c r="Y36" s="52">
        <f ca="1">_xll.DBRW($G$15,$H$21,$H$22,X$29,X$28,$H$24,$H$25,$G36,Y$30)</f>
        <v>0</v>
      </c>
      <c r="Z36" s="52">
        <f ca="1">_xll.DBRW($G$15,$H$21,$H$22,X$29,X$28,$H$24,$H$25,$G36,Z$30)</f>
        <v>0</v>
      </c>
      <c r="AA36" s="52">
        <f ca="1">_xll.DBRW($G$15,$H$21,$H$22,AA$29,X$28,$H$24,$H$25,$G36,AA$30)</f>
        <v>0</v>
      </c>
      <c r="AB36" s="52">
        <f ca="1">_xll.DBRW($G$15,$H$21,$H$22,AA$29,X$28,$H$24,$H$25,$G36,AB$30)</f>
        <v>0</v>
      </c>
      <c r="AC36" s="53">
        <f ca="1">_xll.DBRW($G$15,$H$21,$H$22,AA$29,X$28,$H$24,$H$25,$G36,AC$30)</f>
        <v>0</v>
      </c>
      <c r="AD36" s="127">
        <f t="shared" ca="1" si="4"/>
        <v>0</v>
      </c>
      <c r="AE36" s="128">
        <f t="shared" ca="1" si="5"/>
        <v>0</v>
      </c>
      <c r="AF36" s="55">
        <f ca="1">_xll.DBRW($G$15,$H$21,$H$22,AF$29,AF$28,$H$24,$H$25,$G36,AF$30)</f>
        <v>0</v>
      </c>
      <c r="AG36" s="52">
        <f ca="1">_xll.DBRW($G$15,$H$21,$H$22,AF$29,AF$28,$H$24,$H$25,$G36,AG$30)</f>
        <v>0</v>
      </c>
      <c r="AH36" s="52">
        <f ca="1">_xll.DBRW($G$15,$H$21,$H$22,AF$29,AF$28,$H$24,$H$25,$G36,AH$30)</f>
        <v>0</v>
      </c>
      <c r="AI36" s="52">
        <f ca="1">_xll.DBRW($G$15,$H$21,$H$22,AI$29,AF$28,$H$24,$H$25,$G36,AI$30)</f>
        <v>0</v>
      </c>
      <c r="AJ36" s="52">
        <f ca="1">_xll.DBRW($G$15,$H$21,$H$22,AI$29,AF$28,$H$24,$H$25,$G36,AJ$30)</f>
        <v>0</v>
      </c>
      <c r="AK36" s="53">
        <f ca="1">_xll.DBRW($G$15,$H$21,$H$22,AI$29,AF$28,$H$24,$H$25,$G36,AK$30)</f>
        <v>0</v>
      </c>
      <c r="AL36" s="140">
        <f t="shared" ca="1" si="6"/>
        <v>0</v>
      </c>
      <c r="AM36" s="140">
        <f t="shared" ca="1" si="7"/>
        <v>0</v>
      </c>
    </row>
    <row r="37" spans="1:39">
      <c r="A37">
        <f ca="1">IF(_xll.TM1RPTELISCONSOLIDATED($G$31,$G37),IF(_xll.TM1RPTELLEV($G$31,$G37)&lt;=3,_xll.TM1RPTELLEV($G$31,$G37),"D"),"N")</f>
        <v>2</v>
      </c>
      <c r="G37" s="79" t="s">
        <v>196</v>
      </c>
      <c r="H37" s="52">
        <f ca="1">_xll.DBRW($G$15,$H$21,$H$22,H$29,H$28,$H$24,$H$25,$G37,H$30)</f>
        <v>0</v>
      </c>
      <c r="I37" s="52">
        <f ca="1">_xll.DBRW($G$15,$H$21,$H$22,H$29,H$28,$H$24,$H$25,$G37,I$30)</f>
        <v>0</v>
      </c>
      <c r="J37" s="52">
        <f ca="1">_xll.DBRW($G$15,$H$21,$H$22,H$29,H$28,$H$24,$H$25,$G37,J$30)</f>
        <v>0</v>
      </c>
      <c r="K37" s="52">
        <f ca="1">_xll.DBRW($G$15,$H$21,$H$22,K$29,H$28,$H$24,$H$25,$G37,K$30)</f>
        <v>0</v>
      </c>
      <c r="L37" s="52">
        <f ca="1">_xll.DBRW($G$15,$H$21,$H$22,K$29,H$28,$H$24,$H$25,$G37,L$30)</f>
        <v>0</v>
      </c>
      <c r="M37" s="53">
        <f ca="1">_xll.DBRW($G$15,$H$21,$H$22,K$29,H$28,$H$24,$H$25,$G37,M$30)</f>
        <v>0</v>
      </c>
      <c r="N37" s="127">
        <f t="shared" ca="1" si="0"/>
        <v>0</v>
      </c>
      <c r="O37" s="128">
        <f t="shared" ca="1" si="1"/>
        <v>0</v>
      </c>
      <c r="P37" s="55">
        <f ca="1">_xll.DBRW($G$15,$H$21,$H$22,P$29,P$28,$H$24,$H$25,$G37,P$30)</f>
        <v>0</v>
      </c>
      <c r="Q37" s="52">
        <f ca="1">_xll.DBRW($G$15,$H$21,$H$22,P$29,P$28,$H$24,$H$25,$G37,Q$30)</f>
        <v>0</v>
      </c>
      <c r="R37" s="52">
        <f ca="1">_xll.DBRW($G$15,$H$21,$H$22,P$29,P$28,$H$24,$H$25,$G37,R$30)</f>
        <v>0</v>
      </c>
      <c r="S37" s="52">
        <f ca="1">_xll.DBRW($G$15,$H$21,$H$22,S$29,P$28,$H$24,$H$25,$G37,S$30)</f>
        <v>0</v>
      </c>
      <c r="T37" s="52">
        <f ca="1">_xll.DBRW($G$15,$H$21,$H$22,S$29,P$28,$H$24,$H$25,$G37,T$30)</f>
        <v>0</v>
      </c>
      <c r="U37" s="53">
        <f ca="1">_xll.DBRW($G$15,$H$21,$H$22,S$29,P$28,$H$24,$H$25,$G37,U$30)</f>
        <v>0</v>
      </c>
      <c r="V37" s="127">
        <f t="shared" ca="1" si="2"/>
        <v>0</v>
      </c>
      <c r="W37" s="128">
        <f t="shared" ca="1" si="3"/>
        <v>0</v>
      </c>
      <c r="X37" s="55">
        <f ca="1">_xll.DBRW($G$15,$H$21,$H$22,X$29,X$28,$H$24,$H$25,$G37,X$30)</f>
        <v>0</v>
      </c>
      <c r="Y37" s="52">
        <f ca="1">_xll.DBRW($G$15,$H$21,$H$22,X$29,X$28,$H$24,$H$25,$G37,Y$30)</f>
        <v>0</v>
      </c>
      <c r="Z37" s="52">
        <f ca="1">_xll.DBRW($G$15,$H$21,$H$22,X$29,X$28,$H$24,$H$25,$G37,Z$30)</f>
        <v>0</v>
      </c>
      <c r="AA37" s="52">
        <f ca="1">_xll.DBRW($G$15,$H$21,$H$22,AA$29,X$28,$H$24,$H$25,$G37,AA$30)</f>
        <v>0</v>
      </c>
      <c r="AB37" s="52">
        <f ca="1">_xll.DBRW($G$15,$H$21,$H$22,AA$29,X$28,$H$24,$H$25,$G37,AB$30)</f>
        <v>0</v>
      </c>
      <c r="AC37" s="53">
        <f ca="1">_xll.DBRW($G$15,$H$21,$H$22,AA$29,X$28,$H$24,$H$25,$G37,AC$30)</f>
        <v>0</v>
      </c>
      <c r="AD37" s="127">
        <f t="shared" ca="1" si="4"/>
        <v>0</v>
      </c>
      <c r="AE37" s="128">
        <f t="shared" ca="1" si="5"/>
        <v>0</v>
      </c>
      <c r="AF37" s="55">
        <f ca="1">_xll.DBRW($G$15,$H$21,$H$22,AF$29,AF$28,$H$24,$H$25,$G37,AF$30)</f>
        <v>0</v>
      </c>
      <c r="AG37" s="52">
        <f ca="1">_xll.DBRW($G$15,$H$21,$H$22,AF$29,AF$28,$H$24,$H$25,$G37,AG$30)</f>
        <v>0</v>
      </c>
      <c r="AH37" s="52">
        <f ca="1">_xll.DBRW($G$15,$H$21,$H$22,AF$29,AF$28,$H$24,$H$25,$G37,AH$30)</f>
        <v>0</v>
      </c>
      <c r="AI37" s="52">
        <f ca="1">_xll.DBRW($G$15,$H$21,$H$22,AI$29,AF$28,$H$24,$H$25,$G37,AI$30)</f>
        <v>0</v>
      </c>
      <c r="AJ37" s="52">
        <f ca="1">_xll.DBRW($G$15,$H$21,$H$22,AI$29,AF$28,$H$24,$H$25,$G37,AJ$30)</f>
        <v>0</v>
      </c>
      <c r="AK37" s="53">
        <f ca="1">_xll.DBRW($G$15,$H$21,$H$22,AI$29,AF$28,$H$24,$H$25,$G37,AK$30)</f>
        <v>0</v>
      </c>
      <c r="AL37" s="140">
        <f t="shared" ca="1" si="6"/>
        <v>0</v>
      </c>
      <c r="AM37" s="140">
        <f t="shared" ca="1" si="7"/>
        <v>0</v>
      </c>
    </row>
    <row r="38" spans="1:39">
      <c r="A38">
        <f ca="1">IF(_xll.TM1RPTELISCONSOLIDATED($G$31,$G38),IF(_xll.TM1RPTELLEV($G$31,$G38)&lt;=3,_xll.TM1RPTELLEV($G$31,$G38),"D"),"N")</f>
        <v>2</v>
      </c>
      <c r="G38" s="79" t="s">
        <v>197</v>
      </c>
      <c r="H38" s="52">
        <f ca="1">_xll.DBRW($G$15,$H$21,$H$22,H$29,H$28,$H$24,$H$25,$G38,H$30)</f>
        <v>0</v>
      </c>
      <c r="I38" s="52">
        <f ca="1">_xll.DBRW($G$15,$H$21,$H$22,H$29,H$28,$H$24,$H$25,$G38,I$30)</f>
        <v>0</v>
      </c>
      <c r="J38" s="52">
        <f ca="1">_xll.DBRW($G$15,$H$21,$H$22,H$29,H$28,$H$24,$H$25,$G38,J$30)</f>
        <v>0</v>
      </c>
      <c r="K38" s="52">
        <f ca="1">_xll.DBRW($G$15,$H$21,$H$22,K$29,H$28,$H$24,$H$25,$G38,K$30)</f>
        <v>0</v>
      </c>
      <c r="L38" s="52">
        <f ca="1">_xll.DBRW($G$15,$H$21,$H$22,K$29,H$28,$H$24,$H$25,$G38,L$30)</f>
        <v>0</v>
      </c>
      <c r="M38" s="53">
        <f ca="1">_xll.DBRW($G$15,$H$21,$H$22,K$29,H$28,$H$24,$H$25,$G38,M$30)</f>
        <v>0</v>
      </c>
      <c r="N38" s="127">
        <f t="shared" ca="1" si="0"/>
        <v>0</v>
      </c>
      <c r="O38" s="128">
        <f t="shared" ca="1" si="1"/>
        <v>0</v>
      </c>
      <c r="P38" s="55">
        <f ca="1">_xll.DBRW($G$15,$H$21,$H$22,P$29,P$28,$H$24,$H$25,$G38,P$30)</f>
        <v>0</v>
      </c>
      <c r="Q38" s="52">
        <f ca="1">_xll.DBRW($G$15,$H$21,$H$22,P$29,P$28,$H$24,$H$25,$G38,Q$30)</f>
        <v>0</v>
      </c>
      <c r="R38" s="52">
        <f ca="1">_xll.DBRW($G$15,$H$21,$H$22,P$29,P$28,$H$24,$H$25,$G38,R$30)</f>
        <v>0</v>
      </c>
      <c r="S38" s="52">
        <f ca="1">_xll.DBRW($G$15,$H$21,$H$22,S$29,P$28,$H$24,$H$25,$G38,S$30)</f>
        <v>0</v>
      </c>
      <c r="T38" s="52">
        <f ca="1">_xll.DBRW($G$15,$H$21,$H$22,S$29,P$28,$H$24,$H$25,$G38,T$30)</f>
        <v>0</v>
      </c>
      <c r="U38" s="53">
        <f ca="1">_xll.DBRW($G$15,$H$21,$H$22,S$29,P$28,$H$24,$H$25,$G38,U$30)</f>
        <v>0</v>
      </c>
      <c r="V38" s="127">
        <f t="shared" ca="1" si="2"/>
        <v>0</v>
      </c>
      <c r="W38" s="128">
        <f t="shared" ca="1" si="3"/>
        <v>0</v>
      </c>
      <c r="X38" s="55">
        <f ca="1">_xll.DBRW($G$15,$H$21,$H$22,X$29,X$28,$H$24,$H$25,$G38,X$30)</f>
        <v>0</v>
      </c>
      <c r="Y38" s="52">
        <f ca="1">_xll.DBRW($G$15,$H$21,$H$22,X$29,X$28,$H$24,$H$25,$G38,Y$30)</f>
        <v>0</v>
      </c>
      <c r="Z38" s="52">
        <f ca="1">_xll.DBRW($G$15,$H$21,$H$22,X$29,X$28,$H$24,$H$25,$G38,Z$30)</f>
        <v>0</v>
      </c>
      <c r="AA38" s="52">
        <f ca="1">_xll.DBRW($G$15,$H$21,$H$22,AA$29,X$28,$H$24,$H$25,$G38,AA$30)</f>
        <v>0</v>
      </c>
      <c r="AB38" s="52">
        <f ca="1">_xll.DBRW($G$15,$H$21,$H$22,AA$29,X$28,$H$24,$H$25,$G38,AB$30)</f>
        <v>0</v>
      </c>
      <c r="AC38" s="53">
        <f ca="1">_xll.DBRW($G$15,$H$21,$H$22,AA$29,X$28,$H$24,$H$25,$G38,AC$30)</f>
        <v>0</v>
      </c>
      <c r="AD38" s="127">
        <f t="shared" ca="1" si="4"/>
        <v>0</v>
      </c>
      <c r="AE38" s="128">
        <f t="shared" ca="1" si="5"/>
        <v>0</v>
      </c>
      <c r="AF38" s="55">
        <f ca="1">_xll.DBRW($G$15,$H$21,$H$22,AF$29,AF$28,$H$24,$H$25,$G38,AF$30)</f>
        <v>0</v>
      </c>
      <c r="AG38" s="52">
        <f ca="1">_xll.DBRW($G$15,$H$21,$H$22,AF$29,AF$28,$H$24,$H$25,$G38,AG$30)</f>
        <v>0</v>
      </c>
      <c r="AH38" s="52">
        <f ca="1">_xll.DBRW($G$15,$H$21,$H$22,AF$29,AF$28,$H$24,$H$25,$G38,AH$30)</f>
        <v>0</v>
      </c>
      <c r="AI38" s="52">
        <f ca="1">_xll.DBRW($G$15,$H$21,$H$22,AI$29,AF$28,$H$24,$H$25,$G38,AI$30)</f>
        <v>0</v>
      </c>
      <c r="AJ38" s="52">
        <f ca="1">_xll.DBRW($G$15,$H$21,$H$22,AI$29,AF$28,$H$24,$H$25,$G38,AJ$30)</f>
        <v>0</v>
      </c>
      <c r="AK38" s="53">
        <f ca="1">_xll.DBRW($G$15,$H$21,$H$22,AI$29,AF$28,$H$24,$H$25,$G38,AK$30)</f>
        <v>0</v>
      </c>
      <c r="AL38" s="140">
        <f t="shared" ca="1" si="6"/>
        <v>0</v>
      </c>
      <c r="AM38" s="140">
        <f t="shared" ca="1" si="7"/>
        <v>0</v>
      </c>
    </row>
    <row r="39" spans="1:39">
      <c r="A39">
        <f ca="1">IF(_xll.TM1RPTELISCONSOLIDATED($G$31,$G39),IF(_xll.TM1RPTELLEV($G$31,$G39)&lt;=3,_xll.TM1RPTELLEV($G$31,$G39),"D"),"N")</f>
        <v>1</v>
      </c>
      <c r="G39" s="78" t="s">
        <v>171</v>
      </c>
      <c r="H39" s="48">
        <f ca="1">_xll.DBRW($G$15,$H$21,$H$22,H$29,H$28,$H$24,$H$25,$G39,H$30)</f>
        <v>0</v>
      </c>
      <c r="I39" s="48">
        <f ca="1">_xll.DBRW($G$15,$H$21,$H$22,H$29,H$28,$H$24,$H$25,$G39,I$30)</f>
        <v>0</v>
      </c>
      <c r="J39" s="48">
        <f ca="1">_xll.DBRW($G$15,$H$21,$H$22,H$29,H$28,$H$24,$H$25,$G39,J$30)</f>
        <v>0</v>
      </c>
      <c r="K39" s="48">
        <f ca="1">_xll.DBRW($G$15,$H$21,$H$22,K$29,H$28,$H$24,$H$25,$G39,K$30)</f>
        <v>0</v>
      </c>
      <c r="L39" s="48">
        <f ca="1">_xll.DBRW($G$15,$H$21,$H$22,K$29,H$28,$H$24,$H$25,$G39,L$30)</f>
        <v>0</v>
      </c>
      <c r="M39" s="49">
        <f ca="1">_xll.DBRW($G$15,$H$21,$H$22,K$29,H$28,$H$24,$H$25,$G39,M$30)</f>
        <v>0</v>
      </c>
      <c r="N39" s="125">
        <f t="shared" ca="1" si="0"/>
        <v>0</v>
      </c>
      <c r="O39" s="126">
        <f t="shared" ca="1" si="1"/>
        <v>0</v>
      </c>
      <c r="P39" s="51">
        <f ca="1">_xll.DBRW($G$15,$H$21,$H$22,P$29,P$28,$H$24,$H$25,$G39,P$30)</f>
        <v>0</v>
      </c>
      <c r="Q39" s="48">
        <f ca="1">_xll.DBRW($G$15,$H$21,$H$22,P$29,P$28,$H$24,$H$25,$G39,Q$30)</f>
        <v>0</v>
      </c>
      <c r="R39" s="48">
        <f ca="1">_xll.DBRW($G$15,$H$21,$H$22,P$29,P$28,$H$24,$H$25,$G39,R$30)</f>
        <v>0</v>
      </c>
      <c r="S39" s="48">
        <f ca="1">_xll.DBRW($G$15,$H$21,$H$22,S$29,P$28,$H$24,$H$25,$G39,S$30)</f>
        <v>0</v>
      </c>
      <c r="T39" s="48">
        <f ca="1">_xll.DBRW($G$15,$H$21,$H$22,S$29,P$28,$H$24,$H$25,$G39,T$30)</f>
        <v>0</v>
      </c>
      <c r="U39" s="49">
        <f ca="1">_xll.DBRW($G$15,$H$21,$H$22,S$29,P$28,$H$24,$H$25,$G39,U$30)</f>
        <v>0</v>
      </c>
      <c r="V39" s="125">
        <f t="shared" ca="1" si="2"/>
        <v>0</v>
      </c>
      <c r="W39" s="126">
        <f t="shared" ca="1" si="3"/>
        <v>0</v>
      </c>
      <c r="X39" s="51">
        <f ca="1">_xll.DBRW($G$15,$H$21,$H$22,X$29,X$28,$H$24,$H$25,$G39,X$30)</f>
        <v>0</v>
      </c>
      <c r="Y39" s="48">
        <f ca="1">_xll.DBRW($G$15,$H$21,$H$22,X$29,X$28,$H$24,$H$25,$G39,Y$30)</f>
        <v>0</v>
      </c>
      <c r="Z39" s="48">
        <f ca="1">_xll.DBRW($G$15,$H$21,$H$22,X$29,X$28,$H$24,$H$25,$G39,Z$30)</f>
        <v>0</v>
      </c>
      <c r="AA39" s="48">
        <f ca="1">_xll.DBRW($G$15,$H$21,$H$22,AA$29,X$28,$H$24,$H$25,$G39,AA$30)</f>
        <v>0</v>
      </c>
      <c r="AB39" s="48">
        <f ca="1">_xll.DBRW($G$15,$H$21,$H$22,AA$29,X$28,$H$24,$H$25,$G39,AB$30)</f>
        <v>0</v>
      </c>
      <c r="AC39" s="49">
        <f ca="1">_xll.DBRW($G$15,$H$21,$H$22,AA$29,X$28,$H$24,$H$25,$G39,AC$30)</f>
        <v>0</v>
      </c>
      <c r="AD39" s="125">
        <f t="shared" ca="1" si="4"/>
        <v>0</v>
      </c>
      <c r="AE39" s="126">
        <f t="shared" ca="1" si="5"/>
        <v>0</v>
      </c>
      <c r="AF39" s="51">
        <f ca="1">_xll.DBRW($G$15,$H$21,$H$22,AF$29,AF$28,$H$24,$H$25,$G39,AF$30)</f>
        <v>0</v>
      </c>
      <c r="AG39" s="48">
        <f ca="1">_xll.DBRW($G$15,$H$21,$H$22,AF$29,AF$28,$H$24,$H$25,$G39,AG$30)</f>
        <v>0</v>
      </c>
      <c r="AH39" s="48">
        <f ca="1">_xll.DBRW($G$15,$H$21,$H$22,AF$29,AF$28,$H$24,$H$25,$G39,AH$30)</f>
        <v>0</v>
      </c>
      <c r="AI39" s="48">
        <f ca="1">_xll.DBRW($G$15,$H$21,$H$22,AI$29,AF$28,$H$24,$H$25,$G39,AI$30)</f>
        <v>0</v>
      </c>
      <c r="AJ39" s="48">
        <f ca="1">_xll.DBRW($G$15,$H$21,$H$22,AI$29,AF$28,$H$24,$H$25,$G39,AJ$30)</f>
        <v>0</v>
      </c>
      <c r="AK39" s="49">
        <f ca="1">_xll.DBRW($G$15,$H$21,$H$22,AI$29,AF$28,$H$24,$H$25,$G39,AK$30)</f>
        <v>0</v>
      </c>
      <c r="AL39" s="140">
        <f t="shared" ca="1" si="6"/>
        <v>0</v>
      </c>
      <c r="AM39" s="140">
        <f t="shared" ca="1" si="7"/>
        <v>0</v>
      </c>
    </row>
    <row r="40" spans="1:39">
      <c r="A40">
        <f ca="1">IF(_xll.TM1RPTELISCONSOLIDATED($G$31,$G40),IF(_xll.TM1RPTELLEV($G$31,$G40)&lt;=3,_xll.TM1RPTELLEV($G$31,$G40),"D"),"N")</f>
        <v>2</v>
      </c>
      <c r="G40" s="80" t="s">
        <v>198</v>
      </c>
      <c r="H40" s="52">
        <f ca="1">_xll.DBRW($G$15,$H$21,$H$22,H$29,H$28,$H$24,$H$25,$G40,H$30)</f>
        <v>0</v>
      </c>
      <c r="I40" s="52">
        <f ca="1">_xll.DBRW($G$15,$H$21,$H$22,H$29,H$28,$H$24,$H$25,$G40,I$30)</f>
        <v>0</v>
      </c>
      <c r="J40" s="52">
        <f ca="1">_xll.DBRW($G$15,$H$21,$H$22,H$29,H$28,$H$24,$H$25,$G40,J$30)</f>
        <v>0</v>
      </c>
      <c r="K40" s="52">
        <f ca="1">_xll.DBRW($G$15,$H$21,$H$22,K$29,H$28,$H$24,$H$25,$G40,K$30)</f>
        <v>0</v>
      </c>
      <c r="L40" s="52">
        <f ca="1">_xll.DBRW($G$15,$H$21,$H$22,K$29,H$28,$H$24,$H$25,$G40,L$30)</f>
        <v>0</v>
      </c>
      <c r="M40" s="53">
        <f ca="1">_xll.DBRW($G$15,$H$21,$H$22,K$29,H$28,$H$24,$H$25,$G40,M$30)</f>
        <v>0</v>
      </c>
      <c r="N40" s="127">
        <f t="shared" ca="1" si="0"/>
        <v>0</v>
      </c>
      <c r="O40" s="128">
        <f t="shared" ca="1" si="1"/>
        <v>0</v>
      </c>
      <c r="P40" s="55">
        <f ca="1">_xll.DBRW($G$15,$H$21,$H$22,P$29,P$28,$H$24,$H$25,$G40,P$30)</f>
        <v>0</v>
      </c>
      <c r="Q40" s="52">
        <f ca="1">_xll.DBRW($G$15,$H$21,$H$22,P$29,P$28,$H$24,$H$25,$G40,Q$30)</f>
        <v>0</v>
      </c>
      <c r="R40" s="52">
        <f ca="1">_xll.DBRW($G$15,$H$21,$H$22,P$29,P$28,$H$24,$H$25,$G40,R$30)</f>
        <v>0</v>
      </c>
      <c r="S40" s="52">
        <f ca="1">_xll.DBRW($G$15,$H$21,$H$22,S$29,P$28,$H$24,$H$25,$G40,S$30)</f>
        <v>0</v>
      </c>
      <c r="T40" s="52">
        <f ca="1">_xll.DBRW($G$15,$H$21,$H$22,S$29,P$28,$H$24,$H$25,$G40,T$30)</f>
        <v>0</v>
      </c>
      <c r="U40" s="53">
        <f ca="1">_xll.DBRW($G$15,$H$21,$H$22,S$29,P$28,$H$24,$H$25,$G40,U$30)</f>
        <v>0</v>
      </c>
      <c r="V40" s="127">
        <f t="shared" ca="1" si="2"/>
        <v>0</v>
      </c>
      <c r="W40" s="128">
        <f t="shared" ca="1" si="3"/>
        <v>0</v>
      </c>
      <c r="X40" s="55">
        <f ca="1">_xll.DBRW($G$15,$H$21,$H$22,X$29,X$28,$H$24,$H$25,$G40,X$30)</f>
        <v>0</v>
      </c>
      <c r="Y40" s="52">
        <f ca="1">_xll.DBRW($G$15,$H$21,$H$22,X$29,X$28,$H$24,$H$25,$G40,Y$30)</f>
        <v>0</v>
      </c>
      <c r="Z40" s="52">
        <f ca="1">_xll.DBRW($G$15,$H$21,$H$22,X$29,X$28,$H$24,$H$25,$G40,Z$30)</f>
        <v>0</v>
      </c>
      <c r="AA40" s="52">
        <f ca="1">_xll.DBRW($G$15,$H$21,$H$22,AA$29,X$28,$H$24,$H$25,$G40,AA$30)</f>
        <v>0</v>
      </c>
      <c r="AB40" s="52">
        <f ca="1">_xll.DBRW($G$15,$H$21,$H$22,AA$29,X$28,$H$24,$H$25,$G40,AB$30)</f>
        <v>0</v>
      </c>
      <c r="AC40" s="53">
        <f ca="1">_xll.DBRW($G$15,$H$21,$H$22,AA$29,X$28,$H$24,$H$25,$G40,AC$30)</f>
        <v>0</v>
      </c>
      <c r="AD40" s="127">
        <f t="shared" ca="1" si="4"/>
        <v>0</v>
      </c>
      <c r="AE40" s="128">
        <f t="shared" ca="1" si="5"/>
        <v>0</v>
      </c>
      <c r="AF40" s="55">
        <f ca="1">_xll.DBRW($G$15,$H$21,$H$22,AF$29,AF$28,$H$24,$H$25,$G40,AF$30)</f>
        <v>0</v>
      </c>
      <c r="AG40" s="52">
        <f ca="1">_xll.DBRW($G$15,$H$21,$H$22,AF$29,AF$28,$H$24,$H$25,$G40,AG$30)</f>
        <v>0</v>
      </c>
      <c r="AH40" s="52">
        <f ca="1">_xll.DBRW($G$15,$H$21,$H$22,AF$29,AF$28,$H$24,$H$25,$G40,AH$30)</f>
        <v>0</v>
      </c>
      <c r="AI40" s="52">
        <f ca="1">_xll.DBRW($G$15,$H$21,$H$22,AI$29,AF$28,$H$24,$H$25,$G40,AI$30)</f>
        <v>0</v>
      </c>
      <c r="AJ40" s="52">
        <f ca="1">_xll.DBRW($G$15,$H$21,$H$22,AI$29,AF$28,$H$24,$H$25,$G40,AJ$30)</f>
        <v>0</v>
      </c>
      <c r="AK40" s="53">
        <f ca="1">_xll.DBRW($G$15,$H$21,$H$22,AI$29,AF$28,$H$24,$H$25,$G40,AK$30)</f>
        <v>0</v>
      </c>
      <c r="AL40" s="140">
        <f t="shared" ca="1" si="6"/>
        <v>0</v>
      </c>
      <c r="AM40" s="140">
        <f t="shared" ca="1" si="7"/>
        <v>0</v>
      </c>
    </row>
    <row r="41" spans="1:39">
      <c r="A41">
        <f ca="1">IF(_xll.TM1RPTELISCONSOLIDATED($G$31,$G41),IF(_xll.TM1RPTELLEV($G$31,$G41)&lt;=3,_xll.TM1RPTELLEV($G$31,$G41),"D"),"N")</f>
        <v>3</v>
      </c>
      <c r="G41" s="141" t="s">
        <v>199</v>
      </c>
      <c r="H41" s="129">
        <f ca="1">_xll.DBRW($G$15,$H$21,$H$22,H$29,H$28,$H$24,$H$25,$G41,H$30)</f>
        <v>0</v>
      </c>
      <c r="I41" s="129">
        <f ca="1">_xll.DBRW($G$15,$H$21,$H$22,H$29,H$28,$H$24,$H$25,$G41,I$30)</f>
        <v>0</v>
      </c>
      <c r="J41" s="129">
        <f ca="1">_xll.DBRW($G$15,$H$21,$H$22,H$29,H$28,$H$24,$H$25,$G41,J$30)</f>
        <v>0</v>
      </c>
      <c r="K41" s="129">
        <f ca="1">_xll.DBRW($G$15,$H$21,$H$22,K$29,H$28,$H$24,$H$25,$G41,K$30)</f>
        <v>0</v>
      </c>
      <c r="L41" s="129">
        <f ca="1">_xll.DBRW($G$15,$H$21,$H$22,K$29,H$28,$H$24,$H$25,$G41,L$30)</f>
        <v>0</v>
      </c>
      <c r="M41" s="130">
        <f ca="1">_xll.DBRW($G$15,$H$21,$H$22,K$29,H$28,$H$24,$H$25,$G41,M$30)</f>
        <v>0</v>
      </c>
      <c r="N41" s="131">
        <f t="shared" ca="1" si="0"/>
        <v>0</v>
      </c>
      <c r="O41" s="132">
        <f t="shared" ca="1" si="1"/>
        <v>0</v>
      </c>
      <c r="P41" s="133">
        <f ca="1">_xll.DBRW($G$15,$H$21,$H$22,P$29,P$28,$H$24,$H$25,$G41,P$30)</f>
        <v>0</v>
      </c>
      <c r="Q41" s="129">
        <f ca="1">_xll.DBRW($G$15,$H$21,$H$22,P$29,P$28,$H$24,$H$25,$G41,Q$30)</f>
        <v>0</v>
      </c>
      <c r="R41" s="129">
        <f ca="1">_xll.DBRW($G$15,$H$21,$H$22,P$29,P$28,$H$24,$H$25,$G41,R$30)</f>
        <v>0</v>
      </c>
      <c r="S41" s="129">
        <f ca="1">_xll.DBRW($G$15,$H$21,$H$22,S$29,P$28,$H$24,$H$25,$G41,S$30)</f>
        <v>0</v>
      </c>
      <c r="T41" s="129">
        <f ca="1">_xll.DBRW($G$15,$H$21,$H$22,S$29,P$28,$H$24,$H$25,$G41,T$30)</f>
        <v>0</v>
      </c>
      <c r="U41" s="130">
        <f ca="1">_xll.DBRW($G$15,$H$21,$H$22,S$29,P$28,$H$24,$H$25,$G41,U$30)</f>
        <v>0</v>
      </c>
      <c r="V41" s="131">
        <f t="shared" ca="1" si="2"/>
        <v>0</v>
      </c>
      <c r="W41" s="132">
        <f t="shared" ca="1" si="3"/>
        <v>0</v>
      </c>
      <c r="X41" s="133">
        <f ca="1">_xll.DBRW($G$15,$H$21,$H$22,X$29,X$28,$H$24,$H$25,$G41,X$30)</f>
        <v>0</v>
      </c>
      <c r="Y41" s="129">
        <f ca="1">_xll.DBRW($G$15,$H$21,$H$22,X$29,X$28,$H$24,$H$25,$G41,Y$30)</f>
        <v>0</v>
      </c>
      <c r="Z41" s="129">
        <f ca="1">_xll.DBRW($G$15,$H$21,$H$22,X$29,X$28,$H$24,$H$25,$G41,Z$30)</f>
        <v>0</v>
      </c>
      <c r="AA41" s="129">
        <f ca="1">_xll.DBRW($G$15,$H$21,$H$22,AA$29,X$28,$H$24,$H$25,$G41,AA$30)</f>
        <v>0</v>
      </c>
      <c r="AB41" s="129">
        <f ca="1">_xll.DBRW($G$15,$H$21,$H$22,AA$29,X$28,$H$24,$H$25,$G41,AB$30)</f>
        <v>0</v>
      </c>
      <c r="AC41" s="130">
        <f ca="1">_xll.DBRW($G$15,$H$21,$H$22,AA$29,X$28,$H$24,$H$25,$G41,AC$30)</f>
        <v>0</v>
      </c>
      <c r="AD41" s="131">
        <f t="shared" ca="1" si="4"/>
        <v>0</v>
      </c>
      <c r="AE41" s="132">
        <f t="shared" ca="1" si="5"/>
        <v>0</v>
      </c>
      <c r="AF41" s="133">
        <f ca="1">_xll.DBRW($G$15,$H$21,$H$22,AF$29,AF$28,$H$24,$H$25,$G41,AF$30)</f>
        <v>0</v>
      </c>
      <c r="AG41" s="129">
        <f ca="1">_xll.DBRW($G$15,$H$21,$H$22,AF$29,AF$28,$H$24,$H$25,$G41,AG$30)</f>
        <v>0</v>
      </c>
      <c r="AH41" s="129">
        <f ca="1">_xll.DBRW($G$15,$H$21,$H$22,AF$29,AF$28,$H$24,$H$25,$G41,AH$30)</f>
        <v>0</v>
      </c>
      <c r="AI41" s="129">
        <f ca="1">_xll.DBRW($G$15,$H$21,$H$22,AI$29,AF$28,$H$24,$H$25,$G41,AI$30)</f>
        <v>0</v>
      </c>
      <c r="AJ41" s="129">
        <f ca="1">_xll.DBRW($G$15,$H$21,$H$22,AI$29,AF$28,$H$24,$H$25,$G41,AJ$30)</f>
        <v>0</v>
      </c>
      <c r="AK41" s="130">
        <f ca="1">_xll.DBRW($G$15,$H$21,$H$22,AI$29,AF$28,$H$24,$H$25,$G41,AK$30)</f>
        <v>0</v>
      </c>
      <c r="AL41" s="140">
        <f t="shared" ca="1" si="6"/>
        <v>0</v>
      </c>
      <c r="AM41" s="140">
        <f t="shared" ca="1" si="7"/>
        <v>0</v>
      </c>
    </row>
    <row r="42" spans="1:39">
      <c r="A42">
        <f ca="1">IF(_xll.TM1RPTELISCONSOLIDATED($G$31,$G42),IF(_xll.TM1RPTELLEV($G$31,$G42)&lt;=3,_xll.TM1RPTELLEV($G$31,$G42),"D"),"N")</f>
        <v>3</v>
      </c>
      <c r="G42" s="141" t="s">
        <v>200</v>
      </c>
      <c r="H42" s="129">
        <f ca="1">_xll.DBRW($G$15,$H$21,$H$22,H$29,H$28,$H$24,$H$25,$G42,H$30)</f>
        <v>0</v>
      </c>
      <c r="I42" s="129">
        <f ca="1">_xll.DBRW($G$15,$H$21,$H$22,H$29,H$28,$H$24,$H$25,$G42,I$30)</f>
        <v>0</v>
      </c>
      <c r="J42" s="129">
        <f ca="1">_xll.DBRW($G$15,$H$21,$H$22,H$29,H$28,$H$24,$H$25,$G42,J$30)</f>
        <v>0</v>
      </c>
      <c r="K42" s="129">
        <f ca="1">_xll.DBRW($G$15,$H$21,$H$22,K$29,H$28,$H$24,$H$25,$G42,K$30)</f>
        <v>0</v>
      </c>
      <c r="L42" s="129">
        <f ca="1">_xll.DBRW($G$15,$H$21,$H$22,K$29,H$28,$H$24,$H$25,$G42,L$30)</f>
        <v>0</v>
      </c>
      <c r="M42" s="130">
        <f ca="1">_xll.DBRW($G$15,$H$21,$H$22,K$29,H$28,$H$24,$H$25,$G42,M$30)</f>
        <v>0</v>
      </c>
      <c r="N42" s="131">
        <f t="shared" ca="1" si="0"/>
        <v>0</v>
      </c>
      <c r="O42" s="132">
        <f t="shared" ca="1" si="1"/>
        <v>0</v>
      </c>
      <c r="P42" s="133">
        <f ca="1">_xll.DBRW($G$15,$H$21,$H$22,P$29,P$28,$H$24,$H$25,$G42,P$30)</f>
        <v>0</v>
      </c>
      <c r="Q42" s="129">
        <f ca="1">_xll.DBRW($G$15,$H$21,$H$22,P$29,P$28,$H$24,$H$25,$G42,Q$30)</f>
        <v>0</v>
      </c>
      <c r="R42" s="129">
        <f ca="1">_xll.DBRW($G$15,$H$21,$H$22,P$29,P$28,$H$24,$H$25,$G42,R$30)</f>
        <v>0</v>
      </c>
      <c r="S42" s="129">
        <f ca="1">_xll.DBRW($G$15,$H$21,$H$22,S$29,P$28,$H$24,$H$25,$G42,S$30)</f>
        <v>0</v>
      </c>
      <c r="T42" s="129">
        <f ca="1">_xll.DBRW($G$15,$H$21,$H$22,S$29,P$28,$H$24,$H$25,$G42,T$30)</f>
        <v>0</v>
      </c>
      <c r="U42" s="130">
        <f ca="1">_xll.DBRW($G$15,$H$21,$H$22,S$29,P$28,$H$24,$H$25,$G42,U$30)</f>
        <v>0</v>
      </c>
      <c r="V42" s="131">
        <f t="shared" ca="1" si="2"/>
        <v>0</v>
      </c>
      <c r="W42" s="132">
        <f t="shared" ca="1" si="3"/>
        <v>0</v>
      </c>
      <c r="X42" s="133">
        <f ca="1">_xll.DBRW($G$15,$H$21,$H$22,X$29,X$28,$H$24,$H$25,$G42,X$30)</f>
        <v>0</v>
      </c>
      <c r="Y42" s="129">
        <f ca="1">_xll.DBRW($G$15,$H$21,$H$22,X$29,X$28,$H$24,$H$25,$G42,Y$30)</f>
        <v>0</v>
      </c>
      <c r="Z42" s="129">
        <f ca="1">_xll.DBRW($G$15,$H$21,$H$22,X$29,X$28,$H$24,$H$25,$G42,Z$30)</f>
        <v>0</v>
      </c>
      <c r="AA42" s="129">
        <f ca="1">_xll.DBRW($G$15,$H$21,$H$22,AA$29,X$28,$H$24,$H$25,$G42,AA$30)</f>
        <v>0</v>
      </c>
      <c r="AB42" s="129">
        <f ca="1">_xll.DBRW($G$15,$H$21,$H$22,AA$29,X$28,$H$24,$H$25,$G42,AB$30)</f>
        <v>0</v>
      </c>
      <c r="AC42" s="130">
        <f ca="1">_xll.DBRW($G$15,$H$21,$H$22,AA$29,X$28,$H$24,$H$25,$G42,AC$30)</f>
        <v>0</v>
      </c>
      <c r="AD42" s="131">
        <f t="shared" ca="1" si="4"/>
        <v>0</v>
      </c>
      <c r="AE42" s="132">
        <f t="shared" ca="1" si="5"/>
        <v>0</v>
      </c>
      <c r="AF42" s="133">
        <f ca="1">_xll.DBRW($G$15,$H$21,$H$22,AF$29,AF$28,$H$24,$H$25,$G42,AF$30)</f>
        <v>0</v>
      </c>
      <c r="AG42" s="129">
        <f ca="1">_xll.DBRW($G$15,$H$21,$H$22,AF$29,AF$28,$H$24,$H$25,$G42,AG$30)</f>
        <v>0</v>
      </c>
      <c r="AH42" s="129">
        <f ca="1">_xll.DBRW($G$15,$H$21,$H$22,AF$29,AF$28,$H$24,$H$25,$G42,AH$30)</f>
        <v>0</v>
      </c>
      <c r="AI42" s="129">
        <f ca="1">_xll.DBRW($G$15,$H$21,$H$22,AI$29,AF$28,$H$24,$H$25,$G42,AI$30)</f>
        <v>0</v>
      </c>
      <c r="AJ42" s="129">
        <f ca="1">_xll.DBRW($G$15,$H$21,$H$22,AI$29,AF$28,$H$24,$H$25,$G42,AJ$30)</f>
        <v>0</v>
      </c>
      <c r="AK42" s="130">
        <f ca="1">_xll.DBRW($G$15,$H$21,$H$22,AI$29,AF$28,$H$24,$H$25,$G42,AK$30)</f>
        <v>0</v>
      </c>
      <c r="AL42" s="140">
        <f t="shared" ca="1" si="6"/>
        <v>0</v>
      </c>
      <c r="AM42" s="140">
        <f t="shared" ca="1" si="7"/>
        <v>0</v>
      </c>
    </row>
    <row r="43" spans="1:39">
      <c r="A43">
        <f ca="1">IF(_xll.TM1RPTELISCONSOLIDATED($G$31,$G43),IF(_xll.TM1RPTELLEV($G$31,$G43)&lt;=3,_xll.TM1RPTELLEV($G$31,$G43),"D"),"N")</f>
        <v>3</v>
      </c>
      <c r="G43" s="141" t="s">
        <v>201</v>
      </c>
      <c r="H43" s="129">
        <f ca="1">_xll.DBRW($G$15,$H$21,$H$22,H$29,H$28,$H$24,$H$25,$G43,H$30)</f>
        <v>0</v>
      </c>
      <c r="I43" s="129">
        <f ca="1">_xll.DBRW($G$15,$H$21,$H$22,H$29,H$28,$H$24,$H$25,$G43,I$30)</f>
        <v>0</v>
      </c>
      <c r="J43" s="129">
        <f ca="1">_xll.DBRW($G$15,$H$21,$H$22,H$29,H$28,$H$24,$H$25,$G43,J$30)</f>
        <v>0</v>
      </c>
      <c r="K43" s="129">
        <f ca="1">_xll.DBRW($G$15,$H$21,$H$22,K$29,H$28,$H$24,$H$25,$G43,K$30)</f>
        <v>0</v>
      </c>
      <c r="L43" s="129">
        <f ca="1">_xll.DBRW($G$15,$H$21,$H$22,K$29,H$28,$H$24,$H$25,$G43,L$30)</f>
        <v>0</v>
      </c>
      <c r="M43" s="130">
        <f ca="1">_xll.DBRW($G$15,$H$21,$H$22,K$29,H$28,$H$24,$H$25,$G43,M$30)</f>
        <v>0</v>
      </c>
      <c r="N43" s="131">
        <f t="shared" ca="1" si="0"/>
        <v>0</v>
      </c>
      <c r="O43" s="132">
        <f t="shared" ca="1" si="1"/>
        <v>0</v>
      </c>
      <c r="P43" s="133">
        <f ca="1">_xll.DBRW($G$15,$H$21,$H$22,P$29,P$28,$H$24,$H$25,$G43,P$30)</f>
        <v>0</v>
      </c>
      <c r="Q43" s="129">
        <f ca="1">_xll.DBRW($G$15,$H$21,$H$22,P$29,P$28,$H$24,$H$25,$G43,Q$30)</f>
        <v>0</v>
      </c>
      <c r="R43" s="129">
        <f ca="1">_xll.DBRW($G$15,$H$21,$H$22,P$29,P$28,$H$24,$H$25,$G43,R$30)</f>
        <v>0</v>
      </c>
      <c r="S43" s="129">
        <f ca="1">_xll.DBRW($G$15,$H$21,$H$22,S$29,P$28,$H$24,$H$25,$G43,S$30)</f>
        <v>0</v>
      </c>
      <c r="T43" s="129">
        <f ca="1">_xll.DBRW($G$15,$H$21,$H$22,S$29,P$28,$H$24,$H$25,$G43,T$30)</f>
        <v>0</v>
      </c>
      <c r="U43" s="130">
        <f ca="1">_xll.DBRW($G$15,$H$21,$H$22,S$29,P$28,$H$24,$H$25,$G43,U$30)</f>
        <v>0</v>
      </c>
      <c r="V43" s="131">
        <f t="shared" ca="1" si="2"/>
        <v>0</v>
      </c>
      <c r="W43" s="132">
        <f t="shared" ca="1" si="3"/>
        <v>0</v>
      </c>
      <c r="X43" s="133">
        <f ca="1">_xll.DBRW($G$15,$H$21,$H$22,X$29,X$28,$H$24,$H$25,$G43,X$30)</f>
        <v>0</v>
      </c>
      <c r="Y43" s="129">
        <f ca="1">_xll.DBRW($G$15,$H$21,$H$22,X$29,X$28,$H$24,$H$25,$G43,Y$30)</f>
        <v>0</v>
      </c>
      <c r="Z43" s="129">
        <f ca="1">_xll.DBRW($G$15,$H$21,$H$22,X$29,X$28,$H$24,$H$25,$G43,Z$30)</f>
        <v>0</v>
      </c>
      <c r="AA43" s="129">
        <f ca="1">_xll.DBRW($G$15,$H$21,$H$22,AA$29,X$28,$H$24,$H$25,$G43,AA$30)</f>
        <v>0</v>
      </c>
      <c r="AB43" s="129">
        <f ca="1">_xll.DBRW($G$15,$H$21,$H$22,AA$29,X$28,$H$24,$H$25,$G43,AB$30)</f>
        <v>0</v>
      </c>
      <c r="AC43" s="130">
        <f ca="1">_xll.DBRW($G$15,$H$21,$H$22,AA$29,X$28,$H$24,$H$25,$G43,AC$30)</f>
        <v>0</v>
      </c>
      <c r="AD43" s="131">
        <f t="shared" ca="1" si="4"/>
        <v>0</v>
      </c>
      <c r="AE43" s="132">
        <f t="shared" ca="1" si="5"/>
        <v>0</v>
      </c>
      <c r="AF43" s="133">
        <f ca="1">_xll.DBRW($G$15,$H$21,$H$22,AF$29,AF$28,$H$24,$H$25,$G43,AF$30)</f>
        <v>0</v>
      </c>
      <c r="AG43" s="129">
        <f ca="1">_xll.DBRW($G$15,$H$21,$H$22,AF$29,AF$28,$H$24,$H$25,$G43,AG$30)</f>
        <v>0</v>
      </c>
      <c r="AH43" s="129">
        <f ca="1">_xll.DBRW($G$15,$H$21,$H$22,AF$29,AF$28,$H$24,$H$25,$G43,AH$30)</f>
        <v>0</v>
      </c>
      <c r="AI43" s="129">
        <f ca="1">_xll.DBRW($G$15,$H$21,$H$22,AI$29,AF$28,$H$24,$H$25,$G43,AI$30)</f>
        <v>0</v>
      </c>
      <c r="AJ43" s="129">
        <f ca="1">_xll.DBRW($G$15,$H$21,$H$22,AI$29,AF$28,$H$24,$H$25,$G43,AJ$30)</f>
        <v>0</v>
      </c>
      <c r="AK43" s="130">
        <f ca="1">_xll.DBRW($G$15,$H$21,$H$22,AI$29,AF$28,$H$24,$H$25,$G43,AK$30)</f>
        <v>0</v>
      </c>
      <c r="AL43" s="140">
        <f t="shared" ca="1" si="6"/>
        <v>0</v>
      </c>
      <c r="AM43" s="140">
        <f t="shared" ca="1" si="7"/>
        <v>0</v>
      </c>
    </row>
    <row r="44" spans="1:39">
      <c r="A44">
        <f ca="1">IF(_xll.TM1RPTELISCONSOLIDATED($G$31,$G44),IF(_xll.TM1RPTELLEV($G$31,$G44)&lt;=3,_xll.TM1RPTELLEV($G$31,$G44),"D"),"N")</f>
        <v>3</v>
      </c>
      <c r="G44" s="141" t="s">
        <v>202</v>
      </c>
      <c r="H44" s="129">
        <f ca="1">_xll.DBRW($G$15,$H$21,$H$22,H$29,H$28,$H$24,$H$25,$G44,H$30)</f>
        <v>0</v>
      </c>
      <c r="I44" s="129">
        <f ca="1">_xll.DBRW($G$15,$H$21,$H$22,H$29,H$28,$H$24,$H$25,$G44,I$30)</f>
        <v>0</v>
      </c>
      <c r="J44" s="129">
        <f ca="1">_xll.DBRW($G$15,$H$21,$H$22,H$29,H$28,$H$24,$H$25,$G44,J$30)</f>
        <v>0</v>
      </c>
      <c r="K44" s="129">
        <f ca="1">_xll.DBRW($G$15,$H$21,$H$22,K$29,H$28,$H$24,$H$25,$G44,K$30)</f>
        <v>0</v>
      </c>
      <c r="L44" s="129">
        <f ca="1">_xll.DBRW($G$15,$H$21,$H$22,K$29,H$28,$H$24,$H$25,$G44,L$30)</f>
        <v>0</v>
      </c>
      <c r="M44" s="130">
        <f ca="1">_xll.DBRW($G$15,$H$21,$H$22,K$29,H$28,$H$24,$H$25,$G44,M$30)</f>
        <v>0</v>
      </c>
      <c r="N44" s="131">
        <f t="shared" ca="1" si="0"/>
        <v>0</v>
      </c>
      <c r="O44" s="132">
        <f t="shared" ca="1" si="1"/>
        <v>0</v>
      </c>
      <c r="P44" s="133">
        <f ca="1">_xll.DBRW($G$15,$H$21,$H$22,P$29,P$28,$H$24,$H$25,$G44,P$30)</f>
        <v>0</v>
      </c>
      <c r="Q44" s="129">
        <f ca="1">_xll.DBRW($G$15,$H$21,$H$22,P$29,P$28,$H$24,$H$25,$G44,Q$30)</f>
        <v>0</v>
      </c>
      <c r="R44" s="129">
        <f ca="1">_xll.DBRW($G$15,$H$21,$H$22,P$29,P$28,$H$24,$H$25,$G44,R$30)</f>
        <v>0</v>
      </c>
      <c r="S44" s="129">
        <f ca="1">_xll.DBRW($G$15,$H$21,$H$22,S$29,P$28,$H$24,$H$25,$G44,S$30)</f>
        <v>0</v>
      </c>
      <c r="T44" s="129">
        <f ca="1">_xll.DBRW($G$15,$H$21,$H$22,S$29,P$28,$H$24,$H$25,$G44,T$30)</f>
        <v>0</v>
      </c>
      <c r="U44" s="130">
        <f ca="1">_xll.DBRW($G$15,$H$21,$H$22,S$29,P$28,$H$24,$H$25,$G44,U$30)</f>
        <v>0</v>
      </c>
      <c r="V44" s="131">
        <f t="shared" ca="1" si="2"/>
        <v>0</v>
      </c>
      <c r="W44" s="132">
        <f t="shared" ca="1" si="3"/>
        <v>0</v>
      </c>
      <c r="X44" s="133">
        <f ca="1">_xll.DBRW($G$15,$H$21,$H$22,X$29,X$28,$H$24,$H$25,$G44,X$30)</f>
        <v>0</v>
      </c>
      <c r="Y44" s="129">
        <f ca="1">_xll.DBRW($G$15,$H$21,$H$22,X$29,X$28,$H$24,$H$25,$G44,Y$30)</f>
        <v>0</v>
      </c>
      <c r="Z44" s="129">
        <f ca="1">_xll.DBRW($G$15,$H$21,$H$22,X$29,X$28,$H$24,$H$25,$G44,Z$30)</f>
        <v>0</v>
      </c>
      <c r="AA44" s="129">
        <f ca="1">_xll.DBRW($G$15,$H$21,$H$22,AA$29,X$28,$H$24,$H$25,$G44,AA$30)</f>
        <v>0</v>
      </c>
      <c r="AB44" s="129">
        <f ca="1">_xll.DBRW($G$15,$H$21,$H$22,AA$29,X$28,$H$24,$H$25,$G44,AB$30)</f>
        <v>0</v>
      </c>
      <c r="AC44" s="130">
        <f ca="1">_xll.DBRW($G$15,$H$21,$H$22,AA$29,X$28,$H$24,$H$25,$G44,AC$30)</f>
        <v>0</v>
      </c>
      <c r="AD44" s="131">
        <f t="shared" ca="1" si="4"/>
        <v>0</v>
      </c>
      <c r="AE44" s="132">
        <f t="shared" ca="1" si="5"/>
        <v>0</v>
      </c>
      <c r="AF44" s="133">
        <f ca="1">_xll.DBRW($G$15,$H$21,$H$22,AF$29,AF$28,$H$24,$H$25,$G44,AF$30)</f>
        <v>0</v>
      </c>
      <c r="AG44" s="129">
        <f ca="1">_xll.DBRW($G$15,$H$21,$H$22,AF$29,AF$28,$H$24,$H$25,$G44,AG$30)</f>
        <v>0</v>
      </c>
      <c r="AH44" s="129">
        <f ca="1">_xll.DBRW($G$15,$H$21,$H$22,AF$29,AF$28,$H$24,$H$25,$G44,AH$30)</f>
        <v>0</v>
      </c>
      <c r="AI44" s="129">
        <f ca="1">_xll.DBRW($G$15,$H$21,$H$22,AI$29,AF$28,$H$24,$H$25,$G44,AI$30)</f>
        <v>0</v>
      </c>
      <c r="AJ44" s="129">
        <f ca="1">_xll.DBRW($G$15,$H$21,$H$22,AI$29,AF$28,$H$24,$H$25,$G44,AJ$30)</f>
        <v>0</v>
      </c>
      <c r="AK44" s="130">
        <f ca="1">_xll.DBRW($G$15,$H$21,$H$22,AI$29,AF$28,$H$24,$H$25,$G44,AK$30)</f>
        <v>0</v>
      </c>
      <c r="AL44" s="140">
        <f t="shared" ca="1" si="6"/>
        <v>0</v>
      </c>
      <c r="AM44" s="140">
        <f t="shared" ca="1" si="7"/>
        <v>0</v>
      </c>
    </row>
    <row r="45" spans="1:39">
      <c r="A45">
        <f ca="1">IF(_xll.TM1RPTELISCONSOLIDATED($G$31,$G45),IF(_xll.TM1RPTELLEV($G$31,$G45)&lt;=3,_xll.TM1RPTELLEV($G$31,$G45),"D"),"N")</f>
        <v>3</v>
      </c>
      <c r="G45" s="141" t="s">
        <v>203</v>
      </c>
      <c r="H45" s="129">
        <f ca="1">_xll.DBRW($G$15,$H$21,$H$22,H$29,H$28,$H$24,$H$25,$G45,H$30)</f>
        <v>0</v>
      </c>
      <c r="I45" s="129">
        <f ca="1">_xll.DBRW($G$15,$H$21,$H$22,H$29,H$28,$H$24,$H$25,$G45,I$30)</f>
        <v>0</v>
      </c>
      <c r="J45" s="129">
        <f ca="1">_xll.DBRW($G$15,$H$21,$H$22,H$29,H$28,$H$24,$H$25,$G45,J$30)</f>
        <v>0</v>
      </c>
      <c r="K45" s="129">
        <f ca="1">_xll.DBRW($G$15,$H$21,$H$22,K$29,H$28,$H$24,$H$25,$G45,K$30)</f>
        <v>0</v>
      </c>
      <c r="L45" s="129">
        <f ca="1">_xll.DBRW($G$15,$H$21,$H$22,K$29,H$28,$H$24,$H$25,$G45,L$30)</f>
        <v>0</v>
      </c>
      <c r="M45" s="130">
        <f ca="1">_xll.DBRW($G$15,$H$21,$H$22,K$29,H$28,$H$24,$H$25,$G45,M$30)</f>
        <v>0</v>
      </c>
      <c r="N45" s="131">
        <f t="shared" ca="1" si="0"/>
        <v>0</v>
      </c>
      <c r="O45" s="132">
        <f t="shared" ca="1" si="1"/>
        <v>0</v>
      </c>
      <c r="P45" s="133">
        <f ca="1">_xll.DBRW($G$15,$H$21,$H$22,P$29,P$28,$H$24,$H$25,$G45,P$30)</f>
        <v>0</v>
      </c>
      <c r="Q45" s="129">
        <f ca="1">_xll.DBRW($G$15,$H$21,$H$22,P$29,P$28,$H$24,$H$25,$G45,Q$30)</f>
        <v>0</v>
      </c>
      <c r="R45" s="129">
        <f ca="1">_xll.DBRW($G$15,$H$21,$H$22,P$29,P$28,$H$24,$H$25,$G45,R$30)</f>
        <v>0</v>
      </c>
      <c r="S45" s="129">
        <f ca="1">_xll.DBRW($G$15,$H$21,$H$22,S$29,P$28,$H$24,$H$25,$G45,S$30)</f>
        <v>0</v>
      </c>
      <c r="T45" s="129">
        <f ca="1">_xll.DBRW($G$15,$H$21,$H$22,S$29,P$28,$H$24,$H$25,$G45,T$30)</f>
        <v>0</v>
      </c>
      <c r="U45" s="130">
        <f ca="1">_xll.DBRW($G$15,$H$21,$H$22,S$29,P$28,$H$24,$H$25,$G45,U$30)</f>
        <v>0</v>
      </c>
      <c r="V45" s="131">
        <f t="shared" ca="1" si="2"/>
        <v>0</v>
      </c>
      <c r="W45" s="132">
        <f t="shared" ca="1" si="3"/>
        <v>0</v>
      </c>
      <c r="X45" s="133">
        <f ca="1">_xll.DBRW($G$15,$H$21,$H$22,X$29,X$28,$H$24,$H$25,$G45,X$30)</f>
        <v>0</v>
      </c>
      <c r="Y45" s="129">
        <f ca="1">_xll.DBRW($G$15,$H$21,$H$22,X$29,X$28,$H$24,$H$25,$G45,Y$30)</f>
        <v>0</v>
      </c>
      <c r="Z45" s="129">
        <f ca="1">_xll.DBRW($G$15,$H$21,$H$22,X$29,X$28,$H$24,$H$25,$G45,Z$30)</f>
        <v>0</v>
      </c>
      <c r="AA45" s="129">
        <f ca="1">_xll.DBRW($G$15,$H$21,$H$22,AA$29,X$28,$H$24,$H$25,$G45,AA$30)</f>
        <v>0</v>
      </c>
      <c r="AB45" s="129">
        <f ca="1">_xll.DBRW($G$15,$H$21,$H$22,AA$29,X$28,$H$24,$H$25,$G45,AB$30)</f>
        <v>0</v>
      </c>
      <c r="AC45" s="130">
        <f ca="1">_xll.DBRW($G$15,$H$21,$H$22,AA$29,X$28,$H$24,$H$25,$G45,AC$30)</f>
        <v>0</v>
      </c>
      <c r="AD45" s="131">
        <f t="shared" ca="1" si="4"/>
        <v>0</v>
      </c>
      <c r="AE45" s="132">
        <f t="shared" ca="1" si="5"/>
        <v>0</v>
      </c>
      <c r="AF45" s="133">
        <f ca="1">_xll.DBRW($G$15,$H$21,$H$22,AF$29,AF$28,$H$24,$H$25,$G45,AF$30)</f>
        <v>0</v>
      </c>
      <c r="AG45" s="129">
        <f ca="1">_xll.DBRW($G$15,$H$21,$H$22,AF$29,AF$28,$H$24,$H$25,$G45,AG$30)</f>
        <v>0</v>
      </c>
      <c r="AH45" s="129">
        <f ca="1">_xll.DBRW($G$15,$H$21,$H$22,AF$29,AF$28,$H$24,$H$25,$G45,AH$30)</f>
        <v>0</v>
      </c>
      <c r="AI45" s="129">
        <f ca="1">_xll.DBRW($G$15,$H$21,$H$22,AI$29,AF$28,$H$24,$H$25,$G45,AI$30)</f>
        <v>0</v>
      </c>
      <c r="AJ45" s="129">
        <f ca="1">_xll.DBRW($G$15,$H$21,$H$22,AI$29,AF$28,$H$24,$H$25,$G45,AJ$30)</f>
        <v>0</v>
      </c>
      <c r="AK45" s="130">
        <f ca="1">_xll.DBRW($G$15,$H$21,$H$22,AI$29,AF$28,$H$24,$H$25,$G45,AK$30)</f>
        <v>0</v>
      </c>
      <c r="AL45" s="140">
        <f t="shared" ca="1" si="6"/>
        <v>0</v>
      </c>
      <c r="AM45" s="140">
        <f t="shared" ca="1" si="7"/>
        <v>0</v>
      </c>
    </row>
    <row r="46" spans="1:39">
      <c r="A46">
        <f ca="1">IF(_xll.TM1RPTELISCONSOLIDATED($G$31,$G46),IF(_xll.TM1RPTELLEV($G$31,$G46)&lt;=3,_xll.TM1RPTELLEV($G$31,$G46),"D"),"N")</f>
        <v>2</v>
      </c>
      <c r="G46" s="80" t="s">
        <v>204</v>
      </c>
      <c r="H46" s="52">
        <f ca="1">_xll.DBRW($G$15,$H$21,$H$22,H$29,H$28,$H$24,$H$25,$G46,H$30)</f>
        <v>0</v>
      </c>
      <c r="I46" s="52">
        <f ca="1">_xll.DBRW($G$15,$H$21,$H$22,H$29,H$28,$H$24,$H$25,$G46,I$30)</f>
        <v>0</v>
      </c>
      <c r="J46" s="52">
        <f ca="1">_xll.DBRW($G$15,$H$21,$H$22,H$29,H$28,$H$24,$H$25,$G46,J$30)</f>
        <v>0</v>
      </c>
      <c r="K46" s="52">
        <f ca="1">_xll.DBRW($G$15,$H$21,$H$22,K$29,H$28,$H$24,$H$25,$G46,K$30)</f>
        <v>0</v>
      </c>
      <c r="L46" s="52">
        <f ca="1">_xll.DBRW($G$15,$H$21,$H$22,K$29,H$28,$H$24,$H$25,$G46,L$30)</f>
        <v>0</v>
      </c>
      <c r="M46" s="53">
        <f ca="1">_xll.DBRW($G$15,$H$21,$H$22,K$29,H$28,$H$24,$H$25,$G46,M$30)</f>
        <v>0</v>
      </c>
      <c r="N46" s="127">
        <f t="shared" ca="1" si="0"/>
        <v>0</v>
      </c>
      <c r="O46" s="128">
        <f t="shared" ca="1" si="1"/>
        <v>0</v>
      </c>
      <c r="P46" s="55">
        <f ca="1">_xll.DBRW($G$15,$H$21,$H$22,P$29,P$28,$H$24,$H$25,$G46,P$30)</f>
        <v>0</v>
      </c>
      <c r="Q46" s="52">
        <f ca="1">_xll.DBRW($G$15,$H$21,$H$22,P$29,P$28,$H$24,$H$25,$G46,Q$30)</f>
        <v>0</v>
      </c>
      <c r="R46" s="52">
        <f ca="1">_xll.DBRW($G$15,$H$21,$H$22,P$29,P$28,$H$24,$H$25,$G46,R$30)</f>
        <v>0</v>
      </c>
      <c r="S46" s="52">
        <f ca="1">_xll.DBRW($G$15,$H$21,$H$22,S$29,P$28,$H$24,$H$25,$G46,S$30)</f>
        <v>0</v>
      </c>
      <c r="T46" s="52">
        <f ca="1">_xll.DBRW($G$15,$H$21,$H$22,S$29,P$28,$H$24,$H$25,$G46,T$30)</f>
        <v>0</v>
      </c>
      <c r="U46" s="53">
        <f ca="1">_xll.DBRW($G$15,$H$21,$H$22,S$29,P$28,$H$24,$H$25,$G46,U$30)</f>
        <v>0</v>
      </c>
      <c r="V46" s="127">
        <f t="shared" ca="1" si="2"/>
        <v>0</v>
      </c>
      <c r="W46" s="128">
        <f t="shared" ca="1" si="3"/>
        <v>0</v>
      </c>
      <c r="X46" s="55">
        <f ca="1">_xll.DBRW($G$15,$H$21,$H$22,X$29,X$28,$H$24,$H$25,$G46,X$30)</f>
        <v>0</v>
      </c>
      <c r="Y46" s="52">
        <f ca="1">_xll.DBRW($G$15,$H$21,$H$22,X$29,X$28,$H$24,$H$25,$G46,Y$30)</f>
        <v>0</v>
      </c>
      <c r="Z46" s="52">
        <f ca="1">_xll.DBRW($G$15,$H$21,$H$22,X$29,X$28,$H$24,$H$25,$G46,Z$30)</f>
        <v>0</v>
      </c>
      <c r="AA46" s="52">
        <f ca="1">_xll.DBRW($G$15,$H$21,$H$22,AA$29,X$28,$H$24,$H$25,$G46,AA$30)</f>
        <v>0</v>
      </c>
      <c r="AB46" s="52">
        <f ca="1">_xll.DBRW($G$15,$H$21,$H$22,AA$29,X$28,$H$24,$H$25,$G46,AB$30)</f>
        <v>0</v>
      </c>
      <c r="AC46" s="53">
        <f ca="1">_xll.DBRW($G$15,$H$21,$H$22,AA$29,X$28,$H$24,$H$25,$G46,AC$30)</f>
        <v>0</v>
      </c>
      <c r="AD46" s="127">
        <f t="shared" ca="1" si="4"/>
        <v>0</v>
      </c>
      <c r="AE46" s="128">
        <f t="shared" ca="1" si="5"/>
        <v>0</v>
      </c>
      <c r="AF46" s="55">
        <f ca="1">_xll.DBRW($G$15,$H$21,$H$22,AF$29,AF$28,$H$24,$H$25,$G46,AF$30)</f>
        <v>0</v>
      </c>
      <c r="AG46" s="52">
        <f ca="1">_xll.DBRW($G$15,$H$21,$H$22,AF$29,AF$28,$H$24,$H$25,$G46,AG$30)</f>
        <v>0</v>
      </c>
      <c r="AH46" s="52">
        <f ca="1">_xll.DBRW($G$15,$H$21,$H$22,AF$29,AF$28,$H$24,$H$25,$G46,AH$30)</f>
        <v>0</v>
      </c>
      <c r="AI46" s="52">
        <f ca="1">_xll.DBRW($G$15,$H$21,$H$22,AI$29,AF$28,$H$24,$H$25,$G46,AI$30)</f>
        <v>0</v>
      </c>
      <c r="AJ46" s="52">
        <f ca="1">_xll.DBRW($G$15,$H$21,$H$22,AI$29,AF$28,$H$24,$H$25,$G46,AJ$30)</f>
        <v>0</v>
      </c>
      <c r="AK46" s="53">
        <f ca="1">_xll.DBRW($G$15,$H$21,$H$22,AI$29,AF$28,$H$24,$H$25,$G46,AK$30)</f>
        <v>0</v>
      </c>
      <c r="AL46" s="140">
        <f t="shared" ca="1" si="6"/>
        <v>0</v>
      </c>
      <c r="AM46" s="140">
        <f t="shared" ca="1" si="7"/>
        <v>0</v>
      </c>
    </row>
    <row r="47" spans="1:39">
      <c r="A47">
        <f ca="1">IF(_xll.TM1RPTELISCONSOLIDATED($G$31,$G47),IF(_xll.TM1RPTELLEV($G$31,$G47)&lt;=3,_xll.TM1RPTELLEV($G$31,$G47),"D"),"N")</f>
        <v>3</v>
      </c>
      <c r="G47" s="141" t="s">
        <v>205</v>
      </c>
      <c r="H47" s="129">
        <f ca="1">_xll.DBRW($G$15,$H$21,$H$22,H$29,H$28,$H$24,$H$25,$G47,H$30)</f>
        <v>0</v>
      </c>
      <c r="I47" s="129">
        <f ca="1">_xll.DBRW($G$15,$H$21,$H$22,H$29,H$28,$H$24,$H$25,$G47,I$30)</f>
        <v>0</v>
      </c>
      <c r="J47" s="129">
        <f ca="1">_xll.DBRW($G$15,$H$21,$H$22,H$29,H$28,$H$24,$H$25,$G47,J$30)</f>
        <v>0</v>
      </c>
      <c r="K47" s="129">
        <f ca="1">_xll.DBRW($G$15,$H$21,$H$22,K$29,H$28,$H$24,$H$25,$G47,K$30)</f>
        <v>0</v>
      </c>
      <c r="L47" s="129">
        <f ca="1">_xll.DBRW($G$15,$H$21,$H$22,K$29,H$28,$H$24,$H$25,$G47,L$30)</f>
        <v>0</v>
      </c>
      <c r="M47" s="130">
        <f ca="1">_xll.DBRW($G$15,$H$21,$H$22,K$29,H$28,$H$24,$H$25,$G47,M$30)</f>
        <v>0</v>
      </c>
      <c r="N47" s="131">
        <f t="shared" ca="1" si="0"/>
        <v>0</v>
      </c>
      <c r="O47" s="132">
        <f t="shared" ca="1" si="1"/>
        <v>0</v>
      </c>
      <c r="P47" s="133">
        <f ca="1">_xll.DBRW($G$15,$H$21,$H$22,P$29,P$28,$H$24,$H$25,$G47,P$30)</f>
        <v>0</v>
      </c>
      <c r="Q47" s="129">
        <f ca="1">_xll.DBRW($G$15,$H$21,$H$22,P$29,P$28,$H$24,$H$25,$G47,Q$30)</f>
        <v>0</v>
      </c>
      <c r="R47" s="129">
        <f ca="1">_xll.DBRW($G$15,$H$21,$H$22,P$29,P$28,$H$24,$H$25,$G47,R$30)</f>
        <v>0</v>
      </c>
      <c r="S47" s="129">
        <f ca="1">_xll.DBRW($G$15,$H$21,$H$22,S$29,P$28,$H$24,$H$25,$G47,S$30)</f>
        <v>0</v>
      </c>
      <c r="T47" s="129">
        <f ca="1">_xll.DBRW($G$15,$H$21,$H$22,S$29,P$28,$H$24,$H$25,$G47,T$30)</f>
        <v>0</v>
      </c>
      <c r="U47" s="130">
        <f ca="1">_xll.DBRW($G$15,$H$21,$H$22,S$29,P$28,$H$24,$H$25,$G47,U$30)</f>
        <v>0</v>
      </c>
      <c r="V47" s="131">
        <f t="shared" ca="1" si="2"/>
        <v>0</v>
      </c>
      <c r="W47" s="132">
        <f t="shared" ca="1" si="3"/>
        <v>0</v>
      </c>
      <c r="X47" s="133">
        <f ca="1">_xll.DBRW($G$15,$H$21,$H$22,X$29,X$28,$H$24,$H$25,$G47,X$30)</f>
        <v>0</v>
      </c>
      <c r="Y47" s="129">
        <f ca="1">_xll.DBRW($G$15,$H$21,$H$22,X$29,X$28,$H$24,$H$25,$G47,Y$30)</f>
        <v>0</v>
      </c>
      <c r="Z47" s="129">
        <f ca="1">_xll.DBRW($G$15,$H$21,$H$22,X$29,X$28,$H$24,$H$25,$G47,Z$30)</f>
        <v>0</v>
      </c>
      <c r="AA47" s="129">
        <f ca="1">_xll.DBRW($G$15,$H$21,$H$22,AA$29,X$28,$H$24,$H$25,$G47,AA$30)</f>
        <v>0</v>
      </c>
      <c r="AB47" s="129">
        <f ca="1">_xll.DBRW($G$15,$H$21,$H$22,AA$29,X$28,$H$24,$H$25,$G47,AB$30)</f>
        <v>0</v>
      </c>
      <c r="AC47" s="130">
        <f ca="1">_xll.DBRW($G$15,$H$21,$H$22,AA$29,X$28,$H$24,$H$25,$G47,AC$30)</f>
        <v>0</v>
      </c>
      <c r="AD47" s="131">
        <f t="shared" ca="1" si="4"/>
        <v>0</v>
      </c>
      <c r="AE47" s="132">
        <f t="shared" ca="1" si="5"/>
        <v>0</v>
      </c>
      <c r="AF47" s="133">
        <f ca="1">_xll.DBRW($G$15,$H$21,$H$22,AF$29,AF$28,$H$24,$H$25,$G47,AF$30)</f>
        <v>0</v>
      </c>
      <c r="AG47" s="129">
        <f ca="1">_xll.DBRW($G$15,$H$21,$H$22,AF$29,AF$28,$H$24,$H$25,$G47,AG$30)</f>
        <v>0</v>
      </c>
      <c r="AH47" s="129">
        <f ca="1">_xll.DBRW($G$15,$H$21,$H$22,AF$29,AF$28,$H$24,$H$25,$G47,AH$30)</f>
        <v>0</v>
      </c>
      <c r="AI47" s="129">
        <f ca="1">_xll.DBRW($G$15,$H$21,$H$22,AI$29,AF$28,$H$24,$H$25,$G47,AI$30)</f>
        <v>0</v>
      </c>
      <c r="AJ47" s="129">
        <f ca="1">_xll.DBRW($G$15,$H$21,$H$22,AI$29,AF$28,$H$24,$H$25,$G47,AJ$30)</f>
        <v>0</v>
      </c>
      <c r="AK47" s="130">
        <f ca="1">_xll.DBRW($G$15,$H$21,$H$22,AI$29,AF$28,$H$24,$H$25,$G47,AK$30)</f>
        <v>0</v>
      </c>
      <c r="AL47" s="140">
        <f t="shared" ca="1" si="6"/>
        <v>0</v>
      </c>
      <c r="AM47" s="140">
        <f t="shared" ca="1" si="7"/>
        <v>0</v>
      </c>
    </row>
    <row r="48" spans="1:39">
      <c r="A48">
        <f ca="1">IF(_xll.TM1RPTELISCONSOLIDATED($G$31,$G48),IF(_xll.TM1RPTELLEV($G$31,$G48)&lt;=3,_xll.TM1RPTELLEV($G$31,$G48),"D"),"N")</f>
        <v>3</v>
      </c>
      <c r="G48" s="141" t="s">
        <v>206</v>
      </c>
      <c r="H48" s="129">
        <f ca="1">_xll.DBRW($G$15,$H$21,$H$22,H$29,H$28,$H$24,$H$25,$G48,H$30)</f>
        <v>0</v>
      </c>
      <c r="I48" s="129">
        <f ca="1">_xll.DBRW($G$15,$H$21,$H$22,H$29,H$28,$H$24,$H$25,$G48,I$30)</f>
        <v>0</v>
      </c>
      <c r="J48" s="129">
        <f ca="1">_xll.DBRW($G$15,$H$21,$H$22,H$29,H$28,$H$24,$H$25,$G48,J$30)</f>
        <v>0</v>
      </c>
      <c r="K48" s="129">
        <f ca="1">_xll.DBRW($G$15,$H$21,$H$22,K$29,H$28,$H$24,$H$25,$G48,K$30)</f>
        <v>0</v>
      </c>
      <c r="L48" s="129">
        <f ca="1">_xll.DBRW($G$15,$H$21,$H$22,K$29,H$28,$H$24,$H$25,$G48,L$30)</f>
        <v>0</v>
      </c>
      <c r="M48" s="130">
        <f ca="1">_xll.DBRW($G$15,$H$21,$H$22,K$29,H$28,$H$24,$H$25,$G48,M$30)</f>
        <v>0</v>
      </c>
      <c r="N48" s="131">
        <f t="shared" ca="1" si="0"/>
        <v>0</v>
      </c>
      <c r="O48" s="132">
        <f t="shared" ca="1" si="1"/>
        <v>0</v>
      </c>
      <c r="P48" s="133">
        <f ca="1">_xll.DBRW($G$15,$H$21,$H$22,P$29,P$28,$H$24,$H$25,$G48,P$30)</f>
        <v>0</v>
      </c>
      <c r="Q48" s="129">
        <f ca="1">_xll.DBRW($G$15,$H$21,$H$22,P$29,P$28,$H$24,$H$25,$G48,Q$30)</f>
        <v>0</v>
      </c>
      <c r="R48" s="129">
        <f ca="1">_xll.DBRW($G$15,$H$21,$H$22,P$29,P$28,$H$24,$H$25,$G48,R$30)</f>
        <v>0</v>
      </c>
      <c r="S48" s="129">
        <f ca="1">_xll.DBRW($G$15,$H$21,$H$22,S$29,P$28,$H$24,$H$25,$G48,S$30)</f>
        <v>0</v>
      </c>
      <c r="T48" s="129">
        <f ca="1">_xll.DBRW($G$15,$H$21,$H$22,S$29,P$28,$H$24,$H$25,$G48,T$30)</f>
        <v>0</v>
      </c>
      <c r="U48" s="130">
        <f ca="1">_xll.DBRW($G$15,$H$21,$H$22,S$29,P$28,$H$24,$H$25,$G48,U$30)</f>
        <v>0</v>
      </c>
      <c r="V48" s="131">
        <f t="shared" ca="1" si="2"/>
        <v>0</v>
      </c>
      <c r="W48" s="132">
        <f t="shared" ca="1" si="3"/>
        <v>0</v>
      </c>
      <c r="X48" s="133">
        <f ca="1">_xll.DBRW($G$15,$H$21,$H$22,X$29,X$28,$H$24,$H$25,$G48,X$30)</f>
        <v>0</v>
      </c>
      <c r="Y48" s="129">
        <f ca="1">_xll.DBRW($G$15,$H$21,$H$22,X$29,X$28,$H$24,$H$25,$G48,Y$30)</f>
        <v>0</v>
      </c>
      <c r="Z48" s="129">
        <f ca="1">_xll.DBRW($G$15,$H$21,$H$22,X$29,X$28,$H$24,$H$25,$G48,Z$30)</f>
        <v>0</v>
      </c>
      <c r="AA48" s="129">
        <f ca="1">_xll.DBRW($G$15,$H$21,$H$22,AA$29,X$28,$H$24,$H$25,$G48,AA$30)</f>
        <v>0</v>
      </c>
      <c r="AB48" s="129">
        <f ca="1">_xll.DBRW($G$15,$H$21,$H$22,AA$29,X$28,$H$24,$H$25,$G48,AB$30)</f>
        <v>0</v>
      </c>
      <c r="AC48" s="130">
        <f ca="1">_xll.DBRW($G$15,$H$21,$H$22,AA$29,X$28,$H$24,$H$25,$G48,AC$30)</f>
        <v>0</v>
      </c>
      <c r="AD48" s="131">
        <f t="shared" ca="1" si="4"/>
        <v>0</v>
      </c>
      <c r="AE48" s="132">
        <f t="shared" ca="1" si="5"/>
        <v>0</v>
      </c>
      <c r="AF48" s="133">
        <f ca="1">_xll.DBRW($G$15,$H$21,$H$22,AF$29,AF$28,$H$24,$H$25,$G48,AF$30)</f>
        <v>0</v>
      </c>
      <c r="AG48" s="129">
        <f ca="1">_xll.DBRW($G$15,$H$21,$H$22,AF$29,AF$28,$H$24,$H$25,$G48,AG$30)</f>
        <v>0</v>
      </c>
      <c r="AH48" s="129">
        <f ca="1">_xll.DBRW($G$15,$H$21,$H$22,AF$29,AF$28,$H$24,$H$25,$G48,AH$30)</f>
        <v>0</v>
      </c>
      <c r="AI48" s="129">
        <f ca="1">_xll.DBRW($G$15,$H$21,$H$22,AI$29,AF$28,$H$24,$H$25,$G48,AI$30)</f>
        <v>0</v>
      </c>
      <c r="AJ48" s="129">
        <f ca="1">_xll.DBRW($G$15,$H$21,$H$22,AI$29,AF$28,$H$24,$H$25,$G48,AJ$30)</f>
        <v>0</v>
      </c>
      <c r="AK48" s="130">
        <f ca="1">_xll.DBRW($G$15,$H$21,$H$22,AI$29,AF$28,$H$24,$H$25,$G48,AK$30)</f>
        <v>0</v>
      </c>
      <c r="AL48" s="140">
        <f t="shared" ca="1" si="6"/>
        <v>0</v>
      </c>
      <c r="AM48" s="140">
        <f t="shared" ca="1" si="7"/>
        <v>0</v>
      </c>
    </row>
    <row r="49" spans="1:39">
      <c r="A49">
        <f ca="1">IF(_xll.TM1RPTELISCONSOLIDATED($G$31,$G49),IF(_xll.TM1RPTELLEV($G$31,$G49)&lt;=3,_xll.TM1RPTELLEV($G$31,$G49),"D"),"N")</f>
        <v>3</v>
      </c>
      <c r="G49" s="141" t="s">
        <v>207</v>
      </c>
      <c r="H49" s="129">
        <f ca="1">_xll.DBRW($G$15,$H$21,$H$22,H$29,H$28,$H$24,$H$25,$G49,H$30)</f>
        <v>0</v>
      </c>
      <c r="I49" s="129">
        <f ca="1">_xll.DBRW($G$15,$H$21,$H$22,H$29,H$28,$H$24,$H$25,$G49,I$30)</f>
        <v>0</v>
      </c>
      <c r="J49" s="129">
        <f ca="1">_xll.DBRW($G$15,$H$21,$H$22,H$29,H$28,$H$24,$H$25,$G49,J$30)</f>
        <v>0</v>
      </c>
      <c r="K49" s="129">
        <f ca="1">_xll.DBRW($G$15,$H$21,$H$22,K$29,H$28,$H$24,$H$25,$G49,K$30)</f>
        <v>0</v>
      </c>
      <c r="L49" s="129">
        <f ca="1">_xll.DBRW($G$15,$H$21,$H$22,K$29,H$28,$H$24,$H$25,$G49,L$30)</f>
        <v>0</v>
      </c>
      <c r="M49" s="130">
        <f ca="1">_xll.DBRW($G$15,$H$21,$H$22,K$29,H$28,$H$24,$H$25,$G49,M$30)</f>
        <v>0</v>
      </c>
      <c r="N49" s="131">
        <f t="shared" ca="1" si="0"/>
        <v>0</v>
      </c>
      <c r="O49" s="132">
        <f t="shared" ca="1" si="1"/>
        <v>0</v>
      </c>
      <c r="P49" s="133">
        <f ca="1">_xll.DBRW($G$15,$H$21,$H$22,P$29,P$28,$H$24,$H$25,$G49,P$30)</f>
        <v>0</v>
      </c>
      <c r="Q49" s="129">
        <f ca="1">_xll.DBRW($G$15,$H$21,$H$22,P$29,P$28,$H$24,$H$25,$G49,Q$30)</f>
        <v>0</v>
      </c>
      <c r="R49" s="129">
        <f ca="1">_xll.DBRW($G$15,$H$21,$H$22,P$29,P$28,$H$24,$H$25,$G49,R$30)</f>
        <v>0</v>
      </c>
      <c r="S49" s="129">
        <f ca="1">_xll.DBRW($G$15,$H$21,$H$22,S$29,P$28,$H$24,$H$25,$G49,S$30)</f>
        <v>0</v>
      </c>
      <c r="T49" s="129">
        <f ca="1">_xll.DBRW($G$15,$H$21,$H$22,S$29,P$28,$H$24,$H$25,$G49,T$30)</f>
        <v>0</v>
      </c>
      <c r="U49" s="130">
        <f ca="1">_xll.DBRW($G$15,$H$21,$H$22,S$29,P$28,$H$24,$H$25,$G49,U$30)</f>
        <v>0</v>
      </c>
      <c r="V49" s="131">
        <f t="shared" ca="1" si="2"/>
        <v>0</v>
      </c>
      <c r="W49" s="132">
        <f t="shared" ca="1" si="3"/>
        <v>0</v>
      </c>
      <c r="X49" s="133">
        <f ca="1">_xll.DBRW($G$15,$H$21,$H$22,X$29,X$28,$H$24,$H$25,$G49,X$30)</f>
        <v>0</v>
      </c>
      <c r="Y49" s="129">
        <f ca="1">_xll.DBRW($G$15,$H$21,$H$22,X$29,X$28,$H$24,$H$25,$G49,Y$30)</f>
        <v>0</v>
      </c>
      <c r="Z49" s="129">
        <f ca="1">_xll.DBRW($G$15,$H$21,$H$22,X$29,X$28,$H$24,$H$25,$G49,Z$30)</f>
        <v>0</v>
      </c>
      <c r="AA49" s="129">
        <f ca="1">_xll.DBRW($G$15,$H$21,$H$22,AA$29,X$28,$H$24,$H$25,$G49,AA$30)</f>
        <v>0</v>
      </c>
      <c r="AB49" s="129">
        <f ca="1">_xll.DBRW($G$15,$H$21,$H$22,AA$29,X$28,$H$24,$H$25,$G49,AB$30)</f>
        <v>0</v>
      </c>
      <c r="AC49" s="130">
        <f ca="1">_xll.DBRW($G$15,$H$21,$H$22,AA$29,X$28,$H$24,$H$25,$G49,AC$30)</f>
        <v>0</v>
      </c>
      <c r="AD49" s="131">
        <f t="shared" ca="1" si="4"/>
        <v>0</v>
      </c>
      <c r="AE49" s="132">
        <f t="shared" ca="1" si="5"/>
        <v>0</v>
      </c>
      <c r="AF49" s="133">
        <f ca="1">_xll.DBRW($G$15,$H$21,$H$22,AF$29,AF$28,$H$24,$H$25,$G49,AF$30)</f>
        <v>0</v>
      </c>
      <c r="AG49" s="129">
        <f ca="1">_xll.DBRW($G$15,$H$21,$H$22,AF$29,AF$28,$H$24,$H$25,$G49,AG$30)</f>
        <v>0</v>
      </c>
      <c r="AH49" s="129">
        <f ca="1">_xll.DBRW($G$15,$H$21,$H$22,AF$29,AF$28,$H$24,$H$25,$G49,AH$30)</f>
        <v>0</v>
      </c>
      <c r="AI49" s="129">
        <f ca="1">_xll.DBRW($G$15,$H$21,$H$22,AI$29,AF$28,$H$24,$H$25,$G49,AI$30)</f>
        <v>0</v>
      </c>
      <c r="AJ49" s="129">
        <f ca="1">_xll.DBRW($G$15,$H$21,$H$22,AI$29,AF$28,$H$24,$H$25,$G49,AJ$30)</f>
        <v>0</v>
      </c>
      <c r="AK49" s="130">
        <f ca="1">_xll.DBRW($G$15,$H$21,$H$22,AI$29,AF$28,$H$24,$H$25,$G49,AK$30)</f>
        <v>0</v>
      </c>
      <c r="AL49" s="140">
        <f t="shared" ca="1" si="6"/>
        <v>0</v>
      </c>
      <c r="AM49" s="140">
        <f t="shared" ca="1" si="7"/>
        <v>0</v>
      </c>
    </row>
    <row r="50" spans="1:39">
      <c r="A50">
        <f ca="1">IF(_xll.TM1RPTELISCONSOLIDATED($G$31,$G50),IF(_xll.TM1RPTELLEV($G$31,$G50)&lt;=3,_xll.TM1RPTELLEV($G$31,$G50),"D"),"N")</f>
        <v>2</v>
      </c>
      <c r="G50" s="80" t="s">
        <v>208</v>
      </c>
      <c r="H50" s="52">
        <f ca="1">_xll.DBRW($G$15,$H$21,$H$22,H$29,H$28,$H$24,$H$25,$G50,H$30)</f>
        <v>0</v>
      </c>
      <c r="I50" s="52">
        <f ca="1">_xll.DBRW($G$15,$H$21,$H$22,H$29,H$28,$H$24,$H$25,$G50,I$30)</f>
        <v>0</v>
      </c>
      <c r="J50" s="52">
        <f ca="1">_xll.DBRW($G$15,$H$21,$H$22,H$29,H$28,$H$24,$H$25,$G50,J$30)</f>
        <v>0</v>
      </c>
      <c r="K50" s="52">
        <f ca="1">_xll.DBRW($G$15,$H$21,$H$22,K$29,H$28,$H$24,$H$25,$G50,K$30)</f>
        <v>0</v>
      </c>
      <c r="L50" s="52">
        <f ca="1">_xll.DBRW($G$15,$H$21,$H$22,K$29,H$28,$H$24,$H$25,$G50,L$30)</f>
        <v>0</v>
      </c>
      <c r="M50" s="53">
        <f ca="1">_xll.DBRW($G$15,$H$21,$H$22,K$29,H$28,$H$24,$H$25,$G50,M$30)</f>
        <v>0</v>
      </c>
      <c r="N50" s="127">
        <f t="shared" ca="1" si="0"/>
        <v>0</v>
      </c>
      <c r="O50" s="128">
        <f t="shared" ca="1" si="1"/>
        <v>0</v>
      </c>
      <c r="P50" s="55">
        <f ca="1">_xll.DBRW($G$15,$H$21,$H$22,P$29,P$28,$H$24,$H$25,$G50,P$30)</f>
        <v>0</v>
      </c>
      <c r="Q50" s="52">
        <f ca="1">_xll.DBRW($G$15,$H$21,$H$22,P$29,P$28,$H$24,$H$25,$G50,Q$30)</f>
        <v>0</v>
      </c>
      <c r="R50" s="52">
        <f ca="1">_xll.DBRW($G$15,$H$21,$H$22,P$29,P$28,$H$24,$H$25,$G50,R$30)</f>
        <v>0</v>
      </c>
      <c r="S50" s="52">
        <f ca="1">_xll.DBRW($G$15,$H$21,$H$22,S$29,P$28,$H$24,$H$25,$G50,S$30)</f>
        <v>0</v>
      </c>
      <c r="T50" s="52">
        <f ca="1">_xll.DBRW($G$15,$H$21,$H$22,S$29,P$28,$H$24,$H$25,$G50,T$30)</f>
        <v>0</v>
      </c>
      <c r="U50" s="53">
        <f ca="1">_xll.DBRW($G$15,$H$21,$H$22,S$29,P$28,$H$24,$H$25,$G50,U$30)</f>
        <v>0</v>
      </c>
      <c r="V50" s="127">
        <f t="shared" ca="1" si="2"/>
        <v>0</v>
      </c>
      <c r="W50" s="128">
        <f t="shared" ca="1" si="3"/>
        <v>0</v>
      </c>
      <c r="X50" s="55">
        <f ca="1">_xll.DBRW($G$15,$H$21,$H$22,X$29,X$28,$H$24,$H$25,$G50,X$30)</f>
        <v>0</v>
      </c>
      <c r="Y50" s="52">
        <f ca="1">_xll.DBRW($G$15,$H$21,$H$22,X$29,X$28,$H$24,$H$25,$G50,Y$30)</f>
        <v>0</v>
      </c>
      <c r="Z50" s="52">
        <f ca="1">_xll.DBRW($G$15,$H$21,$H$22,X$29,X$28,$H$24,$H$25,$G50,Z$30)</f>
        <v>0</v>
      </c>
      <c r="AA50" s="52">
        <f ca="1">_xll.DBRW($G$15,$H$21,$H$22,AA$29,X$28,$H$24,$H$25,$G50,AA$30)</f>
        <v>0</v>
      </c>
      <c r="AB50" s="52">
        <f ca="1">_xll.DBRW($G$15,$H$21,$H$22,AA$29,X$28,$H$24,$H$25,$G50,AB$30)</f>
        <v>0</v>
      </c>
      <c r="AC50" s="53">
        <f ca="1">_xll.DBRW($G$15,$H$21,$H$22,AA$29,X$28,$H$24,$H$25,$G50,AC$30)</f>
        <v>0</v>
      </c>
      <c r="AD50" s="127">
        <f t="shared" ca="1" si="4"/>
        <v>0</v>
      </c>
      <c r="AE50" s="128">
        <f t="shared" ca="1" si="5"/>
        <v>0</v>
      </c>
      <c r="AF50" s="55">
        <f ca="1">_xll.DBRW($G$15,$H$21,$H$22,AF$29,AF$28,$H$24,$H$25,$G50,AF$30)</f>
        <v>0</v>
      </c>
      <c r="AG50" s="52">
        <f ca="1">_xll.DBRW($G$15,$H$21,$H$22,AF$29,AF$28,$H$24,$H$25,$G50,AG$30)</f>
        <v>0</v>
      </c>
      <c r="AH50" s="52">
        <f ca="1">_xll.DBRW($G$15,$H$21,$H$22,AF$29,AF$28,$H$24,$H$25,$G50,AH$30)</f>
        <v>0</v>
      </c>
      <c r="AI50" s="52">
        <f ca="1">_xll.DBRW($G$15,$H$21,$H$22,AI$29,AF$28,$H$24,$H$25,$G50,AI$30)</f>
        <v>0</v>
      </c>
      <c r="AJ50" s="52">
        <f ca="1">_xll.DBRW($G$15,$H$21,$H$22,AI$29,AF$28,$H$24,$H$25,$G50,AJ$30)</f>
        <v>0</v>
      </c>
      <c r="AK50" s="53">
        <f ca="1">_xll.DBRW($G$15,$H$21,$H$22,AI$29,AF$28,$H$24,$H$25,$G50,AK$30)</f>
        <v>0</v>
      </c>
      <c r="AL50" s="140">
        <f t="shared" ca="1" si="6"/>
        <v>0</v>
      </c>
      <c r="AM50" s="140">
        <f t="shared" ca="1" si="7"/>
        <v>0</v>
      </c>
    </row>
    <row r="51" spans="1:39">
      <c r="A51">
        <f ca="1">IF(_xll.TM1RPTELISCONSOLIDATED($G$31,$G51),IF(_xll.TM1RPTELLEV($G$31,$G51)&lt;=3,_xll.TM1RPTELLEV($G$31,$G51),"D"),"N")</f>
        <v>3</v>
      </c>
      <c r="G51" s="141" t="s">
        <v>209</v>
      </c>
      <c r="H51" s="129">
        <f ca="1">_xll.DBRW($G$15,$H$21,$H$22,H$29,H$28,$H$24,$H$25,$G51,H$30)</f>
        <v>0</v>
      </c>
      <c r="I51" s="129">
        <f ca="1">_xll.DBRW($G$15,$H$21,$H$22,H$29,H$28,$H$24,$H$25,$G51,I$30)</f>
        <v>0</v>
      </c>
      <c r="J51" s="129">
        <f ca="1">_xll.DBRW($G$15,$H$21,$H$22,H$29,H$28,$H$24,$H$25,$G51,J$30)</f>
        <v>0</v>
      </c>
      <c r="K51" s="129">
        <f ca="1">_xll.DBRW($G$15,$H$21,$H$22,K$29,H$28,$H$24,$H$25,$G51,K$30)</f>
        <v>0</v>
      </c>
      <c r="L51" s="129">
        <f ca="1">_xll.DBRW($G$15,$H$21,$H$22,K$29,H$28,$H$24,$H$25,$G51,L$30)</f>
        <v>0</v>
      </c>
      <c r="M51" s="130">
        <f ca="1">_xll.DBRW($G$15,$H$21,$H$22,K$29,H$28,$H$24,$H$25,$G51,M$30)</f>
        <v>0</v>
      </c>
      <c r="N51" s="131">
        <f t="shared" ca="1" si="0"/>
        <v>0</v>
      </c>
      <c r="O51" s="132">
        <f t="shared" ca="1" si="1"/>
        <v>0</v>
      </c>
      <c r="P51" s="133">
        <f ca="1">_xll.DBRW($G$15,$H$21,$H$22,P$29,P$28,$H$24,$H$25,$G51,P$30)</f>
        <v>0</v>
      </c>
      <c r="Q51" s="129">
        <f ca="1">_xll.DBRW($G$15,$H$21,$H$22,P$29,P$28,$H$24,$H$25,$G51,Q$30)</f>
        <v>0</v>
      </c>
      <c r="R51" s="129">
        <f ca="1">_xll.DBRW($G$15,$H$21,$H$22,P$29,P$28,$H$24,$H$25,$G51,R$30)</f>
        <v>0</v>
      </c>
      <c r="S51" s="129">
        <f ca="1">_xll.DBRW($G$15,$H$21,$H$22,S$29,P$28,$H$24,$H$25,$G51,S$30)</f>
        <v>0</v>
      </c>
      <c r="T51" s="129">
        <f ca="1">_xll.DBRW($G$15,$H$21,$H$22,S$29,P$28,$H$24,$H$25,$G51,T$30)</f>
        <v>0</v>
      </c>
      <c r="U51" s="130">
        <f ca="1">_xll.DBRW($G$15,$H$21,$H$22,S$29,P$28,$H$24,$H$25,$G51,U$30)</f>
        <v>0</v>
      </c>
      <c r="V51" s="131">
        <f t="shared" ca="1" si="2"/>
        <v>0</v>
      </c>
      <c r="W51" s="132">
        <f t="shared" ca="1" si="3"/>
        <v>0</v>
      </c>
      <c r="X51" s="133">
        <f ca="1">_xll.DBRW($G$15,$H$21,$H$22,X$29,X$28,$H$24,$H$25,$G51,X$30)</f>
        <v>0</v>
      </c>
      <c r="Y51" s="129">
        <f ca="1">_xll.DBRW($G$15,$H$21,$H$22,X$29,X$28,$H$24,$H$25,$G51,Y$30)</f>
        <v>0</v>
      </c>
      <c r="Z51" s="129">
        <f ca="1">_xll.DBRW($G$15,$H$21,$H$22,X$29,X$28,$H$24,$H$25,$G51,Z$30)</f>
        <v>0</v>
      </c>
      <c r="AA51" s="129">
        <f ca="1">_xll.DBRW($G$15,$H$21,$H$22,AA$29,X$28,$H$24,$H$25,$G51,AA$30)</f>
        <v>0</v>
      </c>
      <c r="AB51" s="129">
        <f ca="1">_xll.DBRW($G$15,$H$21,$H$22,AA$29,X$28,$H$24,$H$25,$G51,AB$30)</f>
        <v>0</v>
      </c>
      <c r="AC51" s="130">
        <f ca="1">_xll.DBRW($G$15,$H$21,$H$22,AA$29,X$28,$H$24,$H$25,$G51,AC$30)</f>
        <v>0</v>
      </c>
      <c r="AD51" s="131">
        <f t="shared" ca="1" si="4"/>
        <v>0</v>
      </c>
      <c r="AE51" s="132">
        <f t="shared" ca="1" si="5"/>
        <v>0</v>
      </c>
      <c r="AF51" s="133">
        <f ca="1">_xll.DBRW($G$15,$H$21,$H$22,AF$29,AF$28,$H$24,$H$25,$G51,AF$30)</f>
        <v>0</v>
      </c>
      <c r="AG51" s="129">
        <f ca="1">_xll.DBRW($G$15,$H$21,$H$22,AF$29,AF$28,$H$24,$H$25,$G51,AG$30)</f>
        <v>0</v>
      </c>
      <c r="AH51" s="129">
        <f ca="1">_xll.DBRW($G$15,$H$21,$H$22,AF$29,AF$28,$H$24,$H$25,$G51,AH$30)</f>
        <v>0</v>
      </c>
      <c r="AI51" s="129">
        <f ca="1">_xll.DBRW($G$15,$H$21,$H$22,AI$29,AF$28,$H$24,$H$25,$G51,AI$30)</f>
        <v>0</v>
      </c>
      <c r="AJ51" s="129">
        <f ca="1">_xll.DBRW($G$15,$H$21,$H$22,AI$29,AF$28,$H$24,$H$25,$G51,AJ$30)</f>
        <v>0</v>
      </c>
      <c r="AK51" s="130">
        <f ca="1">_xll.DBRW($G$15,$H$21,$H$22,AI$29,AF$28,$H$24,$H$25,$G51,AK$30)</f>
        <v>0</v>
      </c>
      <c r="AL51" s="140">
        <f t="shared" ca="1" si="6"/>
        <v>0</v>
      </c>
      <c r="AM51" s="140">
        <f t="shared" ca="1" si="7"/>
        <v>0</v>
      </c>
    </row>
    <row r="52" spans="1:39">
      <c r="A52">
        <f ca="1">IF(_xll.TM1RPTELISCONSOLIDATED($G$31,$G52),IF(_xll.TM1RPTELLEV($G$31,$G52)&lt;=3,_xll.TM1RPTELLEV($G$31,$G52),"D"),"N")</f>
        <v>3</v>
      </c>
      <c r="G52" s="141" t="s">
        <v>210</v>
      </c>
      <c r="H52" s="129">
        <f ca="1">_xll.DBRW($G$15,$H$21,$H$22,H$29,H$28,$H$24,$H$25,$G52,H$30)</f>
        <v>0</v>
      </c>
      <c r="I52" s="129">
        <f ca="1">_xll.DBRW($G$15,$H$21,$H$22,H$29,H$28,$H$24,$H$25,$G52,I$30)</f>
        <v>0</v>
      </c>
      <c r="J52" s="129">
        <f ca="1">_xll.DBRW($G$15,$H$21,$H$22,H$29,H$28,$H$24,$H$25,$G52,J$30)</f>
        <v>0</v>
      </c>
      <c r="K52" s="129">
        <f ca="1">_xll.DBRW($G$15,$H$21,$H$22,K$29,H$28,$H$24,$H$25,$G52,K$30)</f>
        <v>0</v>
      </c>
      <c r="L52" s="129">
        <f ca="1">_xll.DBRW($G$15,$H$21,$H$22,K$29,H$28,$H$24,$H$25,$G52,L$30)</f>
        <v>0</v>
      </c>
      <c r="M52" s="130">
        <f ca="1">_xll.DBRW($G$15,$H$21,$H$22,K$29,H$28,$H$24,$H$25,$G52,M$30)</f>
        <v>0</v>
      </c>
      <c r="N52" s="131">
        <f t="shared" ca="1" si="0"/>
        <v>0</v>
      </c>
      <c r="O52" s="132">
        <f t="shared" ca="1" si="1"/>
        <v>0</v>
      </c>
      <c r="P52" s="133">
        <f ca="1">_xll.DBRW($G$15,$H$21,$H$22,P$29,P$28,$H$24,$H$25,$G52,P$30)</f>
        <v>0</v>
      </c>
      <c r="Q52" s="129">
        <f ca="1">_xll.DBRW($G$15,$H$21,$H$22,P$29,P$28,$H$24,$H$25,$G52,Q$30)</f>
        <v>0</v>
      </c>
      <c r="R52" s="129">
        <f ca="1">_xll.DBRW($G$15,$H$21,$H$22,P$29,P$28,$H$24,$H$25,$G52,R$30)</f>
        <v>0</v>
      </c>
      <c r="S52" s="129">
        <f ca="1">_xll.DBRW($G$15,$H$21,$H$22,S$29,P$28,$H$24,$H$25,$G52,S$30)</f>
        <v>0</v>
      </c>
      <c r="T52" s="129">
        <f ca="1">_xll.DBRW($G$15,$H$21,$H$22,S$29,P$28,$H$24,$H$25,$G52,T$30)</f>
        <v>0</v>
      </c>
      <c r="U52" s="130">
        <f ca="1">_xll.DBRW($G$15,$H$21,$H$22,S$29,P$28,$H$24,$H$25,$G52,U$30)</f>
        <v>0</v>
      </c>
      <c r="V52" s="131">
        <f t="shared" ca="1" si="2"/>
        <v>0</v>
      </c>
      <c r="W52" s="132">
        <f t="shared" ca="1" si="3"/>
        <v>0</v>
      </c>
      <c r="X52" s="133">
        <f ca="1">_xll.DBRW($G$15,$H$21,$H$22,X$29,X$28,$H$24,$H$25,$G52,X$30)</f>
        <v>0</v>
      </c>
      <c r="Y52" s="129">
        <f ca="1">_xll.DBRW($G$15,$H$21,$H$22,X$29,X$28,$H$24,$H$25,$G52,Y$30)</f>
        <v>0</v>
      </c>
      <c r="Z52" s="129">
        <f ca="1">_xll.DBRW($G$15,$H$21,$H$22,X$29,X$28,$H$24,$H$25,$G52,Z$30)</f>
        <v>0</v>
      </c>
      <c r="AA52" s="129">
        <f ca="1">_xll.DBRW($G$15,$H$21,$H$22,AA$29,X$28,$H$24,$H$25,$G52,AA$30)</f>
        <v>0</v>
      </c>
      <c r="AB52" s="129">
        <f ca="1">_xll.DBRW($G$15,$H$21,$H$22,AA$29,X$28,$H$24,$H$25,$G52,AB$30)</f>
        <v>0</v>
      </c>
      <c r="AC52" s="130">
        <f ca="1">_xll.DBRW($G$15,$H$21,$H$22,AA$29,X$28,$H$24,$H$25,$G52,AC$30)</f>
        <v>0</v>
      </c>
      <c r="AD52" s="131">
        <f t="shared" ca="1" si="4"/>
        <v>0</v>
      </c>
      <c r="AE52" s="132">
        <f t="shared" ca="1" si="5"/>
        <v>0</v>
      </c>
      <c r="AF52" s="133">
        <f ca="1">_xll.DBRW($G$15,$H$21,$H$22,AF$29,AF$28,$H$24,$H$25,$G52,AF$30)</f>
        <v>0</v>
      </c>
      <c r="AG52" s="129">
        <f ca="1">_xll.DBRW($G$15,$H$21,$H$22,AF$29,AF$28,$H$24,$H$25,$G52,AG$30)</f>
        <v>0</v>
      </c>
      <c r="AH52" s="129">
        <f ca="1">_xll.DBRW($G$15,$H$21,$H$22,AF$29,AF$28,$H$24,$H$25,$G52,AH$30)</f>
        <v>0</v>
      </c>
      <c r="AI52" s="129">
        <f ca="1">_xll.DBRW($G$15,$H$21,$H$22,AI$29,AF$28,$H$24,$H$25,$G52,AI$30)</f>
        <v>0</v>
      </c>
      <c r="AJ52" s="129">
        <f ca="1">_xll.DBRW($G$15,$H$21,$H$22,AI$29,AF$28,$H$24,$H$25,$G52,AJ$30)</f>
        <v>0</v>
      </c>
      <c r="AK52" s="130">
        <f ca="1">_xll.DBRW($G$15,$H$21,$H$22,AI$29,AF$28,$H$24,$H$25,$G52,AK$30)</f>
        <v>0</v>
      </c>
      <c r="AL52" s="140">
        <f t="shared" ca="1" si="6"/>
        <v>0</v>
      </c>
      <c r="AM52" s="140">
        <f t="shared" ca="1" si="7"/>
        <v>0</v>
      </c>
    </row>
    <row r="53" spans="1:39">
      <c r="A53">
        <f ca="1">IF(_xll.TM1RPTELISCONSOLIDATED($G$31,$G53),IF(_xll.TM1RPTELLEV($G$31,$G53)&lt;=3,_xll.TM1RPTELLEV($G$31,$G53),"D"),"N")</f>
        <v>3</v>
      </c>
      <c r="G53" s="141" t="s">
        <v>211</v>
      </c>
      <c r="H53" s="129">
        <f ca="1">_xll.DBRW($G$15,$H$21,$H$22,H$29,H$28,$H$24,$H$25,$G53,H$30)</f>
        <v>0</v>
      </c>
      <c r="I53" s="129">
        <f ca="1">_xll.DBRW($G$15,$H$21,$H$22,H$29,H$28,$H$24,$H$25,$G53,I$30)</f>
        <v>0</v>
      </c>
      <c r="J53" s="129">
        <f ca="1">_xll.DBRW($G$15,$H$21,$H$22,H$29,H$28,$H$24,$H$25,$G53,J$30)</f>
        <v>0</v>
      </c>
      <c r="K53" s="129">
        <f ca="1">_xll.DBRW($G$15,$H$21,$H$22,K$29,H$28,$H$24,$H$25,$G53,K$30)</f>
        <v>0</v>
      </c>
      <c r="L53" s="129">
        <f ca="1">_xll.DBRW($G$15,$H$21,$H$22,K$29,H$28,$H$24,$H$25,$G53,L$30)</f>
        <v>0</v>
      </c>
      <c r="M53" s="130">
        <f ca="1">_xll.DBRW($G$15,$H$21,$H$22,K$29,H$28,$H$24,$H$25,$G53,M$30)</f>
        <v>0</v>
      </c>
      <c r="N53" s="131">
        <f t="shared" ca="1" si="0"/>
        <v>0</v>
      </c>
      <c r="O53" s="132">
        <f t="shared" ca="1" si="1"/>
        <v>0</v>
      </c>
      <c r="P53" s="133">
        <f ca="1">_xll.DBRW($G$15,$H$21,$H$22,P$29,P$28,$H$24,$H$25,$G53,P$30)</f>
        <v>0</v>
      </c>
      <c r="Q53" s="129">
        <f ca="1">_xll.DBRW($G$15,$H$21,$H$22,P$29,P$28,$H$24,$H$25,$G53,Q$30)</f>
        <v>0</v>
      </c>
      <c r="R53" s="129">
        <f ca="1">_xll.DBRW($G$15,$H$21,$H$22,P$29,P$28,$H$24,$H$25,$G53,R$30)</f>
        <v>0</v>
      </c>
      <c r="S53" s="129">
        <f ca="1">_xll.DBRW($G$15,$H$21,$H$22,S$29,P$28,$H$24,$H$25,$G53,S$30)</f>
        <v>0</v>
      </c>
      <c r="T53" s="129">
        <f ca="1">_xll.DBRW($G$15,$H$21,$H$22,S$29,P$28,$H$24,$H$25,$G53,T$30)</f>
        <v>0</v>
      </c>
      <c r="U53" s="130">
        <f ca="1">_xll.DBRW($G$15,$H$21,$H$22,S$29,P$28,$H$24,$H$25,$G53,U$30)</f>
        <v>0</v>
      </c>
      <c r="V53" s="131">
        <f t="shared" ca="1" si="2"/>
        <v>0</v>
      </c>
      <c r="W53" s="132">
        <f t="shared" ca="1" si="3"/>
        <v>0</v>
      </c>
      <c r="X53" s="133">
        <f ca="1">_xll.DBRW($G$15,$H$21,$H$22,X$29,X$28,$H$24,$H$25,$G53,X$30)</f>
        <v>0</v>
      </c>
      <c r="Y53" s="129">
        <f ca="1">_xll.DBRW($G$15,$H$21,$H$22,X$29,X$28,$H$24,$H$25,$G53,Y$30)</f>
        <v>0</v>
      </c>
      <c r="Z53" s="129">
        <f ca="1">_xll.DBRW($G$15,$H$21,$H$22,X$29,X$28,$H$24,$H$25,$G53,Z$30)</f>
        <v>0</v>
      </c>
      <c r="AA53" s="129">
        <f ca="1">_xll.DBRW($G$15,$H$21,$H$22,AA$29,X$28,$H$24,$H$25,$G53,AA$30)</f>
        <v>0</v>
      </c>
      <c r="AB53" s="129">
        <f ca="1">_xll.DBRW($G$15,$H$21,$H$22,AA$29,X$28,$H$24,$H$25,$G53,AB$30)</f>
        <v>0</v>
      </c>
      <c r="AC53" s="130">
        <f ca="1">_xll.DBRW($G$15,$H$21,$H$22,AA$29,X$28,$H$24,$H$25,$G53,AC$30)</f>
        <v>0</v>
      </c>
      <c r="AD53" s="131">
        <f t="shared" ca="1" si="4"/>
        <v>0</v>
      </c>
      <c r="AE53" s="132">
        <f t="shared" ca="1" si="5"/>
        <v>0</v>
      </c>
      <c r="AF53" s="133">
        <f ca="1">_xll.DBRW($G$15,$H$21,$H$22,AF$29,AF$28,$H$24,$H$25,$G53,AF$30)</f>
        <v>0</v>
      </c>
      <c r="AG53" s="129">
        <f ca="1">_xll.DBRW($G$15,$H$21,$H$22,AF$29,AF$28,$H$24,$H$25,$G53,AG$30)</f>
        <v>0</v>
      </c>
      <c r="AH53" s="129">
        <f ca="1">_xll.DBRW($G$15,$H$21,$H$22,AF$29,AF$28,$H$24,$H$25,$G53,AH$30)</f>
        <v>0</v>
      </c>
      <c r="AI53" s="129">
        <f ca="1">_xll.DBRW($G$15,$H$21,$H$22,AI$29,AF$28,$H$24,$H$25,$G53,AI$30)</f>
        <v>0</v>
      </c>
      <c r="AJ53" s="129">
        <f ca="1">_xll.DBRW($G$15,$H$21,$H$22,AI$29,AF$28,$H$24,$H$25,$G53,AJ$30)</f>
        <v>0</v>
      </c>
      <c r="AK53" s="130">
        <f ca="1">_xll.DBRW($G$15,$H$21,$H$22,AI$29,AF$28,$H$24,$H$25,$G53,AK$30)</f>
        <v>0</v>
      </c>
      <c r="AL53" s="140">
        <f t="shared" ca="1" si="6"/>
        <v>0</v>
      </c>
      <c r="AM53" s="140">
        <f t="shared" ca="1" si="7"/>
        <v>0</v>
      </c>
    </row>
    <row r="54" spans="1:39">
      <c r="A54">
        <f ca="1">IF(_xll.TM1RPTELISCONSOLIDATED($G$31,$G54),IF(_xll.TM1RPTELLEV($G$31,$G54)&lt;=3,_xll.TM1RPTELLEV($G$31,$G54),"D"),"N")</f>
        <v>3</v>
      </c>
      <c r="G54" s="141" t="s">
        <v>212</v>
      </c>
      <c r="H54" s="129">
        <f ca="1">_xll.DBRW($G$15,$H$21,$H$22,H$29,H$28,$H$24,$H$25,$G54,H$30)</f>
        <v>0</v>
      </c>
      <c r="I54" s="129">
        <f ca="1">_xll.DBRW($G$15,$H$21,$H$22,H$29,H$28,$H$24,$H$25,$G54,I$30)</f>
        <v>0</v>
      </c>
      <c r="J54" s="129">
        <f ca="1">_xll.DBRW($G$15,$H$21,$H$22,H$29,H$28,$H$24,$H$25,$G54,J$30)</f>
        <v>0</v>
      </c>
      <c r="K54" s="129">
        <f ca="1">_xll.DBRW($G$15,$H$21,$H$22,K$29,H$28,$H$24,$H$25,$G54,K$30)</f>
        <v>0</v>
      </c>
      <c r="L54" s="129">
        <f ca="1">_xll.DBRW($G$15,$H$21,$H$22,K$29,H$28,$H$24,$H$25,$G54,L$30)</f>
        <v>0</v>
      </c>
      <c r="M54" s="130">
        <f ca="1">_xll.DBRW($G$15,$H$21,$H$22,K$29,H$28,$H$24,$H$25,$G54,M$30)</f>
        <v>0</v>
      </c>
      <c r="N54" s="131">
        <f t="shared" ca="1" si="0"/>
        <v>0</v>
      </c>
      <c r="O54" s="132">
        <f t="shared" ca="1" si="1"/>
        <v>0</v>
      </c>
      <c r="P54" s="133">
        <f ca="1">_xll.DBRW($G$15,$H$21,$H$22,P$29,P$28,$H$24,$H$25,$G54,P$30)</f>
        <v>0</v>
      </c>
      <c r="Q54" s="129">
        <f ca="1">_xll.DBRW($G$15,$H$21,$H$22,P$29,P$28,$H$24,$H$25,$G54,Q$30)</f>
        <v>0</v>
      </c>
      <c r="R54" s="129">
        <f ca="1">_xll.DBRW($G$15,$H$21,$H$22,P$29,P$28,$H$24,$H$25,$G54,R$30)</f>
        <v>0</v>
      </c>
      <c r="S54" s="129">
        <f ca="1">_xll.DBRW($G$15,$H$21,$H$22,S$29,P$28,$H$24,$H$25,$G54,S$30)</f>
        <v>0</v>
      </c>
      <c r="T54" s="129">
        <f ca="1">_xll.DBRW($G$15,$H$21,$H$22,S$29,P$28,$H$24,$H$25,$G54,T$30)</f>
        <v>0</v>
      </c>
      <c r="U54" s="130">
        <f ca="1">_xll.DBRW($G$15,$H$21,$H$22,S$29,P$28,$H$24,$H$25,$G54,U$30)</f>
        <v>0</v>
      </c>
      <c r="V54" s="131">
        <f t="shared" ca="1" si="2"/>
        <v>0</v>
      </c>
      <c r="W54" s="132">
        <f t="shared" ca="1" si="3"/>
        <v>0</v>
      </c>
      <c r="X54" s="133">
        <f ca="1">_xll.DBRW($G$15,$H$21,$H$22,X$29,X$28,$H$24,$H$25,$G54,X$30)</f>
        <v>0</v>
      </c>
      <c r="Y54" s="129">
        <f ca="1">_xll.DBRW($G$15,$H$21,$H$22,X$29,X$28,$H$24,$H$25,$G54,Y$30)</f>
        <v>0</v>
      </c>
      <c r="Z54" s="129">
        <f ca="1">_xll.DBRW($G$15,$H$21,$H$22,X$29,X$28,$H$24,$H$25,$G54,Z$30)</f>
        <v>0</v>
      </c>
      <c r="AA54" s="129">
        <f ca="1">_xll.DBRW($G$15,$H$21,$H$22,AA$29,X$28,$H$24,$H$25,$G54,AA$30)</f>
        <v>0</v>
      </c>
      <c r="AB54" s="129">
        <f ca="1">_xll.DBRW($G$15,$H$21,$H$22,AA$29,X$28,$H$24,$H$25,$G54,AB$30)</f>
        <v>0</v>
      </c>
      <c r="AC54" s="130">
        <f ca="1">_xll.DBRW($G$15,$H$21,$H$22,AA$29,X$28,$H$24,$H$25,$G54,AC$30)</f>
        <v>0</v>
      </c>
      <c r="AD54" s="131">
        <f t="shared" ca="1" si="4"/>
        <v>0</v>
      </c>
      <c r="AE54" s="132">
        <f t="shared" ca="1" si="5"/>
        <v>0</v>
      </c>
      <c r="AF54" s="133">
        <f ca="1">_xll.DBRW($G$15,$H$21,$H$22,AF$29,AF$28,$H$24,$H$25,$G54,AF$30)</f>
        <v>0</v>
      </c>
      <c r="AG54" s="129">
        <f ca="1">_xll.DBRW($G$15,$H$21,$H$22,AF$29,AF$28,$H$24,$H$25,$G54,AG$30)</f>
        <v>0</v>
      </c>
      <c r="AH54" s="129">
        <f ca="1">_xll.DBRW($G$15,$H$21,$H$22,AF$29,AF$28,$H$24,$H$25,$G54,AH$30)</f>
        <v>0</v>
      </c>
      <c r="AI54" s="129">
        <f ca="1">_xll.DBRW($G$15,$H$21,$H$22,AI$29,AF$28,$H$24,$H$25,$G54,AI$30)</f>
        <v>0</v>
      </c>
      <c r="AJ54" s="129">
        <f ca="1">_xll.DBRW($G$15,$H$21,$H$22,AI$29,AF$28,$H$24,$H$25,$G54,AJ$30)</f>
        <v>0</v>
      </c>
      <c r="AK54" s="130">
        <f ca="1">_xll.DBRW($G$15,$H$21,$H$22,AI$29,AF$28,$H$24,$H$25,$G54,AK$30)</f>
        <v>0</v>
      </c>
      <c r="AL54" s="140">
        <f t="shared" ca="1" si="6"/>
        <v>0</v>
      </c>
      <c r="AM54" s="140">
        <f t="shared" ca="1" si="7"/>
        <v>0</v>
      </c>
    </row>
    <row r="55" spans="1:39">
      <c r="A55">
        <f ca="1">IF(_xll.TM1RPTELISCONSOLIDATED($G$31,$G55),IF(_xll.TM1RPTELLEV($G$31,$G55)&lt;=3,_xll.TM1RPTELLEV($G$31,$G55),"D"),"N")</f>
        <v>3</v>
      </c>
      <c r="G55" s="141" t="s">
        <v>213</v>
      </c>
      <c r="H55" s="129">
        <f ca="1">_xll.DBRW($G$15,$H$21,$H$22,H$29,H$28,$H$24,$H$25,$G55,H$30)</f>
        <v>0</v>
      </c>
      <c r="I55" s="129">
        <f ca="1">_xll.DBRW($G$15,$H$21,$H$22,H$29,H$28,$H$24,$H$25,$G55,I$30)</f>
        <v>0</v>
      </c>
      <c r="J55" s="129">
        <f ca="1">_xll.DBRW($G$15,$H$21,$H$22,H$29,H$28,$H$24,$H$25,$G55,J$30)</f>
        <v>0</v>
      </c>
      <c r="K55" s="129">
        <f ca="1">_xll.DBRW($G$15,$H$21,$H$22,K$29,H$28,$H$24,$H$25,$G55,K$30)</f>
        <v>0</v>
      </c>
      <c r="L55" s="129">
        <f ca="1">_xll.DBRW($G$15,$H$21,$H$22,K$29,H$28,$H$24,$H$25,$G55,L$30)</f>
        <v>0</v>
      </c>
      <c r="M55" s="130">
        <f ca="1">_xll.DBRW($G$15,$H$21,$H$22,K$29,H$28,$H$24,$H$25,$G55,M$30)</f>
        <v>0</v>
      </c>
      <c r="N55" s="131">
        <f t="shared" ca="1" si="0"/>
        <v>0</v>
      </c>
      <c r="O55" s="132">
        <f t="shared" ca="1" si="1"/>
        <v>0</v>
      </c>
      <c r="P55" s="133">
        <f ca="1">_xll.DBRW($G$15,$H$21,$H$22,P$29,P$28,$H$24,$H$25,$G55,P$30)</f>
        <v>0</v>
      </c>
      <c r="Q55" s="129">
        <f ca="1">_xll.DBRW($G$15,$H$21,$H$22,P$29,P$28,$H$24,$H$25,$G55,Q$30)</f>
        <v>0</v>
      </c>
      <c r="R55" s="129">
        <f ca="1">_xll.DBRW($G$15,$H$21,$H$22,P$29,P$28,$H$24,$H$25,$G55,R$30)</f>
        <v>0</v>
      </c>
      <c r="S55" s="129">
        <f ca="1">_xll.DBRW($G$15,$H$21,$H$22,S$29,P$28,$H$24,$H$25,$G55,S$30)</f>
        <v>0</v>
      </c>
      <c r="T55" s="129">
        <f ca="1">_xll.DBRW($G$15,$H$21,$H$22,S$29,P$28,$H$24,$H$25,$G55,T$30)</f>
        <v>0</v>
      </c>
      <c r="U55" s="130">
        <f ca="1">_xll.DBRW($G$15,$H$21,$H$22,S$29,P$28,$H$24,$H$25,$G55,U$30)</f>
        <v>0</v>
      </c>
      <c r="V55" s="131">
        <f t="shared" ca="1" si="2"/>
        <v>0</v>
      </c>
      <c r="W55" s="132">
        <f t="shared" ca="1" si="3"/>
        <v>0</v>
      </c>
      <c r="X55" s="133">
        <f ca="1">_xll.DBRW($G$15,$H$21,$H$22,X$29,X$28,$H$24,$H$25,$G55,X$30)</f>
        <v>0</v>
      </c>
      <c r="Y55" s="129">
        <f ca="1">_xll.DBRW($G$15,$H$21,$H$22,X$29,X$28,$H$24,$H$25,$G55,Y$30)</f>
        <v>0</v>
      </c>
      <c r="Z55" s="129">
        <f ca="1">_xll.DBRW($G$15,$H$21,$H$22,X$29,X$28,$H$24,$H$25,$G55,Z$30)</f>
        <v>0</v>
      </c>
      <c r="AA55" s="129">
        <f ca="1">_xll.DBRW($G$15,$H$21,$H$22,AA$29,X$28,$H$24,$H$25,$G55,AA$30)</f>
        <v>0</v>
      </c>
      <c r="AB55" s="129">
        <f ca="1">_xll.DBRW($G$15,$H$21,$H$22,AA$29,X$28,$H$24,$H$25,$G55,AB$30)</f>
        <v>0</v>
      </c>
      <c r="AC55" s="130">
        <f ca="1">_xll.DBRW($G$15,$H$21,$H$22,AA$29,X$28,$H$24,$H$25,$G55,AC$30)</f>
        <v>0</v>
      </c>
      <c r="AD55" s="131">
        <f t="shared" ca="1" si="4"/>
        <v>0</v>
      </c>
      <c r="AE55" s="132">
        <f t="shared" ca="1" si="5"/>
        <v>0</v>
      </c>
      <c r="AF55" s="133">
        <f ca="1">_xll.DBRW($G$15,$H$21,$H$22,AF$29,AF$28,$H$24,$H$25,$G55,AF$30)</f>
        <v>0</v>
      </c>
      <c r="AG55" s="129">
        <f ca="1">_xll.DBRW($G$15,$H$21,$H$22,AF$29,AF$28,$H$24,$H$25,$G55,AG$30)</f>
        <v>0</v>
      </c>
      <c r="AH55" s="129">
        <f ca="1">_xll.DBRW($G$15,$H$21,$H$22,AF$29,AF$28,$H$24,$H$25,$G55,AH$30)</f>
        <v>0</v>
      </c>
      <c r="AI55" s="129">
        <f ca="1">_xll.DBRW($G$15,$H$21,$H$22,AI$29,AF$28,$H$24,$H$25,$G55,AI$30)</f>
        <v>0</v>
      </c>
      <c r="AJ55" s="129">
        <f ca="1">_xll.DBRW($G$15,$H$21,$H$22,AI$29,AF$28,$H$24,$H$25,$G55,AJ$30)</f>
        <v>0</v>
      </c>
      <c r="AK55" s="130">
        <f ca="1">_xll.DBRW($G$15,$H$21,$H$22,AI$29,AF$28,$H$24,$H$25,$G55,AK$30)</f>
        <v>0</v>
      </c>
      <c r="AL55" s="140">
        <f t="shared" ca="1" si="6"/>
        <v>0</v>
      </c>
      <c r="AM55" s="140">
        <f t="shared" ca="1" si="7"/>
        <v>0</v>
      </c>
    </row>
    <row r="56" spans="1:39">
      <c r="A56">
        <f ca="1">IF(_xll.TM1RPTELISCONSOLIDATED($G$31,$G56),IF(_xll.TM1RPTELLEV($G$31,$G56)&lt;=3,_xll.TM1RPTELLEV($G$31,$G56),"D"),"N")</f>
        <v>2</v>
      </c>
      <c r="G56" s="79" t="s">
        <v>214</v>
      </c>
      <c r="H56" s="52">
        <f ca="1">_xll.DBRW($G$15,$H$21,$H$22,H$29,H$28,$H$24,$H$25,$G56,H$30)</f>
        <v>0</v>
      </c>
      <c r="I56" s="52">
        <f ca="1">_xll.DBRW($G$15,$H$21,$H$22,H$29,H$28,$H$24,$H$25,$G56,I$30)</f>
        <v>0</v>
      </c>
      <c r="J56" s="52">
        <f ca="1">_xll.DBRW($G$15,$H$21,$H$22,H$29,H$28,$H$24,$H$25,$G56,J$30)</f>
        <v>0</v>
      </c>
      <c r="K56" s="52">
        <f ca="1">_xll.DBRW($G$15,$H$21,$H$22,K$29,H$28,$H$24,$H$25,$G56,K$30)</f>
        <v>0</v>
      </c>
      <c r="L56" s="52">
        <f ca="1">_xll.DBRW($G$15,$H$21,$H$22,K$29,H$28,$H$24,$H$25,$G56,L$30)</f>
        <v>0</v>
      </c>
      <c r="M56" s="53">
        <f ca="1">_xll.DBRW($G$15,$H$21,$H$22,K$29,H$28,$H$24,$H$25,$G56,M$30)</f>
        <v>0</v>
      </c>
      <c r="N56" s="127">
        <f t="shared" ca="1" si="0"/>
        <v>0</v>
      </c>
      <c r="O56" s="128">
        <f t="shared" ca="1" si="1"/>
        <v>0</v>
      </c>
      <c r="P56" s="55">
        <f ca="1">_xll.DBRW($G$15,$H$21,$H$22,P$29,P$28,$H$24,$H$25,$G56,P$30)</f>
        <v>0</v>
      </c>
      <c r="Q56" s="52">
        <f ca="1">_xll.DBRW($G$15,$H$21,$H$22,P$29,P$28,$H$24,$H$25,$G56,Q$30)</f>
        <v>0</v>
      </c>
      <c r="R56" s="52">
        <f ca="1">_xll.DBRW($G$15,$H$21,$H$22,P$29,P$28,$H$24,$H$25,$G56,R$30)</f>
        <v>0</v>
      </c>
      <c r="S56" s="52">
        <f ca="1">_xll.DBRW($G$15,$H$21,$H$22,S$29,P$28,$H$24,$H$25,$G56,S$30)</f>
        <v>0</v>
      </c>
      <c r="T56" s="52">
        <f ca="1">_xll.DBRW($G$15,$H$21,$H$22,S$29,P$28,$H$24,$H$25,$G56,T$30)</f>
        <v>0</v>
      </c>
      <c r="U56" s="53">
        <f ca="1">_xll.DBRW($G$15,$H$21,$H$22,S$29,P$28,$H$24,$H$25,$G56,U$30)</f>
        <v>0</v>
      </c>
      <c r="V56" s="127">
        <f t="shared" ca="1" si="2"/>
        <v>0</v>
      </c>
      <c r="W56" s="128">
        <f t="shared" ca="1" si="3"/>
        <v>0</v>
      </c>
      <c r="X56" s="55">
        <f ca="1">_xll.DBRW($G$15,$H$21,$H$22,X$29,X$28,$H$24,$H$25,$G56,X$30)</f>
        <v>0</v>
      </c>
      <c r="Y56" s="52">
        <f ca="1">_xll.DBRW($G$15,$H$21,$H$22,X$29,X$28,$H$24,$H$25,$G56,Y$30)</f>
        <v>0</v>
      </c>
      <c r="Z56" s="52">
        <f ca="1">_xll.DBRW($G$15,$H$21,$H$22,X$29,X$28,$H$24,$H$25,$G56,Z$30)</f>
        <v>0</v>
      </c>
      <c r="AA56" s="52">
        <f ca="1">_xll.DBRW($G$15,$H$21,$H$22,AA$29,X$28,$H$24,$H$25,$G56,AA$30)</f>
        <v>0</v>
      </c>
      <c r="AB56" s="52">
        <f ca="1">_xll.DBRW($G$15,$H$21,$H$22,AA$29,X$28,$H$24,$H$25,$G56,AB$30)</f>
        <v>0</v>
      </c>
      <c r="AC56" s="53">
        <f ca="1">_xll.DBRW($G$15,$H$21,$H$22,AA$29,X$28,$H$24,$H$25,$G56,AC$30)</f>
        <v>0</v>
      </c>
      <c r="AD56" s="127">
        <f t="shared" ca="1" si="4"/>
        <v>0</v>
      </c>
      <c r="AE56" s="128">
        <f t="shared" ca="1" si="5"/>
        <v>0</v>
      </c>
      <c r="AF56" s="55">
        <f ca="1">_xll.DBRW($G$15,$H$21,$H$22,AF$29,AF$28,$H$24,$H$25,$G56,AF$30)</f>
        <v>0</v>
      </c>
      <c r="AG56" s="52">
        <f ca="1">_xll.DBRW($G$15,$H$21,$H$22,AF$29,AF$28,$H$24,$H$25,$G56,AG$30)</f>
        <v>0</v>
      </c>
      <c r="AH56" s="52">
        <f ca="1">_xll.DBRW($G$15,$H$21,$H$22,AF$29,AF$28,$H$24,$H$25,$G56,AH$30)</f>
        <v>0</v>
      </c>
      <c r="AI56" s="52">
        <f ca="1">_xll.DBRW($G$15,$H$21,$H$22,AI$29,AF$28,$H$24,$H$25,$G56,AI$30)</f>
        <v>0</v>
      </c>
      <c r="AJ56" s="52">
        <f ca="1">_xll.DBRW($G$15,$H$21,$H$22,AI$29,AF$28,$H$24,$H$25,$G56,AJ$30)</f>
        <v>0</v>
      </c>
      <c r="AK56" s="53">
        <f ca="1">_xll.DBRW($G$15,$H$21,$H$22,AI$29,AF$28,$H$24,$H$25,$G56,AK$30)</f>
        <v>0</v>
      </c>
      <c r="AL56" s="140">
        <f t="shared" ca="1" si="6"/>
        <v>0</v>
      </c>
      <c r="AM56" s="140">
        <f t="shared" ca="1" si="7"/>
        <v>0</v>
      </c>
    </row>
    <row r="57" spans="1:39">
      <c r="A57">
        <f ca="1">IF(_xll.TM1RPTELISCONSOLIDATED($G$31,$G57),IF(_xll.TM1RPTELLEV($G$31,$G57)&lt;=3,_xll.TM1RPTELLEV($G$31,$G57),"D"),"N")</f>
        <v>2</v>
      </c>
      <c r="G57" s="79" t="s">
        <v>215</v>
      </c>
      <c r="H57" s="52">
        <f ca="1">_xll.DBRW($G$15,$H$21,$H$22,H$29,H$28,$H$24,$H$25,$G57,H$30)</f>
        <v>0</v>
      </c>
      <c r="I57" s="52">
        <f ca="1">_xll.DBRW($G$15,$H$21,$H$22,H$29,H$28,$H$24,$H$25,$G57,I$30)</f>
        <v>0</v>
      </c>
      <c r="J57" s="52">
        <f ca="1">_xll.DBRW($G$15,$H$21,$H$22,H$29,H$28,$H$24,$H$25,$G57,J$30)</f>
        <v>0</v>
      </c>
      <c r="K57" s="52">
        <f ca="1">_xll.DBRW($G$15,$H$21,$H$22,K$29,H$28,$H$24,$H$25,$G57,K$30)</f>
        <v>0</v>
      </c>
      <c r="L57" s="52">
        <f ca="1">_xll.DBRW($G$15,$H$21,$H$22,K$29,H$28,$H$24,$H$25,$G57,L$30)</f>
        <v>0</v>
      </c>
      <c r="M57" s="53">
        <f ca="1">_xll.DBRW($G$15,$H$21,$H$22,K$29,H$28,$H$24,$H$25,$G57,M$30)</f>
        <v>0</v>
      </c>
      <c r="N57" s="127">
        <f t="shared" ca="1" si="0"/>
        <v>0</v>
      </c>
      <c r="O57" s="128">
        <f t="shared" ca="1" si="1"/>
        <v>0</v>
      </c>
      <c r="P57" s="55">
        <f ca="1">_xll.DBRW($G$15,$H$21,$H$22,P$29,P$28,$H$24,$H$25,$G57,P$30)</f>
        <v>0</v>
      </c>
      <c r="Q57" s="52">
        <f ca="1">_xll.DBRW($G$15,$H$21,$H$22,P$29,P$28,$H$24,$H$25,$G57,Q$30)</f>
        <v>0</v>
      </c>
      <c r="R57" s="52">
        <f ca="1">_xll.DBRW($G$15,$H$21,$H$22,P$29,P$28,$H$24,$H$25,$G57,R$30)</f>
        <v>0</v>
      </c>
      <c r="S57" s="52">
        <f ca="1">_xll.DBRW($G$15,$H$21,$H$22,S$29,P$28,$H$24,$H$25,$G57,S$30)</f>
        <v>0</v>
      </c>
      <c r="T57" s="52">
        <f ca="1">_xll.DBRW($G$15,$H$21,$H$22,S$29,P$28,$H$24,$H$25,$G57,T$30)</f>
        <v>0</v>
      </c>
      <c r="U57" s="53">
        <f ca="1">_xll.DBRW($G$15,$H$21,$H$22,S$29,P$28,$H$24,$H$25,$G57,U$30)</f>
        <v>0</v>
      </c>
      <c r="V57" s="127">
        <f t="shared" ca="1" si="2"/>
        <v>0</v>
      </c>
      <c r="W57" s="128">
        <f t="shared" ca="1" si="3"/>
        <v>0</v>
      </c>
      <c r="X57" s="55">
        <f ca="1">_xll.DBRW($G$15,$H$21,$H$22,X$29,X$28,$H$24,$H$25,$G57,X$30)</f>
        <v>0</v>
      </c>
      <c r="Y57" s="52">
        <f ca="1">_xll.DBRW($G$15,$H$21,$H$22,X$29,X$28,$H$24,$H$25,$G57,Y$30)</f>
        <v>0</v>
      </c>
      <c r="Z57" s="52">
        <f ca="1">_xll.DBRW($G$15,$H$21,$H$22,X$29,X$28,$H$24,$H$25,$G57,Z$30)</f>
        <v>0</v>
      </c>
      <c r="AA57" s="52">
        <f ca="1">_xll.DBRW($G$15,$H$21,$H$22,AA$29,X$28,$H$24,$H$25,$G57,AA$30)</f>
        <v>0</v>
      </c>
      <c r="AB57" s="52">
        <f ca="1">_xll.DBRW($G$15,$H$21,$H$22,AA$29,X$28,$H$24,$H$25,$G57,AB$30)</f>
        <v>0</v>
      </c>
      <c r="AC57" s="53">
        <f ca="1">_xll.DBRW($G$15,$H$21,$H$22,AA$29,X$28,$H$24,$H$25,$G57,AC$30)</f>
        <v>0</v>
      </c>
      <c r="AD57" s="127">
        <f t="shared" ca="1" si="4"/>
        <v>0</v>
      </c>
      <c r="AE57" s="128">
        <f t="shared" ca="1" si="5"/>
        <v>0</v>
      </c>
      <c r="AF57" s="55">
        <f ca="1">_xll.DBRW($G$15,$H$21,$H$22,AF$29,AF$28,$H$24,$H$25,$G57,AF$30)</f>
        <v>0</v>
      </c>
      <c r="AG57" s="52">
        <f ca="1">_xll.DBRW($G$15,$H$21,$H$22,AF$29,AF$28,$H$24,$H$25,$G57,AG$30)</f>
        <v>0</v>
      </c>
      <c r="AH57" s="52">
        <f ca="1">_xll.DBRW($G$15,$H$21,$H$22,AF$29,AF$28,$H$24,$H$25,$G57,AH$30)</f>
        <v>0</v>
      </c>
      <c r="AI57" s="52">
        <f ca="1">_xll.DBRW($G$15,$H$21,$H$22,AI$29,AF$28,$H$24,$H$25,$G57,AI$30)</f>
        <v>0</v>
      </c>
      <c r="AJ57" s="52">
        <f ca="1">_xll.DBRW($G$15,$H$21,$H$22,AI$29,AF$28,$H$24,$H$25,$G57,AJ$30)</f>
        <v>0</v>
      </c>
      <c r="AK57" s="53">
        <f ca="1">_xll.DBRW($G$15,$H$21,$H$22,AI$29,AF$28,$H$24,$H$25,$G57,AK$30)</f>
        <v>0</v>
      </c>
      <c r="AL57" s="140">
        <f t="shared" ca="1" si="6"/>
        <v>0</v>
      </c>
      <c r="AM57" s="140">
        <f t="shared" ca="1" si="7"/>
        <v>0</v>
      </c>
    </row>
    <row r="58" spans="1:39">
      <c r="A58">
        <f ca="1">IF(_xll.TM1RPTELISCONSOLIDATED($G$31,$G58),IF(_xll.TM1RPTELLEV($G$31,$G58)&lt;=3,_xll.TM1RPTELLEV($G$31,$G58),"D"),"N")</f>
        <v>2</v>
      </c>
      <c r="G58" s="80" t="s">
        <v>216</v>
      </c>
      <c r="H58" s="52">
        <f ca="1">_xll.DBRW($G$15,$H$21,$H$22,H$29,H$28,$H$24,$H$25,$G58,H$30)</f>
        <v>0</v>
      </c>
      <c r="I58" s="52">
        <f ca="1">_xll.DBRW($G$15,$H$21,$H$22,H$29,H$28,$H$24,$H$25,$G58,I$30)</f>
        <v>0</v>
      </c>
      <c r="J58" s="52">
        <f ca="1">_xll.DBRW($G$15,$H$21,$H$22,H$29,H$28,$H$24,$H$25,$G58,J$30)</f>
        <v>0</v>
      </c>
      <c r="K58" s="52">
        <f ca="1">_xll.DBRW($G$15,$H$21,$H$22,K$29,H$28,$H$24,$H$25,$G58,K$30)</f>
        <v>0</v>
      </c>
      <c r="L58" s="52">
        <f ca="1">_xll.DBRW($G$15,$H$21,$H$22,K$29,H$28,$H$24,$H$25,$G58,L$30)</f>
        <v>0</v>
      </c>
      <c r="M58" s="53">
        <f ca="1">_xll.DBRW($G$15,$H$21,$H$22,K$29,H$28,$H$24,$H$25,$G58,M$30)</f>
        <v>0</v>
      </c>
      <c r="N58" s="127">
        <f t="shared" ca="1" si="0"/>
        <v>0</v>
      </c>
      <c r="O58" s="128">
        <f t="shared" ca="1" si="1"/>
        <v>0</v>
      </c>
      <c r="P58" s="55">
        <f ca="1">_xll.DBRW($G$15,$H$21,$H$22,P$29,P$28,$H$24,$H$25,$G58,P$30)</f>
        <v>0</v>
      </c>
      <c r="Q58" s="52">
        <f ca="1">_xll.DBRW($G$15,$H$21,$H$22,P$29,P$28,$H$24,$H$25,$G58,Q$30)</f>
        <v>0</v>
      </c>
      <c r="R58" s="52">
        <f ca="1">_xll.DBRW($G$15,$H$21,$H$22,P$29,P$28,$H$24,$H$25,$G58,R$30)</f>
        <v>0</v>
      </c>
      <c r="S58" s="52">
        <f ca="1">_xll.DBRW($G$15,$H$21,$H$22,S$29,P$28,$H$24,$H$25,$G58,S$30)</f>
        <v>0</v>
      </c>
      <c r="T58" s="52">
        <f ca="1">_xll.DBRW($G$15,$H$21,$H$22,S$29,P$28,$H$24,$H$25,$G58,T$30)</f>
        <v>0</v>
      </c>
      <c r="U58" s="53">
        <f ca="1">_xll.DBRW($G$15,$H$21,$H$22,S$29,P$28,$H$24,$H$25,$G58,U$30)</f>
        <v>0</v>
      </c>
      <c r="V58" s="127">
        <f t="shared" ca="1" si="2"/>
        <v>0</v>
      </c>
      <c r="W58" s="128">
        <f t="shared" ca="1" si="3"/>
        <v>0</v>
      </c>
      <c r="X58" s="55">
        <f ca="1">_xll.DBRW($G$15,$H$21,$H$22,X$29,X$28,$H$24,$H$25,$G58,X$30)</f>
        <v>0</v>
      </c>
      <c r="Y58" s="52">
        <f ca="1">_xll.DBRW($G$15,$H$21,$H$22,X$29,X$28,$H$24,$H$25,$G58,Y$30)</f>
        <v>0</v>
      </c>
      <c r="Z58" s="52">
        <f ca="1">_xll.DBRW($G$15,$H$21,$H$22,X$29,X$28,$H$24,$H$25,$G58,Z$30)</f>
        <v>0</v>
      </c>
      <c r="AA58" s="52">
        <f ca="1">_xll.DBRW($G$15,$H$21,$H$22,AA$29,X$28,$H$24,$H$25,$G58,AA$30)</f>
        <v>0</v>
      </c>
      <c r="AB58" s="52">
        <f ca="1">_xll.DBRW($G$15,$H$21,$H$22,AA$29,X$28,$H$24,$H$25,$G58,AB$30)</f>
        <v>0</v>
      </c>
      <c r="AC58" s="53">
        <f ca="1">_xll.DBRW($G$15,$H$21,$H$22,AA$29,X$28,$H$24,$H$25,$G58,AC$30)</f>
        <v>0</v>
      </c>
      <c r="AD58" s="127">
        <f t="shared" ca="1" si="4"/>
        <v>0</v>
      </c>
      <c r="AE58" s="128">
        <f t="shared" ca="1" si="5"/>
        <v>0</v>
      </c>
      <c r="AF58" s="55">
        <f ca="1">_xll.DBRW($G$15,$H$21,$H$22,AF$29,AF$28,$H$24,$H$25,$G58,AF$30)</f>
        <v>0</v>
      </c>
      <c r="AG58" s="52">
        <f ca="1">_xll.DBRW($G$15,$H$21,$H$22,AF$29,AF$28,$H$24,$H$25,$G58,AG$30)</f>
        <v>0</v>
      </c>
      <c r="AH58" s="52">
        <f ca="1">_xll.DBRW($G$15,$H$21,$H$22,AF$29,AF$28,$H$24,$H$25,$G58,AH$30)</f>
        <v>0</v>
      </c>
      <c r="AI58" s="52">
        <f ca="1">_xll.DBRW($G$15,$H$21,$H$22,AI$29,AF$28,$H$24,$H$25,$G58,AI$30)</f>
        <v>0</v>
      </c>
      <c r="AJ58" s="52">
        <f ca="1">_xll.DBRW($G$15,$H$21,$H$22,AI$29,AF$28,$H$24,$H$25,$G58,AJ$30)</f>
        <v>0</v>
      </c>
      <c r="AK58" s="53">
        <f ca="1">_xll.DBRW($G$15,$H$21,$H$22,AI$29,AF$28,$H$24,$H$25,$G58,AK$30)</f>
        <v>0</v>
      </c>
      <c r="AL58" s="140">
        <f t="shared" ca="1" si="6"/>
        <v>0</v>
      </c>
      <c r="AM58" s="140">
        <f t="shared" ca="1" si="7"/>
        <v>0</v>
      </c>
    </row>
    <row r="59" spans="1:39">
      <c r="A59">
        <f ca="1">IF(_xll.TM1RPTELISCONSOLIDATED($G$31,$G59),IF(_xll.TM1RPTELLEV($G$31,$G59)&lt;=3,_xll.TM1RPTELLEV($G$31,$G59),"D"),"N")</f>
        <v>3</v>
      </c>
      <c r="G59" s="141" t="s">
        <v>217</v>
      </c>
      <c r="H59" s="129">
        <f ca="1">_xll.DBRW($G$15,$H$21,$H$22,H$29,H$28,$H$24,$H$25,$G59,H$30)</f>
        <v>0</v>
      </c>
      <c r="I59" s="129">
        <f ca="1">_xll.DBRW($G$15,$H$21,$H$22,H$29,H$28,$H$24,$H$25,$G59,I$30)</f>
        <v>0</v>
      </c>
      <c r="J59" s="129">
        <f ca="1">_xll.DBRW($G$15,$H$21,$H$22,H$29,H$28,$H$24,$H$25,$G59,J$30)</f>
        <v>0</v>
      </c>
      <c r="K59" s="129">
        <f ca="1">_xll.DBRW($G$15,$H$21,$H$22,K$29,H$28,$H$24,$H$25,$G59,K$30)</f>
        <v>0</v>
      </c>
      <c r="L59" s="129">
        <f ca="1">_xll.DBRW($G$15,$H$21,$H$22,K$29,H$28,$H$24,$H$25,$G59,L$30)</f>
        <v>0</v>
      </c>
      <c r="M59" s="130">
        <f ca="1">_xll.DBRW($G$15,$H$21,$H$22,K$29,H$28,$H$24,$H$25,$G59,M$30)</f>
        <v>0</v>
      </c>
      <c r="N59" s="131">
        <f t="shared" ca="1" si="0"/>
        <v>0</v>
      </c>
      <c r="O59" s="132">
        <f t="shared" ca="1" si="1"/>
        <v>0</v>
      </c>
      <c r="P59" s="133">
        <f ca="1">_xll.DBRW($G$15,$H$21,$H$22,P$29,P$28,$H$24,$H$25,$G59,P$30)</f>
        <v>0</v>
      </c>
      <c r="Q59" s="129">
        <f ca="1">_xll.DBRW($G$15,$H$21,$H$22,P$29,P$28,$H$24,$H$25,$G59,Q$30)</f>
        <v>0</v>
      </c>
      <c r="R59" s="129">
        <f ca="1">_xll.DBRW($G$15,$H$21,$H$22,P$29,P$28,$H$24,$H$25,$G59,R$30)</f>
        <v>0</v>
      </c>
      <c r="S59" s="129">
        <f ca="1">_xll.DBRW($G$15,$H$21,$H$22,S$29,P$28,$H$24,$H$25,$G59,S$30)</f>
        <v>0</v>
      </c>
      <c r="T59" s="129">
        <f ca="1">_xll.DBRW($G$15,$H$21,$H$22,S$29,P$28,$H$24,$H$25,$G59,T$30)</f>
        <v>0</v>
      </c>
      <c r="U59" s="130">
        <f ca="1">_xll.DBRW($G$15,$H$21,$H$22,S$29,P$28,$H$24,$H$25,$G59,U$30)</f>
        <v>0</v>
      </c>
      <c r="V59" s="131">
        <f t="shared" ca="1" si="2"/>
        <v>0</v>
      </c>
      <c r="W59" s="132">
        <f t="shared" ca="1" si="3"/>
        <v>0</v>
      </c>
      <c r="X59" s="133">
        <f ca="1">_xll.DBRW($G$15,$H$21,$H$22,X$29,X$28,$H$24,$H$25,$G59,X$30)</f>
        <v>0</v>
      </c>
      <c r="Y59" s="129">
        <f ca="1">_xll.DBRW($G$15,$H$21,$H$22,X$29,X$28,$H$24,$H$25,$G59,Y$30)</f>
        <v>0</v>
      </c>
      <c r="Z59" s="129">
        <f ca="1">_xll.DBRW($G$15,$H$21,$H$22,X$29,X$28,$H$24,$H$25,$G59,Z$30)</f>
        <v>0</v>
      </c>
      <c r="AA59" s="129">
        <f ca="1">_xll.DBRW($G$15,$H$21,$H$22,AA$29,X$28,$H$24,$H$25,$G59,AA$30)</f>
        <v>0</v>
      </c>
      <c r="AB59" s="129">
        <f ca="1">_xll.DBRW($G$15,$H$21,$H$22,AA$29,X$28,$H$24,$H$25,$G59,AB$30)</f>
        <v>0</v>
      </c>
      <c r="AC59" s="130">
        <f ca="1">_xll.DBRW($G$15,$H$21,$H$22,AA$29,X$28,$H$24,$H$25,$G59,AC$30)</f>
        <v>0</v>
      </c>
      <c r="AD59" s="131">
        <f t="shared" ca="1" si="4"/>
        <v>0</v>
      </c>
      <c r="AE59" s="132">
        <f t="shared" ca="1" si="5"/>
        <v>0</v>
      </c>
      <c r="AF59" s="133">
        <f ca="1">_xll.DBRW($G$15,$H$21,$H$22,AF$29,AF$28,$H$24,$H$25,$G59,AF$30)</f>
        <v>0</v>
      </c>
      <c r="AG59" s="129">
        <f ca="1">_xll.DBRW($G$15,$H$21,$H$22,AF$29,AF$28,$H$24,$H$25,$G59,AG$30)</f>
        <v>0</v>
      </c>
      <c r="AH59" s="129">
        <f ca="1">_xll.DBRW($G$15,$H$21,$H$22,AF$29,AF$28,$H$24,$H$25,$G59,AH$30)</f>
        <v>0</v>
      </c>
      <c r="AI59" s="129">
        <f ca="1">_xll.DBRW($G$15,$H$21,$H$22,AI$29,AF$28,$H$24,$H$25,$G59,AI$30)</f>
        <v>0</v>
      </c>
      <c r="AJ59" s="129">
        <f ca="1">_xll.DBRW($G$15,$H$21,$H$22,AI$29,AF$28,$H$24,$H$25,$G59,AJ$30)</f>
        <v>0</v>
      </c>
      <c r="AK59" s="130">
        <f ca="1">_xll.DBRW($G$15,$H$21,$H$22,AI$29,AF$28,$H$24,$H$25,$G59,AK$30)</f>
        <v>0</v>
      </c>
      <c r="AL59" s="140">
        <f t="shared" ca="1" si="6"/>
        <v>0</v>
      </c>
      <c r="AM59" s="140">
        <f t="shared" ca="1" si="7"/>
        <v>0</v>
      </c>
    </row>
    <row r="60" spans="1:39">
      <c r="A60">
        <f ca="1">IF(_xll.TM1RPTELISCONSOLIDATED($G$31,$G60),IF(_xll.TM1RPTELLEV($G$31,$G60)&lt;=3,_xll.TM1RPTELLEV($G$31,$G60),"D"),"N")</f>
        <v>3</v>
      </c>
      <c r="G60" s="141" t="s">
        <v>218</v>
      </c>
      <c r="H60" s="129">
        <f ca="1">_xll.DBRW($G$15,$H$21,$H$22,H$29,H$28,$H$24,$H$25,$G60,H$30)</f>
        <v>0</v>
      </c>
      <c r="I60" s="129">
        <f ca="1">_xll.DBRW($G$15,$H$21,$H$22,H$29,H$28,$H$24,$H$25,$G60,I$30)</f>
        <v>0</v>
      </c>
      <c r="J60" s="129">
        <f ca="1">_xll.DBRW($G$15,$H$21,$H$22,H$29,H$28,$H$24,$H$25,$G60,J$30)</f>
        <v>0</v>
      </c>
      <c r="K60" s="129">
        <f ca="1">_xll.DBRW($G$15,$H$21,$H$22,K$29,H$28,$H$24,$H$25,$G60,K$30)</f>
        <v>0</v>
      </c>
      <c r="L60" s="129">
        <f ca="1">_xll.DBRW($G$15,$H$21,$H$22,K$29,H$28,$H$24,$H$25,$G60,L$30)</f>
        <v>0</v>
      </c>
      <c r="M60" s="130">
        <f ca="1">_xll.DBRW($G$15,$H$21,$H$22,K$29,H$28,$H$24,$H$25,$G60,M$30)</f>
        <v>0</v>
      </c>
      <c r="N60" s="131">
        <f t="shared" ca="1" si="0"/>
        <v>0</v>
      </c>
      <c r="O60" s="132">
        <f t="shared" ca="1" si="1"/>
        <v>0</v>
      </c>
      <c r="P60" s="133">
        <f ca="1">_xll.DBRW($G$15,$H$21,$H$22,P$29,P$28,$H$24,$H$25,$G60,P$30)</f>
        <v>0</v>
      </c>
      <c r="Q60" s="129">
        <f ca="1">_xll.DBRW($G$15,$H$21,$H$22,P$29,P$28,$H$24,$H$25,$G60,Q$30)</f>
        <v>0</v>
      </c>
      <c r="R60" s="129">
        <f ca="1">_xll.DBRW($G$15,$H$21,$H$22,P$29,P$28,$H$24,$H$25,$G60,R$30)</f>
        <v>0</v>
      </c>
      <c r="S60" s="129">
        <f ca="1">_xll.DBRW($G$15,$H$21,$H$22,S$29,P$28,$H$24,$H$25,$G60,S$30)</f>
        <v>0</v>
      </c>
      <c r="T60" s="129">
        <f ca="1">_xll.DBRW($G$15,$H$21,$H$22,S$29,P$28,$H$24,$H$25,$G60,T$30)</f>
        <v>0</v>
      </c>
      <c r="U60" s="130">
        <f ca="1">_xll.DBRW($G$15,$H$21,$H$22,S$29,P$28,$H$24,$H$25,$G60,U$30)</f>
        <v>0</v>
      </c>
      <c r="V60" s="131">
        <f t="shared" ca="1" si="2"/>
        <v>0</v>
      </c>
      <c r="W60" s="132">
        <f t="shared" ca="1" si="3"/>
        <v>0</v>
      </c>
      <c r="X60" s="133">
        <f ca="1">_xll.DBRW($G$15,$H$21,$H$22,X$29,X$28,$H$24,$H$25,$G60,X$30)</f>
        <v>0</v>
      </c>
      <c r="Y60" s="129">
        <f ca="1">_xll.DBRW($G$15,$H$21,$H$22,X$29,X$28,$H$24,$H$25,$G60,Y$30)</f>
        <v>0</v>
      </c>
      <c r="Z60" s="129">
        <f ca="1">_xll.DBRW($G$15,$H$21,$H$22,X$29,X$28,$H$24,$H$25,$G60,Z$30)</f>
        <v>0</v>
      </c>
      <c r="AA60" s="129">
        <f ca="1">_xll.DBRW($G$15,$H$21,$H$22,AA$29,X$28,$H$24,$H$25,$G60,AA$30)</f>
        <v>0</v>
      </c>
      <c r="AB60" s="129">
        <f ca="1">_xll.DBRW($G$15,$H$21,$H$22,AA$29,X$28,$H$24,$H$25,$G60,AB$30)</f>
        <v>0</v>
      </c>
      <c r="AC60" s="130">
        <f ca="1">_xll.DBRW($G$15,$H$21,$H$22,AA$29,X$28,$H$24,$H$25,$G60,AC$30)</f>
        <v>0</v>
      </c>
      <c r="AD60" s="131">
        <f t="shared" ca="1" si="4"/>
        <v>0</v>
      </c>
      <c r="AE60" s="132">
        <f t="shared" ca="1" si="5"/>
        <v>0</v>
      </c>
      <c r="AF60" s="133">
        <f ca="1">_xll.DBRW($G$15,$H$21,$H$22,AF$29,AF$28,$H$24,$H$25,$G60,AF$30)</f>
        <v>0</v>
      </c>
      <c r="AG60" s="129">
        <f ca="1">_xll.DBRW($G$15,$H$21,$H$22,AF$29,AF$28,$H$24,$H$25,$G60,AG$30)</f>
        <v>0</v>
      </c>
      <c r="AH60" s="129">
        <f ca="1">_xll.DBRW($G$15,$H$21,$H$22,AF$29,AF$28,$H$24,$H$25,$G60,AH$30)</f>
        <v>0</v>
      </c>
      <c r="AI60" s="129">
        <f ca="1">_xll.DBRW($G$15,$H$21,$H$22,AI$29,AF$28,$H$24,$H$25,$G60,AI$30)</f>
        <v>0</v>
      </c>
      <c r="AJ60" s="129">
        <f ca="1">_xll.DBRW($G$15,$H$21,$H$22,AI$29,AF$28,$H$24,$H$25,$G60,AJ$30)</f>
        <v>0</v>
      </c>
      <c r="AK60" s="130">
        <f ca="1">_xll.DBRW($G$15,$H$21,$H$22,AI$29,AF$28,$H$24,$H$25,$G60,AK$30)</f>
        <v>0</v>
      </c>
      <c r="AL60" s="140">
        <f t="shared" ca="1" si="6"/>
        <v>0</v>
      </c>
      <c r="AM60" s="140">
        <f t="shared" ca="1" si="7"/>
        <v>0</v>
      </c>
    </row>
    <row r="61" spans="1:39">
      <c r="A61">
        <f ca="1">IF(_xll.TM1RPTELISCONSOLIDATED($G$31,$G61),IF(_xll.TM1RPTELLEV($G$31,$G61)&lt;=3,_xll.TM1RPTELLEV($G$31,$G61),"D"),"N")</f>
        <v>3</v>
      </c>
      <c r="G61" s="141" t="s">
        <v>219</v>
      </c>
      <c r="H61" s="129">
        <f ca="1">_xll.DBRW($G$15,$H$21,$H$22,H$29,H$28,$H$24,$H$25,$G61,H$30)</f>
        <v>0</v>
      </c>
      <c r="I61" s="129">
        <f ca="1">_xll.DBRW($G$15,$H$21,$H$22,H$29,H$28,$H$24,$H$25,$G61,I$30)</f>
        <v>0</v>
      </c>
      <c r="J61" s="129">
        <f ca="1">_xll.DBRW($G$15,$H$21,$H$22,H$29,H$28,$H$24,$H$25,$G61,J$30)</f>
        <v>0</v>
      </c>
      <c r="K61" s="129">
        <f ca="1">_xll.DBRW($G$15,$H$21,$H$22,K$29,H$28,$H$24,$H$25,$G61,K$30)</f>
        <v>0</v>
      </c>
      <c r="L61" s="129">
        <f ca="1">_xll.DBRW($G$15,$H$21,$H$22,K$29,H$28,$H$24,$H$25,$G61,L$30)</f>
        <v>0</v>
      </c>
      <c r="M61" s="130">
        <f ca="1">_xll.DBRW($G$15,$H$21,$H$22,K$29,H$28,$H$24,$H$25,$G61,M$30)</f>
        <v>0</v>
      </c>
      <c r="N61" s="131">
        <f t="shared" ca="1" si="0"/>
        <v>0</v>
      </c>
      <c r="O61" s="132">
        <f t="shared" ca="1" si="1"/>
        <v>0</v>
      </c>
      <c r="P61" s="133">
        <f ca="1">_xll.DBRW($G$15,$H$21,$H$22,P$29,P$28,$H$24,$H$25,$G61,P$30)</f>
        <v>0</v>
      </c>
      <c r="Q61" s="129">
        <f ca="1">_xll.DBRW($G$15,$H$21,$H$22,P$29,P$28,$H$24,$H$25,$G61,Q$30)</f>
        <v>0</v>
      </c>
      <c r="R61" s="129">
        <f ca="1">_xll.DBRW($G$15,$H$21,$H$22,P$29,P$28,$H$24,$H$25,$G61,R$30)</f>
        <v>0</v>
      </c>
      <c r="S61" s="129">
        <f ca="1">_xll.DBRW($G$15,$H$21,$H$22,S$29,P$28,$H$24,$H$25,$G61,S$30)</f>
        <v>0</v>
      </c>
      <c r="T61" s="129">
        <f ca="1">_xll.DBRW($G$15,$H$21,$H$22,S$29,P$28,$H$24,$H$25,$G61,T$30)</f>
        <v>0</v>
      </c>
      <c r="U61" s="130">
        <f ca="1">_xll.DBRW($G$15,$H$21,$H$22,S$29,P$28,$H$24,$H$25,$G61,U$30)</f>
        <v>0</v>
      </c>
      <c r="V61" s="131">
        <f t="shared" ca="1" si="2"/>
        <v>0</v>
      </c>
      <c r="W61" s="132">
        <f t="shared" ca="1" si="3"/>
        <v>0</v>
      </c>
      <c r="X61" s="133">
        <f ca="1">_xll.DBRW($G$15,$H$21,$H$22,X$29,X$28,$H$24,$H$25,$G61,X$30)</f>
        <v>0</v>
      </c>
      <c r="Y61" s="129">
        <f ca="1">_xll.DBRW($G$15,$H$21,$H$22,X$29,X$28,$H$24,$H$25,$G61,Y$30)</f>
        <v>0</v>
      </c>
      <c r="Z61" s="129">
        <f ca="1">_xll.DBRW($G$15,$H$21,$H$22,X$29,X$28,$H$24,$H$25,$G61,Z$30)</f>
        <v>0</v>
      </c>
      <c r="AA61" s="129">
        <f ca="1">_xll.DBRW($G$15,$H$21,$H$22,AA$29,X$28,$H$24,$H$25,$G61,AA$30)</f>
        <v>0</v>
      </c>
      <c r="AB61" s="129">
        <f ca="1">_xll.DBRW($G$15,$H$21,$H$22,AA$29,X$28,$H$24,$H$25,$G61,AB$30)</f>
        <v>0</v>
      </c>
      <c r="AC61" s="130">
        <f ca="1">_xll.DBRW($G$15,$H$21,$H$22,AA$29,X$28,$H$24,$H$25,$G61,AC$30)</f>
        <v>0</v>
      </c>
      <c r="AD61" s="131">
        <f t="shared" ca="1" si="4"/>
        <v>0</v>
      </c>
      <c r="AE61" s="132">
        <f t="shared" ca="1" si="5"/>
        <v>0</v>
      </c>
      <c r="AF61" s="133">
        <f ca="1">_xll.DBRW($G$15,$H$21,$H$22,AF$29,AF$28,$H$24,$H$25,$G61,AF$30)</f>
        <v>0</v>
      </c>
      <c r="AG61" s="129">
        <f ca="1">_xll.DBRW($G$15,$H$21,$H$22,AF$29,AF$28,$H$24,$H$25,$G61,AG$30)</f>
        <v>0</v>
      </c>
      <c r="AH61" s="129">
        <f ca="1">_xll.DBRW($G$15,$H$21,$H$22,AF$29,AF$28,$H$24,$H$25,$G61,AH$30)</f>
        <v>0</v>
      </c>
      <c r="AI61" s="129">
        <f ca="1">_xll.DBRW($G$15,$H$21,$H$22,AI$29,AF$28,$H$24,$H$25,$G61,AI$30)</f>
        <v>0</v>
      </c>
      <c r="AJ61" s="129">
        <f ca="1">_xll.DBRW($G$15,$H$21,$H$22,AI$29,AF$28,$H$24,$H$25,$G61,AJ$30)</f>
        <v>0</v>
      </c>
      <c r="AK61" s="130">
        <f ca="1">_xll.DBRW($G$15,$H$21,$H$22,AI$29,AF$28,$H$24,$H$25,$G61,AK$30)</f>
        <v>0</v>
      </c>
      <c r="AL61" s="140">
        <f t="shared" ca="1" si="6"/>
        <v>0</v>
      </c>
      <c r="AM61" s="140">
        <f t="shared" ca="1" si="7"/>
        <v>0</v>
      </c>
    </row>
    <row r="62" spans="1:39">
      <c r="A62">
        <f ca="1">IF(_xll.TM1RPTELISCONSOLIDATED($G$31,$G62),IF(_xll.TM1RPTELLEV($G$31,$G62)&lt;=3,_xll.TM1RPTELLEV($G$31,$G62),"D"),"N")</f>
        <v>3</v>
      </c>
      <c r="G62" s="141" t="s">
        <v>220</v>
      </c>
      <c r="H62" s="129">
        <f ca="1">_xll.DBRW($G$15,$H$21,$H$22,H$29,H$28,$H$24,$H$25,$G62,H$30)</f>
        <v>0</v>
      </c>
      <c r="I62" s="129">
        <f ca="1">_xll.DBRW($G$15,$H$21,$H$22,H$29,H$28,$H$24,$H$25,$G62,I$30)</f>
        <v>0</v>
      </c>
      <c r="J62" s="129">
        <f ca="1">_xll.DBRW($G$15,$H$21,$H$22,H$29,H$28,$H$24,$H$25,$G62,J$30)</f>
        <v>0</v>
      </c>
      <c r="K62" s="129">
        <f ca="1">_xll.DBRW($G$15,$H$21,$H$22,K$29,H$28,$H$24,$H$25,$G62,K$30)</f>
        <v>0</v>
      </c>
      <c r="L62" s="129">
        <f ca="1">_xll.DBRW($G$15,$H$21,$H$22,K$29,H$28,$H$24,$H$25,$G62,L$30)</f>
        <v>0</v>
      </c>
      <c r="M62" s="130">
        <f ca="1">_xll.DBRW($G$15,$H$21,$H$22,K$29,H$28,$H$24,$H$25,$G62,M$30)</f>
        <v>0</v>
      </c>
      <c r="N62" s="131">
        <f t="shared" ca="1" si="0"/>
        <v>0</v>
      </c>
      <c r="O62" s="132">
        <f t="shared" ca="1" si="1"/>
        <v>0</v>
      </c>
      <c r="P62" s="133">
        <f ca="1">_xll.DBRW($G$15,$H$21,$H$22,P$29,P$28,$H$24,$H$25,$G62,P$30)</f>
        <v>0</v>
      </c>
      <c r="Q62" s="129">
        <f ca="1">_xll.DBRW($G$15,$H$21,$H$22,P$29,P$28,$H$24,$H$25,$G62,Q$30)</f>
        <v>0</v>
      </c>
      <c r="R62" s="129">
        <f ca="1">_xll.DBRW($G$15,$H$21,$H$22,P$29,P$28,$H$24,$H$25,$G62,R$30)</f>
        <v>0</v>
      </c>
      <c r="S62" s="129">
        <f ca="1">_xll.DBRW($G$15,$H$21,$H$22,S$29,P$28,$H$24,$H$25,$G62,S$30)</f>
        <v>0</v>
      </c>
      <c r="T62" s="129">
        <f ca="1">_xll.DBRW($G$15,$H$21,$H$22,S$29,P$28,$H$24,$H$25,$G62,T$30)</f>
        <v>0</v>
      </c>
      <c r="U62" s="130">
        <f ca="1">_xll.DBRW($G$15,$H$21,$H$22,S$29,P$28,$H$24,$H$25,$G62,U$30)</f>
        <v>0</v>
      </c>
      <c r="V62" s="131">
        <f t="shared" ca="1" si="2"/>
        <v>0</v>
      </c>
      <c r="W62" s="132">
        <f t="shared" ca="1" si="3"/>
        <v>0</v>
      </c>
      <c r="X62" s="133">
        <f ca="1">_xll.DBRW($G$15,$H$21,$H$22,X$29,X$28,$H$24,$H$25,$G62,X$30)</f>
        <v>0</v>
      </c>
      <c r="Y62" s="129">
        <f ca="1">_xll.DBRW($G$15,$H$21,$H$22,X$29,X$28,$H$24,$H$25,$G62,Y$30)</f>
        <v>0</v>
      </c>
      <c r="Z62" s="129">
        <f ca="1">_xll.DBRW($G$15,$H$21,$H$22,X$29,X$28,$H$24,$H$25,$G62,Z$30)</f>
        <v>0</v>
      </c>
      <c r="AA62" s="129">
        <f ca="1">_xll.DBRW($G$15,$H$21,$H$22,AA$29,X$28,$H$24,$H$25,$G62,AA$30)</f>
        <v>0</v>
      </c>
      <c r="AB62" s="129">
        <f ca="1">_xll.DBRW($G$15,$H$21,$H$22,AA$29,X$28,$H$24,$H$25,$G62,AB$30)</f>
        <v>0</v>
      </c>
      <c r="AC62" s="130">
        <f ca="1">_xll.DBRW($G$15,$H$21,$H$22,AA$29,X$28,$H$24,$H$25,$G62,AC$30)</f>
        <v>0</v>
      </c>
      <c r="AD62" s="131">
        <f t="shared" ca="1" si="4"/>
        <v>0</v>
      </c>
      <c r="AE62" s="132">
        <f t="shared" ca="1" si="5"/>
        <v>0</v>
      </c>
      <c r="AF62" s="133">
        <f ca="1">_xll.DBRW($G$15,$H$21,$H$22,AF$29,AF$28,$H$24,$H$25,$G62,AF$30)</f>
        <v>0</v>
      </c>
      <c r="AG62" s="129">
        <f ca="1">_xll.DBRW($G$15,$H$21,$H$22,AF$29,AF$28,$H$24,$H$25,$G62,AG$30)</f>
        <v>0</v>
      </c>
      <c r="AH62" s="129">
        <f ca="1">_xll.DBRW($G$15,$H$21,$H$22,AF$29,AF$28,$H$24,$H$25,$G62,AH$30)</f>
        <v>0</v>
      </c>
      <c r="AI62" s="129">
        <f ca="1">_xll.DBRW($G$15,$H$21,$H$22,AI$29,AF$28,$H$24,$H$25,$G62,AI$30)</f>
        <v>0</v>
      </c>
      <c r="AJ62" s="129">
        <f ca="1">_xll.DBRW($G$15,$H$21,$H$22,AI$29,AF$28,$H$24,$H$25,$G62,AJ$30)</f>
        <v>0</v>
      </c>
      <c r="AK62" s="130">
        <f ca="1">_xll.DBRW($G$15,$H$21,$H$22,AI$29,AF$28,$H$24,$H$25,$G62,AK$30)</f>
        <v>0</v>
      </c>
      <c r="AL62" s="140">
        <f t="shared" ca="1" si="6"/>
        <v>0</v>
      </c>
      <c r="AM62" s="140">
        <f t="shared" ca="1" si="7"/>
        <v>0</v>
      </c>
    </row>
    <row r="63" spans="1:39">
      <c r="A63">
        <f ca="1">IF(_xll.TM1RPTELISCONSOLIDATED($G$31,$G63),IF(_xll.TM1RPTELLEV($G$31,$G63)&lt;=3,_xll.TM1RPTELLEV($G$31,$G63),"D"),"N")</f>
        <v>3</v>
      </c>
      <c r="G63" s="141" t="s">
        <v>221</v>
      </c>
      <c r="H63" s="129">
        <f ca="1">_xll.DBRW($G$15,$H$21,$H$22,H$29,H$28,$H$24,$H$25,$G63,H$30)</f>
        <v>0</v>
      </c>
      <c r="I63" s="129">
        <f ca="1">_xll.DBRW($G$15,$H$21,$H$22,H$29,H$28,$H$24,$H$25,$G63,I$30)</f>
        <v>0</v>
      </c>
      <c r="J63" s="129">
        <f ca="1">_xll.DBRW($G$15,$H$21,$H$22,H$29,H$28,$H$24,$H$25,$G63,J$30)</f>
        <v>0</v>
      </c>
      <c r="K63" s="129">
        <f ca="1">_xll.DBRW($G$15,$H$21,$H$22,K$29,H$28,$H$24,$H$25,$G63,K$30)</f>
        <v>0</v>
      </c>
      <c r="L63" s="129">
        <f ca="1">_xll.DBRW($G$15,$H$21,$H$22,K$29,H$28,$H$24,$H$25,$G63,L$30)</f>
        <v>0</v>
      </c>
      <c r="M63" s="130">
        <f ca="1">_xll.DBRW($G$15,$H$21,$H$22,K$29,H$28,$H$24,$H$25,$G63,M$30)</f>
        <v>0</v>
      </c>
      <c r="N63" s="131">
        <f t="shared" ca="1" si="0"/>
        <v>0</v>
      </c>
      <c r="O63" s="132">
        <f t="shared" ca="1" si="1"/>
        <v>0</v>
      </c>
      <c r="P63" s="133">
        <f ca="1">_xll.DBRW($G$15,$H$21,$H$22,P$29,P$28,$H$24,$H$25,$G63,P$30)</f>
        <v>0</v>
      </c>
      <c r="Q63" s="129">
        <f ca="1">_xll.DBRW($G$15,$H$21,$H$22,P$29,P$28,$H$24,$H$25,$G63,Q$30)</f>
        <v>0</v>
      </c>
      <c r="R63" s="129">
        <f ca="1">_xll.DBRW($G$15,$H$21,$H$22,P$29,P$28,$H$24,$H$25,$G63,R$30)</f>
        <v>0</v>
      </c>
      <c r="S63" s="129">
        <f ca="1">_xll.DBRW($G$15,$H$21,$H$22,S$29,P$28,$H$24,$H$25,$G63,S$30)</f>
        <v>0</v>
      </c>
      <c r="T63" s="129">
        <f ca="1">_xll.DBRW($G$15,$H$21,$H$22,S$29,P$28,$H$24,$H$25,$G63,T$30)</f>
        <v>0</v>
      </c>
      <c r="U63" s="130">
        <f ca="1">_xll.DBRW($G$15,$H$21,$H$22,S$29,P$28,$H$24,$H$25,$G63,U$30)</f>
        <v>0</v>
      </c>
      <c r="V63" s="131">
        <f t="shared" ca="1" si="2"/>
        <v>0</v>
      </c>
      <c r="W63" s="132">
        <f t="shared" ca="1" si="3"/>
        <v>0</v>
      </c>
      <c r="X63" s="133">
        <f ca="1">_xll.DBRW($G$15,$H$21,$H$22,X$29,X$28,$H$24,$H$25,$G63,X$30)</f>
        <v>0</v>
      </c>
      <c r="Y63" s="129">
        <f ca="1">_xll.DBRW($G$15,$H$21,$H$22,X$29,X$28,$H$24,$H$25,$G63,Y$30)</f>
        <v>0</v>
      </c>
      <c r="Z63" s="129">
        <f ca="1">_xll.DBRW($G$15,$H$21,$H$22,X$29,X$28,$H$24,$H$25,$G63,Z$30)</f>
        <v>0</v>
      </c>
      <c r="AA63" s="129">
        <f ca="1">_xll.DBRW($G$15,$H$21,$H$22,AA$29,X$28,$H$24,$H$25,$G63,AA$30)</f>
        <v>0</v>
      </c>
      <c r="AB63" s="129">
        <f ca="1">_xll.DBRW($G$15,$H$21,$H$22,AA$29,X$28,$H$24,$H$25,$G63,AB$30)</f>
        <v>0</v>
      </c>
      <c r="AC63" s="130">
        <f ca="1">_xll.DBRW($G$15,$H$21,$H$22,AA$29,X$28,$H$24,$H$25,$G63,AC$30)</f>
        <v>0</v>
      </c>
      <c r="AD63" s="131">
        <f t="shared" ca="1" si="4"/>
        <v>0</v>
      </c>
      <c r="AE63" s="132">
        <f t="shared" ca="1" si="5"/>
        <v>0</v>
      </c>
      <c r="AF63" s="133">
        <f ca="1">_xll.DBRW($G$15,$H$21,$H$22,AF$29,AF$28,$H$24,$H$25,$G63,AF$30)</f>
        <v>0</v>
      </c>
      <c r="AG63" s="129">
        <f ca="1">_xll.DBRW($G$15,$H$21,$H$22,AF$29,AF$28,$H$24,$H$25,$G63,AG$30)</f>
        <v>0</v>
      </c>
      <c r="AH63" s="129">
        <f ca="1">_xll.DBRW($G$15,$H$21,$H$22,AF$29,AF$28,$H$24,$H$25,$G63,AH$30)</f>
        <v>0</v>
      </c>
      <c r="AI63" s="129">
        <f ca="1">_xll.DBRW($G$15,$H$21,$H$22,AI$29,AF$28,$H$24,$H$25,$G63,AI$30)</f>
        <v>0</v>
      </c>
      <c r="AJ63" s="129">
        <f ca="1">_xll.DBRW($G$15,$H$21,$H$22,AI$29,AF$28,$H$24,$H$25,$G63,AJ$30)</f>
        <v>0</v>
      </c>
      <c r="AK63" s="130">
        <f ca="1">_xll.DBRW($G$15,$H$21,$H$22,AI$29,AF$28,$H$24,$H$25,$G63,AK$30)</f>
        <v>0</v>
      </c>
      <c r="AL63" s="140">
        <f t="shared" ca="1" si="6"/>
        <v>0</v>
      </c>
      <c r="AM63" s="140">
        <f t="shared" ca="1" si="7"/>
        <v>0</v>
      </c>
    </row>
    <row r="64" spans="1:39">
      <c r="A64">
        <f ca="1">IF(_xll.TM1RPTELISCONSOLIDATED($G$31,$G64),IF(_xll.TM1RPTELLEV($G$31,$G64)&lt;=3,_xll.TM1RPTELLEV($G$31,$G64),"D"),"N")</f>
        <v>3</v>
      </c>
      <c r="G64" s="141" t="s">
        <v>222</v>
      </c>
      <c r="H64" s="129">
        <f ca="1">_xll.DBRW($G$15,$H$21,$H$22,H$29,H$28,$H$24,$H$25,$G64,H$30)</f>
        <v>0</v>
      </c>
      <c r="I64" s="129">
        <f ca="1">_xll.DBRW($G$15,$H$21,$H$22,H$29,H$28,$H$24,$H$25,$G64,I$30)</f>
        <v>0</v>
      </c>
      <c r="J64" s="129">
        <f ca="1">_xll.DBRW($G$15,$H$21,$H$22,H$29,H$28,$H$24,$H$25,$G64,J$30)</f>
        <v>0</v>
      </c>
      <c r="K64" s="129">
        <f ca="1">_xll.DBRW($G$15,$H$21,$H$22,K$29,H$28,$H$24,$H$25,$G64,K$30)</f>
        <v>0</v>
      </c>
      <c r="L64" s="129">
        <f ca="1">_xll.DBRW($G$15,$H$21,$H$22,K$29,H$28,$H$24,$H$25,$G64,L$30)</f>
        <v>0</v>
      </c>
      <c r="M64" s="130">
        <f ca="1">_xll.DBRW($G$15,$H$21,$H$22,K$29,H$28,$H$24,$H$25,$G64,M$30)</f>
        <v>0</v>
      </c>
      <c r="N64" s="131">
        <f t="shared" ca="1" si="0"/>
        <v>0</v>
      </c>
      <c r="O64" s="132">
        <f t="shared" ca="1" si="1"/>
        <v>0</v>
      </c>
      <c r="P64" s="133">
        <f ca="1">_xll.DBRW($G$15,$H$21,$H$22,P$29,P$28,$H$24,$H$25,$G64,P$30)</f>
        <v>0</v>
      </c>
      <c r="Q64" s="129">
        <f ca="1">_xll.DBRW($G$15,$H$21,$H$22,P$29,P$28,$H$24,$H$25,$G64,Q$30)</f>
        <v>0</v>
      </c>
      <c r="R64" s="129">
        <f ca="1">_xll.DBRW($G$15,$H$21,$H$22,P$29,P$28,$H$24,$H$25,$G64,R$30)</f>
        <v>0</v>
      </c>
      <c r="S64" s="129">
        <f ca="1">_xll.DBRW($G$15,$H$21,$H$22,S$29,P$28,$H$24,$H$25,$G64,S$30)</f>
        <v>0</v>
      </c>
      <c r="T64" s="129">
        <f ca="1">_xll.DBRW($G$15,$H$21,$H$22,S$29,P$28,$H$24,$H$25,$G64,T$30)</f>
        <v>0</v>
      </c>
      <c r="U64" s="130">
        <f ca="1">_xll.DBRW($G$15,$H$21,$H$22,S$29,P$28,$H$24,$H$25,$G64,U$30)</f>
        <v>0</v>
      </c>
      <c r="V64" s="131">
        <f t="shared" ca="1" si="2"/>
        <v>0</v>
      </c>
      <c r="W64" s="132">
        <f t="shared" ca="1" si="3"/>
        <v>0</v>
      </c>
      <c r="X64" s="133">
        <f ca="1">_xll.DBRW($G$15,$H$21,$H$22,X$29,X$28,$H$24,$H$25,$G64,X$30)</f>
        <v>0</v>
      </c>
      <c r="Y64" s="129">
        <f ca="1">_xll.DBRW($G$15,$H$21,$H$22,X$29,X$28,$H$24,$H$25,$G64,Y$30)</f>
        <v>0</v>
      </c>
      <c r="Z64" s="129">
        <f ca="1">_xll.DBRW($G$15,$H$21,$H$22,X$29,X$28,$H$24,$H$25,$G64,Z$30)</f>
        <v>0</v>
      </c>
      <c r="AA64" s="129">
        <f ca="1">_xll.DBRW($G$15,$H$21,$H$22,AA$29,X$28,$H$24,$H$25,$G64,AA$30)</f>
        <v>0</v>
      </c>
      <c r="AB64" s="129">
        <f ca="1">_xll.DBRW($G$15,$H$21,$H$22,AA$29,X$28,$H$24,$H$25,$G64,AB$30)</f>
        <v>0</v>
      </c>
      <c r="AC64" s="130">
        <f ca="1">_xll.DBRW($G$15,$H$21,$H$22,AA$29,X$28,$H$24,$H$25,$G64,AC$30)</f>
        <v>0</v>
      </c>
      <c r="AD64" s="131">
        <f t="shared" ca="1" si="4"/>
        <v>0</v>
      </c>
      <c r="AE64" s="132">
        <f t="shared" ca="1" si="5"/>
        <v>0</v>
      </c>
      <c r="AF64" s="133">
        <f ca="1">_xll.DBRW($G$15,$H$21,$H$22,AF$29,AF$28,$H$24,$H$25,$G64,AF$30)</f>
        <v>0</v>
      </c>
      <c r="AG64" s="129">
        <f ca="1">_xll.DBRW($G$15,$H$21,$H$22,AF$29,AF$28,$H$24,$H$25,$G64,AG$30)</f>
        <v>0</v>
      </c>
      <c r="AH64" s="129">
        <f ca="1">_xll.DBRW($G$15,$H$21,$H$22,AF$29,AF$28,$H$24,$H$25,$G64,AH$30)</f>
        <v>0</v>
      </c>
      <c r="AI64" s="129">
        <f ca="1">_xll.DBRW($G$15,$H$21,$H$22,AI$29,AF$28,$H$24,$H$25,$G64,AI$30)</f>
        <v>0</v>
      </c>
      <c r="AJ64" s="129">
        <f ca="1">_xll.DBRW($G$15,$H$21,$H$22,AI$29,AF$28,$H$24,$H$25,$G64,AJ$30)</f>
        <v>0</v>
      </c>
      <c r="AK64" s="130">
        <f ca="1">_xll.DBRW($G$15,$H$21,$H$22,AI$29,AF$28,$H$24,$H$25,$G64,AK$30)</f>
        <v>0</v>
      </c>
      <c r="AL64" s="140">
        <f t="shared" ca="1" si="6"/>
        <v>0</v>
      </c>
      <c r="AM64" s="140">
        <f t="shared" ca="1" si="7"/>
        <v>0</v>
      </c>
    </row>
    <row r="65" spans="1:39">
      <c r="A65">
        <f ca="1">IF(_xll.TM1RPTELISCONSOLIDATED($G$31,$G65),IF(_xll.TM1RPTELLEV($G$31,$G65)&lt;=3,_xll.TM1RPTELLEV($G$31,$G65),"D"),"N")</f>
        <v>3</v>
      </c>
      <c r="G65" s="141" t="s">
        <v>223</v>
      </c>
      <c r="H65" s="129">
        <f ca="1">_xll.DBRW($G$15,$H$21,$H$22,H$29,H$28,$H$24,$H$25,$G65,H$30)</f>
        <v>0</v>
      </c>
      <c r="I65" s="129">
        <f ca="1">_xll.DBRW($G$15,$H$21,$H$22,H$29,H$28,$H$24,$H$25,$G65,I$30)</f>
        <v>0</v>
      </c>
      <c r="J65" s="129">
        <f ca="1">_xll.DBRW($G$15,$H$21,$H$22,H$29,H$28,$H$24,$H$25,$G65,J$30)</f>
        <v>0</v>
      </c>
      <c r="K65" s="129">
        <f ca="1">_xll.DBRW($G$15,$H$21,$H$22,K$29,H$28,$H$24,$H$25,$G65,K$30)</f>
        <v>0</v>
      </c>
      <c r="L65" s="129">
        <f ca="1">_xll.DBRW($G$15,$H$21,$H$22,K$29,H$28,$H$24,$H$25,$G65,L$30)</f>
        <v>0</v>
      </c>
      <c r="M65" s="130">
        <f ca="1">_xll.DBRW($G$15,$H$21,$H$22,K$29,H$28,$H$24,$H$25,$G65,M$30)</f>
        <v>0</v>
      </c>
      <c r="N65" s="131">
        <f t="shared" ca="1" si="0"/>
        <v>0</v>
      </c>
      <c r="O65" s="132">
        <f t="shared" ca="1" si="1"/>
        <v>0</v>
      </c>
      <c r="P65" s="133">
        <f ca="1">_xll.DBRW($G$15,$H$21,$H$22,P$29,P$28,$H$24,$H$25,$G65,P$30)</f>
        <v>0</v>
      </c>
      <c r="Q65" s="129">
        <f ca="1">_xll.DBRW($G$15,$H$21,$H$22,P$29,P$28,$H$24,$H$25,$G65,Q$30)</f>
        <v>0</v>
      </c>
      <c r="R65" s="129">
        <f ca="1">_xll.DBRW($G$15,$H$21,$H$22,P$29,P$28,$H$24,$H$25,$G65,R$30)</f>
        <v>0</v>
      </c>
      <c r="S65" s="129">
        <f ca="1">_xll.DBRW($G$15,$H$21,$H$22,S$29,P$28,$H$24,$H$25,$G65,S$30)</f>
        <v>0</v>
      </c>
      <c r="T65" s="129">
        <f ca="1">_xll.DBRW($G$15,$H$21,$H$22,S$29,P$28,$H$24,$H$25,$G65,T$30)</f>
        <v>0</v>
      </c>
      <c r="U65" s="130">
        <f ca="1">_xll.DBRW($G$15,$H$21,$H$22,S$29,P$28,$H$24,$H$25,$G65,U$30)</f>
        <v>0</v>
      </c>
      <c r="V65" s="131">
        <f t="shared" ca="1" si="2"/>
        <v>0</v>
      </c>
      <c r="W65" s="132">
        <f t="shared" ca="1" si="3"/>
        <v>0</v>
      </c>
      <c r="X65" s="133">
        <f ca="1">_xll.DBRW($G$15,$H$21,$H$22,X$29,X$28,$H$24,$H$25,$G65,X$30)</f>
        <v>0</v>
      </c>
      <c r="Y65" s="129">
        <f ca="1">_xll.DBRW($G$15,$H$21,$H$22,X$29,X$28,$H$24,$H$25,$G65,Y$30)</f>
        <v>0</v>
      </c>
      <c r="Z65" s="129">
        <f ca="1">_xll.DBRW($G$15,$H$21,$H$22,X$29,X$28,$H$24,$H$25,$G65,Z$30)</f>
        <v>0</v>
      </c>
      <c r="AA65" s="129">
        <f ca="1">_xll.DBRW($G$15,$H$21,$H$22,AA$29,X$28,$H$24,$H$25,$G65,AA$30)</f>
        <v>0</v>
      </c>
      <c r="AB65" s="129">
        <f ca="1">_xll.DBRW($G$15,$H$21,$H$22,AA$29,X$28,$H$24,$H$25,$G65,AB$30)</f>
        <v>0</v>
      </c>
      <c r="AC65" s="130">
        <f ca="1">_xll.DBRW($G$15,$H$21,$H$22,AA$29,X$28,$H$24,$H$25,$G65,AC$30)</f>
        <v>0</v>
      </c>
      <c r="AD65" s="131">
        <f t="shared" ca="1" si="4"/>
        <v>0</v>
      </c>
      <c r="AE65" s="132">
        <f t="shared" ca="1" si="5"/>
        <v>0</v>
      </c>
      <c r="AF65" s="133">
        <f ca="1">_xll.DBRW($G$15,$H$21,$H$22,AF$29,AF$28,$H$24,$H$25,$G65,AF$30)</f>
        <v>0</v>
      </c>
      <c r="AG65" s="129">
        <f ca="1">_xll.DBRW($G$15,$H$21,$H$22,AF$29,AF$28,$H$24,$H$25,$G65,AG$30)</f>
        <v>0</v>
      </c>
      <c r="AH65" s="129">
        <f ca="1">_xll.DBRW($G$15,$H$21,$H$22,AF$29,AF$28,$H$24,$H$25,$G65,AH$30)</f>
        <v>0</v>
      </c>
      <c r="AI65" s="129">
        <f ca="1">_xll.DBRW($G$15,$H$21,$H$22,AI$29,AF$28,$H$24,$H$25,$G65,AI$30)</f>
        <v>0</v>
      </c>
      <c r="AJ65" s="129">
        <f ca="1">_xll.DBRW($G$15,$H$21,$H$22,AI$29,AF$28,$H$24,$H$25,$G65,AJ$30)</f>
        <v>0</v>
      </c>
      <c r="AK65" s="130">
        <f ca="1">_xll.DBRW($G$15,$H$21,$H$22,AI$29,AF$28,$H$24,$H$25,$G65,AK$30)</f>
        <v>0</v>
      </c>
      <c r="AL65" s="140">
        <f t="shared" ca="1" si="6"/>
        <v>0</v>
      </c>
      <c r="AM65" s="140">
        <f t="shared" ca="1" si="7"/>
        <v>0</v>
      </c>
    </row>
    <row r="66" spans="1:39">
      <c r="A66">
        <f ca="1">IF(_xll.TM1RPTELISCONSOLIDATED($G$31,$G66),IF(_xll.TM1RPTELLEV($G$31,$G66)&lt;=3,_xll.TM1RPTELLEV($G$31,$G66),"D"),"N")</f>
        <v>2</v>
      </c>
      <c r="G66" s="79" t="s">
        <v>224</v>
      </c>
      <c r="H66" s="52">
        <f ca="1">_xll.DBRW($G$15,$H$21,$H$22,H$29,H$28,$H$24,$H$25,$G66,H$30)</f>
        <v>0</v>
      </c>
      <c r="I66" s="52">
        <f ca="1">_xll.DBRW($G$15,$H$21,$H$22,H$29,H$28,$H$24,$H$25,$G66,I$30)</f>
        <v>0</v>
      </c>
      <c r="J66" s="52">
        <f ca="1">_xll.DBRW($G$15,$H$21,$H$22,H$29,H$28,$H$24,$H$25,$G66,J$30)</f>
        <v>0</v>
      </c>
      <c r="K66" s="52">
        <f ca="1">_xll.DBRW($G$15,$H$21,$H$22,K$29,H$28,$H$24,$H$25,$G66,K$30)</f>
        <v>0</v>
      </c>
      <c r="L66" s="52">
        <f ca="1">_xll.DBRW($G$15,$H$21,$H$22,K$29,H$28,$H$24,$H$25,$G66,L$30)</f>
        <v>0</v>
      </c>
      <c r="M66" s="53">
        <f ca="1">_xll.DBRW($G$15,$H$21,$H$22,K$29,H$28,$H$24,$H$25,$G66,M$30)</f>
        <v>0</v>
      </c>
      <c r="N66" s="127">
        <f t="shared" ca="1" si="0"/>
        <v>0</v>
      </c>
      <c r="O66" s="128">
        <f t="shared" ca="1" si="1"/>
        <v>0</v>
      </c>
      <c r="P66" s="55">
        <f ca="1">_xll.DBRW($G$15,$H$21,$H$22,P$29,P$28,$H$24,$H$25,$G66,P$30)</f>
        <v>0</v>
      </c>
      <c r="Q66" s="52">
        <f ca="1">_xll.DBRW($G$15,$H$21,$H$22,P$29,P$28,$H$24,$H$25,$G66,Q$30)</f>
        <v>0</v>
      </c>
      <c r="R66" s="52">
        <f ca="1">_xll.DBRW($G$15,$H$21,$H$22,P$29,P$28,$H$24,$H$25,$G66,R$30)</f>
        <v>0</v>
      </c>
      <c r="S66" s="52">
        <f ca="1">_xll.DBRW($G$15,$H$21,$H$22,S$29,P$28,$H$24,$H$25,$G66,S$30)</f>
        <v>0</v>
      </c>
      <c r="T66" s="52">
        <f ca="1">_xll.DBRW($G$15,$H$21,$H$22,S$29,P$28,$H$24,$H$25,$G66,T$30)</f>
        <v>0</v>
      </c>
      <c r="U66" s="53">
        <f ca="1">_xll.DBRW($G$15,$H$21,$H$22,S$29,P$28,$H$24,$H$25,$G66,U$30)</f>
        <v>0</v>
      </c>
      <c r="V66" s="127">
        <f t="shared" ca="1" si="2"/>
        <v>0</v>
      </c>
      <c r="W66" s="128">
        <f t="shared" ca="1" si="3"/>
        <v>0</v>
      </c>
      <c r="X66" s="55">
        <f ca="1">_xll.DBRW($G$15,$H$21,$H$22,X$29,X$28,$H$24,$H$25,$G66,X$30)</f>
        <v>0</v>
      </c>
      <c r="Y66" s="52">
        <f ca="1">_xll.DBRW($G$15,$H$21,$H$22,X$29,X$28,$H$24,$H$25,$G66,Y$30)</f>
        <v>0</v>
      </c>
      <c r="Z66" s="52">
        <f ca="1">_xll.DBRW($G$15,$H$21,$H$22,X$29,X$28,$H$24,$H$25,$G66,Z$30)</f>
        <v>0</v>
      </c>
      <c r="AA66" s="52">
        <f ca="1">_xll.DBRW($G$15,$H$21,$H$22,AA$29,X$28,$H$24,$H$25,$G66,AA$30)</f>
        <v>0</v>
      </c>
      <c r="AB66" s="52">
        <f ca="1">_xll.DBRW($G$15,$H$21,$H$22,AA$29,X$28,$H$24,$H$25,$G66,AB$30)</f>
        <v>0</v>
      </c>
      <c r="AC66" s="53">
        <f ca="1">_xll.DBRW($G$15,$H$21,$H$22,AA$29,X$28,$H$24,$H$25,$G66,AC$30)</f>
        <v>0</v>
      </c>
      <c r="AD66" s="127">
        <f t="shared" ca="1" si="4"/>
        <v>0</v>
      </c>
      <c r="AE66" s="128">
        <f t="shared" ca="1" si="5"/>
        <v>0</v>
      </c>
      <c r="AF66" s="55">
        <f ca="1">_xll.DBRW($G$15,$H$21,$H$22,AF$29,AF$28,$H$24,$H$25,$G66,AF$30)</f>
        <v>0</v>
      </c>
      <c r="AG66" s="52">
        <f ca="1">_xll.DBRW($G$15,$H$21,$H$22,AF$29,AF$28,$H$24,$H$25,$G66,AG$30)</f>
        <v>0</v>
      </c>
      <c r="AH66" s="52">
        <f ca="1">_xll.DBRW($G$15,$H$21,$H$22,AF$29,AF$28,$H$24,$H$25,$G66,AH$30)</f>
        <v>0</v>
      </c>
      <c r="AI66" s="52">
        <f ca="1">_xll.DBRW($G$15,$H$21,$H$22,AI$29,AF$28,$H$24,$H$25,$G66,AI$30)</f>
        <v>0</v>
      </c>
      <c r="AJ66" s="52">
        <f ca="1">_xll.DBRW($G$15,$H$21,$H$22,AI$29,AF$28,$H$24,$H$25,$G66,AJ$30)</f>
        <v>0</v>
      </c>
      <c r="AK66" s="53">
        <f ca="1">_xll.DBRW($G$15,$H$21,$H$22,AI$29,AF$28,$H$24,$H$25,$G66,AK$30)</f>
        <v>0</v>
      </c>
      <c r="AL66" s="140">
        <f t="shared" ca="1" si="6"/>
        <v>0</v>
      </c>
      <c r="AM66" s="140">
        <f t="shared" ca="1" si="7"/>
        <v>0</v>
      </c>
    </row>
    <row r="67" spans="1:39">
      <c r="A67">
        <f ca="1">IF(_xll.TM1RPTELISCONSOLIDATED($G$31,$G67),IF(_xll.TM1RPTELLEV($G$31,$G67)&lt;=3,_xll.TM1RPTELLEV($G$31,$G67),"D"),"N")</f>
        <v>2</v>
      </c>
      <c r="G67" s="79" t="s">
        <v>225</v>
      </c>
      <c r="H67" s="52">
        <f ca="1">_xll.DBRW($G$15,$H$21,$H$22,H$29,H$28,$H$24,$H$25,$G67,H$30)</f>
        <v>0</v>
      </c>
      <c r="I67" s="52">
        <f ca="1">_xll.DBRW($G$15,$H$21,$H$22,H$29,H$28,$H$24,$H$25,$G67,I$30)</f>
        <v>0</v>
      </c>
      <c r="J67" s="52">
        <f ca="1">_xll.DBRW($G$15,$H$21,$H$22,H$29,H$28,$H$24,$H$25,$G67,J$30)</f>
        <v>0</v>
      </c>
      <c r="K67" s="52">
        <f ca="1">_xll.DBRW($G$15,$H$21,$H$22,K$29,H$28,$H$24,$H$25,$G67,K$30)</f>
        <v>0</v>
      </c>
      <c r="L67" s="52">
        <f ca="1">_xll.DBRW($G$15,$H$21,$H$22,K$29,H$28,$H$24,$H$25,$G67,L$30)</f>
        <v>0</v>
      </c>
      <c r="M67" s="53">
        <f ca="1">_xll.DBRW($G$15,$H$21,$H$22,K$29,H$28,$H$24,$H$25,$G67,M$30)</f>
        <v>0</v>
      </c>
      <c r="N67" s="127">
        <f t="shared" ca="1" si="0"/>
        <v>0</v>
      </c>
      <c r="O67" s="128">
        <f t="shared" ca="1" si="1"/>
        <v>0</v>
      </c>
      <c r="P67" s="55">
        <f ca="1">_xll.DBRW($G$15,$H$21,$H$22,P$29,P$28,$H$24,$H$25,$G67,P$30)</f>
        <v>0</v>
      </c>
      <c r="Q67" s="52">
        <f ca="1">_xll.DBRW($G$15,$H$21,$H$22,P$29,P$28,$H$24,$H$25,$G67,Q$30)</f>
        <v>0</v>
      </c>
      <c r="R67" s="52">
        <f ca="1">_xll.DBRW($G$15,$H$21,$H$22,P$29,P$28,$H$24,$H$25,$G67,R$30)</f>
        <v>0</v>
      </c>
      <c r="S67" s="52">
        <f ca="1">_xll.DBRW($G$15,$H$21,$H$22,S$29,P$28,$H$24,$H$25,$G67,S$30)</f>
        <v>0</v>
      </c>
      <c r="T67" s="52">
        <f ca="1">_xll.DBRW($G$15,$H$21,$H$22,S$29,P$28,$H$24,$H$25,$G67,T$30)</f>
        <v>0</v>
      </c>
      <c r="U67" s="53">
        <f ca="1">_xll.DBRW($G$15,$H$21,$H$22,S$29,P$28,$H$24,$H$25,$G67,U$30)</f>
        <v>0</v>
      </c>
      <c r="V67" s="127">
        <f t="shared" ca="1" si="2"/>
        <v>0</v>
      </c>
      <c r="W67" s="128">
        <f t="shared" ca="1" si="3"/>
        <v>0</v>
      </c>
      <c r="X67" s="55">
        <f ca="1">_xll.DBRW($G$15,$H$21,$H$22,X$29,X$28,$H$24,$H$25,$G67,X$30)</f>
        <v>0</v>
      </c>
      <c r="Y67" s="52">
        <f ca="1">_xll.DBRW($G$15,$H$21,$H$22,X$29,X$28,$H$24,$H$25,$G67,Y$30)</f>
        <v>0</v>
      </c>
      <c r="Z67" s="52">
        <f ca="1">_xll.DBRW($G$15,$H$21,$H$22,X$29,X$28,$H$24,$H$25,$G67,Z$30)</f>
        <v>0</v>
      </c>
      <c r="AA67" s="52">
        <f ca="1">_xll.DBRW($G$15,$H$21,$H$22,AA$29,X$28,$H$24,$H$25,$G67,AA$30)</f>
        <v>0</v>
      </c>
      <c r="AB67" s="52">
        <f ca="1">_xll.DBRW($G$15,$H$21,$H$22,AA$29,X$28,$H$24,$H$25,$G67,AB$30)</f>
        <v>0</v>
      </c>
      <c r="AC67" s="53">
        <f ca="1">_xll.DBRW($G$15,$H$21,$H$22,AA$29,X$28,$H$24,$H$25,$G67,AC$30)</f>
        <v>0</v>
      </c>
      <c r="AD67" s="127">
        <f t="shared" ca="1" si="4"/>
        <v>0</v>
      </c>
      <c r="AE67" s="128">
        <f t="shared" ca="1" si="5"/>
        <v>0</v>
      </c>
      <c r="AF67" s="55">
        <f ca="1">_xll.DBRW($G$15,$H$21,$H$22,AF$29,AF$28,$H$24,$H$25,$G67,AF$30)</f>
        <v>0</v>
      </c>
      <c r="AG67" s="52">
        <f ca="1">_xll.DBRW($G$15,$H$21,$H$22,AF$29,AF$28,$H$24,$H$25,$G67,AG$30)</f>
        <v>0</v>
      </c>
      <c r="AH67" s="52">
        <f ca="1">_xll.DBRW($G$15,$H$21,$H$22,AF$29,AF$28,$H$24,$H$25,$G67,AH$30)</f>
        <v>0</v>
      </c>
      <c r="AI67" s="52">
        <f ca="1">_xll.DBRW($G$15,$H$21,$H$22,AI$29,AF$28,$H$24,$H$25,$G67,AI$30)</f>
        <v>0</v>
      </c>
      <c r="AJ67" s="52">
        <f ca="1">_xll.DBRW($G$15,$H$21,$H$22,AI$29,AF$28,$H$24,$H$25,$G67,AJ$30)</f>
        <v>0</v>
      </c>
      <c r="AK67" s="53">
        <f ca="1">_xll.DBRW($G$15,$H$21,$H$22,AI$29,AF$28,$H$24,$H$25,$G67,AK$30)</f>
        <v>0</v>
      </c>
      <c r="AL67" s="140">
        <f t="shared" ca="1" si="6"/>
        <v>0</v>
      </c>
      <c r="AM67" s="140">
        <f t="shared" ca="1" si="7"/>
        <v>0</v>
      </c>
    </row>
    <row r="68" spans="1:39">
      <c r="A68">
        <f ca="1">IF(_xll.TM1RPTELISCONSOLIDATED($G$31,$G68),IF(_xll.TM1RPTELLEV($G$31,$G68)&lt;=3,_xll.TM1RPTELLEV($G$31,$G68),"D"),"N")</f>
        <v>2</v>
      </c>
      <c r="G68" s="79" t="s">
        <v>226</v>
      </c>
      <c r="H68" s="52">
        <f ca="1">_xll.DBRW($G$15,$H$21,$H$22,H$29,H$28,$H$24,$H$25,$G68,H$30)</f>
        <v>0</v>
      </c>
      <c r="I68" s="52">
        <f ca="1">_xll.DBRW($G$15,$H$21,$H$22,H$29,H$28,$H$24,$H$25,$G68,I$30)</f>
        <v>0</v>
      </c>
      <c r="J68" s="52">
        <f ca="1">_xll.DBRW($G$15,$H$21,$H$22,H$29,H$28,$H$24,$H$25,$G68,J$30)</f>
        <v>0</v>
      </c>
      <c r="K68" s="52">
        <f ca="1">_xll.DBRW($G$15,$H$21,$H$22,K$29,H$28,$H$24,$H$25,$G68,K$30)</f>
        <v>0</v>
      </c>
      <c r="L68" s="52">
        <f ca="1">_xll.DBRW($G$15,$H$21,$H$22,K$29,H$28,$H$24,$H$25,$G68,L$30)</f>
        <v>0</v>
      </c>
      <c r="M68" s="53">
        <f ca="1">_xll.DBRW($G$15,$H$21,$H$22,K$29,H$28,$H$24,$H$25,$G68,M$30)</f>
        <v>0</v>
      </c>
      <c r="N68" s="127">
        <f t="shared" ca="1" si="0"/>
        <v>0</v>
      </c>
      <c r="O68" s="128">
        <f t="shared" ca="1" si="1"/>
        <v>0</v>
      </c>
      <c r="P68" s="55">
        <f ca="1">_xll.DBRW($G$15,$H$21,$H$22,P$29,P$28,$H$24,$H$25,$G68,P$30)</f>
        <v>0</v>
      </c>
      <c r="Q68" s="52">
        <f ca="1">_xll.DBRW($G$15,$H$21,$H$22,P$29,P$28,$H$24,$H$25,$G68,Q$30)</f>
        <v>0</v>
      </c>
      <c r="R68" s="52">
        <f ca="1">_xll.DBRW($G$15,$H$21,$H$22,P$29,P$28,$H$24,$H$25,$G68,R$30)</f>
        <v>0</v>
      </c>
      <c r="S68" s="52">
        <f ca="1">_xll.DBRW($G$15,$H$21,$H$22,S$29,P$28,$H$24,$H$25,$G68,S$30)</f>
        <v>0</v>
      </c>
      <c r="T68" s="52">
        <f ca="1">_xll.DBRW($G$15,$H$21,$H$22,S$29,P$28,$H$24,$H$25,$G68,T$30)</f>
        <v>0</v>
      </c>
      <c r="U68" s="53">
        <f ca="1">_xll.DBRW($G$15,$H$21,$H$22,S$29,P$28,$H$24,$H$25,$G68,U$30)</f>
        <v>0</v>
      </c>
      <c r="V68" s="127">
        <f t="shared" ca="1" si="2"/>
        <v>0</v>
      </c>
      <c r="W68" s="128">
        <f t="shared" ca="1" si="3"/>
        <v>0</v>
      </c>
      <c r="X68" s="55">
        <f ca="1">_xll.DBRW($G$15,$H$21,$H$22,X$29,X$28,$H$24,$H$25,$G68,X$30)</f>
        <v>0</v>
      </c>
      <c r="Y68" s="52">
        <f ca="1">_xll.DBRW($G$15,$H$21,$H$22,X$29,X$28,$H$24,$H$25,$G68,Y$30)</f>
        <v>0</v>
      </c>
      <c r="Z68" s="52">
        <f ca="1">_xll.DBRW($G$15,$H$21,$H$22,X$29,X$28,$H$24,$H$25,$G68,Z$30)</f>
        <v>0</v>
      </c>
      <c r="AA68" s="52">
        <f ca="1">_xll.DBRW($G$15,$H$21,$H$22,AA$29,X$28,$H$24,$H$25,$G68,AA$30)</f>
        <v>0</v>
      </c>
      <c r="AB68" s="52">
        <f ca="1">_xll.DBRW($G$15,$H$21,$H$22,AA$29,X$28,$H$24,$H$25,$G68,AB$30)</f>
        <v>0</v>
      </c>
      <c r="AC68" s="53">
        <f ca="1">_xll.DBRW($G$15,$H$21,$H$22,AA$29,X$28,$H$24,$H$25,$G68,AC$30)</f>
        <v>0</v>
      </c>
      <c r="AD68" s="127">
        <f t="shared" ca="1" si="4"/>
        <v>0</v>
      </c>
      <c r="AE68" s="128">
        <f t="shared" ca="1" si="5"/>
        <v>0</v>
      </c>
      <c r="AF68" s="55">
        <f ca="1">_xll.DBRW($G$15,$H$21,$H$22,AF$29,AF$28,$H$24,$H$25,$G68,AF$30)</f>
        <v>0</v>
      </c>
      <c r="AG68" s="52">
        <f ca="1">_xll.DBRW($G$15,$H$21,$H$22,AF$29,AF$28,$H$24,$H$25,$G68,AG$30)</f>
        <v>0</v>
      </c>
      <c r="AH68" s="52">
        <f ca="1">_xll.DBRW($G$15,$H$21,$H$22,AF$29,AF$28,$H$24,$H$25,$G68,AH$30)</f>
        <v>0</v>
      </c>
      <c r="AI68" s="52">
        <f ca="1">_xll.DBRW($G$15,$H$21,$H$22,AI$29,AF$28,$H$24,$H$25,$G68,AI$30)</f>
        <v>0</v>
      </c>
      <c r="AJ68" s="52">
        <f ca="1">_xll.DBRW($G$15,$H$21,$H$22,AI$29,AF$28,$H$24,$H$25,$G68,AJ$30)</f>
        <v>0</v>
      </c>
      <c r="AK68" s="53">
        <f ca="1">_xll.DBRW($G$15,$H$21,$H$22,AI$29,AF$28,$H$24,$H$25,$G68,AK$30)</f>
        <v>0</v>
      </c>
      <c r="AL68" s="140">
        <f t="shared" ca="1" si="6"/>
        <v>0</v>
      </c>
      <c r="AM68" s="140">
        <f t="shared" ca="1" si="7"/>
        <v>0</v>
      </c>
    </row>
    <row r="69" spans="1:39">
      <c r="A69">
        <f ca="1">IF(_xll.TM1RPTELISCONSOLIDATED($G$31,$G69),IF(_xll.TM1RPTELLEV($G$31,$G69)&lt;=3,_xll.TM1RPTELLEV($G$31,$G69),"D"),"N")</f>
        <v>2</v>
      </c>
      <c r="G69" s="79" t="s">
        <v>227</v>
      </c>
      <c r="H69" s="52">
        <f ca="1">_xll.DBRW($G$15,$H$21,$H$22,H$29,H$28,$H$24,$H$25,$G69,H$30)</f>
        <v>0</v>
      </c>
      <c r="I69" s="52">
        <f ca="1">_xll.DBRW($G$15,$H$21,$H$22,H$29,H$28,$H$24,$H$25,$G69,I$30)</f>
        <v>0</v>
      </c>
      <c r="J69" s="52">
        <f ca="1">_xll.DBRW($G$15,$H$21,$H$22,H$29,H$28,$H$24,$H$25,$G69,J$30)</f>
        <v>0</v>
      </c>
      <c r="K69" s="52">
        <f ca="1">_xll.DBRW($G$15,$H$21,$H$22,K$29,H$28,$H$24,$H$25,$G69,K$30)</f>
        <v>0</v>
      </c>
      <c r="L69" s="52">
        <f ca="1">_xll.DBRW($G$15,$H$21,$H$22,K$29,H$28,$H$24,$H$25,$G69,L$30)</f>
        <v>0</v>
      </c>
      <c r="M69" s="53">
        <f ca="1">_xll.DBRW($G$15,$H$21,$H$22,K$29,H$28,$H$24,$H$25,$G69,M$30)</f>
        <v>0</v>
      </c>
      <c r="N69" s="127">
        <f t="shared" ca="1" si="0"/>
        <v>0</v>
      </c>
      <c r="O69" s="128">
        <f t="shared" ca="1" si="1"/>
        <v>0</v>
      </c>
      <c r="P69" s="55">
        <f ca="1">_xll.DBRW($G$15,$H$21,$H$22,P$29,P$28,$H$24,$H$25,$G69,P$30)</f>
        <v>0</v>
      </c>
      <c r="Q69" s="52">
        <f ca="1">_xll.DBRW($G$15,$H$21,$H$22,P$29,P$28,$H$24,$H$25,$G69,Q$30)</f>
        <v>0</v>
      </c>
      <c r="R69" s="52">
        <f ca="1">_xll.DBRW($G$15,$H$21,$H$22,P$29,P$28,$H$24,$H$25,$G69,R$30)</f>
        <v>0</v>
      </c>
      <c r="S69" s="52">
        <f ca="1">_xll.DBRW($G$15,$H$21,$H$22,S$29,P$28,$H$24,$H$25,$G69,S$30)</f>
        <v>0</v>
      </c>
      <c r="T69" s="52">
        <f ca="1">_xll.DBRW($G$15,$H$21,$H$22,S$29,P$28,$H$24,$H$25,$G69,T$30)</f>
        <v>0</v>
      </c>
      <c r="U69" s="53">
        <f ca="1">_xll.DBRW($G$15,$H$21,$H$22,S$29,P$28,$H$24,$H$25,$G69,U$30)</f>
        <v>0</v>
      </c>
      <c r="V69" s="127">
        <f t="shared" ca="1" si="2"/>
        <v>0</v>
      </c>
      <c r="W69" s="128">
        <f t="shared" ca="1" si="3"/>
        <v>0</v>
      </c>
      <c r="X69" s="55">
        <f ca="1">_xll.DBRW($G$15,$H$21,$H$22,X$29,X$28,$H$24,$H$25,$G69,X$30)</f>
        <v>0</v>
      </c>
      <c r="Y69" s="52">
        <f ca="1">_xll.DBRW($G$15,$H$21,$H$22,X$29,X$28,$H$24,$H$25,$G69,Y$30)</f>
        <v>0</v>
      </c>
      <c r="Z69" s="52">
        <f ca="1">_xll.DBRW($G$15,$H$21,$H$22,X$29,X$28,$H$24,$H$25,$G69,Z$30)</f>
        <v>0</v>
      </c>
      <c r="AA69" s="52">
        <f ca="1">_xll.DBRW($G$15,$H$21,$H$22,AA$29,X$28,$H$24,$H$25,$G69,AA$30)</f>
        <v>0</v>
      </c>
      <c r="AB69" s="52">
        <f ca="1">_xll.DBRW($G$15,$H$21,$H$22,AA$29,X$28,$H$24,$H$25,$G69,AB$30)</f>
        <v>0</v>
      </c>
      <c r="AC69" s="53">
        <f ca="1">_xll.DBRW($G$15,$H$21,$H$22,AA$29,X$28,$H$24,$H$25,$G69,AC$30)</f>
        <v>0</v>
      </c>
      <c r="AD69" s="127">
        <f t="shared" ca="1" si="4"/>
        <v>0</v>
      </c>
      <c r="AE69" s="128">
        <f t="shared" ca="1" si="5"/>
        <v>0</v>
      </c>
      <c r="AF69" s="55">
        <f ca="1">_xll.DBRW($G$15,$H$21,$H$22,AF$29,AF$28,$H$24,$H$25,$G69,AF$30)</f>
        <v>0</v>
      </c>
      <c r="AG69" s="52">
        <f ca="1">_xll.DBRW($G$15,$H$21,$H$22,AF$29,AF$28,$H$24,$H$25,$G69,AG$30)</f>
        <v>0</v>
      </c>
      <c r="AH69" s="52">
        <f ca="1">_xll.DBRW($G$15,$H$21,$H$22,AF$29,AF$28,$H$24,$H$25,$G69,AH$30)</f>
        <v>0</v>
      </c>
      <c r="AI69" s="52">
        <f ca="1">_xll.DBRW($G$15,$H$21,$H$22,AI$29,AF$28,$H$24,$H$25,$G69,AI$30)</f>
        <v>0</v>
      </c>
      <c r="AJ69" s="52">
        <f ca="1">_xll.DBRW($G$15,$H$21,$H$22,AI$29,AF$28,$H$24,$H$25,$G69,AJ$30)</f>
        <v>0</v>
      </c>
      <c r="AK69" s="53">
        <f ca="1">_xll.DBRW($G$15,$H$21,$H$22,AI$29,AF$28,$H$24,$H$25,$G69,AK$30)</f>
        <v>0</v>
      </c>
      <c r="AL69" s="140">
        <f t="shared" ca="1" si="6"/>
        <v>0</v>
      </c>
      <c r="AM69" s="140">
        <f t="shared" ca="1" si="7"/>
        <v>0</v>
      </c>
    </row>
    <row r="70" spans="1:39">
      <c r="A70">
        <f ca="1">IF(_xll.TM1RPTELISCONSOLIDATED($G$31,$G70),IF(_xll.TM1RPTELLEV($G$31,$G70)&lt;=3,_xll.TM1RPTELLEV($G$31,$G70),"D"),"N")</f>
        <v>1</v>
      </c>
      <c r="G70" s="78" t="s">
        <v>172</v>
      </c>
      <c r="H70" s="48">
        <f ca="1">_xll.DBRW($G$15,$H$21,$H$22,H$29,H$28,$H$24,$H$25,$G70,H$30)</f>
        <v>0</v>
      </c>
      <c r="I70" s="48">
        <f ca="1">_xll.DBRW($G$15,$H$21,$H$22,H$29,H$28,$H$24,$H$25,$G70,I$30)</f>
        <v>0</v>
      </c>
      <c r="J70" s="48">
        <f ca="1">_xll.DBRW($G$15,$H$21,$H$22,H$29,H$28,$H$24,$H$25,$G70,J$30)</f>
        <v>0</v>
      </c>
      <c r="K70" s="48">
        <f ca="1">_xll.DBRW($G$15,$H$21,$H$22,K$29,H$28,$H$24,$H$25,$G70,K$30)</f>
        <v>0</v>
      </c>
      <c r="L70" s="48">
        <f ca="1">_xll.DBRW($G$15,$H$21,$H$22,K$29,H$28,$H$24,$H$25,$G70,L$30)</f>
        <v>0</v>
      </c>
      <c r="M70" s="49">
        <f ca="1">_xll.DBRW($G$15,$H$21,$H$22,K$29,H$28,$H$24,$H$25,$G70,M$30)</f>
        <v>0</v>
      </c>
      <c r="N70" s="125">
        <f t="shared" ca="1" si="0"/>
        <v>0</v>
      </c>
      <c r="O70" s="126">
        <f t="shared" ca="1" si="1"/>
        <v>0</v>
      </c>
      <c r="P70" s="51">
        <f ca="1">_xll.DBRW($G$15,$H$21,$H$22,P$29,P$28,$H$24,$H$25,$G70,P$30)</f>
        <v>0</v>
      </c>
      <c r="Q70" s="48">
        <f ca="1">_xll.DBRW($G$15,$H$21,$H$22,P$29,P$28,$H$24,$H$25,$G70,Q$30)</f>
        <v>0</v>
      </c>
      <c r="R70" s="48">
        <f ca="1">_xll.DBRW($G$15,$H$21,$H$22,P$29,P$28,$H$24,$H$25,$G70,R$30)</f>
        <v>0</v>
      </c>
      <c r="S70" s="48">
        <f ca="1">_xll.DBRW($G$15,$H$21,$H$22,S$29,P$28,$H$24,$H$25,$G70,S$30)</f>
        <v>0</v>
      </c>
      <c r="T70" s="48">
        <f ca="1">_xll.DBRW($G$15,$H$21,$H$22,S$29,P$28,$H$24,$H$25,$G70,T$30)</f>
        <v>0</v>
      </c>
      <c r="U70" s="49">
        <f ca="1">_xll.DBRW($G$15,$H$21,$H$22,S$29,P$28,$H$24,$H$25,$G70,U$30)</f>
        <v>0</v>
      </c>
      <c r="V70" s="125">
        <f t="shared" ca="1" si="2"/>
        <v>0</v>
      </c>
      <c r="W70" s="126">
        <f t="shared" ca="1" si="3"/>
        <v>0</v>
      </c>
      <c r="X70" s="51">
        <f ca="1">_xll.DBRW($G$15,$H$21,$H$22,X$29,X$28,$H$24,$H$25,$G70,X$30)</f>
        <v>0</v>
      </c>
      <c r="Y70" s="48">
        <f ca="1">_xll.DBRW($G$15,$H$21,$H$22,X$29,X$28,$H$24,$H$25,$G70,Y$30)</f>
        <v>0</v>
      </c>
      <c r="Z70" s="48">
        <f ca="1">_xll.DBRW($G$15,$H$21,$H$22,X$29,X$28,$H$24,$H$25,$G70,Z$30)</f>
        <v>0</v>
      </c>
      <c r="AA70" s="48">
        <f ca="1">_xll.DBRW($G$15,$H$21,$H$22,AA$29,X$28,$H$24,$H$25,$G70,AA$30)</f>
        <v>0</v>
      </c>
      <c r="AB70" s="48">
        <f ca="1">_xll.DBRW($G$15,$H$21,$H$22,AA$29,X$28,$H$24,$H$25,$G70,AB$30)</f>
        <v>0</v>
      </c>
      <c r="AC70" s="49">
        <f ca="1">_xll.DBRW($G$15,$H$21,$H$22,AA$29,X$28,$H$24,$H$25,$G70,AC$30)</f>
        <v>0</v>
      </c>
      <c r="AD70" s="125">
        <f t="shared" ca="1" si="4"/>
        <v>0</v>
      </c>
      <c r="AE70" s="126">
        <f t="shared" ca="1" si="5"/>
        <v>0</v>
      </c>
      <c r="AF70" s="51">
        <f ca="1">_xll.DBRW($G$15,$H$21,$H$22,AF$29,AF$28,$H$24,$H$25,$G70,AF$30)</f>
        <v>0</v>
      </c>
      <c r="AG70" s="48">
        <f ca="1">_xll.DBRW($G$15,$H$21,$H$22,AF$29,AF$28,$H$24,$H$25,$G70,AG$30)</f>
        <v>0</v>
      </c>
      <c r="AH70" s="48">
        <f ca="1">_xll.DBRW($G$15,$H$21,$H$22,AF$29,AF$28,$H$24,$H$25,$G70,AH$30)</f>
        <v>0</v>
      </c>
      <c r="AI70" s="48">
        <f ca="1">_xll.DBRW($G$15,$H$21,$H$22,AI$29,AF$28,$H$24,$H$25,$G70,AI$30)</f>
        <v>0</v>
      </c>
      <c r="AJ70" s="48">
        <f ca="1">_xll.DBRW($G$15,$H$21,$H$22,AI$29,AF$28,$H$24,$H$25,$G70,AJ$30)</f>
        <v>0</v>
      </c>
      <c r="AK70" s="49">
        <f ca="1">_xll.DBRW($G$15,$H$21,$H$22,AI$29,AF$28,$H$24,$H$25,$G70,AK$30)</f>
        <v>0</v>
      </c>
      <c r="AL70" s="140">
        <f t="shared" ca="1" si="6"/>
        <v>0</v>
      </c>
      <c r="AM70" s="140">
        <f t="shared" ca="1" si="7"/>
        <v>0</v>
      </c>
    </row>
    <row r="71" spans="1:39">
      <c r="A71">
        <f ca="1">IF(_xll.TM1RPTELISCONSOLIDATED($G$31,$G71),IF(_xll.TM1RPTELLEV($G$31,$G71)&lt;=3,_xll.TM1RPTELLEV($G$31,$G71),"D"),"N")</f>
        <v>2</v>
      </c>
      <c r="G71" s="79" t="s">
        <v>228</v>
      </c>
      <c r="H71" s="52">
        <f ca="1">_xll.DBRW($G$15,$H$21,$H$22,H$29,H$28,$H$24,$H$25,$G71,H$30)</f>
        <v>0</v>
      </c>
      <c r="I71" s="52">
        <f ca="1">_xll.DBRW($G$15,$H$21,$H$22,H$29,H$28,$H$24,$H$25,$G71,I$30)</f>
        <v>0</v>
      </c>
      <c r="J71" s="52">
        <f ca="1">_xll.DBRW($G$15,$H$21,$H$22,H$29,H$28,$H$24,$H$25,$G71,J$30)</f>
        <v>0</v>
      </c>
      <c r="K71" s="52">
        <f ca="1">_xll.DBRW($G$15,$H$21,$H$22,K$29,H$28,$H$24,$H$25,$G71,K$30)</f>
        <v>0</v>
      </c>
      <c r="L71" s="52">
        <f ca="1">_xll.DBRW($G$15,$H$21,$H$22,K$29,H$28,$H$24,$H$25,$G71,L$30)</f>
        <v>0</v>
      </c>
      <c r="M71" s="53">
        <f ca="1">_xll.DBRW($G$15,$H$21,$H$22,K$29,H$28,$H$24,$H$25,$G71,M$30)</f>
        <v>0</v>
      </c>
      <c r="N71" s="127">
        <f t="shared" ca="1" si="0"/>
        <v>0</v>
      </c>
      <c r="O71" s="128">
        <f t="shared" ca="1" si="1"/>
        <v>0</v>
      </c>
      <c r="P71" s="55">
        <f ca="1">_xll.DBRW($G$15,$H$21,$H$22,P$29,P$28,$H$24,$H$25,$G71,P$30)</f>
        <v>0</v>
      </c>
      <c r="Q71" s="52">
        <f ca="1">_xll.DBRW($G$15,$H$21,$H$22,P$29,P$28,$H$24,$H$25,$G71,Q$30)</f>
        <v>0</v>
      </c>
      <c r="R71" s="52">
        <f ca="1">_xll.DBRW($G$15,$H$21,$H$22,P$29,P$28,$H$24,$H$25,$G71,R$30)</f>
        <v>0</v>
      </c>
      <c r="S71" s="52">
        <f ca="1">_xll.DBRW($G$15,$H$21,$H$22,S$29,P$28,$H$24,$H$25,$G71,S$30)</f>
        <v>0</v>
      </c>
      <c r="T71" s="52">
        <f ca="1">_xll.DBRW($G$15,$H$21,$H$22,S$29,P$28,$H$24,$H$25,$G71,T$30)</f>
        <v>0</v>
      </c>
      <c r="U71" s="53">
        <f ca="1">_xll.DBRW($G$15,$H$21,$H$22,S$29,P$28,$H$24,$H$25,$G71,U$30)</f>
        <v>0</v>
      </c>
      <c r="V71" s="127">
        <f t="shared" ca="1" si="2"/>
        <v>0</v>
      </c>
      <c r="W71" s="128">
        <f t="shared" ca="1" si="3"/>
        <v>0</v>
      </c>
      <c r="X71" s="55">
        <f ca="1">_xll.DBRW($G$15,$H$21,$H$22,X$29,X$28,$H$24,$H$25,$G71,X$30)</f>
        <v>0</v>
      </c>
      <c r="Y71" s="52">
        <f ca="1">_xll.DBRW($G$15,$H$21,$H$22,X$29,X$28,$H$24,$H$25,$G71,Y$30)</f>
        <v>0</v>
      </c>
      <c r="Z71" s="52">
        <f ca="1">_xll.DBRW($G$15,$H$21,$H$22,X$29,X$28,$H$24,$H$25,$G71,Z$30)</f>
        <v>0</v>
      </c>
      <c r="AA71" s="52">
        <f ca="1">_xll.DBRW($G$15,$H$21,$H$22,AA$29,X$28,$H$24,$H$25,$G71,AA$30)</f>
        <v>0</v>
      </c>
      <c r="AB71" s="52">
        <f ca="1">_xll.DBRW($G$15,$H$21,$H$22,AA$29,X$28,$H$24,$H$25,$G71,AB$30)</f>
        <v>0</v>
      </c>
      <c r="AC71" s="53">
        <f ca="1">_xll.DBRW($G$15,$H$21,$H$22,AA$29,X$28,$H$24,$H$25,$G71,AC$30)</f>
        <v>0</v>
      </c>
      <c r="AD71" s="127">
        <f t="shared" ca="1" si="4"/>
        <v>0</v>
      </c>
      <c r="AE71" s="128">
        <f t="shared" ca="1" si="5"/>
        <v>0</v>
      </c>
      <c r="AF71" s="55">
        <f ca="1">_xll.DBRW($G$15,$H$21,$H$22,AF$29,AF$28,$H$24,$H$25,$G71,AF$30)</f>
        <v>0</v>
      </c>
      <c r="AG71" s="52">
        <f ca="1">_xll.DBRW($G$15,$H$21,$H$22,AF$29,AF$28,$H$24,$H$25,$G71,AG$30)</f>
        <v>0</v>
      </c>
      <c r="AH71" s="52">
        <f ca="1">_xll.DBRW($G$15,$H$21,$H$22,AF$29,AF$28,$H$24,$H$25,$G71,AH$30)</f>
        <v>0</v>
      </c>
      <c r="AI71" s="52">
        <f ca="1">_xll.DBRW($G$15,$H$21,$H$22,AI$29,AF$28,$H$24,$H$25,$G71,AI$30)</f>
        <v>0</v>
      </c>
      <c r="AJ71" s="52">
        <f ca="1">_xll.DBRW($G$15,$H$21,$H$22,AI$29,AF$28,$H$24,$H$25,$G71,AJ$30)</f>
        <v>0</v>
      </c>
      <c r="AK71" s="53">
        <f ca="1">_xll.DBRW($G$15,$H$21,$H$22,AI$29,AF$28,$H$24,$H$25,$G71,AK$30)</f>
        <v>0</v>
      </c>
      <c r="AL71" s="140">
        <f t="shared" ca="1" si="6"/>
        <v>0</v>
      </c>
      <c r="AM71" s="140">
        <f t="shared" ca="1" si="7"/>
        <v>0</v>
      </c>
    </row>
    <row r="72" spans="1:39">
      <c r="A72">
        <f ca="1">IF(_xll.TM1RPTELISCONSOLIDATED($G$31,$G72),IF(_xll.TM1RPTELLEV($G$31,$G72)&lt;=3,_xll.TM1RPTELLEV($G$31,$G72),"D"),"N")</f>
        <v>2</v>
      </c>
      <c r="G72" s="80" t="s">
        <v>229</v>
      </c>
      <c r="H72" s="52">
        <f ca="1">_xll.DBRW($G$15,$H$21,$H$22,H$29,H$28,$H$24,$H$25,$G72,H$30)</f>
        <v>0</v>
      </c>
      <c r="I72" s="52">
        <f ca="1">_xll.DBRW($G$15,$H$21,$H$22,H$29,H$28,$H$24,$H$25,$G72,I$30)</f>
        <v>0</v>
      </c>
      <c r="J72" s="52">
        <f ca="1">_xll.DBRW($G$15,$H$21,$H$22,H$29,H$28,$H$24,$H$25,$G72,J$30)</f>
        <v>0</v>
      </c>
      <c r="K72" s="52">
        <f ca="1">_xll.DBRW($G$15,$H$21,$H$22,K$29,H$28,$H$24,$H$25,$G72,K$30)</f>
        <v>0</v>
      </c>
      <c r="L72" s="52">
        <f ca="1">_xll.DBRW($G$15,$H$21,$H$22,K$29,H$28,$H$24,$H$25,$G72,L$30)</f>
        <v>0</v>
      </c>
      <c r="M72" s="53">
        <f ca="1">_xll.DBRW($G$15,$H$21,$H$22,K$29,H$28,$H$24,$H$25,$G72,M$30)</f>
        <v>0</v>
      </c>
      <c r="N72" s="127">
        <f t="shared" ca="1" si="0"/>
        <v>0</v>
      </c>
      <c r="O72" s="128">
        <f t="shared" ca="1" si="1"/>
        <v>0</v>
      </c>
      <c r="P72" s="55">
        <f ca="1">_xll.DBRW($G$15,$H$21,$H$22,P$29,P$28,$H$24,$H$25,$G72,P$30)</f>
        <v>0</v>
      </c>
      <c r="Q72" s="52">
        <f ca="1">_xll.DBRW($G$15,$H$21,$H$22,P$29,P$28,$H$24,$H$25,$G72,Q$30)</f>
        <v>0</v>
      </c>
      <c r="R72" s="52">
        <f ca="1">_xll.DBRW($G$15,$H$21,$H$22,P$29,P$28,$H$24,$H$25,$G72,R$30)</f>
        <v>0</v>
      </c>
      <c r="S72" s="52">
        <f ca="1">_xll.DBRW($G$15,$H$21,$H$22,S$29,P$28,$H$24,$H$25,$G72,S$30)</f>
        <v>0</v>
      </c>
      <c r="T72" s="52">
        <f ca="1">_xll.DBRW($G$15,$H$21,$H$22,S$29,P$28,$H$24,$H$25,$G72,T$30)</f>
        <v>0</v>
      </c>
      <c r="U72" s="53">
        <f ca="1">_xll.DBRW($G$15,$H$21,$H$22,S$29,P$28,$H$24,$H$25,$G72,U$30)</f>
        <v>0</v>
      </c>
      <c r="V72" s="127">
        <f t="shared" ca="1" si="2"/>
        <v>0</v>
      </c>
      <c r="W72" s="128">
        <f t="shared" ca="1" si="3"/>
        <v>0</v>
      </c>
      <c r="X72" s="55">
        <f ca="1">_xll.DBRW($G$15,$H$21,$H$22,X$29,X$28,$H$24,$H$25,$G72,X$30)</f>
        <v>0</v>
      </c>
      <c r="Y72" s="52">
        <f ca="1">_xll.DBRW($G$15,$H$21,$H$22,X$29,X$28,$H$24,$H$25,$G72,Y$30)</f>
        <v>0</v>
      </c>
      <c r="Z72" s="52">
        <f ca="1">_xll.DBRW($G$15,$H$21,$H$22,X$29,X$28,$H$24,$H$25,$G72,Z$30)</f>
        <v>0</v>
      </c>
      <c r="AA72" s="52">
        <f ca="1">_xll.DBRW($G$15,$H$21,$H$22,AA$29,X$28,$H$24,$H$25,$G72,AA$30)</f>
        <v>0</v>
      </c>
      <c r="AB72" s="52">
        <f ca="1">_xll.DBRW($G$15,$H$21,$H$22,AA$29,X$28,$H$24,$H$25,$G72,AB$30)</f>
        <v>0</v>
      </c>
      <c r="AC72" s="53">
        <f ca="1">_xll.DBRW($G$15,$H$21,$H$22,AA$29,X$28,$H$24,$H$25,$G72,AC$30)</f>
        <v>0</v>
      </c>
      <c r="AD72" s="127">
        <f t="shared" ca="1" si="4"/>
        <v>0</v>
      </c>
      <c r="AE72" s="128">
        <f t="shared" ca="1" si="5"/>
        <v>0</v>
      </c>
      <c r="AF72" s="55">
        <f ca="1">_xll.DBRW($G$15,$H$21,$H$22,AF$29,AF$28,$H$24,$H$25,$G72,AF$30)</f>
        <v>0</v>
      </c>
      <c r="AG72" s="52">
        <f ca="1">_xll.DBRW($G$15,$H$21,$H$22,AF$29,AF$28,$H$24,$H$25,$G72,AG$30)</f>
        <v>0</v>
      </c>
      <c r="AH72" s="52">
        <f ca="1">_xll.DBRW($G$15,$H$21,$H$22,AF$29,AF$28,$H$24,$H$25,$G72,AH$30)</f>
        <v>0</v>
      </c>
      <c r="AI72" s="52">
        <f ca="1">_xll.DBRW($G$15,$H$21,$H$22,AI$29,AF$28,$H$24,$H$25,$G72,AI$30)</f>
        <v>0</v>
      </c>
      <c r="AJ72" s="52">
        <f ca="1">_xll.DBRW($G$15,$H$21,$H$22,AI$29,AF$28,$H$24,$H$25,$G72,AJ$30)</f>
        <v>0</v>
      </c>
      <c r="AK72" s="53">
        <f ca="1">_xll.DBRW($G$15,$H$21,$H$22,AI$29,AF$28,$H$24,$H$25,$G72,AK$30)</f>
        <v>0</v>
      </c>
      <c r="AL72" s="140">
        <f t="shared" ca="1" si="6"/>
        <v>0</v>
      </c>
      <c r="AM72" s="140">
        <f t="shared" ca="1" si="7"/>
        <v>0</v>
      </c>
    </row>
    <row r="73" spans="1:39">
      <c r="A73">
        <f ca="1">IF(_xll.TM1RPTELISCONSOLIDATED($G$31,$G73),IF(_xll.TM1RPTELLEV($G$31,$G73)&lt;=3,_xll.TM1RPTELLEV($G$31,$G73),"D"),"N")</f>
        <v>3</v>
      </c>
      <c r="G73" s="141" t="s">
        <v>230</v>
      </c>
      <c r="H73" s="129">
        <f ca="1">_xll.DBRW($G$15,$H$21,$H$22,H$29,H$28,$H$24,$H$25,$G73,H$30)</f>
        <v>0</v>
      </c>
      <c r="I73" s="129">
        <f ca="1">_xll.DBRW($G$15,$H$21,$H$22,H$29,H$28,$H$24,$H$25,$G73,I$30)</f>
        <v>0</v>
      </c>
      <c r="J73" s="129">
        <f ca="1">_xll.DBRW($G$15,$H$21,$H$22,H$29,H$28,$H$24,$H$25,$G73,J$30)</f>
        <v>0</v>
      </c>
      <c r="K73" s="129">
        <f ca="1">_xll.DBRW($G$15,$H$21,$H$22,K$29,H$28,$H$24,$H$25,$G73,K$30)</f>
        <v>0</v>
      </c>
      <c r="L73" s="129">
        <f ca="1">_xll.DBRW($G$15,$H$21,$H$22,K$29,H$28,$H$24,$H$25,$G73,L$30)</f>
        <v>0</v>
      </c>
      <c r="M73" s="130">
        <f ca="1">_xll.DBRW($G$15,$H$21,$H$22,K$29,H$28,$H$24,$H$25,$G73,M$30)</f>
        <v>0</v>
      </c>
      <c r="N73" s="131">
        <f t="shared" ca="1" si="0"/>
        <v>0</v>
      </c>
      <c r="O73" s="132">
        <f t="shared" ca="1" si="1"/>
        <v>0</v>
      </c>
      <c r="P73" s="133">
        <f ca="1">_xll.DBRW($G$15,$H$21,$H$22,P$29,P$28,$H$24,$H$25,$G73,P$30)</f>
        <v>0</v>
      </c>
      <c r="Q73" s="129">
        <f ca="1">_xll.DBRW($G$15,$H$21,$H$22,P$29,P$28,$H$24,$H$25,$G73,Q$30)</f>
        <v>0</v>
      </c>
      <c r="R73" s="129">
        <f ca="1">_xll.DBRW($G$15,$H$21,$H$22,P$29,P$28,$H$24,$H$25,$G73,R$30)</f>
        <v>0</v>
      </c>
      <c r="S73" s="129">
        <f ca="1">_xll.DBRW($G$15,$H$21,$H$22,S$29,P$28,$H$24,$H$25,$G73,S$30)</f>
        <v>0</v>
      </c>
      <c r="T73" s="129">
        <f ca="1">_xll.DBRW($G$15,$H$21,$H$22,S$29,P$28,$H$24,$H$25,$G73,T$30)</f>
        <v>0</v>
      </c>
      <c r="U73" s="130">
        <f ca="1">_xll.DBRW($G$15,$H$21,$H$22,S$29,P$28,$H$24,$H$25,$G73,U$30)</f>
        <v>0</v>
      </c>
      <c r="V73" s="131">
        <f t="shared" ca="1" si="2"/>
        <v>0</v>
      </c>
      <c r="W73" s="132">
        <f t="shared" ca="1" si="3"/>
        <v>0</v>
      </c>
      <c r="X73" s="133">
        <f ca="1">_xll.DBRW($G$15,$H$21,$H$22,X$29,X$28,$H$24,$H$25,$G73,X$30)</f>
        <v>0</v>
      </c>
      <c r="Y73" s="129">
        <f ca="1">_xll.DBRW($G$15,$H$21,$H$22,X$29,X$28,$H$24,$H$25,$G73,Y$30)</f>
        <v>0</v>
      </c>
      <c r="Z73" s="129">
        <f ca="1">_xll.DBRW($G$15,$H$21,$H$22,X$29,X$28,$H$24,$H$25,$G73,Z$30)</f>
        <v>0</v>
      </c>
      <c r="AA73" s="129">
        <f ca="1">_xll.DBRW($G$15,$H$21,$H$22,AA$29,X$28,$H$24,$H$25,$G73,AA$30)</f>
        <v>0</v>
      </c>
      <c r="AB73" s="129">
        <f ca="1">_xll.DBRW($G$15,$H$21,$H$22,AA$29,X$28,$H$24,$H$25,$G73,AB$30)</f>
        <v>0</v>
      </c>
      <c r="AC73" s="130">
        <f ca="1">_xll.DBRW($G$15,$H$21,$H$22,AA$29,X$28,$H$24,$H$25,$G73,AC$30)</f>
        <v>0</v>
      </c>
      <c r="AD73" s="131">
        <f t="shared" ca="1" si="4"/>
        <v>0</v>
      </c>
      <c r="AE73" s="132">
        <f t="shared" ca="1" si="5"/>
        <v>0</v>
      </c>
      <c r="AF73" s="133">
        <f ca="1">_xll.DBRW($G$15,$H$21,$H$22,AF$29,AF$28,$H$24,$H$25,$G73,AF$30)</f>
        <v>0</v>
      </c>
      <c r="AG73" s="129">
        <f ca="1">_xll.DBRW($G$15,$H$21,$H$22,AF$29,AF$28,$H$24,$H$25,$G73,AG$30)</f>
        <v>0</v>
      </c>
      <c r="AH73" s="129">
        <f ca="1">_xll.DBRW($G$15,$H$21,$H$22,AF$29,AF$28,$H$24,$H$25,$G73,AH$30)</f>
        <v>0</v>
      </c>
      <c r="AI73" s="129">
        <f ca="1">_xll.DBRW($G$15,$H$21,$H$22,AI$29,AF$28,$H$24,$H$25,$G73,AI$30)</f>
        <v>0</v>
      </c>
      <c r="AJ73" s="129">
        <f ca="1">_xll.DBRW($G$15,$H$21,$H$22,AI$29,AF$28,$H$24,$H$25,$G73,AJ$30)</f>
        <v>0</v>
      </c>
      <c r="AK73" s="130">
        <f ca="1">_xll.DBRW($G$15,$H$21,$H$22,AI$29,AF$28,$H$24,$H$25,$G73,AK$30)</f>
        <v>0</v>
      </c>
      <c r="AL73" s="140">
        <f t="shared" ca="1" si="6"/>
        <v>0</v>
      </c>
      <c r="AM73" s="140">
        <f t="shared" ca="1" si="7"/>
        <v>0</v>
      </c>
    </row>
    <row r="74" spans="1:39">
      <c r="A74">
        <f ca="1">IF(_xll.TM1RPTELISCONSOLIDATED($G$31,$G74),IF(_xll.TM1RPTELLEV($G$31,$G74)&lt;=3,_xll.TM1RPTELLEV($G$31,$G74),"D"),"N")</f>
        <v>3</v>
      </c>
      <c r="G74" s="141" t="s">
        <v>231</v>
      </c>
      <c r="H74" s="129">
        <f ca="1">_xll.DBRW($G$15,$H$21,$H$22,H$29,H$28,$H$24,$H$25,$G74,H$30)</f>
        <v>0</v>
      </c>
      <c r="I74" s="129">
        <f ca="1">_xll.DBRW($G$15,$H$21,$H$22,H$29,H$28,$H$24,$H$25,$G74,I$30)</f>
        <v>0</v>
      </c>
      <c r="J74" s="129">
        <f ca="1">_xll.DBRW($G$15,$H$21,$H$22,H$29,H$28,$H$24,$H$25,$G74,J$30)</f>
        <v>0</v>
      </c>
      <c r="K74" s="129">
        <f ca="1">_xll.DBRW($G$15,$H$21,$H$22,K$29,H$28,$H$24,$H$25,$G74,K$30)</f>
        <v>0</v>
      </c>
      <c r="L74" s="129">
        <f ca="1">_xll.DBRW($G$15,$H$21,$H$22,K$29,H$28,$H$24,$H$25,$G74,L$30)</f>
        <v>0</v>
      </c>
      <c r="M74" s="130">
        <f ca="1">_xll.DBRW($G$15,$H$21,$H$22,K$29,H$28,$H$24,$H$25,$G74,M$30)</f>
        <v>0</v>
      </c>
      <c r="N74" s="131">
        <f t="shared" ca="1" si="0"/>
        <v>0</v>
      </c>
      <c r="O74" s="132">
        <f t="shared" ca="1" si="1"/>
        <v>0</v>
      </c>
      <c r="P74" s="133">
        <f ca="1">_xll.DBRW($G$15,$H$21,$H$22,P$29,P$28,$H$24,$H$25,$G74,P$30)</f>
        <v>0</v>
      </c>
      <c r="Q74" s="129">
        <f ca="1">_xll.DBRW($G$15,$H$21,$H$22,P$29,P$28,$H$24,$H$25,$G74,Q$30)</f>
        <v>0</v>
      </c>
      <c r="R74" s="129">
        <f ca="1">_xll.DBRW($G$15,$H$21,$H$22,P$29,P$28,$H$24,$H$25,$G74,R$30)</f>
        <v>0</v>
      </c>
      <c r="S74" s="129">
        <f ca="1">_xll.DBRW($G$15,$H$21,$H$22,S$29,P$28,$H$24,$H$25,$G74,S$30)</f>
        <v>0</v>
      </c>
      <c r="T74" s="129">
        <f ca="1">_xll.DBRW($G$15,$H$21,$H$22,S$29,P$28,$H$24,$H$25,$G74,T$30)</f>
        <v>0</v>
      </c>
      <c r="U74" s="130">
        <f ca="1">_xll.DBRW($G$15,$H$21,$H$22,S$29,P$28,$H$24,$H$25,$G74,U$30)</f>
        <v>0</v>
      </c>
      <c r="V74" s="131">
        <f t="shared" ca="1" si="2"/>
        <v>0</v>
      </c>
      <c r="W74" s="132">
        <f t="shared" ca="1" si="3"/>
        <v>0</v>
      </c>
      <c r="X74" s="133">
        <f ca="1">_xll.DBRW($G$15,$H$21,$H$22,X$29,X$28,$H$24,$H$25,$G74,X$30)</f>
        <v>0</v>
      </c>
      <c r="Y74" s="129">
        <f ca="1">_xll.DBRW($G$15,$H$21,$H$22,X$29,X$28,$H$24,$H$25,$G74,Y$30)</f>
        <v>0</v>
      </c>
      <c r="Z74" s="129">
        <f ca="1">_xll.DBRW($G$15,$H$21,$H$22,X$29,X$28,$H$24,$H$25,$G74,Z$30)</f>
        <v>0</v>
      </c>
      <c r="AA74" s="129">
        <f ca="1">_xll.DBRW($G$15,$H$21,$H$22,AA$29,X$28,$H$24,$H$25,$G74,AA$30)</f>
        <v>0</v>
      </c>
      <c r="AB74" s="129">
        <f ca="1">_xll.DBRW($G$15,$H$21,$H$22,AA$29,X$28,$H$24,$H$25,$G74,AB$30)</f>
        <v>0</v>
      </c>
      <c r="AC74" s="130">
        <f ca="1">_xll.DBRW($G$15,$H$21,$H$22,AA$29,X$28,$H$24,$H$25,$G74,AC$30)</f>
        <v>0</v>
      </c>
      <c r="AD74" s="131">
        <f t="shared" ca="1" si="4"/>
        <v>0</v>
      </c>
      <c r="AE74" s="132">
        <f t="shared" ca="1" si="5"/>
        <v>0</v>
      </c>
      <c r="AF74" s="133">
        <f ca="1">_xll.DBRW($G$15,$H$21,$H$22,AF$29,AF$28,$H$24,$H$25,$G74,AF$30)</f>
        <v>0</v>
      </c>
      <c r="AG74" s="129">
        <f ca="1">_xll.DBRW($G$15,$H$21,$H$22,AF$29,AF$28,$H$24,$H$25,$G74,AG$30)</f>
        <v>0</v>
      </c>
      <c r="AH74" s="129">
        <f ca="1">_xll.DBRW($G$15,$H$21,$H$22,AF$29,AF$28,$H$24,$H$25,$G74,AH$30)</f>
        <v>0</v>
      </c>
      <c r="AI74" s="129">
        <f ca="1">_xll.DBRW($G$15,$H$21,$H$22,AI$29,AF$28,$H$24,$H$25,$G74,AI$30)</f>
        <v>0</v>
      </c>
      <c r="AJ74" s="129">
        <f ca="1">_xll.DBRW($G$15,$H$21,$H$22,AI$29,AF$28,$H$24,$H$25,$G74,AJ$30)</f>
        <v>0</v>
      </c>
      <c r="AK74" s="130">
        <f ca="1">_xll.DBRW($G$15,$H$21,$H$22,AI$29,AF$28,$H$24,$H$25,$G74,AK$30)</f>
        <v>0</v>
      </c>
      <c r="AL74" s="140">
        <f t="shared" ca="1" si="6"/>
        <v>0</v>
      </c>
      <c r="AM74" s="140">
        <f t="shared" ca="1" si="7"/>
        <v>0</v>
      </c>
    </row>
    <row r="75" spans="1:39">
      <c r="A75">
        <f ca="1">IF(_xll.TM1RPTELISCONSOLIDATED($G$31,$G75),IF(_xll.TM1RPTELLEV($G$31,$G75)&lt;=3,_xll.TM1RPTELLEV($G$31,$G75),"D"),"N")</f>
        <v>3</v>
      </c>
      <c r="G75" s="141" t="s">
        <v>232</v>
      </c>
      <c r="H75" s="129">
        <f ca="1">_xll.DBRW($G$15,$H$21,$H$22,H$29,H$28,$H$24,$H$25,$G75,H$30)</f>
        <v>0</v>
      </c>
      <c r="I75" s="129">
        <f ca="1">_xll.DBRW($G$15,$H$21,$H$22,H$29,H$28,$H$24,$H$25,$G75,I$30)</f>
        <v>0</v>
      </c>
      <c r="J75" s="129">
        <f ca="1">_xll.DBRW($G$15,$H$21,$H$22,H$29,H$28,$H$24,$H$25,$G75,J$30)</f>
        <v>0</v>
      </c>
      <c r="K75" s="129">
        <f ca="1">_xll.DBRW($G$15,$H$21,$H$22,K$29,H$28,$H$24,$H$25,$G75,K$30)</f>
        <v>0</v>
      </c>
      <c r="L75" s="129">
        <f ca="1">_xll.DBRW($G$15,$H$21,$H$22,K$29,H$28,$H$24,$H$25,$G75,L$30)</f>
        <v>0</v>
      </c>
      <c r="M75" s="130">
        <f ca="1">_xll.DBRW($G$15,$H$21,$H$22,K$29,H$28,$H$24,$H$25,$G75,M$30)</f>
        <v>0</v>
      </c>
      <c r="N75" s="131">
        <f t="shared" ca="1" si="0"/>
        <v>0</v>
      </c>
      <c r="O75" s="132">
        <f t="shared" ca="1" si="1"/>
        <v>0</v>
      </c>
      <c r="P75" s="133">
        <f ca="1">_xll.DBRW($G$15,$H$21,$H$22,P$29,P$28,$H$24,$H$25,$G75,P$30)</f>
        <v>0</v>
      </c>
      <c r="Q75" s="129">
        <f ca="1">_xll.DBRW($G$15,$H$21,$H$22,P$29,P$28,$H$24,$H$25,$G75,Q$30)</f>
        <v>0</v>
      </c>
      <c r="R75" s="129">
        <f ca="1">_xll.DBRW($G$15,$H$21,$H$22,P$29,P$28,$H$24,$H$25,$G75,R$30)</f>
        <v>0</v>
      </c>
      <c r="S75" s="129">
        <f ca="1">_xll.DBRW($G$15,$H$21,$H$22,S$29,P$28,$H$24,$H$25,$G75,S$30)</f>
        <v>0</v>
      </c>
      <c r="T75" s="129">
        <f ca="1">_xll.DBRW($G$15,$H$21,$H$22,S$29,P$28,$H$24,$H$25,$G75,T$30)</f>
        <v>0</v>
      </c>
      <c r="U75" s="130">
        <f ca="1">_xll.DBRW($G$15,$H$21,$H$22,S$29,P$28,$H$24,$H$25,$G75,U$30)</f>
        <v>0</v>
      </c>
      <c r="V75" s="131">
        <f t="shared" ca="1" si="2"/>
        <v>0</v>
      </c>
      <c r="W75" s="132">
        <f t="shared" ca="1" si="3"/>
        <v>0</v>
      </c>
      <c r="X75" s="133">
        <f ca="1">_xll.DBRW($G$15,$H$21,$H$22,X$29,X$28,$H$24,$H$25,$G75,X$30)</f>
        <v>0</v>
      </c>
      <c r="Y75" s="129">
        <f ca="1">_xll.DBRW($G$15,$H$21,$H$22,X$29,X$28,$H$24,$H$25,$G75,Y$30)</f>
        <v>0</v>
      </c>
      <c r="Z75" s="129">
        <f ca="1">_xll.DBRW($G$15,$H$21,$H$22,X$29,X$28,$H$24,$H$25,$G75,Z$30)</f>
        <v>0</v>
      </c>
      <c r="AA75" s="129">
        <f ca="1">_xll.DBRW($G$15,$H$21,$H$22,AA$29,X$28,$H$24,$H$25,$G75,AA$30)</f>
        <v>0</v>
      </c>
      <c r="AB75" s="129">
        <f ca="1">_xll.DBRW($G$15,$H$21,$H$22,AA$29,X$28,$H$24,$H$25,$G75,AB$30)</f>
        <v>0</v>
      </c>
      <c r="AC75" s="130">
        <f ca="1">_xll.DBRW($G$15,$H$21,$H$22,AA$29,X$28,$H$24,$H$25,$G75,AC$30)</f>
        <v>0</v>
      </c>
      <c r="AD75" s="131">
        <f t="shared" ca="1" si="4"/>
        <v>0</v>
      </c>
      <c r="AE75" s="132">
        <f t="shared" ca="1" si="5"/>
        <v>0</v>
      </c>
      <c r="AF75" s="133">
        <f ca="1">_xll.DBRW($G$15,$H$21,$H$22,AF$29,AF$28,$H$24,$H$25,$G75,AF$30)</f>
        <v>0</v>
      </c>
      <c r="AG75" s="129">
        <f ca="1">_xll.DBRW($G$15,$H$21,$H$22,AF$29,AF$28,$H$24,$H$25,$G75,AG$30)</f>
        <v>0</v>
      </c>
      <c r="AH75" s="129">
        <f ca="1">_xll.DBRW($G$15,$H$21,$H$22,AF$29,AF$28,$H$24,$H$25,$G75,AH$30)</f>
        <v>0</v>
      </c>
      <c r="AI75" s="129">
        <f ca="1">_xll.DBRW($G$15,$H$21,$H$22,AI$29,AF$28,$H$24,$H$25,$G75,AI$30)</f>
        <v>0</v>
      </c>
      <c r="AJ75" s="129">
        <f ca="1">_xll.DBRW($G$15,$H$21,$H$22,AI$29,AF$28,$H$24,$H$25,$G75,AJ$30)</f>
        <v>0</v>
      </c>
      <c r="AK75" s="130">
        <f ca="1">_xll.DBRW($G$15,$H$21,$H$22,AI$29,AF$28,$H$24,$H$25,$G75,AK$30)</f>
        <v>0</v>
      </c>
      <c r="AL75" s="140">
        <f t="shared" ca="1" si="6"/>
        <v>0</v>
      </c>
      <c r="AM75" s="140">
        <f t="shared" ca="1" si="7"/>
        <v>0</v>
      </c>
    </row>
    <row r="76" spans="1:39">
      <c r="A76">
        <f ca="1">IF(_xll.TM1RPTELISCONSOLIDATED($G$31,$G76),IF(_xll.TM1RPTELLEV($G$31,$G76)&lt;=3,_xll.TM1RPTELLEV($G$31,$G76),"D"),"N")</f>
        <v>3</v>
      </c>
      <c r="G76" s="141" t="s">
        <v>233</v>
      </c>
      <c r="H76" s="129">
        <f ca="1">_xll.DBRW($G$15,$H$21,$H$22,H$29,H$28,$H$24,$H$25,$G76,H$30)</f>
        <v>0</v>
      </c>
      <c r="I76" s="129">
        <f ca="1">_xll.DBRW($G$15,$H$21,$H$22,H$29,H$28,$H$24,$H$25,$G76,I$30)</f>
        <v>0</v>
      </c>
      <c r="J76" s="129">
        <f ca="1">_xll.DBRW($G$15,$H$21,$H$22,H$29,H$28,$H$24,$H$25,$G76,J$30)</f>
        <v>0</v>
      </c>
      <c r="K76" s="129">
        <f ca="1">_xll.DBRW($G$15,$H$21,$H$22,K$29,H$28,$H$24,$H$25,$G76,K$30)</f>
        <v>0</v>
      </c>
      <c r="L76" s="129">
        <f ca="1">_xll.DBRW($G$15,$H$21,$H$22,K$29,H$28,$H$24,$H$25,$G76,L$30)</f>
        <v>0</v>
      </c>
      <c r="M76" s="130">
        <f ca="1">_xll.DBRW($G$15,$H$21,$H$22,K$29,H$28,$H$24,$H$25,$G76,M$30)</f>
        <v>0</v>
      </c>
      <c r="N76" s="131">
        <f t="shared" ca="1" si="0"/>
        <v>0</v>
      </c>
      <c r="O76" s="132">
        <f t="shared" ca="1" si="1"/>
        <v>0</v>
      </c>
      <c r="P76" s="133">
        <f ca="1">_xll.DBRW($G$15,$H$21,$H$22,P$29,P$28,$H$24,$H$25,$G76,P$30)</f>
        <v>0</v>
      </c>
      <c r="Q76" s="129">
        <f ca="1">_xll.DBRW($G$15,$H$21,$H$22,P$29,P$28,$H$24,$H$25,$G76,Q$30)</f>
        <v>0</v>
      </c>
      <c r="R76" s="129">
        <f ca="1">_xll.DBRW($G$15,$H$21,$H$22,P$29,P$28,$H$24,$H$25,$G76,R$30)</f>
        <v>0</v>
      </c>
      <c r="S76" s="129">
        <f ca="1">_xll.DBRW($G$15,$H$21,$H$22,S$29,P$28,$H$24,$H$25,$G76,S$30)</f>
        <v>0</v>
      </c>
      <c r="T76" s="129">
        <f ca="1">_xll.DBRW($G$15,$H$21,$H$22,S$29,P$28,$H$24,$H$25,$G76,T$30)</f>
        <v>0</v>
      </c>
      <c r="U76" s="130">
        <f ca="1">_xll.DBRW($G$15,$H$21,$H$22,S$29,P$28,$H$24,$H$25,$G76,U$30)</f>
        <v>0</v>
      </c>
      <c r="V76" s="131">
        <f t="shared" ca="1" si="2"/>
        <v>0</v>
      </c>
      <c r="W76" s="132">
        <f t="shared" ca="1" si="3"/>
        <v>0</v>
      </c>
      <c r="X76" s="133">
        <f ca="1">_xll.DBRW($G$15,$H$21,$H$22,X$29,X$28,$H$24,$H$25,$G76,X$30)</f>
        <v>0</v>
      </c>
      <c r="Y76" s="129">
        <f ca="1">_xll.DBRW($G$15,$H$21,$H$22,X$29,X$28,$H$24,$H$25,$G76,Y$30)</f>
        <v>0</v>
      </c>
      <c r="Z76" s="129">
        <f ca="1">_xll.DBRW($G$15,$H$21,$H$22,X$29,X$28,$H$24,$H$25,$G76,Z$30)</f>
        <v>0</v>
      </c>
      <c r="AA76" s="129">
        <f ca="1">_xll.DBRW($G$15,$H$21,$H$22,AA$29,X$28,$H$24,$H$25,$G76,AA$30)</f>
        <v>0</v>
      </c>
      <c r="AB76" s="129">
        <f ca="1">_xll.DBRW($G$15,$H$21,$H$22,AA$29,X$28,$H$24,$H$25,$G76,AB$30)</f>
        <v>0</v>
      </c>
      <c r="AC76" s="130">
        <f ca="1">_xll.DBRW($G$15,$H$21,$H$22,AA$29,X$28,$H$24,$H$25,$G76,AC$30)</f>
        <v>0</v>
      </c>
      <c r="AD76" s="131">
        <f t="shared" ca="1" si="4"/>
        <v>0</v>
      </c>
      <c r="AE76" s="132">
        <f t="shared" ca="1" si="5"/>
        <v>0</v>
      </c>
      <c r="AF76" s="133">
        <f ca="1">_xll.DBRW($G$15,$H$21,$H$22,AF$29,AF$28,$H$24,$H$25,$G76,AF$30)</f>
        <v>0</v>
      </c>
      <c r="AG76" s="129">
        <f ca="1">_xll.DBRW($G$15,$H$21,$H$22,AF$29,AF$28,$H$24,$H$25,$G76,AG$30)</f>
        <v>0</v>
      </c>
      <c r="AH76" s="129">
        <f ca="1">_xll.DBRW($G$15,$H$21,$H$22,AF$29,AF$28,$H$24,$H$25,$G76,AH$30)</f>
        <v>0</v>
      </c>
      <c r="AI76" s="129">
        <f ca="1">_xll.DBRW($G$15,$H$21,$H$22,AI$29,AF$28,$H$24,$H$25,$G76,AI$30)</f>
        <v>0</v>
      </c>
      <c r="AJ76" s="129">
        <f ca="1">_xll.DBRW($G$15,$H$21,$H$22,AI$29,AF$28,$H$24,$H$25,$G76,AJ$30)</f>
        <v>0</v>
      </c>
      <c r="AK76" s="130">
        <f ca="1">_xll.DBRW($G$15,$H$21,$H$22,AI$29,AF$28,$H$24,$H$25,$G76,AK$30)</f>
        <v>0</v>
      </c>
      <c r="AL76" s="140">
        <f t="shared" ca="1" si="6"/>
        <v>0</v>
      </c>
      <c r="AM76" s="140">
        <f t="shared" ca="1" si="7"/>
        <v>0</v>
      </c>
    </row>
    <row r="77" spans="1:39">
      <c r="A77">
        <f ca="1">IF(_xll.TM1RPTELISCONSOLIDATED($G$31,$G77),IF(_xll.TM1RPTELLEV($G$31,$G77)&lt;=3,_xll.TM1RPTELLEV($G$31,$G77),"D"),"N")</f>
        <v>3</v>
      </c>
      <c r="G77" s="141" t="s">
        <v>234</v>
      </c>
      <c r="H77" s="129">
        <f ca="1">_xll.DBRW($G$15,$H$21,$H$22,H$29,H$28,$H$24,$H$25,$G77,H$30)</f>
        <v>0</v>
      </c>
      <c r="I77" s="129">
        <f ca="1">_xll.DBRW($G$15,$H$21,$H$22,H$29,H$28,$H$24,$H$25,$G77,I$30)</f>
        <v>0</v>
      </c>
      <c r="J77" s="129">
        <f ca="1">_xll.DBRW($G$15,$H$21,$H$22,H$29,H$28,$H$24,$H$25,$G77,J$30)</f>
        <v>0</v>
      </c>
      <c r="K77" s="129">
        <f ca="1">_xll.DBRW($G$15,$H$21,$H$22,K$29,H$28,$H$24,$H$25,$G77,K$30)</f>
        <v>0</v>
      </c>
      <c r="L77" s="129">
        <f ca="1">_xll.DBRW($G$15,$H$21,$H$22,K$29,H$28,$H$24,$H$25,$G77,L$30)</f>
        <v>0</v>
      </c>
      <c r="M77" s="130">
        <f ca="1">_xll.DBRW($G$15,$H$21,$H$22,K$29,H$28,$H$24,$H$25,$G77,M$30)</f>
        <v>0</v>
      </c>
      <c r="N77" s="131">
        <f t="shared" ca="1" si="0"/>
        <v>0</v>
      </c>
      <c r="O77" s="132">
        <f t="shared" ca="1" si="1"/>
        <v>0</v>
      </c>
      <c r="P77" s="133">
        <f ca="1">_xll.DBRW($G$15,$H$21,$H$22,P$29,P$28,$H$24,$H$25,$G77,P$30)</f>
        <v>0</v>
      </c>
      <c r="Q77" s="129">
        <f ca="1">_xll.DBRW($G$15,$H$21,$H$22,P$29,P$28,$H$24,$H$25,$G77,Q$30)</f>
        <v>0</v>
      </c>
      <c r="R77" s="129">
        <f ca="1">_xll.DBRW($G$15,$H$21,$H$22,P$29,P$28,$H$24,$H$25,$G77,R$30)</f>
        <v>0</v>
      </c>
      <c r="S77" s="129">
        <f ca="1">_xll.DBRW($G$15,$H$21,$H$22,S$29,P$28,$H$24,$H$25,$G77,S$30)</f>
        <v>0</v>
      </c>
      <c r="T77" s="129">
        <f ca="1">_xll.DBRW($G$15,$H$21,$H$22,S$29,P$28,$H$24,$H$25,$G77,T$30)</f>
        <v>0</v>
      </c>
      <c r="U77" s="130">
        <f ca="1">_xll.DBRW($G$15,$H$21,$H$22,S$29,P$28,$H$24,$H$25,$G77,U$30)</f>
        <v>0</v>
      </c>
      <c r="V77" s="131">
        <f t="shared" ca="1" si="2"/>
        <v>0</v>
      </c>
      <c r="W77" s="132">
        <f t="shared" ca="1" si="3"/>
        <v>0</v>
      </c>
      <c r="X77" s="133">
        <f ca="1">_xll.DBRW($G$15,$H$21,$H$22,X$29,X$28,$H$24,$H$25,$G77,X$30)</f>
        <v>0</v>
      </c>
      <c r="Y77" s="129">
        <f ca="1">_xll.DBRW($G$15,$H$21,$H$22,X$29,X$28,$H$24,$H$25,$G77,Y$30)</f>
        <v>0</v>
      </c>
      <c r="Z77" s="129">
        <f ca="1">_xll.DBRW($G$15,$H$21,$H$22,X$29,X$28,$H$24,$H$25,$G77,Z$30)</f>
        <v>0</v>
      </c>
      <c r="AA77" s="129">
        <f ca="1">_xll.DBRW($G$15,$H$21,$H$22,AA$29,X$28,$H$24,$H$25,$G77,AA$30)</f>
        <v>0</v>
      </c>
      <c r="AB77" s="129">
        <f ca="1">_xll.DBRW($G$15,$H$21,$H$22,AA$29,X$28,$H$24,$H$25,$G77,AB$30)</f>
        <v>0</v>
      </c>
      <c r="AC77" s="130">
        <f ca="1">_xll.DBRW($G$15,$H$21,$H$22,AA$29,X$28,$H$24,$H$25,$G77,AC$30)</f>
        <v>0</v>
      </c>
      <c r="AD77" s="131">
        <f t="shared" ca="1" si="4"/>
        <v>0</v>
      </c>
      <c r="AE77" s="132">
        <f t="shared" ca="1" si="5"/>
        <v>0</v>
      </c>
      <c r="AF77" s="133">
        <f ca="1">_xll.DBRW($G$15,$H$21,$H$22,AF$29,AF$28,$H$24,$H$25,$G77,AF$30)</f>
        <v>0</v>
      </c>
      <c r="AG77" s="129">
        <f ca="1">_xll.DBRW($G$15,$H$21,$H$22,AF$29,AF$28,$H$24,$H$25,$G77,AG$30)</f>
        <v>0</v>
      </c>
      <c r="AH77" s="129">
        <f ca="1">_xll.DBRW($G$15,$H$21,$H$22,AF$29,AF$28,$H$24,$H$25,$G77,AH$30)</f>
        <v>0</v>
      </c>
      <c r="AI77" s="129">
        <f ca="1">_xll.DBRW($G$15,$H$21,$H$22,AI$29,AF$28,$H$24,$H$25,$G77,AI$30)</f>
        <v>0</v>
      </c>
      <c r="AJ77" s="129">
        <f ca="1">_xll.DBRW($G$15,$H$21,$H$22,AI$29,AF$28,$H$24,$H$25,$G77,AJ$30)</f>
        <v>0</v>
      </c>
      <c r="AK77" s="130">
        <f ca="1">_xll.DBRW($G$15,$H$21,$H$22,AI$29,AF$28,$H$24,$H$25,$G77,AK$30)</f>
        <v>0</v>
      </c>
      <c r="AL77" s="140">
        <f t="shared" ca="1" si="6"/>
        <v>0</v>
      </c>
      <c r="AM77" s="140">
        <f t="shared" ca="1" si="7"/>
        <v>0</v>
      </c>
    </row>
    <row r="78" spans="1:39">
      <c r="A78">
        <f ca="1">IF(_xll.TM1RPTELISCONSOLIDATED($G$31,$G78),IF(_xll.TM1RPTELLEV($G$31,$G78)&lt;=3,_xll.TM1RPTELLEV($G$31,$G78),"D"),"N")</f>
        <v>2</v>
      </c>
      <c r="G78" s="80" t="s">
        <v>235</v>
      </c>
      <c r="H78" s="52">
        <f ca="1">_xll.DBRW($G$15,$H$21,$H$22,H$29,H$28,$H$24,$H$25,$G78,H$30)</f>
        <v>0</v>
      </c>
      <c r="I78" s="52">
        <f ca="1">_xll.DBRW($G$15,$H$21,$H$22,H$29,H$28,$H$24,$H$25,$G78,I$30)</f>
        <v>0</v>
      </c>
      <c r="J78" s="52">
        <f ca="1">_xll.DBRW($G$15,$H$21,$H$22,H$29,H$28,$H$24,$H$25,$G78,J$30)</f>
        <v>0</v>
      </c>
      <c r="K78" s="52">
        <f ca="1">_xll.DBRW($G$15,$H$21,$H$22,K$29,H$28,$H$24,$H$25,$G78,K$30)</f>
        <v>0</v>
      </c>
      <c r="L78" s="52">
        <f ca="1">_xll.DBRW($G$15,$H$21,$H$22,K$29,H$28,$H$24,$H$25,$G78,L$30)</f>
        <v>0</v>
      </c>
      <c r="M78" s="53">
        <f ca="1">_xll.DBRW($G$15,$H$21,$H$22,K$29,H$28,$H$24,$H$25,$G78,M$30)</f>
        <v>0</v>
      </c>
      <c r="N78" s="127">
        <f t="shared" ca="1" si="0"/>
        <v>0</v>
      </c>
      <c r="O78" s="128">
        <f t="shared" ca="1" si="1"/>
        <v>0</v>
      </c>
      <c r="P78" s="55">
        <f ca="1">_xll.DBRW($G$15,$H$21,$H$22,P$29,P$28,$H$24,$H$25,$G78,P$30)</f>
        <v>0</v>
      </c>
      <c r="Q78" s="52">
        <f ca="1">_xll.DBRW($G$15,$H$21,$H$22,P$29,P$28,$H$24,$H$25,$G78,Q$30)</f>
        <v>0</v>
      </c>
      <c r="R78" s="52">
        <f ca="1">_xll.DBRW($G$15,$H$21,$H$22,P$29,P$28,$H$24,$H$25,$G78,R$30)</f>
        <v>0</v>
      </c>
      <c r="S78" s="52">
        <f ca="1">_xll.DBRW($G$15,$H$21,$H$22,S$29,P$28,$H$24,$H$25,$G78,S$30)</f>
        <v>0</v>
      </c>
      <c r="T78" s="52">
        <f ca="1">_xll.DBRW($G$15,$H$21,$H$22,S$29,P$28,$H$24,$H$25,$G78,T$30)</f>
        <v>0</v>
      </c>
      <c r="U78" s="53">
        <f ca="1">_xll.DBRW($G$15,$H$21,$H$22,S$29,P$28,$H$24,$H$25,$G78,U$30)</f>
        <v>0</v>
      </c>
      <c r="V78" s="127">
        <f t="shared" ca="1" si="2"/>
        <v>0</v>
      </c>
      <c r="W78" s="128">
        <f t="shared" ca="1" si="3"/>
        <v>0</v>
      </c>
      <c r="X78" s="55">
        <f ca="1">_xll.DBRW($G$15,$H$21,$H$22,X$29,X$28,$H$24,$H$25,$G78,X$30)</f>
        <v>0</v>
      </c>
      <c r="Y78" s="52">
        <f ca="1">_xll.DBRW($G$15,$H$21,$H$22,X$29,X$28,$H$24,$H$25,$G78,Y$30)</f>
        <v>0</v>
      </c>
      <c r="Z78" s="52">
        <f ca="1">_xll.DBRW($G$15,$H$21,$H$22,X$29,X$28,$H$24,$H$25,$G78,Z$30)</f>
        <v>0</v>
      </c>
      <c r="AA78" s="52">
        <f ca="1">_xll.DBRW($G$15,$H$21,$H$22,AA$29,X$28,$H$24,$H$25,$G78,AA$30)</f>
        <v>0</v>
      </c>
      <c r="AB78" s="52">
        <f ca="1">_xll.DBRW($G$15,$H$21,$H$22,AA$29,X$28,$H$24,$H$25,$G78,AB$30)</f>
        <v>0</v>
      </c>
      <c r="AC78" s="53">
        <f ca="1">_xll.DBRW($G$15,$H$21,$H$22,AA$29,X$28,$H$24,$H$25,$G78,AC$30)</f>
        <v>0</v>
      </c>
      <c r="AD78" s="127">
        <f t="shared" ca="1" si="4"/>
        <v>0</v>
      </c>
      <c r="AE78" s="128">
        <f t="shared" ca="1" si="5"/>
        <v>0</v>
      </c>
      <c r="AF78" s="55">
        <f ca="1">_xll.DBRW($G$15,$H$21,$H$22,AF$29,AF$28,$H$24,$H$25,$G78,AF$30)</f>
        <v>0</v>
      </c>
      <c r="AG78" s="52">
        <f ca="1">_xll.DBRW($G$15,$H$21,$H$22,AF$29,AF$28,$H$24,$H$25,$G78,AG$30)</f>
        <v>0</v>
      </c>
      <c r="AH78" s="52">
        <f ca="1">_xll.DBRW($G$15,$H$21,$H$22,AF$29,AF$28,$H$24,$H$25,$G78,AH$30)</f>
        <v>0</v>
      </c>
      <c r="AI78" s="52">
        <f ca="1">_xll.DBRW($G$15,$H$21,$H$22,AI$29,AF$28,$H$24,$H$25,$G78,AI$30)</f>
        <v>0</v>
      </c>
      <c r="AJ78" s="52">
        <f ca="1">_xll.DBRW($G$15,$H$21,$H$22,AI$29,AF$28,$H$24,$H$25,$G78,AJ$30)</f>
        <v>0</v>
      </c>
      <c r="AK78" s="53">
        <f ca="1">_xll.DBRW($G$15,$H$21,$H$22,AI$29,AF$28,$H$24,$H$25,$G78,AK$30)</f>
        <v>0</v>
      </c>
      <c r="AL78" s="140">
        <f t="shared" ca="1" si="6"/>
        <v>0</v>
      </c>
      <c r="AM78" s="140">
        <f t="shared" ca="1" si="7"/>
        <v>0</v>
      </c>
    </row>
    <row r="79" spans="1:39">
      <c r="A79">
        <f ca="1">IF(_xll.TM1RPTELISCONSOLIDATED($G$31,$G79),IF(_xll.TM1RPTELLEV($G$31,$G79)&lt;=3,_xll.TM1RPTELLEV($G$31,$G79),"D"),"N")</f>
        <v>3</v>
      </c>
      <c r="G79" s="141" t="s">
        <v>236</v>
      </c>
      <c r="H79" s="129">
        <f ca="1">_xll.DBRW($G$15,$H$21,$H$22,H$29,H$28,$H$24,$H$25,$G79,H$30)</f>
        <v>0</v>
      </c>
      <c r="I79" s="129">
        <f ca="1">_xll.DBRW($G$15,$H$21,$H$22,H$29,H$28,$H$24,$H$25,$G79,I$30)</f>
        <v>0</v>
      </c>
      <c r="J79" s="129">
        <f ca="1">_xll.DBRW($G$15,$H$21,$H$22,H$29,H$28,$H$24,$H$25,$G79,J$30)</f>
        <v>0</v>
      </c>
      <c r="K79" s="129">
        <f ca="1">_xll.DBRW($G$15,$H$21,$H$22,K$29,H$28,$H$24,$H$25,$G79,K$30)</f>
        <v>0</v>
      </c>
      <c r="L79" s="129">
        <f ca="1">_xll.DBRW($G$15,$H$21,$H$22,K$29,H$28,$H$24,$H$25,$G79,L$30)</f>
        <v>0</v>
      </c>
      <c r="M79" s="130">
        <f ca="1">_xll.DBRW($G$15,$H$21,$H$22,K$29,H$28,$H$24,$H$25,$G79,M$30)</f>
        <v>0</v>
      </c>
      <c r="N79" s="131">
        <f t="shared" ca="1" si="0"/>
        <v>0</v>
      </c>
      <c r="O79" s="132">
        <f t="shared" ca="1" si="1"/>
        <v>0</v>
      </c>
      <c r="P79" s="133">
        <f ca="1">_xll.DBRW($G$15,$H$21,$H$22,P$29,P$28,$H$24,$H$25,$G79,P$30)</f>
        <v>0</v>
      </c>
      <c r="Q79" s="129">
        <f ca="1">_xll.DBRW($G$15,$H$21,$H$22,P$29,P$28,$H$24,$H$25,$G79,Q$30)</f>
        <v>0</v>
      </c>
      <c r="R79" s="129">
        <f ca="1">_xll.DBRW($G$15,$H$21,$H$22,P$29,P$28,$H$24,$H$25,$G79,R$30)</f>
        <v>0</v>
      </c>
      <c r="S79" s="129">
        <f ca="1">_xll.DBRW($G$15,$H$21,$H$22,S$29,P$28,$H$24,$H$25,$G79,S$30)</f>
        <v>0</v>
      </c>
      <c r="T79" s="129">
        <f ca="1">_xll.DBRW($G$15,$H$21,$H$22,S$29,P$28,$H$24,$H$25,$G79,T$30)</f>
        <v>0</v>
      </c>
      <c r="U79" s="130">
        <f ca="1">_xll.DBRW($G$15,$H$21,$H$22,S$29,P$28,$H$24,$H$25,$G79,U$30)</f>
        <v>0</v>
      </c>
      <c r="V79" s="131">
        <f t="shared" ca="1" si="2"/>
        <v>0</v>
      </c>
      <c r="W79" s="132">
        <f t="shared" ca="1" si="3"/>
        <v>0</v>
      </c>
      <c r="X79" s="133">
        <f ca="1">_xll.DBRW($G$15,$H$21,$H$22,X$29,X$28,$H$24,$H$25,$G79,X$30)</f>
        <v>0</v>
      </c>
      <c r="Y79" s="129">
        <f ca="1">_xll.DBRW($G$15,$H$21,$H$22,X$29,X$28,$H$24,$H$25,$G79,Y$30)</f>
        <v>0</v>
      </c>
      <c r="Z79" s="129">
        <f ca="1">_xll.DBRW($G$15,$H$21,$H$22,X$29,X$28,$H$24,$H$25,$G79,Z$30)</f>
        <v>0</v>
      </c>
      <c r="AA79" s="129">
        <f ca="1">_xll.DBRW($G$15,$H$21,$H$22,AA$29,X$28,$H$24,$H$25,$G79,AA$30)</f>
        <v>0</v>
      </c>
      <c r="AB79" s="129">
        <f ca="1">_xll.DBRW($G$15,$H$21,$H$22,AA$29,X$28,$H$24,$H$25,$G79,AB$30)</f>
        <v>0</v>
      </c>
      <c r="AC79" s="130">
        <f ca="1">_xll.DBRW($G$15,$H$21,$H$22,AA$29,X$28,$H$24,$H$25,$G79,AC$30)</f>
        <v>0</v>
      </c>
      <c r="AD79" s="131">
        <f t="shared" ca="1" si="4"/>
        <v>0</v>
      </c>
      <c r="AE79" s="132">
        <f t="shared" ca="1" si="5"/>
        <v>0</v>
      </c>
      <c r="AF79" s="133">
        <f ca="1">_xll.DBRW($G$15,$H$21,$H$22,AF$29,AF$28,$H$24,$H$25,$G79,AF$30)</f>
        <v>0</v>
      </c>
      <c r="AG79" s="129">
        <f ca="1">_xll.DBRW($G$15,$H$21,$H$22,AF$29,AF$28,$H$24,$H$25,$G79,AG$30)</f>
        <v>0</v>
      </c>
      <c r="AH79" s="129">
        <f ca="1">_xll.DBRW($G$15,$H$21,$H$22,AF$29,AF$28,$H$24,$H$25,$G79,AH$30)</f>
        <v>0</v>
      </c>
      <c r="AI79" s="129">
        <f ca="1">_xll.DBRW($G$15,$H$21,$H$22,AI$29,AF$28,$H$24,$H$25,$G79,AI$30)</f>
        <v>0</v>
      </c>
      <c r="AJ79" s="129">
        <f ca="1">_xll.DBRW($G$15,$H$21,$H$22,AI$29,AF$28,$H$24,$H$25,$G79,AJ$30)</f>
        <v>0</v>
      </c>
      <c r="AK79" s="130">
        <f ca="1">_xll.DBRW($G$15,$H$21,$H$22,AI$29,AF$28,$H$24,$H$25,$G79,AK$30)</f>
        <v>0</v>
      </c>
      <c r="AL79" s="140">
        <f t="shared" ca="1" si="6"/>
        <v>0</v>
      </c>
      <c r="AM79" s="140">
        <f t="shared" ca="1" si="7"/>
        <v>0</v>
      </c>
    </row>
    <row r="80" spans="1:39">
      <c r="A80">
        <f ca="1">IF(_xll.TM1RPTELISCONSOLIDATED($G$31,$G80),IF(_xll.TM1RPTELLEV($G$31,$G80)&lt;=3,_xll.TM1RPTELLEV($G$31,$G80),"D"),"N")</f>
        <v>3</v>
      </c>
      <c r="G80" s="141" t="s">
        <v>237</v>
      </c>
      <c r="H80" s="129">
        <f ca="1">_xll.DBRW($G$15,$H$21,$H$22,H$29,H$28,$H$24,$H$25,$G80,H$30)</f>
        <v>0</v>
      </c>
      <c r="I80" s="129">
        <f ca="1">_xll.DBRW($G$15,$H$21,$H$22,H$29,H$28,$H$24,$H$25,$G80,I$30)</f>
        <v>0</v>
      </c>
      <c r="J80" s="129">
        <f ca="1">_xll.DBRW($G$15,$H$21,$H$22,H$29,H$28,$H$24,$H$25,$G80,J$30)</f>
        <v>0</v>
      </c>
      <c r="K80" s="129">
        <f ca="1">_xll.DBRW($G$15,$H$21,$H$22,K$29,H$28,$H$24,$H$25,$G80,K$30)</f>
        <v>0</v>
      </c>
      <c r="L80" s="129">
        <f ca="1">_xll.DBRW($G$15,$H$21,$H$22,K$29,H$28,$H$24,$H$25,$G80,L$30)</f>
        <v>0</v>
      </c>
      <c r="M80" s="130">
        <f ca="1">_xll.DBRW($G$15,$H$21,$H$22,K$29,H$28,$H$24,$H$25,$G80,M$30)</f>
        <v>0</v>
      </c>
      <c r="N80" s="131">
        <f t="shared" ca="1" si="0"/>
        <v>0</v>
      </c>
      <c r="O80" s="132">
        <f t="shared" ca="1" si="1"/>
        <v>0</v>
      </c>
      <c r="P80" s="133">
        <f ca="1">_xll.DBRW($G$15,$H$21,$H$22,P$29,P$28,$H$24,$H$25,$G80,P$30)</f>
        <v>0</v>
      </c>
      <c r="Q80" s="129">
        <f ca="1">_xll.DBRW($G$15,$H$21,$H$22,P$29,P$28,$H$24,$H$25,$G80,Q$30)</f>
        <v>0</v>
      </c>
      <c r="R80" s="129">
        <f ca="1">_xll.DBRW($G$15,$H$21,$H$22,P$29,P$28,$H$24,$H$25,$G80,R$30)</f>
        <v>0</v>
      </c>
      <c r="S80" s="129">
        <f ca="1">_xll.DBRW($G$15,$H$21,$H$22,S$29,P$28,$H$24,$H$25,$G80,S$30)</f>
        <v>0</v>
      </c>
      <c r="T80" s="129">
        <f ca="1">_xll.DBRW($G$15,$H$21,$H$22,S$29,P$28,$H$24,$H$25,$G80,T$30)</f>
        <v>0</v>
      </c>
      <c r="U80" s="130">
        <f ca="1">_xll.DBRW($G$15,$H$21,$H$22,S$29,P$28,$H$24,$H$25,$G80,U$30)</f>
        <v>0</v>
      </c>
      <c r="V80" s="131">
        <f t="shared" ca="1" si="2"/>
        <v>0</v>
      </c>
      <c r="W80" s="132">
        <f t="shared" ca="1" si="3"/>
        <v>0</v>
      </c>
      <c r="X80" s="133">
        <f ca="1">_xll.DBRW($G$15,$H$21,$H$22,X$29,X$28,$H$24,$H$25,$G80,X$30)</f>
        <v>0</v>
      </c>
      <c r="Y80" s="129">
        <f ca="1">_xll.DBRW($G$15,$H$21,$H$22,X$29,X$28,$H$24,$H$25,$G80,Y$30)</f>
        <v>0</v>
      </c>
      <c r="Z80" s="129">
        <f ca="1">_xll.DBRW($G$15,$H$21,$H$22,X$29,X$28,$H$24,$H$25,$G80,Z$30)</f>
        <v>0</v>
      </c>
      <c r="AA80" s="129">
        <f ca="1">_xll.DBRW($G$15,$H$21,$H$22,AA$29,X$28,$H$24,$H$25,$G80,AA$30)</f>
        <v>0</v>
      </c>
      <c r="AB80" s="129">
        <f ca="1">_xll.DBRW($G$15,$H$21,$H$22,AA$29,X$28,$H$24,$H$25,$G80,AB$30)</f>
        <v>0</v>
      </c>
      <c r="AC80" s="130">
        <f ca="1">_xll.DBRW($G$15,$H$21,$H$22,AA$29,X$28,$H$24,$H$25,$G80,AC$30)</f>
        <v>0</v>
      </c>
      <c r="AD80" s="131">
        <f t="shared" ca="1" si="4"/>
        <v>0</v>
      </c>
      <c r="AE80" s="132">
        <f t="shared" ca="1" si="5"/>
        <v>0</v>
      </c>
      <c r="AF80" s="133">
        <f ca="1">_xll.DBRW($G$15,$H$21,$H$22,AF$29,AF$28,$H$24,$H$25,$G80,AF$30)</f>
        <v>0</v>
      </c>
      <c r="AG80" s="129">
        <f ca="1">_xll.DBRW($G$15,$H$21,$H$22,AF$29,AF$28,$H$24,$H$25,$G80,AG$30)</f>
        <v>0</v>
      </c>
      <c r="AH80" s="129">
        <f ca="1">_xll.DBRW($G$15,$H$21,$H$22,AF$29,AF$28,$H$24,$H$25,$G80,AH$30)</f>
        <v>0</v>
      </c>
      <c r="AI80" s="129">
        <f ca="1">_xll.DBRW($G$15,$H$21,$H$22,AI$29,AF$28,$H$24,$H$25,$G80,AI$30)</f>
        <v>0</v>
      </c>
      <c r="AJ80" s="129">
        <f ca="1">_xll.DBRW($G$15,$H$21,$H$22,AI$29,AF$28,$H$24,$H$25,$G80,AJ$30)</f>
        <v>0</v>
      </c>
      <c r="AK80" s="130">
        <f ca="1">_xll.DBRW($G$15,$H$21,$H$22,AI$29,AF$28,$H$24,$H$25,$G80,AK$30)</f>
        <v>0</v>
      </c>
      <c r="AL80" s="140">
        <f t="shared" ca="1" si="6"/>
        <v>0</v>
      </c>
      <c r="AM80" s="140">
        <f t="shared" ca="1" si="7"/>
        <v>0</v>
      </c>
    </row>
    <row r="81" spans="1:39">
      <c r="A81">
        <f ca="1">IF(_xll.TM1RPTELISCONSOLIDATED($G$31,$G81),IF(_xll.TM1RPTELLEV($G$31,$G81)&lt;=3,_xll.TM1RPTELLEV($G$31,$G81),"D"),"N")</f>
        <v>3</v>
      </c>
      <c r="G81" s="141" t="s">
        <v>238</v>
      </c>
      <c r="H81" s="129">
        <f ca="1">_xll.DBRW($G$15,$H$21,$H$22,H$29,H$28,$H$24,$H$25,$G81,H$30)</f>
        <v>0</v>
      </c>
      <c r="I81" s="129">
        <f ca="1">_xll.DBRW($G$15,$H$21,$H$22,H$29,H$28,$H$24,$H$25,$G81,I$30)</f>
        <v>0</v>
      </c>
      <c r="J81" s="129">
        <f ca="1">_xll.DBRW($G$15,$H$21,$H$22,H$29,H$28,$H$24,$H$25,$G81,J$30)</f>
        <v>0</v>
      </c>
      <c r="K81" s="129">
        <f ca="1">_xll.DBRW($G$15,$H$21,$H$22,K$29,H$28,$H$24,$H$25,$G81,K$30)</f>
        <v>0</v>
      </c>
      <c r="L81" s="129">
        <f ca="1">_xll.DBRW($G$15,$H$21,$H$22,K$29,H$28,$H$24,$H$25,$G81,L$30)</f>
        <v>0</v>
      </c>
      <c r="M81" s="130">
        <f ca="1">_xll.DBRW($G$15,$H$21,$H$22,K$29,H$28,$H$24,$H$25,$G81,M$30)</f>
        <v>0</v>
      </c>
      <c r="N81" s="131">
        <f t="shared" ca="1" si="0"/>
        <v>0</v>
      </c>
      <c r="O81" s="132">
        <f t="shared" ca="1" si="1"/>
        <v>0</v>
      </c>
      <c r="P81" s="133">
        <f ca="1">_xll.DBRW($G$15,$H$21,$H$22,P$29,P$28,$H$24,$H$25,$G81,P$30)</f>
        <v>0</v>
      </c>
      <c r="Q81" s="129">
        <f ca="1">_xll.DBRW($G$15,$H$21,$H$22,P$29,P$28,$H$24,$H$25,$G81,Q$30)</f>
        <v>0</v>
      </c>
      <c r="R81" s="129">
        <f ca="1">_xll.DBRW($G$15,$H$21,$H$22,P$29,P$28,$H$24,$H$25,$G81,R$30)</f>
        <v>0</v>
      </c>
      <c r="S81" s="129">
        <f ca="1">_xll.DBRW($G$15,$H$21,$H$22,S$29,P$28,$H$24,$H$25,$G81,S$30)</f>
        <v>0</v>
      </c>
      <c r="T81" s="129">
        <f ca="1">_xll.DBRW($G$15,$H$21,$H$22,S$29,P$28,$H$24,$H$25,$G81,T$30)</f>
        <v>0</v>
      </c>
      <c r="U81" s="130">
        <f ca="1">_xll.DBRW($G$15,$H$21,$H$22,S$29,P$28,$H$24,$H$25,$G81,U$30)</f>
        <v>0</v>
      </c>
      <c r="V81" s="131">
        <f t="shared" ca="1" si="2"/>
        <v>0</v>
      </c>
      <c r="W81" s="132">
        <f t="shared" ca="1" si="3"/>
        <v>0</v>
      </c>
      <c r="X81" s="133">
        <f ca="1">_xll.DBRW($G$15,$H$21,$H$22,X$29,X$28,$H$24,$H$25,$G81,X$30)</f>
        <v>0</v>
      </c>
      <c r="Y81" s="129">
        <f ca="1">_xll.DBRW($G$15,$H$21,$H$22,X$29,X$28,$H$24,$H$25,$G81,Y$30)</f>
        <v>0</v>
      </c>
      <c r="Z81" s="129">
        <f ca="1">_xll.DBRW($G$15,$H$21,$H$22,X$29,X$28,$H$24,$H$25,$G81,Z$30)</f>
        <v>0</v>
      </c>
      <c r="AA81" s="129">
        <f ca="1">_xll.DBRW($G$15,$H$21,$H$22,AA$29,X$28,$H$24,$H$25,$G81,AA$30)</f>
        <v>0</v>
      </c>
      <c r="AB81" s="129">
        <f ca="1">_xll.DBRW($G$15,$H$21,$H$22,AA$29,X$28,$H$24,$H$25,$G81,AB$30)</f>
        <v>0</v>
      </c>
      <c r="AC81" s="130">
        <f ca="1">_xll.DBRW($G$15,$H$21,$H$22,AA$29,X$28,$H$24,$H$25,$G81,AC$30)</f>
        <v>0</v>
      </c>
      <c r="AD81" s="131">
        <f t="shared" ca="1" si="4"/>
        <v>0</v>
      </c>
      <c r="AE81" s="132">
        <f t="shared" ca="1" si="5"/>
        <v>0</v>
      </c>
      <c r="AF81" s="133">
        <f ca="1">_xll.DBRW($G$15,$H$21,$H$22,AF$29,AF$28,$H$24,$H$25,$G81,AF$30)</f>
        <v>0</v>
      </c>
      <c r="AG81" s="129">
        <f ca="1">_xll.DBRW($G$15,$H$21,$H$22,AF$29,AF$28,$H$24,$H$25,$G81,AG$30)</f>
        <v>0</v>
      </c>
      <c r="AH81" s="129">
        <f ca="1">_xll.DBRW($G$15,$H$21,$H$22,AF$29,AF$28,$H$24,$H$25,$G81,AH$30)</f>
        <v>0</v>
      </c>
      <c r="AI81" s="129">
        <f ca="1">_xll.DBRW($G$15,$H$21,$H$22,AI$29,AF$28,$H$24,$H$25,$G81,AI$30)</f>
        <v>0</v>
      </c>
      <c r="AJ81" s="129">
        <f ca="1">_xll.DBRW($G$15,$H$21,$H$22,AI$29,AF$28,$H$24,$H$25,$G81,AJ$30)</f>
        <v>0</v>
      </c>
      <c r="AK81" s="130">
        <f ca="1">_xll.DBRW($G$15,$H$21,$H$22,AI$29,AF$28,$H$24,$H$25,$G81,AK$30)</f>
        <v>0</v>
      </c>
      <c r="AL81" s="140">
        <f t="shared" ca="1" si="6"/>
        <v>0</v>
      </c>
      <c r="AM81" s="140">
        <f t="shared" ca="1" si="7"/>
        <v>0</v>
      </c>
    </row>
    <row r="82" spans="1:39">
      <c r="A82">
        <f ca="1">IF(_xll.TM1RPTELISCONSOLIDATED($G$31,$G82),IF(_xll.TM1RPTELLEV($G$31,$G82)&lt;=3,_xll.TM1RPTELLEV($G$31,$G82),"D"),"N")</f>
        <v>3</v>
      </c>
      <c r="G82" s="141" t="s">
        <v>239</v>
      </c>
      <c r="H82" s="129">
        <f ca="1">_xll.DBRW($G$15,$H$21,$H$22,H$29,H$28,$H$24,$H$25,$G82,H$30)</f>
        <v>0</v>
      </c>
      <c r="I82" s="129">
        <f ca="1">_xll.DBRW($G$15,$H$21,$H$22,H$29,H$28,$H$24,$H$25,$G82,I$30)</f>
        <v>0</v>
      </c>
      <c r="J82" s="129">
        <f ca="1">_xll.DBRW($G$15,$H$21,$H$22,H$29,H$28,$H$24,$H$25,$G82,J$30)</f>
        <v>0</v>
      </c>
      <c r="K82" s="129">
        <f ca="1">_xll.DBRW($G$15,$H$21,$H$22,K$29,H$28,$H$24,$H$25,$G82,K$30)</f>
        <v>0</v>
      </c>
      <c r="L82" s="129">
        <f ca="1">_xll.DBRW($G$15,$H$21,$H$22,K$29,H$28,$H$24,$H$25,$G82,L$30)</f>
        <v>0</v>
      </c>
      <c r="M82" s="130">
        <f ca="1">_xll.DBRW($G$15,$H$21,$H$22,K$29,H$28,$H$24,$H$25,$G82,M$30)</f>
        <v>0</v>
      </c>
      <c r="N82" s="131">
        <f t="shared" ca="1" si="0"/>
        <v>0</v>
      </c>
      <c r="O82" s="132">
        <f t="shared" ca="1" si="1"/>
        <v>0</v>
      </c>
      <c r="P82" s="133">
        <f ca="1">_xll.DBRW($G$15,$H$21,$H$22,P$29,P$28,$H$24,$H$25,$G82,P$30)</f>
        <v>0</v>
      </c>
      <c r="Q82" s="129">
        <f ca="1">_xll.DBRW($G$15,$H$21,$H$22,P$29,P$28,$H$24,$H$25,$G82,Q$30)</f>
        <v>0</v>
      </c>
      <c r="R82" s="129">
        <f ca="1">_xll.DBRW($G$15,$H$21,$H$22,P$29,P$28,$H$24,$H$25,$G82,R$30)</f>
        <v>0</v>
      </c>
      <c r="S82" s="129">
        <f ca="1">_xll.DBRW($G$15,$H$21,$H$22,S$29,P$28,$H$24,$H$25,$G82,S$30)</f>
        <v>0</v>
      </c>
      <c r="T82" s="129">
        <f ca="1">_xll.DBRW($G$15,$H$21,$H$22,S$29,P$28,$H$24,$H$25,$G82,T$30)</f>
        <v>0</v>
      </c>
      <c r="U82" s="130">
        <f ca="1">_xll.DBRW($G$15,$H$21,$H$22,S$29,P$28,$H$24,$H$25,$G82,U$30)</f>
        <v>0</v>
      </c>
      <c r="V82" s="131">
        <f t="shared" ca="1" si="2"/>
        <v>0</v>
      </c>
      <c r="W82" s="132">
        <f t="shared" ca="1" si="3"/>
        <v>0</v>
      </c>
      <c r="X82" s="133">
        <f ca="1">_xll.DBRW($G$15,$H$21,$H$22,X$29,X$28,$H$24,$H$25,$G82,X$30)</f>
        <v>0</v>
      </c>
      <c r="Y82" s="129">
        <f ca="1">_xll.DBRW($G$15,$H$21,$H$22,X$29,X$28,$H$24,$H$25,$G82,Y$30)</f>
        <v>0</v>
      </c>
      <c r="Z82" s="129">
        <f ca="1">_xll.DBRW($G$15,$H$21,$H$22,X$29,X$28,$H$24,$H$25,$G82,Z$30)</f>
        <v>0</v>
      </c>
      <c r="AA82" s="129">
        <f ca="1">_xll.DBRW($G$15,$H$21,$H$22,AA$29,X$28,$H$24,$H$25,$G82,AA$30)</f>
        <v>0</v>
      </c>
      <c r="AB82" s="129">
        <f ca="1">_xll.DBRW($G$15,$H$21,$H$22,AA$29,X$28,$H$24,$H$25,$G82,AB$30)</f>
        <v>0</v>
      </c>
      <c r="AC82" s="130">
        <f ca="1">_xll.DBRW($G$15,$H$21,$H$22,AA$29,X$28,$H$24,$H$25,$G82,AC$30)</f>
        <v>0</v>
      </c>
      <c r="AD82" s="131">
        <f t="shared" ca="1" si="4"/>
        <v>0</v>
      </c>
      <c r="AE82" s="132">
        <f t="shared" ca="1" si="5"/>
        <v>0</v>
      </c>
      <c r="AF82" s="133">
        <f ca="1">_xll.DBRW($G$15,$H$21,$H$22,AF$29,AF$28,$H$24,$H$25,$G82,AF$30)</f>
        <v>0</v>
      </c>
      <c r="AG82" s="129">
        <f ca="1">_xll.DBRW($G$15,$H$21,$H$22,AF$29,AF$28,$H$24,$H$25,$G82,AG$30)</f>
        <v>0</v>
      </c>
      <c r="AH82" s="129">
        <f ca="1">_xll.DBRW($G$15,$H$21,$H$22,AF$29,AF$28,$H$24,$H$25,$G82,AH$30)</f>
        <v>0</v>
      </c>
      <c r="AI82" s="129">
        <f ca="1">_xll.DBRW($G$15,$H$21,$H$22,AI$29,AF$28,$H$24,$H$25,$G82,AI$30)</f>
        <v>0</v>
      </c>
      <c r="AJ82" s="129">
        <f ca="1">_xll.DBRW($G$15,$H$21,$H$22,AI$29,AF$28,$H$24,$H$25,$G82,AJ$30)</f>
        <v>0</v>
      </c>
      <c r="AK82" s="130">
        <f ca="1">_xll.DBRW($G$15,$H$21,$H$22,AI$29,AF$28,$H$24,$H$25,$G82,AK$30)</f>
        <v>0</v>
      </c>
      <c r="AL82" s="140">
        <f t="shared" ca="1" si="6"/>
        <v>0</v>
      </c>
      <c r="AM82" s="140">
        <f t="shared" ca="1" si="7"/>
        <v>0</v>
      </c>
    </row>
    <row r="83" spans="1:39">
      <c r="A83">
        <f ca="1">IF(_xll.TM1RPTELISCONSOLIDATED($G$31,$G83),IF(_xll.TM1RPTELLEV($G$31,$G83)&lt;=3,_xll.TM1RPTELLEV($G$31,$G83),"D"),"N")</f>
        <v>3</v>
      </c>
      <c r="G83" s="141" t="s">
        <v>240</v>
      </c>
      <c r="H83" s="129">
        <f ca="1">_xll.DBRW($G$15,$H$21,$H$22,H$29,H$28,$H$24,$H$25,$G83,H$30)</f>
        <v>0</v>
      </c>
      <c r="I83" s="129">
        <f ca="1">_xll.DBRW($G$15,$H$21,$H$22,H$29,H$28,$H$24,$H$25,$G83,I$30)</f>
        <v>0</v>
      </c>
      <c r="J83" s="129">
        <f ca="1">_xll.DBRW($G$15,$H$21,$H$22,H$29,H$28,$H$24,$H$25,$G83,J$30)</f>
        <v>0</v>
      </c>
      <c r="K83" s="129">
        <f ca="1">_xll.DBRW($G$15,$H$21,$H$22,K$29,H$28,$H$24,$H$25,$G83,K$30)</f>
        <v>0</v>
      </c>
      <c r="L83" s="129">
        <f ca="1">_xll.DBRW($G$15,$H$21,$H$22,K$29,H$28,$H$24,$H$25,$G83,L$30)</f>
        <v>0</v>
      </c>
      <c r="M83" s="130">
        <f ca="1">_xll.DBRW($G$15,$H$21,$H$22,K$29,H$28,$H$24,$H$25,$G83,M$30)</f>
        <v>0</v>
      </c>
      <c r="N83" s="131">
        <f t="shared" ca="1" si="0"/>
        <v>0</v>
      </c>
      <c r="O83" s="132">
        <f t="shared" ca="1" si="1"/>
        <v>0</v>
      </c>
      <c r="P83" s="133">
        <f ca="1">_xll.DBRW($G$15,$H$21,$H$22,P$29,P$28,$H$24,$H$25,$G83,P$30)</f>
        <v>0</v>
      </c>
      <c r="Q83" s="129">
        <f ca="1">_xll.DBRW($G$15,$H$21,$H$22,P$29,P$28,$H$24,$H$25,$G83,Q$30)</f>
        <v>0</v>
      </c>
      <c r="R83" s="129">
        <f ca="1">_xll.DBRW($G$15,$H$21,$H$22,P$29,P$28,$H$24,$H$25,$G83,R$30)</f>
        <v>0</v>
      </c>
      <c r="S83" s="129">
        <f ca="1">_xll.DBRW($G$15,$H$21,$H$22,S$29,P$28,$H$24,$H$25,$G83,S$30)</f>
        <v>0</v>
      </c>
      <c r="T83" s="129">
        <f ca="1">_xll.DBRW($G$15,$H$21,$H$22,S$29,P$28,$H$24,$H$25,$G83,T$30)</f>
        <v>0</v>
      </c>
      <c r="U83" s="130">
        <f ca="1">_xll.DBRW($G$15,$H$21,$H$22,S$29,P$28,$H$24,$H$25,$G83,U$30)</f>
        <v>0</v>
      </c>
      <c r="V83" s="131">
        <f t="shared" ca="1" si="2"/>
        <v>0</v>
      </c>
      <c r="W83" s="132">
        <f t="shared" ca="1" si="3"/>
        <v>0</v>
      </c>
      <c r="X83" s="133">
        <f ca="1">_xll.DBRW($G$15,$H$21,$H$22,X$29,X$28,$H$24,$H$25,$G83,X$30)</f>
        <v>0</v>
      </c>
      <c r="Y83" s="129">
        <f ca="1">_xll.DBRW($G$15,$H$21,$H$22,X$29,X$28,$H$24,$H$25,$G83,Y$30)</f>
        <v>0</v>
      </c>
      <c r="Z83" s="129">
        <f ca="1">_xll.DBRW($G$15,$H$21,$H$22,X$29,X$28,$H$24,$H$25,$G83,Z$30)</f>
        <v>0</v>
      </c>
      <c r="AA83" s="129">
        <f ca="1">_xll.DBRW($G$15,$H$21,$H$22,AA$29,X$28,$H$24,$H$25,$G83,AA$30)</f>
        <v>0</v>
      </c>
      <c r="AB83" s="129">
        <f ca="1">_xll.DBRW($G$15,$H$21,$H$22,AA$29,X$28,$H$24,$H$25,$G83,AB$30)</f>
        <v>0</v>
      </c>
      <c r="AC83" s="130">
        <f ca="1">_xll.DBRW($G$15,$H$21,$H$22,AA$29,X$28,$H$24,$H$25,$G83,AC$30)</f>
        <v>0</v>
      </c>
      <c r="AD83" s="131">
        <f t="shared" ca="1" si="4"/>
        <v>0</v>
      </c>
      <c r="AE83" s="132">
        <f t="shared" ca="1" si="5"/>
        <v>0</v>
      </c>
      <c r="AF83" s="133">
        <f ca="1">_xll.DBRW($G$15,$H$21,$H$22,AF$29,AF$28,$H$24,$H$25,$G83,AF$30)</f>
        <v>0</v>
      </c>
      <c r="AG83" s="129">
        <f ca="1">_xll.DBRW($G$15,$H$21,$H$22,AF$29,AF$28,$H$24,$H$25,$G83,AG$30)</f>
        <v>0</v>
      </c>
      <c r="AH83" s="129">
        <f ca="1">_xll.DBRW($G$15,$H$21,$H$22,AF$29,AF$28,$H$24,$H$25,$G83,AH$30)</f>
        <v>0</v>
      </c>
      <c r="AI83" s="129">
        <f ca="1">_xll.DBRW($G$15,$H$21,$H$22,AI$29,AF$28,$H$24,$H$25,$G83,AI$30)</f>
        <v>0</v>
      </c>
      <c r="AJ83" s="129">
        <f ca="1">_xll.DBRW($G$15,$H$21,$H$22,AI$29,AF$28,$H$24,$H$25,$G83,AJ$30)</f>
        <v>0</v>
      </c>
      <c r="AK83" s="130">
        <f ca="1">_xll.DBRW($G$15,$H$21,$H$22,AI$29,AF$28,$H$24,$H$25,$G83,AK$30)</f>
        <v>0</v>
      </c>
      <c r="AL83" s="140">
        <f t="shared" ca="1" si="6"/>
        <v>0</v>
      </c>
      <c r="AM83" s="140">
        <f t="shared" ca="1" si="7"/>
        <v>0</v>
      </c>
    </row>
    <row r="84" spans="1:39">
      <c r="A84">
        <f ca="1">IF(_xll.TM1RPTELISCONSOLIDATED($G$31,$G84),IF(_xll.TM1RPTELLEV($G$31,$G84)&lt;=3,_xll.TM1RPTELLEV($G$31,$G84),"D"),"N")</f>
        <v>3</v>
      </c>
      <c r="G84" s="141" t="s">
        <v>241</v>
      </c>
      <c r="H84" s="129">
        <f ca="1">_xll.DBRW($G$15,$H$21,$H$22,H$29,H$28,$H$24,$H$25,$G84,H$30)</f>
        <v>0</v>
      </c>
      <c r="I84" s="129">
        <f ca="1">_xll.DBRW($G$15,$H$21,$H$22,H$29,H$28,$H$24,$H$25,$G84,I$30)</f>
        <v>0</v>
      </c>
      <c r="J84" s="129">
        <f ca="1">_xll.DBRW($G$15,$H$21,$H$22,H$29,H$28,$H$24,$H$25,$G84,J$30)</f>
        <v>0</v>
      </c>
      <c r="K84" s="129">
        <f ca="1">_xll.DBRW($G$15,$H$21,$H$22,K$29,H$28,$H$24,$H$25,$G84,K$30)</f>
        <v>0</v>
      </c>
      <c r="L84" s="129">
        <f ca="1">_xll.DBRW($G$15,$H$21,$H$22,K$29,H$28,$H$24,$H$25,$G84,L$30)</f>
        <v>0</v>
      </c>
      <c r="M84" s="130">
        <f ca="1">_xll.DBRW($G$15,$H$21,$H$22,K$29,H$28,$H$24,$H$25,$G84,M$30)</f>
        <v>0</v>
      </c>
      <c r="N84" s="131">
        <f t="shared" ca="1" si="0"/>
        <v>0</v>
      </c>
      <c r="O84" s="132">
        <f t="shared" ca="1" si="1"/>
        <v>0</v>
      </c>
      <c r="P84" s="133">
        <f ca="1">_xll.DBRW($G$15,$H$21,$H$22,P$29,P$28,$H$24,$H$25,$G84,P$30)</f>
        <v>0</v>
      </c>
      <c r="Q84" s="129">
        <f ca="1">_xll.DBRW($G$15,$H$21,$H$22,P$29,P$28,$H$24,$H$25,$G84,Q$30)</f>
        <v>0</v>
      </c>
      <c r="R84" s="129">
        <f ca="1">_xll.DBRW($G$15,$H$21,$H$22,P$29,P$28,$H$24,$H$25,$G84,R$30)</f>
        <v>0</v>
      </c>
      <c r="S84" s="129">
        <f ca="1">_xll.DBRW($G$15,$H$21,$H$22,S$29,P$28,$H$24,$H$25,$G84,S$30)</f>
        <v>0</v>
      </c>
      <c r="T84" s="129">
        <f ca="1">_xll.DBRW($G$15,$H$21,$H$22,S$29,P$28,$H$24,$H$25,$G84,T$30)</f>
        <v>0</v>
      </c>
      <c r="U84" s="130">
        <f ca="1">_xll.DBRW($G$15,$H$21,$H$22,S$29,P$28,$H$24,$H$25,$G84,U$30)</f>
        <v>0</v>
      </c>
      <c r="V84" s="131">
        <f t="shared" ca="1" si="2"/>
        <v>0</v>
      </c>
      <c r="W84" s="132">
        <f t="shared" ca="1" si="3"/>
        <v>0</v>
      </c>
      <c r="X84" s="133">
        <f ca="1">_xll.DBRW($G$15,$H$21,$H$22,X$29,X$28,$H$24,$H$25,$G84,X$30)</f>
        <v>0</v>
      </c>
      <c r="Y84" s="129">
        <f ca="1">_xll.DBRW($G$15,$H$21,$H$22,X$29,X$28,$H$24,$H$25,$G84,Y$30)</f>
        <v>0</v>
      </c>
      <c r="Z84" s="129">
        <f ca="1">_xll.DBRW($G$15,$H$21,$H$22,X$29,X$28,$H$24,$H$25,$G84,Z$30)</f>
        <v>0</v>
      </c>
      <c r="AA84" s="129">
        <f ca="1">_xll.DBRW($G$15,$H$21,$H$22,AA$29,X$28,$H$24,$H$25,$G84,AA$30)</f>
        <v>0</v>
      </c>
      <c r="AB84" s="129">
        <f ca="1">_xll.DBRW($G$15,$H$21,$H$22,AA$29,X$28,$H$24,$H$25,$G84,AB$30)</f>
        <v>0</v>
      </c>
      <c r="AC84" s="130">
        <f ca="1">_xll.DBRW($G$15,$H$21,$H$22,AA$29,X$28,$H$24,$H$25,$G84,AC$30)</f>
        <v>0</v>
      </c>
      <c r="AD84" s="131">
        <f t="shared" ca="1" si="4"/>
        <v>0</v>
      </c>
      <c r="AE84" s="132">
        <f t="shared" ca="1" si="5"/>
        <v>0</v>
      </c>
      <c r="AF84" s="133">
        <f ca="1">_xll.DBRW($G$15,$H$21,$H$22,AF$29,AF$28,$H$24,$H$25,$G84,AF$30)</f>
        <v>0</v>
      </c>
      <c r="AG84" s="129">
        <f ca="1">_xll.DBRW($G$15,$H$21,$H$22,AF$29,AF$28,$H$24,$H$25,$G84,AG$30)</f>
        <v>0</v>
      </c>
      <c r="AH84" s="129">
        <f ca="1">_xll.DBRW($G$15,$H$21,$H$22,AF$29,AF$28,$H$24,$H$25,$G84,AH$30)</f>
        <v>0</v>
      </c>
      <c r="AI84" s="129">
        <f ca="1">_xll.DBRW($G$15,$H$21,$H$22,AI$29,AF$28,$H$24,$H$25,$G84,AI$30)</f>
        <v>0</v>
      </c>
      <c r="AJ84" s="129">
        <f ca="1">_xll.DBRW($G$15,$H$21,$H$22,AI$29,AF$28,$H$24,$H$25,$G84,AJ$30)</f>
        <v>0</v>
      </c>
      <c r="AK84" s="130">
        <f ca="1">_xll.DBRW($G$15,$H$21,$H$22,AI$29,AF$28,$H$24,$H$25,$G84,AK$30)</f>
        <v>0</v>
      </c>
      <c r="AL84" s="140">
        <f t="shared" ca="1" si="6"/>
        <v>0</v>
      </c>
      <c r="AM84" s="140">
        <f t="shared" ca="1" si="7"/>
        <v>0</v>
      </c>
    </row>
    <row r="85" spans="1:39">
      <c r="A85">
        <f ca="1">IF(_xll.TM1RPTELISCONSOLIDATED($G$31,$G85),IF(_xll.TM1RPTELLEV($G$31,$G85)&lt;=3,_xll.TM1RPTELLEV($G$31,$G85),"D"),"N")</f>
        <v>3</v>
      </c>
      <c r="G85" s="141" t="s">
        <v>242</v>
      </c>
      <c r="H85" s="129">
        <f ca="1">_xll.DBRW($G$15,$H$21,$H$22,H$29,H$28,$H$24,$H$25,$G85,H$30)</f>
        <v>0</v>
      </c>
      <c r="I85" s="129">
        <f ca="1">_xll.DBRW($G$15,$H$21,$H$22,H$29,H$28,$H$24,$H$25,$G85,I$30)</f>
        <v>0</v>
      </c>
      <c r="J85" s="129">
        <f ca="1">_xll.DBRW($G$15,$H$21,$H$22,H$29,H$28,$H$24,$H$25,$G85,J$30)</f>
        <v>0</v>
      </c>
      <c r="K85" s="129">
        <f ca="1">_xll.DBRW($G$15,$H$21,$H$22,K$29,H$28,$H$24,$H$25,$G85,K$30)</f>
        <v>0</v>
      </c>
      <c r="L85" s="129">
        <f ca="1">_xll.DBRW($G$15,$H$21,$H$22,K$29,H$28,$H$24,$H$25,$G85,L$30)</f>
        <v>0</v>
      </c>
      <c r="M85" s="130">
        <f ca="1">_xll.DBRW($G$15,$H$21,$H$22,K$29,H$28,$H$24,$H$25,$G85,M$30)</f>
        <v>0</v>
      </c>
      <c r="N85" s="131">
        <f t="shared" ca="1" si="0"/>
        <v>0</v>
      </c>
      <c r="O85" s="132">
        <f t="shared" ca="1" si="1"/>
        <v>0</v>
      </c>
      <c r="P85" s="133">
        <f ca="1">_xll.DBRW($G$15,$H$21,$H$22,P$29,P$28,$H$24,$H$25,$G85,P$30)</f>
        <v>0</v>
      </c>
      <c r="Q85" s="129">
        <f ca="1">_xll.DBRW($G$15,$H$21,$H$22,P$29,P$28,$H$24,$H$25,$G85,Q$30)</f>
        <v>0</v>
      </c>
      <c r="R85" s="129">
        <f ca="1">_xll.DBRW($G$15,$H$21,$H$22,P$29,P$28,$H$24,$H$25,$G85,R$30)</f>
        <v>0</v>
      </c>
      <c r="S85" s="129">
        <f ca="1">_xll.DBRW($G$15,$H$21,$H$22,S$29,P$28,$H$24,$H$25,$G85,S$30)</f>
        <v>0</v>
      </c>
      <c r="T85" s="129">
        <f ca="1">_xll.DBRW($G$15,$H$21,$H$22,S$29,P$28,$H$24,$H$25,$G85,T$30)</f>
        <v>0</v>
      </c>
      <c r="U85" s="130">
        <f ca="1">_xll.DBRW($G$15,$H$21,$H$22,S$29,P$28,$H$24,$H$25,$G85,U$30)</f>
        <v>0</v>
      </c>
      <c r="V85" s="131">
        <f t="shared" ca="1" si="2"/>
        <v>0</v>
      </c>
      <c r="W85" s="132">
        <f t="shared" ca="1" si="3"/>
        <v>0</v>
      </c>
      <c r="X85" s="133">
        <f ca="1">_xll.DBRW($G$15,$H$21,$H$22,X$29,X$28,$H$24,$H$25,$G85,X$30)</f>
        <v>0</v>
      </c>
      <c r="Y85" s="129">
        <f ca="1">_xll.DBRW($G$15,$H$21,$H$22,X$29,X$28,$H$24,$H$25,$G85,Y$30)</f>
        <v>0</v>
      </c>
      <c r="Z85" s="129">
        <f ca="1">_xll.DBRW($G$15,$H$21,$H$22,X$29,X$28,$H$24,$H$25,$G85,Z$30)</f>
        <v>0</v>
      </c>
      <c r="AA85" s="129">
        <f ca="1">_xll.DBRW($G$15,$H$21,$H$22,AA$29,X$28,$H$24,$H$25,$G85,AA$30)</f>
        <v>0</v>
      </c>
      <c r="AB85" s="129">
        <f ca="1">_xll.DBRW($G$15,$H$21,$H$22,AA$29,X$28,$H$24,$H$25,$G85,AB$30)</f>
        <v>0</v>
      </c>
      <c r="AC85" s="130">
        <f ca="1">_xll.DBRW($G$15,$H$21,$H$22,AA$29,X$28,$H$24,$H$25,$G85,AC$30)</f>
        <v>0</v>
      </c>
      <c r="AD85" s="131">
        <f t="shared" ca="1" si="4"/>
        <v>0</v>
      </c>
      <c r="AE85" s="132">
        <f t="shared" ca="1" si="5"/>
        <v>0</v>
      </c>
      <c r="AF85" s="133">
        <f ca="1">_xll.DBRW($G$15,$H$21,$H$22,AF$29,AF$28,$H$24,$H$25,$G85,AF$30)</f>
        <v>0</v>
      </c>
      <c r="AG85" s="129">
        <f ca="1">_xll.DBRW($G$15,$H$21,$H$22,AF$29,AF$28,$H$24,$H$25,$G85,AG$30)</f>
        <v>0</v>
      </c>
      <c r="AH85" s="129">
        <f ca="1">_xll.DBRW($G$15,$H$21,$H$22,AF$29,AF$28,$H$24,$H$25,$G85,AH$30)</f>
        <v>0</v>
      </c>
      <c r="AI85" s="129">
        <f ca="1">_xll.DBRW($G$15,$H$21,$H$22,AI$29,AF$28,$H$24,$H$25,$G85,AI$30)</f>
        <v>0</v>
      </c>
      <c r="AJ85" s="129">
        <f ca="1">_xll.DBRW($G$15,$H$21,$H$22,AI$29,AF$28,$H$24,$H$25,$G85,AJ$30)</f>
        <v>0</v>
      </c>
      <c r="AK85" s="130">
        <f ca="1">_xll.DBRW($G$15,$H$21,$H$22,AI$29,AF$28,$H$24,$H$25,$G85,AK$30)</f>
        <v>0</v>
      </c>
      <c r="AL85" s="140">
        <f t="shared" ca="1" si="6"/>
        <v>0</v>
      </c>
      <c r="AM85" s="140">
        <f t="shared" ca="1" si="7"/>
        <v>0</v>
      </c>
    </row>
    <row r="86" spans="1:39">
      <c r="A86">
        <f ca="1">IF(_xll.TM1RPTELISCONSOLIDATED($G$31,$G86),IF(_xll.TM1RPTELLEV($G$31,$G86)&lt;=3,_xll.TM1RPTELLEV($G$31,$G86),"D"),"N")</f>
        <v>3</v>
      </c>
      <c r="G86" s="141" t="s">
        <v>243</v>
      </c>
      <c r="H86" s="129">
        <f ca="1">_xll.DBRW($G$15,$H$21,$H$22,H$29,H$28,$H$24,$H$25,$G86,H$30)</f>
        <v>0</v>
      </c>
      <c r="I86" s="129">
        <f ca="1">_xll.DBRW($G$15,$H$21,$H$22,H$29,H$28,$H$24,$H$25,$G86,I$30)</f>
        <v>0</v>
      </c>
      <c r="J86" s="129">
        <f ca="1">_xll.DBRW($G$15,$H$21,$H$22,H$29,H$28,$H$24,$H$25,$G86,J$30)</f>
        <v>0</v>
      </c>
      <c r="K86" s="129">
        <f ca="1">_xll.DBRW($G$15,$H$21,$H$22,K$29,H$28,$H$24,$H$25,$G86,K$30)</f>
        <v>0</v>
      </c>
      <c r="L86" s="129">
        <f ca="1">_xll.DBRW($G$15,$H$21,$H$22,K$29,H$28,$H$24,$H$25,$G86,L$30)</f>
        <v>0</v>
      </c>
      <c r="M86" s="130">
        <f ca="1">_xll.DBRW($G$15,$H$21,$H$22,K$29,H$28,$H$24,$H$25,$G86,M$30)</f>
        <v>0</v>
      </c>
      <c r="N86" s="131">
        <f t="shared" ca="1" si="0"/>
        <v>0</v>
      </c>
      <c r="O86" s="132">
        <f t="shared" ca="1" si="1"/>
        <v>0</v>
      </c>
      <c r="P86" s="133">
        <f ca="1">_xll.DBRW($G$15,$H$21,$H$22,P$29,P$28,$H$24,$H$25,$G86,P$30)</f>
        <v>0</v>
      </c>
      <c r="Q86" s="129">
        <f ca="1">_xll.DBRW($G$15,$H$21,$H$22,P$29,P$28,$H$24,$H$25,$G86,Q$30)</f>
        <v>0</v>
      </c>
      <c r="R86" s="129">
        <f ca="1">_xll.DBRW($G$15,$H$21,$H$22,P$29,P$28,$H$24,$H$25,$G86,R$30)</f>
        <v>0</v>
      </c>
      <c r="S86" s="129">
        <f ca="1">_xll.DBRW($G$15,$H$21,$H$22,S$29,P$28,$H$24,$H$25,$G86,S$30)</f>
        <v>0</v>
      </c>
      <c r="T86" s="129">
        <f ca="1">_xll.DBRW($G$15,$H$21,$H$22,S$29,P$28,$H$24,$H$25,$G86,T$30)</f>
        <v>0</v>
      </c>
      <c r="U86" s="130">
        <f ca="1">_xll.DBRW($G$15,$H$21,$H$22,S$29,P$28,$H$24,$H$25,$G86,U$30)</f>
        <v>0</v>
      </c>
      <c r="V86" s="131">
        <f t="shared" ca="1" si="2"/>
        <v>0</v>
      </c>
      <c r="W86" s="132">
        <f t="shared" ca="1" si="3"/>
        <v>0</v>
      </c>
      <c r="X86" s="133">
        <f ca="1">_xll.DBRW($G$15,$H$21,$H$22,X$29,X$28,$H$24,$H$25,$G86,X$30)</f>
        <v>0</v>
      </c>
      <c r="Y86" s="129">
        <f ca="1">_xll.DBRW($G$15,$H$21,$H$22,X$29,X$28,$H$24,$H$25,$G86,Y$30)</f>
        <v>0</v>
      </c>
      <c r="Z86" s="129">
        <f ca="1">_xll.DBRW($G$15,$H$21,$H$22,X$29,X$28,$H$24,$H$25,$G86,Z$30)</f>
        <v>0</v>
      </c>
      <c r="AA86" s="129">
        <f ca="1">_xll.DBRW($G$15,$H$21,$H$22,AA$29,X$28,$H$24,$H$25,$G86,AA$30)</f>
        <v>0</v>
      </c>
      <c r="AB86" s="129">
        <f ca="1">_xll.DBRW($G$15,$H$21,$H$22,AA$29,X$28,$H$24,$H$25,$G86,AB$30)</f>
        <v>0</v>
      </c>
      <c r="AC86" s="130">
        <f ca="1">_xll.DBRW($G$15,$H$21,$H$22,AA$29,X$28,$H$24,$H$25,$G86,AC$30)</f>
        <v>0</v>
      </c>
      <c r="AD86" s="131">
        <f t="shared" ca="1" si="4"/>
        <v>0</v>
      </c>
      <c r="AE86" s="132">
        <f t="shared" ca="1" si="5"/>
        <v>0</v>
      </c>
      <c r="AF86" s="133">
        <f ca="1">_xll.DBRW($G$15,$H$21,$H$22,AF$29,AF$28,$H$24,$H$25,$G86,AF$30)</f>
        <v>0</v>
      </c>
      <c r="AG86" s="129">
        <f ca="1">_xll.DBRW($G$15,$H$21,$H$22,AF$29,AF$28,$H$24,$H$25,$G86,AG$30)</f>
        <v>0</v>
      </c>
      <c r="AH86" s="129">
        <f ca="1">_xll.DBRW($G$15,$H$21,$H$22,AF$29,AF$28,$H$24,$H$25,$G86,AH$30)</f>
        <v>0</v>
      </c>
      <c r="AI86" s="129">
        <f ca="1">_xll.DBRW($G$15,$H$21,$H$22,AI$29,AF$28,$H$24,$H$25,$G86,AI$30)</f>
        <v>0</v>
      </c>
      <c r="AJ86" s="129">
        <f ca="1">_xll.DBRW($G$15,$H$21,$H$22,AI$29,AF$28,$H$24,$H$25,$G86,AJ$30)</f>
        <v>0</v>
      </c>
      <c r="AK86" s="130">
        <f ca="1">_xll.DBRW($G$15,$H$21,$H$22,AI$29,AF$28,$H$24,$H$25,$G86,AK$30)</f>
        <v>0</v>
      </c>
      <c r="AL86" s="140">
        <f t="shared" ca="1" si="6"/>
        <v>0</v>
      </c>
      <c r="AM86" s="140">
        <f t="shared" ca="1" si="7"/>
        <v>0</v>
      </c>
    </row>
    <row r="87" spans="1:39">
      <c r="A87">
        <f ca="1">IF(_xll.TM1RPTELISCONSOLIDATED($G$31,$G87),IF(_xll.TM1RPTELLEV($G$31,$G87)&lt;=3,_xll.TM1RPTELLEV($G$31,$G87),"D"),"N")</f>
        <v>2</v>
      </c>
      <c r="G87" s="79" t="s">
        <v>244</v>
      </c>
      <c r="H87" s="52">
        <f ca="1">_xll.DBRW($G$15,$H$21,$H$22,H$29,H$28,$H$24,$H$25,$G87,H$30)</f>
        <v>0</v>
      </c>
      <c r="I87" s="52">
        <f ca="1">_xll.DBRW($G$15,$H$21,$H$22,H$29,H$28,$H$24,$H$25,$G87,I$30)</f>
        <v>0</v>
      </c>
      <c r="J87" s="52">
        <f ca="1">_xll.DBRW($G$15,$H$21,$H$22,H$29,H$28,$H$24,$H$25,$G87,J$30)</f>
        <v>0</v>
      </c>
      <c r="K87" s="52">
        <f ca="1">_xll.DBRW($G$15,$H$21,$H$22,K$29,H$28,$H$24,$H$25,$G87,K$30)</f>
        <v>0</v>
      </c>
      <c r="L87" s="52">
        <f ca="1">_xll.DBRW($G$15,$H$21,$H$22,K$29,H$28,$H$24,$H$25,$G87,L$30)</f>
        <v>0</v>
      </c>
      <c r="M87" s="53">
        <f ca="1">_xll.DBRW($G$15,$H$21,$H$22,K$29,H$28,$H$24,$H$25,$G87,M$30)</f>
        <v>0</v>
      </c>
      <c r="N87" s="127">
        <f t="shared" ca="1" si="0"/>
        <v>0</v>
      </c>
      <c r="O87" s="128">
        <f t="shared" ca="1" si="1"/>
        <v>0</v>
      </c>
      <c r="P87" s="55">
        <f ca="1">_xll.DBRW($G$15,$H$21,$H$22,P$29,P$28,$H$24,$H$25,$G87,P$30)</f>
        <v>0</v>
      </c>
      <c r="Q87" s="52">
        <f ca="1">_xll.DBRW($G$15,$H$21,$H$22,P$29,P$28,$H$24,$H$25,$G87,Q$30)</f>
        <v>0</v>
      </c>
      <c r="R87" s="52">
        <f ca="1">_xll.DBRW($G$15,$H$21,$H$22,P$29,P$28,$H$24,$H$25,$G87,R$30)</f>
        <v>0</v>
      </c>
      <c r="S87" s="52">
        <f ca="1">_xll.DBRW($G$15,$H$21,$H$22,S$29,P$28,$H$24,$H$25,$G87,S$30)</f>
        <v>0</v>
      </c>
      <c r="T87" s="52">
        <f ca="1">_xll.DBRW($G$15,$H$21,$H$22,S$29,P$28,$H$24,$H$25,$G87,T$30)</f>
        <v>0</v>
      </c>
      <c r="U87" s="53">
        <f ca="1">_xll.DBRW($G$15,$H$21,$H$22,S$29,P$28,$H$24,$H$25,$G87,U$30)</f>
        <v>0</v>
      </c>
      <c r="V87" s="127">
        <f t="shared" ca="1" si="2"/>
        <v>0</v>
      </c>
      <c r="W87" s="128">
        <f t="shared" ca="1" si="3"/>
        <v>0</v>
      </c>
      <c r="X87" s="55">
        <f ca="1">_xll.DBRW($G$15,$H$21,$H$22,X$29,X$28,$H$24,$H$25,$G87,X$30)</f>
        <v>0</v>
      </c>
      <c r="Y87" s="52">
        <f ca="1">_xll.DBRW($G$15,$H$21,$H$22,X$29,X$28,$H$24,$H$25,$G87,Y$30)</f>
        <v>0</v>
      </c>
      <c r="Z87" s="52">
        <f ca="1">_xll.DBRW($G$15,$H$21,$H$22,X$29,X$28,$H$24,$H$25,$G87,Z$30)</f>
        <v>0</v>
      </c>
      <c r="AA87" s="52">
        <f ca="1">_xll.DBRW($G$15,$H$21,$H$22,AA$29,X$28,$H$24,$H$25,$G87,AA$30)</f>
        <v>0</v>
      </c>
      <c r="AB87" s="52">
        <f ca="1">_xll.DBRW($G$15,$H$21,$H$22,AA$29,X$28,$H$24,$H$25,$G87,AB$30)</f>
        <v>0</v>
      </c>
      <c r="AC87" s="53">
        <f ca="1">_xll.DBRW($G$15,$H$21,$H$22,AA$29,X$28,$H$24,$H$25,$G87,AC$30)</f>
        <v>0</v>
      </c>
      <c r="AD87" s="127">
        <f t="shared" ca="1" si="4"/>
        <v>0</v>
      </c>
      <c r="AE87" s="128">
        <f t="shared" ca="1" si="5"/>
        <v>0</v>
      </c>
      <c r="AF87" s="55">
        <f ca="1">_xll.DBRW($G$15,$H$21,$H$22,AF$29,AF$28,$H$24,$H$25,$G87,AF$30)</f>
        <v>0</v>
      </c>
      <c r="AG87" s="52">
        <f ca="1">_xll.DBRW($G$15,$H$21,$H$22,AF$29,AF$28,$H$24,$H$25,$G87,AG$30)</f>
        <v>0</v>
      </c>
      <c r="AH87" s="52">
        <f ca="1">_xll.DBRW($G$15,$H$21,$H$22,AF$29,AF$28,$H$24,$H$25,$G87,AH$30)</f>
        <v>0</v>
      </c>
      <c r="AI87" s="52">
        <f ca="1">_xll.DBRW($G$15,$H$21,$H$22,AI$29,AF$28,$H$24,$H$25,$G87,AI$30)</f>
        <v>0</v>
      </c>
      <c r="AJ87" s="52">
        <f ca="1">_xll.DBRW($G$15,$H$21,$H$22,AI$29,AF$28,$H$24,$H$25,$G87,AJ$30)</f>
        <v>0</v>
      </c>
      <c r="AK87" s="53">
        <f ca="1">_xll.DBRW($G$15,$H$21,$H$22,AI$29,AF$28,$H$24,$H$25,$G87,AK$30)</f>
        <v>0</v>
      </c>
      <c r="AL87" s="140">
        <f t="shared" ca="1" si="6"/>
        <v>0</v>
      </c>
      <c r="AM87" s="140">
        <f t="shared" ca="1" si="7"/>
        <v>0</v>
      </c>
    </row>
    <row r="88" spans="1:39">
      <c r="A88">
        <f ca="1">IF(_xll.TM1RPTELISCONSOLIDATED($G$31,$G88),IF(_xll.TM1RPTELLEV($G$31,$G88)&lt;=3,_xll.TM1RPTELLEV($G$31,$G88),"D"),"N")</f>
        <v>2</v>
      </c>
      <c r="G88" s="79" t="s">
        <v>245</v>
      </c>
      <c r="H88" s="52">
        <f ca="1">_xll.DBRW($G$15,$H$21,$H$22,H$29,H$28,$H$24,$H$25,$G88,H$30)</f>
        <v>0</v>
      </c>
      <c r="I88" s="52">
        <f ca="1">_xll.DBRW($G$15,$H$21,$H$22,H$29,H$28,$H$24,$H$25,$G88,I$30)</f>
        <v>0</v>
      </c>
      <c r="J88" s="52">
        <f ca="1">_xll.DBRW($G$15,$H$21,$H$22,H$29,H$28,$H$24,$H$25,$G88,J$30)</f>
        <v>0</v>
      </c>
      <c r="K88" s="52">
        <f ca="1">_xll.DBRW($G$15,$H$21,$H$22,K$29,H$28,$H$24,$H$25,$G88,K$30)</f>
        <v>0</v>
      </c>
      <c r="L88" s="52">
        <f ca="1">_xll.DBRW($G$15,$H$21,$H$22,K$29,H$28,$H$24,$H$25,$G88,L$30)</f>
        <v>0</v>
      </c>
      <c r="M88" s="53">
        <f ca="1">_xll.DBRW($G$15,$H$21,$H$22,K$29,H$28,$H$24,$H$25,$G88,M$30)</f>
        <v>0</v>
      </c>
      <c r="N88" s="127">
        <f t="shared" ca="1" si="0"/>
        <v>0</v>
      </c>
      <c r="O88" s="128">
        <f t="shared" ca="1" si="1"/>
        <v>0</v>
      </c>
      <c r="P88" s="55">
        <f ca="1">_xll.DBRW($G$15,$H$21,$H$22,P$29,P$28,$H$24,$H$25,$G88,P$30)</f>
        <v>0</v>
      </c>
      <c r="Q88" s="52">
        <f ca="1">_xll.DBRW($G$15,$H$21,$H$22,P$29,P$28,$H$24,$H$25,$G88,Q$30)</f>
        <v>0</v>
      </c>
      <c r="R88" s="52">
        <f ca="1">_xll.DBRW($G$15,$H$21,$H$22,P$29,P$28,$H$24,$H$25,$G88,R$30)</f>
        <v>0</v>
      </c>
      <c r="S88" s="52">
        <f ca="1">_xll.DBRW($G$15,$H$21,$H$22,S$29,P$28,$H$24,$H$25,$G88,S$30)</f>
        <v>0</v>
      </c>
      <c r="T88" s="52">
        <f ca="1">_xll.DBRW($G$15,$H$21,$H$22,S$29,P$28,$H$24,$H$25,$G88,T$30)</f>
        <v>0</v>
      </c>
      <c r="U88" s="53">
        <f ca="1">_xll.DBRW($G$15,$H$21,$H$22,S$29,P$28,$H$24,$H$25,$G88,U$30)</f>
        <v>0</v>
      </c>
      <c r="V88" s="127">
        <f t="shared" ca="1" si="2"/>
        <v>0</v>
      </c>
      <c r="W88" s="128">
        <f t="shared" ca="1" si="3"/>
        <v>0</v>
      </c>
      <c r="X88" s="55">
        <f ca="1">_xll.DBRW($G$15,$H$21,$H$22,X$29,X$28,$H$24,$H$25,$G88,X$30)</f>
        <v>0</v>
      </c>
      <c r="Y88" s="52">
        <f ca="1">_xll.DBRW($G$15,$H$21,$H$22,X$29,X$28,$H$24,$H$25,$G88,Y$30)</f>
        <v>0</v>
      </c>
      <c r="Z88" s="52">
        <f ca="1">_xll.DBRW($G$15,$H$21,$H$22,X$29,X$28,$H$24,$H$25,$G88,Z$30)</f>
        <v>0</v>
      </c>
      <c r="AA88" s="52">
        <f ca="1">_xll.DBRW($G$15,$H$21,$H$22,AA$29,X$28,$H$24,$H$25,$G88,AA$30)</f>
        <v>0</v>
      </c>
      <c r="AB88" s="52">
        <f ca="1">_xll.DBRW($G$15,$H$21,$H$22,AA$29,X$28,$H$24,$H$25,$G88,AB$30)</f>
        <v>0</v>
      </c>
      <c r="AC88" s="53">
        <f ca="1">_xll.DBRW($G$15,$H$21,$H$22,AA$29,X$28,$H$24,$H$25,$G88,AC$30)</f>
        <v>0</v>
      </c>
      <c r="AD88" s="127">
        <f t="shared" ca="1" si="4"/>
        <v>0</v>
      </c>
      <c r="AE88" s="128">
        <f t="shared" ca="1" si="5"/>
        <v>0</v>
      </c>
      <c r="AF88" s="55">
        <f ca="1">_xll.DBRW($G$15,$H$21,$H$22,AF$29,AF$28,$H$24,$H$25,$G88,AF$30)</f>
        <v>0</v>
      </c>
      <c r="AG88" s="52">
        <f ca="1">_xll.DBRW($G$15,$H$21,$H$22,AF$29,AF$28,$H$24,$H$25,$G88,AG$30)</f>
        <v>0</v>
      </c>
      <c r="AH88" s="52">
        <f ca="1">_xll.DBRW($G$15,$H$21,$H$22,AF$29,AF$28,$H$24,$H$25,$G88,AH$30)</f>
        <v>0</v>
      </c>
      <c r="AI88" s="52">
        <f ca="1">_xll.DBRW($G$15,$H$21,$H$22,AI$29,AF$28,$H$24,$H$25,$G88,AI$30)</f>
        <v>0</v>
      </c>
      <c r="AJ88" s="52">
        <f ca="1">_xll.DBRW($G$15,$H$21,$H$22,AI$29,AF$28,$H$24,$H$25,$G88,AJ$30)</f>
        <v>0</v>
      </c>
      <c r="AK88" s="53">
        <f ca="1">_xll.DBRW($G$15,$H$21,$H$22,AI$29,AF$28,$H$24,$H$25,$G88,AK$30)</f>
        <v>0</v>
      </c>
      <c r="AL88" s="140">
        <f t="shared" ca="1" si="6"/>
        <v>0</v>
      </c>
      <c r="AM88" s="140">
        <f t="shared" ca="1" si="7"/>
        <v>0</v>
      </c>
    </row>
    <row r="89" spans="1:39">
      <c r="A89">
        <f ca="1">IF(_xll.TM1RPTELISCONSOLIDATED($G$31,$G89),IF(_xll.TM1RPTELLEV($G$31,$G89)&lt;=3,_xll.TM1RPTELLEV($G$31,$G89),"D"),"N")</f>
        <v>2</v>
      </c>
      <c r="G89" s="79" t="s">
        <v>246</v>
      </c>
      <c r="H89" s="52">
        <f ca="1">_xll.DBRW($G$15,$H$21,$H$22,H$29,H$28,$H$24,$H$25,$G89,H$30)</f>
        <v>0</v>
      </c>
      <c r="I89" s="52">
        <f ca="1">_xll.DBRW($G$15,$H$21,$H$22,H$29,H$28,$H$24,$H$25,$G89,I$30)</f>
        <v>0</v>
      </c>
      <c r="J89" s="52">
        <f ca="1">_xll.DBRW($G$15,$H$21,$H$22,H$29,H$28,$H$24,$H$25,$G89,J$30)</f>
        <v>0</v>
      </c>
      <c r="K89" s="52">
        <f ca="1">_xll.DBRW($G$15,$H$21,$H$22,K$29,H$28,$H$24,$H$25,$G89,K$30)</f>
        <v>0</v>
      </c>
      <c r="L89" s="52">
        <f ca="1">_xll.DBRW($G$15,$H$21,$H$22,K$29,H$28,$H$24,$H$25,$G89,L$30)</f>
        <v>0</v>
      </c>
      <c r="M89" s="53">
        <f ca="1">_xll.DBRW($G$15,$H$21,$H$22,K$29,H$28,$H$24,$H$25,$G89,M$30)</f>
        <v>0</v>
      </c>
      <c r="N89" s="127">
        <f t="shared" ca="1" si="0"/>
        <v>0</v>
      </c>
      <c r="O89" s="128">
        <f t="shared" ca="1" si="1"/>
        <v>0</v>
      </c>
      <c r="P89" s="55">
        <f ca="1">_xll.DBRW($G$15,$H$21,$H$22,P$29,P$28,$H$24,$H$25,$G89,P$30)</f>
        <v>0</v>
      </c>
      <c r="Q89" s="52">
        <f ca="1">_xll.DBRW($G$15,$H$21,$H$22,P$29,P$28,$H$24,$H$25,$G89,Q$30)</f>
        <v>0</v>
      </c>
      <c r="R89" s="52">
        <f ca="1">_xll.DBRW($G$15,$H$21,$H$22,P$29,P$28,$H$24,$H$25,$G89,R$30)</f>
        <v>0</v>
      </c>
      <c r="S89" s="52">
        <f ca="1">_xll.DBRW($G$15,$H$21,$H$22,S$29,P$28,$H$24,$H$25,$G89,S$30)</f>
        <v>0</v>
      </c>
      <c r="T89" s="52">
        <f ca="1">_xll.DBRW($G$15,$H$21,$H$22,S$29,P$28,$H$24,$H$25,$G89,T$30)</f>
        <v>0</v>
      </c>
      <c r="U89" s="53">
        <f ca="1">_xll.DBRW($G$15,$H$21,$H$22,S$29,P$28,$H$24,$H$25,$G89,U$30)</f>
        <v>0</v>
      </c>
      <c r="V89" s="127">
        <f t="shared" ca="1" si="2"/>
        <v>0</v>
      </c>
      <c r="W89" s="128">
        <f t="shared" ca="1" si="3"/>
        <v>0</v>
      </c>
      <c r="X89" s="55">
        <f ca="1">_xll.DBRW($G$15,$H$21,$H$22,X$29,X$28,$H$24,$H$25,$G89,X$30)</f>
        <v>0</v>
      </c>
      <c r="Y89" s="52">
        <f ca="1">_xll.DBRW($G$15,$H$21,$H$22,X$29,X$28,$H$24,$H$25,$G89,Y$30)</f>
        <v>0</v>
      </c>
      <c r="Z89" s="52">
        <f ca="1">_xll.DBRW($G$15,$H$21,$H$22,X$29,X$28,$H$24,$H$25,$G89,Z$30)</f>
        <v>0</v>
      </c>
      <c r="AA89" s="52">
        <f ca="1">_xll.DBRW($G$15,$H$21,$H$22,AA$29,X$28,$H$24,$H$25,$G89,AA$30)</f>
        <v>0</v>
      </c>
      <c r="AB89" s="52">
        <f ca="1">_xll.DBRW($G$15,$H$21,$H$22,AA$29,X$28,$H$24,$H$25,$G89,AB$30)</f>
        <v>0</v>
      </c>
      <c r="AC89" s="53">
        <f ca="1">_xll.DBRW($G$15,$H$21,$H$22,AA$29,X$28,$H$24,$H$25,$G89,AC$30)</f>
        <v>0</v>
      </c>
      <c r="AD89" s="127">
        <f t="shared" ca="1" si="4"/>
        <v>0</v>
      </c>
      <c r="AE89" s="128">
        <f t="shared" ca="1" si="5"/>
        <v>0</v>
      </c>
      <c r="AF89" s="55">
        <f ca="1">_xll.DBRW($G$15,$H$21,$H$22,AF$29,AF$28,$H$24,$H$25,$G89,AF$30)</f>
        <v>0</v>
      </c>
      <c r="AG89" s="52">
        <f ca="1">_xll.DBRW($G$15,$H$21,$H$22,AF$29,AF$28,$H$24,$H$25,$G89,AG$30)</f>
        <v>0</v>
      </c>
      <c r="AH89" s="52">
        <f ca="1">_xll.DBRW($G$15,$H$21,$H$22,AF$29,AF$28,$H$24,$H$25,$G89,AH$30)</f>
        <v>0</v>
      </c>
      <c r="AI89" s="52">
        <f ca="1">_xll.DBRW($G$15,$H$21,$H$22,AI$29,AF$28,$H$24,$H$25,$G89,AI$30)</f>
        <v>0</v>
      </c>
      <c r="AJ89" s="52">
        <f ca="1">_xll.DBRW($G$15,$H$21,$H$22,AI$29,AF$28,$H$24,$H$25,$G89,AJ$30)</f>
        <v>0</v>
      </c>
      <c r="AK89" s="53">
        <f ca="1">_xll.DBRW($G$15,$H$21,$H$22,AI$29,AF$28,$H$24,$H$25,$G89,AK$30)</f>
        <v>0</v>
      </c>
      <c r="AL89" s="140">
        <f t="shared" ca="1" si="6"/>
        <v>0</v>
      </c>
      <c r="AM89" s="140">
        <f t="shared" ca="1" si="7"/>
        <v>0</v>
      </c>
    </row>
    <row r="90" spans="1:39">
      <c r="A90">
        <f ca="1">IF(_xll.TM1RPTELISCONSOLIDATED($G$31,$G90),IF(_xll.TM1RPTELLEV($G$31,$G90)&lt;=3,_xll.TM1RPTELLEV($G$31,$G90),"D"),"N")</f>
        <v>2</v>
      </c>
      <c r="G90" s="79" t="s">
        <v>247</v>
      </c>
      <c r="H90" s="52">
        <f ca="1">_xll.DBRW($G$15,$H$21,$H$22,H$29,H$28,$H$24,$H$25,$G90,H$30)</f>
        <v>0</v>
      </c>
      <c r="I90" s="52">
        <f ca="1">_xll.DBRW($G$15,$H$21,$H$22,H$29,H$28,$H$24,$H$25,$G90,I$30)</f>
        <v>0</v>
      </c>
      <c r="J90" s="52">
        <f ca="1">_xll.DBRW($G$15,$H$21,$H$22,H$29,H$28,$H$24,$H$25,$G90,J$30)</f>
        <v>0</v>
      </c>
      <c r="K90" s="52">
        <f ca="1">_xll.DBRW($G$15,$H$21,$H$22,K$29,H$28,$H$24,$H$25,$G90,K$30)</f>
        <v>0</v>
      </c>
      <c r="L90" s="52">
        <f ca="1">_xll.DBRW($G$15,$H$21,$H$22,K$29,H$28,$H$24,$H$25,$G90,L$30)</f>
        <v>0</v>
      </c>
      <c r="M90" s="53">
        <f ca="1">_xll.DBRW($G$15,$H$21,$H$22,K$29,H$28,$H$24,$H$25,$G90,M$30)</f>
        <v>0</v>
      </c>
      <c r="N90" s="127">
        <f t="shared" ca="1" si="0"/>
        <v>0</v>
      </c>
      <c r="O90" s="128">
        <f t="shared" ca="1" si="1"/>
        <v>0</v>
      </c>
      <c r="P90" s="55">
        <f ca="1">_xll.DBRW($G$15,$H$21,$H$22,P$29,P$28,$H$24,$H$25,$G90,P$30)</f>
        <v>0</v>
      </c>
      <c r="Q90" s="52">
        <f ca="1">_xll.DBRW($G$15,$H$21,$H$22,P$29,P$28,$H$24,$H$25,$G90,Q$30)</f>
        <v>0</v>
      </c>
      <c r="R90" s="52">
        <f ca="1">_xll.DBRW($G$15,$H$21,$H$22,P$29,P$28,$H$24,$H$25,$G90,R$30)</f>
        <v>0</v>
      </c>
      <c r="S90" s="52">
        <f ca="1">_xll.DBRW($G$15,$H$21,$H$22,S$29,P$28,$H$24,$H$25,$G90,S$30)</f>
        <v>0</v>
      </c>
      <c r="T90" s="52">
        <f ca="1">_xll.DBRW($G$15,$H$21,$H$22,S$29,P$28,$H$24,$H$25,$G90,T$30)</f>
        <v>0</v>
      </c>
      <c r="U90" s="53">
        <f ca="1">_xll.DBRW($G$15,$H$21,$H$22,S$29,P$28,$H$24,$H$25,$G90,U$30)</f>
        <v>0</v>
      </c>
      <c r="V90" s="127">
        <f t="shared" ca="1" si="2"/>
        <v>0</v>
      </c>
      <c r="W90" s="128">
        <f t="shared" ca="1" si="3"/>
        <v>0</v>
      </c>
      <c r="X90" s="55">
        <f ca="1">_xll.DBRW($G$15,$H$21,$H$22,X$29,X$28,$H$24,$H$25,$G90,X$30)</f>
        <v>0</v>
      </c>
      <c r="Y90" s="52">
        <f ca="1">_xll.DBRW($G$15,$H$21,$H$22,X$29,X$28,$H$24,$H$25,$G90,Y$30)</f>
        <v>0</v>
      </c>
      <c r="Z90" s="52">
        <f ca="1">_xll.DBRW($G$15,$H$21,$H$22,X$29,X$28,$H$24,$H$25,$G90,Z$30)</f>
        <v>0</v>
      </c>
      <c r="AA90" s="52">
        <f ca="1">_xll.DBRW($G$15,$H$21,$H$22,AA$29,X$28,$H$24,$H$25,$G90,AA$30)</f>
        <v>0</v>
      </c>
      <c r="AB90" s="52">
        <f ca="1">_xll.DBRW($G$15,$H$21,$H$22,AA$29,X$28,$H$24,$H$25,$G90,AB$30)</f>
        <v>0</v>
      </c>
      <c r="AC90" s="53">
        <f ca="1">_xll.DBRW($G$15,$H$21,$H$22,AA$29,X$28,$H$24,$H$25,$G90,AC$30)</f>
        <v>0</v>
      </c>
      <c r="AD90" s="127">
        <f t="shared" ca="1" si="4"/>
        <v>0</v>
      </c>
      <c r="AE90" s="128">
        <f t="shared" ca="1" si="5"/>
        <v>0</v>
      </c>
      <c r="AF90" s="55">
        <f ca="1">_xll.DBRW($G$15,$H$21,$H$22,AF$29,AF$28,$H$24,$H$25,$G90,AF$30)</f>
        <v>0</v>
      </c>
      <c r="AG90" s="52">
        <f ca="1">_xll.DBRW($G$15,$H$21,$H$22,AF$29,AF$28,$H$24,$H$25,$G90,AG$30)</f>
        <v>0</v>
      </c>
      <c r="AH90" s="52">
        <f ca="1">_xll.DBRW($G$15,$H$21,$H$22,AF$29,AF$28,$H$24,$H$25,$G90,AH$30)</f>
        <v>0</v>
      </c>
      <c r="AI90" s="52">
        <f ca="1">_xll.DBRW($G$15,$H$21,$H$22,AI$29,AF$28,$H$24,$H$25,$G90,AI$30)</f>
        <v>0</v>
      </c>
      <c r="AJ90" s="52">
        <f ca="1">_xll.DBRW($G$15,$H$21,$H$22,AI$29,AF$28,$H$24,$H$25,$G90,AJ$30)</f>
        <v>0</v>
      </c>
      <c r="AK90" s="53">
        <f ca="1">_xll.DBRW($G$15,$H$21,$H$22,AI$29,AF$28,$H$24,$H$25,$G90,AK$30)</f>
        <v>0</v>
      </c>
      <c r="AL90" s="140">
        <f t="shared" ca="1" si="6"/>
        <v>0</v>
      </c>
      <c r="AM90" s="140">
        <f t="shared" ca="1" si="7"/>
        <v>0</v>
      </c>
    </row>
    <row r="91" spans="1:39">
      <c r="A91">
        <f ca="1">IF(_xll.TM1RPTELISCONSOLIDATED($G$31,$G91),IF(_xll.TM1RPTELLEV($G$31,$G91)&lt;=3,_xll.TM1RPTELLEV($G$31,$G91),"D"),"N")</f>
        <v>2</v>
      </c>
      <c r="G91" s="79" t="s">
        <v>248</v>
      </c>
      <c r="H91" s="52">
        <f ca="1">_xll.DBRW($G$15,$H$21,$H$22,H$29,H$28,$H$24,$H$25,$G91,H$30)</f>
        <v>0</v>
      </c>
      <c r="I91" s="52">
        <f ca="1">_xll.DBRW($G$15,$H$21,$H$22,H$29,H$28,$H$24,$H$25,$G91,I$30)</f>
        <v>0</v>
      </c>
      <c r="J91" s="52">
        <f ca="1">_xll.DBRW($G$15,$H$21,$H$22,H$29,H$28,$H$24,$H$25,$G91,J$30)</f>
        <v>0</v>
      </c>
      <c r="K91" s="52">
        <f ca="1">_xll.DBRW($G$15,$H$21,$H$22,K$29,H$28,$H$24,$H$25,$G91,K$30)</f>
        <v>0</v>
      </c>
      <c r="L91" s="52">
        <f ca="1">_xll.DBRW($G$15,$H$21,$H$22,K$29,H$28,$H$24,$H$25,$G91,L$30)</f>
        <v>0</v>
      </c>
      <c r="M91" s="53">
        <f ca="1">_xll.DBRW($G$15,$H$21,$H$22,K$29,H$28,$H$24,$H$25,$G91,M$30)</f>
        <v>0</v>
      </c>
      <c r="N91" s="127">
        <f t="shared" ca="1" si="0"/>
        <v>0</v>
      </c>
      <c r="O91" s="128">
        <f t="shared" ca="1" si="1"/>
        <v>0</v>
      </c>
      <c r="P91" s="55">
        <f ca="1">_xll.DBRW($G$15,$H$21,$H$22,P$29,P$28,$H$24,$H$25,$G91,P$30)</f>
        <v>0</v>
      </c>
      <c r="Q91" s="52">
        <f ca="1">_xll.DBRW($G$15,$H$21,$H$22,P$29,P$28,$H$24,$H$25,$G91,Q$30)</f>
        <v>0</v>
      </c>
      <c r="R91" s="52">
        <f ca="1">_xll.DBRW($G$15,$H$21,$H$22,P$29,P$28,$H$24,$H$25,$G91,R$30)</f>
        <v>0</v>
      </c>
      <c r="S91" s="52">
        <f ca="1">_xll.DBRW($G$15,$H$21,$H$22,S$29,P$28,$H$24,$H$25,$G91,S$30)</f>
        <v>0</v>
      </c>
      <c r="T91" s="52">
        <f ca="1">_xll.DBRW($G$15,$H$21,$H$22,S$29,P$28,$H$24,$H$25,$G91,T$30)</f>
        <v>0</v>
      </c>
      <c r="U91" s="53">
        <f ca="1">_xll.DBRW($G$15,$H$21,$H$22,S$29,P$28,$H$24,$H$25,$G91,U$30)</f>
        <v>0</v>
      </c>
      <c r="V91" s="127">
        <f t="shared" ca="1" si="2"/>
        <v>0</v>
      </c>
      <c r="W91" s="128">
        <f t="shared" ca="1" si="3"/>
        <v>0</v>
      </c>
      <c r="X91" s="55">
        <f ca="1">_xll.DBRW($G$15,$H$21,$H$22,X$29,X$28,$H$24,$H$25,$G91,X$30)</f>
        <v>0</v>
      </c>
      <c r="Y91" s="52">
        <f ca="1">_xll.DBRW($G$15,$H$21,$H$22,X$29,X$28,$H$24,$H$25,$G91,Y$30)</f>
        <v>0</v>
      </c>
      <c r="Z91" s="52">
        <f ca="1">_xll.DBRW($G$15,$H$21,$H$22,X$29,X$28,$H$24,$H$25,$G91,Z$30)</f>
        <v>0</v>
      </c>
      <c r="AA91" s="52">
        <f ca="1">_xll.DBRW($G$15,$H$21,$H$22,AA$29,X$28,$H$24,$H$25,$G91,AA$30)</f>
        <v>0</v>
      </c>
      <c r="AB91" s="52">
        <f ca="1">_xll.DBRW($G$15,$H$21,$H$22,AA$29,X$28,$H$24,$H$25,$G91,AB$30)</f>
        <v>0</v>
      </c>
      <c r="AC91" s="53">
        <f ca="1">_xll.DBRW($G$15,$H$21,$H$22,AA$29,X$28,$H$24,$H$25,$G91,AC$30)</f>
        <v>0</v>
      </c>
      <c r="AD91" s="127">
        <f t="shared" ca="1" si="4"/>
        <v>0</v>
      </c>
      <c r="AE91" s="128">
        <f t="shared" ca="1" si="5"/>
        <v>0</v>
      </c>
      <c r="AF91" s="55">
        <f ca="1">_xll.DBRW($G$15,$H$21,$H$22,AF$29,AF$28,$H$24,$H$25,$G91,AF$30)</f>
        <v>0</v>
      </c>
      <c r="AG91" s="52">
        <f ca="1">_xll.DBRW($G$15,$H$21,$H$22,AF$29,AF$28,$H$24,$H$25,$G91,AG$30)</f>
        <v>0</v>
      </c>
      <c r="AH91" s="52">
        <f ca="1">_xll.DBRW($G$15,$H$21,$H$22,AF$29,AF$28,$H$24,$H$25,$G91,AH$30)</f>
        <v>0</v>
      </c>
      <c r="AI91" s="52">
        <f ca="1">_xll.DBRW($G$15,$H$21,$H$22,AI$29,AF$28,$H$24,$H$25,$G91,AI$30)</f>
        <v>0</v>
      </c>
      <c r="AJ91" s="52">
        <f ca="1">_xll.DBRW($G$15,$H$21,$H$22,AI$29,AF$28,$H$24,$H$25,$G91,AJ$30)</f>
        <v>0</v>
      </c>
      <c r="AK91" s="53">
        <f ca="1">_xll.DBRW($G$15,$H$21,$H$22,AI$29,AF$28,$H$24,$H$25,$G91,AK$30)</f>
        <v>0</v>
      </c>
      <c r="AL91" s="140">
        <f t="shared" ca="1" si="6"/>
        <v>0</v>
      </c>
      <c r="AM91" s="140">
        <f t="shared" ca="1" si="7"/>
        <v>0</v>
      </c>
    </row>
    <row r="92" spans="1:39">
      <c r="A92">
        <f ca="1">IF(_xll.TM1RPTELISCONSOLIDATED($G$31,$G92),IF(_xll.TM1RPTELLEV($G$31,$G92)&lt;=3,_xll.TM1RPTELLEV($G$31,$G92),"D"),"N")</f>
        <v>2</v>
      </c>
      <c r="G92" s="79" t="s">
        <v>249</v>
      </c>
      <c r="H92" s="52">
        <f ca="1">_xll.DBRW($G$15,$H$21,$H$22,H$29,H$28,$H$24,$H$25,$G92,H$30)</f>
        <v>0</v>
      </c>
      <c r="I92" s="52">
        <f ca="1">_xll.DBRW($G$15,$H$21,$H$22,H$29,H$28,$H$24,$H$25,$G92,I$30)</f>
        <v>0</v>
      </c>
      <c r="J92" s="52">
        <f ca="1">_xll.DBRW($G$15,$H$21,$H$22,H$29,H$28,$H$24,$H$25,$G92,J$30)</f>
        <v>0</v>
      </c>
      <c r="K92" s="52">
        <f ca="1">_xll.DBRW($G$15,$H$21,$H$22,K$29,H$28,$H$24,$H$25,$G92,K$30)</f>
        <v>0</v>
      </c>
      <c r="L92" s="52">
        <f ca="1">_xll.DBRW($G$15,$H$21,$H$22,K$29,H$28,$H$24,$H$25,$G92,L$30)</f>
        <v>0</v>
      </c>
      <c r="M92" s="53">
        <f ca="1">_xll.DBRW($G$15,$H$21,$H$22,K$29,H$28,$H$24,$H$25,$G92,M$30)</f>
        <v>0</v>
      </c>
      <c r="N92" s="127">
        <f t="shared" ca="1" si="0"/>
        <v>0</v>
      </c>
      <c r="O92" s="128">
        <f t="shared" ca="1" si="1"/>
        <v>0</v>
      </c>
      <c r="P92" s="55">
        <f ca="1">_xll.DBRW($G$15,$H$21,$H$22,P$29,P$28,$H$24,$H$25,$G92,P$30)</f>
        <v>0</v>
      </c>
      <c r="Q92" s="52">
        <f ca="1">_xll.DBRW($G$15,$H$21,$H$22,P$29,P$28,$H$24,$H$25,$G92,Q$30)</f>
        <v>0</v>
      </c>
      <c r="R92" s="52">
        <f ca="1">_xll.DBRW($G$15,$H$21,$H$22,P$29,P$28,$H$24,$H$25,$G92,R$30)</f>
        <v>0</v>
      </c>
      <c r="S92" s="52">
        <f ca="1">_xll.DBRW($G$15,$H$21,$H$22,S$29,P$28,$H$24,$H$25,$G92,S$30)</f>
        <v>0</v>
      </c>
      <c r="T92" s="52">
        <f ca="1">_xll.DBRW($G$15,$H$21,$H$22,S$29,P$28,$H$24,$H$25,$G92,T$30)</f>
        <v>0</v>
      </c>
      <c r="U92" s="53">
        <f ca="1">_xll.DBRW($G$15,$H$21,$H$22,S$29,P$28,$H$24,$H$25,$G92,U$30)</f>
        <v>0</v>
      </c>
      <c r="V92" s="127">
        <f t="shared" ca="1" si="2"/>
        <v>0</v>
      </c>
      <c r="W92" s="128">
        <f t="shared" ca="1" si="3"/>
        <v>0</v>
      </c>
      <c r="X92" s="55">
        <f ca="1">_xll.DBRW($G$15,$H$21,$H$22,X$29,X$28,$H$24,$H$25,$G92,X$30)</f>
        <v>0</v>
      </c>
      <c r="Y92" s="52">
        <f ca="1">_xll.DBRW($G$15,$H$21,$H$22,X$29,X$28,$H$24,$H$25,$G92,Y$30)</f>
        <v>0</v>
      </c>
      <c r="Z92" s="52">
        <f ca="1">_xll.DBRW($G$15,$H$21,$H$22,X$29,X$28,$H$24,$H$25,$G92,Z$30)</f>
        <v>0</v>
      </c>
      <c r="AA92" s="52">
        <f ca="1">_xll.DBRW($G$15,$H$21,$H$22,AA$29,X$28,$H$24,$H$25,$G92,AA$30)</f>
        <v>0</v>
      </c>
      <c r="AB92" s="52">
        <f ca="1">_xll.DBRW($G$15,$H$21,$H$22,AA$29,X$28,$H$24,$H$25,$G92,AB$30)</f>
        <v>0</v>
      </c>
      <c r="AC92" s="53">
        <f ca="1">_xll.DBRW($G$15,$H$21,$H$22,AA$29,X$28,$H$24,$H$25,$G92,AC$30)</f>
        <v>0</v>
      </c>
      <c r="AD92" s="127">
        <f t="shared" ca="1" si="4"/>
        <v>0</v>
      </c>
      <c r="AE92" s="128">
        <f t="shared" ca="1" si="5"/>
        <v>0</v>
      </c>
      <c r="AF92" s="55">
        <f ca="1">_xll.DBRW($G$15,$H$21,$H$22,AF$29,AF$28,$H$24,$H$25,$G92,AF$30)</f>
        <v>0</v>
      </c>
      <c r="AG92" s="52">
        <f ca="1">_xll.DBRW($G$15,$H$21,$H$22,AF$29,AF$28,$H$24,$H$25,$G92,AG$30)</f>
        <v>0</v>
      </c>
      <c r="AH92" s="52">
        <f ca="1">_xll.DBRW($G$15,$H$21,$H$22,AF$29,AF$28,$H$24,$H$25,$G92,AH$30)</f>
        <v>0</v>
      </c>
      <c r="AI92" s="52">
        <f ca="1">_xll.DBRW($G$15,$H$21,$H$22,AI$29,AF$28,$H$24,$H$25,$G92,AI$30)</f>
        <v>0</v>
      </c>
      <c r="AJ92" s="52">
        <f ca="1">_xll.DBRW($G$15,$H$21,$H$22,AI$29,AF$28,$H$24,$H$25,$G92,AJ$30)</f>
        <v>0</v>
      </c>
      <c r="AK92" s="53">
        <f ca="1">_xll.DBRW($G$15,$H$21,$H$22,AI$29,AF$28,$H$24,$H$25,$G92,AK$30)</f>
        <v>0</v>
      </c>
      <c r="AL92" s="140">
        <f t="shared" ca="1" si="6"/>
        <v>0</v>
      </c>
      <c r="AM92" s="140">
        <f t="shared" ca="1" si="7"/>
        <v>0</v>
      </c>
    </row>
    <row r="93" spans="1:39">
      <c r="A93">
        <f ca="1">IF(_xll.TM1RPTELISCONSOLIDATED($G$31,$G93),IF(_xll.TM1RPTELLEV($G$31,$G93)&lt;=3,_xll.TM1RPTELLEV($G$31,$G93),"D"),"N")</f>
        <v>1</v>
      </c>
      <c r="G93" s="78" t="s">
        <v>173</v>
      </c>
      <c r="H93" s="48">
        <f ca="1">_xll.DBRW($G$15,$H$21,$H$22,H$29,H$28,$H$24,$H$25,$G93,H$30)</f>
        <v>0</v>
      </c>
      <c r="I93" s="48">
        <f ca="1">_xll.DBRW($G$15,$H$21,$H$22,H$29,H$28,$H$24,$H$25,$G93,I$30)</f>
        <v>0</v>
      </c>
      <c r="J93" s="48">
        <f ca="1">_xll.DBRW($G$15,$H$21,$H$22,H$29,H$28,$H$24,$H$25,$G93,J$30)</f>
        <v>0</v>
      </c>
      <c r="K93" s="48">
        <f ca="1">_xll.DBRW($G$15,$H$21,$H$22,K$29,H$28,$H$24,$H$25,$G93,K$30)</f>
        <v>0</v>
      </c>
      <c r="L93" s="48">
        <f ca="1">_xll.DBRW($G$15,$H$21,$H$22,K$29,H$28,$H$24,$H$25,$G93,L$30)</f>
        <v>0</v>
      </c>
      <c r="M93" s="49">
        <f ca="1">_xll.DBRW($G$15,$H$21,$H$22,K$29,H$28,$H$24,$H$25,$G93,M$30)</f>
        <v>0</v>
      </c>
      <c r="N93" s="125">
        <f t="shared" ca="1" si="0"/>
        <v>0</v>
      </c>
      <c r="O93" s="126">
        <f t="shared" ca="1" si="1"/>
        <v>0</v>
      </c>
      <c r="P93" s="51">
        <f ca="1">_xll.DBRW($G$15,$H$21,$H$22,P$29,P$28,$H$24,$H$25,$G93,P$30)</f>
        <v>0</v>
      </c>
      <c r="Q93" s="48">
        <f ca="1">_xll.DBRW($G$15,$H$21,$H$22,P$29,P$28,$H$24,$H$25,$G93,Q$30)</f>
        <v>0</v>
      </c>
      <c r="R93" s="48">
        <f ca="1">_xll.DBRW($G$15,$H$21,$H$22,P$29,P$28,$H$24,$H$25,$G93,R$30)</f>
        <v>0</v>
      </c>
      <c r="S93" s="48">
        <f ca="1">_xll.DBRW($G$15,$H$21,$H$22,S$29,P$28,$H$24,$H$25,$G93,S$30)</f>
        <v>0</v>
      </c>
      <c r="T93" s="48">
        <f ca="1">_xll.DBRW($G$15,$H$21,$H$22,S$29,P$28,$H$24,$H$25,$G93,T$30)</f>
        <v>0</v>
      </c>
      <c r="U93" s="49">
        <f ca="1">_xll.DBRW($G$15,$H$21,$H$22,S$29,P$28,$H$24,$H$25,$G93,U$30)</f>
        <v>0</v>
      </c>
      <c r="V93" s="125">
        <f t="shared" ca="1" si="2"/>
        <v>0</v>
      </c>
      <c r="W93" s="126">
        <f t="shared" ca="1" si="3"/>
        <v>0</v>
      </c>
      <c r="X93" s="51">
        <f ca="1">_xll.DBRW($G$15,$H$21,$H$22,X$29,X$28,$H$24,$H$25,$G93,X$30)</f>
        <v>0</v>
      </c>
      <c r="Y93" s="48">
        <f ca="1">_xll.DBRW($G$15,$H$21,$H$22,X$29,X$28,$H$24,$H$25,$G93,Y$30)</f>
        <v>0</v>
      </c>
      <c r="Z93" s="48">
        <f ca="1">_xll.DBRW($G$15,$H$21,$H$22,X$29,X$28,$H$24,$H$25,$G93,Z$30)</f>
        <v>0</v>
      </c>
      <c r="AA93" s="48">
        <f ca="1">_xll.DBRW($G$15,$H$21,$H$22,AA$29,X$28,$H$24,$H$25,$G93,AA$30)</f>
        <v>0</v>
      </c>
      <c r="AB93" s="48">
        <f ca="1">_xll.DBRW($G$15,$H$21,$H$22,AA$29,X$28,$H$24,$H$25,$G93,AB$30)</f>
        <v>0</v>
      </c>
      <c r="AC93" s="49">
        <f ca="1">_xll.DBRW($G$15,$H$21,$H$22,AA$29,X$28,$H$24,$H$25,$G93,AC$30)</f>
        <v>0</v>
      </c>
      <c r="AD93" s="125">
        <f t="shared" ca="1" si="4"/>
        <v>0</v>
      </c>
      <c r="AE93" s="126">
        <f t="shared" ca="1" si="5"/>
        <v>0</v>
      </c>
      <c r="AF93" s="51">
        <f ca="1">_xll.DBRW($G$15,$H$21,$H$22,AF$29,AF$28,$H$24,$H$25,$G93,AF$30)</f>
        <v>0</v>
      </c>
      <c r="AG93" s="48">
        <f ca="1">_xll.DBRW($G$15,$H$21,$H$22,AF$29,AF$28,$H$24,$H$25,$G93,AG$30)</f>
        <v>0</v>
      </c>
      <c r="AH93" s="48">
        <f ca="1">_xll.DBRW($G$15,$H$21,$H$22,AF$29,AF$28,$H$24,$H$25,$G93,AH$30)</f>
        <v>0</v>
      </c>
      <c r="AI93" s="48">
        <f ca="1">_xll.DBRW($G$15,$H$21,$H$22,AI$29,AF$28,$H$24,$H$25,$G93,AI$30)</f>
        <v>0</v>
      </c>
      <c r="AJ93" s="48">
        <f ca="1">_xll.DBRW($G$15,$H$21,$H$22,AI$29,AF$28,$H$24,$H$25,$G93,AJ$30)</f>
        <v>0</v>
      </c>
      <c r="AK93" s="49">
        <f ca="1">_xll.DBRW($G$15,$H$21,$H$22,AI$29,AF$28,$H$24,$H$25,$G93,AK$30)</f>
        <v>0</v>
      </c>
      <c r="AL93" s="140">
        <f t="shared" ca="1" si="6"/>
        <v>0</v>
      </c>
      <c r="AM93" s="140">
        <f t="shared" ca="1" si="7"/>
        <v>0</v>
      </c>
    </row>
    <row r="94" spans="1:39">
      <c r="A94">
        <f ca="1">IF(_xll.TM1RPTELISCONSOLIDATED($G$31,$G94),IF(_xll.TM1RPTELLEV($G$31,$G94)&lt;=3,_xll.TM1RPTELLEV($G$31,$G94),"D"),"N")</f>
        <v>2</v>
      </c>
      <c r="G94" s="79" t="s">
        <v>250</v>
      </c>
      <c r="H94" s="52">
        <f ca="1">_xll.DBRW($G$15,$H$21,$H$22,H$29,H$28,$H$24,$H$25,$G94,H$30)</f>
        <v>0</v>
      </c>
      <c r="I94" s="52">
        <f ca="1">_xll.DBRW($G$15,$H$21,$H$22,H$29,H$28,$H$24,$H$25,$G94,I$30)</f>
        <v>0</v>
      </c>
      <c r="J94" s="52">
        <f ca="1">_xll.DBRW($G$15,$H$21,$H$22,H$29,H$28,$H$24,$H$25,$G94,J$30)</f>
        <v>0</v>
      </c>
      <c r="K94" s="52">
        <f ca="1">_xll.DBRW($G$15,$H$21,$H$22,K$29,H$28,$H$24,$H$25,$G94,K$30)</f>
        <v>0</v>
      </c>
      <c r="L94" s="52">
        <f ca="1">_xll.DBRW($G$15,$H$21,$H$22,K$29,H$28,$H$24,$H$25,$G94,L$30)</f>
        <v>0</v>
      </c>
      <c r="M94" s="53">
        <f ca="1">_xll.DBRW($G$15,$H$21,$H$22,K$29,H$28,$H$24,$H$25,$G94,M$30)</f>
        <v>0</v>
      </c>
      <c r="N94" s="127">
        <f t="shared" ca="1" si="0"/>
        <v>0</v>
      </c>
      <c r="O94" s="128">
        <f t="shared" ca="1" si="1"/>
        <v>0</v>
      </c>
      <c r="P94" s="55">
        <f ca="1">_xll.DBRW($G$15,$H$21,$H$22,P$29,P$28,$H$24,$H$25,$G94,P$30)</f>
        <v>0</v>
      </c>
      <c r="Q94" s="52">
        <f ca="1">_xll.DBRW($G$15,$H$21,$H$22,P$29,P$28,$H$24,$H$25,$G94,Q$30)</f>
        <v>0</v>
      </c>
      <c r="R94" s="52">
        <f ca="1">_xll.DBRW($G$15,$H$21,$H$22,P$29,P$28,$H$24,$H$25,$G94,R$30)</f>
        <v>0</v>
      </c>
      <c r="S94" s="52">
        <f ca="1">_xll.DBRW($G$15,$H$21,$H$22,S$29,P$28,$H$24,$H$25,$G94,S$30)</f>
        <v>0</v>
      </c>
      <c r="T94" s="52">
        <f ca="1">_xll.DBRW($G$15,$H$21,$H$22,S$29,P$28,$H$24,$H$25,$G94,T$30)</f>
        <v>0</v>
      </c>
      <c r="U94" s="53">
        <f ca="1">_xll.DBRW($G$15,$H$21,$H$22,S$29,P$28,$H$24,$H$25,$G94,U$30)</f>
        <v>0</v>
      </c>
      <c r="V94" s="127">
        <f t="shared" ca="1" si="2"/>
        <v>0</v>
      </c>
      <c r="W94" s="128">
        <f t="shared" ca="1" si="3"/>
        <v>0</v>
      </c>
      <c r="X94" s="55">
        <f ca="1">_xll.DBRW($G$15,$H$21,$H$22,X$29,X$28,$H$24,$H$25,$G94,X$30)</f>
        <v>0</v>
      </c>
      <c r="Y94" s="52">
        <f ca="1">_xll.DBRW($G$15,$H$21,$H$22,X$29,X$28,$H$24,$H$25,$G94,Y$30)</f>
        <v>0</v>
      </c>
      <c r="Z94" s="52">
        <f ca="1">_xll.DBRW($G$15,$H$21,$H$22,X$29,X$28,$H$24,$H$25,$G94,Z$30)</f>
        <v>0</v>
      </c>
      <c r="AA94" s="52">
        <f ca="1">_xll.DBRW($G$15,$H$21,$H$22,AA$29,X$28,$H$24,$H$25,$G94,AA$30)</f>
        <v>0</v>
      </c>
      <c r="AB94" s="52">
        <f ca="1">_xll.DBRW($G$15,$H$21,$H$22,AA$29,X$28,$H$24,$H$25,$G94,AB$30)</f>
        <v>0</v>
      </c>
      <c r="AC94" s="53">
        <f ca="1">_xll.DBRW($G$15,$H$21,$H$22,AA$29,X$28,$H$24,$H$25,$G94,AC$30)</f>
        <v>0</v>
      </c>
      <c r="AD94" s="127">
        <f t="shared" ca="1" si="4"/>
        <v>0</v>
      </c>
      <c r="AE94" s="128">
        <f t="shared" ca="1" si="5"/>
        <v>0</v>
      </c>
      <c r="AF94" s="55">
        <f ca="1">_xll.DBRW($G$15,$H$21,$H$22,AF$29,AF$28,$H$24,$H$25,$G94,AF$30)</f>
        <v>0</v>
      </c>
      <c r="AG94" s="52">
        <f ca="1">_xll.DBRW($G$15,$H$21,$H$22,AF$29,AF$28,$H$24,$H$25,$G94,AG$30)</f>
        <v>0</v>
      </c>
      <c r="AH94" s="52">
        <f ca="1">_xll.DBRW($G$15,$H$21,$H$22,AF$29,AF$28,$H$24,$H$25,$G94,AH$30)</f>
        <v>0</v>
      </c>
      <c r="AI94" s="52">
        <f ca="1">_xll.DBRW($G$15,$H$21,$H$22,AI$29,AF$28,$H$24,$H$25,$G94,AI$30)</f>
        <v>0</v>
      </c>
      <c r="AJ94" s="52">
        <f ca="1">_xll.DBRW($G$15,$H$21,$H$22,AI$29,AF$28,$H$24,$H$25,$G94,AJ$30)</f>
        <v>0</v>
      </c>
      <c r="AK94" s="53">
        <f ca="1">_xll.DBRW($G$15,$H$21,$H$22,AI$29,AF$28,$H$24,$H$25,$G94,AK$30)</f>
        <v>0</v>
      </c>
      <c r="AL94" s="140">
        <f t="shared" ca="1" si="6"/>
        <v>0</v>
      </c>
      <c r="AM94" s="140">
        <f t="shared" ca="1" si="7"/>
        <v>0</v>
      </c>
    </row>
    <row r="95" spans="1:39">
      <c r="A95">
        <f ca="1">IF(_xll.TM1RPTELISCONSOLIDATED($G$31,$G95),IF(_xll.TM1RPTELLEV($G$31,$G95)&lt;=3,_xll.TM1RPTELLEV($G$31,$G95),"D"),"N")</f>
        <v>2</v>
      </c>
      <c r="G95" s="79" t="s">
        <v>251</v>
      </c>
      <c r="H95" s="52">
        <f ca="1">_xll.DBRW($G$15,$H$21,$H$22,H$29,H$28,$H$24,$H$25,$G95,H$30)</f>
        <v>0</v>
      </c>
      <c r="I95" s="52">
        <f ca="1">_xll.DBRW($G$15,$H$21,$H$22,H$29,H$28,$H$24,$H$25,$G95,I$30)</f>
        <v>0</v>
      </c>
      <c r="J95" s="52">
        <f ca="1">_xll.DBRW($G$15,$H$21,$H$22,H$29,H$28,$H$24,$H$25,$G95,J$30)</f>
        <v>0</v>
      </c>
      <c r="K95" s="52">
        <f ca="1">_xll.DBRW($G$15,$H$21,$H$22,K$29,H$28,$H$24,$H$25,$G95,K$30)</f>
        <v>0</v>
      </c>
      <c r="L95" s="52">
        <f ca="1">_xll.DBRW($G$15,$H$21,$H$22,K$29,H$28,$H$24,$H$25,$G95,L$30)</f>
        <v>0</v>
      </c>
      <c r="M95" s="53">
        <f ca="1">_xll.DBRW($G$15,$H$21,$H$22,K$29,H$28,$H$24,$H$25,$G95,M$30)</f>
        <v>0</v>
      </c>
      <c r="N95" s="127">
        <f t="shared" ca="1" si="0"/>
        <v>0</v>
      </c>
      <c r="O95" s="128">
        <f t="shared" ca="1" si="1"/>
        <v>0</v>
      </c>
      <c r="P95" s="55">
        <f ca="1">_xll.DBRW($G$15,$H$21,$H$22,P$29,P$28,$H$24,$H$25,$G95,P$30)</f>
        <v>0</v>
      </c>
      <c r="Q95" s="52">
        <f ca="1">_xll.DBRW($G$15,$H$21,$H$22,P$29,P$28,$H$24,$H$25,$G95,Q$30)</f>
        <v>0</v>
      </c>
      <c r="R95" s="52">
        <f ca="1">_xll.DBRW($G$15,$H$21,$H$22,P$29,P$28,$H$24,$H$25,$G95,R$30)</f>
        <v>0</v>
      </c>
      <c r="S95" s="52">
        <f ca="1">_xll.DBRW($G$15,$H$21,$H$22,S$29,P$28,$H$24,$H$25,$G95,S$30)</f>
        <v>0</v>
      </c>
      <c r="T95" s="52">
        <f ca="1">_xll.DBRW($G$15,$H$21,$H$22,S$29,P$28,$H$24,$H$25,$G95,T$30)</f>
        <v>0</v>
      </c>
      <c r="U95" s="53">
        <f ca="1">_xll.DBRW($G$15,$H$21,$H$22,S$29,P$28,$H$24,$H$25,$G95,U$30)</f>
        <v>0</v>
      </c>
      <c r="V95" s="127">
        <f t="shared" ca="1" si="2"/>
        <v>0</v>
      </c>
      <c r="W95" s="128">
        <f t="shared" ca="1" si="3"/>
        <v>0</v>
      </c>
      <c r="X95" s="55">
        <f ca="1">_xll.DBRW($G$15,$H$21,$H$22,X$29,X$28,$H$24,$H$25,$G95,X$30)</f>
        <v>0</v>
      </c>
      <c r="Y95" s="52">
        <f ca="1">_xll.DBRW($G$15,$H$21,$H$22,X$29,X$28,$H$24,$H$25,$G95,Y$30)</f>
        <v>0</v>
      </c>
      <c r="Z95" s="52">
        <f ca="1">_xll.DBRW($G$15,$H$21,$H$22,X$29,X$28,$H$24,$H$25,$G95,Z$30)</f>
        <v>0</v>
      </c>
      <c r="AA95" s="52">
        <f ca="1">_xll.DBRW($G$15,$H$21,$H$22,AA$29,X$28,$H$24,$H$25,$G95,AA$30)</f>
        <v>0</v>
      </c>
      <c r="AB95" s="52">
        <f ca="1">_xll.DBRW($G$15,$H$21,$H$22,AA$29,X$28,$H$24,$H$25,$G95,AB$30)</f>
        <v>0</v>
      </c>
      <c r="AC95" s="53">
        <f ca="1">_xll.DBRW($G$15,$H$21,$H$22,AA$29,X$28,$H$24,$H$25,$G95,AC$30)</f>
        <v>0</v>
      </c>
      <c r="AD95" s="127">
        <f t="shared" ca="1" si="4"/>
        <v>0</v>
      </c>
      <c r="AE95" s="128">
        <f t="shared" ca="1" si="5"/>
        <v>0</v>
      </c>
      <c r="AF95" s="55">
        <f ca="1">_xll.DBRW($G$15,$H$21,$H$22,AF$29,AF$28,$H$24,$H$25,$G95,AF$30)</f>
        <v>0</v>
      </c>
      <c r="AG95" s="52">
        <f ca="1">_xll.DBRW($G$15,$H$21,$H$22,AF$29,AF$28,$H$24,$H$25,$G95,AG$30)</f>
        <v>0</v>
      </c>
      <c r="AH95" s="52">
        <f ca="1">_xll.DBRW($G$15,$H$21,$H$22,AF$29,AF$28,$H$24,$H$25,$G95,AH$30)</f>
        <v>0</v>
      </c>
      <c r="AI95" s="52">
        <f ca="1">_xll.DBRW($G$15,$H$21,$H$22,AI$29,AF$28,$H$24,$H$25,$G95,AI$30)</f>
        <v>0</v>
      </c>
      <c r="AJ95" s="52">
        <f ca="1">_xll.DBRW($G$15,$H$21,$H$22,AI$29,AF$28,$H$24,$H$25,$G95,AJ$30)</f>
        <v>0</v>
      </c>
      <c r="AK95" s="53">
        <f ca="1">_xll.DBRW($G$15,$H$21,$H$22,AI$29,AF$28,$H$24,$H$25,$G95,AK$30)</f>
        <v>0</v>
      </c>
      <c r="AL95" s="140">
        <f t="shared" ca="1" si="6"/>
        <v>0</v>
      </c>
      <c r="AM95" s="140">
        <f t="shared" ca="1" si="7"/>
        <v>0</v>
      </c>
    </row>
    <row r="96" spans="1:39">
      <c r="A96">
        <f ca="1">IF(_xll.TM1RPTELISCONSOLIDATED($G$31,$G96),IF(_xll.TM1RPTELLEV($G$31,$G96)&lt;=3,_xll.TM1RPTELLEV($G$31,$G96),"D"),"N")</f>
        <v>2</v>
      </c>
      <c r="G96" s="79" t="s">
        <v>252</v>
      </c>
      <c r="H96" s="52">
        <f ca="1">_xll.DBRW($G$15,$H$21,$H$22,H$29,H$28,$H$24,$H$25,$G96,H$30)</f>
        <v>0</v>
      </c>
      <c r="I96" s="52">
        <f ca="1">_xll.DBRW($G$15,$H$21,$H$22,H$29,H$28,$H$24,$H$25,$G96,I$30)</f>
        <v>0</v>
      </c>
      <c r="J96" s="52">
        <f ca="1">_xll.DBRW($G$15,$H$21,$H$22,H$29,H$28,$H$24,$H$25,$G96,J$30)</f>
        <v>0</v>
      </c>
      <c r="K96" s="52">
        <f ca="1">_xll.DBRW($G$15,$H$21,$H$22,K$29,H$28,$H$24,$H$25,$G96,K$30)</f>
        <v>0</v>
      </c>
      <c r="L96" s="52">
        <f ca="1">_xll.DBRW($G$15,$H$21,$H$22,K$29,H$28,$H$24,$H$25,$G96,L$30)</f>
        <v>0</v>
      </c>
      <c r="M96" s="53">
        <f ca="1">_xll.DBRW($G$15,$H$21,$H$22,K$29,H$28,$H$24,$H$25,$G96,M$30)</f>
        <v>0</v>
      </c>
      <c r="N96" s="127">
        <f t="shared" ref="N96:N159" ca="1" si="8">IF(K96&lt;&gt;0,H96/K96,0)</f>
        <v>0</v>
      </c>
      <c r="O96" s="128">
        <f t="shared" ref="O96:O159" ca="1" si="9">IF(M96&lt;&gt;0,J96/M96,0)</f>
        <v>0</v>
      </c>
      <c r="P96" s="55">
        <f ca="1">_xll.DBRW($G$15,$H$21,$H$22,P$29,P$28,$H$24,$H$25,$G96,P$30)</f>
        <v>0</v>
      </c>
      <c r="Q96" s="52">
        <f ca="1">_xll.DBRW($G$15,$H$21,$H$22,P$29,P$28,$H$24,$H$25,$G96,Q$30)</f>
        <v>0</v>
      </c>
      <c r="R96" s="52">
        <f ca="1">_xll.DBRW($G$15,$H$21,$H$22,P$29,P$28,$H$24,$H$25,$G96,R$30)</f>
        <v>0</v>
      </c>
      <c r="S96" s="52">
        <f ca="1">_xll.DBRW($G$15,$H$21,$H$22,S$29,P$28,$H$24,$H$25,$G96,S$30)</f>
        <v>0</v>
      </c>
      <c r="T96" s="52">
        <f ca="1">_xll.DBRW($G$15,$H$21,$H$22,S$29,P$28,$H$24,$H$25,$G96,T$30)</f>
        <v>0</v>
      </c>
      <c r="U96" s="53">
        <f ca="1">_xll.DBRW($G$15,$H$21,$H$22,S$29,P$28,$H$24,$H$25,$G96,U$30)</f>
        <v>0</v>
      </c>
      <c r="V96" s="127">
        <f t="shared" ref="V96:V159" ca="1" si="10">IF(S96&lt;&gt;0,P96/S96,0)</f>
        <v>0</v>
      </c>
      <c r="W96" s="128">
        <f t="shared" ref="W96:W159" ca="1" si="11">IF(U96&lt;&gt;0,R96/U96,0)</f>
        <v>0</v>
      </c>
      <c r="X96" s="55">
        <f ca="1">_xll.DBRW($G$15,$H$21,$H$22,X$29,X$28,$H$24,$H$25,$G96,X$30)</f>
        <v>0</v>
      </c>
      <c r="Y96" s="52">
        <f ca="1">_xll.DBRW($G$15,$H$21,$H$22,X$29,X$28,$H$24,$H$25,$G96,Y$30)</f>
        <v>0</v>
      </c>
      <c r="Z96" s="52">
        <f ca="1">_xll.DBRW($G$15,$H$21,$H$22,X$29,X$28,$H$24,$H$25,$G96,Z$30)</f>
        <v>0</v>
      </c>
      <c r="AA96" s="52">
        <f ca="1">_xll.DBRW($G$15,$H$21,$H$22,AA$29,X$28,$H$24,$H$25,$G96,AA$30)</f>
        <v>0</v>
      </c>
      <c r="AB96" s="52">
        <f ca="1">_xll.DBRW($G$15,$H$21,$H$22,AA$29,X$28,$H$24,$H$25,$G96,AB$30)</f>
        <v>0</v>
      </c>
      <c r="AC96" s="53">
        <f ca="1">_xll.DBRW($G$15,$H$21,$H$22,AA$29,X$28,$H$24,$H$25,$G96,AC$30)</f>
        <v>0</v>
      </c>
      <c r="AD96" s="127">
        <f t="shared" ref="AD96:AD159" ca="1" si="12">IF(AA96&lt;&gt;0,X96/AA96,0)</f>
        <v>0</v>
      </c>
      <c r="AE96" s="128">
        <f t="shared" ref="AE96:AE159" ca="1" si="13">IF(AC96&lt;&gt;0,Z96/AC96,0)</f>
        <v>0</v>
      </c>
      <c r="AF96" s="55">
        <f ca="1">_xll.DBRW($G$15,$H$21,$H$22,AF$29,AF$28,$H$24,$H$25,$G96,AF$30)</f>
        <v>0</v>
      </c>
      <c r="AG96" s="52">
        <f ca="1">_xll.DBRW($G$15,$H$21,$H$22,AF$29,AF$28,$H$24,$H$25,$G96,AG$30)</f>
        <v>0</v>
      </c>
      <c r="AH96" s="52">
        <f ca="1">_xll.DBRW($G$15,$H$21,$H$22,AF$29,AF$28,$H$24,$H$25,$G96,AH$30)</f>
        <v>0</v>
      </c>
      <c r="AI96" s="52">
        <f ca="1">_xll.DBRW($G$15,$H$21,$H$22,AI$29,AF$28,$H$24,$H$25,$G96,AI$30)</f>
        <v>0</v>
      </c>
      <c r="AJ96" s="52">
        <f ca="1">_xll.DBRW($G$15,$H$21,$H$22,AI$29,AF$28,$H$24,$H$25,$G96,AJ$30)</f>
        <v>0</v>
      </c>
      <c r="AK96" s="53">
        <f ca="1">_xll.DBRW($G$15,$H$21,$H$22,AI$29,AF$28,$H$24,$H$25,$G96,AK$30)</f>
        <v>0</v>
      </c>
      <c r="AL96" s="140">
        <f t="shared" ref="AL96:AL159" ca="1" si="14">IF(AI96&lt;&gt;0,AF96/AI96,0)</f>
        <v>0</v>
      </c>
      <c r="AM96" s="140">
        <f t="shared" ref="AM96:AM159" ca="1" si="15">IF(AK96&lt;&gt;0,AH96/AK96,0)</f>
        <v>0</v>
      </c>
    </row>
    <row r="97" spans="1:39">
      <c r="A97">
        <f ca="1">IF(_xll.TM1RPTELISCONSOLIDATED($G$31,$G97),IF(_xll.TM1RPTELLEV($G$31,$G97)&lt;=3,_xll.TM1RPTELLEV($G$31,$G97),"D"),"N")</f>
        <v>2</v>
      </c>
      <c r="G97" s="79" t="s">
        <v>253</v>
      </c>
      <c r="H97" s="52">
        <f ca="1">_xll.DBRW($G$15,$H$21,$H$22,H$29,H$28,$H$24,$H$25,$G97,H$30)</f>
        <v>0</v>
      </c>
      <c r="I97" s="52">
        <f ca="1">_xll.DBRW($G$15,$H$21,$H$22,H$29,H$28,$H$24,$H$25,$G97,I$30)</f>
        <v>0</v>
      </c>
      <c r="J97" s="52">
        <f ca="1">_xll.DBRW($G$15,$H$21,$H$22,H$29,H$28,$H$24,$H$25,$G97,J$30)</f>
        <v>0</v>
      </c>
      <c r="K97" s="52">
        <f ca="1">_xll.DBRW($G$15,$H$21,$H$22,K$29,H$28,$H$24,$H$25,$G97,K$30)</f>
        <v>0</v>
      </c>
      <c r="L97" s="52">
        <f ca="1">_xll.DBRW($G$15,$H$21,$H$22,K$29,H$28,$H$24,$H$25,$G97,L$30)</f>
        <v>0</v>
      </c>
      <c r="M97" s="53">
        <f ca="1">_xll.DBRW($G$15,$H$21,$H$22,K$29,H$28,$H$24,$H$25,$G97,M$30)</f>
        <v>0</v>
      </c>
      <c r="N97" s="127">
        <f t="shared" ca="1" si="8"/>
        <v>0</v>
      </c>
      <c r="O97" s="128">
        <f t="shared" ca="1" si="9"/>
        <v>0</v>
      </c>
      <c r="P97" s="55">
        <f ca="1">_xll.DBRW($G$15,$H$21,$H$22,P$29,P$28,$H$24,$H$25,$G97,P$30)</f>
        <v>0</v>
      </c>
      <c r="Q97" s="52">
        <f ca="1">_xll.DBRW($G$15,$H$21,$H$22,P$29,P$28,$H$24,$H$25,$G97,Q$30)</f>
        <v>0</v>
      </c>
      <c r="R97" s="52">
        <f ca="1">_xll.DBRW($G$15,$H$21,$H$22,P$29,P$28,$H$24,$H$25,$G97,R$30)</f>
        <v>0</v>
      </c>
      <c r="S97" s="52">
        <f ca="1">_xll.DBRW($G$15,$H$21,$H$22,S$29,P$28,$H$24,$H$25,$G97,S$30)</f>
        <v>0</v>
      </c>
      <c r="T97" s="52">
        <f ca="1">_xll.DBRW($G$15,$H$21,$H$22,S$29,P$28,$H$24,$H$25,$G97,T$30)</f>
        <v>0</v>
      </c>
      <c r="U97" s="53">
        <f ca="1">_xll.DBRW($G$15,$H$21,$H$22,S$29,P$28,$H$24,$H$25,$G97,U$30)</f>
        <v>0</v>
      </c>
      <c r="V97" s="127">
        <f t="shared" ca="1" si="10"/>
        <v>0</v>
      </c>
      <c r="W97" s="128">
        <f t="shared" ca="1" si="11"/>
        <v>0</v>
      </c>
      <c r="X97" s="55">
        <f ca="1">_xll.DBRW($G$15,$H$21,$H$22,X$29,X$28,$H$24,$H$25,$G97,X$30)</f>
        <v>0</v>
      </c>
      <c r="Y97" s="52">
        <f ca="1">_xll.DBRW($G$15,$H$21,$H$22,X$29,X$28,$H$24,$H$25,$G97,Y$30)</f>
        <v>0</v>
      </c>
      <c r="Z97" s="52">
        <f ca="1">_xll.DBRW($G$15,$H$21,$H$22,X$29,X$28,$H$24,$H$25,$G97,Z$30)</f>
        <v>0</v>
      </c>
      <c r="AA97" s="52">
        <f ca="1">_xll.DBRW($G$15,$H$21,$H$22,AA$29,X$28,$H$24,$H$25,$G97,AA$30)</f>
        <v>0</v>
      </c>
      <c r="AB97" s="52">
        <f ca="1">_xll.DBRW($G$15,$H$21,$H$22,AA$29,X$28,$H$24,$H$25,$G97,AB$30)</f>
        <v>0</v>
      </c>
      <c r="AC97" s="53">
        <f ca="1">_xll.DBRW($G$15,$H$21,$H$22,AA$29,X$28,$H$24,$H$25,$G97,AC$30)</f>
        <v>0</v>
      </c>
      <c r="AD97" s="127">
        <f t="shared" ca="1" si="12"/>
        <v>0</v>
      </c>
      <c r="AE97" s="128">
        <f t="shared" ca="1" si="13"/>
        <v>0</v>
      </c>
      <c r="AF97" s="55">
        <f ca="1">_xll.DBRW($G$15,$H$21,$H$22,AF$29,AF$28,$H$24,$H$25,$G97,AF$30)</f>
        <v>0</v>
      </c>
      <c r="AG97" s="52">
        <f ca="1">_xll.DBRW($G$15,$H$21,$H$22,AF$29,AF$28,$H$24,$H$25,$G97,AG$30)</f>
        <v>0</v>
      </c>
      <c r="AH97" s="52">
        <f ca="1">_xll.DBRW($G$15,$H$21,$H$22,AF$29,AF$28,$H$24,$H$25,$G97,AH$30)</f>
        <v>0</v>
      </c>
      <c r="AI97" s="52">
        <f ca="1">_xll.DBRW($G$15,$H$21,$H$22,AI$29,AF$28,$H$24,$H$25,$G97,AI$30)</f>
        <v>0</v>
      </c>
      <c r="AJ97" s="52">
        <f ca="1">_xll.DBRW($G$15,$H$21,$H$22,AI$29,AF$28,$H$24,$H$25,$G97,AJ$30)</f>
        <v>0</v>
      </c>
      <c r="AK97" s="53">
        <f ca="1">_xll.DBRW($G$15,$H$21,$H$22,AI$29,AF$28,$H$24,$H$25,$G97,AK$30)</f>
        <v>0</v>
      </c>
      <c r="AL97" s="140">
        <f t="shared" ca="1" si="14"/>
        <v>0</v>
      </c>
      <c r="AM97" s="140">
        <f t="shared" ca="1" si="15"/>
        <v>0</v>
      </c>
    </row>
    <row r="98" spans="1:39">
      <c r="A98">
        <f ca="1">IF(_xll.TM1RPTELISCONSOLIDATED($G$31,$G98),IF(_xll.TM1RPTELLEV($G$31,$G98)&lt;=3,_xll.TM1RPTELLEV($G$31,$G98),"D"),"N")</f>
        <v>2</v>
      </c>
      <c r="G98" s="79" t="s">
        <v>254</v>
      </c>
      <c r="H98" s="52">
        <f ca="1">_xll.DBRW($G$15,$H$21,$H$22,H$29,H$28,$H$24,$H$25,$G98,H$30)</f>
        <v>0</v>
      </c>
      <c r="I98" s="52">
        <f ca="1">_xll.DBRW($G$15,$H$21,$H$22,H$29,H$28,$H$24,$H$25,$G98,I$30)</f>
        <v>0</v>
      </c>
      <c r="J98" s="52">
        <f ca="1">_xll.DBRW($G$15,$H$21,$H$22,H$29,H$28,$H$24,$H$25,$G98,J$30)</f>
        <v>0</v>
      </c>
      <c r="K98" s="52">
        <f ca="1">_xll.DBRW($G$15,$H$21,$H$22,K$29,H$28,$H$24,$H$25,$G98,K$30)</f>
        <v>0</v>
      </c>
      <c r="L98" s="52">
        <f ca="1">_xll.DBRW($G$15,$H$21,$H$22,K$29,H$28,$H$24,$H$25,$G98,L$30)</f>
        <v>0</v>
      </c>
      <c r="M98" s="53">
        <f ca="1">_xll.DBRW($G$15,$H$21,$H$22,K$29,H$28,$H$24,$H$25,$G98,M$30)</f>
        <v>0</v>
      </c>
      <c r="N98" s="127">
        <f t="shared" ca="1" si="8"/>
        <v>0</v>
      </c>
      <c r="O98" s="128">
        <f t="shared" ca="1" si="9"/>
        <v>0</v>
      </c>
      <c r="P98" s="55">
        <f ca="1">_xll.DBRW($G$15,$H$21,$H$22,P$29,P$28,$H$24,$H$25,$G98,P$30)</f>
        <v>0</v>
      </c>
      <c r="Q98" s="52">
        <f ca="1">_xll.DBRW($G$15,$H$21,$H$22,P$29,P$28,$H$24,$H$25,$G98,Q$30)</f>
        <v>0</v>
      </c>
      <c r="R98" s="52">
        <f ca="1">_xll.DBRW($G$15,$H$21,$H$22,P$29,P$28,$H$24,$H$25,$G98,R$30)</f>
        <v>0</v>
      </c>
      <c r="S98" s="52">
        <f ca="1">_xll.DBRW($G$15,$H$21,$H$22,S$29,P$28,$H$24,$H$25,$G98,S$30)</f>
        <v>0</v>
      </c>
      <c r="T98" s="52">
        <f ca="1">_xll.DBRW($G$15,$H$21,$H$22,S$29,P$28,$H$24,$H$25,$G98,T$30)</f>
        <v>0</v>
      </c>
      <c r="U98" s="53">
        <f ca="1">_xll.DBRW($G$15,$H$21,$H$22,S$29,P$28,$H$24,$H$25,$G98,U$30)</f>
        <v>0</v>
      </c>
      <c r="V98" s="127">
        <f t="shared" ca="1" si="10"/>
        <v>0</v>
      </c>
      <c r="W98" s="128">
        <f t="shared" ca="1" si="11"/>
        <v>0</v>
      </c>
      <c r="X98" s="55">
        <f ca="1">_xll.DBRW($G$15,$H$21,$H$22,X$29,X$28,$H$24,$H$25,$G98,X$30)</f>
        <v>0</v>
      </c>
      <c r="Y98" s="52">
        <f ca="1">_xll.DBRW($G$15,$H$21,$H$22,X$29,X$28,$H$24,$H$25,$G98,Y$30)</f>
        <v>0</v>
      </c>
      <c r="Z98" s="52">
        <f ca="1">_xll.DBRW($G$15,$H$21,$H$22,X$29,X$28,$H$24,$H$25,$G98,Z$30)</f>
        <v>0</v>
      </c>
      <c r="AA98" s="52">
        <f ca="1">_xll.DBRW($G$15,$H$21,$H$22,AA$29,X$28,$H$24,$H$25,$G98,AA$30)</f>
        <v>0</v>
      </c>
      <c r="AB98" s="52">
        <f ca="1">_xll.DBRW($G$15,$H$21,$H$22,AA$29,X$28,$H$24,$H$25,$G98,AB$30)</f>
        <v>0</v>
      </c>
      <c r="AC98" s="53">
        <f ca="1">_xll.DBRW($G$15,$H$21,$H$22,AA$29,X$28,$H$24,$H$25,$G98,AC$30)</f>
        <v>0</v>
      </c>
      <c r="AD98" s="127">
        <f t="shared" ca="1" si="12"/>
        <v>0</v>
      </c>
      <c r="AE98" s="128">
        <f t="shared" ca="1" si="13"/>
        <v>0</v>
      </c>
      <c r="AF98" s="55">
        <f ca="1">_xll.DBRW($G$15,$H$21,$H$22,AF$29,AF$28,$H$24,$H$25,$G98,AF$30)</f>
        <v>0</v>
      </c>
      <c r="AG98" s="52">
        <f ca="1">_xll.DBRW($G$15,$H$21,$H$22,AF$29,AF$28,$H$24,$H$25,$G98,AG$30)</f>
        <v>0</v>
      </c>
      <c r="AH98" s="52">
        <f ca="1">_xll.DBRW($G$15,$H$21,$H$22,AF$29,AF$28,$H$24,$H$25,$G98,AH$30)</f>
        <v>0</v>
      </c>
      <c r="AI98" s="52">
        <f ca="1">_xll.DBRW($G$15,$H$21,$H$22,AI$29,AF$28,$H$24,$H$25,$G98,AI$30)</f>
        <v>0</v>
      </c>
      <c r="AJ98" s="52">
        <f ca="1">_xll.DBRW($G$15,$H$21,$H$22,AI$29,AF$28,$H$24,$H$25,$G98,AJ$30)</f>
        <v>0</v>
      </c>
      <c r="AK98" s="53">
        <f ca="1">_xll.DBRW($G$15,$H$21,$H$22,AI$29,AF$28,$H$24,$H$25,$G98,AK$30)</f>
        <v>0</v>
      </c>
      <c r="AL98" s="140">
        <f t="shared" ca="1" si="14"/>
        <v>0</v>
      </c>
      <c r="AM98" s="140">
        <f t="shared" ca="1" si="15"/>
        <v>0</v>
      </c>
    </row>
    <row r="99" spans="1:39">
      <c r="A99">
        <f ca="1">IF(_xll.TM1RPTELISCONSOLIDATED($G$31,$G99),IF(_xll.TM1RPTELLEV($G$31,$G99)&lt;=3,_xll.TM1RPTELLEV($G$31,$G99),"D"),"N")</f>
        <v>1</v>
      </c>
      <c r="G99" s="78" t="s">
        <v>174</v>
      </c>
      <c r="H99" s="48">
        <f ca="1">_xll.DBRW($G$15,$H$21,$H$22,H$29,H$28,$H$24,$H$25,$G99,H$30)</f>
        <v>0</v>
      </c>
      <c r="I99" s="48">
        <f ca="1">_xll.DBRW($G$15,$H$21,$H$22,H$29,H$28,$H$24,$H$25,$G99,I$30)</f>
        <v>0</v>
      </c>
      <c r="J99" s="48">
        <f ca="1">_xll.DBRW($G$15,$H$21,$H$22,H$29,H$28,$H$24,$H$25,$G99,J$30)</f>
        <v>0</v>
      </c>
      <c r="K99" s="48">
        <f ca="1">_xll.DBRW($G$15,$H$21,$H$22,K$29,H$28,$H$24,$H$25,$G99,K$30)</f>
        <v>0</v>
      </c>
      <c r="L99" s="48">
        <f ca="1">_xll.DBRW($G$15,$H$21,$H$22,K$29,H$28,$H$24,$H$25,$G99,L$30)</f>
        <v>0</v>
      </c>
      <c r="M99" s="49">
        <f ca="1">_xll.DBRW($G$15,$H$21,$H$22,K$29,H$28,$H$24,$H$25,$G99,M$30)</f>
        <v>0</v>
      </c>
      <c r="N99" s="125">
        <f t="shared" ca="1" si="8"/>
        <v>0</v>
      </c>
      <c r="O99" s="126">
        <f t="shared" ca="1" si="9"/>
        <v>0</v>
      </c>
      <c r="P99" s="51">
        <f ca="1">_xll.DBRW($G$15,$H$21,$H$22,P$29,P$28,$H$24,$H$25,$G99,P$30)</f>
        <v>0</v>
      </c>
      <c r="Q99" s="48">
        <f ca="1">_xll.DBRW($G$15,$H$21,$H$22,P$29,P$28,$H$24,$H$25,$G99,Q$30)</f>
        <v>0</v>
      </c>
      <c r="R99" s="48">
        <f ca="1">_xll.DBRW($G$15,$H$21,$H$22,P$29,P$28,$H$24,$H$25,$G99,R$30)</f>
        <v>0</v>
      </c>
      <c r="S99" s="48">
        <f ca="1">_xll.DBRW($G$15,$H$21,$H$22,S$29,P$28,$H$24,$H$25,$G99,S$30)</f>
        <v>0</v>
      </c>
      <c r="T99" s="48">
        <f ca="1">_xll.DBRW($G$15,$H$21,$H$22,S$29,P$28,$H$24,$H$25,$G99,T$30)</f>
        <v>0</v>
      </c>
      <c r="U99" s="49">
        <f ca="1">_xll.DBRW($G$15,$H$21,$H$22,S$29,P$28,$H$24,$H$25,$G99,U$30)</f>
        <v>0</v>
      </c>
      <c r="V99" s="125">
        <f t="shared" ca="1" si="10"/>
        <v>0</v>
      </c>
      <c r="W99" s="126">
        <f t="shared" ca="1" si="11"/>
        <v>0</v>
      </c>
      <c r="X99" s="51">
        <f ca="1">_xll.DBRW($G$15,$H$21,$H$22,X$29,X$28,$H$24,$H$25,$G99,X$30)</f>
        <v>0</v>
      </c>
      <c r="Y99" s="48">
        <f ca="1">_xll.DBRW($G$15,$H$21,$H$22,X$29,X$28,$H$24,$H$25,$G99,Y$30)</f>
        <v>0</v>
      </c>
      <c r="Z99" s="48">
        <f ca="1">_xll.DBRW($G$15,$H$21,$H$22,X$29,X$28,$H$24,$H$25,$G99,Z$30)</f>
        <v>0</v>
      </c>
      <c r="AA99" s="48">
        <f ca="1">_xll.DBRW($G$15,$H$21,$H$22,AA$29,X$28,$H$24,$H$25,$G99,AA$30)</f>
        <v>0</v>
      </c>
      <c r="AB99" s="48">
        <f ca="1">_xll.DBRW($G$15,$H$21,$H$22,AA$29,X$28,$H$24,$H$25,$G99,AB$30)</f>
        <v>0</v>
      </c>
      <c r="AC99" s="49">
        <f ca="1">_xll.DBRW($G$15,$H$21,$H$22,AA$29,X$28,$H$24,$H$25,$G99,AC$30)</f>
        <v>0</v>
      </c>
      <c r="AD99" s="125">
        <f t="shared" ca="1" si="12"/>
        <v>0</v>
      </c>
      <c r="AE99" s="126">
        <f t="shared" ca="1" si="13"/>
        <v>0</v>
      </c>
      <c r="AF99" s="51">
        <f ca="1">_xll.DBRW($G$15,$H$21,$H$22,AF$29,AF$28,$H$24,$H$25,$G99,AF$30)</f>
        <v>0</v>
      </c>
      <c r="AG99" s="48">
        <f ca="1">_xll.DBRW($G$15,$H$21,$H$22,AF$29,AF$28,$H$24,$H$25,$G99,AG$30)</f>
        <v>0</v>
      </c>
      <c r="AH99" s="48">
        <f ca="1">_xll.DBRW($G$15,$H$21,$H$22,AF$29,AF$28,$H$24,$H$25,$G99,AH$30)</f>
        <v>0</v>
      </c>
      <c r="AI99" s="48">
        <f ca="1">_xll.DBRW($G$15,$H$21,$H$22,AI$29,AF$28,$H$24,$H$25,$G99,AI$30)</f>
        <v>0</v>
      </c>
      <c r="AJ99" s="48">
        <f ca="1">_xll.DBRW($G$15,$H$21,$H$22,AI$29,AF$28,$H$24,$H$25,$G99,AJ$30)</f>
        <v>0</v>
      </c>
      <c r="AK99" s="49">
        <f ca="1">_xll.DBRW($G$15,$H$21,$H$22,AI$29,AF$28,$H$24,$H$25,$G99,AK$30)</f>
        <v>0</v>
      </c>
      <c r="AL99" s="140">
        <f t="shared" ca="1" si="14"/>
        <v>0</v>
      </c>
      <c r="AM99" s="140">
        <f t="shared" ca="1" si="15"/>
        <v>0</v>
      </c>
    </row>
    <row r="100" spans="1:39">
      <c r="A100">
        <f ca="1">IF(_xll.TM1RPTELISCONSOLIDATED($G$31,$G100),IF(_xll.TM1RPTELLEV($G$31,$G100)&lt;=3,_xll.TM1RPTELLEV($G$31,$G100),"D"),"N")</f>
        <v>2</v>
      </c>
      <c r="G100" s="79" t="s">
        <v>255</v>
      </c>
      <c r="H100" s="52">
        <f ca="1">_xll.DBRW($G$15,$H$21,$H$22,H$29,H$28,$H$24,$H$25,$G100,H$30)</f>
        <v>0</v>
      </c>
      <c r="I100" s="52">
        <f ca="1">_xll.DBRW($G$15,$H$21,$H$22,H$29,H$28,$H$24,$H$25,$G100,I$30)</f>
        <v>0</v>
      </c>
      <c r="J100" s="52">
        <f ca="1">_xll.DBRW($G$15,$H$21,$H$22,H$29,H$28,$H$24,$H$25,$G100,J$30)</f>
        <v>0</v>
      </c>
      <c r="K100" s="52">
        <f ca="1">_xll.DBRW($G$15,$H$21,$H$22,K$29,H$28,$H$24,$H$25,$G100,K$30)</f>
        <v>0</v>
      </c>
      <c r="L100" s="52">
        <f ca="1">_xll.DBRW($G$15,$H$21,$H$22,K$29,H$28,$H$24,$H$25,$G100,L$30)</f>
        <v>0</v>
      </c>
      <c r="M100" s="53">
        <f ca="1">_xll.DBRW($G$15,$H$21,$H$22,K$29,H$28,$H$24,$H$25,$G100,M$30)</f>
        <v>0</v>
      </c>
      <c r="N100" s="127">
        <f t="shared" ca="1" si="8"/>
        <v>0</v>
      </c>
      <c r="O100" s="128">
        <f t="shared" ca="1" si="9"/>
        <v>0</v>
      </c>
      <c r="P100" s="55">
        <f ca="1">_xll.DBRW($G$15,$H$21,$H$22,P$29,P$28,$H$24,$H$25,$G100,P$30)</f>
        <v>0</v>
      </c>
      <c r="Q100" s="52">
        <f ca="1">_xll.DBRW($G$15,$H$21,$H$22,P$29,P$28,$H$24,$H$25,$G100,Q$30)</f>
        <v>0</v>
      </c>
      <c r="R100" s="52">
        <f ca="1">_xll.DBRW($G$15,$H$21,$H$22,P$29,P$28,$H$24,$H$25,$G100,R$30)</f>
        <v>0</v>
      </c>
      <c r="S100" s="52">
        <f ca="1">_xll.DBRW($G$15,$H$21,$H$22,S$29,P$28,$H$24,$H$25,$G100,S$30)</f>
        <v>0</v>
      </c>
      <c r="T100" s="52">
        <f ca="1">_xll.DBRW($G$15,$H$21,$H$22,S$29,P$28,$H$24,$H$25,$G100,T$30)</f>
        <v>0</v>
      </c>
      <c r="U100" s="53">
        <f ca="1">_xll.DBRW($G$15,$H$21,$H$22,S$29,P$28,$H$24,$H$25,$G100,U$30)</f>
        <v>0</v>
      </c>
      <c r="V100" s="127">
        <f t="shared" ca="1" si="10"/>
        <v>0</v>
      </c>
      <c r="W100" s="128">
        <f t="shared" ca="1" si="11"/>
        <v>0</v>
      </c>
      <c r="X100" s="55">
        <f ca="1">_xll.DBRW($G$15,$H$21,$H$22,X$29,X$28,$H$24,$H$25,$G100,X$30)</f>
        <v>0</v>
      </c>
      <c r="Y100" s="52">
        <f ca="1">_xll.DBRW($G$15,$H$21,$H$22,X$29,X$28,$H$24,$H$25,$G100,Y$30)</f>
        <v>0</v>
      </c>
      <c r="Z100" s="52">
        <f ca="1">_xll.DBRW($G$15,$H$21,$H$22,X$29,X$28,$H$24,$H$25,$G100,Z$30)</f>
        <v>0</v>
      </c>
      <c r="AA100" s="52">
        <f ca="1">_xll.DBRW($G$15,$H$21,$H$22,AA$29,X$28,$H$24,$H$25,$G100,AA$30)</f>
        <v>0</v>
      </c>
      <c r="AB100" s="52">
        <f ca="1">_xll.DBRW($G$15,$H$21,$H$22,AA$29,X$28,$H$24,$H$25,$G100,AB$30)</f>
        <v>0</v>
      </c>
      <c r="AC100" s="53">
        <f ca="1">_xll.DBRW($G$15,$H$21,$H$22,AA$29,X$28,$H$24,$H$25,$G100,AC$30)</f>
        <v>0</v>
      </c>
      <c r="AD100" s="127">
        <f t="shared" ca="1" si="12"/>
        <v>0</v>
      </c>
      <c r="AE100" s="128">
        <f t="shared" ca="1" si="13"/>
        <v>0</v>
      </c>
      <c r="AF100" s="55">
        <f ca="1">_xll.DBRW($G$15,$H$21,$H$22,AF$29,AF$28,$H$24,$H$25,$G100,AF$30)</f>
        <v>0</v>
      </c>
      <c r="AG100" s="52">
        <f ca="1">_xll.DBRW($G$15,$H$21,$H$22,AF$29,AF$28,$H$24,$H$25,$G100,AG$30)</f>
        <v>0</v>
      </c>
      <c r="AH100" s="52">
        <f ca="1">_xll.DBRW($G$15,$H$21,$H$22,AF$29,AF$28,$H$24,$H$25,$G100,AH$30)</f>
        <v>0</v>
      </c>
      <c r="AI100" s="52">
        <f ca="1">_xll.DBRW($G$15,$H$21,$H$22,AI$29,AF$28,$H$24,$H$25,$G100,AI$30)</f>
        <v>0</v>
      </c>
      <c r="AJ100" s="52">
        <f ca="1">_xll.DBRW($G$15,$H$21,$H$22,AI$29,AF$28,$H$24,$H$25,$G100,AJ$30)</f>
        <v>0</v>
      </c>
      <c r="AK100" s="53">
        <f ca="1">_xll.DBRW($G$15,$H$21,$H$22,AI$29,AF$28,$H$24,$H$25,$G100,AK$30)</f>
        <v>0</v>
      </c>
      <c r="AL100" s="140">
        <f t="shared" ca="1" si="14"/>
        <v>0</v>
      </c>
      <c r="AM100" s="140">
        <f t="shared" ca="1" si="15"/>
        <v>0</v>
      </c>
    </row>
    <row r="101" spans="1:39">
      <c r="A101">
        <f ca="1">IF(_xll.TM1RPTELISCONSOLIDATED($G$31,$G101),IF(_xll.TM1RPTELLEV($G$31,$G101)&lt;=3,_xll.TM1RPTELLEV($G$31,$G101),"D"),"N")</f>
        <v>2</v>
      </c>
      <c r="G101" s="79" t="s">
        <v>256</v>
      </c>
      <c r="H101" s="52">
        <f ca="1">_xll.DBRW($G$15,$H$21,$H$22,H$29,H$28,$H$24,$H$25,$G101,H$30)</f>
        <v>0</v>
      </c>
      <c r="I101" s="52">
        <f ca="1">_xll.DBRW($G$15,$H$21,$H$22,H$29,H$28,$H$24,$H$25,$G101,I$30)</f>
        <v>0</v>
      </c>
      <c r="J101" s="52">
        <f ca="1">_xll.DBRW($G$15,$H$21,$H$22,H$29,H$28,$H$24,$H$25,$G101,J$30)</f>
        <v>0</v>
      </c>
      <c r="K101" s="52">
        <f ca="1">_xll.DBRW($G$15,$H$21,$H$22,K$29,H$28,$H$24,$H$25,$G101,K$30)</f>
        <v>0</v>
      </c>
      <c r="L101" s="52">
        <f ca="1">_xll.DBRW($G$15,$H$21,$H$22,K$29,H$28,$H$24,$H$25,$G101,L$30)</f>
        <v>0</v>
      </c>
      <c r="M101" s="53">
        <f ca="1">_xll.DBRW($G$15,$H$21,$H$22,K$29,H$28,$H$24,$H$25,$G101,M$30)</f>
        <v>0</v>
      </c>
      <c r="N101" s="127">
        <f t="shared" ca="1" si="8"/>
        <v>0</v>
      </c>
      <c r="O101" s="128">
        <f t="shared" ca="1" si="9"/>
        <v>0</v>
      </c>
      <c r="P101" s="55">
        <f ca="1">_xll.DBRW($G$15,$H$21,$H$22,P$29,P$28,$H$24,$H$25,$G101,P$30)</f>
        <v>0</v>
      </c>
      <c r="Q101" s="52">
        <f ca="1">_xll.DBRW($G$15,$H$21,$H$22,P$29,P$28,$H$24,$H$25,$G101,Q$30)</f>
        <v>0</v>
      </c>
      <c r="R101" s="52">
        <f ca="1">_xll.DBRW($G$15,$H$21,$H$22,P$29,P$28,$H$24,$H$25,$G101,R$30)</f>
        <v>0</v>
      </c>
      <c r="S101" s="52">
        <f ca="1">_xll.DBRW($G$15,$H$21,$H$22,S$29,P$28,$H$24,$H$25,$G101,S$30)</f>
        <v>0</v>
      </c>
      <c r="T101" s="52">
        <f ca="1">_xll.DBRW($G$15,$H$21,$H$22,S$29,P$28,$H$24,$H$25,$G101,T$30)</f>
        <v>0</v>
      </c>
      <c r="U101" s="53">
        <f ca="1">_xll.DBRW($G$15,$H$21,$H$22,S$29,P$28,$H$24,$H$25,$G101,U$30)</f>
        <v>0</v>
      </c>
      <c r="V101" s="127">
        <f t="shared" ca="1" si="10"/>
        <v>0</v>
      </c>
      <c r="W101" s="128">
        <f t="shared" ca="1" si="11"/>
        <v>0</v>
      </c>
      <c r="X101" s="55">
        <f ca="1">_xll.DBRW($G$15,$H$21,$H$22,X$29,X$28,$H$24,$H$25,$G101,X$30)</f>
        <v>0</v>
      </c>
      <c r="Y101" s="52">
        <f ca="1">_xll.DBRW($G$15,$H$21,$H$22,X$29,X$28,$H$24,$H$25,$G101,Y$30)</f>
        <v>0</v>
      </c>
      <c r="Z101" s="52">
        <f ca="1">_xll.DBRW($G$15,$H$21,$H$22,X$29,X$28,$H$24,$H$25,$G101,Z$30)</f>
        <v>0</v>
      </c>
      <c r="AA101" s="52">
        <f ca="1">_xll.DBRW($G$15,$H$21,$H$22,AA$29,X$28,$H$24,$H$25,$G101,AA$30)</f>
        <v>0</v>
      </c>
      <c r="AB101" s="52">
        <f ca="1">_xll.DBRW($G$15,$H$21,$H$22,AA$29,X$28,$H$24,$H$25,$G101,AB$30)</f>
        <v>0</v>
      </c>
      <c r="AC101" s="53">
        <f ca="1">_xll.DBRW($G$15,$H$21,$H$22,AA$29,X$28,$H$24,$H$25,$G101,AC$30)</f>
        <v>0</v>
      </c>
      <c r="AD101" s="127">
        <f t="shared" ca="1" si="12"/>
        <v>0</v>
      </c>
      <c r="AE101" s="128">
        <f t="shared" ca="1" si="13"/>
        <v>0</v>
      </c>
      <c r="AF101" s="55">
        <f ca="1">_xll.DBRW($G$15,$H$21,$H$22,AF$29,AF$28,$H$24,$H$25,$G101,AF$30)</f>
        <v>0</v>
      </c>
      <c r="AG101" s="52">
        <f ca="1">_xll.DBRW($G$15,$H$21,$H$22,AF$29,AF$28,$H$24,$H$25,$G101,AG$30)</f>
        <v>0</v>
      </c>
      <c r="AH101" s="52">
        <f ca="1">_xll.DBRW($G$15,$H$21,$H$22,AF$29,AF$28,$H$24,$H$25,$G101,AH$30)</f>
        <v>0</v>
      </c>
      <c r="AI101" s="52">
        <f ca="1">_xll.DBRW($G$15,$H$21,$H$22,AI$29,AF$28,$H$24,$H$25,$G101,AI$30)</f>
        <v>0</v>
      </c>
      <c r="AJ101" s="52">
        <f ca="1">_xll.DBRW($G$15,$H$21,$H$22,AI$29,AF$28,$H$24,$H$25,$G101,AJ$30)</f>
        <v>0</v>
      </c>
      <c r="AK101" s="53">
        <f ca="1">_xll.DBRW($G$15,$H$21,$H$22,AI$29,AF$28,$H$24,$H$25,$G101,AK$30)</f>
        <v>0</v>
      </c>
      <c r="AL101" s="140">
        <f t="shared" ca="1" si="14"/>
        <v>0</v>
      </c>
      <c r="AM101" s="140">
        <f t="shared" ca="1" si="15"/>
        <v>0</v>
      </c>
    </row>
    <row r="102" spans="1:39">
      <c r="A102">
        <f ca="1">IF(_xll.TM1RPTELISCONSOLIDATED($G$31,$G102),IF(_xll.TM1RPTELLEV($G$31,$G102)&lt;=3,_xll.TM1RPTELLEV($G$31,$G102),"D"),"N")</f>
        <v>2</v>
      </c>
      <c r="G102" s="79" t="s">
        <v>257</v>
      </c>
      <c r="H102" s="52">
        <f ca="1">_xll.DBRW($G$15,$H$21,$H$22,H$29,H$28,$H$24,$H$25,$G102,H$30)</f>
        <v>0</v>
      </c>
      <c r="I102" s="52">
        <f ca="1">_xll.DBRW($G$15,$H$21,$H$22,H$29,H$28,$H$24,$H$25,$G102,I$30)</f>
        <v>0</v>
      </c>
      <c r="J102" s="52">
        <f ca="1">_xll.DBRW($G$15,$H$21,$H$22,H$29,H$28,$H$24,$H$25,$G102,J$30)</f>
        <v>0</v>
      </c>
      <c r="K102" s="52">
        <f ca="1">_xll.DBRW($G$15,$H$21,$H$22,K$29,H$28,$H$24,$H$25,$G102,K$30)</f>
        <v>0</v>
      </c>
      <c r="L102" s="52">
        <f ca="1">_xll.DBRW($G$15,$H$21,$H$22,K$29,H$28,$H$24,$H$25,$G102,L$30)</f>
        <v>0</v>
      </c>
      <c r="M102" s="53">
        <f ca="1">_xll.DBRW($G$15,$H$21,$H$22,K$29,H$28,$H$24,$H$25,$G102,M$30)</f>
        <v>0</v>
      </c>
      <c r="N102" s="127">
        <f t="shared" ca="1" si="8"/>
        <v>0</v>
      </c>
      <c r="O102" s="128">
        <f t="shared" ca="1" si="9"/>
        <v>0</v>
      </c>
      <c r="P102" s="55">
        <f ca="1">_xll.DBRW($G$15,$H$21,$H$22,P$29,P$28,$H$24,$H$25,$G102,P$30)</f>
        <v>0</v>
      </c>
      <c r="Q102" s="52">
        <f ca="1">_xll.DBRW($G$15,$H$21,$H$22,P$29,P$28,$H$24,$H$25,$G102,Q$30)</f>
        <v>0</v>
      </c>
      <c r="R102" s="52">
        <f ca="1">_xll.DBRW($G$15,$H$21,$H$22,P$29,P$28,$H$24,$H$25,$G102,R$30)</f>
        <v>0</v>
      </c>
      <c r="S102" s="52">
        <f ca="1">_xll.DBRW($G$15,$H$21,$H$22,S$29,P$28,$H$24,$H$25,$G102,S$30)</f>
        <v>0</v>
      </c>
      <c r="T102" s="52">
        <f ca="1">_xll.DBRW($G$15,$H$21,$H$22,S$29,P$28,$H$24,$H$25,$G102,T$30)</f>
        <v>0</v>
      </c>
      <c r="U102" s="53">
        <f ca="1">_xll.DBRW($G$15,$H$21,$H$22,S$29,P$28,$H$24,$H$25,$G102,U$30)</f>
        <v>0</v>
      </c>
      <c r="V102" s="127">
        <f t="shared" ca="1" si="10"/>
        <v>0</v>
      </c>
      <c r="W102" s="128">
        <f t="shared" ca="1" si="11"/>
        <v>0</v>
      </c>
      <c r="X102" s="55">
        <f ca="1">_xll.DBRW($G$15,$H$21,$H$22,X$29,X$28,$H$24,$H$25,$G102,X$30)</f>
        <v>0</v>
      </c>
      <c r="Y102" s="52">
        <f ca="1">_xll.DBRW($G$15,$H$21,$H$22,X$29,X$28,$H$24,$H$25,$G102,Y$30)</f>
        <v>0</v>
      </c>
      <c r="Z102" s="52">
        <f ca="1">_xll.DBRW($G$15,$H$21,$H$22,X$29,X$28,$H$24,$H$25,$G102,Z$30)</f>
        <v>0</v>
      </c>
      <c r="AA102" s="52">
        <f ca="1">_xll.DBRW($G$15,$H$21,$H$22,AA$29,X$28,$H$24,$H$25,$G102,AA$30)</f>
        <v>0</v>
      </c>
      <c r="AB102" s="52">
        <f ca="1">_xll.DBRW($G$15,$H$21,$H$22,AA$29,X$28,$H$24,$H$25,$G102,AB$30)</f>
        <v>0</v>
      </c>
      <c r="AC102" s="53">
        <f ca="1">_xll.DBRW($G$15,$H$21,$H$22,AA$29,X$28,$H$24,$H$25,$G102,AC$30)</f>
        <v>0</v>
      </c>
      <c r="AD102" s="127">
        <f t="shared" ca="1" si="12"/>
        <v>0</v>
      </c>
      <c r="AE102" s="128">
        <f t="shared" ca="1" si="13"/>
        <v>0</v>
      </c>
      <c r="AF102" s="55">
        <f ca="1">_xll.DBRW($G$15,$H$21,$H$22,AF$29,AF$28,$H$24,$H$25,$G102,AF$30)</f>
        <v>0</v>
      </c>
      <c r="AG102" s="52">
        <f ca="1">_xll.DBRW($G$15,$H$21,$H$22,AF$29,AF$28,$H$24,$H$25,$G102,AG$30)</f>
        <v>0</v>
      </c>
      <c r="AH102" s="52">
        <f ca="1">_xll.DBRW($G$15,$H$21,$H$22,AF$29,AF$28,$H$24,$H$25,$G102,AH$30)</f>
        <v>0</v>
      </c>
      <c r="AI102" s="52">
        <f ca="1">_xll.DBRW($G$15,$H$21,$H$22,AI$29,AF$28,$H$24,$H$25,$G102,AI$30)</f>
        <v>0</v>
      </c>
      <c r="AJ102" s="52">
        <f ca="1">_xll.DBRW($G$15,$H$21,$H$22,AI$29,AF$28,$H$24,$H$25,$G102,AJ$30)</f>
        <v>0</v>
      </c>
      <c r="AK102" s="53">
        <f ca="1">_xll.DBRW($G$15,$H$21,$H$22,AI$29,AF$28,$H$24,$H$25,$G102,AK$30)</f>
        <v>0</v>
      </c>
      <c r="AL102" s="140">
        <f t="shared" ca="1" si="14"/>
        <v>0</v>
      </c>
      <c r="AM102" s="140">
        <f t="shared" ca="1" si="15"/>
        <v>0</v>
      </c>
    </row>
    <row r="103" spans="1:39">
      <c r="A103">
        <f ca="1">IF(_xll.TM1RPTELISCONSOLIDATED($G$31,$G103),IF(_xll.TM1RPTELLEV($G$31,$G103)&lt;=3,_xll.TM1RPTELLEV($G$31,$G103),"D"),"N")</f>
        <v>2</v>
      </c>
      <c r="G103" s="79" t="s">
        <v>258</v>
      </c>
      <c r="H103" s="52">
        <f ca="1">_xll.DBRW($G$15,$H$21,$H$22,H$29,H$28,$H$24,$H$25,$G103,H$30)</f>
        <v>0</v>
      </c>
      <c r="I103" s="52">
        <f ca="1">_xll.DBRW($G$15,$H$21,$H$22,H$29,H$28,$H$24,$H$25,$G103,I$30)</f>
        <v>0</v>
      </c>
      <c r="J103" s="52">
        <f ca="1">_xll.DBRW($G$15,$H$21,$H$22,H$29,H$28,$H$24,$H$25,$G103,J$30)</f>
        <v>0</v>
      </c>
      <c r="K103" s="52">
        <f ca="1">_xll.DBRW($G$15,$H$21,$H$22,K$29,H$28,$H$24,$H$25,$G103,K$30)</f>
        <v>0</v>
      </c>
      <c r="L103" s="52">
        <f ca="1">_xll.DBRW($G$15,$H$21,$H$22,K$29,H$28,$H$24,$H$25,$G103,L$30)</f>
        <v>0</v>
      </c>
      <c r="M103" s="53">
        <f ca="1">_xll.DBRW($G$15,$H$21,$H$22,K$29,H$28,$H$24,$H$25,$G103,M$30)</f>
        <v>0</v>
      </c>
      <c r="N103" s="127">
        <f t="shared" ca="1" si="8"/>
        <v>0</v>
      </c>
      <c r="O103" s="128">
        <f t="shared" ca="1" si="9"/>
        <v>0</v>
      </c>
      <c r="P103" s="55">
        <f ca="1">_xll.DBRW($G$15,$H$21,$H$22,P$29,P$28,$H$24,$H$25,$G103,P$30)</f>
        <v>0</v>
      </c>
      <c r="Q103" s="52">
        <f ca="1">_xll.DBRW($G$15,$H$21,$H$22,P$29,P$28,$H$24,$H$25,$G103,Q$30)</f>
        <v>0</v>
      </c>
      <c r="R103" s="52">
        <f ca="1">_xll.DBRW($G$15,$H$21,$H$22,P$29,P$28,$H$24,$H$25,$G103,R$30)</f>
        <v>0</v>
      </c>
      <c r="S103" s="52">
        <f ca="1">_xll.DBRW($G$15,$H$21,$H$22,S$29,P$28,$H$24,$H$25,$G103,S$30)</f>
        <v>0</v>
      </c>
      <c r="T103" s="52">
        <f ca="1">_xll.DBRW($G$15,$H$21,$H$22,S$29,P$28,$H$24,$H$25,$G103,T$30)</f>
        <v>0</v>
      </c>
      <c r="U103" s="53">
        <f ca="1">_xll.DBRW($G$15,$H$21,$H$22,S$29,P$28,$H$24,$H$25,$G103,U$30)</f>
        <v>0</v>
      </c>
      <c r="V103" s="127">
        <f t="shared" ca="1" si="10"/>
        <v>0</v>
      </c>
      <c r="W103" s="128">
        <f t="shared" ca="1" si="11"/>
        <v>0</v>
      </c>
      <c r="X103" s="55">
        <f ca="1">_xll.DBRW($G$15,$H$21,$H$22,X$29,X$28,$H$24,$H$25,$G103,X$30)</f>
        <v>0</v>
      </c>
      <c r="Y103" s="52">
        <f ca="1">_xll.DBRW($G$15,$H$21,$H$22,X$29,X$28,$H$24,$H$25,$G103,Y$30)</f>
        <v>0</v>
      </c>
      <c r="Z103" s="52">
        <f ca="1">_xll.DBRW($G$15,$H$21,$H$22,X$29,X$28,$H$24,$H$25,$G103,Z$30)</f>
        <v>0</v>
      </c>
      <c r="AA103" s="52">
        <f ca="1">_xll.DBRW($G$15,$H$21,$H$22,AA$29,X$28,$H$24,$H$25,$G103,AA$30)</f>
        <v>0</v>
      </c>
      <c r="AB103" s="52">
        <f ca="1">_xll.DBRW($G$15,$H$21,$H$22,AA$29,X$28,$H$24,$H$25,$G103,AB$30)</f>
        <v>0</v>
      </c>
      <c r="AC103" s="53">
        <f ca="1">_xll.DBRW($G$15,$H$21,$H$22,AA$29,X$28,$H$24,$H$25,$G103,AC$30)</f>
        <v>0</v>
      </c>
      <c r="AD103" s="127">
        <f t="shared" ca="1" si="12"/>
        <v>0</v>
      </c>
      <c r="AE103" s="128">
        <f t="shared" ca="1" si="13"/>
        <v>0</v>
      </c>
      <c r="AF103" s="55">
        <f ca="1">_xll.DBRW($G$15,$H$21,$H$22,AF$29,AF$28,$H$24,$H$25,$G103,AF$30)</f>
        <v>0</v>
      </c>
      <c r="AG103" s="52">
        <f ca="1">_xll.DBRW($G$15,$H$21,$H$22,AF$29,AF$28,$H$24,$H$25,$G103,AG$30)</f>
        <v>0</v>
      </c>
      <c r="AH103" s="52">
        <f ca="1">_xll.DBRW($G$15,$H$21,$H$22,AF$29,AF$28,$H$24,$H$25,$G103,AH$30)</f>
        <v>0</v>
      </c>
      <c r="AI103" s="52">
        <f ca="1">_xll.DBRW($G$15,$H$21,$H$22,AI$29,AF$28,$H$24,$H$25,$G103,AI$30)</f>
        <v>0</v>
      </c>
      <c r="AJ103" s="52">
        <f ca="1">_xll.DBRW($G$15,$H$21,$H$22,AI$29,AF$28,$H$24,$H$25,$G103,AJ$30)</f>
        <v>0</v>
      </c>
      <c r="AK103" s="53">
        <f ca="1">_xll.DBRW($G$15,$H$21,$H$22,AI$29,AF$28,$H$24,$H$25,$G103,AK$30)</f>
        <v>0</v>
      </c>
      <c r="AL103" s="140">
        <f t="shared" ca="1" si="14"/>
        <v>0</v>
      </c>
      <c r="AM103" s="140">
        <f t="shared" ca="1" si="15"/>
        <v>0</v>
      </c>
    </row>
    <row r="104" spans="1:39">
      <c r="A104">
        <f ca="1">IF(_xll.TM1RPTELISCONSOLIDATED($G$31,$G104),IF(_xll.TM1RPTELLEV($G$31,$G104)&lt;=3,_xll.TM1RPTELLEV($G$31,$G104),"D"),"N")</f>
        <v>2</v>
      </c>
      <c r="G104" s="79" t="s">
        <v>259</v>
      </c>
      <c r="H104" s="52">
        <f ca="1">_xll.DBRW($G$15,$H$21,$H$22,H$29,H$28,$H$24,$H$25,$G104,H$30)</f>
        <v>0</v>
      </c>
      <c r="I104" s="52">
        <f ca="1">_xll.DBRW($G$15,$H$21,$H$22,H$29,H$28,$H$24,$H$25,$G104,I$30)</f>
        <v>0</v>
      </c>
      <c r="J104" s="52">
        <f ca="1">_xll.DBRW($G$15,$H$21,$H$22,H$29,H$28,$H$24,$H$25,$G104,J$30)</f>
        <v>0</v>
      </c>
      <c r="K104" s="52">
        <f ca="1">_xll.DBRW($G$15,$H$21,$H$22,K$29,H$28,$H$24,$H$25,$G104,K$30)</f>
        <v>0</v>
      </c>
      <c r="L104" s="52">
        <f ca="1">_xll.DBRW($G$15,$H$21,$H$22,K$29,H$28,$H$24,$H$25,$G104,L$30)</f>
        <v>0</v>
      </c>
      <c r="M104" s="53">
        <f ca="1">_xll.DBRW($G$15,$H$21,$H$22,K$29,H$28,$H$24,$H$25,$G104,M$30)</f>
        <v>0</v>
      </c>
      <c r="N104" s="127">
        <f t="shared" ca="1" si="8"/>
        <v>0</v>
      </c>
      <c r="O104" s="128">
        <f t="shared" ca="1" si="9"/>
        <v>0</v>
      </c>
      <c r="P104" s="55">
        <f ca="1">_xll.DBRW($G$15,$H$21,$H$22,P$29,P$28,$H$24,$H$25,$G104,P$30)</f>
        <v>0</v>
      </c>
      <c r="Q104" s="52">
        <f ca="1">_xll.DBRW($G$15,$H$21,$H$22,P$29,P$28,$H$24,$H$25,$G104,Q$30)</f>
        <v>0</v>
      </c>
      <c r="R104" s="52">
        <f ca="1">_xll.DBRW($G$15,$H$21,$H$22,P$29,P$28,$H$24,$H$25,$G104,R$30)</f>
        <v>0</v>
      </c>
      <c r="S104" s="52">
        <f ca="1">_xll.DBRW($G$15,$H$21,$H$22,S$29,P$28,$H$24,$H$25,$G104,S$30)</f>
        <v>0</v>
      </c>
      <c r="T104" s="52">
        <f ca="1">_xll.DBRW($G$15,$H$21,$H$22,S$29,P$28,$H$24,$H$25,$G104,T$30)</f>
        <v>0</v>
      </c>
      <c r="U104" s="53">
        <f ca="1">_xll.DBRW($G$15,$H$21,$H$22,S$29,P$28,$H$24,$H$25,$G104,U$30)</f>
        <v>0</v>
      </c>
      <c r="V104" s="127">
        <f t="shared" ca="1" si="10"/>
        <v>0</v>
      </c>
      <c r="W104" s="128">
        <f t="shared" ca="1" si="11"/>
        <v>0</v>
      </c>
      <c r="X104" s="55">
        <f ca="1">_xll.DBRW($G$15,$H$21,$H$22,X$29,X$28,$H$24,$H$25,$G104,X$30)</f>
        <v>0</v>
      </c>
      <c r="Y104" s="52">
        <f ca="1">_xll.DBRW($G$15,$H$21,$H$22,X$29,X$28,$H$24,$H$25,$G104,Y$30)</f>
        <v>0</v>
      </c>
      <c r="Z104" s="52">
        <f ca="1">_xll.DBRW($G$15,$H$21,$H$22,X$29,X$28,$H$24,$H$25,$G104,Z$30)</f>
        <v>0</v>
      </c>
      <c r="AA104" s="52">
        <f ca="1">_xll.DBRW($G$15,$H$21,$H$22,AA$29,X$28,$H$24,$H$25,$G104,AA$30)</f>
        <v>0</v>
      </c>
      <c r="AB104" s="52">
        <f ca="1">_xll.DBRW($G$15,$H$21,$H$22,AA$29,X$28,$H$24,$H$25,$G104,AB$30)</f>
        <v>0</v>
      </c>
      <c r="AC104" s="53">
        <f ca="1">_xll.DBRW($G$15,$H$21,$H$22,AA$29,X$28,$H$24,$H$25,$G104,AC$30)</f>
        <v>0</v>
      </c>
      <c r="AD104" s="127">
        <f t="shared" ca="1" si="12"/>
        <v>0</v>
      </c>
      <c r="AE104" s="128">
        <f t="shared" ca="1" si="13"/>
        <v>0</v>
      </c>
      <c r="AF104" s="55">
        <f ca="1">_xll.DBRW($G$15,$H$21,$H$22,AF$29,AF$28,$H$24,$H$25,$G104,AF$30)</f>
        <v>0</v>
      </c>
      <c r="AG104" s="52">
        <f ca="1">_xll.DBRW($G$15,$H$21,$H$22,AF$29,AF$28,$H$24,$H$25,$G104,AG$30)</f>
        <v>0</v>
      </c>
      <c r="AH104" s="52">
        <f ca="1">_xll.DBRW($G$15,$H$21,$H$22,AF$29,AF$28,$H$24,$H$25,$G104,AH$30)</f>
        <v>0</v>
      </c>
      <c r="AI104" s="52">
        <f ca="1">_xll.DBRW($G$15,$H$21,$H$22,AI$29,AF$28,$H$24,$H$25,$G104,AI$30)</f>
        <v>0</v>
      </c>
      <c r="AJ104" s="52">
        <f ca="1">_xll.DBRW($G$15,$H$21,$H$22,AI$29,AF$28,$H$24,$H$25,$G104,AJ$30)</f>
        <v>0</v>
      </c>
      <c r="AK104" s="53">
        <f ca="1">_xll.DBRW($G$15,$H$21,$H$22,AI$29,AF$28,$H$24,$H$25,$G104,AK$30)</f>
        <v>0</v>
      </c>
      <c r="AL104" s="140">
        <f t="shared" ca="1" si="14"/>
        <v>0</v>
      </c>
      <c r="AM104" s="140">
        <f t="shared" ca="1" si="15"/>
        <v>0</v>
      </c>
    </row>
    <row r="105" spans="1:39">
      <c r="A105">
        <f ca="1">IF(_xll.TM1RPTELISCONSOLIDATED($G$31,$G105),IF(_xll.TM1RPTELLEV($G$31,$G105)&lt;=3,_xll.TM1RPTELLEV($G$31,$G105),"D"),"N")</f>
        <v>2</v>
      </c>
      <c r="G105" s="79" t="s">
        <v>260</v>
      </c>
      <c r="H105" s="52">
        <f ca="1">_xll.DBRW($G$15,$H$21,$H$22,H$29,H$28,$H$24,$H$25,$G105,H$30)</f>
        <v>0</v>
      </c>
      <c r="I105" s="52">
        <f ca="1">_xll.DBRW($G$15,$H$21,$H$22,H$29,H$28,$H$24,$H$25,$G105,I$30)</f>
        <v>0</v>
      </c>
      <c r="J105" s="52">
        <f ca="1">_xll.DBRW($G$15,$H$21,$H$22,H$29,H$28,$H$24,$H$25,$G105,J$30)</f>
        <v>0</v>
      </c>
      <c r="K105" s="52">
        <f ca="1">_xll.DBRW($G$15,$H$21,$H$22,K$29,H$28,$H$24,$H$25,$G105,K$30)</f>
        <v>0</v>
      </c>
      <c r="L105" s="52">
        <f ca="1">_xll.DBRW($G$15,$H$21,$H$22,K$29,H$28,$H$24,$H$25,$G105,L$30)</f>
        <v>0</v>
      </c>
      <c r="M105" s="53">
        <f ca="1">_xll.DBRW($G$15,$H$21,$H$22,K$29,H$28,$H$24,$H$25,$G105,M$30)</f>
        <v>0</v>
      </c>
      <c r="N105" s="127">
        <f t="shared" ca="1" si="8"/>
        <v>0</v>
      </c>
      <c r="O105" s="128">
        <f t="shared" ca="1" si="9"/>
        <v>0</v>
      </c>
      <c r="P105" s="55">
        <f ca="1">_xll.DBRW($G$15,$H$21,$H$22,P$29,P$28,$H$24,$H$25,$G105,P$30)</f>
        <v>0</v>
      </c>
      <c r="Q105" s="52">
        <f ca="1">_xll.DBRW($G$15,$H$21,$H$22,P$29,P$28,$H$24,$H$25,$G105,Q$30)</f>
        <v>0</v>
      </c>
      <c r="R105" s="52">
        <f ca="1">_xll.DBRW($G$15,$H$21,$H$22,P$29,P$28,$H$24,$H$25,$G105,R$30)</f>
        <v>0</v>
      </c>
      <c r="S105" s="52">
        <f ca="1">_xll.DBRW($G$15,$H$21,$H$22,S$29,P$28,$H$24,$H$25,$G105,S$30)</f>
        <v>0</v>
      </c>
      <c r="T105" s="52">
        <f ca="1">_xll.DBRW($G$15,$H$21,$H$22,S$29,P$28,$H$24,$H$25,$G105,T$30)</f>
        <v>0</v>
      </c>
      <c r="U105" s="53">
        <f ca="1">_xll.DBRW($G$15,$H$21,$H$22,S$29,P$28,$H$24,$H$25,$G105,U$30)</f>
        <v>0</v>
      </c>
      <c r="V105" s="127">
        <f t="shared" ca="1" si="10"/>
        <v>0</v>
      </c>
      <c r="W105" s="128">
        <f t="shared" ca="1" si="11"/>
        <v>0</v>
      </c>
      <c r="X105" s="55">
        <f ca="1">_xll.DBRW($G$15,$H$21,$H$22,X$29,X$28,$H$24,$H$25,$G105,X$30)</f>
        <v>0</v>
      </c>
      <c r="Y105" s="52">
        <f ca="1">_xll.DBRW($G$15,$H$21,$H$22,X$29,X$28,$H$24,$H$25,$G105,Y$30)</f>
        <v>0</v>
      </c>
      <c r="Z105" s="52">
        <f ca="1">_xll.DBRW($G$15,$H$21,$H$22,X$29,X$28,$H$24,$H$25,$G105,Z$30)</f>
        <v>0</v>
      </c>
      <c r="AA105" s="52">
        <f ca="1">_xll.DBRW($G$15,$H$21,$H$22,AA$29,X$28,$H$24,$H$25,$G105,AA$30)</f>
        <v>0</v>
      </c>
      <c r="AB105" s="52">
        <f ca="1">_xll.DBRW($G$15,$H$21,$H$22,AA$29,X$28,$H$24,$H$25,$G105,AB$30)</f>
        <v>0</v>
      </c>
      <c r="AC105" s="53">
        <f ca="1">_xll.DBRW($G$15,$H$21,$H$22,AA$29,X$28,$H$24,$H$25,$G105,AC$30)</f>
        <v>0</v>
      </c>
      <c r="AD105" s="127">
        <f t="shared" ca="1" si="12"/>
        <v>0</v>
      </c>
      <c r="AE105" s="128">
        <f t="shared" ca="1" si="13"/>
        <v>0</v>
      </c>
      <c r="AF105" s="55">
        <f ca="1">_xll.DBRW($G$15,$H$21,$H$22,AF$29,AF$28,$H$24,$H$25,$G105,AF$30)</f>
        <v>0</v>
      </c>
      <c r="AG105" s="52">
        <f ca="1">_xll.DBRW($G$15,$H$21,$H$22,AF$29,AF$28,$H$24,$H$25,$G105,AG$30)</f>
        <v>0</v>
      </c>
      <c r="AH105" s="52">
        <f ca="1">_xll.DBRW($G$15,$H$21,$H$22,AF$29,AF$28,$H$24,$H$25,$G105,AH$30)</f>
        <v>0</v>
      </c>
      <c r="AI105" s="52">
        <f ca="1">_xll.DBRW($G$15,$H$21,$H$22,AI$29,AF$28,$H$24,$H$25,$G105,AI$30)</f>
        <v>0</v>
      </c>
      <c r="AJ105" s="52">
        <f ca="1">_xll.DBRW($G$15,$H$21,$H$22,AI$29,AF$28,$H$24,$H$25,$G105,AJ$30)</f>
        <v>0</v>
      </c>
      <c r="AK105" s="53">
        <f ca="1">_xll.DBRW($G$15,$H$21,$H$22,AI$29,AF$28,$H$24,$H$25,$G105,AK$30)</f>
        <v>0</v>
      </c>
      <c r="AL105" s="140">
        <f t="shared" ca="1" si="14"/>
        <v>0</v>
      </c>
      <c r="AM105" s="140">
        <f t="shared" ca="1" si="15"/>
        <v>0</v>
      </c>
    </row>
    <row r="106" spans="1:39">
      <c r="A106">
        <f ca="1">IF(_xll.TM1RPTELISCONSOLIDATED($G$31,$G106),IF(_xll.TM1RPTELLEV($G$31,$G106)&lt;=3,_xll.TM1RPTELLEV($G$31,$G106),"D"),"N")</f>
        <v>2</v>
      </c>
      <c r="G106" s="79" t="s">
        <v>261</v>
      </c>
      <c r="H106" s="52">
        <f ca="1">_xll.DBRW($G$15,$H$21,$H$22,H$29,H$28,$H$24,$H$25,$G106,H$30)</f>
        <v>0</v>
      </c>
      <c r="I106" s="52">
        <f ca="1">_xll.DBRW($G$15,$H$21,$H$22,H$29,H$28,$H$24,$H$25,$G106,I$30)</f>
        <v>0</v>
      </c>
      <c r="J106" s="52">
        <f ca="1">_xll.DBRW($G$15,$H$21,$H$22,H$29,H$28,$H$24,$H$25,$G106,J$30)</f>
        <v>0</v>
      </c>
      <c r="K106" s="52">
        <f ca="1">_xll.DBRW($G$15,$H$21,$H$22,K$29,H$28,$H$24,$H$25,$G106,K$30)</f>
        <v>0</v>
      </c>
      <c r="L106" s="52">
        <f ca="1">_xll.DBRW($G$15,$H$21,$H$22,K$29,H$28,$H$24,$H$25,$G106,L$30)</f>
        <v>0</v>
      </c>
      <c r="M106" s="53">
        <f ca="1">_xll.DBRW($G$15,$H$21,$H$22,K$29,H$28,$H$24,$H$25,$G106,M$30)</f>
        <v>0</v>
      </c>
      <c r="N106" s="127">
        <f t="shared" ca="1" si="8"/>
        <v>0</v>
      </c>
      <c r="O106" s="128">
        <f t="shared" ca="1" si="9"/>
        <v>0</v>
      </c>
      <c r="P106" s="55">
        <f ca="1">_xll.DBRW($G$15,$H$21,$H$22,P$29,P$28,$H$24,$H$25,$G106,P$30)</f>
        <v>0</v>
      </c>
      <c r="Q106" s="52">
        <f ca="1">_xll.DBRW($G$15,$H$21,$H$22,P$29,P$28,$H$24,$H$25,$G106,Q$30)</f>
        <v>0</v>
      </c>
      <c r="R106" s="52">
        <f ca="1">_xll.DBRW($G$15,$H$21,$H$22,P$29,P$28,$H$24,$H$25,$G106,R$30)</f>
        <v>0</v>
      </c>
      <c r="S106" s="52">
        <f ca="1">_xll.DBRW($G$15,$H$21,$H$22,S$29,P$28,$H$24,$H$25,$G106,S$30)</f>
        <v>0</v>
      </c>
      <c r="T106" s="52">
        <f ca="1">_xll.DBRW($G$15,$H$21,$H$22,S$29,P$28,$H$24,$H$25,$G106,T$30)</f>
        <v>0</v>
      </c>
      <c r="U106" s="53">
        <f ca="1">_xll.DBRW($G$15,$H$21,$H$22,S$29,P$28,$H$24,$H$25,$G106,U$30)</f>
        <v>0</v>
      </c>
      <c r="V106" s="127">
        <f t="shared" ca="1" si="10"/>
        <v>0</v>
      </c>
      <c r="W106" s="128">
        <f t="shared" ca="1" si="11"/>
        <v>0</v>
      </c>
      <c r="X106" s="55">
        <f ca="1">_xll.DBRW($G$15,$H$21,$H$22,X$29,X$28,$H$24,$H$25,$G106,X$30)</f>
        <v>0</v>
      </c>
      <c r="Y106" s="52">
        <f ca="1">_xll.DBRW($G$15,$H$21,$H$22,X$29,X$28,$H$24,$H$25,$G106,Y$30)</f>
        <v>0</v>
      </c>
      <c r="Z106" s="52">
        <f ca="1">_xll.DBRW($G$15,$H$21,$H$22,X$29,X$28,$H$24,$H$25,$G106,Z$30)</f>
        <v>0</v>
      </c>
      <c r="AA106" s="52">
        <f ca="1">_xll.DBRW($G$15,$H$21,$H$22,AA$29,X$28,$H$24,$H$25,$G106,AA$30)</f>
        <v>0</v>
      </c>
      <c r="AB106" s="52">
        <f ca="1">_xll.DBRW($G$15,$H$21,$H$22,AA$29,X$28,$H$24,$H$25,$G106,AB$30)</f>
        <v>0</v>
      </c>
      <c r="AC106" s="53">
        <f ca="1">_xll.DBRW($G$15,$H$21,$H$22,AA$29,X$28,$H$24,$H$25,$G106,AC$30)</f>
        <v>0</v>
      </c>
      <c r="AD106" s="127">
        <f t="shared" ca="1" si="12"/>
        <v>0</v>
      </c>
      <c r="AE106" s="128">
        <f t="shared" ca="1" si="13"/>
        <v>0</v>
      </c>
      <c r="AF106" s="55">
        <f ca="1">_xll.DBRW($G$15,$H$21,$H$22,AF$29,AF$28,$H$24,$H$25,$G106,AF$30)</f>
        <v>0</v>
      </c>
      <c r="AG106" s="52">
        <f ca="1">_xll.DBRW($G$15,$H$21,$H$22,AF$29,AF$28,$H$24,$H$25,$G106,AG$30)</f>
        <v>0</v>
      </c>
      <c r="AH106" s="52">
        <f ca="1">_xll.DBRW($G$15,$H$21,$H$22,AF$29,AF$28,$H$24,$H$25,$G106,AH$30)</f>
        <v>0</v>
      </c>
      <c r="AI106" s="52">
        <f ca="1">_xll.DBRW($G$15,$H$21,$H$22,AI$29,AF$28,$H$24,$H$25,$G106,AI$30)</f>
        <v>0</v>
      </c>
      <c r="AJ106" s="52">
        <f ca="1">_xll.DBRW($G$15,$H$21,$H$22,AI$29,AF$28,$H$24,$H$25,$G106,AJ$30)</f>
        <v>0</v>
      </c>
      <c r="AK106" s="53">
        <f ca="1">_xll.DBRW($G$15,$H$21,$H$22,AI$29,AF$28,$H$24,$H$25,$G106,AK$30)</f>
        <v>0</v>
      </c>
      <c r="AL106" s="140">
        <f t="shared" ca="1" si="14"/>
        <v>0</v>
      </c>
      <c r="AM106" s="140">
        <f t="shared" ca="1" si="15"/>
        <v>0</v>
      </c>
    </row>
    <row r="107" spans="1:39">
      <c r="A107">
        <f ca="1">IF(_xll.TM1RPTELISCONSOLIDATED($G$31,$G107),IF(_xll.TM1RPTELLEV($G$31,$G107)&lt;=3,_xll.TM1RPTELLEV($G$31,$G107),"D"),"N")</f>
        <v>2</v>
      </c>
      <c r="G107" s="79" t="s">
        <v>262</v>
      </c>
      <c r="H107" s="52">
        <f ca="1">_xll.DBRW($G$15,$H$21,$H$22,H$29,H$28,$H$24,$H$25,$G107,H$30)</f>
        <v>0</v>
      </c>
      <c r="I107" s="52">
        <f ca="1">_xll.DBRW($G$15,$H$21,$H$22,H$29,H$28,$H$24,$H$25,$G107,I$30)</f>
        <v>0</v>
      </c>
      <c r="J107" s="52">
        <f ca="1">_xll.DBRW($G$15,$H$21,$H$22,H$29,H$28,$H$24,$H$25,$G107,J$30)</f>
        <v>0</v>
      </c>
      <c r="K107" s="52">
        <f ca="1">_xll.DBRW($G$15,$H$21,$H$22,K$29,H$28,$H$24,$H$25,$G107,K$30)</f>
        <v>0</v>
      </c>
      <c r="L107" s="52">
        <f ca="1">_xll.DBRW($G$15,$H$21,$H$22,K$29,H$28,$H$24,$H$25,$G107,L$30)</f>
        <v>0</v>
      </c>
      <c r="M107" s="53">
        <f ca="1">_xll.DBRW($G$15,$H$21,$H$22,K$29,H$28,$H$24,$H$25,$G107,M$30)</f>
        <v>0</v>
      </c>
      <c r="N107" s="127">
        <f t="shared" ca="1" si="8"/>
        <v>0</v>
      </c>
      <c r="O107" s="128">
        <f t="shared" ca="1" si="9"/>
        <v>0</v>
      </c>
      <c r="P107" s="55">
        <f ca="1">_xll.DBRW($G$15,$H$21,$H$22,P$29,P$28,$H$24,$H$25,$G107,P$30)</f>
        <v>0</v>
      </c>
      <c r="Q107" s="52">
        <f ca="1">_xll.DBRW($G$15,$H$21,$H$22,P$29,P$28,$H$24,$H$25,$G107,Q$30)</f>
        <v>0</v>
      </c>
      <c r="R107" s="52">
        <f ca="1">_xll.DBRW($G$15,$H$21,$H$22,P$29,P$28,$H$24,$H$25,$G107,R$30)</f>
        <v>0</v>
      </c>
      <c r="S107" s="52">
        <f ca="1">_xll.DBRW($G$15,$H$21,$H$22,S$29,P$28,$H$24,$H$25,$G107,S$30)</f>
        <v>0</v>
      </c>
      <c r="T107" s="52">
        <f ca="1">_xll.DBRW($G$15,$H$21,$H$22,S$29,P$28,$H$24,$H$25,$G107,T$30)</f>
        <v>0</v>
      </c>
      <c r="U107" s="53">
        <f ca="1">_xll.DBRW($G$15,$H$21,$H$22,S$29,P$28,$H$24,$H$25,$G107,U$30)</f>
        <v>0</v>
      </c>
      <c r="V107" s="127">
        <f t="shared" ca="1" si="10"/>
        <v>0</v>
      </c>
      <c r="W107" s="128">
        <f t="shared" ca="1" si="11"/>
        <v>0</v>
      </c>
      <c r="X107" s="55">
        <f ca="1">_xll.DBRW($G$15,$H$21,$H$22,X$29,X$28,$H$24,$H$25,$G107,X$30)</f>
        <v>0</v>
      </c>
      <c r="Y107" s="52">
        <f ca="1">_xll.DBRW($G$15,$H$21,$H$22,X$29,X$28,$H$24,$H$25,$G107,Y$30)</f>
        <v>0</v>
      </c>
      <c r="Z107" s="52">
        <f ca="1">_xll.DBRW($G$15,$H$21,$H$22,X$29,X$28,$H$24,$H$25,$G107,Z$30)</f>
        <v>0</v>
      </c>
      <c r="AA107" s="52">
        <f ca="1">_xll.DBRW($G$15,$H$21,$H$22,AA$29,X$28,$H$24,$H$25,$G107,AA$30)</f>
        <v>0</v>
      </c>
      <c r="AB107" s="52">
        <f ca="1">_xll.DBRW($G$15,$H$21,$H$22,AA$29,X$28,$H$24,$H$25,$G107,AB$30)</f>
        <v>0</v>
      </c>
      <c r="AC107" s="53">
        <f ca="1">_xll.DBRW($G$15,$H$21,$H$22,AA$29,X$28,$H$24,$H$25,$G107,AC$30)</f>
        <v>0</v>
      </c>
      <c r="AD107" s="127">
        <f t="shared" ca="1" si="12"/>
        <v>0</v>
      </c>
      <c r="AE107" s="128">
        <f t="shared" ca="1" si="13"/>
        <v>0</v>
      </c>
      <c r="AF107" s="55">
        <f ca="1">_xll.DBRW($G$15,$H$21,$H$22,AF$29,AF$28,$H$24,$H$25,$G107,AF$30)</f>
        <v>0</v>
      </c>
      <c r="AG107" s="52">
        <f ca="1">_xll.DBRW($G$15,$H$21,$H$22,AF$29,AF$28,$H$24,$H$25,$G107,AG$30)</f>
        <v>0</v>
      </c>
      <c r="AH107" s="52">
        <f ca="1">_xll.DBRW($G$15,$H$21,$H$22,AF$29,AF$28,$H$24,$H$25,$G107,AH$30)</f>
        <v>0</v>
      </c>
      <c r="AI107" s="52">
        <f ca="1">_xll.DBRW($G$15,$H$21,$H$22,AI$29,AF$28,$H$24,$H$25,$G107,AI$30)</f>
        <v>0</v>
      </c>
      <c r="AJ107" s="52">
        <f ca="1">_xll.DBRW($G$15,$H$21,$H$22,AI$29,AF$28,$H$24,$H$25,$G107,AJ$30)</f>
        <v>0</v>
      </c>
      <c r="AK107" s="53">
        <f ca="1">_xll.DBRW($G$15,$H$21,$H$22,AI$29,AF$28,$H$24,$H$25,$G107,AK$30)</f>
        <v>0</v>
      </c>
      <c r="AL107" s="140">
        <f t="shared" ca="1" si="14"/>
        <v>0</v>
      </c>
      <c r="AM107" s="140">
        <f t="shared" ca="1" si="15"/>
        <v>0</v>
      </c>
    </row>
    <row r="108" spans="1:39">
      <c r="A108">
        <f ca="1">IF(_xll.TM1RPTELISCONSOLIDATED($G$31,$G108),IF(_xll.TM1RPTELLEV($G$31,$G108)&lt;=3,_xll.TM1RPTELLEV($G$31,$G108),"D"),"N")</f>
        <v>2</v>
      </c>
      <c r="G108" s="79" t="s">
        <v>263</v>
      </c>
      <c r="H108" s="52">
        <f ca="1">_xll.DBRW($G$15,$H$21,$H$22,H$29,H$28,$H$24,$H$25,$G108,H$30)</f>
        <v>0</v>
      </c>
      <c r="I108" s="52">
        <f ca="1">_xll.DBRW($G$15,$H$21,$H$22,H$29,H$28,$H$24,$H$25,$G108,I$30)</f>
        <v>0</v>
      </c>
      <c r="J108" s="52">
        <f ca="1">_xll.DBRW($G$15,$H$21,$H$22,H$29,H$28,$H$24,$H$25,$G108,J$30)</f>
        <v>0</v>
      </c>
      <c r="K108" s="52">
        <f ca="1">_xll.DBRW($G$15,$H$21,$H$22,K$29,H$28,$H$24,$H$25,$G108,K$30)</f>
        <v>0</v>
      </c>
      <c r="L108" s="52">
        <f ca="1">_xll.DBRW($G$15,$H$21,$H$22,K$29,H$28,$H$24,$H$25,$G108,L$30)</f>
        <v>0</v>
      </c>
      <c r="M108" s="53">
        <f ca="1">_xll.DBRW($G$15,$H$21,$H$22,K$29,H$28,$H$24,$H$25,$G108,M$30)</f>
        <v>0</v>
      </c>
      <c r="N108" s="127">
        <f t="shared" ca="1" si="8"/>
        <v>0</v>
      </c>
      <c r="O108" s="128">
        <f t="shared" ca="1" si="9"/>
        <v>0</v>
      </c>
      <c r="P108" s="55">
        <f ca="1">_xll.DBRW($G$15,$H$21,$H$22,P$29,P$28,$H$24,$H$25,$G108,P$30)</f>
        <v>0</v>
      </c>
      <c r="Q108" s="52">
        <f ca="1">_xll.DBRW($G$15,$H$21,$H$22,P$29,P$28,$H$24,$H$25,$G108,Q$30)</f>
        <v>0</v>
      </c>
      <c r="R108" s="52">
        <f ca="1">_xll.DBRW($G$15,$H$21,$H$22,P$29,P$28,$H$24,$H$25,$G108,R$30)</f>
        <v>0</v>
      </c>
      <c r="S108" s="52">
        <f ca="1">_xll.DBRW($G$15,$H$21,$H$22,S$29,P$28,$H$24,$H$25,$G108,S$30)</f>
        <v>0</v>
      </c>
      <c r="T108" s="52">
        <f ca="1">_xll.DBRW($G$15,$H$21,$H$22,S$29,P$28,$H$24,$H$25,$G108,T$30)</f>
        <v>0</v>
      </c>
      <c r="U108" s="53">
        <f ca="1">_xll.DBRW($G$15,$H$21,$H$22,S$29,P$28,$H$24,$H$25,$G108,U$30)</f>
        <v>0</v>
      </c>
      <c r="V108" s="127">
        <f t="shared" ca="1" si="10"/>
        <v>0</v>
      </c>
      <c r="W108" s="128">
        <f t="shared" ca="1" si="11"/>
        <v>0</v>
      </c>
      <c r="X108" s="55">
        <f ca="1">_xll.DBRW($G$15,$H$21,$H$22,X$29,X$28,$H$24,$H$25,$G108,X$30)</f>
        <v>0</v>
      </c>
      <c r="Y108" s="52">
        <f ca="1">_xll.DBRW($G$15,$H$21,$H$22,X$29,X$28,$H$24,$H$25,$G108,Y$30)</f>
        <v>0</v>
      </c>
      <c r="Z108" s="52">
        <f ca="1">_xll.DBRW($G$15,$H$21,$H$22,X$29,X$28,$H$24,$H$25,$G108,Z$30)</f>
        <v>0</v>
      </c>
      <c r="AA108" s="52">
        <f ca="1">_xll.DBRW($G$15,$H$21,$H$22,AA$29,X$28,$H$24,$H$25,$G108,AA$30)</f>
        <v>0</v>
      </c>
      <c r="AB108" s="52">
        <f ca="1">_xll.DBRW($G$15,$H$21,$H$22,AA$29,X$28,$H$24,$H$25,$G108,AB$30)</f>
        <v>0</v>
      </c>
      <c r="AC108" s="53">
        <f ca="1">_xll.DBRW($G$15,$H$21,$H$22,AA$29,X$28,$H$24,$H$25,$G108,AC$30)</f>
        <v>0</v>
      </c>
      <c r="AD108" s="127">
        <f t="shared" ca="1" si="12"/>
        <v>0</v>
      </c>
      <c r="AE108" s="128">
        <f t="shared" ca="1" si="13"/>
        <v>0</v>
      </c>
      <c r="AF108" s="55">
        <f ca="1">_xll.DBRW($G$15,$H$21,$H$22,AF$29,AF$28,$H$24,$H$25,$G108,AF$30)</f>
        <v>0</v>
      </c>
      <c r="AG108" s="52">
        <f ca="1">_xll.DBRW($G$15,$H$21,$H$22,AF$29,AF$28,$H$24,$H$25,$G108,AG$30)</f>
        <v>0</v>
      </c>
      <c r="AH108" s="52">
        <f ca="1">_xll.DBRW($G$15,$H$21,$H$22,AF$29,AF$28,$H$24,$H$25,$G108,AH$30)</f>
        <v>0</v>
      </c>
      <c r="AI108" s="52">
        <f ca="1">_xll.DBRW($G$15,$H$21,$H$22,AI$29,AF$28,$H$24,$H$25,$G108,AI$30)</f>
        <v>0</v>
      </c>
      <c r="AJ108" s="52">
        <f ca="1">_xll.DBRW($G$15,$H$21,$H$22,AI$29,AF$28,$H$24,$H$25,$G108,AJ$30)</f>
        <v>0</v>
      </c>
      <c r="AK108" s="53">
        <f ca="1">_xll.DBRW($G$15,$H$21,$H$22,AI$29,AF$28,$H$24,$H$25,$G108,AK$30)</f>
        <v>0</v>
      </c>
      <c r="AL108" s="140">
        <f t="shared" ca="1" si="14"/>
        <v>0</v>
      </c>
      <c r="AM108" s="140">
        <f t="shared" ca="1" si="15"/>
        <v>0</v>
      </c>
    </row>
    <row r="109" spans="1:39">
      <c r="A109">
        <f ca="1">IF(_xll.TM1RPTELISCONSOLIDATED($G$31,$G109),IF(_xll.TM1RPTELLEV($G$31,$G109)&lt;=3,_xll.TM1RPTELLEV($G$31,$G109),"D"),"N")</f>
        <v>2</v>
      </c>
      <c r="G109" s="79" t="s">
        <v>264</v>
      </c>
      <c r="H109" s="52">
        <f ca="1">_xll.DBRW($G$15,$H$21,$H$22,H$29,H$28,$H$24,$H$25,$G109,H$30)</f>
        <v>0</v>
      </c>
      <c r="I109" s="52">
        <f ca="1">_xll.DBRW($G$15,$H$21,$H$22,H$29,H$28,$H$24,$H$25,$G109,I$30)</f>
        <v>0</v>
      </c>
      <c r="J109" s="52">
        <f ca="1">_xll.DBRW($G$15,$H$21,$H$22,H$29,H$28,$H$24,$H$25,$G109,J$30)</f>
        <v>0</v>
      </c>
      <c r="K109" s="52">
        <f ca="1">_xll.DBRW($G$15,$H$21,$H$22,K$29,H$28,$H$24,$H$25,$G109,K$30)</f>
        <v>0</v>
      </c>
      <c r="L109" s="52">
        <f ca="1">_xll.DBRW($G$15,$H$21,$H$22,K$29,H$28,$H$24,$H$25,$G109,L$30)</f>
        <v>0</v>
      </c>
      <c r="M109" s="53">
        <f ca="1">_xll.DBRW($G$15,$H$21,$H$22,K$29,H$28,$H$24,$H$25,$G109,M$30)</f>
        <v>0</v>
      </c>
      <c r="N109" s="127">
        <f t="shared" ca="1" si="8"/>
        <v>0</v>
      </c>
      <c r="O109" s="128">
        <f t="shared" ca="1" si="9"/>
        <v>0</v>
      </c>
      <c r="P109" s="55">
        <f ca="1">_xll.DBRW($G$15,$H$21,$H$22,P$29,P$28,$H$24,$H$25,$G109,P$30)</f>
        <v>0</v>
      </c>
      <c r="Q109" s="52">
        <f ca="1">_xll.DBRW($G$15,$H$21,$H$22,P$29,P$28,$H$24,$H$25,$G109,Q$30)</f>
        <v>0</v>
      </c>
      <c r="R109" s="52">
        <f ca="1">_xll.DBRW($G$15,$H$21,$H$22,P$29,P$28,$H$24,$H$25,$G109,R$30)</f>
        <v>0</v>
      </c>
      <c r="S109" s="52">
        <f ca="1">_xll.DBRW($G$15,$H$21,$H$22,S$29,P$28,$H$24,$H$25,$G109,S$30)</f>
        <v>0</v>
      </c>
      <c r="T109" s="52">
        <f ca="1">_xll.DBRW($G$15,$H$21,$H$22,S$29,P$28,$H$24,$H$25,$G109,T$30)</f>
        <v>0</v>
      </c>
      <c r="U109" s="53">
        <f ca="1">_xll.DBRW($G$15,$H$21,$H$22,S$29,P$28,$H$24,$H$25,$G109,U$30)</f>
        <v>0</v>
      </c>
      <c r="V109" s="127">
        <f t="shared" ca="1" si="10"/>
        <v>0</v>
      </c>
      <c r="W109" s="128">
        <f t="shared" ca="1" si="11"/>
        <v>0</v>
      </c>
      <c r="X109" s="55">
        <f ca="1">_xll.DBRW($G$15,$H$21,$H$22,X$29,X$28,$H$24,$H$25,$G109,X$30)</f>
        <v>0</v>
      </c>
      <c r="Y109" s="52">
        <f ca="1">_xll.DBRW($G$15,$H$21,$H$22,X$29,X$28,$H$24,$H$25,$G109,Y$30)</f>
        <v>0</v>
      </c>
      <c r="Z109" s="52">
        <f ca="1">_xll.DBRW($G$15,$H$21,$H$22,X$29,X$28,$H$24,$H$25,$G109,Z$30)</f>
        <v>0</v>
      </c>
      <c r="AA109" s="52">
        <f ca="1">_xll.DBRW($G$15,$H$21,$H$22,AA$29,X$28,$H$24,$H$25,$G109,AA$30)</f>
        <v>0</v>
      </c>
      <c r="AB109" s="52">
        <f ca="1">_xll.DBRW($G$15,$H$21,$H$22,AA$29,X$28,$H$24,$H$25,$G109,AB$30)</f>
        <v>0</v>
      </c>
      <c r="AC109" s="53">
        <f ca="1">_xll.DBRW($G$15,$H$21,$H$22,AA$29,X$28,$H$24,$H$25,$G109,AC$30)</f>
        <v>0</v>
      </c>
      <c r="AD109" s="127">
        <f t="shared" ca="1" si="12"/>
        <v>0</v>
      </c>
      <c r="AE109" s="128">
        <f t="shared" ca="1" si="13"/>
        <v>0</v>
      </c>
      <c r="AF109" s="55">
        <f ca="1">_xll.DBRW($G$15,$H$21,$H$22,AF$29,AF$28,$H$24,$H$25,$G109,AF$30)</f>
        <v>0</v>
      </c>
      <c r="AG109" s="52">
        <f ca="1">_xll.DBRW($G$15,$H$21,$H$22,AF$29,AF$28,$H$24,$H$25,$G109,AG$30)</f>
        <v>0</v>
      </c>
      <c r="AH109" s="52">
        <f ca="1">_xll.DBRW($G$15,$H$21,$H$22,AF$29,AF$28,$H$24,$H$25,$G109,AH$30)</f>
        <v>0</v>
      </c>
      <c r="AI109" s="52">
        <f ca="1">_xll.DBRW($G$15,$H$21,$H$22,AI$29,AF$28,$H$24,$H$25,$G109,AI$30)</f>
        <v>0</v>
      </c>
      <c r="AJ109" s="52">
        <f ca="1">_xll.DBRW($G$15,$H$21,$H$22,AI$29,AF$28,$H$24,$H$25,$G109,AJ$30)</f>
        <v>0</v>
      </c>
      <c r="AK109" s="53">
        <f ca="1">_xll.DBRW($G$15,$H$21,$H$22,AI$29,AF$28,$H$24,$H$25,$G109,AK$30)</f>
        <v>0</v>
      </c>
      <c r="AL109" s="140">
        <f t="shared" ca="1" si="14"/>
        <v>0</v>
      </c>
      <c r="AM109" s="140">
        <f t="shared" ca="1" si="15"/>
        <v>0</v>
      </c>
    </row>
    <row r="110" spans="1:39">
      <c r="A110">
        <f ca="1">IF(_xll.TM1RPTELISCONSOLIDATED($G$31,$G110),IF(_xll.TM1RPTELLEV($G$31,$G110)&lt;=3,_xll.TM1RPTELLEV($G$31,$G110),"D"),"N")</f>
        <v>2</v>
      </c>
      <c r="G110" s="79" t="s">
        <v>265</v>
      </c>
      <c r="H110" s="52">
        <f ca="1">_xll.DBRW($G$15,$H$21,$H$22,H$29,H$28,$H$24,$H$25,$G110,H$30)</f>
        <v>0</v>
      </c>
      <c r="I110" s="52">
        <f ca="1">_xll.DBRW($G$15,$H$21,$H$22,H$29,H$28,$H$24,$H$25,$G110,I$30)</f>
        <v>0</v>
      </c>
      <c r="J110" s="52">
        <f ca="1">_xll.DBRW($G$15,$H$21,$H$22,H$29,H$28,$H$24,$H$25,$G110,J$30)</f>
        <v>0</v>
      </c>
      <c r="K110" s="52">
        <f ca="1">_xll.DBRW($G$15,$H$21,$H$22,K$29,H$28,$H$24,$H$25,$G110,K$30)</f>
        <v>0</v>
      </c>
      <c r="L110" s="52">
        <f ca="1">_xll.DBRW($G$15,$H$21,$H$22,K$29,H$28,$H$24,$H$25,$G110,L$30)</f>
        <v>0</v>
      </c>
      <c r="M110" s="53">
        <f ca="1">_xll.DBRW($G$15,$H$21,$H$22,K$29,H$28,$H$24,$H$25,$G110,M$30)</f>
        <v>0</v>
      </c>
      <c r="N110" s="127">
        <f t="shared" ca="1" si="8"/>
        <v>0</v>
      </c>
      <c r="O110" s="128">
        <f t="shared" ca="1" si="9"/>
        <v>0</v>
      </c>
      <c r="P110" s="55">
        <f ca="1">_xll.DBRW($G$15,$H$21,$H$22,P$29,P$28,$H$24,$H$25,$G110,P$30)</f>
        <v>0</v>
      </c>
      <c r="Q110" s="52">
        <f ca="1">_xll.DBRW($G$15,$H$21,$H$22,P$29,P$28,$H$24,$H$25,$G110,Q$30)</f>
        <v>0</v>
      </c>
      <c r="R110" s="52">
        <f ca="1">_xll.DBRW($G$15,$H$21,$H$22,P$29,P$28,$H$24,$H$25,$G110,R$30)</f>
        <v>0</v>
      </c>
      <c r="S110" s="52">
        <f ca="1">_xll.DBRW($G$15,$H$21,$H$22,S$29,P$28,$H$24,$H$25,$G110,S$30)</f>
        <v>0</v>
      </c>
      <c r="T110" s="52">
        <f ca="1">_xll.DBRW($G$15,$H$21,$H$22,S$29,P$28,$H$24,$H$25,$G110,T$30)</f>
        <v>0</v>
      </c>
      <c r="U110" s="53">
        <f ca="1">_xll.DBRW($G$15,$H$21,$H$22,S$29,P$28,$H$24,$H$25,$G110,U$30)</f>
        <v>0</v>
      </c>
      <c r="V110" s="127">
        <f t="shared" ca="1" si="10"/>
        <v>0</v>
      </c>
      <c r="W110" s="128">
        <f t="shared" ca="1" si="11"/>
        <v>0</v>
      </c>
      <c r="X110" s="55">
        <f ca="1">_xll.DBRW($G$15,$H$21,$H$22,X$29,X$28,$H$24,$H$25,$G110,X$30)</f>
        <v>0</v>
      </c>
      <c r="Y110" s="52">
        <f ca="1">_xll.DBRW($G$15,$H$21,$H$22,X$29,X$28,$H$24,$H$25,$G110,Y$30)</f>
        <v>0</v>
      </c>
      <c r="Z110" s="52">
        <f ca="1">_xll.DBRW($G$15,$H$21,$H$22,X$29,X$28,$H$24,$H$25,$G110,Z$30)</f>
        <v>0</v>
      </c>
      <c r="AA110" s="52">
        <f ca="1">_xll.DBRW($G$15,$H$21,$H$22,AA$29,X$28,$H$24,$H$25,$G110,AA$30)</f>
        <v>0</v>
      </c>
      <c r="AB110" s="52">
        <f ca="1">_xll.DBRW($G$15,$H$21,$H$22,AA$29,X$28,$H$24,$H$25,$G110,AB$30)</f>
        <v>0</v>
      </c>
      <c r="AC110" s="53">
        <f ca="1">_xll.DBRW($G$15,$H$21,$H$22,AA$29,X$28,$H$24,$H$25,$G110,AC$30)</f>
        <v>0</v>
      </c>
      <c r="AD110" s="127">
        <f t="shared" ca="1" si="12"/>
        <v>0</v>
      </c>
      <c r="AE110" s="128">
        <f t="shared" ca="1" si="13"/>
        <v>0</v>
      </c>
      <c r="AF110" s="55">
        <f ca="1">_xll.DBRW($G$15,$H$21,$H$22,AF$29,AF$28,$H$24,$H$25,$G110,AF$30)</f>
        <v>0</v>
      </c>
      <c r="AG110" s="52">
        <f ca="1">_xll.DBRW($G$15,$H$21,$H$22,AF$29,AF$28,$H$24,$H$25,$G110,AG$30)</f>
        <v>0</v>
      </c>
      <c r="AH110" s="52">
        <f ca="1">_xll.DBRW($G$15,$H$21,$H$22,AF$29,AF$28,$H$24,$H$25,$G110,AH$30)</f>
        <v>0</v>
      </c>
      <c r="AI110" s="52">
        <f ca="1">_xll.DBRW($G$15,$H$21,$H$22,AI$29,AF$28,$H$24,$H$25,$G110,AI$30)</f>
        <v>0</v>
      </c>
      <c r="AJ110" s="52">
        <f ca="1">_xll.DBRW($G$15,$H$21,$H$22,AI$29,AF$28,$H$24,$H$25,$G110,AJ$30)</f>
        <v>0</v>
      </c>
      <c r="AK110" s="53">
        <f ca="1">_xll.DBRW($G$15,$H$21,$H$22,AI$29,AF$28,$H$24,$H$25,$G110,AK$30)</f>
        <v>0</v>
      </c>
      <c r="AL110" s="140">
        <f t="shared" ca="1" si="14"/>
        <v>0</v>
      </c>
      <c r="AM110" s="140">
        <f t="shared" ca="1" si="15"/>
        <v>0</v>
      </c>
    </row>
    <row r="111" spans="1:39">
      <c r="A111">
        <f ca="1">IF(_xll.TM1RPTELISCONSOLIDATED($G$31,$G111),IF(_xll.TM1RPTELLEV($G$31,$G111)&lt;=3,_xll.TM1RPTELLEV($G$31,$G111),"D"),"N")</f>
        <v>1</v>
      </c>
      <c r="G111" s="78" t="s">
        <v>175</v>
      </c>
      <c r="H111" s="48">
        <f ca="1">_xll.DBRW($G$15,$H$21,$H$22,H$29,H$28,$H$24,$H$25,$G111,H$30)</f>
        <v>0</v>
      </c>
      <c r="I111" s="48">
        <f ca="1">_xll.DBRW($G$15,$H$21,$H$22,H$29,H$28,$H$24,$H$25,$G111,I$30)</f>
        <v>0</v>
      </c>
      <c r="J111" s="48">
        <f ca="1">_xll.DBRW($G$15,$H$21,$H$22,H$29,H$28,$H$24,$H$25,$G111,J$30)</f>
        <v>0</v>
      </c>
      <c r="K111" s="48">
        <f ca="1">_xll.DBRW($G$15,$H$21,$H$22,K$29,H$28,$H$24,$H$25,$G111,K$30)</f>
        <v>0</v>
      </c>
      <c r="L111" s="48">
        <f ca="1">_xll.DBRW($G$15,$H$21,$H$22,K$29,H$28,$H$24,$H$25,$G111,L$30)</f>
        <v>0</v>
      </c>
      <c r="M111" s="49">
        <f ca="1">_xll.DBRW($G$15,$H$21,$H$22,K$29,H$28,$H$24,$H$25,$G111,M$30)</f>
        <v>0</v>
      </c>
      <c r="N111" s="125">
        <f t="shared" ca="1" si="8"/>
        <v>0</v>
      </c>
      <c r="O111" s="126">
        <f t="shared" ca="1" si="9"/>
        <v>0</v>
      </c>
      <c r="P111" s="51">
        <f ca="1">_xll.DBRW($G$15,$H$21,$H$22,P$29,P$28,$H$24,$H$25,$G111,P$30)</f>
        <v>0</v>
      </c>
      <c r="Q111" s="48">
        <f ca="1">_xll.DBRW($G$15,$H$21,$H$22,P$29,P$28,$H$24,$H$25,$G111,Q$30)</f>
        <v>0</v>
      </c>
      <c r="R111" s="48">
        <f ca="1">_xll.DBRW($G$15,$H$21,$H$22,P$29,P$28,$H$24,$H$25,$G111,R$30)</f>
        <v>0</v>
      </c>
      <c r="S111" s="48">
        <f ca="1">_xll.DBRW($G$15,$H$21,$H$22,S$29,P$28,$H$24,$H$25,$G111,S$30)</f>
        <v>0</v>
      </c>
      <c r="T111" s="48">
        <f ca="1">_xll.DBRW($G$15,$H$21,$H$22,S$29,P$28,$H$24,$H$25,$G111,T$30)</f>
        <v>0</v>
      </c>
      <c r="U111" s="49">
        <f ca="1">_xll.DBRW($G$15,$H$21,$H$22,S$29,P$28,$H$24,$H$25,$G111,U$30)</f>
        <v>0</v>
      </c>
      <c r="V111" s="125">
        <f t="shared" ca="1" si="10"/>
        <v>0</v>
      </c>
      <c r="W111" s="126">
        <f t="shared" ca="1" si="11"/>
        <v>0</v>
      </c>
      <c r="X111" s="51">
        <f ca="1">_xll.DBRW($G$15,$H$21,$H$22,X$29,X$28,$H$24,$H$25,$G111,X$30)</f>
        <v>0</v>
      </c>
      <c r="Y111" s="48">
        <f ca="1">_xll.DBRW($G$15,$H$21,$H$22,X$29,X$28,$H$24,$H$25,$G111,Y$30)</f>
        <v>0</v>
      </c>
      <c r="Z111" s="48">
        <f ca="1">_xll.DBRW($G$15,$H$21,$H$22,X$29,X$28,$H$24,$H$25,$G111,Z$30)</f>
        <v>0</v>
      </c>
      <c r="AA111" s="48">
        <f ca="1">_xll.DBRW($G$15,$H$21,$H$22,AA$29,X$28,$H$24,$H$25,$G111,AA$30)</f>
        <v>0</v>
      </c>
      <c r="AB111" s="48">
        <f ca="1">_xll.DBRW($G$15,$H$21,$H$22,AA$29,X$28,$H$24,$H$25,$G111,AB$30)</f>
        <v>0</v>
      </c>
      <c r="AC111" s="49">
        <f ca="1">_xll.DBRW($G$15,$H$21,$H$22,AA$29,X$28,$H$24,$H$25,$G111,AC$30)</f>
        <v>0</v>
      </c>
      <c r="AD111" s="125">
        <f t="shared" ca="1" si="12"/>
        <v>0</v>
      </c>
      <c r="AE111" s="126">
        <f t="shared" ca="1" si="13"/>
        <v>0</v>
      </c>
      <c r="AF111" s="51">
        <f ca="1">_xll.DBRW($G$15,$H$21,$H$22,AF$29,AF$28,$H$24,$H$25,$G111,AF$30)</f>
        <v>0</v>
      </c>
      <c r="AG111" s="48">
        <f ca="1">_xll.DBRW($G$15,$H$21,$H$22,AF$29,AF$28,$H$24,$H$25,$G111,AG$30)</f>
        <v>0</v>
      </c>
      <c r="AH111" s="48">
        <f ca="1">_xll.DBRW($G$15,$H$21,$H$22,AF$29,AF$28,$H$24,$H$25,$G111,AH$30)</f>
        <v>0</v>
      </c>
      <c r="AI111" s="48">
        <f ca="1">_xll.DBRW($G$15,$H$21,$H$22,AI$29,AF$28,$H$24,$H$25,$G111,AI$30)</f>
        <v>0</v>
      </c>
      <c r="AJ111" s="48">
        <f ca="1">_xll.DBRW($G$15,$H$21,$H$22,AI$29,AF$28,$H$24,$H$25,$G111,AJ$30)</f>
        <v>0</v>
      </c>
      <c r="AK111" s="49">
        <f ca="1">_xll.DBRW($G$15,$H$21,$H$22,AI$29,AF$28,$H$24,$H$25,$G111,AK$30)</f>
        <v>0</v>
      </c>
      <c r="AL111" s="140">
        <f t="shared" ca="1" si="14"/>
        <v>0</v>
      </c>
      <c r="AM111" s="140">
        <f t="shared" ca="1" si="15"/>
        <v>0</v>
      </c>
    </row>
    <row r="112" spans="1:39">
      <c r="A112">
        <f ca="1">IF(_xll.TM1RPTELISCONSOLIDATED($G$31,$G112),IF(_xll.TM1RPTELLEV($G$31,$G112)&lt;=3,_xll.TM1RPTELLEV($G$31,$G112),"D"),"N")</f>
        <v>2</v>
      </c>
      <c r="G112" s="79" t="s">
        <v>266</v>
      </c>
      <c r="H112" s="52">
        <f ca="1">_xll.DBRW($G$15,$H$21,$H$22,H$29,H$28,$H$24,$H$25,$G112,H$30)</f>
        <v>0</v>
      </c>
      <c r="I112" s="52">
        <f ca="1">_xll.DBRW($G$15,$H$21,$H$22,H$29,H$28,$H$24,$H$25,$G112,I$30)</f>
        <v>0</v>
      </c>
      <c r="J112" s="52">
        <f ca="1">_xll.DBRW($G$15,$H$21,$H$22,H$29,H$28,$H$24,$H$25,$G112,J$30)</f>
        <v>0</v>
      </c>
      <c r="K112" s="52">
        <f ca="1">_xll.DBRW($G$15,$H$21,$H$22,K$29,H$28,$H$24,$H$25,$G112,K$30)</f>
        <v>0</v>
      </c>
      <c r="L112" s="52">
        <f ca="1">_xll.DBRW($G$15,$H$21,$H$22,K$29,H$28,$H$24,$H$25,$G112,L$30)</f>
        <v>0</v>
      </c>
      <c r="M112" s="53">
        <f ca="1">_xll.DBRW($G$15,$H$21,$H$22,K$29,H$28,$H$24,$H$25,$G112,M$30)</f>
        <v>0</v>
      </c>
      <c r="N112" s="127">
        <f t="shared" ca="1" si="8"/>
        <v>0</v>
      </c>
      <c r="O112" s="128">
        <f t="shared" ca="1" si="9"/>
        <v>0</v>
      </c>
      <c r="P112" s="55">
        <f ca="1">_xll.DBRW($G$15,$H$21,$H$22,P$29,P$28,$H$24,$H$25,$G112,P$30)</f>
        <v>0</v>
      </c>
      <c r="Q112" s="52">
        <f ca="1">_xll.DBRW($G$15,$H$21,$H$22,P$29,P$28,$H$24,$H$25,$G112,Q$30)</f>
        <v>0</v>
      </c>
      <c r="R112" s="52">
        <f ca="1">_xll.DBRW($G$15,$H$21,$H$22,P$29,P$28,$H$24,$H$25,$G112,R$30)</f>
        <v>0</v>
      </c>
      <c r="S112" s="52">
        <f ca="1">_xll.DBRW($G$15,$H$21,$H$22,S$29,P$28,$H$24,$H$25,$G112,S$30)</f>
        <v>0</v>
      </c>
      <c r="T112" s="52">
        <f ca="1">_xll.DBRW($G$15,$H$21,$H$22,S$29,P$28,$H$24,$H$25,$G112,T$30)</f>
        <v>0</v>
      </c>
      <c r="U112" s="53">
        <f ca="1">_xll.DBRW($G$15,$H$21,$H$22,S$29,P$28,$H$24,$H$25,$G112,U$30)</f>
        <v>0</v>
      </c>
      <c r="V112" s="127">
        <f t="shared" ca="1" si="10"/>
        <v>0</v>
      </c>
      <c r="W112" s="128">
        <f t="shared" ca="1" si="11"/>
        <v>0</v>
      </c>
      <c r="X112" s="55">
        <f ca="1">_xll.DBRW($G$15,$H$21,$H$22,X$29,X$28,$H$24,$H$25,$G112,X$30)</f>
        <v>0</v>
      </c>
      <c r="Y112" s="52">
        <f ca="1">_xll.DBRW($G$15,$H$21,$H$22,X$29,X$28,$H$24,$H$25,$G112,Y$30)</f>
        <v>0</v>
      </c>
      <c r="Z112" s="52">
        <f ca="1">_xll.DBRW($G$15,$H$21,$H$22,X$29,X$28,$H$24,$H$25,$G112,Z$30)</f>
        <v>0</v>
      </c>
      <c r="AA112" s="52">
        <f ca="1">_xll.DBRW($G$15,$H$21,$H$22,AA$29,X$28,$H$24,$H$25,$G112,AA$30)</f>
        <v>0</v>
      </c>
      <c r="AB112" s="52">
        <f ca="1">_xll.DBRW($G$15,$H$21,$H$22,AA$29,X$28,$H$24,$H$25,$G112,AB$30)</f>
        <v>0</v>
      </c>
      <c r="AC112" s="53">
        <f ca="1">_xll.DBRW($G$15,$H$21,$H$22,AA$29,X$28,$H$24,$H$25,$G112,AC$30)</f>
        <v>0</v>
      </c>
      <c r="AD112" s="127">
        <f t="shared" ca="1" si="12"/>
        <v>0</v>
      </c>
      <c r="AE112" s="128">
        <f t="shared" ca="1" si="13"/>
        <v>0</v>
      </c>
      <c r="AF112" s="55">
        <f ca="1">_xll.DBRW($G$15,$H$21,$H$22,AF$29,AF$28,$H$24,$H$25,$G112,AF$30)</f>
        <v>0</v>
      </c>
      <c r="AG112" s="52">
        <f ca="1">_xll.DBRW($G$15,$H$21,$H$22,AF$29,AF$28,$H$24,$H$25,$G112,AG$30)</f>
        <v>0</v>
      </c>
      <c r="AH112" s="52">
        <f ca="1">_xll.DBRW($G$15,$H$21,$H$22,AF$29,AF$28,$H$24,$H$25,$G112,AH$30)</f>
        <v>0</v>
      </c>
      <c r="AI112" s="52">
        <f ca="1">_xll.DBRW($G$15,$H$21,$H$22,AI$29,AF$28,$H$24,$H$25,$G112,AI$30)</f>
        <v>0</v>
      </c>
      <c r="AJ112" s="52">
        <f ca="1">_xll.DBRW($G$15,$H$21,$H$22,AI$29,AF$28,$H$24,$H$25,$G112,AJ$30)</f>
        <v>0</v>
      </c>
      <c r="AK112" s="53">
        <f ca="1">_xll.DBRW($G$15,$H$21,$H$22,AI$29,AF$28,$H$24,$H$25,$G112,AK$30)</f>
        <v>0</v>
      </c>
      <c r="AL112" s="140">
        <f t="shared" ca="1" si="14"/>
        <v>0</v>
      </c>
      <c r="AM112" s="140">
        <f t="shared" ca="1" si="15"/>
        <v>0</v>
      </c>
    </row>
    <row r="113" spans="1:39">
      <c r="A113">
        <f ca="1">IF(_xll.TM1RPTELISCONSOLIDATED($G$31,$G113),IF(_xll.TM1RPTELLEV($G$31,$G113)&lt;=3,_xll.TM1RPTELLEV($G$31,$G113),"D"),"N")</f>
        <v>2</v>
      </c>
      <c r="G113" s="80" t="s">
        <v>267</v>
      </c>
      <c r="H113" s="52">
        <f ca="1">_xll.DBRW($G$15,$H$21,$H$22,H$29,H$28,$H$24,$H$25,$G113,H$30)</f>
        <v>0</v>
      </c>
      <c r="I113" s="52">
        <f ca="1">_xll.DBRW($G$15,$H$21,$H$22,H$29,H$28,$H$24,$H$25,$G113,I$30)</f>
        <v>0</v>
      </c>
      <c r="J113" s="52">
        <f ca="1">_xll.DBRW($G$15,$H$21,$H$22,H$29,H$28,$H$24,$H$25,$G113,J$30)</f>
        <v>0</v>
      </c>
      <c r="K113" s="52">
        <f ca="1">_xll.DBRW($G$15,$H$21,$H$22,K$29,H$28,$H$24,$H$25,$G113,K$30)</f>
        <v>0</v>
      </c>
      <c r="L113" s="52">
        <f ca="1">_xll.DBRW($G$15,$H$21,$H$22,K$29,H$28,$H$24,$H$25,$G113,L$30)</f>
        <v>0</v>
      </c>
      <c r="M113" s="53">
        <f ca="1">_xll.DBRW($G$15,$H$21,$H$22,K$29,H$28,$H$24,$H$25,$G113,M$30)</f>
        <v>0</v>
      </c>
      <c r="N113" s="127">
        <f t="shared" ca="1" si="8"/>
        <v>0</v>
      </c>
      <c r="O113" s="128">
        <f t="shared" ca="1" si="9"/>
        <v>0</v>
      </c>
      <c r="P113" s="55">
        <f ca="1">_xll.DBRW($G$15,$H$21,$H$22,P$29,P$28,$H$24,$H$25,$G113,P$30)</f>
        <v>0</v>
      </c>
      <c r="Q113" s="52">
        <f ca="1">_xll.DBRW($G$15,$H$21,$H$22,P$29,P$28,$H$24,$H$25,$G113,Q$30)</f>
        <v>0</v>
      </c>
      <c r="R113" s="52">
        <f ca="1">_xll.DBRW($G$15,$H$21,$H$22,P$29,P$28,$H$24,$H$25,$G113,R$30)</f>
        <v>0</v>
      </c>
      <c r="S113" s="52">
        <f ca="1">_xll.DBRW($G$15,$H$21,$H$22,S$29,P$28,$H$24,$H$25,$G113,S$30)</f>
        <v>0</v>
      </c>
      <c r="T113" s="52">
        <f ca="1">_xll.DBRW($G$15,$H$21,$H$22,S$29,P$28,$H$24,$H$25,$G113,T$30)</f>
        <v>0</v>
      </c>
      <c r="U113" s="53">
        <f ca="1">_xll.DBRW($G$15,$H$21,$H$22,S$29,P$28,$H$24,$H$25,$G113,U$30)</f>
        <v>0</v>
      </c>
      <c r="V113" s="127">
        <f t="shared" ca="1" si="10"/>
        <v>0</v>
      </c>
      <c r="W113" s="128">
        <f t="shared" ca="1" si="11"/>
        <v>0</v>
      </c>
      <c r="X113" s="55">
        <f ca="1">_xll.DBRW($G$15,$H$21,$H$22,X$29,X$28,$H$24,$H$25,$G113,X$30)</f>
        <v>0</v>
      </c>
      <c r="Y113" s="52">
        <f ca="1">_xll.DBRW($G$15,$H$21,$H$22,X$29,X$28,$H$24,$H$25,$G113,Y$30)</f>
        <v>0</v>
      </c>
      <c r="Z113" s="52">
        <f ca="1">_xll.DBRW($G$15,$H$21,$H$22,X$29,X$28,$H$24,$H$25,$G113,Z$30)</f>
        <v>0</v>
      </c>
      <c r="AA113" s="52">
        <f ca="1">_xll.DBRW($G$15,$H$21,$H$22,AA$29,X$28,$H$24,$H$25,$G113,AA$30)</f>
        <v>0</v>
      </c>
      <c r="AB113" s="52">
        <f ca="1">_xll.DBRW($G$15,$H$21,$H$22,AA$29,X$28,$H$24,$H$25,$G113,AB$30)</f>
        <v>0</v>
      </c>
      <c r="AC113" s="53">
        <f ca="1">_xll.DBRW($G$15,$H$21,$H$22,AA$29,X$28,$H$24,$H$25,$G113,AC$30)</f>
        <v>0</v>
      </c>
      <c r="AD113" s="127">
        <f t="shared" ca="1" si="12"/>
        <v>0</v>
      </c>
      <c r="AE113" s="128">
        <f t="shared" ca="1" si="13"/>
        <v>0</v>
      </c>
      <c r="AF113" s="55">
        <f ca="1">_xll.DBRW($G$15,$H$21,$H$22,AF$29,AF$28,$H$24,$H$25,$G113,AF$30)</f>
        <v>0</v>
      </c>
      <c r="AG113" s="52">
        <f ca="1">_xll.DBRW($G$15,$H$21,$H$22,AF$29,AF$28,$H$24,$H$25,$G113,AG$30)</f>
        <v>0</v>
      </c>
      <c r="AH113" s="52">
        <f ca="1">_xll.DBRW($G$15,$H$21,$H$22,AF$29,AF$28,$H$24,$H$25,$G113,AH$30)</f>
        <v>0</v>
      </c>
      <c r="AI113" s="52">
        <f ca="1">_xll.DBRW($G$15,$H$21,$H$22,AI$29,AF$28,$H$24,$H$25,$G113,AI$30)</f>
        <v>0</v>
      </c>
      <c r="AJ113" s="52">
        <f ca="1">_xll.DBRW($G$15,$H$21,$H$22,AI$29,AF$28,$H$24,$H$25,$G113,AJ$30)</f>
        <v>0</v>
      </c>
      <c r="AK113" s="53">
        <f ca="1">_xll.DBRW($G$15,$H$21,$H$22,AI$29,AF$28,$H$24,$H$25,$G113,AK$30)</f>
        <v>0</v>
      </c>
      <c r="AL113" s="140">
        <f t="shared" ca="1" si="14"/>
        <v>0</v>
      </c>
      <c r="AM113" s="140">
        <f t="shared" ca="1" si="15"/>
        <v>0</v>
      </c>
    </row>
    <row r="114" spans="1:39">
      <c r="A114">
        <f ca="1">IF(_xll.TM1RPTELISCONSOLIDATED($G$31,$G114),IF(_xll.TM1RPTELLEV($G$31,$G114)&lt;=3,_xll.TM1RPTELLEV($G$31,$G114),"D"),"N")</f>
        <v>3</v>
      </c>
      <c r="G114" s="141" t="s">
        <v>268</v>
      </c>
      <c r="H114" s="129">
        <f ca="1">_xll.DBRW($G$15,$H$21,$H$22,H$29,H$28,$H$24,$H$25,$G114,H$30)</f>
        <v>0</v>
      </c>
      <c r="I114" s="129">
        <f ca="1">_xll.DBRW($G$15,$H$21,$H$22,H$29,H$28,$H$24,$H$25,$G114,I$30)</f>
        <v>0</v>
      </c>
      <c r="J114" s="129">
        <f ca="1">_xll.DBRW($G$15,$H$21,$H$22,H$29,H$28,$H$24,$H$25,$G114,J$30)</f>
        <v>0</v>
      </c>
      <c r="K114" s="129">
        <f ca="1">_xll.DBRW($G$15,$H$21,$H$22,K$29,H$28,$H$24,$H$25,$G114,K$30)</f>
        <v>0</v>
      </c>
      <c r="L114" s="129">
        <f ca="1">_xll.DBRW($G$15,$H$21,$H$22,K$29,H$28,$H$24,$H$25,$G114,L$30)</f>
        <v>0</v>
      </c>
      <c r="M114" s="130">
        <f ca="1">_xll.DBRW($G$15,$H$21,$H$22,K$29,H$28,$H$24,$H$25,$G114,M$30)</f>
        <v>0</v>
      </c>
      <c r="N114" s="131">
        <f t="shared" ca="1" si="8"/>
        <v>0</v>
      </c>
      <c r="O114" s="132">
        <f t="shared" ca="1" si="9"/>
        <v>0</v>
      </c>
      <c r="P114" s="133">
        <f ca="1">_xll.DBRW($G$15,$H$21,$H$22,P$29,P$28,$H$24,$H$25,$G114,P$30)</f>
        <v>0</v>
      </c>
      <c r="Q114" s="129">
        <f ca="1">_xll.DBRW($G$15,$H$21,$H$22,P$29,P$28,$H$24,$H$25,$G114,Q$30)</f>
        <v>0</v>
      </c>
      <c r="R114" s="129">
        <f ca="1">_xll.DBRW($G$15,$H$21,$H$22,P$29,P$28,$H$24,$H$25,$G114,R$30)</f>
        <v>0</v>
      </c>
      <c r="S114" s="129">
        <f ca="1">_xll.DBRW($G$15,$H$21,$H$22,S$29,P$28,$H$24,$H$25,$G114,S$30)</f>
        <v>0</v>
      </c>
      <c r="T114" s="129">
        <f ca="1">_xll.DBRW($G$15,$H$21,$H$22,S$29,P$28,$H$24,$H$25,$G114,T$30)</f>
        <v>0</v>
      </c>
      <c r="U114" s="130">
        <f ca="1">_xll.DBRW($G$15,$H$21,$H$22,S$29,P$28,$H$24,$H$25,$G114,U$30)</f>
        <v>0</v>
      </c>
      <c r="V114" s="131">
        <f t="shared" ca="1" si="10"/>
        <v>0</v>
      </c>
      <c r="W114" s="132">
        <f t="shared" ca="1" si="11"/>
        <v>0</v>
      </c>
      <c r="X114" s="133">
        <f ca="1">_xll.DBRW($G$15,$H$21,$H$22,X$29,X$28,$H$24,$H$25,$G114,X$30)</f>
        <v>0</v>
      </c>
      <c r="Y114" s="129">
        <f ca="1">_xll.DBRW($G$15,$H$21,$H$22,X$29,X$28,$H$24,$H$25,$G114,Y$30)</f>
        <v>0</v>
      </c>
      <c r="Z114" s="129">
        <f ca="1">_xll.DBRW($G$15,$H$21,$H$22,X$29,X$28,$H$24,$H$25,$G114,Z$30)</f>
        <v>0</v>
      </c>
      <c r="AA114" s="129">
        <f ca="1">_xll.DBRW($G$15,$H$21,$H$22,AA$29,X$28,$H$24,$H$25,$G114,AA$30)</f>
        <v>0</v>
      </c>
      <c r="AB114" s="129">
        <f ca="1">_xll.DBRW($G$15,$H$21,$H$22,AA$29,X$28,$H$24,$H$25,$G114,AB$30)</f>
        <v>0</v>
      </c>
      <c r="AC114" s="130">
        <f ca="1">_xll.DBRW($G$15,$H$21,$H$22,AA$29,X$28,$H$24,$H$25,$G114,AC$30)</f>
        <v>0</v>
      </c>
      <c r="AD114" s="131">
        <f t="shared" ca="1" si="12"/>
        <v>0</v>
      </c>
      <c r="AE114" s="132">
        <f t="shared" ca="1" si="13"/>
        <v>0</v>
      </c>
      <c r="AF114" s="133">
        <f ca="1">_xll.DBRW($G$15,$H$21,$H$22,AF$29,AF$28,$H$24,$H$25,$G114,AF$30)</f>
        <v>0</v>
      </c>
      <c r="AG114" s="129">
        <f ca="1">_xll.DBRW($G$15,$H$21,$H$22,AF$29,AF$28,$H$24,$H$25,$G114,AG$30)</f>
        <v>0</v>
      </c>
      <c r="AH114" s="129">
        <f ca="1">_xll.DBRW($G$15,$H$21,$H$22,AF$29,AF$28,$H$24,$H$25,$G114,AH$30)</f>
        <v>0</v>
      </c>
      <c r="AI114" s="129">
        <f ca="1">_xll.DBRW($G$15,$H$21,$H$22,AI$29,AF$28,$H$24,$H$25,$G114,AI$30)</f>
        <v>0</v>
      </c>
      <c r="AJ114" s="129">
        <f ca="1">_xll.DBRW($G$15,$H$21,$H$22,AI$29,AF$28,$H$24,$H$25,$G114,AJ$30)</f>
        <v>0</v>
      </c>
      <c r="AK114" s="130">
        <f ca="1">_xll.DBRW($G$15,$H$21,$H$22,AI$29,AF$28,$H$24,$H$25,$G114,AK$30)</f>
        <v>0</v>
      </c>
      <c r="AL114" s="140">
        <f t="shared" ca="1" si="14"/>
        <v>0</v>
      </c>
      <c r="AM114" s="140">
        <f t="shared" ca="1" si="15"/>
        <v>0</v>
      </c>
    </row>
    <row r="115" spans="1:39">
      <c r="A115">
        <f ca="1">IF(_xll.TM1RPTELISCONSOLIDATED($G$31,$G115),IF(_xll.TM1RPTELLEV($G$31,$G115)&lt;=3,_xll.TM1RPTELLEV($G$31,$G115),"D"),"N")</f>
        <v>3</v>
      </c>
      <c r="G115" s="141" t="s">
        <v>269</v>
      </c>
      <c r="H115" s="129">
        <f ca="1">_xll.DBRW($G$15,$H$21,$H$22,H$29,H$28,$H$24,$H$25,$G115,H$30)</f>
        <v>0</v>
      </c>
      <c r="I115" s="129">
        <f ca="1">_xll.DBRW($G$15,$H$21,$H$22,H$29,H$28,$H$24,$H$25,$G115,I$30)</f>
        <v>0</v>
      </c>
      <c r="J115" s="129">
        <f ca="1">_xll.DBRW($G$15,$H$21,$H$22,H$29,H$28,$H$24,$H$25,$G115,J$30)</f>
        <v>0</v>
      </c>
      <c r="K115" s="129">
        <f ca="1">_xll.DBRW($G$15,$H$21,$H$22,K$29,H$28,$H$24,$H$25,$G115,K$30)</f>
        <v>0</v>
      </c>
      <c r="L115" s="129">
        <f ca="1">_xll.DBRW($G$15,$H$21,$H$22,K$29,H$28,$H$24,$H$25,$G115,L$30)</f>
        <v>0</v>
      </c>
      <c r="M115" s="130">
        <f ca="1">_xll.DBRW($G$15,$H$21,$H$22,K$29,H$28,$H$24,$H$25,$G115,M$30)</f>
        <v>0</v>
      </c>
      <c r="N115" s="131">
        <f t="shared" ca="1" si="8"/>
        <v>0</v>
      </c>
      <c r="O115" s="132">
        <f t="shared" ca="1" si="9"/>
        <v>0</v>
      </c>
      <c r="P115" s="133">
        <f ca="1">_xll.DBRW($G$15,$H$21,$H$22,P$29,P$28,$H$24,$H$25,$G115,P$30)</f>
        <v>0</v>
      </c>
      <c r="Q115" s="129">
        <f ca="1">_xll.DBRW($G$15,$H$21,$H$22,P$29,P$28,$H$24,$H$25,$G115,Q$30)</f>
        <v>0</v>
      </c>
      <c r="R115" s="129">
        <f ca="1">_xll.DBRW($G$15,$H$21,$H$22,P$29,P$28,$H$24,$H$25,$G115,R$30)</f>
        <v>0</v>
      </c>
      <c r="S115" s="129">
        <f ca="1">_xll.DBRW($G$15,$H$21,$H$22,S$29,P$28,$H$24,$H$25,$G115,S$30)</f>
        <v>0</v>
      </c>
      <c r="T115" s="129">
        <f ca="1">_xll.DBRW($G$15,$H$21,$H$22,S$29,P$28,$H$24,$H$25,$G115,T$30)</f>
        <v>0</v>
      </c>
      <c r="U115" s="130">
        <f ca="1">_xll.DBRW($G$15,$H$21,$H$22,S$29,P$28,$H$24,$H$25,$G115,U$30)</f>
        <v>0</v>
      </c>
      <c r="V115" s="131">
        <f t="shared" ca="1" si="10"/>
        <v>0</v>
      </c>
      <c r="W115" s="132">
        <f t="shared" ca="1" si="11"/>
        <v>0</v>
      </c>
      <c r="X115" s="133">
        <f ca="1">_xll.DBRW($G$15,$H$21,$H$22,X$29,X$28,$H$24,$H$25,$G115,X$30)</f>
        <v>0</v>
      </c>
      <c r="Y115" s="129">
        <f ca="1">_xll.DBRW($G$15,$H$21,$H$22,X$29,X$28,$H$24,$H$25,$G115,Y$30)</f>
        <v>0</v>
      </c>
      <c r="Z115" s="129">
        <f ca="1">_xll.DBRW($G$15,$H$21,$H$22,X$29,X$28,$H$24,$H$25,$G115,Z$30)</f>
        <v>0</v>
      </c>
      <c r="AA115" s="129">
        <f ca="1">_xll.DBRW($G$15,$H$21,$H$22,AA$29,X$28,$H$24,$H$25,$G115,AA$30)</f>
        <v>0</v>
      </c>
      <c r="AB115" s="129">
        <f ca="1">_xll.DBRW($G$15,$H$21,$H$22,AA$29,X$28,$H$24,$H$25,$G115,AB$30)</f>
        <v>0</v>
      </c>
      <c r="AC115" s="130">
        <f ca="1">_xll.DBRW($G$15,$H$21,$H$22,AA$29,X$28,$H$24,$H$25,$G115,AC$30)</f>
        <v>0</v>
      </c>
      <c r="AD115" s="131">
        <f t="shared" ca="1" si="12"/>
        <v>0</v>
      </c>
      <c r="AE115" s="132">
        <f t="shared" ca="1" si="13"/>
        <v>0</v>
      </c>
      <c r="AF115" s="133">
        <f ca="1">_xll.DBRW($G$15,$H$21,$H$22,AF$29,AF$28,$H$24,$H$25,$G115,AF$30)</f>
        <v>0</v>
      </c>
      <c r="AG115" s="129">
        <f ca="1">_xll.DBRW($G$15,$H$21,$H$22,AF$29,AF$28,$H$24,$H$25,$G115,AG$30)</f>
        <v>0</v>
      </c>
      <c r="AH115" s="129">
        <f ca="1">_xll.DBRW($G$15,$H$21,$H$22,AF$29,AF$28,$H$24,$H$25,$G115,AH$30)</f>
        <v>0</v>
      </c>
      <c r="AI115" s="129">
        <f ca="1">_xll.DBRW($G$15,$H$21,$H$22,AI$29,AF$28,$H$24,$H$25,$G115,AI$30)</f>
        <v>0</v>
      </c>
      <c r="AJ115" s="129">
        <f ca="1">_xll.DBRW($G$15,$H$21,$H$22,AI$29,AF$28,$H$24,$H$25,$G115,AJ$30)</f>
        <v>0</v>
      </c>
      <c r="AK115" s="130">
        <f ca="1">_xll.DBRW($G$15,$H$21,$H$22,AI$29,AF$28,$H$24,$H$25,$G115,AK$30)</f>
        <v>0</v>
      </c>
      <c r="AL115" s="140">
        <f t="shared" ca="1" si="14"/>
        <v>0</v>
      </c>
      <c r="AM115" s="140">
        <f t="shared" ca="1" si="15"/>
        <v>0</v>
      </c>
    </row>
    <row r="116" spans="1:39">
      <c r="A116">
        <f ca="1">IF(_xll.TM1RPTELISCONSOLIDATED($G$31,$G116),IF(_xll.TM1RPTELLEV($G$31,$G116)&lt;=3,_xll.TM1RPTELLEV($G$31,$G116),"D"),"N")</f>
        <v>3</v>
      </c>
      <c r="G116" s="141" t="s">
        <v>270</v>
      </c>
      <c r="H116" s="129">
        <f ca="1">_xll.DBRW($G$15,$H$21,$H$22,H$29,H$28,$H$24,$H$25,$G116,H$30)</f>
        <v>0</v>
      </c>
      <c r="I116" s="129">
        <f ca="1">_xll.DBRW($G$15,$H$21,$H$22,H$29,H$28,$H$24,$H$25,$G116,I$30)</f>
        <v>0</v>
      </c>
      <c r="J116" s="129">
        <f ca="1">_xll.DBRW($G$15,$H$21,$H$22,H$29,H$28,$H$24,$H$25,$G116,J$30)</f>
        <v>0</v>
      </c>
      <c r="K116" s="129">
        <f ca="1">_xll.DBRW($G$15,$H$21,$H$22,K$29,H$28,$H$24,$H$25,$G116,K$30)</f>
        <v>0</v>
      </c>
      <c r="L116" s="129">
        <f ca="1">_xll.DBRW($G$15,$H$21,$H$22,K$29,H$28,$H$24,$H$25,$G116,L$30)</f>
        <v>0</v>
      </c>
      <c r="M116" s="130">
        <f ca="1">_xll.DBRW($G$15,$H$21,$H$22,K$29,H$28,$H$24,$H$25,$G116,M$30)</f>
        <v>0</v>
      </c>
      <c r="N116" s="131">
        <f t="shared" ca="1" si="8"/>
        <v>0</v>
      </c>
      <c r="O116" s="132">
        <f t="shared" ca="1" si="9"/>
        <v>0</v>
      </c>
      <c r="P116" s="133">
        <f ca="1">_xll.DBRW($G$15,$H$21,$H$22,P$29,P$28,$H$24,$H$25,$G116,P$30)</f>
        <v>0</v>
      </c>
      <c r="Q116" s="129">
        <f ca="1">_xll.DBRW($G$15,$H$21,$H$22,P$29,P$28,$H$24,$H$25,$G116,Q$30)</f>
        <v>0</v>
      </c>
      <c r="R116" s="129">
        <f ca="1">_xll.DBRW($G$15,$H$21,$H$22,P$29,P$28,$H$24,$H$25,$G116,R$30)</f>
        <v>0</v>
      </c>
      <c r="S116" s="129">
        <f ca="1">_xll.DBRW($G$15,$H$21,$H$22,S$29,P$28,$H$24,$H$25,$G116,S$30)</f>
        <v>0</v>
      </c>
      <c r="T116" s="129">
        <f ca="1">_xll.DBRW($G$15,$H$21,$H$22,S$29,P$28,$H$24,$H$25,$G116,T$30)</f>
        <v>0</v>
      </c>
      <c r="U116" s="130">
        <f ca="1">_xll.DBRW($G$15,$H$21,$H$22,S$29,P$28,$H$24,$H$25,$G116,U$30)</f>
        <v>0</v>
      </c>
      <c r="V116" s="131">
        <f t="shared" ca="1" si="10"/>
        <v>0</v>
      </c>
      <c r="W116" s="132">
        <f t="shared" ca="1" si="11"/>
        <v>0</v>
      </c>
      <c r="X116" s="133">
        <f ca="1">_xll.DBRW($G$15,$H$21,$H$22,X$29,X$28,$H$24,$H$25,$G116,X$30)</f>
        <v>0</v>
      </c>
      <c r="Y116" s="129">
        <f ca="1">_xll.DBRW($G$15,$H$21,$H$22,X$29,X$28,$H$24,$H$25,$G116,Y$30)</f>
        <v>0</v>
      </c>
      <c r="Z116" s="129">
        <f ca="1">_xll.DBRW($G$15,$H$21,$H$22,X$29,X$28,$H$24,$H$25,$G116,Z$30)</f>
        <v>0</v>
      </c>
      <c r="AA116" s="129">
        <f ca="1">_xll.DBRW($G$15,$H$21,$H$22,AA$29,X$28,$H$24,$H$25,$G116,AA$30)</f>
        <v>0</v>
      </c>
      <c r="AB116" s="129">
        <f ca="1">_xll.DBRW($G$15,$H$21,$H$22,AA$29,X$28,$H$24,$H$25,$G116,AB$30)</f>
        <v>0</v>
      </c>
      <c r="AC116" s="130">
        <f ca="1">_xll.DBRW($G$15,$H$21,$H$22,AA$29,X$28,$H$24,$H$25,$G116,AC$30)</f>
        <v>0</v>
      </c>
      <c r="AD116" s="131">
        <f t="shared" ca="1" si="12"/>
        <v>0</v>
      </c>
      <c r="AE116" s="132">
        <f t="shared" ca="1" si="13"/>
        <v>0</v>
      </c>
      <c r="AF116" s="133">
        <f ca="1">_xll.DBRW($G$15,$H$21,$H$22,AF$29,AF$28,$H$24,$H$25,$G116,AF$30)</f>
        <v>0</v>
      </c>
      <c r="AG116" s="129">
        <f ca="1">_xll.DBRW($G$15,$H$21,$H$22,AF$29,AF$28,$H$24,$H$25,$G116,AG$30)</f>
        <v>0</v>
      </c>
      <c r="AH116" s="129">
        <f ca="1">_xll.DBRW($G$15,$H$21,$H$22,AF$29,AF$28,$H$24,$H$25,$G116,AH$30)</f>
        <v>0</v>
      </c>
      <c r="AI116" s="129">
        <f ca="1">_xll.DBRW($G$15,$H$21,$H$22,AI$29,AF$28,$H$24,$H$25,$G116,AI$30)</f>
        <v>0</v>
      </c>
      <c r="AJ116" s="129">
        <f ca="1">_xll.DBRW($G$15,$H$21,$H$22,AI$29,AF$28,$H$24,$H$25,$G116,AJ$30)</f>
        <v>0</v>
      </c>
      <c r="AK116" s="130">
        <f ca="1">_xll.DBRW($G$15,$H$21,$H$22,AI$29,AF$28,$H$24,$H$25,$G116,AK$30)</f>
        <v>0</v>
      </c>
      <c r="AL116" s="140">
        <f t="shared" ca="1" si="14"/>
        <v>0</v>
      </c>
      <c r="AM116" s="140">
        <f t="shared" ca="1" si="15"/>
        <v>0</v>
      </c>
    </row>
    <row r="117" spans="1:39">
      <c r="A117">
        <f ca="1">IF(_xll.TM1RPTELISCONSOLIDATED($G$31,$G117),IF(_xll.TM1RPTELLEV($G$31,$G117)&lt;=3,_xll.TM1RPTELLEV($G$31,$G117),"D"),"N")</f>
        <v>3</v>
      </c>
      <c r="G117" s="141" t="s">
        <v>271</v>
      </c>
      <c r="H117" s="129">
        <f ca="1">_xll.DBRW($G$15,$H$21,$H$22,H$29,H$28,$H$24,$H$25,$G117,H$30)</f>
        <v>0</v>
      </c>
      <c r="I117" s="129">
        <f ca="1">_xll.DBRW($G$15,$H$21,$H$22,H$29,H$28,$H$24,$H$25,$G117,I$30)</f>
        <v>0</v>
      </c>
      <c r="J117" s="129">
        <f ca="1">_xll.DBRW($G$15,$H$21,$H$22,H$29,H$28,$H$24,$H$25,$G117,J$30)</f>
        <v>0</v>
      </c>
      <c r="K117" s="129">
        <f ca="1">_xll.DBRW($G$15,$H$21,$H$22,K$29,H$28,$H$24,$H$25,$G117,K$30)</f>
        <v>0</v>
      </c>
      <c r="L117" s="129">
        <f ca="1">_xll.DBRW($G$15,$H$21,$H$22,K$29,H$28,$H$24,$H$25,$G117,L$30)</f>
        <v>0</v>
      </c>
      <c r="M117" s="130">
        <f ca="1">_xll.DBRW($G$15,$H$21,$H$22,K$29,H$28,$H$24,$H$25,$G117,M$30)</f>
        <v>0</v>
      </c>
      <c r="N117" s="131">
        <f t="shared" ca="1" si="8"/>
        <v>0</v>
      </c>
      <c r="O117" s="132">
        <f t="shared" ca="1" si="9"/>
        <v>0</v>
      </c>
      <c r="P117" s="133">
        <f ca="1">_xll.DBRW($G$15,$H$21,$H$22,P$29,P$28,$H$24,$H$25,$G117,P$30)</f>
        <v>0</v>
      </c>
      <c r="Q117" s="129">
        <f ca="1">_xll.DBRW($G$15,$H$21,$H$22,P$29,P$28,$H$24,$H$25,$G117,Q$30)</f>
        <v>0</v>
      </c>
      <c r="R117" s="129">
        <f ca="1">_xll.DBRW($G$15,$H$21,$H$22,P$29,P$28,$H$24,$H$25,$G117,R$30)</f>
        <v>0</v>
      </c>
      <c r="S117" s="129">
        <f ca="1">_xll.DBRW($G$15,$H$21,$H$22,S$29,P$28,$H$24,$H$25,$G117,S$30)</f>
        <v>0</v>
      </c>
      <c r="T117" s="129">
        <f ca="1">_xll.DBRW($G$15,$H$21,$H$22,S$29,P$28,$H$24,$H$25,$G117,T$30)</f>
        <v>0</v>
      </c>
      <c r="U117" s="130">
        <f ca="1">_xll.DBRW($G$15,$H$21,$H$22,S$29,P$28,$H$24,$H$25,$G117,U$30)</f>
        <v>0</v>
      </c>
      <c r="V117" s="131">
        <f t="shared" ca="1" si="10"/>
        <v>0</v>
      </c>
      <c r="W117" s="132">
        <f t="shared" ca="1" si="11"/>
        <v>0</v>
      </c>
      <c r="X117" s="133">
        <f ca="1">_xll.DBRW($G$15,$H$21,$H$22,X$29,X$28,$H$24,$H$25,$G117,X$30)</f>
        <v>0</v>
      </c>
      <c r="Y117" s="129">
        <f ca="1">_xll.DBRW($G$15,$H$21,$H$22,X$29,X$28,$H$24,$H$25,$G117,Y$30)</f>
        <v>0</v>
      </c>
      <c r="Z117" s="129">
        <f ca="1">_xll.DBRW($G$15,$H$21,$H$22,X$29,X$28,$H$24,$H$25,$G117,Z$30)</f>
        <v>0</v>
      </c>
      <c r="AA117" s="129">
        <f ca="1">_xll.DBRW($G$15,$H$21,$H$22,AA$29,X$28,$H$24,$H$25,$G117,AA$30)</f>
        <v>0</v>
      </c>
      <c r="AB117" s="129">
        <f ca="1">_xll.DBRW($G$15,$H$21,$H$22,AA$29,X$28,$H$24,$H$25,$G117,AB$30)</f>
        <v>0</v>
      </c>
      <c r="AC117" s="130">
        <f ca="1">_xll.DBRW($G$15,$H$21,$H$22,AA$29,X$28,$H$24,$H$25,$G117,AC$30)</f>
        <v>0</v>
      </c>
      <c r="AD117" s="131">
        <f t="shared" ca="1" si="12"/>
        <v>0</v>
      </c>
      <c r="AE117" s="132">
        <f t="shared" ca="1" si="13"/>
        <v>0</v>
      </c>
      <c r="AF117" s="133">
        <f ca="1">_xll.DBRW($G$15,$H$21,$H$22,AF$29,AF$28,$H$24,$H$25,$G117,AF$30)</f>
        <v>0</v>
      </c>
      <c r="AG117" s="129">
        <f ca="1">_xll.DBRW($G$15,$H$21,$H$22,AF$29,AF$28,$H$24,$H$25,$G117,AG$30)</f>
        <v>0</v>
      </c>
      <c r="AH117" s="129">
        <f ca="1">_xll.DBRW($G$15,$H$21,$H$22,AF$29,AF$28,$H$24,$H$25,$G117,AH$30)</f>
        <v>0</v>
      </c>
      <c r="AI117" s="129">
        <f ca="1">_xll.DBRW($G$15,$H$21,$H$22,AI$29,AF$28,$H$24,$H$25,$G117,AI$30)</f>
        <v>0</v>
      </c>
      <c r="AJ117" s="129">
        <f ca="1">_xll.DBRW($G$15,$H$21,$H$22,AI$29,AF$28,$H$24,$H$25,$G117,AJ$30)</f>
        <v>0</v>
      </c>
      <c r="AK117" s="130">
        <f ca="1">_xll.DBRW($G$15,$H$21,$H$22,AI$29,AF$28,$H$24,$H$25,$G117,AK$30)</f>
        <v>0</v>
      </c>
      <c r="AL117" s="140">
        <f t="shared" ca="1" si="14"/>
        <v>0</v>
      </c>
      <c r="AM117" s="140">
        <f t="shared" ca="1" si="15"/>
        <v>0</v>
      </c>
    </row>
    <row r="118" spans="1:39">
      <c r="A118">
        <f ca="1">IF(_xll.TM1RPTELISCONSOLIDATED($G$31,$G118),IF(_xll.TM1RPTELLEV($G$31,$G118)&lt;=3,_xll.TM1RPTELLEV($G$31,$G118),"D"),"N")</f>
        <v>3</v>
      </c>
      <c r="G118" s="141" t="s">
        <v>272</v>
      </c>
      <c r="H118" s="129">
        <f ca="1">_xll.DBRW($G$15,$H$21,$H$22,H$29,H$28,$H$24,$H$25,$G118,H$30)</f>
        <v>0</v>
      </c>
      <c r="I118" s="129">
        <f ca="1">_xll.DBRW($G$15,$H$21,$H$22,H$29,H$28,$H$24,$H$25,$G118,I$30)</f>
        <v>0</v>
      </c>
      <c r="J118" s="129">
        <f ca="1">_xll.DBRW($G$15,$H$21,$H$22,H$29,H$28,$H$24,$H$25,$G118,J$30)</f>
        <v>0</v>
      </c>
      <c r="K118" s="129">
        <f ca="1">_xll.DBRW($G$15,$H$21,$H$22,K$29,H$28,$H$24,$H$25,$G118,K$30)</f>
        <v>0</v>
      </c>
      <c r="L118" s="129">
        <f ca="1">_xll.DBRW($G$15,$H$21,$H$22,K$29,H$28,$H$24,$H$25,$G118,L$30)</f>
        <v>0</v>
      </c>
      <c r="M118" s="130">
        <f ca="1">_xll.DBRW($G$15,$H$21,$H$22,K$29,H$28,$H$24,$H$25,$G118,M$30)</f>
        <v>0</v>
      </c>
      <c r="N118" s="131">
        <f t="shared" ca="1" si="8"/>
        <v>0</v>
      </c>
      <c r="O118" s="132">
        <f t="shared" ca="1" si="9"/>
        <v>0</v>
      </c>
      <c r="P118" s="133">
        <f ca="1">_xll.DBRW($G$15,$H$21,$H$22,P$29,P$28,$H$24,$H$25,$G118,P$30)</f>
        <v>0</v>
      </c>
      <c r="Q118" s="129">
        <f ca="1">_xll.DBRW($G$15,$H$21,$H$22,P$29,P$28,$H$24,$H$25,$G118,Q$30)</f>
        <v>0</v>
      </c>
      <c r="R118" s="129">
        <f ca="1">_xll.DBRW($G$15,$H$21,$H$22,P$29,P$28,$H$24,$H$25,$G118,R$30)</f>
        <v>0</v>
      </c>
      <c r="S118" s="129">
        <f ca="1">_xll.DBRW($G$15,$H$21,$H$22,S$29,P$28,$H$24,$H$25,$G118,S$30)</f>
        <v>0</v>
      </c>
      <c r="T118" s="129">
        <f ca="1">_xll.DBRW($G$15,$H$21,$H$22,S$29,P$28,$H$24,$H$25,$G118,T$30)</f>
        <v>0</v>
      </c>
      <c r="U118" s="130">
        <f ca="1">_xll.DBRW($G$15,$H$21,$H$22,S$29,P$28,$H$24,$H$25,$G118,U$30)</f>
        <v>0</v>
      </c>
      <c r="V118" s="131">
        <f t="shared" ca="1" si="10"/>
        <v>0</v>
      </c>
      <c r="W118" s="132">
        <f t="shared" ca="1" si="11"/>
        <v>0</v>
      </c>
      <c r="X118" s="133">
        <f ca="1">_xll.DBRW($G$15,$H$21,$H$22,X$29,X$28,$H$24,$H$25,$G118,X$30)</f>
        <v>0</v>
      </c>
      <c r="Y118" s="129">
        <f ca="1">_xll.DBRW($G$15,$H$21,$H$22,X$29,X$28,$H$24,$H$25,$G118,Y$30)</f>
        <v>0</v>
      </c>
      <c r="Z118" s="129">
        <f ca="1">_xll.DBRW($G$15,$H$21,$H$22,X$29,X$28,$H$24,$H$25,$G118,Z$30)</f>
        <v>0</v>
      </c>
      <c r="AA118" s="129">
        <f ca="1">_xll.DBRW($G$15,$H$21,$H$22,AA$29,X$28,$H$24,$H$25,$G118,AA$30)</f>
        <v>0</v>
      </c>
      <c r="AB118" s="129">
        <f ca="1">_xll.DBRW($G$15,$H$21,$H$22,AA$29,X$28,$H$24,$H$25,$G118,AB$30)</f>
        <v>0</v>
      </c>
      <c r="AC118" s="130">
        <f ca="1">_xll.DBRW($G$15,$H$21,$H$22,AA$29,X$28,$H$24,$H$25,$G118,AC$30)</f>
        <v>0</v>
      </c>
      <c r="AD118" s="131">
        <f t="shared" ca="1" si="12"/>
        <v>0</v>
      </c>
      <c r="AE118" s="132">
        <f t="shared" ca="1" si="13"/>
        <v>0</v>
      </c>
      <c r="AF118" s="133">
        <f ca="1">_xll.DBRW($G$15,$H$21,$H$22,AF$29,AF$28,$H$24,$H$25,$G118,AF$30)</f>
        <v>0</v>
      </c>
      <c r="AG118" s="129">
        <f ca="1">_xll.DBRW($G$15,$H$21,$H$22,AF$29,AF$28,$H$24,$H$25,$G118,AG$30)</f>
        <v>0</v>
      </c>
      <c r="AH118" s="129">
        <f ca="1">_xll.DBRW($G$15,$H$21,$H$22,AF$29,AF$28,$H$24,$H$25,$G118,AH$30)</f>
        <v>0</v>
      </c>
      <c r="AI118" s="129">
        <f ca="1">_xll.DBRW($G$15,$H$21,$H$22,AI$29,AF$28,$H$24,$H$25,$G118,AI$30)</f>
        <v>0</v>
      </c>
      <c r="AJ118" s="129">
        <f ca="1">_xll.DBRW($G$15,$H$21,$H$22,AI$29,AF$28,$H$24,$H$25,$G118,AJ$30)</f>
        <v>0</v>
      </c>
      <c r="AK118" s="130">
        <f ca="1">_xll.DBRW($G$15,$H$21,$H$22,AI$29,AF$28,$H$24,$H$25,$G118,AK$30)</f>
        <v>0</v>
      </c>
      <c r="AL118" s="140">
        <f t="shared" ca="1" si="14"/>
        <v>0</v>
      </c>
      <c r="AM118" s="140">
        <f t="shared" ca="1" si="15"/>
        <v>0</v>
      </c>
    </row>
    <row r="119" spans="1:39">
      <c r="A119">
        <f ca="1">IF(_xll.TM1RPTELISCONSOLIDATED($G$31,$G119),IF(_xll.TM1RPTELLEV($G$31,$G119)&lt;=3,_xll.TM1RPTELLEV($G$31,$G119),"D"),"N")</f>
        <v>3</v>
      </c>
      <c r="G119" s="141" t="s">
        <v>273</v>
      </c>
      <c r="H119" s="129">
        <f ca="1">_xll.DBRW($G$15,$H$21,$H$22,H$29,H$28,$H$24,$H$25,$G119,H$30)</f>
        <v>0</v>
      </c>
      <c r="I119" s="129">
        <f ca="1">_xll.DBRW($G$15,$H$21,$H$22,H$29,H$28,$H$24,$H$25,$G119,I$30)</f>
        <v>0</v>
      </c>
      <c r="J119" s="129">
        <f ca="1">_xll.DBRW($G$15,$H$21,$H$22,H$29,H$28,$H$24,$H$25,$G119,J$30)</f>
        <v>0</v>
      </c>
      <c r="K119" s="129">
        <f ca="1">_xll.DBRW($G$15,$H$21,$H$22,K$29,H$28,$H$24,$H$25,$G119,K$30)</f>
        <v>0</v>
      </c>
      <c r="L119" s="129">
        <f ca="1">_xll.DBRW($G$15,$H$21,$H$22,K$29,H$28,$H$24,$H$25,$G119,L$30)</f>
        <v>0</v>
      </c>
      <c r="M119" s="130">
        <f ca="1">_xll.DBRW($G$15,$H$21,$H$22,K$29,H$28,$H$24,$H$25,$G119,M$30)</f>
        <v>0</v>
      </c>
      <c r="N119" s="131">
        <f t="shared" ca="1" si="8"/>
        <v>0</v>
      </c>
      <c r="O119" s="132">
        <f t="shared" ca="1" si="9"/>
        <v>0</v>
      </c>
      <c r="P119" s="133">
        <f ca="1">_xll.DBRW($G$15,$H$21,$H$22,P$29,P$28,$H$24,$H$25,$G119,P$30)</f>
        <v>0</v>
      </c>
      <c r="Q119" s="129">
        <f ca="1">_xll.DBRW($G$15,$H$21,$H$22,P$29,P$28,$H$24,$H$25,$G119,Q$30)</f>
        <v>0</v>
      </c>
      <c r="R119" s="129">
        <f ca="1">_xll.DBRW($G$15,$H$21,$H$22,P$29,P$28,$H$24,$H$25,$G119,R$30)</f>
        <v>0</v>
      </c>
      <c r="S119" s="129">
        <f ca="1">_xll.DBRW($G$15,$H$21,$H$22,S$29,P$28,$H$24,$H$25,$G119,S$30)</f>
        <v>0</v>
      </c>
      <c r="T119" s="129">
        <f ca="1">_xll.DBRW($G$15,$H$21,$H$22,S$29,P$28,$H$24,$H$25,$G119,T$30)</f>
        <v>0</v>
      </c>
      <c r="U119" s="130">
        <f ca="1">_xll.DBRW($G$15,$H$21,$H$22,S$29,P$28,$H$24,$H$25,$G119,U$30)</f>
        <v>0</v>
      </c>
      <c r="V119" s="131">
        <f t="shared" ca="1" si="10"/>
        <v>0</v>
      </c>
      <c r="W119" s="132">
        <f t="shared" ca="1" si="11"/>
        <v>0</v>
      </c>
      <c r="X119" s="133">
        <f ca="1">_xll.DBRW($G$15,$H$21,$H$22,X$29,X$28,$H$24,$H$25,$G119,X$30)</f>
        <v>0</v>
      </c>
      <c r="Y119" s="129">
        <f ca="1">_xll.DBRW($G$15,$H$21,$H$22,X$29,X$28,$H$24,$H$25,$G119,Y$30)</f>
        <v>0</v>
      </c>
      <c r="Z119" s="129">
        <f ca="1">_xll.DBRW($G$15,$H$21,$H$22,X$29,X$28,$H$24,$H$25,$G119,Z$30)</f>
        <v>0</v>
      </c>
      <c r="AA119" s="129">
        <f ca="1">_xll.DBRW($G$15,$H$21,$H$22,AA$29,X$28,$H$24,$H$25,$G119,AA$30)</f>
        <v>0</v>
      </c>
      <c r="AB119" s="129">
        <f ca="1">_xll.DBRW($G$15,$H$21,$H$22,AA$29,X$28,$H$24,$H$25,$G119,AB$30)</f>
        <v>0</v>
      </c>
      <c r="AC119" s="130">
        <f ca="1">_xll.DBRW($G$15,$H$21,$H$22,AA$29,X$28,$H$24,$H$25,$G119,AC$30)</f>
        <v>0</v>
      </c>
      <c r="AD119" s="131">
        <f t="shared" ca="1" si="12"/>
        <v>0</v>
      </c>
      <c r="AE119" s="132">
        <f t="shared" ca="1" si="13"/>
        <v>0</v>
      </c>
      <c r="AF119" s="133">
        <f ca="1">_xll.DBRW($G$15,$H$21,$H$22,AF$29,AF$28,$H$24,$H$25,$G119,AF$30)</f>
        <v>0</v>
      </c>
      <c r="AG119" s="129">
        <f ca="1">_xll.DBRW($G$15,$H$21,$H$22,AF$29,AF$28,$H$24,$H$25,$G119,AG$30)</f>
        <v>0</v>
      </c>
      <c r="AH119" s="129">
        <f ca="1">_xll.DBRW($G$15,$H$21,$H$22,AF$29,AF$28,$H$24,$H$25,$G119,AH$30)</f>
        <v>0</v>
      </c>
      <c r="AI119" s="129">
        <f ca="1">_xll.DBRW($G$15,$H$21,$H$22,AI$29,AF$28,$H$24,$H$25,$G119,AI$30)</f>
        <v>0</v>
      </c>
      <c r="AJ119" s="129">
        <f ca="1">_xll.DBRW($G$15,$H$21,$H$22,AI$29,AF$28,$H$24,$H$25,$G119,AJ$30)</f>
        <v>0</v>
      </c>
      <c r="AK119" s="130">
        <f ca="1">_xll.DBRW($G$15,$H$21,$H$22,AI$29,AF$28,$H$24,$H$25,$G119,AK$30)</f>
        <v>0</v>
      </c>
      <c r="AL119" s="140">
        <f t="shared" ca="1" si="14"/>
        <v>0</v>
      </c>
      <c r="AM119" s="140">
        <f t="shared" ca="1" si="15"/>
        <v>0</v>
      </c>
    </row>
    <row r="120" spans="1:39">
      <c r="A120">
        <f ca="1">IF(_xll.TM1RPTELISCONSOLIDATED($G$31,$G120),IF(_xll.TM1RPTELLEV($G$31,$G120)&lt;=3,_xll.TM1RPTELLEV($G$31,$G120),"D"),"N")</f>
        <v>3</v>
      </c>
      <c r="G120" s="141" t="s">
        <v>274</v>
      </c>
      <c r="H120" s="129">
        <f ca="1">_xll.DBRW($G$15,$H$21,$H$22,H$29,H$28,$H$24,$H$25,$G120,H$30)</f>
        <v>0</v>
      </c>
      <c r="I120" s="129">
        <f ca="1">_xll.DBRW($G$15,$H$21,$H$22,H$29,H$28,$H$24,$H$25,$G120,I$30)</f>
        <v>0</v>
      </c>
      <c r="J120" s="129">
        <f ca="1">_xll.DBRW($G$15,$H$21,$H$22,H$29,H$28,$H$24,$H$25,$G120,J$30)</f>
        <v>0</v>
      </c>
      <c r="K120" s="129">
        <f ca="1">_xll.DBRW($G$15,$H$21,$H$22,K$29,H$28,$H$24,$H$25,$G120,K$30)</f>
        <v>0</v>
      </c>
      <c r="L120" s="129">
        <f ca="1">_xll.DBRW($G$15,$H$21,$H$22,K$29,H$28,$H$24,$H$25,$G120,L$30)</f>
        <v>0</v>
      </c>
      <c r="M120" s="130">
        <f ca="1">_xll.DBRW($G$15,$H$21,$H$22,K$29,H$28,$H$24,$H$25,$G120,M$30)</f>
        <v>0</v>
      </c>
      <c r="N120" s="131">
        <f t="shared" ca="1" si="8"/>
        <v>0</v>
      </c>
      <c r="O120" s="132">
        <f t="shared" ca="1" si="9"/>
        <v>0</v>
      </c>
      <c r="P120" s="133">
        <f ca="1">_xll.DBRW($G$15,$H$21,$H$22,P$29,P$28,$H$24,$H$25,$G120,P$30)</f>
        <v>0</v>
      </c>
      <c r="Q120" s="129">
        <f ca="1">_xll.DBRW($G$15,$H$21,$H$22,P$29,P$28,$H$24,$H$25,$G120,Q$30)</f>
        <v>0</v>
      </c>
      <c r="R120" s="129">
        <f ca="1">_xll.DBRW($G$15,$H$21,$H$22,P$29,P$28,$H$24,$H$25,$G120,R$30)</f>
        <v>0</v>
      </c>
      <c r="S120" s="129">
        <f ca="1">_xll.DBRW($G$15,$H$21,$H$22,S$29,P$28,$H$24,$H$25,$G120,S$30)</f>
        <v>0</v>
      </c>
      <c r="T120" s="129">
        <f ca="1">_xll.DBRW($G$15,$H$21,$H$22,S$29,P$28,$H$24,$H$25,$G120,T$30)</f>
        <v>0</v>
      </c>
      <c r="U120" s="130">
        <f ca="1">_xll.DBRW($G$15,$H$21,$H$22,S$29,P$28,$H$24,$H$25,$G120,U$30)</f>
        <v>0</v>
      </c>
      <c r="V120" s="131">
        <f t="shared" ca="1" si="10"/>
        <v>0</v>
      </c>
      <c r="W120" s="132">
        <f t="shared" ca="1" si="11"/>
        <v>0</v>
      </c>
      <c r="X120" s="133">
        <f ca="1">_xll.DBRW($G$15,$H$21,$H$22,X$29,X$28,$H$24,$H$25,$G120,X$30)</f>
        <v>0</v>
      </c>
      <c r="Y120" s="129">
        <f ca="1">_xll.DBRW($G$15,$H$21,$H$22,X$29,X$28,$H$24,$H$25,$G120,Y$30)</f>
        <v>0</v>
      </c>
      <c r="Z120" s="129">
        <f ca="1">_xll.DBRW($G$15,$H$21,$H$22,X$29,X$28,$H$24,$H$25,$G120,Z$30)</f>
        <v>0</v>
      </c>
      <c r="AA120" s="129">
        <f ca="1">_xll.DBRW($G$15,$H$21,$H$22,AA$29,X$28,$H$24,$H$25,$G120,AA$30)</f>
        <v>0</v>
      </c>
      <c r="AB120" s="129">
        <f ca="1">_xll.DBRW($G$15,$H$21,$H$22,AA$29,X$28,$H$24,$H$25,$G120,AB$30)</f>
        <v>0</v>
      </c>
      <c r="AC120" s="130">
        <f ca="1">_xll.DBRW($G$15,$H$21,$H$22,AA$29,X$28,$H$24,$H$25,$G120,AC$30)</f>
        <v>0</v>
      </c>
      <c r="AD120" s="131">
        <f t="shared" ca="1" si="12"/>
        <v>0</v>
      </c>
      <c r="AE120" s="132">
        <f t="shared" ca="1" si="13"/>
        <v>0</v>
      </c>
      <c r="AF120" s="133">
        <f ca="1">_xll.DBRW($G$15,$H$21,$H$22,AF$29,AF$28,$H$24,$H$25,$G120,AF$30)</f>
        <v>0</v>
      </c>
      <c r="AG120" s="129">
        <f ca="1">_xll.DBRW($G$15,$H$21,$H$22,AF$29,AF$28,$H$24,$H$25,$G120,AG$30)</f>
        <v>0</v>
      </c>
      <c r="AH120" s="129">
        <f ca="1">_xll.DBRW($G$15,$H$21,$H$22,AF$29,AF$28,$H$24,$H$25,$G120,AH$30)</f>
        <v>0</v>
      </c>
      <c r="AI120" s="129">
        <f ca="1">_xll.DBRW($G$15,$H$21,$H$22,AI$29,AF$28,$H$24,$H$25,$G120,AI$30)</f>
        <v>0</v>
      </c>
      <c r="AJ120" s="129">
        <f ca="1">_xll.DBRW($G$15,$H$21,$H$22,AI$29,AF$28,$H$24,$H$25,$G120,AJ$30)</f>
        <v>0</v>
      </c>
      <c r="AK120" s="130">
        <f ca="1">_xll.DBRW($G$15,$H$21,$H$22,AI$29,AF$28,$H$24,$H$25,$G120,AK$30)</f>
        <v>0</v>
      </c>
      <c r="AL120" s="140">
        <f t="shared" ca="1" si="14"/>
        <v>0</v>
      </c>
      <c r="AM120" s="140">
        <f t="shared" ca="1" si="15"/>
        <v>0</v>
      </c>
    </row>
    <row r="121" spans="1:39">
      <c r="A121">
        <f ca="1">IF(_xll.TM1RPTELISCONSOLIDATED($G$31,$G121),IF(_xll.TM1RPTELLEV($G$31,$G121)&lt;=3,_xll.TM1RPTELLEV($G$31,$G121),"D"),"N")</f>
        <v>2</v>
      </c>
      <c r="G121" s="79" t="s">
        <v>275</v>
      </c>
      <c r="H121" s="52">
        <f ca="1">_xll.DBRW($G$15,$H$21,$H$22,H$29,H$28,$H$24,$H$25,$G121,H$30)</f>
        <v>0</v>
      </c>
      <c r="I121" s="52">
        <f ca="1">_xll.DBRW($G$15,$H$21,$H$22,H$29,H$28,$H$24,$H$25,$G121,I$30)</f>
        <v>0</v>
      </c>
      <c r="J121" s="52">
        <f ca="1">_xll.DBRW($G$15,$H$21,$H$22,H$29,H$28,$H$24,$H$25,$G121,J$30)</f>
        <v>0</v>
      </c>
      <c r="K121" s="52">
        <f ca="1">_xll.DBRW($G$15,$H$21,$H$22,K$29,H$28,$H$24,$H$25,$G121,K$30)</f>
        <v>0</v>
      </c>
      <c r="L121" s="52">
        <f ca="1">_xll.DBRW($G$15,$H$21,$H$22,K$29,H$28,$H$24,$H$25,$G121,L$30)</f>
        <v>0</v>
      </c>
      <c r="M121" s="53">
        <f ca="1">_xll.DBRW($G$15,$H$21,$H$22,K$29,H$28,$H$24,$H$25,$G121,M$30)</f>
        <v>0</v>
      </c>
      <c r="N121" s="127">
        <f t="shared" ca="1" si="8"/>
        <v>0</v>
      </c>
      <c r="O121" s="128">
        <f t="shared" ca="1" si="9"/>
        <v>0</v>
      </c>
      <c r="P121" s="55">
        <f ca="1">_xll.DBRW($G$15,$H$21,$H$22,P$29,P$28,$H$24,$H$25,$G121,P$30)</f>
        <v>0</v>
      </c>
      <c r="Q121" s="52">
        <f ca="1">_xll.DBRW($G$15,$H$21,$H$22,P$29,P$28,$H$24,$H$25,$G121,Q$30)</f>
        <v>0</v>
      </c>
      <c r="R121" s="52">
        <f ca="1">_xll.DBRW($G$15,$H$21,$H$22,P$29,P$28,$H$24,$H$25,$G121,R$30)</f>
        <v>0</v>
      </c>
      <c r="S121" s="52">
        <f ca="1">_xll.DBRW($G$15,$H$21,$H$22,S$29,P$28,$H$24,$H$25,$G121,S$30)</f>
        <v>0</v>
      </c>
      <c r="T121" s="52">
        <f ca="1">_xll.DBRW($G$15,$H$21,$H$22,S$29,P$28,$H$24,$H$25,$G121,T$30)</f>
        <v>0</v>
      </c>
      <c r="U121" s="53">
        <f ca="1">_xll.DBRW($G$15,$H$21,$H$22,S$29,P$28,$H$24,$H$25,$G121,U$30)</f>
        <v>0</v>
      </c>
      <c r="V121" s="127">
        <f t="shared" ca="1" si="10"/>
        <v>0</v>
      </c>
      <c r="W121" s="128">
        <f t="shared" ca="1" si="11"/>
        <v>0</v>
      </c>
      <c r="X121" s="55">
        <f ca="1">_xll.DBRW($G$15,$H$21,$H$22,X$29,X$28,$H$24,$H$25,$G121,X$30)</f>
        <v>0</v>
      </c>
      <c r="Y121" s="52">
        <f ca="1">_xll.DBRW($G$15,$H$21,$H$22,X$29,X$28,$H$24,$H$25,$G121,Y$30)</f>
        <v>0</v>
      </c>
      <c r="Z121" s="52">
        <f ca="1">_xll.DBRW($G$15,$H$21,$H$22,X$29,X$28,$H$24,$H$25,$G121,Z$30)</f>
        <v>0</v>
      </c>
      <c r="AA121" s="52">
        <f ca="1">_xll.DBRW($G$15,$H$21,$H$22,AA$29,X$28,$H$24,$H$25,$G121,AA$30)</f>
        <v>0</v>
      </c>
      <c r="AB121" s="52">
        <f ca="1">_xll.DBRW($G$15,$H$21,$H$22,AA$29,X$28,$H$24,$H$25,$G121,AB$30)</f>
        <v>0</v>
      </c>
      <c r="AC121" s="53">
        <f ca="1">_xll.DBRW($G$15,$H$21,$H$22,AA$29,X$28,$H$24,$H$25,$G121,AC$30)</f>
        <v>0</v>
      </c>
      <c r="AD121" s="127">
        <f t="shared" ca="1" si="12"/>
        <v>0</v>
      </c>
      <c r="AE121" s="128">
        <f t="shared" ca="1" si="13"/>
        <v>0</v>
      </c>
      <c r="AF121" s="55">
        <f ca="1">_xll.DBRW($G$15,$H$21,$H$22,AF$29,AF$28,$H$24,$H$25,$G121,AF$30)</f>
        <v>0</v>
      </c>
      <c r="AG121" s="52">
        <f ca="1">_xll.DBRW($G$15,$H$21,$H$22,AF$29,AF$28,$H$24,$H$25,$G121,AG$30)</f>
        <v>0</v>
      </c>
      <c r="AH121" s="52">
        <f ca="1">_xll.DBRW($G$15,$H$21,$H$22,AF$29,AF$28,$H$24,$H$25,$G121,AH$30)</f>
        <v>0</v>
      </c>
      <c r="AI121" s="52">
        <f ca="1">_xll.DBRW($G$15,$H$21,$H$22,AI$29,AF$28,$H$24,$H$25,$G121,AI$30)</f>
        <v>0</v>
      </c>
      <c r="AJ121" s="52">
        <f ca="1">_xll.DBRW($G$15,$H$21,$H$22,AI$29,AF$28,$H$24,$H$25,$G121,AJ$30)</f>
        <v>0</v>
      </c>
      <c r="AK121" s="53">
        <f ca="1">_xll.DBRW($G$15,$H$21,$H$22,AI$29,AF$28,$H$24,$H$25,$G121,AK$30)</f>
        <v>0</v>
      </c>
      <c r="AL121" s="140">
        <f t="shared" ca="1" si="14"/>
        <v>0</v>
      </c>
      <c r="AM121" s="140">
        <f t="shared" ca="1" si="15"/>
        <v>0</v>
      </c>
    </row>
    <row r="122" spans="1:39">
      <c r="A122">
        <f ca="1">IF(_xll.TM1RPTELISCONSOLIDATED($G$31,$G122),IF(_xll.TM1RPTELLEV($G$31,$G122)&lt;=3,_xll.TM1RPTELLEV($G$31,$G122),"D"),"N")</f>
        <v>2</v>
      </c>
      <c r="G122" s="79" t="s">
        <v>276</v>
      </c>
      <c r="H122" s="52">
        <f ca="1">_xll.DBRW($G$15,$H$21,$H$22,H$29,H$28,$H$24,$H$25,$G122,H$30)</f>
        <v>0</v>
      </c>
      <c r="I122" s="52">
        <f ca="1">_xll.DBRW($G$15,$H$21,$H$22,H$29,H$28,$H$24,$H$25,$G122,I$30)</f>
        <v>0</v>
      </c>
      <c r="J122" s="52">
        <f ca="1">_xll.DBRW($G$15,$H$21,$H$22,H$29,H$28,$H$24,$H$25,$G122,J$30)</f>
        <v>0</v>
      </c>
      <c r="K122" s="52">
        <f ca="1">_xll.DBRW($G$15,$H$21,$H$22,K$29,H$28,$H$24,$H$25,$G122,K$30)</f>
        <v>0</v>
      </c>
      <c r="L122" s="52">
        <f ca="1">_xll.DBRW($G$15,$H$21,$H$22,K$29,H$28,$H$24,$H$25,$G122,L$30)</f>
        <v>0</v>
      </c>
      <c r="M122" s="53">
        <f ca="1">_xll.DBRW($G$15,$H$21,$H$22,K$29,H$28,$H$24,$H$25,$G122,M$30)</f>
        <v>0</v>
      </c>
      <c r="N122" s="127">
        <f t="shared" ca="1" si="8"/>
        <v>0</v>
      </c>
      <c r="O122" s="128">
        <f t="shared" ca="1" si="9"/>
        <v>0</v>
      </c>
      <c r="P122" s="55">
        <f ca="1">_xll.DBRW($G$15,$H$21,$H$22,P$29,P$28,$H$24,$H$25,$G122,P$30)</f>
        <v>0</v>
      </c>
      <c r="Q122" s="52">
        <f ca="1">_xll.DBRW($G$15,$H$21,$H$22,P$29,P$28,$H$24,$H$25,$G122,Q$30)</f>
        <v>0</v>
      </c>
      <c r="R122" s="52">
        <f ca="1">_xll.DBRW($G$15,$H$21,$H$22,P$29,P$28,$H$24,$H$25,$G122,R$30)</f>
        <v>0</v>
      </c>
      <c r="S122" s="52">
        <f ca="1">_xll.DBRW($G$15,$H$21,$H$22,S$29,P$28,$H$24,$H$25,$G122,S$30)</f>
        <v>0</v>
      </c>
      <c r="T122" s="52">
        <f ca="1">_xll.DBRW($G$15,$H$21,$H$22,S$29,P$28,$H$24,$H$25,$G122,T$30)</f>
        <v>0</v>
      </c>
      <c r="U122" s="53">
        <f ca="1">_xll.DBRW($G$15,$H$21,$H$22,S$29,P$28,$H$24,$H$25,$G122,U$30)</f>
        <v>0</v>
      </c>
      <c r="V122" s="127">
        <f t="shared" ca="1" si="10"/>
        <v>0</v>
      </c>
      <c r="W122" s="128">
        <f t="shared" ca="1" si="11"/>
        <v>0</v>
      </c>
      <c r="X122" s="55">
        <f ca="1">_xll.DBRW($G$15,$H$21,$H$22,X$29,X$28,$H$24,$H$25,$G122,X$30)</f>
        <v>0</v>
      </c>
      <c r="Y122" s="52">
        <f ca="1">_xll.DBRW($G$15,$H$21,$H$22,X$29,X$28,$H$24,$H$25,$G122,Y$30)</f>
        <v>0</v>
      </c>
      <c r="Z122" s="52">
        <f ca="1">_xll.DBRW($G$15,$H$21,$H$22,X$29,X$28,$H$24,$H$25,$G122,Z$30)</f>
        <v>0</v>
      </c>
      <c r="AA122" s="52">
        <f ca="1">_xll.DBRW($G$15,$H$21,$H$22,AA$29,X$28,$H$24,$H$25,$G122,AA$30)</f>
        <v>0</v>
      </c>
      <c r="AB122" s="52">
        <f ca="1">_xll.DBRW($G$15,$H$21,$H$22,AA$29,X$28,$H$24,$H$25,$G122,AB$30)</f>
        <v>0</v>
      </c>
      <c r="AC122" s="53">
        <f ca="1">_xll.DBRW($G$15,$H$21,$H$22,AA$29,X$28,$H$24,$H$25,$G122,AC$30)</f>
        <v>0</v>
      </c>
      <c r="AD122" s="127">
        <f t="shared" ca="1" si="12"/>
        <v>0</v>
      </c>
      <c r="AE122" s="128">
        <f t="shared" ca="1" si="13"/>
        <v>0</v>
      </c>
      <c r="AF122" s="55">
        <f ca="1">_xll.DBRW($G$15,$H$21,$H$22,AF$29,AF$28,$H$24,$H$25,$G122,AF$30)</f>
        <v>0</v>
      </c>
      <c r="AG122" s="52">
        <f ca="1">_xll.DBRW($G$15,$H$21,$H$22,AF$29,AF$28,$H$24,$H$25,$G122,AG$30)</f>
        <v>0</v>
      </c>
      <c r="AH122" s="52">
        <f ca="1">_xll.DBRW($G$15,$H$21,$H$22,AF$29,AF$28,$H$24,$H$25,$G122,AH$30)</f>
        <v>0</v>
      </c>
      <c r="AI122" s="52">
        <f ca="1">_xll.DBRW($G$15,$H$21,$H$22,AI$29,AF$28,$H$24,$H$25,$G122,AI$30)</f>
        <v>0</v>
      </c>
      <c r="AJ122" s="52">
        <f ca="1">_xll.DBRW($G$15,$H$21,$H$22,AI$29,AF$28,$H$24,$H$25,$G122,AJ$30)</f>
        <v>0</v>
      </c>
      <c r="AK122" s="53">
        <f ca="1">_xll.DBRW($G$15,$H$21,$H$22,AI$29,AF$28,$H$24,$H$25,$G122,AK$30)</f>
        <v>0</v>
      </c>
      <c r="AL122" s="140">
        <f t="shared" ca="1" si="14"/>
        <v>0</v>
      </c>
      <c r="AM122" s="140">
        <f t="shared" ca="1" si="15"/>
        <v>0</v>
      </c>
    </row>
    <row r="123" spans="1:39">
      <c r="A123">
        <f ca="1">IF(_xll.TM1RPTELISCONSOLIDATED($G$31,$G123),IF(_xll.TM1RPTELLEV($G$31,$G123)&lt;=3,_xll.TM1RPTELLEV($G$31,$G123),"D"),"N")</f>
        <v>2</v>
      </c>
      <c r="G123" s="79" t="s">
        <v>277</v>
      </c>
      <c r="H123" s="52">
        <f ca="1">_xll.DBRW($G$15,$H$21,$H$22,H$29,H$28,$H$24,$H$25,$G123,H$30)</f>
        <v>0</v>
      </c>
      <c r="I123" s="52">
        <f ca="1">_xll.DBRW($G$15,$H$21,$H$22,H$29,H$28,$H$24,$H$25,$G123,I$30)</f>
        <v>0</v>
      </c>
      <c r="J123" s="52">
        <f ca="1">_xll.DBRW($G$15,$H$21,$H$22,H$29,H$28,$H$24,$H$25,$G123,J$30)</f>
        <v>0</v>
      </c>
      <c r="K123" s="52">
        <f ca="1">_xll.DBRW($G$15,$H$21,$H$22,K$29,H$28,$H$24,$H$25,$G123,K$30)</f>
        <v>0</v>
      </c>
      <c r="L123" s="52">
        <f ca="1">_xll.DBRW($G$15,$H$21,$H$22,K$29,H$28,$H$24,$H$25,$G123,L$30)</f>
        <v>0</v>
      </c>
      <c r="M123" s="53">
        <f ca="1">_xll.DBRW($G$15,$H$21,$H$22,K$29,H$28,$H$24,$H$25,$G123,M$30)</f>
        <v>0</v>
      </c>
      <c r="N123" s="127">
        <f t="shared" ca="1" si="8"/>
        <v>0</v>
      </c>
      <c r="O123" s="128">
        <f t="shared" ca="1" si="9"/>
        <v>0</v>
      </c>
      <c r="P123" s="55">
        <f ca="1">_xll.DBRW($G$15,$H$21,$H$22,P$29,P$28,$H$24,$H$25,$G123,P$30)</f>
        <v>0</v>
      </c>
      <c r="Q123" s="52">
        <f ca="1">_xll.DBRW($G$15,$H$21,$H$22,P$29,P$28,$H$24,$H$25,$G123,Q$30)</f>
        <v>0</v>
      </c>
      <c r="R123" s="52">
        <f ca="1">_xll.DBRW($G$15,$H$21,$H$22,P$29,P$28,$H$24,$H$25,$G123,R$30)</f>
        <v>0</v>
      </c>
      <c r="S123" s="52">
        <f ca="1">_xll.DBRW($G$15,$H$21,$H$22,S$29,P$28,$H$24,$H$25,$G123,S$30)</f>
        <v>0</v>
      </c>
      <c r="T123" s="52">
        <f ca="1">_xll.DBRW($G$15,$H$21,$H$22,S$29,P$28,$H$24,$H$25,$G123,T$30)</f>
        <v>0</v>
      </c>
      <c r="U123" s="53">
        <f ca="1">_xll.DBRW($G$15,$H$21,$H$22,S$29,P$28,$H$24,$H$25,$G123,U$30)</f>
        <v>0</v>
      </c>
      <c r="V123" s="127">
        <f t="shared" ca="1" si="10"/>
        <v>0</v>
      </c>
      <c r="W123" s="128">
        <f t="shared" ca="1" si="11"/>
        <v>0</v>
      </c>
      <c r="X123" s="55">
        <f ca="1">_xll.DBRW($G$15,$H$21,$H$22,X$29,X$28,$H$24,$H$25,$G123,X$30)</f>
        <v>0</v>
      </c>
      <c r="Y123" s="52">
        <f ca="1">_xll.DBRW($G$15,$H$21,$H$22,X$29,X$28,$H$24,$H$25,$G123,Y$30)</f>
        <v>0</v>
      </c>
      <c r="Z123" s="52">
        <f ca="1">_xll.DBRW($G$15,$H$21,$H$22,X$29,X$28,$H$24,$H$25,$G123,Z$30)</f>
        <v>0</v>
      </c>
      <c r="AA123" s="52">
        <f ca="1">_xll.DBRW($G$15,$H$21,$H$22,AA$29,X$28,$H$24,$H$25,$G123,AA$30)</f>
        <v>0</v>
      </c>
      <c r="AB123" s="52">
        <f ca="1">_xll.DBRW($G$15,$H$21,$H$22,AA$29,X$28,$H$24,$H$25,$G123,AB$30)</f>
        <v>0</v>
      </c>
      <c r="AC123" s="53">
        <f ca="1">_xll.DBRW($G$15,$H$21,$H$22,AA$29,X$28,$H$24,$H$25,$G123,AC$30)</f>
        <v>0</v>
      </c>
      <c r="AD123" s="127">
        <f t="shared" ca="1" si="12"/>
        <v>0</v>
      </c>
      <c r="AE123" s="128">
        <f t="shared" ca="1" si="13"/>
        <v>0</v>
      </c>
      <c r="AF123" s="55">
        <f ca="1">_xll.DBRW($G$15,$H$21,$H$22,AF$29,AF$28,$H$24,$H$25,$G123,AF$30)</f>
        <v>0</v>
      </c>
      <c r="AG123" s="52">
        <f ca="1">_xll.DBRW($G$15,$H$21,$H$22,AF$29,AF$28,$H$24,$H$25,$G123,AG$30)</f>
        <v>0</v>
      </c>
      <c r="AH123" s="52">
        <f ca="1">_xll.DBRW($G$15,$H$21,$H$22,AF$29,AF$28,$H$24,$H$25,$G123,AH$30)</f>
        <v>0</v>
      </c>
      <c r="AI123" s="52">
        <f ca="1">_xll.DBRW($G$15,$H$21,$H$22,AI$29,AF$28,$H$24,$H$25,$G123,AI$30)</f>
        <v>0</v>
      </c>
      <c r="AJ123" s="52">
        <f ca="1">_xll.DBRW($G$15,$H$21,$H$22,AI$29,AF$28,$H$24,$H$25,$G123,AJ$30)</f>
        <v>0</v>
      </c>
      <c r="AK123" s="53">
        <f ca="1">_xll.DBRW($G$15,$H$21,$H$22,AI$29,AF$28,$H$24,$H$25,$G123,AK$30)</f>
        <v>0</v>
      </c>
      <c r="AL123" s="140">
        <f t="shared" ca="1" si="14"/>
        <v>0</v>
      </c>
      <c r="AM123" s="140">
        <f t="shared" ca="1" si="15"/>
        <v>0</v>
      </c>
    </row>
    <row r="124" spans="1:39">
      <c r="A124">
        <f ca="1">IF(_xll.TM1RPTELISCONSOLIDATED($G$31,$G124),IF(_xll.TM1RPTELLEV($G$31,$G124)&lt;=3,_xll.TM1RPTELLEV($G$31,$G124),"D"),"N")</f>
        <v>2</v>
      </c>
      <c r="G124" s="79" t="s">
        <v>278</v>
      </c>
      <c r="H124" s="52">
        <f ca="1">_xll.DBRW($G$15,$H$21,$H$22,H$29,H$28,$H$24,$H$25,$G124,H$30)</f>
        <v>0</v>
      </c>
      <c r="I124" s="52">
        <f ca="1">_xll.DBRW($G$15,$H$21,$H$22,H$29,H$28,$H$24,$H$25,$G124,I$30)</f>
        <v>0</v>
      </c>
      <c r="J124" s="52">
        <f ca="1">_xll.DBRW($G$15,$H$21,$H$22,H$29,H$28,$H$24,$H$25,$G124,J$30)</f>
        <v>0</v>
      </c>
      <c r="K124" s="52">
        <f ca="1">_xll.DBRW($G$15,$H$21,$H$22,K$29,H$28,$H$24,$H$25,$G124,K$30)</f>
        <v>0</v>
      </c>
      <c r="L124" s="52">
        <f ca="1">_xll.DBRW($G$15,$H$21,$H$22,K$29,H$28,$H$24,$H$25,$G124,L$30)</f>
        <v>0</v>
      </c>
      <c r="M124" s="53">
        <f ca="1">_xll.DBRW($G$15,$H$21,$H$22,K$29,H$28,$H$24,$H$25,$G124,M$30)</f>
        <v>0</v>
      </c>
      <c r="N124" s="127">
        <f t="shared" ca="1" si="8"/>
        <v>0</v>
      </c>
      <c r="O124" s="128">
        <f t="shared" ca="1" si="9"/>
        <v>0</v>
      </c>
      <c r="P124" s="55">
        <f ca="1">_xll.DBRW($G$15,$H$21,$H$22,P$29,P$28,$H$24,$H$25,$G124,P$30)</f>
        <v>0</v>
      </c>
      <c r="Q124" s="52">
        <f ca="1">_xll.DBRW($G$15,$H$21,$H$22,P$29,P$28,$H$24,$H$25,$G124,Q$30)</f>
        <v>0</v>
      </c>
      <c r="R124" s="52">
        <f ca="1">_xll.DBRW($G$15,$H$21,$H$22,P$29,P$28,$H$24,$H$25,$G124,R$30)</f>
        <v>0</v>
      </c>
      <c r="S124" s="52">
        <f ca="1">_xll.DBRW($G$15,$H$21,$H$22,S$29,P$28,$H$24,$H$25,$G124,S$30)</f>
        <v>0</v>
      </c>
      <c r="T124" s="52">
        <f ca="1">_xll.DBRW($G$15,$H$21,$H$22,S$29,P$28,$H$24,$H$25,$G124,T$30)</f>
        <v>0</v>
      </c>
      <c r="U124" s="53">
        <f ca="1">_xll.DBRW($G$15,$H$21,$H$22,S$29,P$28,$H$24,$H$25,$G124,U$30)</f>
        <v>0</v>
      </c>
      <c r="V124" s="127">
        <f t="shared" ca="1" si="10"/>
        <v>0</v>
      </c>
      <c r="W124" s="128">
        <f t="shared" ca="1" si="11"/>
        <v>0</v>
      </c>
      <c r="X124" s="55">
        <f ca="1">_xll.DBRW($G$15,$H$21,$H$22,X$29,X$28,$H$24,$H$25,$G124,X$30)</f>
        <v>0</v>
      </c>
      <c r="Y124" s="52">
        <f ca="1">_xll.DBRW($G$15,$H$21,$H$22,X$29,X$28,$H$24,$H$25,$G124,Y$30)</f>
        <v>0</v>
      </c>
      <c r="Z124" s="52">
        <f ca="1">_xll.DBRW($G$15,$H$21,$H$22,X$29,X$28,$H$24,$H$25,$G124,Z$30)</f>
        <v>0</v>
      </c>
      <c r="AA124" s="52">
        <f ca="1">_xll.DBRW($G$15,$H$21,$H$22,AA$29,X$28,$H$24,$H$25,$G124,AA$30)</f>
        <v>0</v>
      </c>
      <c r="AB124" s="52">
        <f ca="1">_xll.DBRW($G$15,$H$21,$H$22,AA$29,X$28,$H$24,$H$25,$G124,AB$30)</f>
        <v>0</v>
      </c>
      <c r="AC124" s="53">
        <f ca="1">_xll.DBRW($G$15,$H$21,$H$22,AA$29,X$28,$H$24,$H$25,$G124,AC$30)</f>
        <v>0</v>
      </c>
      <c r="AD124" s="127">
        <f t="shared" ca="1" si="12"/>
        <v>0</v>
      </c>
      <c r="AE124" s="128">
        <f t="shared" ca="1" si="13"/>
        <v>0</v>
      </c>
      <c r="AF124" s="55">
        <f ca="1">_xll.DBRW($G$15,$H$21,$H$22,AF$29,AF$28,$H$24,$H$25,$G124,AF$30)</f>
        <v>0</v>
      </c>
      <c r="AG124" s="52">
        <f ca="1">_xll.DBRW($G$15,$H$21,$H$22,AF$29,AF$28,$H$24,$H$25,$G124,AG$30)</f>
        <v>0</v>
      </c>
      <c r="AH124" s="52">
        <f ca="1">_xll.DBRW($G$15,$H$21,$H$22,AF$29,AF$28,$H$24,$H$25,$G124,AH$30)</f>
        <v>0</v>
      </c>
      <c r="AI124" s="52">
        <f ca="1">_xll.DBRW($G$15,$H$21,$H$22,AI$29,AF$28,$H$24,$H$25,$G124,AI$30)</f>
        <v>0</v>
      </c>
      <c r="AJ124" s="52">
        <f ca="1">_xll.DBRW($G$15,$H$21,$H$22,AI$29,AF$28,$H$24,$H$25,$G124,AJ$30)</f>
        <v>0</v>
      </c>
      <c r="AK124" s="53">
        <f ca="1">_xll.DBRW($G$15,$H$21,$H$22,AI$29,AF$28,$H$24,$H$25,$G124,AK$30)</f>
        <v>0</v>
      </c>
      <c r="AL124" s="140">
        <f t="shared" ca="1" si="14"/>
        <v>0</v>
      </c>
      <c r="AM124" s="140">
        <f t="shared" ca="1" si="15"/>
        <v>0</v>
      </c>
    </row>
    <row r="125" spans="1:39">
      <c r="A125">
        <f ca="1">IF(_xll.TM1RPTELISCONSOLIDATED($G$31,$G125),IF(_xll.TM1RPTELLEV($G$31,$G125)&lt;=3,_xll.TM1RPTELLEV($G$31,$G125),"D"),"N")</f>
        <v>1</v>
      </c>
      <c r="G125" s="78" t="s">
        <v>176</v>
      </c>
      <c r="H125" s="48">
        <f ca="1">_xll.DBRW($G$15,$H$21,$H$22,H$29,H$28,$H$24,$H$25,$G125,H$30)</f>
        <v>0</v>
      </c>
      <c r="I125" s="48">
        <f ca="1">_xll.DBRW($G$15,$H$21,$H$22,H$29,H$28,$H$24,$H$25,$G125,I$30)</f>
        <v>0</v>
      </c>
      <c r="J125" s="48">
        <f ca="1">_xll.DBRW($G$15,$H$21,$H$22,H$29,H$28,$H$24,$H$25,$G125,J$30)</f>
        <v>0</v>
      </c>
      <c r="K125" s="48">
        <f ca="1">_xll.DBRW($G$15,$H$21,$H$22,K$29,H$28,$H$24,$H$25,$G125,K$30)</f>
        <v>0</v>
      </c>
      <c r="L125" s="48">
        <f ca="1">_xll.DBRW($G$15,$H$21,$H$22,K$29,H$28,$H$24,$H$25,$G125,L$30)</f>
        <v>0</v>
      </c>
      <c r="M125" s="49">
        <f ca="1">_xll.DBRW($G$15,$H$21,$H$22,K$29,H$28,$H$24,$H$25,$G125,M$30)</f>
        <v>0</v>
      </c>
      <c r="N125" s="125">
        <f t="shared" ca="1" si="8"/>
        <v>0</v>
      </c>
      <c r="O125" s="126">
        <f t="shared" ca="1" si="9"/>
        <v>0</v>
      </c>
      <c r="P125" s="51">
        <f ca="1">_xll.DBRW($G$15,$H$21,$H$22,P$29,P$28,$H$24,$H$25,$G125,P$30)</f>
        <v>0</v>
      </c>
      <c r="Q125" s="48">
        <f ca="1">_xll.DBRW($G$15,$H$21,$H$22,P$29,P$28,$H$24,$H$25,$G125,Q$30)</f>
        <v>0</v>
      </c>
      <c r="R125" s="48">
        <f ca="1">_xll.DBRW($G$15,$H$21,$H$22,P$29,P$28,$H$24,$H$25,$G125,R$30)</f>
        <v>0</v>
      </c>
      <c r="S125" s="48">
        <f ca="1">_xll.DBRW($G$15,$H$21,$H$22,S$29,P$28,$H$24,$H$25,$G125,S$30)</f>
        <v>0</v>
      </c>
      <c r="T125" s="48">
        <f ca="1">_xll.DBRW($G$15,$H$21,$H$22,S$29,P$28,$H$24,$H$25,$G125,T$30)</f>
        <v>0</v>
      </c>
      <c r="U125" s="49">
        <f ca="1">_xll.DBRW($G$15,$H$21,$H$22,S$29,P$28,$H$24,$H$25,$G125,U$30)</f>
        <v>0</v>
      </c>
      <c r="V125" s="125">
        <f t="shared" ca="1" si="10"/>
        <v>0</v>
      </c>
      <c r="W125" s="126">
        <f t="shared" ca="1" si="11"/>
        <v>0</v>
      </c>
      <c r="X125" s="51">
        <f ca="1">_xll.DBRW($G$15,$H$21,$H$22,X$29,X$28,$H$24,$H$25,$G125,X$30)</f>
        <v>0</v>
      </c>
      <c r="Y125" s="48">
        <f ca="1">_xll.DBRW($G$15,$H$21,$H$22,X$29,X$28,$H$24,$H$25,$G125,Y$30)</f>
        <v>0</v>
      </c>
      <c r="Z125" s="48">
        <f ca="1">_xll.DBRW($G$15,$H$21,$H$22,X$29,X$28,$H$24,$H$25,$G125,Z$30)</f>
        <v>0</v>
      </c>
      <c r="AA125" s="48">
        <f ca="1">_xll.DBRW($G$15,$H$21,$H$22,AA$29,X$28,$H$24,$H$25,$G125,AA$30)</f>
        <v>0</v>
      </c>
      <c r="AB125" s="48">
        <f ca="1">_xll.DBRW($G$15,$H$21,$H$22,AA$29,X$28,$H$24,$H$25,$G125,AB$30)</f>
        <v>0</v>
      </c>
      <c r="AC125" s="49">
        <f ca="1">_xll.DBRW($G$15,$H$21,$H$22,AA$29,X$28,$H$24,$H$25,$G125,AC$30)</f>
        <v>0</v>
      </c>
      <c r="AD125" s="125">
        <f t="shared" ca="1" si="12"/>
        <v>0</v>
      </c>
      <c r="AE125" s="126">
        <f t="shared" ca="1" si="13"/>
        <v>0</v>
      </c>
      <c r="AF125" s="51">
        <f ca="1">_xll.DBRW($G$15,$H$21,$H$22,AF$29,AF$28,$H$24,$H$25,$G125,AF$30)</f>
        <v>0</v>
      </c>
      <c r="AG125" s="48">
        <f ca="1">_xll.DBRW($G$15,$H$21,$H$22,AF$29,AF$28,$H$24,$H$25,$G125,AG$30)</f>
        <v>0</v>
      </c>
      <c r="AH125" s="48">
        <f ca="1">_xll.DBRW($G$15,$H$21,$H$22,AF$29,AF$28,$H$24,$H$25,$G125,AH$30)</f>
        <v>0</v>
      </c>
      <c r="AI125" s="48">
        <f ca="1">_xll.DBRW($G$15,$H$21,$H$22,AI$29,AF$28,$H$24,$H$25,$G125,AI$30)</f>
        <v>0</v>
      </c>
      <c r="AJ125" s="48">
        <f ca="1">_xll.DBRW($G$15,$H$21,$H$22,AI$29,AF$28,$H$24,$H$25,$G125,AJ$30)</f>
        <v>0</v>
      </c>
      <c r="AK125" s="49">
        <f ca="1">_xll.DBRW($G$15,$H$21,$H$22,AI$29,AF$28,$H$24,$H$25,$G125,AK$30)</f>
        <v>0</v>
      </c>
      <c r="AL125" s="140">
        <f t="shared" ca="1" si="14"/>
        <v>0</v>
      </c>
      <c r="AM125" s="140">
        <f t="shared" ca="1" si="15"/>
        <v>0</v>
      </c>
    </row>
    <row r="126" spans="1:39">
      <c r="A126">
        <f ca="1">IF(_xll.TM1RPTELISCONSOLIDATED($G$31,$G126),IF(_xll.TM1RPTELLEV($G$31,$G126)&lt;=3,_xll.TM1RPTELLEV($G$31,$G126),"D"),"N")</f>
        <v>2</v>
      </c>
      <c r="G126" s="79" t="s">
        <v>279</v>
      </c>
      <c r="H126" s="52">
        <f ca="1">_xll.DBRW($G$15,$H$21,$H$22,H$29,H$28,$H$24,$H$25,$G126,H$30)</f>
        <v>0</v>
      </c>
      <c r="I126" s="52">
        <f ca="1">_xll.DBRW($G$15,$H$21,$H$22,H$29,H$28,$H$24,$H$25,$G126,I$30)</f>
        <v>0</v>
      </c>
      <c r="J126" s="52">
        <f ca="1">_xll.DBRW($G$15,$H$21,$H$22,H$29,H$28,$H$24,$H$25,$G126,J$30)</f>
        <v>0</v>
      </c>
      <c r="K126" s="52">
        <f ca="1">_xll.DBRW($G$15,$H$21,$H$22,K$29,H$28,$H$24,$H$25,$G126,K$30)</f>
        <v>0</v>
      </c>
      <c r="L126" s="52">
        <f ca="1">_xll.DBRW($G$15,$H$21,$H$22,K$29,H$28,$H$24,$H$25,$G126,L$30)</f>
        <v>0</v>
      </c>
      <c r="M126" s="53">
        <f ca="1">_xll.DBRW($G$15,$H$21,$H$22,K$29,H$28,$H$24,$H$25,$G126,M$30)</f>
        <v>0</v>
      </c>
      <c r="N126" s="127">
        <f t="shared" ca="1" si="8"/>
        <v>0</v>
      </c>
      <c r="O126" s="128">
        <f t="shared" ca="1" si="9"/>
        <v>0</v>
      </c>
      <c r="P126" s="55">
        <f ca="1">_xll.DBRW($G$15,$H$21,$H$22,P$29,P$28,$H$24,$H$25,$G126,P$30)</f>
        <v>0</v>
      </c>
      <c r="Q126" s="52">
        <f ca="1">_xll.DBRW($G$15,$H$21,$H$22,P$29,P$28,$H$24,$H$25,$G126,Q$30)</f>
        <v>0</v>
      </c>
      <c r="R126" s="52">
        <f ca="1">_xll.DBRW($G$15,$H$21,$H$22,P$29,P$28,$H$24,$H$25,$G126,R$30)</f>
        <v>0</v>
      </c>
      <c r="S126" s="52">
        <f ca="1">_xll.DBRW($G$15,$H$21,$H$22,S$29,P$28,$H$24,$H$25,$G126,S$30)</f>
        <v>0</v>
      </c>
      <c r="T126" s="52">
        <f ca="1">_xll.DBRW($G$15,$H$21,$H$22,S$29,P$28,$H$24,$H$25,$G126,T$30)</f>
        <v>0</v>
      </c>
      <c r="U126" s="53">
        <f ca="1">_xll.DBRW($G$15,$H$21,$H$22,S$29,P$28,$H$24,$H$25,$G126,U$30)</f>
        <v>0</v>
      </c>
      <c r="V126" s="127">
        <f t="shared" ca="1" si="10"/>
        <v>0</v>
      </c>
      <c r="W126" s="128">
        <f t="shared" ca="1" si="11"/>
        <v>0</v>
      </c>
      <c r="X126" s="55">
        <f ca="1">_xll.DBRW($G$15,$H$21,$H$22,X$29,X$28,$H$24,$H$25,$G126,X$30)</f>
        <v>0</v>
      </c>
      <c r="Y126" s="52">
        <f ca="1">_xll.DBRW($G$15,$H$21,$H$22,X$29,X$28,$H$24,$H$25,$G126,Y$30)</f>
        <v>0</v>
      </c>
      <c r="Z126" s="52">
        <f ca="1">_xll.DBRW($G$15,$H$21,$H$22,X$29,X$28,$H$24,$H$25,$G126,Z$30)</f>
        <v>0</v>
      </c>
      <c r="AA126" s="52">
        <f ca="1">_xll.DBRW($G$15,$H$21,$H$22,AA$29,X$28,$H$24,$H$25,$G126,AA$30)</f>
        <v>0</v>
      </c>
      <c r="AB126" s="52">
        <f ca="1">_xll.DBRW($G$15,$H$21,$H$22,AA$29,X$28,$H$24,$H$25,$G126,AB$30)</f>
        <v>0</v>
      </c>
      <c r="AC126" s="53">
        <f ca="1">_xll.DBRW($G$15,$H$21,$H$22,AA$29,X$28,$H$24,$H$25,$G126,AC$30)</f>
        <v>0</v>
      </c>
      <c r="AD126" s="127">
        <f t="shared" ca="1" si="12"/>
        <v>0</v>
      </c>
      <c r="AE126" s="128">
        <f t="shared" ca="1" si="13"/>
        <v>0</v>
      </c>
      <c r="AF126" s="55">
        <f ca="1">_xll.DBRW($G$15,$H$21,$H$22,AF$29,AF$28,$H$24,$H$25,$G126,AF$30)</f>
        <v>0</v>
      </c>
      <c r="AG126" s="52">
        <f ca="1">_xll.DBRW($G$15,$H$21,$H$22,AF$29,AF$28,$H$24,$H$25,$G126,AG$30)</f>
        <v>0</v>
      </c>
      <c r="AH126" s="52">
        <f ca="1">_xll.DBRW($G$15,$H$21,$H$22,AF$29,AF$28,$H$24,$H$25,$G126,AH$30)</f>
        <v>0</v>
      </c>
      <c r="AI126" s="52">
        <f ca="1">_xll.DBRW($G$15,$H$21,$H$22,AI$29,AF$28,$H$24,$H$25,$G126,AI$30)</f>
        <v>0</v>
      </c>
      <c r="AJ126" s="52">
        <f ca="1">_xll.DBRW($G$15,$H$21,$H$22,AI$29,AF$28,$H$24,$H$25,$G126,AJ$30)</f>
        <v>0</v>
      </c>
      <c r="AK126" s="53">
        <f ca="1">_xll.DBRW($G$15,$H$21,$H$22,AI$29,AF$28,$H$24,$H$25,$G126,AK$30)</f>
        <v>0</v>
      </c>
      <c r="AL126" s="140">
        <f t="shared" ca="1" si="14"/>
        <v>0</v>
      </c>
      <c r="AM126" s="140">
        <f t="shared" ca="1" si="15"/>
        <v>0</v>
      </c>
    </row>
    <row r="127" spans="1:39">
      <c r="A127">
        <f ca="1">IF(_xll.TM1RPTELISCONSOLIDATED($G$31,$G127),IF(_xll.TM1RPTELLEV($G$31,$G127)&lt;=3,_xll.TM1RPTELLEV($G$31,$G127),"D"),"N")</f>
        <v>2</v>
      </c>
      <c r="G127" s="79" t="s">
        <v>280</v>
      </c>
      <c r="H127" s="52">
        <f ca="1">_xll.DBRW($G$15,$H$21,$H$22,H$29,H$28,$H$24,$H$25,$G127,H$30)</f>
        <v>0</v>
      </c>
      <c r="I127" s="52">
        <f ca="1">_xll.DBRW($G$15,$H$21,$H$22,H$29,H$28,$H$24,$H$25,$G127,I$30)</f>
        <v>0</v>
      </c>
      <c r="J127" s="52">
        <f ca="1">_xll.DBRW($G$15,$H$21,$H$22,H$29,H$28,$H$24,$H$25,$G127,J$30)</f>
        <v>0</v>
      </c>
      <c r="K127" s="52">
        <f ca="1">_xll.DBRW($G$15,$H$21,$H$22,K$29,H$28,$H$24,$H$25,$G127,K$30)</f>
        <v>0</v>
      </c>
      <c r="L127" s="52">
        <f ca="1">_xll.DBRW($G$15,$H$21,$H$22,K$29,H$28,$H$24,$H$25,$G127,L$30)</f>
        <v>0</v>
      </c>
      <c r="M127" s="53">
        <f ca="1">_xll.DBRW($G$15,$H$21,$H$22,K$29,H$28,$H$24,$H$25,$G127,M$30)</f>
        <v>0</v>
      </c>
      <c r="N127" s="127">
        <f t="shared" ca="1" si="8"/>
        <v>0</v>
      </c>
      <c r="O127" s="128">
        <f t="shared" ca="1" si="9"/>
        <v>0</v>
      </c>
      <c r="P127" s="55">
        <f ca="1">_xll.DBRW($G$15,$H$21,$H$22,P$29,P$28,$H$24,$H$25,$G127,P$30)</f>
        <v>0</v>
      </c>
      <c r="Q127" s="52">
        <f ca="1">_xll.DBRW($G$15,$H$21,$H$22,P$29,P$28,$H$24,$H$25,$G127,Q$30)</f>
        <v>0</v>
      </c>
      <c r="R127" s="52">
        <f ca="1">_xll.DBRW($G$15,$H$21,$H$22,P$29,P$28,$H$24,$H$25,$G127,R$30)</f>
        <v>0</v>
      </c>
      <c r="S127" s="52">
        <f ca="1">_xll.DBRW($G$15,$H$21,$H$22,S$29,P$28,$H$24,$H$25,$G127,S$30)</f>
        <v>0</v>
      </c>
      <c r="T127" s="52">
        <f ca="1">_xll.DBRW($G$15,$H$21,$H$22,S$29,P$28,$H$24,$H$25,$G127,T$30)</f>
        <v>0</v>
      </c>
      <c r="U127" s="53">
        <f ca="1">_xll.DBRW($G$15,$H$21,$H$22,S$29,P$28,$H$24,$H$25,$G127,U$30)</f>
        <v>0</v>
      </c>
      <c r="V127" s="127">
        <f t="shared" ca="1" si="10"/>
        <v>0</v>
      </c>
      <c r="W127" s="128">
        <f t="shared" ca="1" si="11"/>
        <v>0</v>
      </c>
      <c r="X127" s="55">
        <f ca="1">_xll.DBRW($G$15,$H$21,$H$22,X$29,X$28,$H$24,$H$25,$G127,X$30)</f>
        <v>0</v>
      </c>
      <c r="Y127" s="52">
        <f ca="1">_xll.DBRW($G$15,$H$21,$H$22,X$29,X$28,$H$24,$H$25,$G127,Y$30)</f>
        <v>0</v>
      </c>
      <c r="Z127" s="52">
        <f ca="1">_xll.DBRW($G$15,$H$21,$H$22,X$29,X$28,$H$24,$H$25,$G127,Z$30)</f>
        <v>0</v>
      </c>
      <c r="AA127" s="52">
        <f ca="1">_xll.DBRW($G$15,$H$21,$H$22,AA$29,X$28,$H$24,$H$25,$G127,AA$30)</f>
        <v>0</v>
      </c>
      <c r="AB127" s="52">
        <f ca="1">_xll.DBRW($G$15,$H$21,$H$22,AA$29,X$28,$H$24,$H$25,$G127,AB$30)</f>
        <v>0</v>
      </c>
      <c r="AC127" s="53">
        <f ca="1">_xll.DBRW($G$15,$H$21,$H$22,AA$29,X$28,$H$24,$H$25,$G127,AC$30)</f>
        <v>0</v>
      </c>
      <c r="AD127" s="127">
        <f t="shared" ca="1" si="12"/>
        <v>0</v>
      </c>
      <c r="AE127" s="128">
        <f t="shared" ca="1" si="13"/>
        <v>0</v>
      </c>
      <c r="AF127" s="55">
        <f ca="1">_xll.DBRW($G$15,$H$21,$H$22,AF$29,AF$28,$H$24,$H$25,$G127,AF$30)</f>
        <v>0</v>
      </c>
      <c r="AG127" s="52">
        <f ca="1">_xll.DBRW($G$15,$H$21,$H$22,AF$29,AF$28,$H$24,$H$25,$G127,AG$30)</f>
        <v>0</v>
      </c>
      <c r="AH127" s="52">
        <f ca="1">_xll.DBRW($G$15,$H$21,$H$22,AF$29,AF$28,$H$24,$H$25,$G127,AH$30)</f>
        <v>0</v>
      </c>
      <c r="AI127" s="52">
        <f ca="1">_xll.DBRW($G$15,$H$21,$H$22,AI$29,AF$28,$H$24,$H$25,$G127,AI$30)</f>
        <v>0</v>
      </c>
      <c r="AJ127" s="52">
        <f ca="1">_xll.DBRW($G$15,$H$21,$H$22,AI$29,AF$28,$H$24,$H$25,$G127,AJ$30)</f>
        <v>0</v>
      </c>
      <c r="AK127" s="53">
        <f ca="1">_xll.DBRW($G$15,$H$21,$H$22,AI$29,AF$28,$H$24,$H$25,$G127,AK$30)</f>
        <v>0</v>
      </c>
      <c r="AL127" s="140">
        <f t="shared" ca="1" si="14"/>
        <v>0</v>
      </c>
      <c r="AM127" s="140">
        <f t="shared" ca="1" si="15"/>
        <v>0</v>
      </c>
    </row>
    <row r="128" spans="1:39">
      <c r="A128">
        <f ca="1">IF(_xll.TM1RPTELISCONSOLIDATED($G$31,$G128),IF(_xll.TM1RPTELLEV($G$31,$G128)&lt;=3,_xll.TM1RPTELLEV($G$31,$G128),"D"),"N")</f>
        <v>2</v>
      </c>
      <c r="G128" s="79" t="s">
        <v>281</v>
      </c>
      <c r="H128" s="52">
        <f ca="1">_xll.DBRW($G$15,$H$21,$H$22,H$29,H$28,$H$24,$H$25,$G128,H$30)</f>
        <v>0</v>
      </c>
      <c r="I128" s="52">
        <f ca="1">_xll.DBRW($G$15,$H$21,$H$22,H$29,H$28,$H$24,$H$25,$G128,I$30)</f>
        <v>0</v>
      </c>
      <c r="J128" s="52">
        <f ca="1">_xll.DBRW($G$15,$H$21,$H$22,H$29,H$28,$H$24,$H$25,$G128,J$30)</f>
        <v>0</v>
      </c>
      <c r="K128" s="52">
        <f ca="1">_xll.DBRW($G$15,$H$21,$H$22,K$29,H$28,$H$24,$H$25,$G128,K$30)</f>
        <v>0</v>
      </c>
      <c r="L128" s="52">
        <f ca="1">_xll.DBRW($G$15,$H$21,$H$22,K$29,H$28,$H$24,$H$25,$G128,L$30)</f>
        <v>0</v>
      </c>
      <c r="M128" s="53">
        <f ca="1">_xll.DBRW($G$15,$H$21,$H$22,K$29,H$28,$H$24,$H$25,$G128,M$30)</f>
        <v>0</v>
      </c>
      <c r="N128" s="127">
        <f t="shared" ca="1" si="8"/>
        <v>0</v>
      </c>
      <c r="O128" s="128">
        <f t="shared" ca="1" si="9"/>
        <v>0</v>
      </c>
      <c r="P128" s="55">
        <f ca="1">_xll.DBRW($G$15,$H$21,$H$22,P$29,P$28,$H$24,$H$25,$G128,P$30)</f>
        <v>0</v>
      </c>
      <c r="Q128" s="52">
        <f ca="1">_xll.DBRW($G$15,$H$21,$H$22,P$29,P$28,$H$24,$H$25,$G128,Q$30)</f>
        <v>0</v>
      </c>
      <c r="R128" s="52">
        <f ca="1">_xll.DBRW($G$15,$H$21,$H$22,P$29,P$28,$H$24,$H$25,$G128,R$30)</f>
        <v>0</v>
      </c>
      <c r="S128" s="52">
        <f ca="1">_xll.DBRW($G$15,$H$21,$H$22,S$29,P$28,$H$24,$H$25,$G128,S$30)</f>
        <v>0</v>
      </c>
      <c r="T128" s="52">
        <f ca="1">_xll.DBRW($G$15,$H$21,$H$22,S$29,P$28,$H$24,$H$25,$G128,T$30)</f>
        <v>0</v>
      </c>
      <c r="U128" s="53">
        <f ca="1">_xll.DBRW($G$15,$H$21,$H$22,S$29,P$28,$H$24,$H$25,$G128,U$30)</f>
        <v>0</v>
      </c>
      <c r="V128" s="127">
        <f t="shared" ca="1" si="10"/>
        <v>0</v>
      </c>
      <c r="W128" s="128">
        <f t="shared" ca="1" si="11"/>
        <v>0</v>
      </c>
      <c r="X128" s="55">
        <f ca="1">_xll.DBRW($G$15,$H$21,$H$22,X$29,X$28,$H$24,$H$25,$G128,X$30)</f>
        <v>0</v>
      </c>
      <c r="Y128" s="52">
        <f ca="1">_xll.DBRW($G$15,$H$21,$H$22,X$29,X$28,$H$24,$H$25,$G128,Y$30)</f>
        <v>0</v>
      </c>
      <c r="Z128" s="52">
        <f ca="1">_xll.DBRW($G$15,$H$21,$H$22,X$29,X$28,$H$24,$H$25,$G128,Z$30)</f>
        <v>0</v>
      </c>
      <c r="AA128" s="52">
        <f ca="1">_xll.DBRW($G$15,$H$21,$H$22,AA$29,X$28,$H$24,$H$25,$G128,AA$30)</f>
        <v>0</v>
      </c>
      <c r="AB128" s="52">
        <f ca="1">_xll.DBRW($G$15,$H$21,$H$22,AA$29,X$28,$H$24,$H$25,$G128,AB$30)</f>
        <v>0</v>
      </c>
      <c r="AC128" s="53">
        <f ca="1">_xll.DBRW($G$15,$H$21,$H$22,AA$29,X$28,$H$24,$H$25,$G128,AC$30)</f>
        <v>0</v>
      </c>
      <c r="AD128" s="127">
        <f t="shared" ca="1" si="12"/>
        <v>0</v>
      </c>
      <c r="AE128" s="128">
        <f t="shared" ca="1" si="13"/>
        <v>0</v>
      </c>
      <c r="AF128" s="55">
        <f ca="1">_xll.DBRW($G$15,$H$21,$H$22,AF$29,AF$28,$H$24,$H$25,$G128,AF$30)</f>
        <v>0</v>
      </c>
      <c r="AG128" s="52">
        <f ca="1">_xll.DBRW($G$15,$H$21,$H$22,AF$29,AF$28,$H$24,$H$25,$G128,AG$30)</f>
        <v>0</v>
      </c>
      <c r="AH128" s="52">
        <f ca="1">_xll.DBRW($G$15,$H$21,$H$22,AF$29,AF$28,$H$24,$H$25,$G128,AH$30)</f>
        <v>0</v>
      </c>
      <c r="AI128" s="52">
        <f ca="1">_xll.DBRW($G$15,$H$21,$H$22,AI$29,AF$28,$H$24,$H$25,$G128,AI$30)</f>
        <v>0</v>
      </c>
      <c r="AJ128" s="52">
        <f ca="1">_xll.DBRW($G$15,$H$21,$H$22,AI$29,AF$28,$H$24,$H$25,$G128,AJ$30)</f>
        <v>0</v>
      </c>
      <c r="AK128" s="53">
        <f ca="1">_xll.DBRW($G$15,$H$21,$H$22,AI$29,AF$28,$H$24,$H$25,$G128,AK$30)</f>
        <v>0</v>
      </c>
      <c r="AL128" s="140">
        <f t="shared" ca="1" si="14"/>
        <v>0</v>
      </c>
      <c r="AM128" s="140">
        <f t="shared" ca="1" si="15"/>
        <v>0</v>
      </c>
    </row>
    <row r="129" spans="1:39">
      <c r="A129">
        <f ca="1">IF(_xll.TM1RPTELISCONSOLIDATED($G$31,$G129),IF(_xll.TM1RPTELLEV($G$31,$G129)&lt;=3,_xll.TM1RPTELLEV($G$31,$G129),"D"),"N")</f>
        <v>1</v>
      </c>
      <c r="G129" s="78" t="s">
        <v>177</v>
      </c>
      <c r="H129" s="48">
        <f ca="1">_xll.DBRW($G$15,$H$21,$H$22,H$29,H$28,$H$24,$H$25,$G129,H$30)</f>
        <v>0</v>
      </c>
      <c r="I129" s="48">
        <f ca="1">_xll.DBRW($G$15,$H$21,$H$22,H$29,H$28,$H$24,$H$25,$G129,I$30)</f>
        <v>0</v>
      </c>
      <c r="J129" s="48">
        <f ca="1">_xll.DBRW($G$15,$H$21,$H$22,H$29,H$28,$H$24,$H$25,$G129,J$30)</f>
        <v>0</v>
      </c>
      <c r="K129" s="48">
        <f ca="1">_xll.DBRW($G$15,$H$21,$H$22,K$29,H$28,$H$24,$H$25,$G129,K$30)</f>
        <v>0</v>
      </c>
      <c r="L129" s="48">
        <f ca="1">_xll.DBRW($G$15,$H$21,$H$22,K$29,H$28,$H$24,$H$25,$G129,L$30)</f>
        <v>0</v>
      </c>
      <c r="M129" s="49">
        <f ca="1">_xll.DBRW($G$15,$H$21,$H$22,K$29,H$28,$H$24,$H$25,$G129,M$30)</f>
        <v>0</v>
      </c>
      <c r="N129" s="125">
        <f t="shared" ca="1" si="8"/>
        <v>0</v>
      </c>
      <c r="O129" s="126">
        <f t="shared" ca="1" si="9"/>
        <v>0</v>
      </c>
      <c r="P129" s="51">
        <f ca="1">_xll.DBRW($G$15,$H$21,$H$22,P$29,P$28,$H$24,$H$25,$G129,P$30)</f>
        <v>0</v>
      </c>
      <c r="Q129" s="48">
        <f ca="1">_xll.DBRW($G$15,$H$21,$H$22,P$29,P$28,$H$24,$H$25,$G129,Q$30)</f>
        <v>0</v>
      </c>
      <c r="R129" s="48">
        <f ca="1">_xll.DBRW($G$15,$H$21,$H$22,P$29,P$28,$H$24,$H$25,$G129,R$30)</f>
        <v>0</v>
      </c>
      <c r="S129" s="48">
        <f ca="1">_xll.DBRW($G$15,$H$21,$H$22,S$29,P$28,$H$24,$H$25,$G129,S$30)</f>
        <v>0</v>
      </c>
      <c r="T129" s="48">
        <f ca="1">_xll.DBRW($G$15,$H$21,$H$22,S$29,P$28,$H$24,$H$25,$G129,T$30)</f>
        <v>0</v>
      </c>
      <c r="U129" s="49">
        <f ca="1">_xll.DBRW($G$15,$H$21,$H$22,S$29,P$28,$H$24,$H$25,$G129,U$30)</f>
        <v>0</v>
      </c>
      <c r="V129" s="125">
        <f t="shared" ca="1" si="10"/>
        <v>0</v>
      </c>
      <c r="W129" s="126">
        <f t="shared" ca="1" si="11"/>
        <v>0</v>
      </c>
      <c r="X129" s="51">
        <f ca="1">_xll.DBRW($G$15,$H$21,$H$22,X$29,X$28,$H$24,$H$25,$G129,X$30)</f>
        <v>0</v>
      </c>
      <c r="Y129" s="48">
        <f ca="1">_xll.DBRW($G$15,$H$21,$H$22,X$29,X$28,$H$24,$H$25,$G129,Y$30)</f>
        <v>0</v>
      </c>
      <c r="Z129" s="48">
        <f ca="1">_xll.DBRW($G$15,$H$21,$H$22,X$29,X$28,$H$24,$H$25,$G129,Z$30)</f>
        <v>0</v>
      </c>
      <c r="AA129" s="48">
        <f ca="1">_xll.DBRW($G$15,$H$21,$H$22,AA$29,X$28,$H$24,$H$25,$G129,AA$30)</f>
        <v>0</v>
      </c>
      <c r="AB129" s="48">
        <f ca="1">_xll.DBRW($G$15,$H$21,$H$22,AA$29,X$28,$H$24,$H$25,$G129,AB$30)</f>
        <v>0</v>
      </c>
      <c r="AC129" s="49">
        <f ca="1">_xll.DBRW($G$15,$H$21,$H$22,AA$29,X$28,$H$24,$H$25,$G129,AC$30)</f>
        <v>0</v>
      </c>
      <c r="AD129" s="125">
        <f t="shared" ca="1" si="12"/>
        <v>0</v>
      </c>
      <c r="AE129" s="126">
        <f t="shared" ca="1" si="13"/>
        <v>0</v>
      </c>
      <c r="AF129" s="51">
        <f ca="1">_xll.DBRW($G$15,$H$21,$H$22,AF$29,AF$28,$H$24,$H$25,$G129,AF$30)</f>
        <v>0</v>
      </c>
      <c r="AG129" s="48">
        <f ca="1">_xll.DBRW($G$15,$H$21,$H$22,AF$29,AF$28,$H$24,$H$25,$G129,AG$30)</f>
        <v>0</v>
      </c>
      <c r="AH129" s="48">
        <f ca="1">_xll.DBRW($G$15,$H$21,$H$22,AF$29,AF$28,$H$24,$H$25,$G129,AH$30)</f>
        <v>0</v>
      </c>
      <c r="AI129" s="48">
        <f ca="1">_xll.DBRW($G$15,$H$21,$H$22,AI$29,AF$28,$H$24,$H$25,$G129,AI$30)</f>
        <v>0</v>
      </c>
      <c r="AJ129" s="48">
        <f ca="1">_xll.DBRW($G$15,$H$21,$H$22,AI$29,AF$28,$H$24,$H$25,$G129,AJ$30)</f>
        <v>0</v>
      </c>
      <c r="AK129" s="49">
        <f ca="1">_xll.DBRW($G$15,$H$21,$H$22,AI$29,AF$28,$H$24,$H$25,$G129,AK$30)</f>
        <v>0</v>
      </c>
      <c r="AL129" s="140">
        <f t="shared" ca="1" si="14"/>
        <v>0</v>
      </c>
      <c r="AM129" s="140">
        <f t="shared" ca="1" si="15"/>
        <v>0</v>
      </c>
    </row>
    <row r="130" spans="1:39">
      <c r="A130">
        <f ca="1">IF(_xll.TM1RPTELISCONSOLIDATED($G$31,$G130),IF(_xll.TM1RPTELLEV($G$31,$G130)&lt;=3,_xll.TM1RPTELLEV($G$31,$G130),"D"),"N")</f>
        <v>2</v>
      </c>
      <c r="G130" s="80" t="s">
        <v>282</v>
      </c>
      <c r="H130" s="52">
        <f ca="1">_xll.DBRW($G$15,$H$21,$H$22,H$29,H$28,$H$24,$H$25,$G130,H$30)</f>
        <v>0</v>
      </c>
      <c r="I130" s="52">
        <f ca="1">_xll.DBRW($G$15,$H$21,$H$22,H$29,H$28,$H$24,$H$25,$G130,I$30)</f>
        <v>0</v>
      </c>
      <c r="J130" s="52">
        <f ca="1">_xll.DBRW($G$15,$H$21,$H$22,H$29,H$28,$H$24,$H$25,$G130,J$30)</f>
        <v>0</v>
      </c>
      <c r="K130" s="52">
        <f ca="1">_xll.DBRW($G$15,$H$21,$H$22,K$29,H$28,$H$24,$H$25,$G130,K$30)</f>
        <v>0</v>
      </c>
      <c r="L130" s="52">
        <f ca="1">_xll.DBRW($G$15,$H$21,$H$22,K$29,H$28,$H$24,$H$25,$G130,L$30)</f>
        <v>0</v>
      </c>
      <c r="M130" s="53">
        <f ca="1">_xll.DBRW($G$15,$H$21,$H$22,K$29,H$28,$H$24,$H$25,$G130,M$30)</f>
        <v>0</v>
      </c>
      <c r="N130" s="127">
        <f t="shared" ca="1" si="8"/>
        <v>0</v>
      </c>
      <c r="O130" s="128">
        <f t="shared" ca="1" si="9"/>
        <v>0</v>
      </c>
      <c r="P130" s="55">
        <f ca="1">_xll.DBRW($G$15,$H$21,$H$22,P$29,P$28,$H$24,$H$25,$G130,P$30)</f>
        <v>0</v>
      </c>
      <c r="Q130" s="52">
        <f ca="1">_xll.DBRW($G$15,$H$21,$H$22,P$29,P$28,$H$24,$H$25,$G130,Q$30)</f>
        <v>0</v>
      </c>
      <c r="R130" s="52">
        <f ca="1">_xll.DBRW($G$15,$H$21,$H$22,P$29,P$28,$H$24,$H$25,$G130,R$30)</f>
        <v>0</v>
      </c>
      <c r="S130" s="52">
        <f ca="1">_xll.DBRW($G$15,$H$21,$H$22,S$29,P$28,$H$24,$H$25,$G130,S$30)</f>
        <v>0</v>
      </c>
      <c r="T130" s="52">
        <f ca="1">_xll.DBRW($G$15,$H$21,$H$22,S$29,P$28,$H$24,$H$25,$G130,T$30)</f>
        <v>0</v>
      </c>
      <c r="U130" s="53">
        <f ca="1">_xll.DBRW($G$15,$H$21,$H$22,S$29,P$28,$H$24,$H$25,$G130,U$30)</f>
        <v>0</v>
      </c>
      <c r="V130" s="127">
        <f t="shared" ca="1" si="10"/>
        <v>0</v>
      </c>
      <c r="W130" s="128">
        <f t="shared" ca="1" si="11"/>
        <v>0</v>
      </c>
      <c r="X130" s="55">
        <f ca="1">_xll.DBRW($G$15,$H$21,$H$22,X$29,X$28,$H$24,$H$25,$G130,X$30)</f>
        <v>0</v>
      </c>
      <c r="Y130" s="52">
        <f ca="1">_xll.DBRW($G$15,$H$21,$H$22,X$29,X$28,$H$24,$H$25,$G130,Y$30)</f>
        <v>0</v>
      </c>
      <c r="Z130" s="52">
        <f ca="1">_xll.DBRW($G$15,$H$21,$H$22,X$29,X$28,$H$24,$H$25,$G130,Z$30)</f>
        <v>0</v>
      </c>
      <c r="AA130" s="52">
        <f ca="1">_xll.DBRW($G$15,$H$21,$H$22,AA$29,X$28,$H$24,$H$25,$G130,AA$30)</f>
        <v>0</v>
      </c>
      <c r="AB130" s="52">
        <f ca="1">_xll.DBRW($G$15,$H$21,$H$22,AA$29,X$28,$H$24,$H$25,$G130,AB$30)</f>
        <v>0</v>
      </c>
      <c r="AC130" s="53">
        <f ca="1">_xll.DBRW($G$15,$H$21,$H$22,AA$29,X$28,$H$24,$H$25,$G130,AC$30)</f>
        <v>0</v>
      </c>
      <c r="AD130" s="127">
        <f t="shared" ca="1" si="12"/>
        <v>0</v>
      </c>
      <c r="AE130" s="128">
        <f t="shared" ca="1" si="13"/>
        <v>0</v>
      </c>
      <c r="AF130" s="55">
        <f ca="1">_xll.DBRW($G$15,$H$21,$H$22,AF$29,AF$28,$H$24,$H$25,$G130,AF$30)</f>
        <v>0</v>
      </c>
      <c r="AG130" s="52">
        <f ca="1">_xll.DBRW($G$15,$H$21,$H$22,AF$29,AF$28,$H$24,$H$25,$G130,AG$30)</f>
        <v>0</v>
      </c>
      <c r="AH130" s="52">
        <f ca="1">_xll.DBRW($G$15,$H$21,$H$22,AF$29,AF$28,$H$24,$H$25,$G130,AH$30)</f>
        <v>0</v>
      </c>
      <c r="AI130" s="52">
        <f ca="1">_xll.DBRW($G$15,$H$21,$H$22,AI$29,AF$28,$H$24,$H$25,$G130,AI$30)</f>
        <v>0</v>
      </c>
      <c r="AJ130" s="52">
        <f ca="1">_xll.DBRW($G$15,$H$21,$H$22,AI$29,AF$28,$H$24,$H$25,$G130,AJ$30)</f>
        <v>0</v>
      </c>
      <c r="AK130" s="53">
        <f ca="1">_xll.DBRW($G$15,$H$21,$H$22,AI$29,AF$28,$H$24,$H$25,$G130,AK$30)</f>
        <v>0</v>
      </c>
      <c r="AL130" s="140">
        <f t="shared" ca="1" si="14"/>
        <v>0</v>
      </c>
      <c r="AM130" s="140">
        <f t="shared" ca="1" si="15"/>
        <v>0</v>
      </c>
    </row>
    <row r="131" spans="1:39">
      <c r="A131">
        <f ca="1">IF(_xll.TM1RPTELISCONSOLIDATED($G$31,$G131),IF(_xll.TM1RPTELLEV($G$31,$G131)&lt;=3,_xll.TM1RPTELLEV($G$31,$G131),"D"),"N")</f>
        <v>3</v>
      </c>
      <c r="G131" s="141" t="s">
        <v>283</v>
      </c>
      <c r="H131" s="129">
        <f ca="1">_xll.DBRW($G$15,$H$21,$H$22,H$29,H$28,$H$24,$H$25,$G131,H$30)</f>
        <v>0</v>
      </c>
      <c r="I131" s="129">
        <f ca="1">_xll.DBRW($G$15,$H$21,$H$22,H$29,H$28,$H$24,$H$25,$G131,I$30)</f>
        <v>0</v>
      </c>
      <c r="J131" s="129">
        <f ca="1">_xll.DBRW($G$15,$H$21,$H$22,H$29,H$28,$H$24,$H$25,$G131,J$30)</f>
        <v>0</v>
      </c>
      <c r="K131" s="129">
        <f ca="1">_xll.DBRW($G$15,$H$21,$H$22,K$29,H$28,$H$24,$H$25,$G131,K$30)</f>
        <v>0</v>
      </c>
      <c r="L131" s="129">
        <f ca="1">_xll.DBRW($G$15,$H$21,$H$22,K$29,H$28,$H$24,$H$25,$G131,L$30)</f>
        <v>0</v>
      </c>
      <c r="M131" s="130">
        <f ca="1">_xll.DBRW($G$15,$H$21,$H$22,K$29,H$28,$H$24,$H$25,$G131,M$30)</f>
        <v>0</v>
      </c>
      <c r="N131" s="131">
        <f t="shared" ca="1" si="8"/>
        <v>0</v>
      </c>
      <c r="O131" s="132">
        <f t="shared" ca="1" si="9"/>
        <v>0</v>
      </c>
      <c r="P131" s="133">
        <f ca="1">_xll.DBRW($G$15,$H$21,$H$22,P$29,P$28,$H$24,$H$25,$G131,P$30)</f>
        <v>0</v>
      </c>
      <c r="Q131" s="129">
        <f ca="1">_xll.DBRW($G$15,$H$21,$H$22,P$29,P$28,$H$24,$H$25,$G131,Q$30)</f>
        <v>0</v>
      </c>
      <c r="R131" s="129">
        <f ca="1">_xll.DBRW($G$15,$H$21,$H$22,P$29,P$28,$H$24,$H$25,$G131,R$30)</f>
        <v>0</v>
      </c>
      <c r="S131" s="129">
        <f ca="1">_xll.DBRW($G$15,$H$21,$H$22,S$29,P$28,$H$24,$H$25,$G131,S$30)</f>
        <v>0</v>
      </c>
      <c r="T131" s="129">
        <f ca="1">_xll.DBRW($G$15,$H$21,$H$22,S$29,P$28,$H$24,$H$25,$G131,T$30)</f>
        <v>0</v>
      </c>
      <c r="U131" s="130">
        <f ca="1">_xll.DBRW($G$15,$H$21,$H$22,S$29,P$28,$H$24,$H$25,$G131,U$30)</f>
        <v>0</v>
      </c>
      <c r="V131" s="131">
        <f t="shared" ca="1" si="10"/>
        <v>0</v>
      </c>
      <c r="W131" s="132">
        <f t="shared" ca="1" si="11"/>
        <v>0</v>
      </c>
      <c r="X131" s="133">
        <f ca="1">_xll.DBRW($G$15,$H$21,$H$22,X$29,X$28,$H$24,$H$25,$G131,X$30)</f>
        <v>0</v>
      </c>
      <c r="Y131" s="129">
        <f ca="1">_xll.DBRW($G$15,$H$21,$H$22,X$29,X$28,$H$24,$H$25,$G131,Y$30)</f>
        <v>0</v>
      </c>
      <c r="Z131" s="129">
        <f ca="1">_xll.DBRW($G$15,$H$21,$H$22,X$29,X$28,$H$24,$H$25,$G131,Z$30)</f>
        <v>0</v>
      </c>
      <c r="AA131" s="129">
        <f ca="1">_xll.DBRW($G$15,$H$21,$H$22,AA$29,X$28,$H$24,$H$25,$G131,AA$30)</f>
        <v>0</v>
      </c>
      <c r="AB131" s="129">
        <f ca="1">_xll.DBRW($G$15,$H$21,$H$22,AA$29,X$28,$H$24,$H$25,$G131,AB$30)</f>
        <v>0</v>
      </c>
      <c r="AC131" s="130">
        <f ca="1">_xll.DBRW($G$15,$H$21,$H$22,AA$29,X$28,$H$24,$H$25,$G131,AC$30)</f>
        <v>0</v>
      </c>
      <c r="AD131" s="131">
        <f t="shared" ca="1" si="12"/>
        <v>0</v>
      </c>
      <c r="AE131" s="132">
        <f t="shared" ca="1" si="13"/>
        <v>0</v>
      </c>
      <c r="AF131" s="133">
        <f ca="1">_xll.DBRW($G$15,$H$21,$H$22,AF$29,AF$28,$H$24,$H$25,$G131,AF$30)</f>
        <v>0</v>
      </c>
      <c r="AG131" s="129">
        <f ca="1">_xll.DBRW($G$15,$H$21,$H$22,AF$29,AF$28,$H$24,$H$25,$G131,AG$30)</f>
        <v>0</v>
      </c>
      <c r="AH131" s="129">
        <f ca="1">_xll.DBRW($G$15,$H$21,$H$22,AF$29,AF$28,$H$24,$H$25,$G131,AH$30)</f>
        <v>0</v>
      </c>
      <c r="AI131" s="129">
        <f ca="1">_xll.DBRW($G$15,$H$21,$H$22,AI$29,AF$28,$H$24,$H$25,$G131,AI$30)</f>
        <v>0</v>
      </c>
      <c r="AJ131" s="129">
        <f ca="1">_xll.DBRW($G$15,$H$21,$H$22,AI$29,AF$28,$H$24,$H$25,$G131,AJ$30)</f>
        <v>0</v>
      </c>
      <c r="AK131" s="130">
        <f ca="1">_xll.DBRW($G$15,$H$21,$H$22,AI$29,AF$28,$H$24,$H$25,$G131,AK$30)</f>
        <v>0</v>
      </c>
      <c r="AL131" s="140">
        <f t="shared" ca="1" si="14"/>
        <v>0</v>
      </c>
      <c r="AM131" s="140">
        <f t="shared" ca="1" si="15"/>
        <v>0</v>
      </c>
    </row>
    <row r="132" spans="1:39">
      <c r="A132">
        <f ca="1">IF(_xll.TM1RPTELISCONSOLIDATED($G$31,$G132),IF(_xll.TM1RPTELLEV($G$31,$G132)&lt;=3,_xll.TM1RPTELLEV($G$31,$G132),"D"),"N")</f>
        <v>3</v>
      </c>
      <c r="G132" s="141" t="s">
        <v>284</v>
      </c>
      <c r="H132" s="129">
        <f ca="1">_xll.DBRW($G$15,$H$21,$H$22,H$29,H$28,$H$24,$H$25,$G132,H$30)</f>
        <v>0</v>
      </c>
      <c r="I132" s="129">
        <f ca="1">_xll.DBRW($G$15,$H$21,$H$22,H$29,H$28,$H$24,$H$25,$G132,I$30)</f>
        <v>0</v>
      </c>
      <c r="J132" s="129">
        <f ca="1">_xll.DBRW($G$15,$H$21,$H$22,H$29,H$28,$H$24,$H$25,$G132,J$30)</f>
        <v>0</v>
      </c>
      <c r="K132" s="129">
        <f ca="1">_xll.DBRW($G$15,$H$21,$H$22,K$29,H$28,$H$24,$H$25,$G132,K$30)</f>
        <v>0</v>
      </c>
      <c r="L132" s="129">
        <f ca="1">_xll.DBRW($G$15,$H$21,$H$22,K$29,H$28,$H$24,$H$25,$G132,L$30)</f>
        <v>0</v>
      </c>
      <c r="M132" s="130">
        <f ca="1">_xll.DBRW($G$15,$H$21,$H$22,K$29,H$28,$H$24,$H$25,$G132,M$30)</f>
        <v>0</v>
      </c>
      <c r="N132" s="131">
        <f t="shared" ca="1" si="8"/>
        <v>0</v>
      </c>
      <c r="O132" s="132">
        <f t="shared" ca="1" si="9"/>
        <v>0</v>
      </c>
      <c r="P132" s="133">
        <f ca="1">_xll.DBRW($G$15,$H$21,$H$22,P$29,P$28,$H$24,$H$25,$G132,P$30)</f>
        <v>0</v>
      </c>
      <c r="Q132" s="129">
        <f ca="1">_xll.DBRW($G$15,$H$21,$H$22,P$29,P$28,$H$24,$H$25,$G132,Q$30)</f>
        <v>0</v>
      </c>
      <c r="R132" s="129">
        <f ca="1">_xll.DBRW($G$15,$H$21,$H$22,P$29,P$28,$H$24,$H$25,$G132,R$30)</f>
        <v>0</v>
      </c>
      <c r="S132" s="129">
        <f ca="1">_xll.DBRW($G$15,$H$21,$H$22,S$29,P$28,$H$24,$H$25,$G132,S$30)</f>
        <v>0</v>
      </c>
      <c r="T132" s="129">
        <f ca="1">_xll.DBRW($G$15,$H$21,$H$22,S$29,P$28,$H$24,$H$25,$G132,T$30)</f>
        <v>0</v>
      </c>
      <c r="U132" s="130">
        <f ca="1">_xll.DBRW($G$15,$H$21,$H$22,S$29,P$28,$H$24,$H$25,$G132,U$30)</f>
        <v>0</v>
      </c>
      <c r="V132" s="131">
        <f t="shared" ca="1" si="10"/>
        <v>0</v>
      </c>
      <c r="W132" s="132">
        <f t="shared" ca="1" si="11"/>
        <v>0</v>
      </c>
      <c r="X132" s="133">
        <f ca="1">_xll.DBRW($G$15,$H$21,$H$22,X$29,X$28,$H$24,$H$25,$G132,X$30)</f>
        <v>0</v>
      </c>
      <c r="Y132" s="129">
        <f ca="1">_xll.DBRW($G$15,$H$21,$H$22,X$29,X$28,$H$24,$H$25,$G132,Y$30)</f>
        <v>0</v>
      </c>
      <c r="Z132" s="129">
        <f ca="1">_xll.DBRW($G$15,$H$21,$H$22,X$29,X$28,$H$24,$H$25,$G132,Z$30)</f>
        <v>0</v>
      </c>
      <c r="AA132" s="129">
        <f ca="1">_xll.DBRW($G$15,$H$21,$H$22,AA$29,X$28,$H$24,$H$25,$G132,AA$30)</f>
        <v>0</v>
      </c>
      <c r="AB132" s="129">
        <f ca="1">_xll.DBRW($G$15,$H$21,$H$22,AA$29,X$28,$H$24,$H$25,$G132,AB$30)</f>
        <v>0</v>
      </c>
      <c r="AC132" s="130">
        <f ca="1">_xll.DBRW($G$15,$H$21,$H$22,AA$29,X$28,$H$24,$H$25,$G132,AC$30)</f>
        <v>0</v>
      </c>
      <c r="AD132" s="131">
        <f t="shared" ca="1" si="12"/>
        <v>0</v>
      </c>
      <c r="AE132" s="132">
        <f t="shared" ca="1" si="13"/>
        <v>0</v>
      </c>
      <c r="AF132" s="133">
        <f ca="1">_xll.DBRW($G$15,$H$21,$H$22,AF$29,AF$28,$H$24,$H$25,$G132,AF$30)</f>
        <v>0</v>
      </c>
      <c r="AG132" s="129">
        <f ca="1">_xll.DBRW($G$15,$H$21,$H$22,AF$29,AF$28,$H$24,$H$25,$G132,AG$30)</f>
        <v>0</v>
      </c>
      <c r="AH132" s="129">
        <f ca="1">_xll.DBRW($G$15,$H$21,$H$22,AF$29,AF$28,$H$24,$H$25,$G132,AH$30)</f>
        <v>0</v>
      </c>
      <c r="AI132" s="129">
        <f ca="1">_xll.DBRW($G$15,$H$21,$H$22,AI$29,AF$28,$H$24,$H$25,$G132,AI$30)</f>
        <v>0</v>
      </c>
      <c r="AJ132" s="129">
        <f ca="1">_xll.DBRW($G$15,$H$21,$H$22,AI$29,AF$28,$H$24,$H$25,$G132,AJ$30)</f>
        <v>0</v>
      </c>
      <c r="AK132" s="130">
        <f ca="1">_xll.DBRW($G$15,$H$21,$H$22,AI$29,AF$28,$H$24,$H$25,$G132,AK$30)</f>
        <v>0</v>
      </c>
      <c r="AL132" s="140">
        <f t="shared" ca="1" si="14"/>
        <v>0</v>
      </c>
      <c r="AM132" s="140">
        <f t="shared" ca="1" si="15"/>
        <v>0</v>
      </c>
    </row>
    <row r="133" spans="1:39">
      <c r="A133">
        <f ca="1">IF(_xll.TM1RPTELISCONSOLIDATED($G$31,$G133),IF(_xll.TM1RPTELLEV($G$31,$G133)&lt;=3,_xll.TM1RPTELLEV($G$31,$G133),"D"),"N")</f>
        <v>3</v>
      </c>
      <c r="G133" s="141" t="s">
        <v>285</v>
      </c>
      <c r="H133" s="129">
        <f ca="1">_xll.DBRW($G$15,$H$21,$H$22,H$29,H$28,$H$24,$H$25,$G133,H$30)</f>
        <v>0</v>
      </c>
      <c r="I133" s="129">
        <f ca="1">_xll.DBRW($G$15,$H$21,$H$22,H$29,H$28,$H$24,$H$25,$G133,I$30)</f>
        <v>0</v>
      </c>
      <c r="J133" s="129">
        <f ca="1">_xll.DBRW($G$15,$H$21,$H$22,H$29,H$28,$H$24,$H$25,$G133,J$30)</f>
        <v>0</v>
      </c>
      <c r="K133" s="129">
        <f ca="1">_xll.DBRW($G$15,$H$21,$H$22,K$29,H$28,$H$24,$H$25,$G133,K$30)</f>
        <v>0</v>
      </c>
      <c r="L133" s="129">
        <f ca="1">_xll.DBRW($G$15,$H$21,$H$22,K$29,H$28,$H$24,$H$25,$G133,L$30)</f>
        <v>0</v>
      </c>
      <c r="M133" s="130">
        <f ca="1">_xll.DBRW($G$15,$H$21,$H$22,K$29,H$28,$H$24,$H$25,$G133,M$30)</f>
        <v>0</v>
      </c>
      <c r="N133" s="131">
        <f t="shared" ca="1" si="8"/>
        <v>0</v>
      </c>
      <c r="O133" s="132">
        <f t="shared" ca="1" si="9"/>
        <v>0</v>
      </c>
      <c r="P133" s="133">
        <f ca="1">_xll.DBRW($G$15,$H$21,$H$22,P$29,P$28,$H$24,$H$25,$G133,P$30)</f>
        <v>0</v>
      </c>
      <c r="Q133" s="129">
        <f ca="1">_xll.DBRW($G$15,$H$21,$H$22,P$29,P$28,$H$24,$H$25,$G133,Q$30)</f>
        <v>0</v>
      </c>
      <c r="R133" s="129">
        <f ca="1">_xll.DBRW($G$15,$H$21,$H$22,P$29,P$28,$H$24,$H$25,$G133,R$30)</f>
        <v>0</v>
      </c>
      <c r="S133" s="129">
        <f ca="1">_xll.DBRW($G$15,$H$21,$H$22,S$29,P$28,$H$24,$H$25,$G133,S$30)</f>
        <v>0</v>
      </c>
      <c r="T133" s="129">
        <f ca="1">_xll.DBRW($G$15,$H$21,$H$22,S$29,P$28,$H$24,$H$25,$G133,T$30)</f>
        <v>0</v>
      </c>
      <c r="U133" s="130">
        <f ca="1">_xll.DBRW($G$15,$H$21,$H$22,S$29,P$28,$H$24,$H$25,$G133,U$30)</f>
        <v>0</v>
      </c>
      <c r="V133" s="131">
        <f t="shared" ca="1" si="10"/>
        <v>0</v>
      </c>
      <c r="W133" s="132">
        <f t="shared" ca="1" si="11"/>
        <v>0</v>
      </c>
      <c r="X133" s="133">
        <f ca="1">_xll.DBRW($G$15,$H$21,$H$22,X$29,X$28,$H$24,$H$25,$G133,X$30)</f>
        <v>0</v>
      </c>
      <c r="Y133" s="129">
        <f ca="1">_xll.DBRW($G$15,$H$21,$H$22,X$29,X$28,$H$24,$H$25,$G133,Y$30)</f>
        <v>0</v>
      </c>
      <c r="Z133" s="129">
        <f ca="1">_xll.DBRW($G$15,$H$21,$H$22,X$29,X$28,$H$24,$H$25,$G133,Z$30)</f>
        <v>0</v>
      </c>
      <c r="AA133" s="129">
        <f ca="1">_xll.DBRW($G$15,$H$21,$H$22,AA$29,X$28,$H$24,$H$25,$G133,AA$30)</f>
        <v>0</v>
      </c>
      <c r="AB133" s="129">
        <f ca="1">_xll.DBRW($G$15,$H$21,$H$22,AA$29,X$28,$H$24,$H$25,$G133,AB$30)</f>
        <v>0</v>
      </c>
      <c r="AC133" s="130">
        <f ca="1">_xll.DBRW($G$15,$H$21,$H$22,AA$29,X$28,$H$24,$H$25,$G133,AC$30)</f>
        <v>0</v>
      </c>
      <c r="AD133" s="131">
        <f t="shared" ca="1" si="12"/>
        <v>0</v>
      </c>
      <c r="AE133" s="132">
        <f t="shared" ca="1" si="13"/>
        <v>0</v>
      </c>
      <c r="AF133" s="133">
        <f ca="1">_xll.DBRW($G$15,$H$21,$H$22,AF$29,AF$28,$H$24,$H$25,$G133,AF$30)</f>
        <v>0</v>
      </c>
      <c r="AG133" s="129">
        <f ca="1">_xll.DBRW($G$15,$H$21,$H$22,AF$29,AF$28,$H$24,$H$25,$G133,AG$30)</f>
        <v>0</v>
      </c>
      <c r="AH133" s="129">
        <f ca="1">_xll.DBRW($G$15,$H$21,$H$22,AF$29,AF$28,$H$24,$H$25,$G133,AH$30)</f>
        <v>0</v>
      </c>
      <c r="AI133" s="129">
        <f ca="1">_xll.DBRW($G$15,$H$21,$H$22,AI$29,AF$28,$H$24,$H$25,$G133,AI$30)</f>
        <v>0</v>
      </c>
      <c r="AJ133" s="129">
        <f ca="1">_xll.DBRW($G$15,$H$21,$H$22,AI$29,AF$28,$H$24,$H$25,$G133,AJ$30)</f>
        <v>0</v>
      </c>
      <c r="AK133" s="130">
        <f ca="1">_xll.DBRW($G$15,$H$21,$H$22,AI$29,AF$28,$H$24,$H$25,$G133,AK$30)</f>
        <v>0</v>
      </c>
      <c r="AL133" s="140">
        <f t="shared" ca="1" si="14"/>
        <v>0</v>
      </c>
      <c r="AM133" s="140">
        <f t="shared" ca="1" si="15"/>
        <v>0</v>
      </c>
    </row>
    <row r="134" spans="1:39">
      <c r="A134">
        <f ca="1">IF(_xll.TM1RPTELISCONSOLIDATED($G$31,$G134),IF(_xll.TM1RPTELLEV($G$31,$G134)&lt;=3,_xll.TM1RPTELLEV($G$31,$G134),"D"),"N")</f>
        <v>3</v>
      </c>
      <c r="G134" s="141" t="s">
        <v>286</v>
      </c>
      <c r="H134" s="129">
        <f ca="1">_xll.DBRW($G$15,$H$21,$H$22,H$29,H$28,$H$24,$H$25,$G134,H$30)</f>
        <v>0</v>
      </c>
      <c r="I134" s="129">
        <f ca="1">_xll.DBRW($G$15,$H$21,$H$22,H$29,H$28,$H$24,$H$25,$G134,I$30)</f>
        <v>0</v>
      </c>
      <c r="J134" s="129">
        <f ca="1">_xll.DBRW($G$15,$H$21,$H$22,H$29,H$28,$H$24,$H$25,$G134,J$30)</f>
        <v>0</v>
      </c>
      <c r="K134" s="129">
        <f ca="1">_xll.DBRW($G$15,$H$21,$H$22,K$29,H$28,$H$24,$H$25,$G134,K$30)</f>
        <v>0</v>
      </c>
      <c r="L134" s="129">
        <f ca="1">_xll.DBRW($G$15,$H$21,$H$22,K$29,H$28,$H$24,$H$25,$G134,L$30)</f>
        <v>0</v>
      </c>
      <c r="M134" s="130">
        <f ca="1">_xll.DBRW($G$15,$H$21,$H$22,K$29,H$28,$H$24,$H$25,$G134,M$30)</f>
        <v>0</v>
      </c>
      <c r="N134" s="131">
        <f t="shared" ca="1" si="8"/>
        <v>0</v>
      </c>
      <c r="O134" s="132">
        <f t="shared" ca="1" si="9"/>
        <v>0</v>
      </c>
      <c r="P134" s="133">
        <f ca="1">_xll.DBRW($G$15,$H$21,$H$22,P$29,P$28,$H$24,$H$25,$G134,P$30)</f>
        <v>0</v>
      </c>
      <c r="Q134" s="129">
        <f ca="1">_xll.DBRW($G$15,$H$21,$H$22,P$29,P$28,$H$24,$H$25,$G134,Q$30)</f>
        <v>0</v>
      </c>
      <c r="R134" s="129">
        <f ca="1">_xll.DBRW($G$15,$H$21,$H$22,P$29,P$28,$H$24,$H$25,$G134,R$30)</f>
        <v>0</v>
      </c>
      <c r="S134" s="129">
        <f ca="1">_xll.DBRW($G$15,$H$21,$H$22,S$29,P$28,$H$24,$H$25,$G134,S$30)</f>
        <v>0</v>
      </c>
      <c r="T134" s="129">
        <f ca="1">_xll.DBRW($G$15,$H$21,$H$22,S$29,P$28,$H$24,$H$25,$G134,T$30)</f>
        <v>0</v>
      </c>
      <c r="U134" s="130">
        <f ca="1">_xll.DBRW($G$15,$H$21,$H$22,S$29,P$28,$H$24,$H$25,$G134,U$30)</f>
        <v>0</v>
      </c>
      <c r="V134" s="131">
        <f t="shared" ca="1" si="10"/>
        <v>0</v>
      </c>
      <c r="W134" s="132">
        <f t="shared" ca="1" si="11"/>
        <v>0</v>
      </c>
      <c r="X134" s="133">
        <f ca="1">_xll.DBRW($G$15,$H$21,$H$22,X$29,X$28,$H$24,$H$25,$G134,X$30)</f>
        <v>0</v>
      </c>
      <c r="Y134" s="129">
        <f ca="1">_xll.DBRW($G$15,$H$21,$H$22,X$29,X$28,$H$24,$H$25,$G134,Y$30)</f>
        <v>0</v>
      </c>
      <c r="Z134" s="129">
        <f ca="1">_xll.DBRW($G$15,$H$21,$H$22,X$29,X$28,$H$24,$H$25,$G134,Z$30)</f>
        <v>0</v>
      </c>
      <c r="AA134" s="129">
        <f ca="1">_xll.DBRW($G$15,$H$21,$H$22,AA$29,X$28,$H$24,$H$25,$G134,AA$30)</f>
        <v>0</v>
      </c>
      <c r="AB134" s="129">
        <f ca="1">_xll.DBRW($G$15,$H$21,$H$22,AA$29,X$28,$H$24,$H$25,$G134,AB$30)</f>
        <v>0</v>
      </c>
      <c r="AC134" s="130">
        <f ca="1">_xll.DBRW($G$15,$H$21,$H$22,AA$29,X$28,$H$24,$H$25,$G134,AC$30)</f>
        <v>0</v>
      </c>
      <c r="AD134" s="131">
        <f t="shared" ca="1" si="12"/>
        <v>0</v>
      </c>
      <c r="AE134" s="132">
        <f t="shared" ca="1" si="13"/>
        <v>0</v>
      </c>
      <c r="AF134" s="133">
        <f ca="1">_xll.DBRW($G$15,$H$21,$H$22,AF$29,AF$28,$H$24,$H$25,$G134,AF$30)</f>
        <v>0</v>
      </c>
      <c r="AG134" s="129">
        <f ca="1">_xll.DBRW($G$15,$H$21,$H$22,AF$29,AF$28,$H$24,$H$25,$G134,AG$30)</f>
        <v>0</v>
      </c>
      <c r="AH134" s="129">
        <f ca="1">_xll.DBRW($G$15,$H$21,$H$22,AF$29,AF$28,$H$24,$H$25,$G134,AH$30)</f>
        <v>0</v>
      </c>
      <c r="AI134" s="129">
        <f ca="1">_xll.DBRW($G$15,$H$21,$H$22,AI$29,AF$28,$H$24,$H$25,$G134,AI$30)</f>
        <v>0</v>
      </c>
      <c r="AJ134" s="129">
        <f ca="1">_xll.DBRW($G$15,$H$21,$H$22,AI$29,AF$28,$H$24,$H$25,$G134,AJ$30)</f>
        <v>0</v>
      </c>
      <c r="AK134" s="130">
        <f ca="1">_xll.DBRW($G$15,$H$21,$H$22,AI$29,AF$28,$H$24,$H$25,$G134,AK$30)</f>
        <v>0</v>
      </c>
      <c r="AL134" s="140">
        <f t="shared" ca="1" si="14"/>
        <v>0</v>
      </c>
      <c r="AM134" s="140">
        <f t="shared" ca="1" si="15"/>
        <v>0</v>
      </c>
    </row>
    <row r="135" spans="1:39">
      <c r="A135">
        <f ca="1">IF(_xll.TM1RPTELISCONSOLIDATED($G$31,$G135),IF(_xll.TM1RPTELLEV($G$31,$G135)&lt;=3,_xll.TM1RPTELLEV($G$31,$G135),"D"),"N")</f>
        <v>3</v>
      </c>
      <c r="G135" s="141" t="s">
        <v>287</v>
      </c>
      <c r="H135" s="129">
        <f ca="1">_xll.DBRW($G$15,$H$21,$H$22,H$29,H$28,$H$24,$H$25,$G135,H$30)</f>
        <v>0</v>
      </c>
      <c r="I135" s="129">
        <f ca="1">_xll.DBRW($G$15,$H$21,$H$22,H$29,H$28,$H$24,$H$25,$G135,I$30)</f>
        <v>0</v>
      </c>
      <c r="J135" s="129">
        <f ca="1">_xll.DBRW($G$15,$H$21,$H$22,H$29,H$28,$H$24,$H$25,$G135,J$30)</f>
        <v>0</v>
      </c>
      <c r="K135" s="129">
        <f ca="1">_xll.DBRW($G$15,$H$21,$H$22,K$29,H$28,$H$24,$H$25,$G135,K$30)</f>
        <v>0</v>
      </c>
      <c r="L135" s="129">
        <f ca="1">_xll.DBRW($G$15,$H$21,$H$22,K$29,H$28,$H$24,$H$25,$G135,L$30)</f>
        <v>0</v>
      </c>
      <c r="M135" s="130">
        <f ca="1">_xll.DBRW($G$15,$H$21,$H$22,K$29,H$28,$H$24,$H$25,$G135,M$30)</f>
        <v>0</v>
      </c>
      <c r="N135" s="131">
        <f t="shared" ca="1" si="8"/>
        <v>0</v>
      </c>
      <c r="O135" s="132">
        <f t="shared" ca="1" si="9"/>
        <v>0</v>
      </c>
      <c r="P135" s="133">
        <f ca="1">_xll.DBRW($G$15,$H$21,$H$22,P$29,P$28,$H$24,$H$25,$G135,P$30)</f>
        <v>0</v>
      </c>
      <c r="Q135" s="129">
        <f ca="1">_xll.DBRW($G$15,$H$21,$H$22,P$29,P$28,$H$24,$H$25,$G135,Q$30)</f>
        <v>0</v>
      </c>
      <c r="R135" s="129">
        <f ca="1">_xll.DBRW($G$15,$H$21,$H$22,P$29,P$28,$H$24,$H$25,$G135,R$30)</f>
        <v>0</v>
      </c>
      <c r="S135" s="129">
        <f ca="1">_xll.DBRW($G$15,$H$21,$H$22,S$29,P$28,$H$24,$H$25,$G135,S$30)</f>
        <v>0</v>
      </c>
      <c r="T135" s="129">
        <f ca="1">_xll.DBRW($G$15,$H$21,$H$22,S$29,P$28,$H$24,$H$25,$G135,T$30)</f>
        <v>0</v>
      </c>
      <c r="U135" s="130">
        <f ca="1">_xll.DBRW($G$15,$H$21,$H$22,S$29,P$28,$H$24,$H$25,$G135,U$30)</f>
        <v>0</v>
      </c>
      <c r="V135" s="131">
        <f t="shared" ca="1" si="10"/>
        <v>0</v>
      </c>
      <c r="W135" s="132">
        <f t="shared" ca="1" si="11"/>
        <v>0</v>
      </c>
      <c r="X135" s="133">
        <f ca="1">_xll.DBRW($G$15,$H$21,$H$22,X$29,X$28,$H$24,$H$25,$G135,X$30)</f>
        <v>0</v>
      </c>
      <c r="Y135" s="129">
        <f ca="1">_xll.DBRW($G$15,$H$21,$H$22,X$29,X$28,$H$24,$H$25,$G135,Y$30)</f>
        <v>0</v>
      </c>
      <c r="Z135" s="129">
        <f ca="1">_xll.DBRW($G$15,$H$21,$H$22,X$29,X$28,$H$24,$H$25,$G135,Z$30)</f>
        <v>0</v>
      </c>
      <c r="AA135" s="129">
        <f ca="1">_xll.DBRW($G$15,$H$21,$H$22,AA$29,X$28,$H$24,$H$25,$G135,AA$30)</f>
        <v>0</v>
      </c>
      <c r="AB135" s="129">
        <f ca="1">_xll.DBRW($G$15,$H$21,$H$22,AA$29,X$28,$H$24,$H$25,$G135,AB$30)</f>
        <v>0</v>
      </c>
      <c r="AC135" s="130">
        <f ca="1">_xll.DBRW($G$15,$H$21,$H$22,AA$29,X$28,$H$24,$H$25,$G135,AC$30)</f>
        <v>0</v>
      </c>
      <c r="AD135" s="131">
        <f t="shared" ca="1" si="12"/>
        <v>0</v>
      </c>
      <c r="AE135" s="132">
        <f t="shared" ca="1" si="13"/>
        <v>0</v>
      </c>
      <c r="AF135" s="133">
        <f ca="1">_xll.DBRW($G$15,$H$21,$H$22,AF$29,AF$28,$H$24,$H$25,$G135,AF$30)</f>
        <v>0</v>
      </c>
      <c r="AG135" s="129">
        <f ca="1">_xll.DBRW($G$15,$H$21,$H$22,AF$29,AF$28,$H$24,$H$25,$G135,AG$30)</f>
        <v>0</v>
      </c>
      <c r="AH135" s="129">
        <f ca="1">_xll.DBRW($G$15,$H$21,$H$22,AF$29,AF$28,$H$24,$H$25,$G135,AH$30)</f>
        <v>0</v>
      </c>
      <c r="AI135" s="129">
        <f ca="1">_xll.DBRW($G$15,$H$21,$H$22,AI$29,AF$28,$H$24,$H$25,$G135,AI$30)</f>
        <v>0</v>
      </c>
      <c r="AJ135" s="129">
        <f ca="1">_xll.DBRW($G$15,$H$21,$H$22,AI$29,AF$28,$H$24,$H$25,$G135,AJ$30)</f>
        <v>0</v>
      </c>
      <c r="AK135" s="130">
        <f ca="1">_xll.DBRW($G$15,$H$21,$H$22,AI$29,AF$28,$H$24,$H$25,$G135,AK$30)</f>
        <v>0</v>
      </c>
      <c r="AL135" s="140">
        <f t="shared" ca="1" si="14"/>
        <v>0</v>
      </c>
      <c r="AM135" s="140">
        <f t="shared" ca="1" si="15"/>
        <v>0</v>
      </c>
    </row>
    <row r="136" spans="1:39">
      <c r="A136">
        <f ca="1">IF(_xll.TM1RPTELISCONSOLIDATED($G$31,$G136),IF(_xll.TM1RPTELLEV($G$31,$G136)&lt;=3,_xll.TM1RPTELLEV($G$31,$G136),"D"),"N")</f>
        <v>3</v>
      </c>
      <c r="G136" s="141" t="s">
        <v>288</v>
      </c>
      <c r="H136" s="129">
        <f ca="1">_xll.DBRW($G$15,$H$21,$H$22,H$29,H$28,$H$24,$H$25,$G136,H$30)</f>
        <v>0</v>
      </c>
      <c r="I136" s="129">
        <f ca="1">_xll.DBRW($G$15,$H$21,$H$22,H$29,H$28,$H$24,$H$25,$G136,I$30)</f>
        <v>0</v>
      </c>
      <c r="J136" s="129">
        <f ca="1">_xll.DBRW($G$15,$H$21,$H$22,H$29,H$28,$H$24,$H$25,$G136,J$30)</f>
        <v>0</v>
      </c>
      <c r="K136" s="129">
        <f ca="1">_xll.DBRW($G$15,$H$21,$H$22,K$29,H$28,$H$24,$H$25,$G136,K$30)</f>
        <v>0</v>
      </c>
      <c r="L136" s="129">
        <f ca="1">_xll.DBRW($G$15,$H$21,$H$22,K$29,H$28,$H$24,$H$25,$G136,L$30)</f>
        <v>0</v>
      </c>
      <c r="M136" s="130">
        <f ca="1">_xll.DBRW($G$15,$H$21,$H$22,K$29,H$28,$H$24,$H$25,$G136,M$30)</f>
        <v>0</v>
      </c>
      <c r="N136" s="131">
        <f t="shared" ca="1" si="8"/>
        <v>0</v>
      </c>
      <c r="O136" s="132">
        <f t="shared" ca="1" si="9"/>
        <v>0</v>
      </c>
      <c r="P136" s="133">
        <f ca="1">_xll.DBRW($G$15,$H$21,$H$22,P$29,P$28,$H$24,$H$25,$G136,P$30)</f>
        <v>0</v>
      </c>
      <c r="Q136" s="129">
        <f ca="1">_xll.DBRW($G$15,$H$21,$H$22,P$29,P$28,$H$24,$H$25,$G136,Q$30)</f>
        <v>0</v>
      </c>
      <c r="R136" s="129">
        <f ca="1">_xll.DBRW($G$15,$H$21,$H$22,P$29,P$28,$H$24,$H$25,$G136,R$30)</f>
        <v>0</v>
      </c>
      <c r="S136" s="129">
        <f ca="1">_xll.DBRW($G$15,$H$21,$H$22,S$29,P$28,$H$24,$H$25,$G136,S$30)</f>
        <v>0</v>
      </c>
      <c r="T136" s="129">
        <f ca="1">_xll.DBRW($G$15,$H$21,$H$22,S$29,P$28,$H$24,$H$25,$G136,T$30)</f>
        <v>0</v>
      </c>
      <c r="U136" s="130">
        <f ca="1">_xll.DBRW($G$15,$H$21,$H$22,S$29,P$28,$H$24,$H$25,$G136,U$30)</f>
        <v>0</v>
      </c>
      <c r="V136" s="131">
        <f t="shared" ca="1" si="10"/>
        <v>0</v>
      </c>
      <c r="W136" s="132">
        <f t="shared" ca="1" si="11"/>
        <v>0</v>
      </c>
      <c r="X136" s="133">
        <f ca="1">_xll.DBRW($G$15,$H$21,$H$22,X$29,X$28,$H$24,$H$25,$G136,X$30)</f>
        <v>0</v>
      </c>
      <c r="Y136" s="129">
        <f ca="1">_xll.DBRW($G$15,$H$21,$H$22,X$29,X$28,$H$24,$H$25,$G136,Y$30)</f>
        <v>0</v>
      </c>
      <c r="Z136" s="129">
        <f ca="1">_xll.DBRW($G$15,$H$21,$H$22,X$29,X$28,$H$24,$H$25,$G136,Z$30)</f>
        <v>0</v>
      </c>
      <c r="AA136" s="129">
        <f ca="1">_xll.DBRW($G$15,$H$21,$H$22,AA$29,X$28,$H$24,$H$25,$G136,AA$30)</f>
        <v>0</v>
      </c>
      <c r="AB136" s="129">
        <f ca="1">_xll.DBRW($G$15,$H$21,$H$22,AA$29,X$28,$H$24,$H$25,$G136,AB$30)</f>
        <v>0</v>
      </c>
      <c r="AC136" s="130">
        <f ca="1">_xll.DBRW($G$15,$H$21,$H$22,AA$29,X$28,$H$24,$H$25,$G136,AC$30)</f>
        <v>0</v>
      </c>
      <c r="AD136" s="131">
        <f t="shared" ca="1" si="12"/>
        <v>0</v>
      </c>
      <c r="AE136" s="132">
        <f t="shared" ca="1" si="13"/>
        <v>0</v>
      </c>
      <c r="AF136" s="133">
        <f ca="1">_xll.DBRW($G$15,$H$21,$H$22,AF$29,AF$28,$H$24,$H$25,$G136,AF$30)</f>
        <v>0</v>
      </c>
      <c r="AG136" s="129">
        <f ca="1">_xll.DBRW($G$15,$H$21,$H$22,AF$29,AF$28,$H$24,$H$25,$G136,AG$30)</f>
        <v>0</v>
      </c>
      <c r="AH136" s="129">
        <f ca="1">_xll.DBRW($G$15,$H$21,$H$22,AF$29,AF$28,$H$24,$H$25,$G136,AH$30)</f>
        <v>0</v>
      </c>
      <c r="AI136" s="129">
        <f ca="1">_xll.DBRW($G$15,$H$21,$H$22,AI$29,AF$28,$H$24,$H$25,$G136,AI$30)</f>
        <v>0</v>
      </c>
      <c r="AJ136" s="129">
        <f ca="1">_xll.DBRW($G$15,$H$21,$H$22,AI$29,AF$28,$H$24,$H$25,$G136,AJ$30)</f>
        <v>0</v>
      </c>
      <c r="AK136" s="130">
        <f ca="1">_xll.DBRW($G$15,$H$21,$H$22,AI$29,AF$28,$H$24,$H$25,$G136,AK$30)</f>
        <v>0</v>
      </c>
      <c r="AL136" s="140">
        <f t="shared" ca="1" si="14"/>
        <v>0</v>
      </c>
      <c r="AM136" s="140">
        <f t="shared" ca="1" si="15"/>
        <v>0</v>
      </c>
    </row>
    <row r="137" spans="1:39">
      <c r="A137">
        <f ca="1">IF(_xll.TM1RPTELISCONSOLIDATED($G$31,$G137),IF(_xll.TM1RPTELLEV($G$31,$G137)&lt;=3,_xll.TM1RPTELLEV($G$31,$G137),"D"),"N")</f>
        <v>3</v>
      </c>
      <c r="G137" s="141" t="s">
        <v>289</v>
      </c>
      <c r="H137" s="129">
        <f ca="1">_xll.DBRW($G$15,$H$21,$H$22,H$29,H$28,$H$24,$H$25,$G137,H$30)</f>
        <v>0</v>
      </c>
      <c r="I137" s="129">
        <f ca="1">_xll.DBRW($G$15,$H$21,$H$22,H$29,H$28,$H$24,$H$25,$G137,I$30)</f>
        <v>0</v>
      </c>
      <c r="J137" s="129">
        <f ca="1">_xll.DBRW($G$15,$H$21,$H$22,H$29,H$28,$H$24,$H$25,$G137,J$30)</f>
        <v>0</v>
      </c>
      <c r="K137" s="129">
        <f ca="1">_xll.DBRW($G$15,$H$21,$H$22,K$29,H$28,$H$24,$H$25,$G137,K$30)</f>
        <v>0</v>
      </c>
      <c r="L137" s="129">
        <f ca="1">_xll.DBRW($G$15,$H$21,$H$22,K$29,H$28,$H$24,$H$25,$G137,L$30)</f>
        <v>0</v>
      </c>
      <c r="M137" s="130">
        <f ca="1">_xll.DBRW($G$15,$H$21,$H$22,K$29,H$28,$H$24,$H$25,$G137,M$30)</f>
        <v>0</v>
      </c>
      <c r="N137" s="131">
        <f t="shared" ca="1" si="8"/>
        <v>0</v>
      </c>
      <c r="O137" s="132">
        <f t="shared" ca="1" si="9"/>
        <v>0</v>
      </c>
      <c r="P137" s="133">
        <f ca="1">_xll.DBRW($G$15,$H$21,$H$22,P$29,P$28,$H$24,$H$25,$G137,P$30)</f>
        <v>0</v>
      </c>
      <c r="Q137" s="129">
        <f ca="1">_xll.DBRW($G$15,$H$21,$H$22,P$29,P$28,$H$24,$H$25,$G137,Q$30)</f>
        <v>0</v>
      </c>
      <c r="R137" s="129">
        <f ca="1">_xll.DBRW($G$15,$H$21,$H$22,P$29,P$28,$H$24,$H$25,$G137,R$30)</f>
        <v>0</v>
      </c>
      <c r="S137" s="129">
        <f ca="1">_xll.DBRW($G$15,$H$21,$H$22,S$29,P$28,$H$24,$H$25,$G137,S$30)</f>
        <v>0</v>
      </c>
      <c r="T137" s="129">
        <f ca="1">_xll.DBRW($G$15,$H$21,$H$22,S$29,P$28,$H$24,$H$25,$G137,T$30)</f>
        <v>0</v>
      </c>
      <c r="U137" s="130">
        <f ca="1">_xll.DBRW($G$15,$H$21,$H$22,S$29,P$28,$H$24,$H$25,$G137,U$30)</f>
        <v>0</v>
      </c>
      <c r="V137" s="131">
        <f t="shared" ca="1" si="10"/>
        <v>0</v>
      </c>
      <c r="W137" s="132">
        <f t="shared" ca="1" si="11"/>
        <v>0</v>
      </c>
      <c r="X137" s="133">
        <f ca="1">_xll.DBRW($G$15,$H$21,$H$22,X$29,X$28,$H$24,$H$25,$G137,X$30)</f>
        <v>0</v>
      </c>
      <c r="Y137" s="129">
        <f ca="1">_xll.DBRW($G$15,$H$21,$H$22,X$29,X$28,$H$24,$H$25,$G137,Y$30)</f>
        <v>0</v>
      </c>
      <c r="Z137" s="129">
        <f ca="1">_xll.DBRW($G$15,$H$21,$H$22,X$29,X$28,$H$24,$H$25,$G137,Z$30)</f>
        <v>0</v>
      </c>
      <c r="AA137" s="129">
        <f ca="1">_xll.DBRW($G$15,$H$21,$H$22,AA$29,X$28,$H$24,$H$25,$G137,AA$30)</f>
        <v>0</v>
      </c>
      <c r="AB137" s="129">
        <f ca="1">_xll.DBRW($G$15,$H$21,$H$22,AA$29,X$28,$H$24,$H$25,$G137,AB$30)</f>
        <v>0</v>
      </c>
      <c r="AC137" s="130">
        <f ca="1">_xll.DBRW($G$15,$H$21,$H$22,AA$29,X$28,$H$24,$H$25,$G137,AC$30)</f>
        <v>0</v>
      </c>
      <c r="AD137" s="131">
        <f t="shared" ca="1" si="12"/>
        <v>0</v>
      </c>
      <c r="AE137" s="132">
        <f t="shared" ca="1" si="13"/>
        <v>0</v>
      </c>
      <c r="AF137" s="133">
        <f ca="1">_xll.DBRW($G$15,$H$21,$H$22,AF$29,AF$28,$H$24,$H$25,$G137,AF$30)</f>
        <v>0</v>
      </c>
      <c r="AG137" s="129">
        <f ca="1">_xll.DBRW($G$15,$H$21,$H$22,AF$29,AF$28,$H$24,$H$25,$G137,AG$30)</f>
        <v>0</v>
      </c>
      <c r="AH137" s="129">
        <f ca="1">_xll.DBRW($G$15,$H$21,$H$22,AF$29,AF$28,$H$24,$H$25,$G137,AH$30)</f>
        <v>0</v>
      </c>
      <c r="AI137" s="129">
        <f ca="1">_xll.DBRW($G$15,$H$21,$H$22,AI$29,AF$28,$H$24,$H$25,$G137,AI$30)</f>
        <v>0</v>
      </c>
      <c r="AJ137" s="129">
        <f ca="1">_xll.DBRW($G$15,$H$21,$H$22,AI$29,AF$28,$H$24,$H$25,$G137,AJ$30)</f>
        <v>0</v>
      </c>
      <c r="AK137" s="130">
        <f ca="1">_xll.DBRW($G$15,$H$21,$H$22,AI$29,AF$28,$H$24,$H$25,$G137,AK$30)</f>
        <v>0</v>
      </c>
      <c r="AL137" s="140">
        <f t="shared" ca="1" si="14"/>
        <v>0</v>
      </c>
      <c r="AM137" s="140">
        <f t="shared" ca="1" si="15"/>
        <v>0</v>
      </c>
    </row>
    <row r="138" spans="1:39">
      <c r="A138">
        <f ca="1">IF(_xll.TM1RPTELISCONSOLIDATED($G$31,$G138),IF(_xll.TM1RPTELLEV($G$31,$G138)&lt;=3,_xll.TM1RPTELLEV($G$31,$G138),"D"),"N")</f>
        <v>3</v>
      </c>
      <c r="G138" s="141" t="s">
        <v>290</v>
      </c>
      <c r="H138" s="129">
        <f ca="1">_xll.DBRW($G$15,$H$21,$H$22,H$29,H$28,$H$24,$H$25,$G138,H$30)</f>
        <v>0</v>
      </c>
      <c r="I138" s="129">
        <f ca="1">_xll.DBRW($G$15,$H$21,$H$22,H$29,H$28,$H$24,$H$25,$G138,I$30)</f>
        <v>0</v>
      </c>
      <c r="J138" s="129">
        <f ca="1">_xll.DBRW($G$15,$H$21,$H$22,H$29,H$28,$H$24,$H$25,$G138,J$30)</f>
        <v>0</v>
      </c>
      <c r="K138" s="129">
        <f ca="1">_xll.DBRW($G$15,$H$21,$H$22,K$29,H$28,$H$24,$H$25,$G138,K$30)</f>
        <v>0</v>
      </c>
      <c r="L138" s="129">
        <f ca="1">_xll.DBRW($G$15,$H$21,$H$22,K$29,H$28,$H$24,$H$25,$G138,L$30)</f>
        <v>0</v>
      </c>
      <c r="M138" s="130">
        <f ca="1">_xll.DBRW($G$15,$H$21,$H$22,K$29,H$28,$H$24,$H$25,$G138,M$30)</f>
        <v>0</v>
      </c>
      <c r="N138" s="131">
        <f t="shared" ca="1" si="8"/>
        <v>0</v>
      </c>
      <c r="O138" s="132">
        <f t="shared" ca="1" si="9"/>
        <v>0</v>
      </c>
      <c r="P138" s="133">
        <f ca="1">_xll.DBRW($G$15,$H$21,$H$22,P$29,P$28,$H$24,$H$25,$G138,P$30)</f>
        <v>0</v>
      </c>
      <c r="Q138" s="129">
        <f ca="1">_xll.DBRW($G$15,$H$21,$H$22,P$29,P$28,$H$24,$H$25,$G138,Q$30)</f>
        <v>0</v>
      </c>
      <c r="R138" s="129">
        <f ca="1">_xll.DBRW($G$15,$H$21,$H$22,P$29,P$28,$H$24,$H$25,$G138,R$30)</f>
        <v>0</v>
      </c>
      <c r="S138" s="129">
        <f ca="1">_xll.DBRW($G$15,$H$21,$H$22,S$29,P$28,$H$24,$H$25,$G138,S$30)</f>
        <v>0</v>
      </c>
      <c r="T138" s="129">
        <f ca="1">_xll.DBRW($G$15,$H$21,$H$22,S$29,P$28,$H$24,$H$25,$G138,T$30)</f>
        <v>0</v>
      </c>
      <c r="U138" s="130">
        <f ca="1">_xll.DBRW($G$15,$H$21,$H$22,S$29,P$28,$H$24,$H$25,$G138,U$30)</f>
        <v>0</v>
      </c>
      <c r="V138" s="131">
        <f t="shared" ca="1" si="10"/>
        <v>0</v>
      </c>
      <c r="W138" s="132">
        <f t="shared" ca="1" si="11"/>
        <v>0</v>
      </c>
      <c r="X138" s="133">
        <f ca="1">_xll.DBRW($G$15,$H$21,$H$22,X$29,X$28,$H$24,$H$25,$G138,X$30)</f>
        <v>0</v>
      </c>
      <c r="Y138" s="129">
        <f ca="1">_xll.DBRW($G$15,$H$21,$H$22,X$29,X$28,$H$24,$H$25,$G138,Y$30)</f>
        <v>0</v>
      </c>
      <c r="Z138" s="129">
        <f ca="1">_xll.DBRW($G$15,$H$21,$H$22,X$29,X$28,$H$24,$H$25,$G138,Z$30)</f>
        <v>0</v>
      </c>
      <c r="AA138" s="129">
        <f ca="1">_xll.DBRW($G$15,$H$21,$H$22,AA$29,X$28,$H$24,$H$25,$G138,AA$30)</f>
        <v>0</v>
      </c>
      <c r="AB138" s="129">
        <f ca="1">_xll.DBRW($G$15,$H$21,$H$22,AA$29,X$28,$H$24,$H$25,$G138,AB$30)</f>
        <v>0</v>
      </c>
      <c r="AC138" s="130">
        <f ca="1">_xll.DBRW($G$15,$H$21,$H$22,AA$29,X$28,$H$24,$H$25,$G138,AC$30)</f>
        <v>0</v>
      </c>
      <c r="AD138" s="131">
        <f t="shared" ca="1" si="12"/>
        <v>0</v>
      </c>
      <c r="AE138" s="132">
        <f t="shared" ca="1" si="13"/>
        <v>0</v>
      </c>
      <c r="AF138" s="133">
        <f ca="1">_xll.DBRW($G$15,$H$21,$H$22,AF$29,AF$28,$H$24,$H$25,$G138,AF$30)</f>
        <v>0</v>
      </c>
      <c r="AG138" s="129">
        <f ca="1">_xll.DBRW($G$15,$H$21,$H$22,AF$29,AF$28,$H$24,$H$25,$G138,AG$30)</f>
        <v>0</v>
      </c>
      <c r="AH138" s="129">
        <f ca="1">_xll.DBRW($G$15,$H$21,$H$22,AF$29,AF$28,$H$24,$H$25,$G138,AH$30)</f>
        <v>0</v>
      </c>
      <c r="AI138" s="129">
        <f ca="1">_xll.DBRW($G$15,$H$21,$H$22,AI$29,AF$28,$H$24,$H$25,$G138,AI$30)</f>
        <v>0</v>
      </c>
      <c r="AJ138" s="129">
        <f ca="1">_xll.DBRW($G$15,$H$21,$H$22,AI$29,AF$28,$H$24,$H$25,$G138,AJ$30)</f>
        <v>0</v>
      </c>
      <c r="AK138" s="130">
        <f ca="1">_xll.DBRW($G$15,$H$21,$H$22,AI$29,AF$28,$H$24,$H$25,$G138,AK$30)</f>
        <v>0</v>
      </c>
      <c r="AL138" s="140">
        <f t="shared" ca="1" si="14"/>
        <v>0</v>
      </c>
      <c r="AM138" s="140">
        <f t="shared" ca="1" si="15"/>
        <v>0</v>
      </c>
    </row>
    <row r="139" spans="1:39">
      <c r="A139">
        <f ca="1">IF(_xll.TM1RPTELISCONSOLIDATED($G$31,$G139),IF(_xll.TM1RPTELLEV($G$31,$G139)&lt;=3,_xll.TM1RPTELLEV($G$31,$G139),"D"),"N")</f>
        <v>3</v>
      </c>
      <c r="G139" s="141" t="s">
        <v>291</v>
      </c>
      <c r="H139" s="129">
        <f ca="1">_xll.DBRW($G$15,$H$21,$H$22,H$29,H$28,$H$24,$H$25,$G139,H$30)</f>
        <v>0</v>
      </c>
      <c r="I139" s="129">
        <f ca="1">_xll.DBRW($G$15,$H$21,$H$22,H$29,H$28,$H$24,$H$25,$G139,I$30)</f>
        <v>0</v>
      </c>
      <c r="J139" s="129">
        <f ca="1">_xll.DBRW($G$15,$H$21,$H$22,H$29,H$28,$H$24,$H$25,$G139,J$30)</f>
        <v>0</v>
      </c>
      <c r="K139" s="129">
        <f ca="1">_xll.DBRW($G$15,$H$21,$H$22,K$29,H$28,$H$24,$H$25,$G139,K$30)</f>
        <v>0</v>
      </c>
      <c r="L139" s="129">
        <f ca="1">_xll.DBRW($G$15,$H$21,$H$22,K$29,H$28,$H$24,$H$25,$G139,L$30)</f>
        <v>0</v>
      </c>
      <c r="M139" s="130">
        <f ca="1">_xll.DBRW($G$15,$H$21,$H$22,K$29,H$28,$H$24,$H$25,$G139,M$30)</f>
        <v>0</v>
      </c>
      <c r="N139" s="131">
        <f t="shared" ca="1" si="8"/>
        <v>0</v>
      </c>
      <c r="O139" s="132">
        <f t="shared" ca="1" si="9"/>
        <v>0</v>
      </c>
      <c r="P139" s="133">
        <f ca="1">_xll.DBRW($G$15,$H$21,$H$22,P$29,P$28,$H$24,$H$25,$G139,P$30)</f>
        <v>0</v>
      </c>
      <c r="Q139" s="129">
        <f ca="1">_xll.DBRW($G$15,$H$21,$H$22,P$29,P$28,$H$24,$H$25,$G139,Q$30)</f>
        <v>0</v>
      </c>
      <c r="R139" s="129">
        <f ca="1">_xll.DBRW($G$15,$H$21,$H$22,P$29,P$28,$H$24,$H$25,$G139,R$30)</f>
        <v>0</v>
      </c>
      <c r="S139" s="129">
        <f ca="1">_xll.DBRW($G$15,$H$21,$H$22,S$29,P$28,$H$24,$H$25,$G139,S$30)</f>
        <v>0</v>
      </c>
      <c r="T139" s="129">
        <f ca="1">_xll.DBRW($G$15,$H$21,$H$22,S$29,P$28,$H$24,$H$25,$G139,T$30)</f>
        <v>0</v>
      </c>
      <c r="U139" s="130">
        <f ca="1">_xll.DBRW($G$15,$H$21,$H$22,S$29,P$28,$H$24,$H$25,$G139,U$30)</f>
        <v>0</v>
      </c>
      <c r="V139" s="131">
        <f t="shared" ca="1" si="10"/>
        <v>0</v>
      </c>
      <c r="W139" s="132">
        <f t="shared" ca="1" si="11"/>
        <v>0</v>
      </c>
      <c r="X139" s="133">
        <f ca="1">_xll.DBRW($G$15,$H$21,$H$22,X$29,X$28,$H$24,$H$25,$G139,X$30)</f>
        <v>0</v>
      </c>
      <c r="Y139" s="129">
        <f ca="1">_xll.DBRW($G$15,$H$21,$H$22,X$29,X$28,$H$24,$H$25,$G139,Y$30)</f>
        <v>0</v>
      </c>
      <c r="Z139" s="129">
        <f ca="1">_xll.DBRW($G$15,$H$21,$H$22,X$29,X$28,$H$24,$H$25,$G139,Z$30)</f>
        <v>0</v>
      </c>
      <c r="AA139" s="129">
        <f ca="1">_xll.DBRW($G$15,$H$21,$H$22,AA$29,X$28,$H$24,$H$25,$G139,AA$30)</f>
        <v>0</v>
      </c>
      <c r="AB139" s="129">
        <f ca="1">_xll.DBRW($G$15,$H$21,$H$22,AA$29,X$28,$H$24,$H$25,$G139,AB$30)</f>
        <v>0</v>
      </c>
      <c r="AC139" s="130">
        <f ca="1">_xll.DBRW($G$15,$H$21,$H$22,AA$29,X$28,$H$24,$H$25,$G139,AC$30)</f>
        <v>0</v>
      </c>
      <c r="AD139" s="131">
        <f t="shared" ca="1" si="12"/>
        <v>0</v>
      </c>
      <c r="AE139" s="132">
        <f t="shared" ca="1" si="13"/>
        <v>0</v>
      </c>
      <c r="AF139" s="133">
        <f ca="1">_xll.DBRW($G$15,$H$21,$H$22,AF$29,AF$28,$H$24,$H$25,$G139,AF$30)</f>
        <v>0</v>
      </c>
      <c r="AG139" s="129">
        <f ca="1">_xll.DBRW($G$15,$H$21,$H$22,AF$29,AF$28,$H$24,$H$25,$G139,AG$30)</f>
        <v>0</v>
      </c>
      <c r="AH139" s="129">
        <f ca="1">_xll.DBRW($G$15,$H$21,$H$22,AF$29,AF$28,$H$24,$H$25,$G139,AH$30)</f>
        <v>0</v>
      </c>
      <c r="AI139" s="129">
        <f ca="1">_xll.DBRW($G$15,$H$21,$H$22,AI$29,AF$28,$H$24,$H$25,$G139,AI$30)</f>
        <v>0</v>
      </c>
      <c r="AJ139" s="129">
        <f ca="1">_xll.DBRW($G$15,$H$21,$H$22,AI$29,AF$28,$H$24,$H$25,$G139,AJ$30)</f>
        <v>0</v>
      </c>
      <c r="AK139" s="130">
        <f ca="1">_xll.DBRW($G$15,$H$21,$H$22,AI$29,AF$28,$H$24,$H$25,$G139,AK$30)</f>
        <v>0</v>
      </c>
      <c r="AL139" s="140">
        <f t="shared" ca="1" si="14"/>
        <v>0</v>
      </c>
      <c r="AM139" s="140">
        <f t="shared" ca="1" si="15"/>
        <v>0</v>
      </c>
    </row>
    <row r="140" spans="1:39">
      <c r="A140">
        <f ca="1">IF(_xll.TM1RPTELISCONSOLIDATED($G$31,$G140),IF(_xll.TM1RPTELLEV($G$31,$G140)&lt;=3,_xll.TM1RPTELLEV($G$31,$G140),"D"),"N")</f>
        <v>3</v>
      </c>
      <c r="G140" s="141" t="s">
        <v>292</v>
      </c>
      <c r="H140" s="129">
        <f ca="1">_xll.DBRW($G$15,$H$21,$H$22,H$29,H$28,$H$24,$H$25,$G140,H$30)</f>
        <v>0</v>
      </c>
      <c r="I140" s="129">
        <f ca="1">_xll.DBRW($G$15,$H$21,$H$22,H$29,H$28,$H$24,$H$25,$G140,I$30)</f>
        <v>0</v>
      </c>
      <c r="J140" s="129">
        <f ca="1">_xll.DBRW($G$15,$H$21,$H$22,H$29,H$28,$H$24,$H$25,$G140,J$30)</f>
        <v>0</v>
      </c>
      <c r="K140" s="129">
        <f ca="1">_xll.DBRW($G$15,$H$21,$H$22,K$29,H$28,$H$24,$H$25,$G140,K$30)</f>
        <v>0</v>
      </c>
      <c r="L140" s="129">
        <f ca="1">_xll.DBRW($G$15,$H$21,$H$22,K$29,H$28,$H$24,$H$25,$G140,L$30)</f>
        <v>0</v>
      </c>
      <c r="M140" s="130">
        <f ca="1">_xll.DBRW($G$15,$H$21,$H$22,K$29,H$28,$H$24,$H$25,$G140,M$30)</f>
        <v>0</v>
      </c>
      <c r="N140" s="131">
        <f t="shared" ca="1" si="8"/>
        <v>0</v>
      </c>
      <c r="O140" s="132">
        <f t="shared" ca="1" si="9"/>
        <v>0</v>
      </c>
      <c r="P140" s="133">
        <f ca="1">_xll.DBRW($G$15,$H$21,$H$22,P$29,P$28,$H$24,$H$25,$G140,P$30)</f>
        <v>0</v>
      </c>
      <c r="Q140" s="129">
        <f ca="1">_xll.DBRW($G$15,$H$21,$H$22,P$29,P$28,$H$24,$H$25,$G140,Q$30)</f>
        <v>0</v>
      </c>
      <c r="R140" s="129">
        <f ca="1">_xll.DBRW($G$15,$H$21,$H$22,P$29,P$28,$H$24,$H$25,$G140,R$30)</f>
        <v>0</v>
      </c>
      <c r="S140" s="129">
        <f ca="1">_xll.DBRW($G$15,$H$21,$H$22,S$29,P$28,$H$24,$H$25,$G140,S$30)</f>
        <v>0</v>
      </c>
      <c r="T140" s="129">
        <f ca="1">_xll.DBRW($G$15,$H$21,$H$22,S$29,P$28,$H$24,$H$25,$G140,T$30)</f>
        <v>0</v>
      </c>
      <c r="U140" s="130">
        <f ca="1">_xll.DBRW($G$15,$H$21,$H$22,S$29,P$28,$H$24,$H$25,$G140,U$30)</f>
        <v>0</v>
      </c>
      <c r="V140" s="131">
        <f t="shared" ca="1" si="10"/>
        <v>0</v>
      </c>
      <c r="W140" s="132">
        <f t="shared" ca="1" si="11"/>
        <v>0</v>
      </c>
      <c r="X140" s="133">
        <f ca="1">_xll.DBRW($G$15,$H$21,$H$22,X$29,X$28,$H$24,$H$25,$G140,X$30)</f>
        <v>0</v>
      </c>
      <c r="Y140" s="129">
        <f ca="1">_xll.DBRW($G$15,$H$21,$H$22,X$29,X$28,$H$24,$H$25,$G140,Y$30)</f>
        <v>0</v>
      </c>
      <c r="Z140" s="129">
        <f ca="1">_xll.DBRW($G$15,$H$21,$H$22,X$29,X$28,$H$24,$H$25,$G140,Z$30)</f>
        <v>0</v>
      </c>
      <c r="AA140" s="129">
        <f ca="1">_xll.DBRW($G$15,$H$21,$H$22,AA$29,X$28,$H$24,$H$25,$G140,AA$30)</f>
        <v>0</v>
      </c>
      <c r="AB140" s="129">
        <f ca="1">_xll.DBRW($G$15,$H$21,$H$22,AA$29,X$28,$H$24,$H$25,$G140,AB$30)</f>
        <v>0</v>
      </c>
      <c r="AC140" s="130">
        <f ca="1">_xll.DBRW($G$15,$H$21,$H$22,AA$29,X$28,$H$24,$H$25,$G140,AC$30)</f>
        <v>0</v>
      </c>
      <c r="AD140" s="131">
        <f t="shared" ca="1" si="12"/>
        <v>0</v>
      </c>
      <c r="AE140" s="132">
        <f t="shared" ca="1" si="13"/>
        <v>0</v>
      </c>
      <c r="AF140" s="133">
        <f ca="1">_xll.DBRW($G$15,$H$21,$H$22,AF$29,AF$28,$H$24,$H$25,$G140,AF$30)</f>
        <v>0</v>
      </c>
      <c r="AG140" s="129">
        <f ca="1">_xll.DBRW($G$15,$H$21,$H$22,AF$29,AF$28,$H$24,$H$25,$G140,AG$30)</f>
        <v>0</v>
      </c>
      <c r="AH140" s="129">
        <f ca="1">_xll.DBRW($G$15,$H$21,$H$22,AF$29,AF$28,$H$24,$H$25,$G140,AH$30)</f>
        <v>0</v>
      </c>
      <c r="AI140" s="129">
        <f ca="1">_xll.DBRW($G$15,$H$21,$H$22,AI$29,AF$28,$H$24,$H$25,$G140,AI$30)</f>
        <v>0</v>
      </c>
      <c r="AJ140" s="129">
        <f ca="1">_xll.DBRW($G$15,$H$21,$H$22,AI$29,AF$28,$H$24,$H$25,$G140,AJ$30)</f>
        <v>0</v>
      </c>
      <c r="AK140" s="130">
        <f ca="1">_xll.DBRW($G$15,$H$21,$H$22,AI$29,AF$28,$H$24,$H$25,$G140,AK$30)</f>
        <v>0</v>
      </c>
      <c r="AL140" s="140">
        <f t="shared" ca="1" si="14"/>
        <v>0</v>
      </c>
      <c r="AM140" s="140">
        <f t="shared" ca="1" si="15"/>
        <v>0</v>
      </c>
    </row>
    <row r="141" spans="1:39">
      <c r="A141">
        <f ca="1">IF(_xll.TM1RPTELISCONSOLIDATED($G$31,$G141),IF(_xll.TM1RPTELLEV($G$31,$G141)&lt;=3,_xll.TM1RPTELLEV($G$31,$G141),"D"),"N")</f>
        <v>3</v>
      </c>
      <c r="G141" s="141" t="s">
        <v>293</v>
      </c>
      <c r="H141" s="129">
        <f ca="1">_xll.DBRW($G$15,$H$21,$H$22,H$29,H$28,$H$24,$H$25,$G141,H$30)</f>
        <v>0</v>
      </c>
      <c r="I141" s="129">
        <f ca="1">_xll.DBRW($G$15,$H$21,$H$22,H$29,H$28,$H$24,$H$25,$G141,I$30)</f>
        <v>0</v>
      </c>
      <c r="J141" s="129">
        <f ca="1">_xll.DBRW($G$15,$H$21,$H$22,H$29,H$28,$H$24,$H$25,$G141,J$30)</f>
        <v>0</v>
      </c>
      <c r="K141" s="129">
        <f ca="1">_xll.DBRW($G$15,$H$21,$H$22,K$29,H$28,$H$24,$H$25,$G141,K$30)</f>
        <v>0</v>
      </c>
      <c r="L141" s="129">
        <f ca="1">_xll.DBRW($G$15,$H$21,$H$22,K$29,H$28,$H$24,$H$25,$G141,L$30)</f>
        <v>0</v>
      </c>
      <c r="M141" s="130">
        <f ca="1">_xll.DBRW($G$15,$H$21,$H$22,K$29,H$28,$H$24,$H$25,$G141,M$30)</f>
        <v>0</v>
      </c>
      <c r="N141" s="131">
        <f t="shared" ca="1" si="8"/>
        <v>0</v>
      </c>
      <c r="O141" s="132">
        <f t="shared" ca="1" si="9"/>
        <v>0</v>
      </c>
      <c r="P141" s="133">
        <f ca="1">_xll.DBRW($G$15,$H$21,$H$22,P$29,P$28,$H$24,$H$25,$G141,P$30)</f>
        <v>0</v>
      </c>
      <c r="Q141" s="129">
        <f ca="1">_xll.DBRW($G$15,$H$21,$H$22,P$29,P$28,$H$24,$H$25,$G141,Q$30)</f>
        <v>0</v>
      </c>
      <c r="R141" s="129">
        <f ca="1">_xll.DBRW($G$15,$H$21,$H$22,P$29,P$28,$H$24,$H$25,$G141,R$30)</f>
        <v>0</v>
      </c>
      <c r="S141" s="129">
        <f ca="1">_xll.DBRW($G$15,$H$21,$H$22,S$29,P$28,$H$24,$H$25,$G141,S$30)</f>
        <v>0</v>
      </c>
      <c r="T141" s="129">
        <f ca="1">_xll.DBRW($G$15,$H$21,$H$22,S$29,P$28,$H$24,$H$25,$G141,T$30)</f>
        <v>0</v>
      </c>
      <c r="U141" s="130">
        <f ca="1">_xll.DBRW($G$15,$H$21,$H$22,S$29,P$28,$H$24,$H$25,$G141,U$30)</f>
        <v>0</v>
      </c>
      <c r="V141" s="131">
        <f t="shared" ca="1" si="10"/>
        <v>0</v>
      </c>
      <c r="W141" s="132">
        <f t="shared" ca="1" si="11"/>
        <v>0</v>
      </c>
      <c r="X141" s="133">
        <f ca="1">_xll.DBRW($G$15,$H$21,$H$22,X$29,X$28,$H$24,$H$25,$G141,X$30)</f>
        <v>0</v>
      </c>
      <c r="Y141" s="129">
        <f ca="1">_xll.DBRW($G$15,$H$21,$H$22,X$29,X$28,$H$24,$H$25,$G141,Y$30)</f>
        <v>0</v>
      </c>
      <c r="Z141" s="129">
        <f ca="1">_xll.DBRW($G$15,$H$21,$H$22,X$29,X$28,$H$24,$H$25,$G141,Z$30)</f>
        <v>0</v>
      </c>
      <c r="AA141" s="129">
        <f ca="1">_xll.DBRW($G$15,$H$21,$H$22,AA$29,X$28,$H$24,$H$25,$G141,AA$30)</f>
        <v>0</v>
      </c>
      <c r="AB141" s="129">
        <f ca="1">_xll.DBRW($G$15,$H$21,$H$22,AA$29,X$28,$H$24,$H$25,$G141,AB$30)</f>
        <v>0</v>
      </c>
      <c r="AC141" s="130">
        <f ca="1">_xll.DBRW($G$15,$H$21,$H$22,AA$29,X$28,$H$24,$H$25,$G141,AC$30)</f>
        <v>0</v>
      </c>
      <c r="AD141" s="131">
        <f t="shared" ca="1" si="12"/>
        <v>0</v>
      </c>
      <c r="AE141" s="132">
        <f t="shared" ca="1" si="13"/>
        <v>0</v>
      </c>
      <c r="AF141" s="133">
        <f ca="1">_xll.DBRW($G$15,$H$21,$H$22,AF$29,AF$28,$H$24,$H$25,$G141,AF$30)</f>
        <v>0</v>
      </c>
      <c r="AG141" s="129">
        <f ca="1">_xll.DBRW($G$15,$H$21,$H$22,AF$29,AF$28,$H$24,$H$25,$G141,AG$30)</f>
        <v>0</v>
      </c>
      <c r="AH141" s="129">
        <f ca="1">_xll.DBRW($G$15,$H$21,$H$22,AF$29,AF$28,$H$24,$H$25,$G141,AH$30)</f>
        <v>0</v>
      </c>
      <c r="AI141" s="129">
        <f ca="1">_xll.DBRW($G$15,$H$21,$H$22,AI$29,AF$28,$H$24,$H$25,$G141,AI$30)</f>
        <v>0</v>
      </c>
      <c r="AJ141" s="129">
        <f ca="1">_xll.DBRW($G$15,$H$21,$H$22,AI$29,AF$28,$H$24,$H$25,$G141,AJ$30)</f>
        <v>0</v>
      </c>
      <c r="AK141" s="130">
        <f ca="1">_xll.DBRW($G$15,$H$21,$H$22,AI$29,AF$28,$H$24,$H$25,$G141,AK$30)</f>
        <v>0</v>
      </c>
      <c r="AL141" s="140">
        <f t="shared" ca="1" si="14"/>
        <v>0</v>
      </c>
      <c r="AM141" s="140">
        <f t="shared" ca="1" si="15"/>
        <v>0</v>
      </c>
    </row>
    <row r="142" spans="1:39">
      <c r="A142">
        <f ca="1">IF(_xll.TM1RPTELISCONSOLIDATED($G$31,$G142),IF(_xll.TM1RPTELLEV($G$31,$G142)&lt;=3,_xll.TM1RPTELLEV($G$31,$G142),"D"),"N")</f>
        <v>3</v>
      </c>
      <c r="G142" s="141" t="s">
        <v>294</v>
      </c>
      <c r="H142" s="129">
        <f ca="1">_xll.DBRW($G$15,$H$21,$H$22,H$29,H$28,$H$24,$H$25,$G142,H$30)</f>
        <v>0</v>
      </c>
      <c r="I142" s="129">
        <f ca="1">_xll.DBRW($G$15,$H$21,$H$22,H$29,H$28,$H$24,$H$25,$G142,I$30)</f>
        <v>0</v>
      </c>
      <c r="J142" s="129">
        <f ca="1">_xll.DBRW($G$15,$H$21,$H$22,H$29,H$28,$H$24,$H$25,$G142,J$30)</f>
        <v>0</v>
      </c>
      <c r="K142" s="129">
        <f ca="1">_xll.DBRW($G$15,$H$21,$H$22,K$29,H$28,$H$24,$H$25,$G142,K$30)</f>
        <v>0</v>
      </c>
      <c r="L142" s="129">
        <f ca="1">_xll.DBRW($G$15,$H$21,$H$22,K$29,H$28,$H$24,$H$25,$G142,L$30)</f>
        <v>0</v>
      </c>
      <c r="M142" s="130">
        <f ca="1">_xll.DBRW($G$15,$H$21,$H$22,K$29,H$28,$H$24,$H$25,$G142,M$30)</f>
        <v>0</v>
      </c>
      <c r="N142" s="131">
        <f t="shared" ca="1" si="8"/>
        <v>0</v>
      </c>
      <c r="O142" s="132">
        <f t="shared" ca="1" si="9"/>
        <v>0</v>
      </c>
      <c r="P142" s="133">
        <f ca="1">_xll.DBRW($G$15,$H$21,$H$22,P$29,P$28,$H$24,$H$25,$G142,P$30)</f>
        <v>0</v>
      </c>
      <c r="Q142" s="129">
        <f ca="1">_xll.DBRW($G$15,$H$21,$H$22,P$29,P$28,$H$24,$H$25,$G142,Q$30)</f>
        <v>0</v>
      </c>
      <c r="R142" s="129">
        <f ca="1">_xll.DBRW($G$15,$H$21,$H$22,P$29,P$28,$H$24,$H$25,$G142,R$30)</f>
        <v>0</v>
      </c>
      <c r="S142" s="129">
        <f ca="1">_xll.DBRW($G$15,$H$21,$H$22,S$29,P$28,$H$24,$H$25,$G142,S$30)</f>
        <v>0</v>
      </c>
      <c r="T142" s="129">
        <f ca="1">_xll.DBRW($G$15,$H$21,$H$22,S$29,P$28,$H$24,$H$25,$G142,T$30)</f>
        <v>0</v>
      </c>
      <c r="U142" s="130">
        <f ca="1">_xll.DBRW($G$15,$H$21,$H$22,S$29,P$28,$H$24,$H$25,$G142,U$30)</f>
        <v>0</v>
      </c>
      <c r="V142" s="131">
        <f t="shared" ca="1" si="10"/>
        <v>0</v>
      </c>
      <c r="W142" s="132">
        <f t="shared" ca="1" si="11"/>
        <v>0</v>
      </c>
      <c r="X142" s="133">
        <f ca="1">_xll.DBRW($G$15,$H$21,$H$22,X$29,X$28,$H$24,$H$25,$G142,X$30)</f>
        <v>0</v>
      </c>
      <c r="Y142" s="129">
        <f ca="1">_xll.DBRW($G$15,$H$21,$H$22,X$29,X$28,$H$24,$H$25,$G142,Y$30)</f>
        <v>0</v>
      </c>
      <c r="Z142" s="129">
        <f ca="1">_xll.DBRW($G$15,$H$21,$H$22,X$29,X$28,$H$24,$H$25,$G142,Z$30)</f>
        <v>0</v>
      </c>
      <c r="AA142" s="129">
        <f ca="1">_xll.DBRW($G$15,$H$21,$H$22,AA$29,X$28,$H$24,$H$25,$G142,AA$30)</f>
        <v>0</v>
      </c>
      <c r="AB142" s="129">
        <f ca="1">_xll.DBRW($G$15,$H$21,$H$22,AA$29,X$28,$H$24,$H$25,$G142,AB$30)</f>
        <v>0</v>
      </c>
      <c r="AC142" s="130">
        <f ca="1">_xll.DBRW($G$15,$H$21,$H$22,AA$29,X$28,$H$24,$H$25,$G142,AC$30)</f>
        <v>0</v>
      </c>
      <c r="AD142" s="131">
        <f t="shared" ca="1" si="12"/>
        <v>0</v>
      </c>
      <c r="AE142" s="132">
        <f t="shared" ca="1" si="13"/>
        <v>0</v>
      </c>
      <c r="AF142" s="133">
        <f ca="1">_xll.DBRW($G$15,$H$21,$H$22,AF$29,AF$28,$H$24,$H$25,$G142,AF$30)</f>
        <v>0</v>
      </c>
      <c r="AG142" s="129">
        <f ca="1">_xll.DBRW($G$15,$H$21,$H$22,AF$29,AF$28,$H$24,$H$25,$G142,AG$30)</f>
        <v>0</v>
      </c>
      <c r="AH142" s="129">
        <f ca="1">_xll.DBRW($G$15,$H$21,$H$22,AF$29,AF$28,$H$24,$H$25,$G142,AH$30)</f>
        <v>0</v>
      </c>
      <c r="AI142" s="129">
        <f ca="1">_xll.DBRW($G$15,$H$21,$H$22,AI$29,AF$28,$H$24,$H$25,$G142,AI$30)</f>
        <v>0</v>
      </c>
      <c r="AJ142" s="129">
        <f ca="1">_xll.DBRW($G$15,$H$21,$H$22,AI$29,AF$28,$H$24,$H$25,$G142,AJ$30)</f>
        <v>0</v>
      </c>
      <c r="AK142" s="130">
        <f ca="1">_xll.DBRW($G$15,$H$21,$H$22,AI$29,AF$28,$H$24,$H$25,$G142,AK$30)</f>
        <v>0</v>
      </c>
      <c r="AL142" s="140">
        <f t="shared" ca="1" si="14"/>
        <v>0</v>
      </c>
      <c r="AM142" s="140">
        <f t="shared" ca="1" si="15"/>
        <v>0</v>
      </c>
    </row>
    <row r="143" spans="1:39">
      <c r="A143">
        <f ca="1">IF(_xll.TM1RPTELISCONSOLIDATED($G$31,$G143),IF(_xll.TM1RPTELLEV($G$31,$G143)&lt;=3,_xll.TM1RPTELLEV($G$31,$G143),"D"),"N")</f>
        <v>3</v>
      </c>
      <c r="G143" s="141" t="s">
        <v>295</v>
      </c>
      <c r="H143" s="129">
        <f ca="1">_xll.DBRW($G$15,$H$21,$H$22,H$29,H$28,$H$24,$H$25,$G143,H$30)</f>
        <v>0</v>
      </c>
      <c r="I143" s="129">
        <f ca="1">_xll.DBRW($G$15,$H$21,$H$22,H$29,H$28,$H$24,$H$25,$G143,I$30)</f>
        <v>0</v>
      </c>
      <c r="J143" s="129">
        <f ca="1">_xll.DBRW($G$15,$H$21,$H$22,H$29,H$28,$H$24,$H$25,$G143,J$30)</f>
        <v>0</v>
      </c>
      <c r="K143" s="129">
        <f ca="1">_xll.DBRW($G$15,$H$21,$H$22,K$29,H$28,$H$24,$H$25,$G143,K$30)</f>
        <v>0</v>
      </c>
      <c r="L143" s="129">
        <f ca="1">_xll.DBRW($G$15,$H$21,$H$22,K$29,H$28,$H$24,$H$25,$G143,L$30)</f>
        <v>0</v>
      </c>
      <c r="M143" s="130">
        <f ca="1">_xll.DBRW($G$15,$H$21,$H$22,K$29,H$28,$H$24,$H$25,$G143,M$30)</f>
        <v>0</v>
      </c>
      <c r="N143" s="131">
        <f t="shared" ca="1" si="8"/>
        <v>0</v>
      </c>
      <c r="O143" s="132">
        <f t="shared" ca="1" si="9"/>
        <v>0</v>
      </c>
      <c r="P143" s="133">
        <f ca="1">_xll.DBRW($G$15,$H$21,$H$22,P$29,P$28,$H$24,$H$25,$G143,P$30)</f>
        <v>0</v>
      </c>
      <c r="Q143" s="129">
        <f ca="1">_xll.DBRW($G$15,$H$21,$H$22,P$29,P$28,$H$24,$H$25,$G143,Q$30)</f>
        <v>0</v>
      </c>
      <c r="R143" s="129">
        <f ca="1">_xll.DBRW($G$15,$H$21,$H$22,P$29,P$28,$H$24,$H$25,$G143,R$30)</f>
        <v>0</v>
      </c>
      <c r="S143" s="129">
        <f ca="1">_xll.DBRW($G$15,$H$21,$H$22,S$29,P$28,$H$24,$H$25,$G143,S$30)</f>
        <v>0</v>
      </c>
      <c r="T143" s="129">
        <f ca="1">_xll.DBRW($G$15,$H$21,$H$22,S$29,P$28,$H$24,$H$25,$G143,T$30)</f>
        <v>0</v>
      </c>
      <c r="U143" s="130">
        <f ca="1">_xll.DBRW($G$15,$H$21,$H$22,S$29,P$28,$H$24,$H$25,$G143,U$30)</f>
        <v>0</v>
      </c>
      <c r="V143" s="131">
        <f t="shared" ca="1" si="10"/>
        <v>0</v>
      </c>
      <c r="W143" s="132">
        <f t="shared" ca="1" si="11"/>
        <v>0</v>
      </c>
      <c r="X143" s="133">
        <f ca="1">_xll.DBRW($G$15,$H$21,$H$22,X$29,X$28,$H$24,$H$25,$G143,X$30)</f>
        <v>0</v>
      </c>
      <c r="Y143" s="129">
        <f ca="1">_xll.DBRW($G$15,$H$21,$H$22,X$29,X$28,$H$24,$H$25,$G143,Y$30)</f>
        <v>0</v>
      </c>
      <c r="Z143" s="129">
        <f ca="1">_xll.DBRW($G$15,$H$21,$H$22,X$29,X$28,$H$24,$H$25,$G143,Z$30)</f>
        <v>0</v>
      </c>
      <c r="AA143" s="129">
        <f ca="1">_xll.DBRW($G$15,$H$21,$H$22,AA$29,X$28,$H$24,$H$25,$G143,AA$30)</f>
        <v>0</v>
      </c>
      <c r="AB143" s="129">
        <f ca="1">_xll.DBRW($G$15,$H$21,$H$22,AA$29,X$28,$H$24,$H$25,$G143,AB$30)</f>
        <v>0</v>
      </c>
      <c r="AC143" s="130">
        <f ca="1">_xll.DBRW($G$15,$H$21,$H$22,AA$29,X$28,$H$24,$H$25,$G143,AC$30)</f>
        <v>0</v>
      </c>
      <c r="AD143" s="131">
        <f t="shared" ca="1" si="12"/>
        <v>0</v>
      </c>
      <c r="AE143" s="132">
        <f t="shared" ca="1" si="13"/>
        <v>0</v>
      </c>
      <c r="AF143" s="133">
        <f ca="1">_xll.DBRW($G$15,$H$21,$H$22,AF$29,AF$28,$H$24,$H$25,$G143,AF$30)</f>
        <v>0</v>
      </c>
      <c r="AG143" s="129">
        <f ca="1">_xll.DBRW($G$15,$H$21,$H$22,AF$29,AF$28,$H$24,$H$25,$G143,AG$30)</f>
        <v>0</v>
      </c>
      <c r="AH143" s="129">
        <f ca="1">_xll.DBRW($G$15,$H$21,$H$22,AF$29,AF$28,$H$24,$H$25,$G143,AH$30)</f>
        <v>0</v>
      </c>
      <c r="AI143" s="129">
        <f ca="1">_xll.DBRW($G$15,$H$21,$H$22,AI$29,AF$28,$H$24,$H$25,$G143,AI$30)</f>
        <v>0</v>
      </c>
      <c r="AJ143" s="129">
        <f ca="1">_xll.DBRW($G$15,$H$21,$H$22,AI$29,AF$28,$H$24,$H$25,$G143,AJ$30)</f>
        <v>0</v>
      </c>
      <c r="AK143" s="130">
        <f ca="1">_xll.DBRW($G$15,$H$21,$H$22,AI$29,AF$28,$H$24,$H$25,$G143,AK$30)</f>
        <v>0</v>
      </c>
      <c r="AL143" s="140">
        <f t="shared" ca="1" si="14"/>
        <v>0</v>
      </c>
      <c r="AM143" s="140">
        <f t="shared" ca="1" si="15"/>
        <v>0</v>
      </c>
    </row>
    <row r="144" spans="1:39">
      <c r="A144">
        <f ca="1">IF(_xll.TM1RPTELISCONSOLIDATED($G$31,$G144),IF(_xll.TM1RPTELLEV($G$31,$G144)&lt;=3,_xll.TM1RPTELLEV($G$31,$G144),"D"),"N")</f>
        <v>2</v>
      </c>
      <c r="G144" s="79" t="s">
        <v>296</v>
      </c>
      <c r="H144" s="52">
        <f ca="1">_xll.DBRW($G$15,$H$21,$H$22,H$29,H$28,$H$24,$H$25,$G144,H$30)</f>
        <v>0</v>
      </c>
      <c r="I144" s="52">
        <f ca="1">_xll.DBRW($G$15,$H$21,$H$22,H$29,H$28,$H$24,$H$25,$G144,I$30)</f>
        <v>0</v>
      </c>
      <c r="J144" s="52">
        <f ca="1">_xll.DBRW($G$15,$H$21,$H$22,H$29,H$28,$H$24,$H$25,$G144,J$30)</f>
        <v>0</v>
      </c>
      <c r="K144" s="52">
        <f ca="1">_xll.DBRW($G$15,$H$21,$H$22,K$29,H$28,$H$24,$H$25,$G144,K$30)</f>
        <v>0</v>
      </c>
      <c r="L144" s="52">
        <f ca="1">_xll.DBRW($G$15,$H$21,$H$22,K$29,H$28,$H$24,$H$25,$G144,L$30)</f>
        <v>0</v>
      </c>
      <c r="M144" s="53">
        <f ca="1">_xll.DBRW($G$15,$H$21,$H$22,K$29,H$28,$H$24,$H$25,$G144,M$30)</f>
        <v>0</v>
      </c>
      <c r="N144" s="127">
        <f t="shared" ca="1" si="8"/>
        <v>0</v>
      </c>
      <c r="O144" s="128">
        <f t="shared" ca="1" si="9"/>
        <v>0</v>
      </c>
      <c r="P144" s="55">
        <f ca="1">_xll.DBRW($G$15,$H$21,$H$22,P$29,P$28,$H$24,$H$25,$G144,P$30)</f>
        <v>0</v>
      </c>
      <c r="Q144" s="52">
        <f ca="1">_xll.DBRW($G$15,$H$21,$H$22,P$29,P$28,$H$24,$H$25,$G144,Q$30)</f>
        <v>0</v>
      </c>
      <c r="R144" s="52">
        <f ca="1">_xll.DBRW($G$15,$H$21,$H$22,P$29,P$28,$H$24,$H$25,$G144,R$30)</f>
        <v>0</v>
      </c>
      <c r="S144" s="52">
        <f ca="1">_xll.DBRW($G$15,$H$21,$H$22,S$29,P$28,$H$24,$H$25,$G144,S$30)</f>
        <v>0</v>
      </c>
      <c r="T144" s="52">
        <f ca="1">_xll.DBRW($G$15,$H$21,$H$22,S$29,P$28,$H$24,$H$25,$G144,T$30)</f>
        <v>0</v>
      </c>
      <c r="U144" s="53">
        <f ca="1">_xll.DBRW($G$15,$H$21,$H$22,S$29,P$28,$H$24,$H$25,$G144,U$30)</f>
        <v>0</v>
      </c>
      <c r="V144" s="127">
        <f t="shared" ca="1" si="10"/>
        <v>0</v>
      </c>
      <c r="W144" s="128">
        <f t="shared" ca="1" si="11"/>
        <v>0</v>
      </c>
      <c r="X144" s="55">
        <f ca="1">_xll.DBRW($G$15,$H$21,$H$22,X$29,X$28,$H$24,$H$25,$G144,X$30)</f>
        <v>0</v>
      </c>
      <c r="Y144" s="52">
        <f ca="1">_xll.DBRW($G$15,$H$21,$H$22,X$29,X$28,$H$24,$H$25,$G144,Y$30)</f>
        <v>0</v>
      </c>
      <c r="Z144" s="52">
        <f ca="1">_xll.DBRW($G$15,$H$21,$H$22,X$29,X$28,$H$24,$H$25,$G144,Z$30)</f>
        <v>0</v>
      </c>
      <c r="AA144" s="52">
        <f ca="1">_xll.DBRW($G$15,$H$21,$H$22,AA$29,X$28,$H$24,$H$25,$G144,AA$30)</f>
        <v>0</v>
      </c>
      <c r="AB144" s="52">
        <f ca="1">_xll.DBRW($G$15,$H$21,$H$22,AA$29,X$28,$H$24,$H$25,$G144,AB$30)</f>
        <v>0</v>
      </c>
      <c r="AC144" s="53">
        <f ca="1">_xll.DBRW($G$15,$H$21,$H$22,AA$29,X$28,$H$24,$H$25,$G144,AC$30)</f>
        <v>0</v>
      </c>
      <c r="AD144" s="127">
        <f t="shared" ca="1" si="12"/>
        <v>0</v>
      </c>
      <c r="AE144" s="128">
        <f t="shared" ca="1" si="13"/>
        <v>0</v>
      </c>
      <c r="AF144" s="55">
        <f ca="1">_xll.DBRW($G$15,$H$21,$H$22,AF$29,AF$28,$H$24,$H$25,$G144,AF$30)</f>
        <v>0</v>
      </c>
      <c r="AG144" s="52">
        <f ca="1">_xll.DBRW($G$15,$H$21,$H$22,AF$29,AF$28,$H$24,$H$25,$G144,AG$30)</f>
        <v>0</v>
      </c>
      <c r="AH144" s="52">
        <f ca="1">_xll.DBRW($G$15,$H$21,$H$22,AF$29,AF$28,$H$24,$H$25,$G144,AH$30)</f>
        <v>0</v>
      </c>
      <c r="AI144" s="52">
        <f ca="1">_xll.DBRW($G$15,$H$21,$H$22,AI$29,AF$28,$H$24,$H$25,$G144,AI$30)</f>
        <v>0</v>
      </c>
      <c r="AJ144" s="52">
        <f ca="1">_xll.DBRW($G$15,$H$21,$H$22,AI$29,AF$28,$H$24,$H$25,$G144,AJ$30)</f>
        <v>0</v>
      </c>
      <c r="AK144" s="53">
        <f ca="1">_xll.DBRW($G$15,$H$21,$H$22,AI$29,AF$28,$H$24,$H$25,$G144,AK$30)</f>
        <v>0</v>
      </c>
      <c r="AL144" s="140">
        <f t="shared" ca="1" si="14"/>
        <v>0</v>
      </c>
      <c r="AM144" s="140">
        <f t="shared" ca="1" si="15"/>
        <v>0</v>
      </c>
    </row>
    <row r="145" spans="1:39">
      <c r="A145">
        <f ca="1">IF(_xll.TM1RPTELISCONSOLIDATED($G$31,$G145),IF(_xll.TM1RPTELLEV($G$31,$G145)&lt;=3,_xll.TM1RPTELLEV($G$31,$G145),"D"),"N")</f>
        <v>2</v>
      </c>
      <c r="G145" s="79" t="s">
        <v>297</v>
      </c>
      <c r="H145" s="52">
        <f ca="1">_xll.DBRW($G$15,$H$21,$H$22,H$29,H$28,$H$24,$H$25,$G145,H$30)</f>
        <v>0</v>
      </c>
      <c r="I145" s="52">
        <f ca="1">_xll.DBRW($G$15,$H$21,$H$22,H$29,H$28,$H$24,$H$25,$G145,I$30)</f>
        <v>0</v>
      </c>
      <c r="J145" s="52">
        <f ca="1">_xll.DBRW($G$15,$H$21,$H$22,H$29,H$28,$H$24,$H$25,$G145,J$30)</f>
        <v>0</v>
      </c>
      <c r="K145" s="52">
        <f ca="1">_xll.DBRW($G$15,$H$21,$H$22,K$29,H$28,$H$24,$H$25,$G145,K$30)</f>
        <v>0</v>
      </c>
      <c r="L145" s="52">
        <f ca="1">_xll.DBRW($G$15,$H$21,$H$22,K$29,H$28,$H$24,$H$25,$G145,L$30)</f>
        <v>0</v>
      </c>
      <c r="M145" s="53">
        <f ca="1">_xll.DBRW($G$15,$H$21,$H$22,K$29,H$28,$H$24,$H$25,$G145,M$30)</f>
        <v>0</v>
      </c>
      <c r="N145" s="127">
        <f t="shared" ca="1" si="8"/>
        <v>0</v>
      </c>
      <c r="O145" s="128">
        <f t="shared" ca="1" si="9"/>
        <v>0</v>
      </c>
      <c r="P145" s="55">
        <f ca="1">_xll.DBRW($G$15,$H$21,$H$22,P$29,P$28,$H$24,$H$25,$G145,P$30)</f>
        <v>0</v>
      </c>
      <c r="Q145" s="52">
        <f ca="1">_xll.DBRW($G$15,$H$21,$H$22,P$29,P$28,$H$24,$H$25,$G145,Q$30)</f>
        <v>0</v>
      </c>
      <c r="R145" s="52">
        <f ca="1">_xll.DBRW($G$15,$H$21,$H$22,P$29,P$28,$H$24,$H$25,$G145,R$30)</f>
        <v>0</v>
      </c>
      <c r="S145" s="52">
        <f ca="1">_xll.DBRW($G$15,$H$21,$H$22,S$29,P$28,$H$24,$H$25,$G145,S$30)</f>
        <v>0</v>
      </c>
      <c r="T145" s="52">
        <f ca="1">_xll.DBRW($G$15,$H$21,$H$22,S$29,P$28,$H$24,$H$25,$G145,T$30)</f>
        <v>0</v>
      </c>
      <c r="U145" s="53">
        <f ca="1">_xll.DBRW($G$15,$H$21,$H$22,S$29,P$28,$H$24,$H$25,$G145,U$30)</f>
        <v>0</v>
      </c>
      <c r="V145" s="127">
        <f t="shared" ca="1" si="10"/>
        <v>0</v>
      </c>
      <c r="W145" s="128">
        <f t="shared" ca="1" si="11"/>
        <v>0</v>
      </c>
      <c r="X145" s="55">
        <f ca="1">_xll.DBRW($G$15,$H$21,$H$22,X$29,X$28,$H$24,$H$25,$G145,X$30)</f>
        <v>0</v>
      </c>
      <c r="Y145" s="52">
        <f ca="1">_xll.DBRW($G$15,$H$21,$H$22,X$29,X$28,$H$24,$H$25,$G145,Y$30)</f>
        <v>0</v>
      </c>
      <c r="Z145" s="52">
        <f ca="1">_xll.DBRW($G$15,$H$21,$H$22,X$29,X$28,$H$24,$H$25,$G145,Z$30)</f>
        <v>0</v>
      </c>
      <c r="AA145" s="52">
        <f ca="1">_xll.DBRW($G$15,$H$21,$H$22,AA$29,X$28,$H$24,$H$25,$G145,AA$30)</f>
        <v>0</v>
      </c>
      <c r="AB145" s="52">
        <f ca="1">_xll.DBRW($G$15,$H$21,$H$22,AA$29,X$28,$H$24,$H$25,$G145,AB$30)</f>
        <v>0</v>
      </c>
      <c r="AC145" s="53">
        <f ca="1">_xll.DBRW($G$15,$H$21,$H$22,AA$29,X$28,$H$24,$H$25,$G145,AC$30)</f>
        <v>0</v>
      </c>
      <c r="AD145" s="127">
        <f t="shared" ca="1" si="12"/>
        <v>0</v>
      </c>
      <c r="AE145" s="128">
        <f t="shared" ca="1" si="13"/>
        <v>0</v>
      </c>
      <c r="AF145" s="55">
        <f ca="1">_xll.DBRW($G$15,$H$21,$H$22,AF$29,AF$28,$H$24,$H$25,$G145,AF$30)</f>
        <v>0</v>
      </c>
      <c r="AG145" s="52">
        <f ca="1">_xll.DBRW($G$15,$H$21,$H$22,AF$29,AF$28,$H$24,$H$25,$G145,AG$30)</f>
        <v>0</v>
      </c>
      <c r="AH145" s="52">
        <f ca="1">_xll.DBRW($G$15,$H$21,$H$22,AF$29,AF$28,$H$24,$H$25,$G145,AH$30)</f>
        <v>0</v>
      </c>
      <c r="AI145" s="52">
        <f ca="1">_xll.DBRW($G$15,$H$21,$H$22,AI$29,AF$28,$H$24,$H$25,$G145,AI$30)</f>
        <v>0</v>
      </c>
      <c r="AJ145" s="52">
        <f ca="1">_xll.DBRW($G$15,$H$21,$H$22,AI$29,AF$28,$H$24,$H$25,$G145,AJ$30)</f>
        <v>0</v>
      </c>
      <c r="AK145" s="53">
        <f ca="1">_xll.DBRW($G$15,$H$21,$H$22,AI$29,AF$28,$H$24,$H$25,$G145,AK$30)</f>
        <v>0</v>
      </c>
      <c r="AL145" s="140">
        <f t="shared" ca="1" si="14"/>
        <v>0</v>
      </c>
      <c r="AM145" s="140">
        <f t="shared" ca="1" si="15"/>
        <v>0</v>
      </c>
    </row>
    <row r="146" spans="1:39">
      <c r="A146">
        <f ca="1">IF(_xll.TM1RPTELISCONSOLIDATED($G$31,$G146),IF(_xll.TM1RPTELLEV($G$31,$G146)&lt;=3,_xll.TM1RPTELLEV($G$31,$G146),"D"),"N")</f>
        <v>2</v>
      </c>
      <c r="G146" s="79" t="s">
        <v>298</v>
      </c>
      <c r="H146" s="52">
        <f ca="1">_xll.DBRW($G$15,$H$21,$H$22,H$29,H$28,$H$24,$H$25,$G146,H$30)</f>
        <v>0</v>
      </c>
      <c r="I146" s="52">
        <f ca="1">_xll.DBRW($G$15,$H$21,$H$22,H$29,H$28,$H$24,$H$25,$G146,I$30)</f>
        <v>0</v>
      </c>
      <c r="J146" s="52">
        <f ca="1">_xll.DBRW($G$15,$H$21,$H$22,H$29,H$28,$H$24,$H$25,$G146,J$30)</f>
        <v>0</v>
      </c>
      <c r="K146" s="52">
        <f ca="1">_xll.DBRW($G$15,$H$21,$H$22,K$29,H$28,$H$24,$H$25,$G146,K$30)</f>
        <v>0</v>
      </c>
      <c r="L146" s="52">
        <f ca="1">_xll.DBRW($G$15,$H$21,$H$22,K$29,H$28,$H$24,$H$25,$G146,L$30)</f>
        <v>0</v>
      </c>
      <c r="M146" s="53">
        <f ca="1">_xll.DBRW($G$15,$H$21,$H$22,K$29,H$28,$H$24,$H$25,$G146,M$30)</f>
        <v>0</v>
      </c>
      <c r="N146" s="127">
        <f t="shared" ca="1" si="8"/>
        <v>0</v>
      </c>
      <c r="O146" s="128">
        <f t="shared" ca="1" si="9"/>
        <v>0</v>
      </c>
      <c r="P146" s="55">
        <f ca="1">_xll.DBRW($G$15,$H$21,$H$22,P$29,P$28,$H$24,$H$25,$G146,P$30)</f>
        <v>0</v>
      </c>
      <c r="Q146" s="52">
        <f ca="1">_xll.DBRW($G$15,$H$21,$H$22,P$29,P$28,$H$24,$H$25,$G146,Q$30)</f>
        <v>0</v>
      </c>
      <c r="R146" s="52">
        <f ca="1">_xll.DBRW($G$15,$H$21,$H$22,P$29,P$28,$H$24,$H$25,$G146,R$30)</f>
        <v>0</v>
      </c>
      <c r="S146" s="52">
        <f ca="1">_xll.DBRW($G$15,$H$21,$H$22,S$29,P$28,$H$24,$H$25,$G146,S$30)</f>
        <v>0</v>
      </c>
      <c r="T146" s="52">
        <f ca="1">_xll.DBRW($G$15,$H$21,$H$22,S$29,P$28,$H$24,$H$25,$G146,T$30)</f>
        <v>0</v>
      </c>
      <c r="U146" s="53">
        <f ca="1">_xll.DBRW($G$15,$H$21,$H$22,S$29,P$28,$H$24,$H$25,$G146,U$30)</f>
        <v>0</v>
      </c>
      <c r="V146" s="127">
        <f t="shared" ca="1" si="10"/>
        <v>0</v>
      </c>
      <c r="W146" s="128">
        <f t="shared" ca="1" si="11"/>
        <v>0</v>
      </c>
      <c r="X146" s="55">
        <f ca="1">_xll.DBRW($G$15,$H$21,$H$22,X$29,X$28,$H$24,$H$25,$G146,X$30)</f>
        <v>0</v>
      </c>
      <c r="Y146" s="52">
        <f ca="1">_xll.DBRW($G$15,$H$21,$H$22,X$29,X$28,$H$24,$H$25,$G146,Y$30)</f>
        <v>0</v>
      </c>
      <c r="Z146" s="52">
        <f ca="1">_xll.DBRW($G$15,$H$21,$H$22,X$29,X$28,$H$24,$H$25,$G146,Z$30)</f>
        <v>0</v>
      </c>
      <c r="AA146" s="52">
        <f ca="1">_xll.DBRW($G$15,$H$21,$H$22,AA$29,X$28,$H$24,$H$25,$G146,AA$30)</f>
        <v>0</v>
      </c>
      <c r="AB146" s="52">
        <f ca="1">_xll.DBRW($G$15,$H$21,$H$22,AA$29,X$28,$H$24,$H$25,$G146,AB$30)</f>
        <v>0</v>
      </c>
      <c r="AC146" s="53">
        <f ca="1">_xll.DBRW($G$15,$H$21,$H$22,AA$29,X$28,$H$24,$H$25,$G146,AC$30)</f>
        <v>0</v>
      </c>
      <c r="AD146" s="127">
        <f t="shared" ca="1" si="12"/>
        <v>0</v>
      </c>
      <c r="AE146" s="128">
        <f t="shared" ca="1" si="13"/>
        <v>0</v>
      </c>
      <c r="AF146" s="55">
        <f ca="1">_xll.DBRW($G$15,$H$21,$H$22,AF$29,AF$28,$H$24,$H$25,$G146,AF$30)</f>
        <v>0</v>
      </c>
      <c r="AG146" s="52">
        <f ca="1">_xll.DBRW($G$15,$H$21,$H$22,AF$29,AF$28,$H$24,$H$25,$G146,AG$30)</f>
        <v>0</v>
      </c>
      <c r="AH146" s="52">
        <f ca="1">_xll.DBRW($G$15,$H$21,$H$22,AF$29,AF$28,$H$24,$H$25,$G146,AH$30)</f>
        <v>0</v>
      </c>
      <c r="AI146" s="52">
        <f ca="1">_xll.DBRW($G$15,$H$21,$H$22,AI$29,AF$28,$H$24,$H$25,$G146,AI$30)</f>
        <v>0</v>
      </c>
      <c r="AJ146" s="52">
        <f ca="1">_xll.DBRW($G$15,$H$21,$H$22,AI$29,AF$28,$H$24,$H$25,$G146,AJ$30)</f>
        <v>0</v>
      </c>
      <c r="AK146" s="53">
        <f ca="1">_xll.DBRW($G$15,$H$21,$H$22,AI$29,AF$28,$H$24,$H$25,$G146,AK$30)</f>
        <v>0</v>
      </c>
      <c r="AL146" s="140">
        <f t="shared" ca="1" si="14"/>
        <v>0</v>
      </c>
      <c r="AM146" s="140">
        <f t="shared" ca="1" si="15"/>
        <v>0</v>
      </c>
    </row>
    <row r="147" spans="1:39">
      <c r="A147">
        <f ca="1">IF(_xll.TM1RPTELISCONSOLIDATED($G$31,$G147),IF(_xll.TM1RPTELLEV($G$31,$G147)&lt;=3,_xll.TM1RPTELLEV($G$31,$G147),"D"),"N")</f>
        <v>2</v>
      </c>
      <c r="G147" s="80" t="s">
        <v>299</v>
      </c>
      <c r="H147" s="52">
        <f ca="1">_xll.DBRW($G$15,$H$21,$H$22,H$29,H$28,$H$24,$H$25,$G147,H$30)</f>
        <v>0</v>
      </c>
      <c r="I147" s="52">
        <f ca="1">_xll.DBRW($G$15,$H$21,$H$22,H$29,H$28,$H$24,$H$25,$G147,I$30)</f>
        <v>0</v>
      </c>
      <c r="J147" s="52">
        <f ca="1">_xll.DBRW($G$15,$H$21,$H$22,H$29,H$28,$H$24,$H$25,$G147,J$30)</f>
        <v>0</v>
      </c>
      <c r="K147" s="52">
        <f ca="1">_xll.DBRW($G$15,$H$21,$H$22,K$29,H$28,$H$24,$H$25,$G147,K$30)</f>
        <v>0</v>
      </c>
      <c r="L147" s="52">
        <f ca="1">_xll.DBRW($G$15,$H$21,$H$22,K$29,H$28,$H$24,$H$25,$G147,L$30)</f>
        <v>0</v>
      </c>
      <c r="M147" s="53">
        <f ca="1">_xll.DBRW($G$15,$H$21,$H$22,K$29,H$28,$H$24,$H$25,$G147,M$30)</f>
        <v>0</v>
      </c>
      <c r="N147" s="127">
        <f t="shared" ca="1" si="8"/>
        <v>0</v>
      </c>
      <c r="O147" s="128">
        <f t="shared" ca="1" si="9"/>
        <v>0</v>
      </c>
      <c r="P147" s="55">
        <f ca="1">_xll.DBRW($G$15,$H$21,$H$22,P$29,P$28,$H$24,$H$25,$G147,P$30)</f>
        <v>0</v>
      </c>
      <c r="Q147" s="52">
        <f ca="1">_xll.DBRW($G$15,$H$21,$H$22,P$29,P$28,$H$24,$H$25,$G147,Q$30)</f>
        <v>0</v>
      </c>
      <c r="R147" s="52">
        <f ca="1">_xll.DBRW($G$15,$H$21,$H$22,P$29,P$28,$H$24,$H$25,$G147,R$30)</f>
        <v>0</v>
      </c>
      <c r="S147" s="52">
        <f ca="1">_xll.DBRW($G$15,$H$21,$H$22,S$29,P$28,$H$24,$H$25,$G147,S$30)</f>
        <v>0</v>
      </c>
      <c r="T147" s="52">
        <f ca="1">_xll.DBRW($G$15,$H$21,$H$22,S$29,P$28,$H$24,$H$25,$G147,T$30)</f>
        <v>0</v>
      </c>
      <c r="U147" s="53">
        <f ca="1">_xll.DBRW($G$15,$H$21,$H$22,S$29,P$28,$H$24,$H$25,$G147,U$30)</f>
        <v>0</v>
      </c>
      <c r="V147" s="127">
        <f t="shared" ca="1" si="10"/>
        <v>0</v>
      </c>
      <c r="W147" s="128">
        <f t="shared" ca="1" si="11"/>
        <v>0</v>
      </c>
      <c r="X147" s="55">
        <f ca="1">_xll.DBRW($G$15,$H$21,$H$22,X$29,X$28,$H$24,$H$25,$G147,X$30)</f>
        <v>0</v>
      </c>
      <c r="Y147" s="52">
        <f ca="1">_xll.DBRW($G$15,$H$21,$H$22,X$29,X$28,$H$24,$H$25,$G147,Y$30)</f>
        <v>0</v>
      </c>
      <c r="Z147" s="52">
        <f ca="1">_xll.DBRW($G$15,$H$21,$H$22,X$29,X$28,$H$24,$H$25,$G147,Z$30)</f>
        <v>0</v>
      </c>
      <c r="AA147" s="52">
        <f ca="1">_xll.DBRW($G$15,$H$21,$H$22,AA$29,X$28,$H$24,$H$25,$G147,AA$30)</f>
        <v>0</v>
      </c>
      <c r="AB147" s="52">
        <f ca="1">_xll.DBRW($G$15,$H$21,$H$22,AA$29,X$28,$H$24,$H$25,$G147,AB$30)</f>
        <v>0</v>
      </c>
      <c r="AC147" s="53">
        <f ca="1">_xll.DBRW($G$15,$H$21,$H$22,AA$29,X$28,$H$24,$H$25,$G147,AC$30)</f>
        <v>0</v>
      </c>
      <c r="AD147" s="127">
        <f t="shared" ca="1" si="12"/>
        <v>0</v>
      </c>
      <c r="AE147" s="128">
        <f t="shared" ca="1" si="13"/>
        <v>0</v>
      </c>
      <c r="AF147" s="55">
        <f ca="1">_xll.DBRW($G$15,$H$21,$H$22,AF$29,AF$28,$H$24,$H$25,$G147,AF$30)</f>
        <v>0</v>
      </c>
      <c r="AG147" s="52">
        <f ca="1">_xll.DBRW($G$15,$H$21,$H$22,AF$29,AF$28,$H$24,$H$25,$G147,AG$30)</f>
        <v>0</v>
      </c>
      <c r="AH147" s="52">
        <f ca="1">_xll.DBRW($G$15,$H$21,$H$22,AF$29,AF$28,$H$24,$H$25,$G147,AH$30)</f>
        <v>0</v>
      </c>
      <c r="AI147" s="52">
        <f ca="1">_xll.DBRW($G$15,$H$21,$H$22,AI$29,AF$28,$H$24,$H$25,$G147,AI$30)</f>
        <v>0</v>
      </c>
      <c r="AJ147" s="52">
        <f ca="1">_xll.DBRW($G$15,$H$21,$H$22,AI$29,AF$28,$H$24,$H$25,$G147,AJ$30)</f>
        <v>0</v>
      </c>
      <c r="AK147" s="53">
        <f ca="1">_xll.DBRW($G$15,$H$21,$H$22,AI$29,AF$28,$H$24,$H$25,$G147,AK$30)</f>
        <v>0</v>
      </c>
      <c r="AL147" s="140">
        <f t="shared" ca="1" si="14"/>
        <v>0</v>
      </c>
      <c r="AM147" s="140">
        <f t="shared" ca="1" si="15"/>
        <v>0</v>
      </c>
    </row>
    <row r="148" spans="1:39">
      <c r="A148">
        <f ca="1">IF(_xll.TM1RPTELISCONSOLIDATED($G$31,$G148),IF(_xll.TM1RPTELLEV($G$31,$G148)&lt;=3,_xll.TM1RPTELLEV($G$31,$G148),"D"),"N")</f>
        <v>3</v>
      </c>
      <c r="G148" s="141" t="s">
        <v>300</v>
      </c>
      <c r="H148" s="129">
        <f ca="1">_xll.DBRW($G$15,$H$21,$H$22,H$29,H$28,$H$24,$H$25,$G148,H$30)</f>
        <v>0</v>
      </c>
      <c r="I148" s="129">
        <f ca="1">_xll.DBRW($G$15,$H$21,$H$22,H$29,H$28,$H$24,$H$25,$G148,I$30)</f>
        <v>0</v>
      </c>
      <c r="J148" s="129">
        <f ca="1">_xll.DBRW($G$15,$H$21,$H$22,H$29,H$28,$H$24,$H$25,$G148,J$30)</f>
        <v>0</v>
      </c>
      <c r="K148" s="129">
        <f ca="1">_xll.DBRW($G$15,$H$21,$H$22,K$29,H$28,$H$24,$H$25,$G148,K$30)</f>
        <v>0</v>
      </c>
      <c r="L148" s="129">
        <f ca="1">_xll.DBRW($G$15,$H$21,$H$22,K$29,H$28,$H$24,$H$25,$G148,L$30)</f>
        <v>0</v>
      </c>
      <c r="M148" s="130">
        <f ca="1">_xll.DBRW($G$15,$H$21,$H$22,K$29,H$28,$H$24,$H$25,$G148,M$30)</f>
        <v>0</v>
      </c>
      <c r="N148" s="131">
        <f t="shared" ca="1" si="8"/>
        <v>0</v>
      </c>
      <c r="O148" s="132">
        <f t="shared" ca="1" si="9"/>
        <v>0</v>
      </c>
      <c r="P148" s="133">
        <f ca="1">_xll.DBRW($G$15,$H$21,$H$22,P$29,P$28,$H$24,$H$25,$G148,P$30)</f>
        <v>0</v>
      </c>
      <c r="Q148" s="129">
        <f ca="1">_xll.DBRW($G$15,$H$21,$H$22,P$29,P$28,$H$24,$H$25,$G148,Q$30)</f>
        <v>0</v>
      </c>
      <c r="R148" s="129">
        <f ca="1">_xll.DBRW($G$15,$H$21,$H$22,P$29,P$28,$H$24,$H$25,$G148,R$30)</f>
        <v>0</v>
      </c>
      <c r="S148" s="129">
        <f ca="1">_xll.DBRW($G$15,$H$21,$H$22,S$29,P$28,$H$24,$H$25,$G148,S$30)</f>
        <v>0</v>
      </c>
      <c r="T148" s="129">
        <f ca="1">_xll.DBRW($G$15,$H$21,$H$22,S$29,P$28,$H$24,$H$25,$G148,T$30)</f>
        <v>0</v>
      </c>
      <c r="U148" s="130">
        <f ca="1">_xll.DBRW($G$15,$H$21,$H$22,S$29,P$28,$H$24,$H$25,$G148,U$30)</f>
        <v>0</v>
      </c>
      <c r="V148" s="131">
        <f t="shared" ca="1" si="10"/>
        <v>0</v>
      </c>
      <c r="W148" s="132">
        <f t="shared" ca="1" si="11"/>
        <v>0</v>
      </c>
      <c r="X148" s="133">
        <f ca="1">_xll.DBRW($G$15,$H$21,$H$22,X$29,X$28,$H$24,$H$25,$G148,X$30)</f>
        <v>0</v>
      </c>
      <c r="Y148" s="129">
        <f ca="1">_xll.DBRW($G$15,$H$21,$H$22,X$29,X$28,$H$24,$H$25,$G148,Y$30)</f>
        <v>0</v>
      </c>
      <c r="Z148" s="129">
        <f ca="1">_xll.DBRW($G$15,$H$21,$H$22,X$29,X$28,$H$24,$H$25,$G148,Z$30)</f>
        <v>0</v>
      </c>
      <c r="AA148" s="129">
        <f ca="1">_xll.DBRW($G$15,$H$21,$H$22,AA$29,X$28,$H$24,$H$25,$G148,AA$30)</f>
        <v>0</v>
      </c>
      <c r="AB148" s="129">
        <f ca="1">_xll.DBRW($G$15,$H$21,$H$22,AA$29,X$28,$H$24,$H$25,$G148,AB$30)</f>
        <v>0</v>
      </c>
      <c r="AC148" s="130">
        <f ca="1">_xll.DBRW($G$15,$H$21,$H$22,AA$29,X$28,$H$24,$H$25,$G148,AC$30)</f>
        <v>0</v>
      </c>
      <c r="AD148" s="131">
        <f t="shared" ca="1" si="12"/>
        <v>0</v>
      </c>
      <c r="AE148" s="132">
        <f t="shared" ca="1" si="13"/>
        <v>0</v>
      </c>
      <c r="AF148" s="133">
        <f ca="1">_xll.DBRW($G$15,$H$21,$H$22,AF$29,AF$28,$H$24,$H$25,$G148,AF$30)</f>
        <v>0</v>
      </c>
      <c r="AG148" s="129">
        <f ca="1">_xll.DBRW($G$15,$H$21,$H$22,AF$29,AF$28,$H$24,$H$25,$G148,AG$30)</f>
        <v>0</v>
      </c>
      <c r="AH148" s="129">
        <f ca="1">_xll.DBRW($G$15,$H$21,$H$22,AF$29,AF$28,$H$24,$H$25,$G148,AH$30)</f>
        <v>0</v>
      </c>
      <c r="AI148" s="129">
        <f ca="1">_xll.DBRW($G$15,$H$21,$H$22,AI$29,AF$28,$H$24,$H$25,$G148,AI$30)</f>
        <v>0</v>
      </c>
      <c r="AJ148" s="129">
        <f ca="1">_xll.DBRW($G$15,$H$21,$H$22,AI$29,AF$28,$H$24,$H$25,$G148,AJ$30)</f>
        <v>0</v>
      </c>
      <c r="AK148" s="130">
        <f ca="1">_xll.DBRW($G$15,$H$21,$H$22,AI$29,AF$28,$H$24,$H$25,$G148,AK$30)</f>
        <v>0</v>
      </c>
      <c r="AL148" s="140">
        <f t="shared" ca="1" si="14"/>
        <v>0</v>
      </c>
      <c r="AM148" s="140">
        <f t="shared" ca="1" si="15"/>
        <v>0</v>
      </c>
    </row>
    <row r="149" spans="1:39">
      <c r="A149">
        <f ca="1">IF(_xll.TM1RPTELISCONSOLIDATED($G$31,$G149),IF(_xll.TM1RPTELLEV($G$31,$G149)&lt;=3,_xll.TM1RPTELLEV($G$31,$G149),"D"),"N")</f>
        <v>3</v>
      </c>
      <c r="G149" s="141" t="s">
        <v>301</v>
      </c>
      <c r="H149" s="129">
        <f ca="1">_xll.DBRW($G$15,$H$21,$H$22,H$29,H$28,$H$24,$H$25,$G149,H$30)</f>
        <v>0</v>
      </c>
      <c r="I149" s="129">
        <f ca="1">_xll.DBRW($G$15,$H$21,$H$22,H$29,H$28,$H$24,$H$25,$G149,I$30)</f>
        <v>0</v>
      </c>
      <c r="J149" s="129">
        <f ca="1">_xll.DBRW($G$15,$H$21,$H$22,H$29,H$28,$H$24,$H$25,$G149,J$30)</f>
        <v>0</v>
      </c>
      <c r="K149" s="129">
        <f ca="1">_xll.DBRW($G$15,$H$21,$H$22,K$29,H$28,$H$24,$H$25,$G149,K$30)</f>
        <v>0</v>
      </c>
      <c r="L149" s="129">
        <f ca="1">_xll.DBRW($G$15,$H$21,$H$22,K$29,H$28,$H$24,$H$25,$G149,L$30)</f>
        <v>0</v>
      </c>
      <c r="M149" s="130">
        <f ca="1">_xll.DBRW($G$15,$H$21,$H$22,K$29,H$28,$H$24,$H$25,$G149,M$30)</f>
        <v>0</v>
      </c>
      <c r="N149" s="131">
        <f t="shared" ca="1" si="8"/>
        <v>0</v>
      </c>
      <c r="O149" s="132">
        <f t="shared" ca="1" si="9"/>
        <v>0</v>
      </c>
      <c r="P149" s="133">
        <f ca="1">_xll.DBRW($G$15,$H$21,$H$22,P$29,P$28,$H$24,$H$25,$G149,P$30)</f>
        <v>0</v>
      </c>
      <c r="Q149" s="129">
        <f ca="1">_xll.DBRW($G$15,$H$21,$H$22,P$29,P$28,$H$24,$H$25,$G149,Q$30)</f>
        <v>0</v>
      </c>
      <c r="R149" s="129">
        <f ca="1">_xll.DBRW($G$15,$H$21,$H$22,P$29,P$28,$H$24,$H$25,$G149,R$30)</f>
        <v>0</v>
      </c>
      <c r="S149" s="129">
        <f ca="1">_xll.DBRW($G$15,$H$21,$H$22,S$29,P$28,$H$24,$H$25,$G149,S$30)</f>
        <v>0</v>
      </c>
      <c r="T149" s="129">
        <f ca="1">_xll.DBRW($G$15,$H$21,$H$22,S$29,P$28,$H$24,$H$25,$G149,T$30)</f>
        <v>0</v>
      </c>
      <c r="U149" s="130">
        <f ca="1">_xll.DBRW($G$15,$H$21,$H$22,S$29,P$28,$H$24,$H$25,$G149,U$30)</f>
        <v>0</v>
      </c>
      <c r="V149" s="131">
        <f t="shared" ca="1" si="10"/>
        <v>0</v>
      </c>
      <c r="W149" s="132">
        <f t="shared" ca="1" si="11"/>
        <v>0</v>
      </c>
      <c r="X149" s="133">
        <f ca="1">_xll.DBRW($G$15,$H$21,$H$22,X$29,X$28,$H$24,$H$25,$G149,X$30)</f>
        <v>0</v>
      </c>
      <c r="Y149" s="129">
        <f ca="1">_xll.DBRW($G$15,$H$21,$H$22,X$29,X$28,$H$24,$H$25,$G149,Y$30)</f>
        <v>0</v>
      </c>
      <c r="Z149" s="129">
        <f ca="1">_xll.DBRW($G$15,$H$21,$H$22,X$29,X$28,$H$24,$H$25,$G149,Z$30)</f>
        <v>0</v>
      </c>
      <c r="AA149" s="129">
        <f ca="1">_xll.DBRW($G$15,$H$21,$H$22,AA$29,X$28,$H$24,$H$25,$G149,AA$30)</f>
        <v>0</v>
      </c>
      <c r="AB149" s="129">
        <f ca="1">_xll.DBRW($G$15,$H$21,$H$22,AA$29,X$28,$H$24,$H$25,$G149,AB$30)</f>
        <v>0</v>
      </c>
      <c r="AC149" s="130">
        <f ca="1">_xll.DBRW($G$15,$H$21,$H$22,AA$29,X$28,$H$24,$H$25,$G149,AC$30)</f>
        <v>0</v>
      </c>
      <c r="AD149" s="131">
        <f t="shared" ca="1" si="12"/>
        <v>0</v>
      </c>
      <c r="AE149" s="132">
        <f t="shared" ca="1" si="13"/>
        <v>0</v>
      </c>
      <c r="AF149" s="133">
        <f ca="1">_xll.DBRW($G$15,$H$21,$H$22,AF$29,AF$28,$H$24,$H$25,$G149,AF$30)</f>
        <v>0</v>
      </c>
      <c r="AG149" s="129">
        <f ca="1">_xll.DBRW($G$15,$H$21,$H$22,AF$29,AF$28,$H$24,$H$25,$G149,AG$30)</f>
        <v>0</v>
      </c>
      <c r="AH149" s="129">
        <f ca="1">_xll.DBRW($G$15,$H$21,$H$22,AF$29,AF$28,$H$24,$H$25,$G149,AH$30)</f>
        <v>0</v>
      </c>
      <c r="AI149" s="129">
        <f ca="1">_xll.DBRW($G$15,$H$21,$H$22,AI$29,AF$28,$H$24,$H$25,$G149,AI$30)</f>
        <v>0</v>
      </c>
      <c r="AJ149" s="129">
        <f ca="1">_xll.DBRW($G$15,$H$21,$H$22,AI$29,AF$28,$H$24,$H$25,$G149,AJ$30)</f>
        <v>0</v>
      </c>
      <c r="AK149" s="130">
        <f ca="1">_xll.DBRW($G$15,$H$21,$H$22,AI$29,AF$28,$H$24,$H$25,$G149,AK$30)</f>
        <v>0</v>
      </c>
      <c r="AL149" s="140">
        <f t="shared" ca="1" si="14"/>
        <v>0</v>
      </c>
      <c r="AM149" s="140">
        <f t="shared" ca="1" si="15"/>
        <v>0</v>
      </c>
    </row>
    <row r="150" spans="1:39">
      <c r="A150">
        <f ca="1">IF(_xll.TM1RPTELISCONSOLIDATED($G$31,$G150),IF(_xll.TM1RPTELLEV($G$31,$G150)&lt;=3,_xll.TM1RPTELLEV($G$31,$G150),"D"),"N")</f>
        <v>3</v>
      </c>
      <c r="G150" s="141" t="s">
        <v>302</v>
      </c>
      <c r="H150" s="129">
        <f ca="1">_xll.DBRW($G$15,$H$21,$H$22,H$29,H$28,$H$24,$H$25,$G150,H$30)</f>
        <v>0</v>
      </c>
      <c r="I150" s="129">
        <f ca="1">_xll.DBRW($G$15,$H$21,$H$22,H$29,H$28,$H$24,$H$25,$G150,I$30)</f>
        <v>0</v>
      </c>
      <c r="J150" s="129">
        <f ca="1">_xll.DBRW($G$15,$H$21,$H$22,H$29,H$28,$H$24,$H$25,$G150,J$30)</f>
        <v>0</v>
      </c>
      <c r="K150" s="129">
        <f ca="1">_xll.DBRW($G$15,$H$21,$H$22,K$29,H$28,$H$24,$H$25,$G150,K$30)</f>
        <v>0</v>
      </c>
      <c r="L150" s="129">
        <f ca="1">_xll.DBRW($G$15,$H$21,$H$22,K$29,H$28,$H$24,$H$25,$G150,L$30)</f>
        <v>0</v>
      </c>
      <c r="M150" s="130">
        <f ca="1">_xll.DBRW($G$15,$H$21,$H$22,K$29,H$28,$H$24,$H$25,$G150,M$30)</f>
        <v>0</v>
      </c>
      <c r="N150" s="131">
        <f t="shared" ca="1" si="8"/>
        <v>0</v>
      </c>
      <c r="O150" s="132">
        <f t="shared" ca="1" si="9"/>
        <v>0</v>
      </c>
      <c r="P150" s="133">
        <f ca="1">_xll.DBRW($G$15,$H$21,$H$22,P$29,P$28,$H$24,$H$25,$G150,P$30)</f>
        <v>0</v>
      </c>
      <c r="Q150" s="129">
        <f ca="1">_xll.DBRW($G$15,$H$21,$H$22,P$29,P$28,$H$24,$H$25,$G150,Q$30)</f>
        <v>0</v>
      </c>
      <c r="R150" s="129">
        <f ca="1">_xll.DBRW($G$15,$H$21,$H$22,P$29,P$28,$H$24,$H$25,$G150,R$30)</f>
        <v>0</v>
      </c>
      <c r="S150" s="129">
        <f ca="1">_xll.DBRW($G$15,$H$21,$H$22,S$29,P$28,$H$24,$H$25,$G150,S$30)</f>
        <v>0</v>
      </c>
      <c r="T150" s="129">
        <f ca="1">_xll.DBRW($G$15,$H$21,$H$22,S$29,P$28,$H$24,$H$25,$G150,T$30)</f>
        <v>0</v>
      </c>
      <c r="U150" s="130">
        <f ca="1">_xll.DBRW($G$15,$H$21,$H$22,S$29,P$28,$H$24,$H$25,$G150,U$30)</f>
        <v>0</v>
      </c>
      <c r="V150" s="131">
        <f t="shared" ca="1" si="10"/>
        <v>0</v>
      </c>
      <c r="W150" s="132">
        <f t="shared" ca="1" si="11"/>
        <v>0</v>
      </c>
      <c r="X150" s="133">
        <f ca="1">_xll.DBRW($G$15,$H$21,$H$22,X$29,X$28,$H$24,$H$25,$G150,X$30)</f>
        <v>0</v>
      </c>
      <c r="Y150" s="129">
        <f ca="1">_xll.DBRW($G$15,$H$21,$H$22,X$29,X$28,$H$24,$H$25,$G150,Y$30)</f>
        <v>0</v>
      </c>
      <c r="Z150" s="129">
        <f ca="1">_xll.DBRW($G$15,$H$21,$H$22,X$29,X$28,$H$24,$H$25,$G150,Z$30)</f>
        <v>0</v>
      </c>
      <c r="AA150" s="129">
        <f ca="1">_xll.DBRW($G$15,$H$21,$H$22,AA$29,X$28,$H$24,$H$25,$G150,AA$30)</f>
        <v>0</v>
      </c>
      <c r="AB150" s="129">
        <f ca="1">_xll.DBRW($G$15,$H$21,$H$22,AA$29,X$28,$H$24,$H$25,$G150,AB$30)</f>
        <v>0</v>
      </c>
      <c r="AC150" s="130">
        <f ca="1">_xll.DBRW($G$15,$H$21,$H$22,AA$29,X$28,$H$24,$H$25,$G150,AC$30)</f>
        <v>0</v>
      </c>
      <c r="AD150" s="131">
        <f t="shared" ca="1" si="12"/>
        <v>0</v>
      </c>
      <c r="AE150" s="132">
        <f t="shared" ca="1" si="13"/>
        <v>0</v>
      </c>
      <c r="AF150" s="133">
        <f ca="1">_xll.DBRW($G$15,$H$21,$H$22,AF$29,AF$28,$H$24,$H$25,$G150,AF$30)</f>
        <v>0</v>
      </c>
      <c r="AG150" s="129">
        <f ca="1">_xll.DBRW($G$15,$H$21,$H$22,AF$29,AF$28,$H$24,$H$25,$G150,AG$30)</f>
        <v>0</v>
      </c>
      <c r="AH150" s="129">
        <f ca="1">_xll.DBRW($G$15,$H$21,$H$22,AF$29,AF$28,$H$24,$H$25,$G150,AH$30)</f>
        <v>0</v>
      </c>
      <c r="AI150" s="129">
        <f ca="1">_xll.DBRW($G$15,$H$21,$H$22,AI$29,AF$28,$H$24,$H$25,$G150,AI$30)</f>
        <v>0</v>
      </c>
      <c r="AJ150" s="129">
        <f ca="1">_xll.DBRW($G$15,$H$21,$H$22,AI$29,AF$28,$H$24,$H$25,$G150,AJ$30)</f>
        <v>0</v>
      </c>
      <c r="AK150" s="130">
        <f ca="1">_xll.DBRW($G$15,$H$21,$H$22,AI$29,AF$28,$H$24,$H$25,$G150,AK$30)</f>
        <v>0</v>
      </c>
      <c r="AL150" s="140">
        <f t="shared" ca="1" si="14"/>
        <v>0</v>
      </c>
      <c r="AM150" s="140">
        <f t="shared" ca="1" si="15"/>
        <v>0</v>
      </c>
    </row>
    <row r="151" spans="1:39">
      <c r="A151">
        <f ca="1">IF(_xll.TM1RPTELISCONSOLIDATED($G$31,$G151),IF(_xll.TM1RPTELLEV($G$31,$G151)&lt;=3,_xll.TM1RPTELLEV($G$31,$G151),"D"),"N")</f>
        <v>3</v>
      </c>
      <c r="G151" s="141" t="s">
        <v>303</v>
      </c>
      <c r="H151" s="129">
        <f ca="1">_xll.DBRW($G$15,$H$21,$H$22,H$29,H$28,$H$24,$H$25,$G151,H$30)</f>
        <v>0</v>
      </c>
      <c r="I151" s="129">
        <f ca="1">_xll.DBRW($G$15,$H$21,$H$22,H$29,H$28,$H$24,$H$25,$G151,I$30)</f>
        <v>0</v>
      </c>
      <c r="J151" s="129">
        <f ca="1">_xll.DBRW($G$15,$H$21,$H$22,H$29,H$28,$H$24,$H$25,$G151,J$30)</f>
        <v>0</v>
      </c>
      <c r="K151" s="129">
        <f ca="1">_xll.DBRW($G$15,$H$21,$H$22,K$29,H$28,$H$24,$H$25,$G151,K$30)</f>
        <v>0</v>
      </c>
      <c r="L151" s="129">
        <f ca="1">_xll.DBRW($G$15,$H$21,$H$22,K$29,H$28,$H$24,$H$25,$G151,L$30)</f>
        <v>0</v>
      </c>
      <c r="M151" s="130">
        <f ca="1">_xll.DBRW($G$15,$H$21,$H$22,K$29,H$28,$H$24,$H$25,$G151,M$30)</f>
        <v>0</v>
      </c>
      <c r="N151" s="131">
        <f t="shared" ca="1" si="8"/>
        <v>0</v>
      </c>
      <c r="O151" s="132">
        <f t="shared" ca="1" si="9"/>
        <v>0</v>
      </c>
      <c r="P151" s="133">
        <f ca="1">_xll.DBRW($G$15,$H$21,$H$22,P$29,P$28,$H$24,$H$25,$G151,P$30)</f>
        <v>0</v>
      </c>
      <c r="Q151" s="129">
        <f ca="1">_xll.DBRW($G$15,$H$21,$H$22,P$29,P$28,$H$24,$H$25,$G151,Q$30)</f>
        <v>0</v>
      </c>
      <c r="R151" s="129">
        <f ca="1">_xll.DBRW($G$15,$H$21,$H$22,P$29,P$28,$H$24,$H$25,$G151,R$30)</f>
        <v>0</v>
      </c>
      <c r="S151" s="129">
        <f ca="1">_xll.DBRW($G$15,$H$21,$H$22,S$29,P$28,$H$24,$H$25,$G151,S$30)</f>
        <v>0</v>
      </c>
      <c r="T151" s="129">
        <f ca="1">_xll.DBRW($G$15,$H$21,$H$22,S$29,P$28,$H$24,$H$25,$G151,T$30)</f>
        <v>0</v>
      </c>
      <c r="U151" s="130">
        <f ca="1">_xll.DBRW($G$15,$H$21,$H$22,S$29,P$28,$H$24,$H$25,$G151,U$30)</f>
        <v>0</v>
      </c>
      <c r="V151" s="131">
        <f t="shared" ca="1" si="10"/>
        <v>0</v>
      </c>
      <c r="W151" s="132">
        <f t="shared" ca="1" si="11"/>
        <v>0</v>
      </c>
      <c r="X151" s="133">
        <f ca="1">_xll.DBRW($G$15,$H$21,$H$22,X$29,X$28,$H$24,$H$25,$G151,X$30)</f>
        <v>0</v>
      </c>
      <c r="Y151" s="129">
        <f ca="1">_xll.DBRW($G$15,$H$21,$H$22,X$29,X$28,$H$24,$H$25,$G151,Y$30)</f>
        <v>0</v>
      </c>
      <c r="Z151" s="129">
        <f ca="1">_xll.DBRW($G$15,$H$21,$H$22,X$29,X$28,$H$24,$H$25,$G151,Z$30)</f>
        <v>0</v>
      </c>
      <c r="AA151" s="129">
        <f ca="1">_xll.DBRW($G$15,$H$21,$H$22,AA$29,X$28,$H$24,$H$25,$G151,AA$30)</f>
        <v>0</v>
      </c>
      <c r="AB151" s="129">
        <f ca="1">_xll.DBRW($G$15,$H$21,$H$22,AA$29,X$28,$H$24,$H$25,$G151,AB$30)</f>
        <v>0</v>
      </c>
      <c r="AC151" s="130">
        <f ca="1">_xll.DBRW($G$15,$H$21,$H$22,AA$29,X$28,$H$24,$H$25,$G151,AC$30)</f>
        <v>0</v>
      </c>
      <c r="AD151" s="131">
        <f t="shared" ca="1" si="12"/>
        <v>0</v>
      </c>
      <c r="AE151" s="132">
        <f t="shared" ca="1" si="13"/>
        <v>0</v>
      </c>
      <c r="AF151" s="133">
        <f ca="1">_xll.DBRW($G$15,$H$21,$H$22,AF$29,AF$28,$H$24,$H$25,$G151,AF$30)</f>
        <v>0</v>
      </c>
      <c r="AG151" s="129">
        <f ca="1">_xll.DBRW($G$15,$H$21,$H$22,AF$29,AF$28,$H$24,$H$25,$G151,AG$30)</f>
        <v>0</v>
      </c>
      <c r="AH151" s="129">
        <f ca="1">_xll.DBRW($G$15,$H$21,$H$22,AF$29,AF$28,$H$24,$H$25,$G151,AH$30)</f>
        <v>0</v>
      </c>
      <c r="AI151" s="129">
        <f ca="1">_xll.DBRW($G$15,$H$21,$H$22,AI$29,AF$28,$H$24,$H$25,$G151,AI$30)</f>
        <v>0</v>
      </c>
      <c r="AJ151" s="129">
        <f ca="1">_xll.DBRW($G$15,$H$21,$H$22,AI$29,AF$28,$H$24,$H$25,$G151,AJ$30)</f>
        <v>0</v>
      </c>
      <c r="AK151" s="130">
        <f ca="1">_xll.DBRW($G$15,$H$21,$H$22,AI$29,AF$28,$H$24,$H$25,$G151,AK$30)</f>
        <v>0</v>
      </c>
      <c r="AL151" s="140">
        <f t="shared" ca="1" si="14"/>
        <v>0</v>
      </c>
      <c r="AM151" s="140">
        <f t="shared" ca="1" si="15"/>
        <v>0</v>
      </c>
    </row>
    <row r="152" spans="1:39">
      <c r="A152">
        <f ca="1">IF(_xll.TM1RPTELISCONSOLIDATED($G$31,$G152),IF(_xll.TM1RPTELLEV($G$31,$G152)&lt;=3,_xll.TM1RPTELLEV($G$31,$G152),"D"),"N")</f>
        <v>3</v>
      </c>
      <c r="G152" s="141" t="s">
        <v>304</v>
      </c>
      <c r="H152" s="129">
        <f ca="1">_xll.DBRW($G$15,$H$21,$H$22,H$29,H$28,$H$24,$H$25,$G152,H$30)</f>
        <v>0</v>
      </c>
      <c r="I152" s="129">
        <f ca="1">_xll.DBRW($G$15,$H$21,$H$22,H$29,H$28,$H$24,$H$25,$G152,I$30)</f>
        <v>0</v>
      </c>
      <c r="J152" s="129">
        <f ca="1">_xll.DBRW($G$15,$H$21,$H$22,H$29,H$28,$H$24,$H$25,$G152,J$30)</f>
        <v>0</v>
      </c>
      <c r="K152" s="129">
        <f ca="1">_xll.DBRW($G$15,$H$21,$H$22,K$29,H$28,$H$24,$H$25,$G152,K$30)</f>
        <v>0</v>
      </c>
      <c r="L152" s="129">
        <f ca="1">_xll.DBRW($G$15,$H$21,$H$22,K$29,H$28,$H$24,$H$25,$G152,L$30)</f>
        <v>0</v>
      </c>
      <c r="M152" s="130">
        <f ca="1">_xll.DBRW($G$15,$H$21,$H$22,K$29,H$28,$H$24,$H$25,$G152,M$30)</f>
        <v>0</v>
      </c>
      <c r="N152" s="131">
        <f t="shared" ca="1" si="8"/>
        <v>0</v>
      </c>
      <c r="O152" s="132">
        <f t="shared" ca="1" si="9"/>
        <v>0</v>
      </c>
      <c r="P152" s="133">
        <f ca="1">_xll.DBRW($G$15,$H$21,$H$22,P$29,P$28,$H$24,$H$25,$G152,P$30)</f>
        <v>0</v>
      </c>
      <c r="Q152" s="129">
        <f ca="1">_xll.DBRW($G$15,$H$21,$H$22,P$29,P$28,$H$24,$H$25,$G152,Q$30)</f>
        <v>0</v>
      </c>
      <c r="R152" s="129">
        <f ca="1">_xll.DBRW($G$15,$H$21,$H$22,P$29,P$28,$H$24,$H$25,$G152,R$30)</f>
        <v>0</v>
      </c>
      <c r="S152" s="129">
        <f ca="1">_xll.DBRW($G$15,$H$21,$H$22,S$29,P$28,$H$24,$H$25,$G152,S$30)</f>
        <v>0</v>
      </c>
      <c r="T152" s="129">
        <f ca="1">_xll.DBRW($G$15,$H$21,$H$22,S$29,P$28,$H$24,$H$25,$G152,T$30)</f>
        <v>0</v>
      </c>
      <c r="U152" s="130">
        <f ca="1">_xll.DBRW($G$15,$H$21,$H$22,S$29,P$28,$H$24,$H$25,$G152,U$30)</f>
        <v>0</v>
      </c>
      <c r="V152" s="131">
        <f t="shared" ca="1" si="10"/>
        <v>0</v>
      </c>
      <c r="W152" s="132">
        <f t="shared" ca="1" si="11"/>
        <v>0</v>
      </c>
      <c r="X152" s="133">
        <f ca="1">_xll.DBRW($G$15,$H$21,$H$22,X$29,X$28,$H$24,$H$25,$G152,X$30)</f>
        <v>0</v>
      </c>
      <c r="Y152" s="129">
        <f ca="1">_xll.DBRW($G$15,$H$21,$H$22,X$29,X$28,$H$24,$H$25,$G152,Y$30)</f>
        <v>0</v>
      </c>
      <c r="Z152" s="129">
        <f ca="1">_xll.DBRW($G$15,$H$21,$H$22,X$29,X$28,$H$24,$H$25,$G152,Z$30)</f>
        <v>0</v>
      </c>
      <c r="AA152" s="129">
        <f ca="1">_xll.DBRW($G$15,$H$21,$H$22,AA$29,X$28,$H$24,$H$25,$G152,AA$30)</f>
        <v>0</v>
      </c>
      <c r="AB152" s="129">
        <f ca="1">_xll.DBRW($G$15,$H$21,$H$22,AA$29,X$28,$H$24,$H$25,$G152,AB$30)</f>
        <v>0</v>
      </c>
      <c r="AC152" s="130">
        <f ca="1">_xll.DBRW($G$15,$H$21,$H$22,AA$29,X$28,$H$24,$H$25,$G152,AC$30)</f>
        <v>0</v>
      </c>
      <c r="AD152" s="131">
        <f t="shared" ca="1" si="12"/>
        <v>0</v>
      </c>
      <c r="AE152" s="132">
        <f t="shared" ca="1" si="13"/>
        <v>0</v>
      </c>
      <c r="AF152" s="133">
        <f ca="1">_xll.DBRW($G$15,$H$21,$H$22,AF$29,AF$28,$H$24,$H$25,$G152,AF$30)</f>
        <v>0</v>
      </c>
      <c r="AG152" s="129">
        <f ca="1">_xll.DBRW($G$15,$H$21,$H$22,AF$29,AF$28,$H$24,$H$25,$G152,AG$30)</f>
        <v>0</v>
      </c>
      <c r="AH152" s="129">
        <f ca="1">_xll.DBRW($G$15,$H$21,$H$22,AF$29,AF$28,$H$24,$H$25,$G152,AH$30)</f>
        <v>0</v>
      </c>
      <c r="AI152" s="129">
        <f ca="1">_xll.DBRW($G$15,$H$21,$H$22,AI$29,AF$28,$H$24,$H$25,$G152,AI$30)</f>
        <v>0</v>
      </c>
      <c r="AJ152" s="129">
        <f ca="1">_xll.DBRW($G$15,$H$21,$H$22,AI$29,AF$28,$H$24,$H$25,$G152,AJ$30)</f>
        <v>0</v>
      </c>
      <c r="AK152" s="130">
        <f ca="1">_xll.DBRW($G$15,$H$21,$H$22,AI$29,AF$28,$H$24,$H$25,$G152,AK$30)</f>
        <v>0</v>
      </c>
      <c r="AL152" s="140">
        <f t="shared" ca="1" si="14"/>
        <v>0</v>
      </c>
      <c r="AM152" s="140">
        <f t="shared" ca="1" si="15"/>
        <v>0</v>
      </c>
    </row>
    <row r="153" spans="1:39">
      <c r="A153">
        <f ca="1">IF(_xll.TM1RPTELISCONSOLIDATED($G$31,$G153),IF(_xll.TM1RPTELLEV($G$31,$G153)&lt;=3,_xll.TM1RPTELLEV($G$31,$G153),"D"),"N")</f>
        <v>3</v>
      </c>
      <c r="G153" s="141" t="s">
        <v>305</v>
      </c>
      <c r="H153" s="129">
        <f ca="1">_xll.DBRW($G$15,$H$21,$H$22,H$29,H$28,$H$24,$H$25,$G153,H$30)</f>
        <v>0</v>
      </c>
      <c r="I153" s="129">
        <f ca="1">_xll.DBRW($G$15,$H$21,$H$22,H$29,H$28,$H$24,$H$25,$G153,I$30)</f>
        <v>0</v>
      </c>
      <c r="J153" s="129">
        <f ca="1">_xll.DBRW($G$15,$H$21,$H$22,H$29,H$28,$H$24,$H$25,$G153,J$30)</f>
        <v>0</v>
      </c>
      <c r="K153" s="129">
        <f ca="1">_xll.DBRW($G$15,$H$21,$H$22,K$29,H$28,$H$24,$H$25,$G153,K$30)</f>
        <v>0</v>
      </c>
      <c r="L153" s="129">
        <f ca="1">_xll.DBRW($G$15,$H$21,$H$22,K$29,H$28,$H$24,$H$25,$G153,L$30)</f>
        <v>0</v>
      </c>
      <c r="M153" s="130">
        <f ca="1">_xll.DBRW($G$15,$H$21,$H$22,K$29,H$28,$H$24,$H$25,$G153,M$30)</f>
        <v>0</v>
      </c>
      <c r="N153" s="131">
        <f t="shared" ca="1" si="8"/>
        <v>0</v>
      </c>
      <c r="O153" s="132">
        <f t="shared" ca="1" si="9"/>
        <v>0</v>
      </c>
      <c r="P153" s="133">
        <f ca="1">_xll.DBRW($G$15,$H$21,$H$22,P$29,P$28,$H$24,$H$25,$G153,P$30)</f>
        <v>0</v>
      </c>
      <c r="Q153" s="129">
        <f ca="1">_xll.DBRW($G$15,$H$21,$H$22,P$29,P$28,$H$24,$H$25,$G153,Q$30)</f>
        <v>0</v>
      </c>
      <c r="R153" s="129">
        <f ca="1">_xll.DBRW($G$15,$H$21,$H$22,P$29,P$28,$H$24,$H$25,$G153,R$30)</f>
        <v>0</v>
      </c>
      <c r="S153" s="129">
        <f ca="1">_xll.DBRW($G$15,$H$21,$H$22,S$29,P$28,$H$24,$H$25,$G153,S$30)</f>
        <v>0</v>
      </c>
      <c r="T153" s="129">
        <f ca="1">_xll.DBRW($G$15,$H$21,$H$22,S$29,P$28,$H$24,$H$25,$G153,T$30)</f>
        <v>0</v>
      </c>
      <c r="U153" s="130">
        <f ca="1">_xll.DBRW($G$15,$H$21,$H$22,S$29,P$28,$H$24,$H$25,$G153,U$30)</f>
        <v>0</v>
      </c>
      <c r="V153" s="131">
        <f t="shared" ca="1" si="10"/>
        <v>0</v>
      </c>
      <c r="W153" s="132">
        <f t="shared" ca="1" si="11"/>
        <v>0</v>
      </c>
      <c r="X153" s="133">
        <f ca="1">_xll.DBRW($G$15,$H$21,$H$22,X$29,X$28,$H$24,$H$25,$G153,X$30)</f>
        <v>0</v>
      </c>
      <c r="Y153" s="129">
        <f ca="1">_xll.DBRW($G$15,$H$21,$H$22,X$29,X$28,$H$24,$H$25,$G153,Y$30)</f>
        <v>0</v>
      </c>
      <c r="Z153" s="129">
        <f ca="1">_xll.DBRW($G$15,$H$21,$H$22,X$29,X$28,$H$24,$H$25,$G153,Z$30)</f>
        <v>0</v>
      </c>
      <c r="AA153" s="129">
        <f ca="1">_xll.DBRW($G$15,$H$21,$H$22,AA$29,X$28,$H$24,$H$25,$G153,AA$30)</f>
        <v>0</v>
      </c>
      <c r="AB153" s="129">
        <f ca="1">_xll.DBRW($G$15,$H$21,$H$22,AA$29,X$28,$H$24,$H$25,$G153,AB$30)</f>
        <v>0</v>
      </c>
      <c r="AC153" s="130">
        <f ca="1">_xll.DBRW($G$15,$H$21,$H$22,AA$29,X$28,$H$24,$H$25,$G153,AC$30)</f>
        <v>0</v>
      </c>
      <c r="AD153" s="131">
        <f t="shared" ca="1" si="12"/>
        <v>0</v>
      </c>
      <c r="AE153" s="132">
        <f t="shared" ca="1" si="13"/>
        <v>0</v>
      </c>
      <c r="AF153" s="133">
        <f ca="1">_xll.DBRW($G$15,$H$21,$H$22,AF$29,AF$28,$H$24,$H$25,$G153,AF$30)</f>
        <v>0</v>
      </c>
      <c r="AG153" s="129">
        <f ca="1">_xll.DBRW($G$15,$H$21,$H$22,AF$29,AF$28,$H$24,$H$25,$G153,AG$30)</f>
        <v>0</v>
      </c>
      <c r="AH153" s="129">
        <f ca="1">_xll.DBRW($G$15,$H$21,$H$22,AF$29,AF$28,$H$24,$H$25,$G153,AH$30)</f>
        <v>0</v>
      </c>
      <c r="AI153" s="129">
        <f ca="1">_xll.DBRW($G$15,$H$21,$H$22,AI$29,AF$28,$H$24,$H$25,$G153,AI$30)</f>
        <v>0</v>
      </c>
      <c r="AJ153" s="129">
        <f ca="1">_xll.DBRW($G$15,$H$21,$H$22,AI$29,AF$28,$H$24,$H$25,$G153,AJ$30)</f>
        <v>0</v>
      </c>
      <c r="AK153" s="130">
        <f ca="1">_xll.DBRW($G$15,$H$21,$H$22,AI$29,AF$28,$H$24,$H$25,$G153,AK$30)</f>
        <v>0</v>
      </c>
      <c r="AL153" s="140">
        <f t="shared" ca="1" si="14"/>
        <v>0</v>
      </c>
      <c r="AM153" s="140">
        <f t="shared" ca="1" si="15"/>
        <v>0</v>
      </c>
    </row>
    <row r="154" spans="1:39">
      <c r="A154">
        <f ca="1">IF(_xll.TM1RPTELISCONSOLIDATED($G$31,$G154),IF(_xll.TM1RPTELLEV($G$31,$G154)&lt;=3,_xll.TM1RPTELLEV($G$31,$G154),"D"),"N")</f>
        <v>3</v>
      </c>
      <c r="G154" s="141" t="s">
        <v>306</v>
      </c>
      <c r="H154" s="129">
        <f ca="1">_xll.DBRW($G$15,$H$21,$H$22,H$29,H$28,$H$24,$H$25,$G154,H$30)</f>
        <v>0</v>
      </c>
      <c r="I154" s="129">
        <f ca="1">_xll.DBRW($G$15,$H$21,$H$22,H$29,H$28,$H$24,$H$25,$G154,I$30)</f>
        <v>0</v>
      </c>
      <c r="J154" s="129">
        <f ca="1">_xll.DBRW($G$15,$H$21,$H$22,H$29,H$28,$H$24,$H$25,$G154,J$30)</f>
        <v>0</v>
      </c>
      <c r="K154" s="129">
        <f ca="1">_xll.DBRW($G$15,$H$21,$H$22,K$29,H$28,$H$24,$H$25,$G154,K$30)</f>
        <v>0</v>
      </c>
      <c r="L154" s="129">
        <f ca="1">_xll.DBRW($G$15,$H$21,$H$22,K$29,H$28,$H$24,$H$25,$G154,L$30)</f>
        <v>0</v>
      </c>
      <c r="M154" s="130">
        <f ca="1">_xll.DBRW($G$15,$H$21,$H$22,K$29,H$28,$H$24,$H$25,$G154,M$30)</f>
        <v>0</v>
      </c>
      <c r="N154" s="131">
        <f t="shared" ca="1" si="8"/>
        <v>0</v>
      </c>
      <c r="O154" s="132">
        <f t="shared" ca="1" si="9"/>
        <v>0</v>
      </c>
      <c r="P154" s="133">
        <f ca="1">_xll.DBRW($G$15,$H$21,$H$22,P$29,P$28,$H$24,$H$25,$G154,P$30)</f>
        <v>0</v>
      </c>
      <c r="Q154" s="129">
        <f ca="1">_xll.DBRW($G$15,$H$21,$H$22,P$29,P$28,$H$24,$H$25,$G154,Q$30)</f>
        <v>0</v>
      </c>
      <c r="R154" s="129">
        <f ca="1">_xll.DBRW($G$15,$H$21,$H$22,P$29,P$28,$H$24,$H$25,$G154,R$30)</f>
        <v>0</v>
      </c>
      <c r="S154" s="129">
        <f ca="1">_xll.DBRW($G$15,$H$21,$H$22,S$29,P$28,$H$24,$H$25,$G154,S$30)</f>
        <v>0</v>
      </c>
      <c r="T154" s="129">
        <f ca="1">_xll.DBRW($G$15,$H$21,$H$22,S$29,P$28,$H$24,$H$25,$G154,T$30)</f>
        <v>0</v>
      </c>
      <c r="U154" s="130">
        <f ca="1">_xll.DBRW($G$15,$H$21,$H$22,S$29,P$28,$H$24,$H$25,$G154,U$30)</f>
        <v>0</v>
      </c>
      <c r="V154" s="131">
        <f t="shared" ca="1" si="10"/>
        <v>0</v>
      </c>
      <c r="W154" s="132">
        <f t="shared" ca="1" si="11"/>
        <v>0</v>
      </c>
      <c r="X154" s="133">
        <f ca="1">_xll.DBRW($G$15,$H$21,$H$22,X$29,X$28,$H$24,$H$25,$G154,X$30)</f>
        <v>0</v>
      </c>
      <c r="Y154" s="129">
        <f ca="1">_xll.DBRW($G$15,$H$21,$H$22,X$29,X$28,$H$24,$H$25,$G154,Y$30)</f>
        <v>0</v>
      </c>
      <c r="Z154" s="129">
        <f ca="1">_xll.DBRW($G$15,$H$21,$H$22,X$29,X$28,$H$24,$H$25,$G154,Z$30)</f>
        <v>0</v>
      </c>
      <c r="AA154" s="129">
        <f ca="1">_xll.DBRW($G$15,$H$21,$H$22,AA$29,X$28,$H$24,$H$25,$G154,AA$30)</f>
        <v>0</v>
      </c>
      <c r="AB154" s="129">
        <f ca="1">_xll.DBRW($G$15,$H$21,$H$22,AA$29,X$28,$H$24,$H$25,$G154,AB$30)</f>
        <v>0</v>
      </c>
      <c r="AC154" s="130">
        <f ca="1">_xll.DBRW($G$15,$H$21,$H$22,AA$29,X$28,$H$24,$H$25,$G154,AC$30)</f>
        <v>0</v>
      </c>
      <c r="AD154" s="131">
        <f t="shared" ca="1" si="12"/>
        <v>0</v>
      </c>
      <c r="AE154" s="132">
        <f t="shared" ca="1" si="13"/>
        <v>0</v>
      </c>
      <c r="AF154" s="133">
        <f ca="1">_xll.DBRW($G$15,$H$21,$H$22,AF$29,AF$28,$H$24,$H$25,$G154,AF$30)</f>
        <v>0</v>
      </c>
      <c r="AG154" s="129">
        <f ca="1">_xll.DBRW($G$15,$H$21,$H$22,AF$29,AF$28,$H$24,$H$25,$G154,AG$30)</f>
        <v>0</v>
      </c>
      <c r="AH154" s="129">
        <f ca="1">_xll.DBRW($G$15,$H$21,$H$22,AF$29,AF$28,$H$24,$H$25,$G154,AH$30)</f>
        <v>0</v>
      </c>
      <c r="AI154" s="129">
        <f ca="1">_xll.DBRW($G$15,$H$21,$H$22,AI$29,AF$28,$H$24,$H$25,$G154,AI$30)</f>
        <v>0</v>
      </c>
      <c r="AJ154" s="129">
        <f ca="1">_xll.DBRW($G$15,$H$21,$H$22,AI$29,AF$28,$H$24,$H$25,$G154,AJ$30)</f>
        <v>0</v>
      </c>
      <c r="AK154" s="130">
        <f ca="1">_xll.DBRW($G$15,$H$21,$H$22,AI$29,AF$28,$H$24,$H$25,$G154,AK$30)</f>
        <v>0</v>
      </c>
      <c r="AL154" s="140">
        <f t="shared" ca="1" si="14"/>
        <v>0</v>
      </c>
      <c r="AM154" s="140">
        <f t="shared" ca="1" si="15"/>
        <v>0</v>
      </c>
    </row>
    <row r="155" spans="1:39">
      <c r="A155">
        <f ca="1">IF(_xll.TM1RPTELISCONSOLIDATED($G$31,$G155),IF(_xll.TM1RPTELLEV($G$31,$G155)&lt;=3,_xll.TM1RPTELLEV($G$31,$G155),"D"),"N")</f>
        <v>2</v>
      </c>
      <c r="G155" s="79" t="s">
        <v>307</v>
      </c>
      <c r="H155" s="52">
        <f ca="1">_xll.DBRW($G$15,$H$21,$H$22,H$29,H$28,$H$24,$H$25,$G155,H$30)</f>
        <v>0</v>
      </c>
      <c r="I155" s="52">
        <f ca="1">_xll.DBRW($G$15,$H$21,$H$22,H$29,H$28,$H$24,$H$25,$G155,I$30)</f>
        <v>0</v>
      </c>
      <c r="J155" s="52">
        <f ca="1">_xll.DBRW($G$15,$H$21,$H$22,H$29,H$28,$H$24,$H$25,$G155,J$30)</f>
        <v>0</v>
      </c>
      <c r="K155" s="52">
        <f ca="1">_xll.DBRW($G$15,$H$21,$H$22,K$29,H$28,$H$24,$H$25,$G155,K$30)</f>
        <v>0</v>
      </c>
      <c r="L155" s="52">
        <f ca="1">_xll.DBRW($G$15,$H$21,$H$22,K$29,H$28,$H$24,$H$25,$G155,L$30)</f>
        <v>0</v>
      </c>
      <c r="M155" s="53">
        <f ca="1">_xll.DBRW($G$15,$H$21,$H$22,K$29,H$28,$H$24,$H$25,$G155,M$30)</f>
        <v>0</v>
      </c>
      <c r="N155" s="127">
        <f t="shared" ca="1" si="8"/>
        <v>0</v>
      </c>
      <c r="O155" s="128">
        <f t="shared" ca="1" si="9"/>
        <v>0</v>
      </c>
      <c r="P155" s="55">
        <f ca="1">_xll.DBRW($G$15,$H$21,$H$22,P$29,P$28,$H$24,$H$25,$G155,P$30)</f>
        <v>0</v>
      </c>
      <c r="Q155" s="52">
        <f ca="1">_xll.DBRW($G$15,$H$21,$H$22,P$29,P$28,$H$24,$H$25,$G155,Q$30)</f>
        <v>0</v>
      </c>
      <c r="R155" s="52">
        <f ca="1">_xll.DBRW($G$15,$H$21,$H$22,P$29,P$28,$H$24,$H$25,$G155,R$30)</f>
        <v>0</v>
      </c>
      <c r="S155" s="52">
        <f ca="1">_xll.DBRW($G$15,$H$21,$H$22,S$29,P$28,$H$24,$H$25,$G155,S$30)</f>
        <v>0</v>
      </c>
      <c r="T155" s="52">
        <f ca="1">_xll.DBRW($G$15,$H$21,$H$22,S$29,P$28,$H$24,$H$25,$G155,T$30)</f>
        <v>0</v>
      </c>
      <c r="U155" s="53">
        <f ca="1">_xll.DBRW($G$15,$H$21,$H$22,S$29,P$28,$H$24,$H$25,$G155,U$30)</f>
        <v>0</v>
      </c>
      <c r="V155" s="127">
        <f t="shared" ca="1" si="10"/>
        <v>0</v>
      </c>
      <c r="W155" s="128">
        <f t="shared" ca="1" si="11"/>
        <v>0</v>
      </c>
      <c r="X155" s="55">
        <f ca="1">_xll.DBRW($G$15,$H$21,$H$22,X$29,X$28,$H$24,$H$25,$G155,X$30)</f>
        <v>0</v>
      </c>
      <c r="Y155" s="52">
        <f ca="1">_xll.DBRW($G$15,$H$21,$H$22,X$29,X$28,$H$24,$H$25,$G155,Y$30)</f>
        <v>0</v>
      </c>
      <c r="Z155" s="52">
        <f ca="1">_xll.DBRW($G$15,$H$21,$H$22,X$29,X$28,$H$24,$H$25,$G155,Z$30)</f>
        <v>0</v>
      </c>
      <c r="AA155" s="52">
        <f ca="1">_xll.DBRW($G$15,$H$21,$H$22,AA$29,X$28,$H$24,$H$25,$G155,AA$30)</f>
        <v>0</v>
      </c>
      <c r="AB155" s="52">
        <f ca="1">_xll.DBRW($G$15,$H$21,$H$22,AA$29,X$28,$H$24,$H$25,$G155,AB$30)</f>
        <v>0</v>
      </c>
      <c r="AC155" s="53">
        <f ca="1">_xll.DBRW($G$15,$H$21,$H$22,AA$29,X$28,$H$24,$H$25,$G155,AC$30)</f>
        <v>0</v>
      </c>
      <c r="AD155" s="127">
        <f t="shared" ca="1" si="12"/>
        <v>0</v>
      </c>
      <c r="AE155" s="128">
        <f t="shared" ca="1" si="13"/>
        <v>0</v>
      </c>
      <c r="AF155" s="55">
        <f ca="1">_xll.DBRW($G$15,$H$21,$H$22,AF$29,AF$28,$H$24,$H$25,$G155,AF$30)</f>
        <v>0</v>
      </c>
      <c r="AG155" s="52">
        <f ca="1">_xll.DBRW($G$15,$H$21,$H$22,AF$29,AF$28,$H$24,$H$25,$G155,AG$30)</f>
        <v>0</v>
      </c>
      <c r="AH155" s="52">
        <f ca="1">_xll.DBRW($G$15,$H$21,$H$22,AF$29,AF$28,$H$24,$H$25,$G155,AH$30)</f>
        <v>0</v>
      </c>
      <c r="AI155" s="52">
        <f ca="1">_xll.DBRW($G$15,$H$21,$H$22,AI$29,AF$28,$H$24,$H$25,$G155,AI$30)</f>
        <v>0</v>
      </c>
      <c r="AJ155" s="52">
        <f ca="1">_xll.DBRW($G$15,$H$21,$H$22,AI$29,AF$28,$H$24,$H$25,$G155,AJ$30)</f>
        <v>0</v>
      </c>
      <c r="AK155" s="53">
        <f ca="1">_xll.DBRW($G$15,$H$21,$H$22,AI$29,AF$28,$H$24,$H$25,$G155,AK$30)</f>
        <v>0</v>
      </c>
      <c r="AL155" s="140">
        <f t="shared" ca="1" si="14"/>
        <v>0</v>
      </c>
      <c r="AM155" s="140">
        <f t="shared" ca="1" si="15"/>
        <v>0</v>
      </c>
    </row>
    <row r="156" spans="1:39">
      <c r="A156">
        <f ca="1">IF(_xll.TM1RPTELISCONSOLIDATED($G$31,$G156),IF(_xll.TM1RPTELLEV($G$31,$G156)&lt;=3,_xll.TM1RPTELLEV($G$31,$G156),"D"),"N")</f>
        <v>2</v>
      </c>
      <c r="G156" s="79" t="s">
        <v>308</v>
      </c>
      <c r="H156" s="52">
        <f ca="1">_xll.DBRW($G$15,$H$21,$H$22,H$29,H$28,$H$24,$H$25,$G156,H$30)</f>
        <v>0</v>
      </c>
      <c r="I156" s="52">
        <f ca="1">_xll.DBRW($G$15,$H$21,$H$22,H$29,H$28,$H$24,$H$25,$G156,I$30)</f>
        <v>0</v>
      </c>
      <c r="J156" s="52">
        <f ca="1">_xll.DBRW($G$15,$H$21,$H$22,H$29,H$28,$H$24,$H$25,$G156,J$30)</f>
        <v>0</v>
      </c>
      <c r="K156" s="52">
        <f ca="1">_xll.DBRW($G$15,$H$21,$H$22,K$29,H$28,$H$24,$H$25,$G156,K$30)</f>
        <v>0</v>
      </c>
      <c r="L156" s="52">
        <f ca="1">_xll.DBRW($G$15,$H$21,$H$22,K$29,H$28,$H$24,$H$25,$G156,L$30)</f>
        <v>0</v>
      </c>
      <c r="M156" s="53">
        <f ca="1">_xll.DBRW($G$15,$H$21,$H$22,K$29,H$28,$H$24,$H$25,$G156,M$30)</f>
        <v>0</v>
      </c>
      <c r="N156" s="127">
        <f t="shared" ca="1" si="8"/>
        <v>0</v>
      </c>
      <c r="O156" s="128">
        <f t="shared" ca="1" si="9"/>
        <v>0</v>
      </c>
      <c r="P156" s="55">
        <f ca="1">_xll.DBRW($G$15,$H$21,$H$22,P$29,P$28,$H$24,$H$25,$G156,P$30)</f>
        <v>0</v>
      </c>
      <c r="Q156" s="52">
        <f ca="1">_xll.DBRW($G$15,$H$21,$H$22,P$29,P$28,$H$24,$H$25,$G156,Q$30)</f>
        <v>0</v>
      </c>
      <c r="R156" s="52">
        <f ca="1">_xll.DBRW($G$15,$H$21,$H$22,P$29,P$28,$H$24,$H$25,$G156,R$30)</f>
        <v>0</v>
      </c>
      <c r="S156" s="52">
        <f ca="1">_xll.DBRW($G$15,$H$21,$H$22,S$29,P$28,$H$24,$H$25,$G156,S$30)</f>
        <v>0</v>
      </c>
      <c r="T156" s="52">
        <f ca="1">_xll.DBRW($G$15,$H$21,$H$22,S$29,P$28,$H$24,$H$25,$G156,T$30)</f>
        <v>0</v>
      </c>
      <c r="U156" s="53">
        <f ca="1">_xll.DBRW($G$15,$H$21,$H$22,S$29,P$28,$H$24,$H$25,$G156,U$30)</f>
        <v>0</v>
      </c>
      <c r="V156" s="127">
        <f t="shared" ca="1" si="10"/>
        <v>0</v>
      </c>
      <c r="W156" s="128">
        <f t="shared" ca="1" si="11"/>
        <v>0</v>
      </c>
      <c r="X156" s="55">
        <f ca="1">_xll.DBRW($G$15,$H$21,$H$22,X$29,X$28,$H$24,$H$25,$G156,X$30)</f>
        <v>0</v>
      </c>
      <c r="Y156" s="52">
        <f ca="1">_xll.DBRW($G$15,$H$21,$H$22,X$29,X$28,$H$24,$H$25,$G156,Y$30)</f>
        <v>0</v>
      </c>
      <c r="Z156" s="52">
        <f ca="1">_xll.DBRW($G$15,$H$21,$H$22,X$29,X$28,$H$24,$H$25,$G156,Z$30)</f>
        <v>0</v>
      </c>
      <c r="AA156" s="52">
        <f ca="1">_xll.DBRW($G$15,$H$21,$H$22,AA$29,X$28,$H$24,$H$25,$G156,AA$30)</f>
        <v>0</v>
      </c>
      <c r="AB156" s="52">
        <f ca="1">_xll.DBRW($G$15,$H$21,$H$22,AA$29,X$28,$H$24,$H$25,$G156,AB$30)</f>
        <v>0</v>
      </c>
      <c r="AC156" s="53">
        <f ca="1">_xll.DBRW($G$15,$H$21,$H$22,AA$29,X$28,$H$24,$H$25,$G156,AC$30)</f>
        <v>0</v>
      </c>
      <c r="AD156" s="127">
        <f t="shared" ca="1" si="12"/>
        <v>0</v>
      </c>
      <c r="AE156" s="128">
        <f t="shared" ca="1" si="13"/>
        <v>0</v>
      </c>
      <c r="AF156" s="55">
        <f ca="1">_xll.DBRW($G$15,$H$21,$H$22,AF$29,AF$28,$H$24,$H$25,$G156,AF$30)</f>
        <v>0</v>
      </c>
      <c r="AG156" s="52">
        <f ca="1">_xll.DBRW($G$15,$H$21,$H$22,AF$29,AF$28,$H$24,$H$25,$G156,AG$30)</f>
        <v>0</v>
      </c>
      <c r="AH156" s="52">
        <f ca="1">_xll.DBRW($G$15,$H$21,$H$22,AF$29,AF$28,$H$24,$H$25,$G156,AH$30)</f>
        <v>0</v>
      </c>
      <c r="AI156" s="52">
        <f ca="1">_xll.DBRW($G$15,$H$21,$H$22,AI$29,AF$28,$H$24,$H$25,$G156,AI$30)</f>
        <v>0</v>
      </c>
      <c r="AJ156" s="52">
        <f ca="1">_xll.DBRW($G$15,$H$21,$H$22,AI$29,AF$28,$H$24,$H$25,$G156,AJ$30)</f>
        <v>0</v>
      </c>
      <c r="AK156" s="53">
        <f ca="1">_xll.DBRW($G$15,$H$21,$H$22,AI$29,AF$28,$H$24,$H$25,$G156,AK$30)</f>
        <v>0</v>
      </c>
      <c r="AL156" s="140">
        <f t="shared" ca="1" si="14"/>
        <v>0</v>
      </c>
      <c r="AM156" s="140">
        <f t="shared" ca="1" si="15"/>
        <v>0</v>
      </c>
    </row>
    <row r="157" spans="1:39">
      <c r="A157">
        <f ca="1">IF(_xll.TM1RPTELISCONSOLIDATED($G$31,$G157),IF(_xll.TM1RPTELLEV($G$31,$G157)&lt;=3,_xll.TM1RPTELLEV($G$31,$G157),"D"),"N")</f>
        <v>1</v>
      </c>
      <c r="G157" s="78" t="s">
        <v>178</v>
      </c>
      <c r="H157" s="48">
        <f ca="1">_xll.DBRW($G$15,$H$21,$H$22,H$29,H$28,$H$24,$H$25,$G157,H$30)</f>
        <v>0</v>
      </c>
      <c r="I157" s="48">
        <f ca="1">_xll.DBRW($G$15,$H$21,$H$22,H$29,H$28,$H$24,$H$25,$G157,I$30)</f>
        <v>0</v>
      </c>
      <c r="J157" s="48">
        <f ca="1">_xll.DBRW($G$15,$H$21,$H$22,H$29,H$28,$H$24,$H$25,$G157,J$30)</f>
        <v>0</v>
      </c>
      <c r="K157" s="48">
        <f ca="1">_xll.DBRW($G$15,$H$21,$H$22,K$29,H$28,$H$24,$H$25,$G157,K$30)</f>
        <v>0</v>
      </c>
      <c r="L157" s="48">
        <f ca="1">_xll.DBRW($G$15,$H$21,$H$22,K$29,H$28,$H$24,$H$25,$G157,L$30)</f>
        <v>0</v>
      </c>
      <c r="M157" s="49">
        <f ca="1">_xll.DBRW($G$15,$H$21,$H$22,K$29,H$28,$H$24,$H$25,$G157,M$30)</f>
        <v>0</v>
      </c>
      <c r="N157" s="125">
        <f t="shared" ca="1" si="8"/>
        <v>0</v>
      </c>
      <c r="O157" s="126">
        <f t="shared" ca="1" si="9"/>
        <v>0</v>
      </c>
      <c r="P157" s="51">
        <f ca="1">_xll.DBRW($G$15,$H$21,$H$22,P$29,P$28,$H$24,$H$25,$G157,P$30)</f>
        <v>0</v>
      </c>
      <c r="Q157" s="48">
        <f ca="1">_xll.DBRW($G$15,$H$21,$H$22,P$29,P$28,$H$24,$H$25,$G157,Q$30)</f>
        <v>0</v>
      </c>
      <c r="R157" s="48">
        <f ca="1">_xll.DBRW($G$15,$H$21,$H$22,P$29,P$28,$H$24,$H$25,$G157,R$30)</f>
        <v>0</v>
      </c>
      <c r="S157" s="48">
        <f ca="1">_xll.DBRW($G$15,$H$21,$H$22,S$29,P$28,$H$24,$H$25,$G157,S$30)</f>
        <v>0</v>
      </c>
      <c r="T157" s="48">
        <f ca="1">_xll.DBRW($G$15,$H$21,$H$22,S$29,P$28,$H$24,$H$25,$G157,T$30)</f>
        <v>0</v>
      </c>
      <c r="U157" s="49">
        <f ca="1">_xll.DBRW($G$15,$H$21,$H$22,S$29,P$28,$H$24,$H$25,$G157,U$30)</f>
        <v>0</v>
      </c>
      <c r="V157" s="125">
        <f t="shared" ca="1" si="10"/>
        <v>0</v>
      </c>
      <c r="W157" s="126">
        <f t="shared" ca="1" si="11"/>
        <v>0</v>
      </c>
      <c r="X157" s="51">
        <f ca="1">_xll.DBRW($G$15,$H$21,$H$22,X$29,X$28,$H$24,$H$25,$G157,X$30)</f>
        <v>0</v>
      </c>
      <c r="Y157" s="48">
        <f ca="1">_xll.DBRW($G$15,$H$21,$H$22,X$29,X$28,$H$24,$H$25,$G157,Y$30)</f>
        <v>0</v>
      </c>
      <c r="Z157" s="48">
        <f ca="1">_xll.DBRW($G$15,$H$21,$H$22,X$29,X$28,$H$24,$H$25,$G157,Z$30)</f>
        <v>0</v>
      </c>
      <c r="AA157" s="48">
        <f ca="1">_xll.DBRW($G$15,$H$21,$H$22,AA$29,X$28,$H$24,$H$25,$G157,AA$30)</f>
        <v>0</v>
      </c>
      <c r="AB157" s="48">
        <f ca="1">_xll.DBRW($G$15,$H$21,$H$22,AA$29,X$28,$H$24,$H$25,$G157,AB$30)</f>
        <v>0</v>
      </c>
      <c r="AC157" s="49">
        <f ca="1">_xll.DBRW($G$15,$H$21,$H$22,AA$29,X$28,$H$24,$H$25,$G157,AC$30)</f>
        <v>0</v>
      </c>
      <c r="AD157" s="125">
        <f t="shared" ca="1" si="12"/>
        <v>0</v>
      </c>
      <c r="AE157" s="126">
        <f t="shared" ca="1" si="13"/>
        <v>0</v>
      </c>
      <c r="AF157" s="51">
        <f ca="1">_xll.DBRW($G$15,$H$21,$H$22,AF$29,AF$28,$H$24,$H$25,$G157,AF$30)</f>
        <v>0</v>
      </c>
      <c r="AG157" s="48">
        <f ca="1">_xll.DBRW($G$15,$H$21,$H$22,AF$29,AF$28,$H$24,$H$25,$G157,AG$30)</f>
        <v>0</v>
      </c>
      <c r="AH157" s="48">
        <f ca="1">_xll.DBRW($G$15,$H$21,$H$22,AF$29,AF$28,$H$24,$H$25,$G157,AH$30)</f>
        <v>0</v>
      </c>
      <c r="AI157" s="48">
        <f ca="1">_xll.DBRW($G$15,$H$21,$H$22,AI$29,AF$28,$H$24,$H$25,$G157,AI$30)</f>
        <v>0</v>
      </c>
      <c r="AJ157" s="48">
        <f ca="1">_xll.DBRW($G$15,$H$21,$H$22,AI$29,AF$28,$H$24,$H$25,$G157,AJ$30)</f>
        <v>0</v>
      </c>
      <c r="AK157" s="49">
        <f ca="1">_xll.DBRW($G$15,$H$21,$H$22,AI$29,AF$28,$H$24,$H$25,$G157,AK$30)</f>
        <v>0</v>
      </c>
      <c r="AL157" s="140">
        <f t="shared" ca="1" si="14"/>
        <v>0</v>
      </c>
      <c r="AM157" s="140">
        <f t="shared" ca="1" si="15"/>
        <v>0</v>
      </c>
    </row>
    <row r="158" spans="1:39">
      <c r="A158">
        <f ca="1">IF(_xll.TM1RPTELISCONSOLIDATED($G$31,$G158),IF(_xll.TM1RPTELLEV($G$31,$G158)&lt;=3,_xll.TM1RPTELLEV($G$31,$G158),"D"),"N")</f>
        <v>2</v>
      </c>
      <c r="G158" s="79" t="s">
        <v>309</v>
      </c>
      <c r="H158" s="52">
        <f ca="1">_xll.DBRW($G$15,$H$21,$H$22,H$29,H$28,$H$24,$H$25,$G158,H$30)</f>
        <v>0</v>
      </c>
      <c r="I158" s="52">
        <f ca="1">_xll.DBRW($G$15,$H$21,$H$22,H$29,H$28,$H$24,$H$25,$G158,I$30)</f>
        <v>0</v>
      </c>
      <c r="J158" s="52">
        <f ca="1">_xll.DBRW($G$15,$H$21,$H$22,H$29,H$28,$H$24,$H$25,$G158,J$30)</f>
        <v>0</v>
      </c>
      <c r="K158" s="52">
        <f ca="1">_xll.DBRW($G$15,$H$21,$H$22,K$29,H$28,$H$24,$H$25,$G158,K$30)</f>
        <v>0</v>
      </c>
      <c r="L158" s="52">
        <f ca="1">_xll.DBRW($G$15,$H$21,$H$22,K$29,H$28,$H$24,$H$25,$G158,L$30)</f>
        <v>0</v>
      </c>
      <c r="M158" s="53">
        <f ca="1">_xll.DBRW($G$15,$H$21,$H$22,K$29,H$28,$H$24,$H$25,$G158,M$30)</f>
        <v>0</v>
      </c>
      <c r="N158" s="127">
        <f t="shared" ca="1" si="8"/>
        <v>0</v>
      </c>
      <c r="O158" s="128">
        <f t="shared" ca="1" si="9"/>
        <v>0</v>
      </c>
      <c r="P158" s="55">
        <f ca="1">_xll.DBRW($G$15,$H$21,$H$22,P$29,P$28,$H$24,$H$25,$G158,P$30)</f>
        <v>0</v>
      </c>
      <c r="Q158" s="52">
        <f ca="1">_xll.DBRW($G$15,$H$21,$H$22,P$29,P$28,$H$24,$H$25,$G158,Q$30)</f>
        <v>0</v>
      </c>
      <c r="R158" s="52">
        <f ca="1">_xll.DBRW($G$15,$H$21,$H$22,P$29,P$28,$H$24,$H$25,$G158,R$30)</f>
        <v>0</v>
      </c>
      <c r="S158" s="52">
        <f ca="1">_xll.DBRW($G$15,$H$21,$H$22,S$29,P$28,$H$24,$H$25,$G158,S$30)</f>
        <v>0</v>
      </c>
      <c r="T158" s="52">
        <f ca="1">_xll.DBRW($G$15,$H$21,$H$22,S$29,P$28,$H$24,$H$25,$G158,T$30)</f>
        <v>0</v>
      </c>
      <c r="U158" s="53">
        <f ca="1">_xll.DBRW($G$15,$H$21,$H$22,S$29,P$28,$H$24,$H$25,$G158,U$30)</f>
        <v>0</v>
      </c>
      <c r="V158" s="127">
        <f t="shared" ca="1" si="10"/>
        <v>0</v>
      </c>
      <c r="W158" s="128">
        <f t="shared" ca="1" si="11"/>
        <v>0</v>
      </c>
      <c r="X158" s="55">
        <f ca="1">_xll.DBRW($G$15,$H$21,$H$22,X$29,X$28,$H$24,$H$25,$G158,X$30)</f>
        <v>0</v>
      </c>
      <c r="Y158" s="52">
        <f ca="1">_xll.DBRW($G$15,$H$21,$H$22,X$29,X$28,$H$24,$H$25,$G158,Y$30)</f>
        <v>0</v>
      </c>
      <c r="Z158" s="52">
        <f ca="1">_xll.DBRW($G$15,$H$21,$H$22,X$29,X$28,$H$24,$H$25,$G158,Z$30)</f>
        <v>0</v>
      </c>
      <c r="AA158" s="52">
        <f ca="1">_xll.DBRW($G$15,$H$21,$H$22,AA$29,X$28,$H$24,$H$25,$G158,AA$30)</f>
        <v>0</v>
      </c>
      <c r="AB158" s="52">
        <f ca="1">_xll.DBRW($G$15,$H$21,$H$22,AA$29,X$28,$H$24,$H$25,$G158,AB$30)</f>
        <v>0</v>
      </c>
      <c r="AC158" s="53">
        <f ca="1">_xll.DBRW($G$15,$H$21,$H$22,AA$29,X$28,$H$24,$H$25,$G158,AC$30)</f>
        <v>0</v>
      </c>
      <c r="AD158" s="127">
        <f t="shared" ca="1" si="12"/>
        <v>0</v>
      </c>
      <c r="AE158" s="128">
        <f t="shared" ca="1" si="13"/>
        <v>0</v>
      </c>
      <c r="AF158" s="55">
        <f ca="1">_xll.DBRW($G$15,$H$21,$H$22,AF$29,AF$28,$H$24,$H$25,$G158,AF$30)</f>
        <v>0</v>
      </c>
      <c r="AG158" s="52">
        <f ca="1">_xll.DBRW($G$15,$H$21,$H$22,AF$29,AF$28,$H$24,$H$25,$G158,AG$30)</f>
        <v>0</v>
      </c>
      <c r="AH158" s="52">
        <f ca="1">_xll.DBRW($G$15,$H$21,$H$22,AF$29,AF$28,$H$24,$H$25,$G158,AH$30)</f>
        <v>0</v>
      </c>
      <c r="AI158" s="52">
        <f ca="1">_xll.DBRW($G$15,$H$21,$H$22,AI$29,AF$28,$H$24,$H$25,$G158,AI$30)</f>
        <v>0</v>
      </c>
      <c r="AJ158" s="52">
        <f ca="1">_xll.DBRW($G$15,$H$21,$H$22,AI$29,AF$28,$H$24,$H$25,$G158,AJ$30)</f>
        <v>0</v>
      </c>
      <c r="AK158" s="53">
        <f ca="1">_xll.DBRW($G$15,$H$21,$H$22,AI$29,AF$28,$H$24,$H$25,$G158,AK$30)</f>
        <v>0</v>
      </c>
      <c r="AL158" s="140">
        <f t="shared" ca="1" si="14"/>
        <v>0</v>
      </c>
      <c r="AM158" s="140">
        <f t="shared" ca="1" si="15"/>
        <v>0</v>
      </c>
    </row>
    <row r="159" spans="1:39">
      <c r="A159">
        <f ca="1">IF(_xll.TM1RPTELISCONSOLIDATED($G$31,$G159),IF(_xll.TM1RPTELLEV($G$31,$G159)&lt;=3,_xll.TM1RPTELLEV($G$31,$G159),"D"),"N")</f>
        <v>2</v>
      </c>
      <c r="G159" s="79" t="s">
        <v>310</v>
      </c>
      <c r="H159" s="52">
        <f ca="1">_xll.DBRW($G$15,$H$21,$H$22,H$29,H$28,$H$24,$H$25,$G159,H$30)</f>
        <v>0</v>
      </c>
      <c r="I159" s="52">
        <f ca="1">_xll.DBRW($G$15,$H$21,$H$22,H$29,H$28,$H$24,$H$25,$G159,I$30)</f>
        <v>0</v>
      </c>
      <c r="J159" s="52">
        <f ca="1">_xll.DBRW($G$15,$H$21,$H$22,H$29,H$28,$H$24,$H$25,$G159,J$30)</f>
        <v>0</v>
      </c>
      <c r="K159" s="52">
        <f ca="1">_xll.DBRW($G$15,$H$21,$H$22,K$29,H$28,$H$24,$H$25,$G159,K$30)</f>
        <v>0</v>
      </c>
      <c r="L159" s="52">
        <f ca="1">_xll.DBRW($G$15,$H$21,$H$22,K$29,H$28,$H$24,$H$25,$G159,L$30)</f>
        <v>0</v>
      </c>
      <c r="M159" s="53">
        <f ca="1">_xll.DBRW($G$15,$H$21,$H$22,K$29,H$28,$H$24,$H$25,$G159,M$30)</f>
        <v>0</v>
      </c>
      <c r="N159" s="127">
        <f t="shared" ca="1" si="8"/>
        <v>0</v>
      </c>
      <c r="O159" s="128">
        <f t="shared" ca="1" si="9"/>
        <v>0</v>
      </c>
      <c r="P159" s="55">
        <f ca="1">_xll.DBRW($G$15,$H$21,$H$22,P$29,P$28,$H$24,$H$25,$G159,P$30)</f>
        <v>0</v>
      </c>
      <c r="Q159" s="52">
        <f ca="1">_xll.DBRW($G$15,$H$21,$H$22,P$29,P$28,$H$24,$H$25,$G159,Q$30)</f>
        <v>0</v>
      </c>
      <c r="R159" s="52">
        <f ca="1">_xll.DBRW($G$15,$H$21,$H$22,P$29,P$28,$H$24,$H$25,$G159,R$30)</f>
        <v>0</v>
      </c>
      <c r="S159" s="52">
        <f ca="1">_xll.DBRW($G$15,$H$21,$H$22,S$29,P$28,$H$24,$H$25,$G159,S$30)</f>
        <v>0</v>
      </c>
      <c r="T159" s="52">
        <f ca="1">_xll.DBRW($G$15,$H$21,$H$22,S$29,P$28,$H$24,$H$25,$G159,T$30)</f>
        <v>0</v>
      </c>
      <c r="U159" s="53">
        <f ca="1">_xll.DBRW($G$15,$H$21,$H$22,S$29,P$28,$H$24,$H$25,$G159,U$30)</f>
        <v>0</v>
      </c>
      <c r="V159" s="127">
        <f t="shared" ca="1" si="10"/>
        <v>0</v>
      </c>
      <c r="W159" s="128">
        <f t="shared" ca="1" si="11"/>
        <v>0</v>
      </c>
      <c r="X159" s="55">
        <f ca="1">_xll.DBRW($G$15,$H$21,$H$22,X$29,X$28,$H$24,$H$25,$G159,X$30)</f>
        <v>0</v>
      </c>
      <c r="Y159" s="52">
        <f ca="1">_xll.DBRW($G$15,$H$21,$H$22,X$29,X$28,$H$24,$H$25,$G159,Y$30)</f>
        <v>0</v>
      </c>
      <c r="Z159" s="52">
        <f ca="1">_xll.DBRW($G$15,$H$21,$H$22,X$29,X$28,$H$24,$H$25,$G159,Z$30)</f>
        <v>0</v>
      </c>
      <c r="AA159" s="52">
        <f ca="1">_xll.DBRW($G$15,$H$21,$H$22,AA$29,X$28,$H$24,$H$25,$G159,AA$30)</f>
        <v>0</v>
      </c>
      <c r="AB159" s="52">
        <f ca="1">_xll.DBRW($G$15,$H$21,$H$22,AA$29,X$28,$H$24,$H$25,$G159,AB$30)</f>
        <v>0</v>
      </c>
      <c r="AC159" s="53">
        <f ca="1">_xll.DBRW($G$15,$H$21,$H$22,AA$29,X$28,$H$24,$H$25,$G159,AC$30)</f>
        <v>0</v>
      </c>
      <c r="AD159" s="127">
        <f t="shared" ca="1" si="12"/>
        <v>0</v>
      </c>
      <c r="AE159" s="128">
        <f t="shared" ca="1" si="13"/>
        <v>0</v>
      </c>
      <c r="AF159" s="55">
        <f ca="1">_xll.DBRW($G$15,$H$21,$H$22,AF$29,AF$28,$H$24,$H$25,$G159,AF$30)</f>
        <v>0</v>
      </c>
      <c r="AG159" s="52">
        <f ca="1">_xll.DBRW($G$15,$H$21,$H$22,AF$29,AF$28,$H$24,$H$25,$G159,AG$30)</f>
        <v>0</v>
      </c>
      <c r="AH159" s="52">
        <f ca="1">_xll.DBRW($G$15,$H$21,$H$22,AF$29,AF$28,$H$24,$H$25,$G159,AH$30)</f>
        <v>0</v>
      </c>
      <c r="AI159" s="52">
        <f ca="1">_xll.DBRW($G$15,$H$21,$H$22,AI$29,AF$28,$H$24,$H$25,$G159,AI$30)</f>
        <v>0</v>
      </c>
      <c r="AJ159" s="52">
        <f ca="1">_xll.DBRW($G$15,$H$21,$H$22,AI$29,AF$28,$H$24,$H$25,$G159,AJ$30)</f>
        <v>0</v>
      </c>
      <c r="AK159" s="53">
        <f ca="1">_xll.DBRW($G$15,$H$21,$H$22,AI$29,AF$28,$H$24,$H$25,$G159,AK$30)</f>
        <v>0</v>
      </c>
      <c r="AL159" s="140">
        <f t="shared" ca="1" si="14"/>
        <v>0</v>
      </c>
      <c r="AM159" s="140">
        <f t="shared" ca="1" si="15"/>
        <v>0</v>
      </c>
    </row>
    <row r="160" spans="1:39">
      <c r="A160">
        <f ca="1">IF(_xll.TM1RPTELISCONSOLIDATED($G$31,$G160),IF(_xll.TM1RPTELLEV($G$31,$G160)&lt;=3,_xll.TM1RPTELLEV($G$31,$G160),"D"),"N")</f>
        <v>2</v>
      </c>
      <c r="G160" s="79" t="s">
        <v>311</v>
      </c>
      <c r="H160" s="52">
        <f ca="1">_xll.DBRW($G$15,$H$21,$H$22,H$29,H$28,$H$24,$H$25,$G160,H$30)</f>
        <v>0</v>
      </c>
      <c r="I160" s="52">
        <f ca="1">_xll.DBRW($G$15,$H$21,$H$22,H$29,H$28,$H$24,$H$25,$G160,I$30)</f>
        <v>0</v>
      </c>
      <c r="J160" s="52">
        <f ca="1">_xll.DBRW($G$15,$H$21,$H$22,H$29,H$28,$H$24,$H$25,$G160,J$30)</f>
        <v>0</v>
      </c>
      <c r="K160" s="52">
        <f ca="1">_xll.DBRW($G$15,$H$21,$H$22,K$29,H$28,$H$24,$H$25,$G160,K$30)</f>
        <v>0</v>
      </c>
      <c r="L160" s="52">
        <f ca="1">_xll.DBRW($G$15,$H$21,$H$22,K$29,H$28,$H$24,$H$25,$G160,L$30)</f>
        <v>0</v>
      </c>
      <c r="M160" s="53">
        <f ca="1">_xll.DBRW($G$15,$H$21,$H$22,K$29,H$28,$H$24,$H$25,$G160,M$30)</f>
        <v>0</v>
      </c>
      <c r="N160" s="127">
        <f t="shared" ref="N160:N186" ca="1" si="16">IF(K160&lt;&gt;0,H160/K160,0)</f>
        <v>0</v>
      </c>
      <c r="O160" s="128">
        <f t="shared" ref="O160:O186" ca="1" si="17">IF(M160&lt;&gt;0,J160/M160,0)</f>
        <v>0</v>
      </c>
      <c r="P160" s="55">
        <f ca="1">_xll.DBRW($G$15,$H$21,$H$22,P$29,P$28,$H$24,$H$25,$G160,P$30)</f>
        <v>0</v>
      </c>
      <c r="Q160" s="52">
        <f ca="1">_xll.DBRW($G$15,$H$21,$H$22,P$29,P$28,$H$24,$H$25,$G160,Q$30)</f>
        <v>0</v>
      </c>
      <c r="R160" s="52">
        <f ca="1">_xll.DBRW($G$15,$H$21,$H$22,P$29,P$28,$H$24,$H$25,$G160,R$30)</f>
        <v>0</v>
      </c>
      <c r="S160" s="52">
        <f ca="1">_xll.DBRW($G$15,$H$21,$H$22,S$29,P$28,$H$24,$H$25,$G160,S$30)</f>
        <v>0</v>
      </c>
      <c r="T160" s="52">
        <f ca="1">_xll.DBRW($G$15,$H$21,$H$22,S$29,P$28,$H$24,$H$25,$G160,T$30)</f>
        <v>0</v>
      </c>
      <c r="U160" s="53">
        <f ca="1">_xll.DBRW($G$15,$H$21,$H$22,S$29,P$28,$H$24,$H$25,$G160,U$30)</f>
        <v>0</v>
      </c>
      <c r="V160" s="127">
        <f t="shared" ref="V160:V186" ca="1" si="18">IF(S160&lt;&gt;0,P160/S160,0)</f>
        <v>0</v>
      </c>
      <c r="W160" s="128">
        <f t="shared" ref="W160:W186" ca="1" si="19">IF(U160&lt;&gt;0,R160/U160,0)</f>
        <v>0</v>
      </c>
      <c r="X160" s="55">
        <f ca="1">_xll.DBRW($G$15,$H$21,$H$22,X$29,X$28,$H$24,$H$25,$G160,X$30)</f>
        <v>0</v>
      </c>
      <c r="Y160" s="52">
        <f ca="1">_xll.DBRW($G$15,$H$21,$H$22,X$29,X$28,$H$24,$H$25,$G160,Y$30)</f>
        <v>0</v>
      </c>
      <c r="Z160" s="52">
        <f ca="1">_xll.DBRW($G$15,$H$21,$H$22,X$29,X$28,$H$24,$H$25,$G160,Z$30)</f>
        <v>0</v>
      </c>
      <c r="AA160" s="52">
        <f ca="1">_xll.DBRW($G$15,$H$21,$H$22,AA$29,X$28,$H$24,$H$25,$G160,AA$30)</f>
        <v>0</v>
      </c>
      <c r="AB160" s="52">
        <f ca="1">_xll.DBRW($G$15,$H$21,$H$22,AA$29,X$28,$H$24,$H$25,$G160,AB$30)</f>
        <v>0</v>
      </c>
      <c r="AC160" s="53">
        <f ca="1">_xll.DBRW($G$15,$H$21,$H$22,AA$29,X$28,$H$24,$H$25,$G160,AC$30)</f>
        <v>0</v>
      </c>
      <c r="AD160" s="127">
        <f t="shared" ref="AD160:AD186" ca="1" si="20">IF(AA160&lt;&gt;0,X160/AA160,0)</f>
        <v>0</v>
      </c>
      <c r="AE160" s="128">
        <f t="shared" ref="AE160:AE186" ca="1" si="21">IF(AC160&lt;&gt;0,Z160/AC160,0)</f>
        <v>0</v>
      </c>
      <c r="AF160" s="55">
        <f ca="1">_xll.DBRW($G$15,$H$21,$H$22,AF$29,AF$28,$H$24,$H$25,$G160,AF$30)</f>
        <v>0</v>
      </c>
      <c r="AG160" s="52">
        <f ca="1">_xll.DBRW($G$15,$H$21,$H$22,AF$29,AF$28,$H$24,$H$25,$G160,AG$30)</f>
        <v>0</v>
      </c>
      <c r="AH160" s="52">
        <f ca="1">_xll.DBRW($G$15,$H$21,$H$22,AF$29,AF$28,$H$24,$H$25,$G160,AH$30)</f>
        <v>0</v>
      </c>
      <c r="AI160" s="52">
        <f ca="1">_xll.DBRW($G$15,$H$21,$H$22,AI$29,AF$28,$H$24,$H$25,$G160,AI$30)</f>
        <v>0</v>
      </c>
      <c r="AJ160" s="52">
        <f ca="1">_xll.DBRW($G$15,$H$21,$H$22,AI$29,AF$28,$H$24,$H$25,$G160,AJ$30)</f>
        <v>0</v>
      </c>
      <c r="AK160" s="53">
        <f ca="1">_xll.DBRW($G$15,$H$21,$H$22,AI$29,AF$28,$H$24,$H$25,$G160,AK$30)</f>
        <v>0</v>
      </c>
      <c r="AL160" s="140">
        <f t="shared" ref="AL160:AL186" ca="1" si="22">IF(AI160&lt;&gt;0,AF160/AI160,0)</f>
        <v>0</v>
      </c>
      <c r="AM160" s="140">
        <f t="shared" ref="AM160:AM186" ca="1" si="23">IF(AK160&lt;&gt;0,AH160/AK160,0)</f>
        <v>0</v>
      </c>
    </row>
    <row r="161" spans="1:39">
      <c r="A161">
        <f ca="1">IF(_xll.TM1RPTELISCONSOLIDATED($G$31,$G161),IF(_xll.TM1RPTELLEV($G$31,$G161)&lt;=3,_xll.TM1RPTELLEV($G$31,$G161),"D"),"N")</f>
        <v>2</v>
      </c>
      <c r="G161" s="79" t="s">
        <v>312</v>
      </c>
      <c r="H161" s="52">
        <f ca="1">_xll.DBRW($G$15,$H$21,$H$22,H$29,H$28,$H$24,$H$25,$G161,H$30)</f>
        <v>0</v>
      </c>
      <c r="I161" s="52">
        <f ca="1">_xll.DBRW($G$15,$H$21,$H$22,H$29,H$28,$H$24,$H$25,$G161,I$30)</f>
        <v>0</v>
      </c>
      <c r="J161" s="52">
        <f ca="1">_xll.DBRW($G$15,$H$21,$H$22,H$29,H$28,$H$24,$H$25,$G161,J$30)</f>
        <v>0</v>
      </c>
      <c r="K161" s="52">
        <f ca="1">_xll.DBRW($G$15,$H$21,$H$22,K$29,H$28,$H$24,$H$25,$G161,K$30)</f>
        <v>0</v>
      </c>
      <c r="L161" s="52">
        <f ca="1">_xll.DBRW($G$15,$H$21,$H$22,K$29,H$28,$H$24,$H$25,$G161,L$30)</f>
        <v>0</v>
      </c>
      <c r="M161" s="53">
        <f ca="1">_xll.DBRW($G$15,$H$21,$H$22,K$29,H$28,$H$24,$H$25,$G161,M$30)</f>
        <v>0</v>
      </c>
      <c r="N161" s="127">
        <f t="shared" ca="1" si="16"/>
        <v>0</v>
      </c>
      <c r="O161" s="128">
        <f t="shared" ca="1" si="17"/>
        <v>0</v>
      </c>
      <c r="P161" s="55">
        <f ca="1">_xll.DBRW($G$15,$H$21,$H$22,P$29,P$28,$H$24,$H$25,$G161,P$30)</f>
        <v>0</v>
      </c>
      <c r="Q161" s="52">
        <f ca="1">_xll.DBRW($G$15,$H$21,$H$22,P$29,P$28,$H$24,$H$25,$G161,Q$30)</f>
        <v>0</v>
      </c>
      <c r="R161" s="52">
        <f ca="1">_xll.DBRW($G$15,$H$21,$H$22,P$29,P$28,$H$24,$H$25,$G161,R$30)</f>
        <v>0</v>
      </c>
      <c r="S161" s="52">
        <f ca="1">_xll.DBRW($G$15,$H$21,$H$22,S$29,P$28,$H$24,$H$25,$G161,S$30)</f>
        <v>0</v>
      </c>
      <c r="T161" s="52">
        <f ca="1">_xll.DBRW($G$15,$H$21,$H$22,S$29,P$28,$H$24,$H$25,$G161,T$30)</f>
        <v>0</v>
      </c>
      <c r="U161" s="53">
        <f ca="1">_xll.DBRW($G$15,$H$21,$H$22,S$29,P$28,$H$24,$H$25,$G161,U$30)</f>
        <v>0</v>
      </c>
      <c r="V161" s="127">
        <f t="shared" ca="1" si="18"/>
        <v>0</v>
      </c>
      <c r="W161" s="128">
        <f t="shared" ca="1" si="19"/>
        <v>0</v>
      </c>
      <c r="X161" s="55">
        <f ca="1">_xll.DBRW($G$15,$H$21,$H$22,X$29,X$28,$H$24,$H$25,$G161,X$30)</f>
        <v>0</v>
      </c>
      <c r="Y161" s="52">
        <f ca="1">_xll.DBRW($G$15,$H$21,$H$22,X$29,X$28,$H$24,$H$25,$G161,Y$30)</f>
        <v>0</v>
      </c>
      <c r="Z161" s="52">
        <f ca="1">_xll.DBRW($G$15,$H$21,$H$22,X$29,X$28,$H$24,$H$25,$G161,Z$30)</f>
        <v>0</v>
      </c>
      <c r="AA161" s="52">
        <f ca="1">_xll.DBRW($G$15,$H$21,$H$22,AA$29,X$28,$H$24,$H$25,$G161,AA$30)</f>
        <v>0</v>
      </c>
      <c r="AB161" s="52">
        <f ca="1">_xll.DBRW($G$15,$H$21,$H$22,AA$29,X$28,$H$24,$H$25,$G161,AB$30)</f>
        <v>0</v>
      </c>
      <c r="AC161" s="53">
        <f ca="1">_xll.DBRW($G$15,$H$21,$H$22,AA$29,X$28,$H$24,$H$25,$G161,AC$30)</f>
        <v>0</v>
      </c>
      <c r="AD161" s="127">
        <f t="shared" ca="1" si="20"/>
        <v>0</v>
      </c>
      <c r="AE161" s="128">
        <f t="shared" ca="1" si="21"/>
        <v>0</v>
      </c>
      <c r="AF161" s="55">
        <f ca="1">_xll.DBRW($G$15,$H$21,$H$22,AF$29,AF$28,$H$24,$H$25,$G161,AF$30)</f>
        <v>0</v>
      </c>
      <c r="AG161" s="52">
        <f ca="1">_xll.DBRW($G$15,$H$21,$H$22,AF$29,AF$28,$H$24,$H$25,$G161,AG$30)</f>
        <v>0</v>
      </c>
      <c r="AH161" s="52">
        <f ca="1">_xll.DBRW($G$15,$H$21,$H$22,AF$29,AF$28,$H$24,$H$25,$G161,AH$30)</f>
        <v>0</v>
      </c>
      <c r="AI161" s="52">
        <f ca="1">_xll.DBRW($G$15,$H$21,$H$22,AI$29,AF$28,$H$24,$H$25,$G161,AI$30)</f>
        <v>0</v>
      </c>
      <c r="AJ161" s="52">
        <f ca="1">_xll.DBRW($G$15,$H$21,$H$22,AI$29,AF$28,$H$24,$H$25,$G161,AJ$30)</f>
        <v>0</v>
      </c>
      <c r="AK161" s="53">
        <f ca="1">_xll.DBRW($G$15,$H$21,$H$22,AI$29,AF$28,$H$24,$H$25,$G161,AK$30)</f>
        <v>0</v>
      </c>
      <c r="AL161" s="140">
        <f t="shared" ca="1" si="22"/>
        <v>0</v>
      </c>
      <c r="AM161" s="140">
        <f t="shared" ca="1" si="23"/>
        <v>0</v>
      </c>
    </row>
    <row r="162" spans="1:39">
      <c r="A162">
        <f ca="1">IF(_xll.TM1RPTELISCONSOLIDATED($G$31,$G162),IF(_xll.TM1RPTELLEV($G$31,$G162)&lt;=3,_xll.TM1RPTELLEV($G$31,$G162),"D"),"N")</f>
        <v>2</v>
      </c>
      <c r="G162" s="79" t="s">
        <v>313</v>
      </c>
      <c r="H162" s="52">
        <f ca="1">_xll.DBRW($G$15,$H$21,$H$22,H$29,H$28,$H$24,$H$25,$G162,H$30)</f>
        <v>0</v>
      </c>
      <c r="I162" s="52">
        <f ca="1">_xll.DBRW($G$15,$H$21,$H$22,H$29,H$28,$H$24,$H$25,$G162,I$30)</f>
        <v>0</v>
      </c>
      <c r="J162" s="52">
        <f ca="1">_xll.DBRW($G$15,$H$21,$H$22,H$29,H$28,$H$24,$H$25,$G162,J$30)</f>
        <v>0</v>
      </c>
      <c r="K162" s="52">
        <f ca="1">_xll.DBRW($G$15,$H$21,$H$22,K$29,H$28,$H$24,$H$25,$G162,K$30)</f>
        <v>0</v>
      </c>
      <c r="L162" s="52">
        <f ca="1">_xll.DBRW($G$15,$H$21,$H$22,K$29,H$28,$H$24,$H$25,$G162,L$30)</f>
        <v>0</v>
      </c>
      <c r="M162" s="53">
        <f ca="1">_xll.DBRW($G$15,$H$21,$H$22,K$29,H$28,$H$24,$H$25,$G162,M$30)</f>
        <v>0</v>
      </c>
      <c r="N162" s="127">
        <f t="shared" ca="1" si="16"/>
        <v>0</v>
      </c>
      <c r="O162" s="128">
        <f t="shared" ca="1" si="17"/>
        <v>0</v>
      </c>
      <c r="P162" s="55">
        <f ca="1">_xll.DBRW($G$15,$H$21,$H$22,P$29,P$28,$H$24,$H$25,$G162,P$30)</f>
        <v>0</v>
      </c>
      <c r="Q162" s="52">
        <f ca="1">_xll.DBRW($G$15,$H$21,$H$22,P$29,P$28,$H$24,$H$25,$G162,Q$30)</f>
        <v>0</v>
      </c>
      <c r="R162" s="52">
        <f ca="1">_xll.DBRW($G$15,$H$21,$H$22,P$29,P$28,$H$24,$H$25,$G162,R$30)</f>
        <v>0</v>
      </c>
      <c r="S162" s="52">
        <f ca="1">_xll.DBRW($G$15,$H$21,$H$22,S$29,P$28,$H$24,$H$25,$G162,S$30)</f>
        <v>0</v>
      </c>
      <c r="T162" s="52">
        <f ca="1">_xll.DBRW($G$15,$H$21,$H$22,S$29,P$28,$H$24,$H$25,$G162,T$30)</f>
        <v>0</v>
      </c>
      <c r="U162" s="53">
        <f ca="1">_xll.DBRW($G$15,$H$21,$H$22,S$29,P$28,$H$24,$H$25,$G162,U$30)</f>
        <v>0</v>
      </c>
      <c r="V162" s="127">
        <f t="shared" ca="1" si="18"/>
        <v>0</v>
      </c>
      <c r="W162" s="128">
        <f t="shared" ca="1" si="19"/>
        <v>0</v>
      </c>
      <c r="X162" s="55">
        <f ca="1">_xll.DBRW($G$15,$H$21,$H$22,X$29,X$28,$H$24,$H$25,$G162,X$30)</f>
        <v>0</v>
      </c>
      <c r="Y162" s="52">
        <f ca="1">_xll.DBRW($G$15,$H$21,$H$22,X$29,X$28,$H$24,$H$25,$G162,Y$30)</f>
        <v>0</v>
      </c>
      <c r="Z162" s="52">
        <f ca="1">_xll.DBRW($G$15,$H$21,$H$22,X$29,X$28,$H$24,$H$25,$G162,Z$30)</f>
        <v>0</v>
      </c>
      <c r="AA162" s="52">
        <f ca="1">_xll.DBRW($G$15,$H$21,$H$22,AA$29,X$28,$H$24,$H$25,$G162,AA$30)</f>
        <v>0</v>
      </c>
      <c r="AB162" s="52">
        <f ca="1">_xll.DBRW($G$15,$H$21,$H$22,AA$29,X$28,$H$24,$H$25,$G162,AB$30)</f>
        <v>0</v>
      </c>
      <c r="AC162" s="53">
        <f ca="1">_xll.DBRW($G$15,$H$21,$H$22,AA$29,X$28,$H$24,$H$25,$G162,AC$30)</f>
        <v>0</v>
      </c>
      <c r="AD162" s="127">
        <f t="shared" ca="1" si="20"/>
        <v>0</v>
      </c>
      <c r="AE162" s="128">
        <f t="shared" ca="1" si="21"/>
        <v>0</v>
      </c>
      <c r="AF162" s="55">
        <f ca="1">_xll.DBRW($G$15,$H$21,$H$22,AF$29,AF$28,$H$24,$H$25,$G162,AF$30)</f>
        <v>0</v>
      </c>
      <c r="AG162" s="52">
        <f ca="1">_xll.DBRW($G$15,$H$21,$H$22,AF$29,AF$28,$H$24,$H$25,$G162,AG$30)</f>
        <v>0</v>
      </c>
      <c r="AH162" s="52">
        <f ca="1">_xll.DBRW($G$15,$H$21,$H$22,AF$29,AF$28,$H$24,$H$25,$G162,AH$30)</f>
        <v>0</v>
      </c>
      <c r="AI162" s="52">
        <f ca="1">_xll.DBRW($G$15,$H$21,$H$22,AI$29,AF$28,$H$24,$H$25,$G162,AI$30)</f>
        <v>0</v>
      </c>
      <c r="AJ162" s="52">
        <f ca="1">_xll.DBRW($G$15,$H$21,$H$22,AI$29,AF$28,$H$24,$H$25,$G162,AJ$30)</f>
        <v>0</v>
      </c>
      <c r="AK162" s="53">
        <f ca="1">_xll.DBRW($G$15,$H$21,$H$22,AI$29,AF$28,$H$24,$H$25,$G162,AK$30)</f>
        <v>0</v>
      </c>
      <c r="AL162" s="140">
        <f t="shared" ca="1" si="22"/>
        <v>0</v>
      </c>
      <c r="AM162" s="140">
        <f t="shared" ca="1" si="23"/>
        <v>0</v>
      </c>
    </row>
    <row r="163" spans="1:39">
      <c r="A163">
        <f ca="1">IF(_xll.TM1RPTELISCONSOLIDATED($G$31,$G163),IF(_xll.TM1RPTELLEV($G$31,$G163)&lt;=3,_xll.TM1RPTELLEV($G$31,$G163),"D"),"N")</f>
        <v>1</v>
      </c>
      <c r="G163" s="42" t="s">
        <v>179</v>
      </c>
      <c r="H163" s="48">
        <f ca="1">_xll.DBRW($G$15,$H$21,$H$22,H$29,H$28,$H$24,$H$25,$G163,H$30)</f>
        <v>0</v>
      </c>
      <c r="I163" s="48">
        <f ca="1">_xll.DBRW($G$15,$H$21,$H$22,H$29,H$28,$H$24,$H$25,$G163,I$30)</f>
        <v>0</v>
      </c>
      <c r="J163" s="48">
        <f ca="1">_xll.DBRW($G$15,$H$21,$H$22,H$29,H$28,$H$24,$H$25,$G163,J$30)</f>
        <v>0</v>
      </c>
      <c r="K163" s="48">
        <f ca="1">_xll.DBRW($G$15,$H$21,$H$22,K$29,H$28,$H$24,$H$25,$G163,K$30)</f>
        <v>0</v>
      </c>
      <c r="L163" s="48">
        <f ca="1">_xll.DBRW($G$15,$H$21,$H$22,K$29,H$28,$H$24,$H$25,$G163,L$30)</f>
        <v>0</v>
      </c>
      <c r="M163" s="49">
        <f ca="1">_xll.DBRW($G$15,$H$21,$H$22,K$29,H$28,$H$24,$H$25,$G163,M$30)</f>
        <v>0</v>
      </c>
      <c r="N163" s="125">
        <f t="shared" ca="1" si="16"/>
        <v>0</v>
      </c>
      <c r="O163" s="126">
        <f t="shared" ca="1" si="17"/>
        <v>0</v>
      </c>
      <c r="P163" s="51">
        <f ca="1">_xll.DBRW($G$15,$H$21,$H$22,P$29,P$28,$H$24,$H$25,$G163,P$30)</f>
        <v>0</v>
      </c>
      <c r="Q163" s="48">
        <f ca="1">_xll.DBRW($G$15,$H$21,$H$22,P$29,P$28,$H$24,$H$25,$G163,Q$30)</f>
        <v>0</v>
      </c>
      <c r="R163" s="48">
        <f ca="1">_xll.DBRW($G$15,$H$21,$H$22,P$29,P$28,$H$24,$H$25,$G163,R$30)</f>
        <v>0</v>
      </c>
      <c r="S163" s="48">
        <f ca="1">_xll.DBRW($G$15,$H$21,$H$22,S$29,P$28,$H$24,$H$25,$G163,S$30)</f>
        <v>0</v>
      </c>
      <c r="T163" s="48">
        <f ca="1">_xll.DBRW($G$15,$H$21,$H$22,S$29,P$28,$H$24,$H$25,$G163,T$30)</f>
        <v>0</v>
      </c>
      <c r="U163" s="49">
        <f ca="1">_xll.DBRW($G$15,$H$21,$H$22,S$29,P$28,$H$24,$H$25,$G163,U$30)</f>
        <v>0</v>
      </c>
      <c r="V163" s="125">
        <f t="shared" ca="1" si="18"/>
        <v>0</v>
      </c>
      <c r="W163" s="126">
        <f t="shared" ca="1" si="19"/>
        <v>0</v>
      </c>
      <c r="X163" s="51">
        <f ca="1">_xll.DBRW($G$15,$H$21,$H$22,X$29,X$28,$H$24,$H$25,$G163,X$30)</f>
        <v>0</v>
      </c>
      <c r="Y163" s="48">
        <f ca="1">_xll.DBRW($G$15,$H$21,$H$22,X$29,X$28,$H$24,$H$25,$G163,Y$30)</f>
        <v>0</v>
      </c>
      <c r="Z163" s="48">
        <f ca="1">_xll.DBRW($G$15,$H$21,$H$22,X$29,X$28,$H$24,$H$25,$G163,Z$30)</f>
        <v>0</v>
      </c>
      <c r="AA163" s="48">
        <f ca="1">_xll.DBRW($G$15,$H$21,$H$22,AA$29,X$28,$H$24,$H$25,$G163,AA$30)</f>
        <v>0</v>
      </c>
      <c r="AB163" s="48">
        <f ca="1">_xll.DBRW($G$15,$H$21,$H$22,AA$29,X$28,$H$24,$H$25,$G163,AB$30)</f>
        <v>0</v>
      </c>
      <c r="AC163" s="49">
        <f ca="1">_xll.DBRW($G$15,$H$21,$H$22,AA$29,X$28,$H$24,$H$25,$G163,AC$30)</f>
        <v>0</v>
      </c>
      <c r="AD163" s="125">
        <f t="shared" ca="1" si="20"/>
        <v>0</v>
      </c>
      <c r="AE163" s="126">
        <f t="shared" ca="1" si="21"/>
        <v>0</v>
      </c>
      <c r="AF163" s="51">
        <f ca="1">_xll.DBRW($G$15,$H$21,$H$22,AF$29,AF$28,$H$24,$H$25,$G163,AF$30)</f>
        <v>0</v>
      </c>
      <c r="AG163" s="48">
        <f ca="1">_xll.DBRW($G$15,$H$21,$H$22,AF$29,AF$28,$H$24,$H$25,$G163,AG$30)</f>
        <v>0</v>
      </c>
      <c r="AH163" s="48">
        <f ca="1">_xll.DBRW($G$15,$H$21,$H$22,AF$29,AF$28,$H$24,$H$25,$G163,AH$30)</f>
        <v>0</v>
      </c>
      <c r="AI163" s="48">
        <f ca="1">_xll.DBRW($G$15,$H$21,$H$22,AI$29,AF$28,$H$24,$H$25,$G163,AI$30)</f>
        <v>0</v>
      </c>
      <c r="AJ163" s="48">
        <f ca="1">_xll.DBRW($G$15,$H$21,$H$22,AI$29,AF$28,$H$24,$H$25,$G163,AJ$30)</f>
        <v>0</v>
      </c>
      <c r="AK163" s="49">
        <f ca="1">_xll.DBRW($G$15,$H$21,$H$22,AI$29,AF$28,$H$24,$H$25,$G163,AK$30)</f>
        <v>0</v>
      </c>
      <c r="AL163" s="140">
        <f t="shared" ca="1" si="22"/>
        <v>0</v>
      </c>
      <c r="AM163" s="140">
        <f t="shared" ca="1" si="23"/>
        <v>0</v>
      </c>
    </row>
    <row r="164" spans="1:39">
      <c r="A164">
        <f ca="1">IF(_xll.TM1RPTELISCONSOLIDATED($G$31,$G164),IF(_xll.TM1RPTELLEV($G$31,$G164)&lt;=3,_xll.TM1RPTELLEV($G$31,$G164),"D"),"N")</f>
        <v>1</v>
      </c>
      <c r="G164" s="42" t="s">
        <v>180</v>
      </c>
      <c r="H164" s="48">
        <f ca="1">_xll.DBRW($G$15,$H$21,$H$22,H$29,H$28,$H$24,$H$25,$G164,H$30)</f>
        <v>0</v>
      </c>
      <c r="I164" s="48">
        <f ca="1">_xll.DBRW($G$15,$H$21,$H$22,H$29,H$28,$H$24,$H$25,$G164,I$30)</f>
        <v>0</v>
      </c>
      <c r="J164" s="48">
        <f ca="1">_xll.DBRW($G$15,$H$21,$H$22,H$29,H$28,$H$24,$H$25,$G164,J$30)</f>
        <v>0</v>
      </c>
      <c r="K164" s="48">
        <f ca="1">_xll.DBRW($G$15,$H$21,$H$22,K$29,H$28,$H$24,$H$25,$G164,K$30)</f>
        <v>0</v>
      </c>
      <c r="L164" s="48">
        <f ca="1">_xll.DBRW($G$15,$H$21,$H$22,K$29,H$28,$H$24,$H$25,$G164,L$30)</f>
        <v>0</v>
      </c>
      <c r="M164" s="49">
        <f ca="1">_xll.DBRW($G$15,$H$21,$H$22,K$29,H$28,$H$24,$H$25,$G164,M$30)</f>
        <v>0</v>
      </c>
      <c r="N164" s="125">
        <f t="shared" ca="1" si="16"/>
        <v>0</v>
      </c>
      <c r="O164" s="126">
        <f t="shared" ca="1" si="17"/>
        <v>0</v>
      </c>
      <c r="P164" s="51">
        <f ca="1">_xll.DBRW($G$15,$H$21,$H$22,P$29,P$28,$H$24,$H$25,$G164,P$30)</f>
        <v>0</v>
      </c>
      <c r="Q164" s="48">
        <f ca="1">_xll.DBRW($G$15,$H$21,$H$22,P$29,P$28,$H$24,$H$25,$G164,Q$30)</f>
        <v>0</v>
      </c>
      <c r="R164" s="48">
        <f ca="1">_xll.DBRW($G$15,$H$21,$H$22,P$29,P$28,$H$24,$H$25,$G164,R$30)</f>
        <v>0</v>
      </c>
      <c r="S164" s="48">
        <f ca="1">_xll.DBRW($G$15,$H$21,$H$22,S$29,P$28,$H$24,$H$25,$G164,S$30)</f>
        <v>0</v>
      </c>
      <c r="T164" s="48">
        <f ca="1">_xll.DBRW($G$15,$H$21,$H$22,S$29,P$28,$H$24,$H$25,$G164,T$30)</f>
        <v>0</v>
      </c>
      <c r="U164" s="49">
        <f ca="1">_xll.DBRW($G$15,$H$21,$H$22,S$29,P$28,$H$24,$H$25,$G164,U$30)</f>
        <v>0</v>
      </c>
      <c r="V164" s="125">
        <f t="shared" ca="1" si="18"/>
        <v>0</v>
      </c>
      <c r="W164" s="126">
        <f t="shared" ca="1" si="19"/>
        <v>0</v>
      </c>
      <c r="X164" s="51">
        <f ca="1">_xll.DBRW($G$15,$H$21,$H$22,X$29,X$28,$H$24,$H$25,$G164,X$30)</f>
        <v>0</v>
      </c>
      <c r="Y164" s="48">
        <f ca="1">_xll.DBRW($G$15,$H$21,$H$22,X$29,X$28,$H$24,$H$25,$G164,Y$30)</f>
        <v>0</v>
      </c>
      <c r="Z164" s="48">
        <f ca="1">_xll.DBRW($G$15,$H$21,$H$22,X$29,X$28,$H$24,$H$25,$G164,Z$30)</f>
        <v>0</v>
      </c>
      <c r="AA164" s="48">
        <f ca="1">_xll.DBRW($G$15,$H$21,$H$22,AA$29,X$28,$H$24,$H$25,$G164,AA$30)</f>
        <v>0</v>
      </c>
      <c r="AB164" s="48">
        <f ca="1">_xll.DBRW($G$15,$H$21,$H$22,AA$29,X$28,$H$24,$H$25,$G164,AB$30)</f>
        <v>0</v>
      </c>
      <c r="AC164" s="49">
        <f ca="1">_xll.DBRW($G$15,$H$21,$H$22,AA$29,X$28,$H$24,$H$25,$G164,AC$30)</f>
        <v>0</v>
      </c>
      <c r="AD164" s="125">
        <f t="shared" ca="1" si="20"/>
        <v>0</v>
      </c>
      <c r="AE164" s="126">
        <f t="shared" ca="1" si="21"/>
        <v>0</v>
      </c>
      <c r="AF164" s="51">
        <f ca="1">_xll.DBRW($G$15,$H$21,$H$22,AF$29,AF$28,$H$24,$H$25,$G164,AF$30)</f>
        <v>0</v>
      </c>
      <c r="AG164" s="48">
        <f ca="1">_xll.DBRW($G$15,$H$21,$H$22,AF$29,AF$28,$H$24,$H$25,$G164,AG$30)</f>
        <v>0</v>
      </c>
      <c r="AH164" s="48">
        <f ca="1">_xll.DBRW($G$15,$H$21,$H$22,AF$29,AF$28,$H$24,$H$25,$G164,AH$30)</f>
        <v>0</v>
      </c>
      <c r="AI164" s="48">
        <f ca="1">_xll.DBRW($G$15,$H$21,$H$22,AI$29,AF$28,$H$24,$H$25,$G164,AI$30)</f>
        <v>0</v>
      </c>
      <c r="AJ164" s="48">
        <f ca="1">_xll.DBRW($G$15,$H$21,$H$22,AI$29,AF$28,$H$24,$H$25,$G164,AJ$30)</f>
        <v>0</v>
      </c>
      <c r="AK164" s="49">
        <f ca="1">_xll.DBRW($G$15,$H$21,$H$22,AI$29,AF$28,$H$24,$H$25,$G164,AK$30)</f>
        <v>0</v>
      </c>
      <c r="AL164" s="140">
        <f t="shared" ca="1" si="22"/>
        <v>0</v>
      </c>
      <c r="AM164" s="140">
        <f t="shared" ca="1" si="23"/>
        <v>0</v>
      </c>
    </row>
    <row r="165" spans="1:39">
      <c r="A165">
        <f ca="1">IF(_xll.TM1RPTELISCONSOLIDATED($G$31,$G165),IF(_xll.TM1RPTELLEV($G$31,$G165)&lt;=3,_xll.TM1RPTELLEV($G$31,$G165),"D"),"N")</f>
        <v>1</v>
      </c>
      <c r="G165" s="42" t="s">
        <v>181</v>
      </c>
      <c r="H165" s="48">
        <f ca="1">_xll.DBRW($G$15,$H$21,$H$22,H$29,H$28,$H$24,$H$25,$G165,H$30)</f>
        <v>0</v>
      </c>
      <c r="I165" s="48">
        <f ca="1">_xll.DBRW($G$15,$H$21,$H$22,H$29,H$28,$H$24,$H$25,$G165,I$30)</f>
        <v>0</v>
      </c>
      <c r="J165" s="48">
        <f ca="1">_xll.DBRW($G$15,$H$21,$H$22,H$29,H$28,$H$24,$H$25,$G165,J$30)</f>
        <v>0</v>
      </c>
      <c r="K165" s="48">
        <f ca="1">_xll.DBRW($G$15,$H$21,$H$22,K$29,H$28,$H$24,$H$25,$G165,K$30)</f>
        <v>0</v>
      </c>
      <c r="L165" s="48">
        <f ca="1">_xll.DBRW($G$15,$H$21,$H$22,K$29,H$28,$H$24,$H$25,$G165,L$30)</f>
        <v>0</v>
      </c>
      <c r="M165" s="49">
        <f ca="1">_xll.DBRW($G$15,$H$21,$H$22,K$29,H$28,$H$24,$H$25,$G165,M$30)</f>
        <v>0</v>
      </c>
      <c r="N165" s="125">
        <f t="shared" ca="1" si="16"/>
        <v>0</v>
      </c>
      <c r="O165" s="126">
        <f t="shared" ca="1" si="17"/>
        <v>0</v>
      </c>
      <c r="P165" s="51">
        <f ca="1">_xll.DBRW($G$15,$H$21,$H$22,P$29,P$28,$H$24,$H$25,$G165,P$30)</f>
        <v>0</v>
      </c>
      <c r="Q165" s="48">
        <f ca="1">_xll.DBRW($G$15,$H$21,$H$22,P$29,P$28,$H$24,$H$25,$G165,Q$30)</f>
        <v>0</v>
      </c>
      <c r="R165" s="48">
        <f ca="1">_xll.DBRW($G$15,$H$21,$H$22,P$29,P$28,$H$24,$H$25,$G165,R$30)</f>
        <v>0</v>
      </c>
      <c r="S165" s="48">
        <f ca="1">_xll.DBRW($G$15,$H$21,$H$22,S$29,P$28,$H$24,$H$25,$G165,S$30)</f>
        <v>0</v>
      </c>
      <c r="T165" s="48">
        <f ca="1">_xll.DBRW($G$15,$H$21,$H$22,S$29,P$28,$H$24,$H$25,$G165,T$30)</f>
        <v>0</v>
      </c>
      <c r="U165" s="49">
        <f ca="1">_xll.DBRW($G$15,$H$21,$H$22,S$29,P$28,$H$24,$H$25,$G165,U$30)</f>
        <v>0</v>
      </c>
      <c r="V165" s="125">
        <f t="shared" ca="1" si="18"/>
        <v>0</v>
      </c>
      <c r="W165" s="126">
        <f t="shared" ca="1" si="19"/>
        <v>0</v>
      </c>
      <c r="X165" s="51">
        <f ca="1">_xll.DBRW($G$15,$H$21,$H$22,X$29,X$28,$H$24,$H$25,$G165,X$30)</f>
        <v>0</v>
      </c>
      <c r="Y165" s="48">
        <f ca="1">_xll.DBRW($G$15,$H$21,$H$22,X$29,X$28,$H$24,$H$25,$G165,Y$30)</f>
        <v>0</v>
      </c>
      <c r="Z165" s="48">
        <f ca="1">_xll.DBRW($G$15,$H$21,$H$22,X$29,X$28,$H$24,$H$25,$G165,Z$30)</f>
        <v>0</v>
      </c>
      <c r="AA165" s="48">
        <f ca="1">_xll.DBRW($G$15,$H$21,$H$22,AA$29,X$28,$H$24,$H$25,$G165,AA$30)</f>
        <v>0</v>
      </c>
      <c r="AB165" s="48">
        <f ca="1">_xll.DBRW($G$15,$H$21,$H$22,AA$29,X$28,$H$24,$H$25,$G165,AB$30)</f>
        <v>0</v>
      </c>
      <c r="AC165" s="49">
        <f ca="1">_xll.DBRW($G$15,$H$21,$H$22,AA$29,X$28,$H$24,$H$25,$G165,AC$30)</f>
        <v>0</v>
      </c>
      <c r="AD165" s="125">
        <f t="shared" ca="1" si="20"/>
        <v>0</v>
      </c>
      <c r="AE165" s="126">
        <f t="shared" ca="1" si="21"/>
        <v>0</v>
      </c>
      <c r="AF165" s="51">
        <f ca="1">_xll.DBRW($G$15,$H$21,$H$22,AF$29,AF$28,$H$24,$H$25,$G165,AF$30)</f>
        <v>0</v>
      </c>
      <c r="AG165" s="48">
        <f ca="1">_xll.DBRW($G$15,$H$21,$H$22,AF$29,AF$28,$H$24,$H$25,$G165,AG$30)</f>
        <v>0</v>
      </c>
      <c r="AH165" s="48">
        <f ca="1">_xll.DBRW($G$15,$H$21,$H$22,AF$29,AF$28,$H$24,$H$25,$G165,AH$30)</f>
        <v>0</v>
      </c>
      <c r="AI165" s="48">
        <f ca="1">_xll.DBRW($G$15,$H$21,$H$22,AI$29,AF$28,$H$24,$H$25,$G165,AI$30)</f>
        <v>0</v>
      </c>
      <c r="AJ165" s="48">
        <f ca="1">_xll.DBRW($G$15,$H$21,$H$22,AI$29,AF$28,$H$24,$H$25,$G165,AJ$30)</f>
        <v>0</v>
      </c>
      <c r="AK165" s="49">
        <f ca="1">_xll.DBRW($G$15,$H$21,$H$22,AI$29,AF$28,$H$24,$H$25,$G165,AK$30)</f>
        <v>0</v>
      </c>
      <c r="AL165" s="140">
        <f t="shared" ca="1" si="22"/>
        <v>0</v>
      </c>
      <c r="AM165" s="140">
        <f t="shared" ca="1" si="23"/>
        <v>0</v>
      </c>
    </row>
    <row r="166" spans="1:39">
      <c r="A166">
        <f ca="1">IF(_xll.TM1RPTELISCONSOLIDATED($G$31,$G166),IF(_xll.TM1RPTELLEV($G$31,$G166)&lt;=3,_xll.TM1RPTELLEV($G$31,$G166),"D"),"N")</f>
        <v>1</v>
      </c>
      <c r="G166" s="78" t="s">
        <v>182</v>
      </c>
      <c r="H166" s="48">
        <f ca="1">_xll.DBRW($G$15,$H$21,$H$22,H$29,H$28,$H$24,$H$25,$G166,H$30)</f>
        <v>0</v>
      </c>
      <c r="I166" s="48">
        <f ca="1">_xll.DBRW($G$15,$H$21,$H$22,H$29,H$28,$H$24,$H$25,$G166,I$30)</f>
        <v>0</v>
      </c>
      <c r="J166" s="48">
        <f ca="1">_xll.DBRW($G$15,$H$21,$H$22,H$29,H$28,$H$24,$H$25,$G166,J$30)</f>
        <v>0</v>
      </c>
      <c r="K166" s="48">
        <f ca="1">_xll.DBRW($G$15,$H$21,$H$22,K$29,H$28,$H$24,$H$25,$G166,K$30)</f>
        <v>0</v>
      </c>
      <c r="L166" s="48">
        <f ca="1">_xll.DBRW($G$15,$H$21,$H$22,K$29,H$28,$H$24,$H$25,$G166,L$30)</f>
        <v>0</v>
      </c>
      <c r="M166" s="49">
        <f ca="1">_xll.DBRW($G$15,$H$21,$H$22,K$29,H$28,$H$24,$H$25,$G166,M$30)</f>
        <v>0</v>
      </c>
      <c r="N166" s="125">
        <f t="shared" ca="1" si="16"/>
        <v>0</v>
      </c>
      <c r="O166" s="126">
        <f t="shared" ca="1" si="17"/>
        <v>0</v>
      </c>
      <c r="P166" s="51">
        <f ca="1">_xll.DBRW($G$15,$H$21,$H$22,P$29,P$28,$H$24,$H$25,$G166,P$30)</f>
        <v>0</v>
      </c>
      <c r="Q166" s="48">
        <f ca="1">_xll.DBRW($G$15,$H$21,$H$22,P$29,P$28,$H$24,$H$25,$G166,Q$30)</f>
        <v>0</v>
      </c>
      <c r="R166" s="48">
        <f ca="1">_xll.DBRW($G$15,$H$21,$H$22,P$29,P$28,$H$24,$H$25,$G166,R$30)</f>
        <v>0</v>
      </c>
      <c r="S166" s="48">
        <f ca="1">_xll.DBRW($G$15,$H$21,$H$22,S$29,P$28,$H$24,$H$25,$G166,S$30)</f>
        <v>0</v>
      </c>
      <c r="T166" s="48">
        <f ca="1">_xll.DBRW($G$15,$H$21,$H$22,S$29,P$28,$H$24,$H$25,$G166,T$30)</f>
        <v>0</v>
      </c>
      <c r="U166" s="49">
        <f ca="1">_xll.DBRW($G$15,$H$21,$H$22,S$29,P$28,$H$24,$H$25,$G166,U$30)</f>
        <v>0</v>
      </c>
      <c r="V166" s="125">
        <f t="shared" ca="1" si="18"/>
        <v>0</v>
      </c>
      <c r="W166" s="126">
        <f t="shared" ca="1" si="19"/>
        <v>0</v>
      </c>
      <c r="X166" s="51">
        <f ca="1">_xll.DBRW($G$15,$H$21,$H$22,X$29,X$28,$H$24,$H$25,$G166,X$30)</f>
        <v>0</v>
      </c>
      <c r="Y166" s="48">
        <f ca="1">_xll.DBRW($G$15,$H$21,$H$22,X$29,X$28,$H$24,$H$25,$G166,Y$30)</f>
        <v>0</v>
      </c>
      <c r="Z166" s="48">
        <f ca="1">_xll.DBRW($G$15,$H$21,$H$22,X$29,X$28,$H$24,$H$25,$G166,Z$30)</f>
        <v>0</v>
      </c>
      <c r="AA166" s="48">
        <f ca="1">_xll.DBRW($G$15,$H$21,$H$22,AA$29,X$28,$H$24,$H$25,$G166,AA$30)</f>
        <v>0</v>
      </c>
      <c r="AB166" s="48">
        <f ca="1">_xll.DBRW($G$15,$H$21,$H$22,AA$29,X$28,$H$24,$H$25,$G166,AB$30)</f>
        <v>0</v>
      </c>
      <c r="AC166" s="49">
        <f ca="1">_xll.DBRW($G$15,$H$21,$H$22,AA$29,X$28,$H$24,$H$25,$G166,AC$30)</f>
        <v>0</v>
      </c>
      <c r="AD166" s="125">
        <f t="shared" ca="1" si="20"/>
        <v>0</v>
      </c>
      <c r="AE166" s="126">
        <f t="shared" ca="1" si="21"/>
        <v>0</v>
      </c>
      <c r="AF166" s="51">
        <f ca="1">_xll.DBRW($G$15,$H$21,$H$22,AF$29,AF$28,$H$24,$H$25,$G166,AF$30)</f>
        <v>0</v>
      </c>
      <c r="AG166" s="48">
        <f ca="1">_xll.DBRW($G$15,$H$21,$H$22,AF$29,AF$28,$H$24,$H$25,$G166,AG$30)</f>
        <v>0</v>
      </c>
      <c r="AH166" s="48">
        <f ca="1">_xll.DBRW($G$15,$H$21,$H$22,AF$29,AF$28,$H$24,$H$25,$G166,AH$30)</f>
        <v>0</v>
      </c>
      <c r="AI166" s="48">
        <f ca="1">_xll.DBRW($G$15,$H$21,$H$22,AI$29,AF$28,$H$24,$H$25,$G166,AI$30)</f>
        <v>0</v>
      </c>
      <c r="AJ166" s="48">
        <f ca="1">_xll.DBRW($G$15,$H$21,$H$22,AI$29,AF$28,$H$24,$H$25,$G166,AJ$30)</f>
        <v>0</v>
      </c>
      <c r="AK166" s="49">
        <f ca="1">_xll.DBRW($G$15,$H$21,$H$22,AI$29,AF$28,$H$24,$H$25,$G166,AK$30)</f>
        <v>0</v>
      </c>
      <c r="AL166" s="140">
        <f t="shared" ca="1" si="22"/>
        <v>0</v>
      </c>
      <c r="AM166" s="140">
        <f t="shared" ca="1" si="23"/>
        <v>0</v>
      </c>
    </row>
    <row r="167" spans="1:39">
      <c r="A167">
        <f ca="1">IF(_xll.TM1RPTELISCONSOLIDATED($G$31,$G167),IF(_xll.TM1RPTELLEV($G$31,$G167)&lt;=3,_xll.TM1RPTELLEV($G$31,$G167),"D"),"N")</f>
        <v>2</v>
      </c>
      <c r="G167" s="79" t="s">
        <v>314</v>
      </c>
      <c r="H167" s="52">
        <f ca="1">_xll.DBRW($G$15,$H$21,$H$22,H$29,H$28,$H$24,$H$25,$G167,H$30)</f>
        <v>0</v>
      </c>
      <c r="I167" s="52">
        <f ca="1">_xll.DBRW($G$15,$H$21,$H$22,H$29,H$28,$H$24,$H$25,$G167,I$30)</f>
        <v>0</v>
      </c>
      <c r="J167" s="52">
        <f ca="1">_xll.DBRW($G$15,$H$21,$H$22,H$29,H$28,$H$24,$H$25,$G167,J$30)</f>
        <v>0</v>
      </c>
      <c r="K167" s="52">
        <f ca="1">_xll.DBRW($G$15,$H$21,$H$22,K$29,H$28,$H$24,$H$25,$G167,K$30)</f>
        <v>0</v>
      </c>
      <c r="L167" s="52">
        <f ca="1">_xll.DBRW($G$15,$H$21,$H$22,K$29,H$28,$H$24,$H$25,$G167,L$30)</f>
        <v>0</v>
      </c>
      <c r="M167" s="53">
        <f ca="1">_xll.DBRW($G$15,$H$21,$H$22,K$29,H$28,$H$24,$H$25,$G167,M$30)</f>
        <v>0</v>
      </c>
      <c r="N167" s="127">
        <f t="shared" ca="1" si="16"/>
        <v>0</v>
      </c>
      <c r="O167" s="128">
        <f t="shared" ca="1" si="17"/>
        <v>0</v>
      </c>
      <c r="P167" s="55">
        <f ca="1">_xll.DBRW($G$15,$H$21,$H$22,P$29,P$28,$H$24,$H$25,$G167,P$30)</f>
        <v>0</v>
      </c>
      <c r="Q167" s="52">
        <f ca="1">_xll.DBRW($G$15,$H$21,$H$22,P$29,P$28,$H$24,$H$25,$G167,Q$30)</f>
        <v>0</v>
      </c>
      <c r="R167" s="52">
        <f ca="1">_xll.DBRW($G$15,$H$21,$H$22,P$29,P$28,$H$24,$H$25,$G167,R$30)</f>
        <v>0</v>
      </c>
      <c r="S167" s="52">
        <f ca="1">_xll.DBRW($G$15,$H$21,$H$22,S$29,P$28,$H$24,$H$25,$G167,S$30)</f>
        <v>0</v>
      </c>
      <c r="T167" s="52">
        <f ca="1">_xll.DBRW($G$15,$H$21,$H$22,S$29,P$28,$H$24,$H$25,$G167,T$30)</f>
        <v>0</v>
      </c>
      <c r="U167" s="53">
        <f ca="1">_xll.DBRW($G$15,$H$21,$H$22,S$29,P$28,$H$24,$H$25,$G167,U$30)</f>
        <v>0</v>
      </c>
      <c r="V167" s="127">
        <f t="shared" ca="1" si="18"/>
        <v>0</v>
      </c>
      <c r="W167" s="128">
        <f t="shared" ca="1" si="19"/>
        <v>0</v>
      </c>
      <c r="X167" s="55">
        <f ca="1">_xll.DBRW($G$15,$H$21,$H$22,X$29,X$28,$H$24,$H$25,$G167,X$30)</f>
        <v>0</v>
      </c>
      <c r="Y167" s="52">
        <f ca="1">_xll.DBRW($G$15,$H$21,$H$22,X$29,X$28,$H$24,$H$25,$G167,Y$30)</f>
        <v>0</v>
      </c>
      <c r="Z167" s="52">
        <f ca="1">_xll.DBRW($G$15,$H$21,$H$22,X$29,X$28,$H$24,$H$25,$G167,Z$30)</f>
        <v>0</v>
      </c>
      <c r="AA167" s="52">
        <f ca="1">_xll.DBRW($G$15,$H$21,$H$22,AA$29,X$28,$H$24,$H$25,$G167,AA$30)</f>
        <v>0</v>
      </c>
      <c r="AB167" s="52">
        <f ca="1">_xll.DBRW($G$15,$H$21,$H$22,AA$29,X$28,$H$24,$H$25,$G167,AB$30)</f>
        <v>0</v>
      </c>
      <c r="AC167" s="53">
        <f ca="1">_xll.DBRW($G$15,$H$21,$H$22,AA$29,X$28,$H$24,$H$25,$G167,AC$30)</f>
        <v>0</v>
      </c>
      <c r="AD167" s="127">
        <f t="shared" ca="1" si="20"/>
        <v>0</v>
      </c>
      <c r="AE167" s="128">
        <f t="shared" ca="1" si="21"/>
        <v>0</v>
      </c>
      <c r="AF167" s="55">
        <f ca="1">_xll.DBRW($G$15,$H$21,$H$22,AF$29,AF$28,$H$24,$H$25,$G167,AF$30)</f>
        <v>0</v>
      </c>
      <c r="AG167" s="52">
        <f ca="1">_xll.DBRW($G$15,$H$21,$H$22,AF$29,AF$28,$H$24,$H$25,$G167,AG$30)</f>
        <v>0</v>
      </c>
      <c r="AH167" s="52">
        <f ca="1">_xll.DBRW($G$15,$H$21,$H$22,AF$29,AF$28,$H$24,$H$25,$G167,AH$30)</f>
        <v>0</v>
      </c>
      <c r="AI167" s="52">
        <f ca="1">_xll.DBRW($G$15,$H$21,$H$22,AI$29,AF$28,$H$24,$H$25,$G167,AI$30)</f>
        <v>0</v>
      </c>
      <c r="AJ167" s="52">
        <f ca="1">_xll.DBRW($G$15,$H$21,$H$22,AI$29,AF$28,$H$24,$H$25,$G167,AJ$30)</f>
        <v>0</v>
      </c>
      <c r="AK167" s="53">
        <f ca="1">_xll.DBRW($G$15,$H$21,$H$22,AI$29,AF$28,$H$24,$H$25,$G167,AK$30)</f>
        <v>0</v>
      </c>
      <c r="AL167" s="140">
        <f t="shared" ca="1" si="22"/>
        <v>0</v>
      </c>
      <c r="AM167" s="140">
        <f t="shared" ca="1" si="23"/>
        <v>0</v>
      </c>
    </row>
    <row r="168" spans="1:39">
      <c r="A168">
        <f ca="1">IF(_xll.TM1RPTELISCONSOLIDATED($G$31,$G168),IF(_xll.TM1RPTELLEV($G$31,$G168)&lt;=3,_xll.TM1RPTELLEV($G$31,$G168),"D"),"N")</f>
        <v>2</v>
      </c>
      <c r="G168" s="79" t="s">
        <v>315</v>
      </c>
      <c r="H168" s="52">
        <f ca="1">_xll.DBRW($G$15,$H$21,$H$22,H$29,H$28,$H$24,$H$25,$G168,H$30)</f>
        <v>0</v>
      </c>
      <c r="I168" s="52">
        <f ca="1">_xll.DBRW($G$15,$H$21,$H$22,H$29,H$28,$H$24,$H$25,$G168,I$30)</f>
        <v>0</v>
      </c>
      <c r="J168" s="52">
        <f ca="1">_xll.DBRW($G$15,$H$21,$H$22,H$29,H$28,$H$24,$H$25,$G168,J$30)</f>
        <v>0</v>
      </c>
      <c r="K168" s="52">
        <f ca="1">_xll.DBRW($G$15,$H$21,$H$22,K$29,H$28,$H$24,$H$25,$G168,K$30)</f>
        <v>0</v>
      </c>
      <c r="L168" s="52">
        <f ca="1">_xll.DBRW($G$15,$H$21,$H$22,K$29,H$28,$H$24,$H$25,$G168,L$30)</f>
        <v>0</v>
      </c>
      <c r="M168" s="53">
        <f ca="1">_xll.DBRW($G$15,$H$21,$H$22,K$29,H$28,$H$24,$H$25,$G168,M$30)</f>
        <v>0</v>
      </c>
      <c r="N168" s="127">
        <f t="shared" ca="1" si="16"/>
        <v>0</v>
      </c>
      <c r="O168" s="128">
        <f t="shared" ca="1" si="17"/>
        <v>0</v>
      </c>
      <c r="P168" s="55">
        <f ca="1">_xll.DBRW($G$15,$H$21,$H$22,P$29,P$28,$H$24,$H$25,$G168,P$30)</f>
        <v>0</v>
      </c>
      <c r="Q168" s="52">
        <f ca="1">_xll.DBRW($G$15,$H$21,$H$22,P$29,P$28,$H$24,$H$25,$G168,Q$30)</f>
        <v>0</v>
      </c>
      <c r="R168" s="52">
        <f ca="1">_xll.DBRW($G$15,$H$21,$H$22,P$29,P$28,$H$24,$H$25,$G168,R$30)</f>
        <v>0</v>
      </c>
      <c r="S168" s="52">
        <f ca="1">_xll.DBRW($G$15,$H$21,$H$22,S$29,P$28,$H$24,$H$25,$G168,S$30)</f>
        <v>0</v>
      </c>
      <c r="T168" s="52">
        <f ca="1">_xll.DBRW($G$15,$H$21,$H$22,S$29,P$28,$H$24,$H$25,$G168,T$30)</f>
        <v>0</v>
      </c>
      <c r="U168" s="53">
        <f ca="1">_xll.DBRW($G$15,$H$21,$H$22,S$29,P$28,$H$24,$H$25,$G168,U$30)</f>
        <v>0</v>
      </c>
      <c r="V168" s="127">
        <f t="shared" ca="1" si="18"/>
        <v>0</v>
      </c>
      <c r="W168" s="128">
        <f t="shared" ca="1" si="19"/>
        <v>0</v>
      </c>
      <c r="X168" s="55">
        <f ca="1">_xll.DBRW($G$15,$H$21,$H$22,X$29,X$28,$H$24,$H$25,$G168,X$30)</f>
        <v>0</v>
      </c>
      <c r="Y168" s="52">
        <f ca="1">_xll.DBRW($G$15,$H$21,$H$22,X$29,X$28,$H$24,$H$25,$G168,Y$30)</f>
        <v>0</v>
      </c>
      <c r="Z168" s="52">
        <f ca="1">_xll.DBRW($G$15,$H$21,$H$22,X$29,X$28,$H$24,$H$25,$G168,Z$30)</f>
        <v>0</v>
      </c>
      <c r="AA168" s="52">
        <f ca="1">_xll.DBRW($G$15,$H$21,$H$22,AA$29,X$28,$H$24,$H$25,$G168,AA$30)</f>
        <v>0</v>
      </c>
      <c r="AB168" s="52">
        <f ca="1">_xll.DBRW($G$15,$H$21,$H$22,AA$29,X$28,$H$24,$H$25,$G168,AB$30)</f>
        <v>0</v>
      </c>
      <c r="AC168" s="53">
        <f ca="1">_xll.DBRW($G$15,$H$21,$H$22,AA$29,X$28,$H$24,$H$25,$G168,AC$30)</f>
        <v>0</v>
      </c>
      <c r="AD168" s="127">
        <f t="shared" ca="1" si="20"/>
        <v>0</v>
      </c>
      <c r="AE168" s="128">
        <f t="shared" ca="1" si="21"/>
        <v>0</v>
      </c>
      <c r="AF168" s="55">
        <f ca="1">_xll.DBRW($G$15,$H$21,$H$22,AF$29,AF$28,$H$24,$H$25,$G168,AF$30)</f>
        <v>0</v>
      </c>
      <c r="AG168" s="52">
        <f ca="1">_xll.DBRW($G$15,$H$21,$H$22,AF$29,AF$28,$H$24,$H$25,$G168,AG$30)</f>
        <v>0</v>
      </c>
      <c r="AH168" s="52">
        <f ca="1">_xll.DBRW($G$15,$H$21,$H$22,AF$29,AF$28,$H$24,$H$25,$G168,AH$30)</f>
        <v>0</v>
      </c>
      <c r="AI168" s="52">
        <f ca="1">_xll.DBRW($G$15,$H$21,$H$22,AI$29,AF$28,$H$24,$H$25,$G168,AI$30)</f>
        <v>0</v>
      </c>
      <c r="AJ168" s="52">
        <f ca="1">_xll.DBRW($G$15,$H$21,$H$22,AI$29,AF$28,$H$24,$H$25,$G168,AJ$30)</f>
        <v>0</v>
      </c>
      <c r="AK168" s="53">
        <f ca="1">_xll.DBRW($G$15,$H$21,$H$22,AI$29,AF$28,$H$24,$H$25,$G168,AK$30)</f>
        <v>0</v>
      </c>
      <c r="AL168" s="140">
        <f t="shared" ca="1" si="22"/>
        <v>0</v>
      </c>
      <c r="AM168" s="140">
        <f t="shared" ca="1" si="23"/>
        <v>0</v>
      </c>
    </row>
    <row r="169" spans="1:39">
      <c r="A169">
        <f ca="1">IF(_xll.TM1RPTELISCONSOLIDATED($G$31,$G169),IF(_xll.TM1RPTELLEV($G$31,$G169)&lt;=3,_xll.TM1RPTELLEV($G$31,$G169),"D"),"N")</f>
        <v>2</v>
      </c>
      <c r="G169" s="79" t="s">
        <v>316</v>
      </c>
      <c r="H169" s="52">
        <f ca="1">_xll.DBRW($G$15,$H$21,$H$22,H$29,H$28,$H$24,$H$25,$G169,H$30)</f>
        <v>0</v>
      </c>
      <c r="I169" s="52">
        <f ca="1">_xll.DBRW($G$15,$H$21,$H$22,H$29,H$28,$H$24,$H$25,$G169,I$30)</f>
        <v>0</v>
      </c>
      <c r="J169" s="52">
        <f ca="1">_xll.DBRW($G$15,$H$21,$H$22,H$29,H$28,$H$24,$H$25,$G169,J$30)</f>
        <v>0</v>
      </c>
      <c r="K169" s="52">
        <f ca="1">_xll.DBRW($G$15,$H$21,$H$22,K$29,H$28,$H$24,$H$25,$G169,K$30)</f>
        <v>0</v>
      </c>
      <c r="L169" s="52">
        <f ca="1">_xll.DBRW($G$15,$H$21,$H$22,K$29,H$28,$H$24,$H$25,$G169,L$30)</f>
        <v>0</v>
      </c>
      <c r="M169" s="53">
        <f ca="1">_xll.DBRW($G$15,$H$21,$H$22,K$29,H$28,$H$24,$H$25,$G169,M$30)</f>
        <v>0</v>
      </c>
      <c r="N169" s="127">
        <f t="shared" ca="1" si="16"/>
        <v>0</v>
      </c>
      <c r="O169" s="128">
        <f t="shared" ca="1" si="17"/>
        <v>0</v>
      </c>
      <c r="P169" s="55">
        <f ca="1">_xll.DBRW($G$15,$H$21,$H$22,P$29,P$28,$H$24,$H$25,$G169,P$30)</f>
        <v>0</v>
      </c>
      <c r="Q169" s="52">
        <f ca="1">_xll.DBRW($G$15,$H$21,$H$22,P$29,P$28,$H$24,$H$25,$G169,Q$30)</f>
        <v>0</v>
      </c>
      <c r="R169" s="52">
        <f ca="1">_xll.DBRW($G$15,$H$21,$H$22,P$29,P$28,$H$24,$H$25,$G169,R$30)</f>
        <v>0</v>
      </c>
      <c r="S169" s="52">
        <f ca="1">_xll.DBRW($G$15,$H$21,$H$22,S$29,P$28,$H$24,$H$25,$G169,S$30)</f>
        <v>0</v>
      </c>
      <c r="T169" s="52">
        <f ca="1">_xll.DBRW($G$15,$H$21,$H$22,S$29,P$28,$H$24,$H$25,$G169,T$30)</f>
        <v>0</v>
      </c>
      <c r="U169" s="53">
        <f ca="1">_xll.DBRW($G$15,$H$21,$H$22,S$29,P$28,$H$24,$H$25,$G169,U$30)</f>
        <v>0</v>
      </c>
      <c r="V169" s="127">
        <f t="shared" ca="1" si="18"/>
        <v>0</v>
      </c>
      <c r="W169" s="128">
        <f t="shared" ca="1" si="19"/>
        <v>0</v>
      </c>
      <c r="X169" s="55">
        <f ca="1">_xll.DBRW($G$15,$H$21,$H$22,X$29,X$28,$H$24,$H$25,$G169,X$30)</f>
        <v>0</v>
      </c>
      <c r="Y169" s="52">
        <f ca="1">_xll.DBRW($G$15,$H$21,$H$22,X$29,X$28,$H$24,$H$25,$G169,Y$30)</f>
        <v>0</v>
      </c>
      <c r="Z169" s="52">
        <f ca="1">_xll.DBRW($G$15,$H$21,$H$22,X$29,X$28,$H$24,$H$25,$G169,Z$30)</f>
        <v>0</v>
      </c>
      <c r="AA169" s="52">
        <f ca="1">_xll.DBRW($G$15,$H$21,$H$22,AA$29,X$28,$H$24,$H$25,$G169,AA$30)</f>
        <v>0</v>
      </c>
      <c r="AB169" s="52">
        <f ca="1">_xll.DBRW($G$15,$H$21,$H$22,AA$29,X$28,$H$24,$H$25,$G169,AB$30)</f>
        <v>0</v>
      </c>
      <c r="AC169" s="53">
        <f ca="1">_xll.DBRW($G$15,$H$21,$H$22,AA$29,X$28,$H$24,$H$25,$G169,AC$30)</f>
        <v>0</v>
      </c>
      <c r="AD169" s="127">
        <f t="shared" ca="1" si="20"/>
        <v>0</v>
      </c>
      <c r="AE169" s="128">
        <f t="shared" ca="1" si="21"/>
        <v>0</v>
      </c>
      <c r="AF169" s="55">
        <f ca="1">_xll.DBRW($G$15,$H$21,$H$22,AF$29,AF$28,$H$24,$H$25,$G169,AF$30)</f>
        <v>0</v>
      </c>
      <c r="AG169" s="52">
        <f ca="1">_xll.DBRW($G$15,$H$21,$H$22,AF$29,AF$28,$H$24,$H$25,$G169,AG$30)</f>
        <v>0</v>
      </c>
      <c r="AH169" s="52">
        <f ca="1">_xll.DBRW($G$15,$H$21,$H$22,AF$29,AF$28,$H$24,$H$25,$G169,AH$30)</f>
        <v>0</v>
      </c>
      <c r="AI169" s="52">
        <f ca="1">_xll.DBRW($G$15,$H$21,$H$22,AI$29,AF$28,$H$24,$H$25,$G169,AI$30)</f>
        <v>0</v>
      </c>
      <c r="AJ169" s="52">
        <f ca="1">_xll.DBRW($G$15,$H$21,$H$22,AI$29,AF$28,$H$24,$H$25,$G169,AJ$30)</f>
        <v>0</v>
      </c>
      <c r="AK169" s="53">
        <f ca="1">_xll.DBRW($G$15,$H$21,$H$22,AI$29,AF$28,$H$24,$H$25,$G169,AK$30)</f>
        <v>0</v>
      </c>
      <c r="AL169" s="140">
        <f t="shared" ca="1" si="22"/>
        <v>0</v>
      </c>
      <c r="AM169" s="140">
        <f t="shared" ca="1" si="23"/>
        <v>0</v>
      </c>
    </row>
    <row r="170" spans="1:39">
      <c r="A170">
        <f ca="1">IF(_xll.TM1RPTELISCONSOLIDATED($G$31,$G170),IF(_xll.TM1RPTELLEV($G$31,$G170)&lt;=3,_xll.TM1RPTELLEV($G$31,$G170),"D"),"N")</f>
        <v>2</v>
      </c>
      <c r="G170" s="79" t="s">
        <v>317</v>
      </c>
      <c r="H170" s="52">
        <f ca="1">_xll.DBRW($G$15,$H$21,$H$22,H$29,H$28,$H$24,$H$25,$G170,H$30)</f>
        <v>0</v>
      </c>
      <c r="I170" s="52">
        <f ca="1">_xll.DBRW($G$15,$H$21,$H$22,H$29,H$28,$H$24,$H$25,$G170,I$30)</f>
        <v>0</v>
      </c>
      <c r="J170" s="52">
        <f ca="1">_xll.DBRW($G$15,$H$21,$H$22,H$29,H$28,$H$24,$H$25,$G170,J$30)</f>
        <v>0</v>
      </c>
      <c r="K170" s="52">
        <f ca="1">_xll.DBRW($G$15,$H$21,$H$22,K$29,H$28,$H$24,$H$25,$G170,K$30)</f>
        <v>0</v>
      </c>
      <c r="L170" s="52">
        <f ca="1">_xll.DBRW($G$15,$H$21,$H$22,K$29,H$28,$H$24,$H$25,$G170,L$30)</f>
        <v>0</v>
      </c>
      <c r="M170" s="53">
        <f ca="1">_xll.DBRW($G$15,$H$21,$H$22,K$29,H$28,$H$24,$H$25,$G170,M$30)</f>
        <v>0</v>
      </c>
      <c r="N170" s="127">
        <f t="shared" ca="1" si="16"/>
        <v>0</v>
      </c>
      <c r="O170" s="128">
        <f t="shared" ca="1" si="17"/>
        <v>0</v>
      </c>
      <c r="P170" s="55">
        <f ca="1">_xll.DBRW($G$15,$H$21,$H$22,P$29,P$28,$H$24,$H$25,$G170,P$30)</f>
        <v>0</v>
      </c>
      <c r="Q170" s="52">
        <f ca="1">_xll.DBRW($G$15,$H$21,$H$22,P$29,P$28,$H$24,$H$25,$G170,Q$30)</f>
        <v>0</v>
      </c>
      <c r="R170" s="52">
        <f ca="1">_xll.DBRW($G$15,$H$21,$H$22,P$29,P$28,$H$24,$H$25,$G170,R$30)</f>
        <v>0</v>
      </c>
      <c r="S170" s="52">
        <f ca="1">_xll.DBRW($G$15,$H$21,$H$22,S$29,P$28,$H$24,$H$25,$G170,S$30)</f>
        <v>0</v>
      </c>
      <c r="T170" s="52">
        <f ca="1">_xll.DBRW($G$15,$H$21,$H$22,S$29,P$28,$H$24,$H$25,$G170,T$30)</f>
        <v>0</v>
      </c>
      <c r="U170" s="53">
        <f ca="1">_xll.DBRW($G$15,$H$21,$H$22,S$29,P$28,$H$24,$H$25,$G170,U$30)</f>
        <v>0</v>
      </c>
      <c r="V170" s="127">
        <f t="shared" ca="1" si="18"/>
        <v>0</v>
      </c>
      <c r="W170" s="128">
        <f t="shared" ca="1" si="19"/>
        <v>0</v>
      </c>
      <c r="X170" s="55">
        <f ca="1">_xll.DBRW($G$15,$H$21,$H$22,X$29,X$28,$H$24,$H$25,$G170,X$30)</f>
        <v>0</v>
      </c>
      <c r="Y170" s="52">
        <f ca="1">_xll.DBRW($G$15,$H$21,$H$22,X$29,X$28,$H$24,$H$25,$G170,Y$30)</f>
        <v>0</v>
      </c>
      <c r="Z170" s="52">
        <f ca="1">_xll.DBRW($G$15,$H$21,$H$22,X$29,X$28,$H$24,$H$25,$G170,Z$30)</f>
        <v>0</v>
      </c>
      <c r="AA170" s="52">
        <f ca="1">_xll.DBRW($G$15,$H$21,$H$22,AA$29,X$28,$H$24,$H$25,$G170,AA$30)</f>
        <v>0</v>
      </c>
      <c r="AB170" s="52">
        <f ca="1">_xll.DBRW($G$15,$H$21,$H$22,AA$29,X$28,$H$24,$H$25,$G170,AB$30)</f>
        <v>0</v>
      </c>
      <c r="AC170" s="53">
        <f ca="1">_xll.DBRW($G$15,$H$21,$H$22,AA$29,X$28,$H$24,$H$25,$G170,AC$30)</f>
        <v>0</v>
      </c>
      <c r="AD170" s="127">
        <f t="shared" ca="1" si="20"/>
        <v>0</v>
      </c>
      <c r="AE170" s="128">
        <f t="shared" ca="1" si="21"/>
        <v>0</v>
      </c>
      <c r="AF170" s="55">
        <f ca="1">_xll.DBRW($G$15,$H$21,$H$22,AF$29,AF$28,$H$24,$H$25,$G170,AF$30)</f>
        <v>0</v>
      </c>
      <c r="AG170" s="52">
        <f ca="1">_xll.DBRW($G$15,$H$21,$H$22,AF$29,AF$28,$H$24,$H$25,$G170,AG$30)</f>
        <v>0</v>
      </c>
      <c r="AH170" s="52">
        <f ca="1">_xll.DBRW($G$15,$H$21,$H$22,AF$29,AF$28,$H$24,$H$25,$G170,AH$30)</f>
        <v>0</v>
      </c>
      <c r="AI170" s="52">
        <f ca="1">_xll.DBRW($G$15,$H$21,$H$22,AI$29,AF$28,$H$24,$H$25,$G170,AI$30)</f>
        <v>0</v>
      </c>
      <c r="AJ170" s="52">
        <f ca="1">_xll.DBRW($G$15,$H$21,$H$22,AI$29,AF$28,$H$24,$H$25,$G170,AJ$30)</f>
        <v>0</v>
      </c>
      <c r="AK170" s="53">
        <f ca="1">_xll.DBRW($G$15,$H$21,$H$22,AI$29,AF$28,$H$24,$H$25,$G170,AK$30)</f>
        <v>0</v>
      </c>
      <c r="AL170" s="140">
        <f t="shared" ca="1" si="22"/>
        <v>0</v>
      </c>
      <c r="AM170" s="140">
        <f t="shared" ca="1" si="23"/>
        <v>0</v>
      </c>
    </row>
    <row r="171" spans="1:39">
      <c r="A171">
        <f ca="1">IF(_xll.TM1RPTELISCONSOLIDATED($G$31,$G171),IF(_xll.TM1RPTELLEV($G$31,$G171)&lt;=3,_xll.TM1RPTELLEV($G$31,$G171),"D"),"N")</f>
        <v>2</v>
      </c>
      <c r="G171" s="79" t="s">
        <v>318</v>
      </c>
      <c r="H171" s="52">
        <f ca="1">_xll.DBRW($G$15,$H$21,$H$22,H$29,H$28,$H$24,$H$25,$G171,H$30)</f>
        <v>0</v>
      </c>
      <c r="I171" s="52">
        <f ca="1">_xll.DBRW($G$15,$H$21,$H$22,H$29,H$28,$H$24,$H$25,$G171,I$30)</f>
        <v>0</v>
      </c>
      <c r="J171" s="52">
        <f ca="1">_xll.DBRW($G$15,$H$21,$H$22,H$29,H$28,$H$24,$H$25,$G171,J$30)</f>
        <v>0</v>
      </c>
      <c r="K171" s="52">
        <f ca="1">_xll.DBRW($G$15,$H$21,$H$22,K$29,H$28,$H$24,$H$25,$G171,K$30)</f>
        <v>0</v>
      </c>
      <c r="L171" s="52">
        <f ca="1">_xll.DBRW($G$15,$H$21,$H$22,K$29,H$28,$H$24,$H$25,$G171,L$30)</f>
        <v>0</v>
      </c>
      <c r="M171" s="53">
        <f ca="1">_xll.DBRW($G$15,$H$21,$H$22,K$29,H$28,$H$24,$H$25,$G171,M$30)</f>
        <v>0</v>
      </c>
      <c r="N171" s="127">
        <f t="shared" ca="1" si="16"/>
        <v>0</v>
      </c>
      <c r="O171" s="128">
        <f t="shared" ca="1" si="17"/>
        <v>0</v>
      </c>
      <c r="P171" s="55">
        <f ca="1">_xll.DBRW($G$15,$H$21,$H$22,P$29,P$28,$H$24,$H$25,$G171,P$30)</f>
        <v>0</v>
      </c>
      <c r="Q171" s="52">
        <f ca="1">_xll.DBRW($G$15,$H$21,$H$22,P$29,P$28,$H$24,$H$25,$G171,Q$30)</f>
        <v>0</v>
      </c>
      <c r="R171" s="52">
        <f ca="1">_xll.DBRW($G$15,$H$21,$H$22,P$29,P$28,$H$24,$H$25,$G171,R$30)</f>
        <v>0</v>
      </c>
      <c r="S171" s="52">
        <f ca="1">_xll.DBRW($G$15,$H$21,$H$22,S$29,P$28,$H$24,$H$25,$G171,S$30)</f>
        <v>0</v>
      </c>
      <c r="T171" s="52">
        <f ca="1">_xll.DBRW($G$15,$H$21,$H$22,S$29,P$28,$H$24,$H$25,$G171,T$30)</f>
        <v>0</v>
      </c>
      <c r="U171" s="53">
        <f ca="1">_xll.DBRW($G$15,$H$21,$H$22,S$29,P$28,$H$24,$H$25,$G171,U$30)</f>
        <v>0</v>
      </c>
      <c r="V171" s="127">
        <f t="shared" ca="1" si="18"/>
        <v>0</v>
      </c>
      <c r="W171" s="128">
        <f t="shared" ca="1" si="19"/>
        <v>0</v>
      </c>
      <c r="X171" s="55">
        <f ca="1">_xll.DBRW($G$15,$H$21,$H$22,X$29,X$28,$H$24,$H$25,$G171,X$30)</f>
        <v>0</v>
      </c>
      <c r="Y171" s="52">
        <f ca="1">_xll.DBRW($G$15,$H$21,$H$22,X$29,X$28,$H$24,$H$25,$G171,Y$30)</f>
        <v>0</v>
      </c>
      <c r="Z171" s="52">
        <f ca="1">_xll.DBRW($G$15,$H$21,$H$22,X$29,X$28,$H$24,$H$25,$G171,Z$30)</f>
        <v>0</v>
      </c>
      <c r="AA171" s="52">
        <f ca="1">_xll.DBRW($G$15,$H$21,$H$22,AA$29,X$28,$H$24,$H$25,$G171,AA$30)</f>
        <v>0</v>
      </c>
      <c r="AB171" s="52">
        <f ca="1">_xll.DBRW($G$15,$H$21,$H$22,AA$29,X$28,$H$24,$H$25,$G171,AB$30)</f>
        <v>0</v>
      </c>
      <c r="AC171" s="53">
        <f ca="1">_xll.DBRW($G$15,$H$21,$H$22,AA$29,X$28,$H$24,$H$25,$G171,AC$30)</f>
        <v>0</v>
      </c>
      <c r="AD171" s="127">
        <f t="shared" ca="1" si="20"/>
        <v>0</v>
      </c>
      <c r="AE171" s="128">
        <f t="shared" ca="1" si="21"/>
        <v>0</v>
      </c>
      <c r="AF171" s="55">
        <f ca="1">_xll.DBRW($G$15,$H$21,$H$22,AF$29,AF$28,$H$24,$H$25,$G171,AF$30)</f>
        <v>0</v>
      </c>
      <c r="AG171" s="52">
        <f ca="1">_xll.DBRW($G$15,$H$21,$H$22,AF$29,AF$28,$H$24,$H$25,$G171,AG$30)</f>
        <v>0</v>
      </c>
      <c r="AH171" s="52">
        <f ca="1">_xll.DBRW($G$15,$H$21,$H$22,AF$29,AF$28,$H$24,$H$25,$G171,AH$30)</f>
        <v>0</v>
      </c>
      <c r="AI171" s="52">
        <f ca="1">_xll.DBRW($G$15,$H$21,$H$22,AI$29,AF$28,$H$24,$H$25,$G171,AI$30)</f>
        <v>0</v>
      </c>
      <c r="AJ171" s="52">
        <f ca="1">_xll.DBRW($G$15,$H$21,$H$22,AI$29,AF$28,$H$24,$H$25,$G171,AJ$30)</f>
        <v>0</v>
      </c>
      <c r="AK171" s="53">
        <f ca="1">_xll.DBRW($G$15,$H$21,$H$22,AI$29,AF$28,$H$24,$H$25,$G171,AK$30)</f>
        <v>0</v>
      </c>
      <c r="AL171" s="140">
        <f t="shared" ca="1" si="22"/>
        <v>0</v>
      </c>
      <c r="AM171" s="140">
        <f t="shared" ca="1" si="23"/>
        <v>0</v>
      </c>
    </row>
    <row r="172" spans="1:39">
      <c r="A172">
        <f ca="1">IF(_xll.TM1RPTELISCONSOLIDATED($G$31,$G172),IF(_xll.TM1RPTELLEV($G$31,$G172)&lt;=3,_xll.TM1RPTELLEV($G$31,$G172),"D"),"N")</f>
        <v>2</v>
      </c>
      <c r="G172" s="79" t="s">
        <v>319</v>
      </c>
      <c r="H172" s="52">
        <f ca="1">_xll.DBRW($G$15,$H$21,$H$22,H$29,H$28,$H$24,$H$25,$G172,H$30)</f>
        <v>0</v>
      </c>
      <c r="I172" s="52">
        <f ca="1">_xll.DBRW($G$15,$H$21,$H$22,H$29,H$28,$H$24,$H$25,$G172,I$30)</f>
        <v>0</v>
      </c>
      <c r="J172" s="52">
        <f ca="1">_xll.DBRW($G$15,$H$21,$H$22,H$29,H$28,$H$24,$H$25,$G172,J$30)</f>
        <v>0</v>
      </c>
      <c r="K172" s="52">
        <f ca="1">_xll.DBRW($G$15,$H$21,$H$22,K$29,H$28,$H$24,$H$25,$G172,K$30)</f>
        <v>0</v>
      </c>
      <c r="L172" s="52">
        <f ca="1">_xll.DBRW($G$15,$H$21,$H$22,K$29,H$28,$H$24,$H$25,$G172,L$30)</f>
        <v>0</v>
      </c>
      <c r="M172" s="53">
        <f ca="1">_xll.DBRW($G$15,$H$21,$H$22,K$29,H$28,$H$24,$H$25,$G172,M$30)</f>
        <v>0</v>
      </c>
      <c r="N172" s="127">
        <f t="shared" ca="1" si="16"/>
        <v>0</v>
      </c>
      <c r="O172" s="128">
        <f t="shared" ca="1" si="17"/>
        <v>0</v>
      </c>
      <c r="P172" s="55">
        <f ca="1">_xll.DBRW($G$15,$H$21,$H$22,P$29,P$28,$H$24,$H$25,$G172,P$30)</f>
        <v>0</v>
      </c>
      <c r="Q172" s="52">
        <f ca="1">_xll.DBRW($G$15,$H$21,$H$22,P$29,P$28,$H$24,$H$25,$G172,Q$30)</f>
        <v>0</v>
      </c>
      <c r="R172" s="52">
        <f ca="1">_xll.DBRW($G$15,$H$21,$H$22,P$29,P$28,$H$24,$H$25,$G172,R$30)</f>
        <v>0</v>
      </c>
      <c r="S172" s="52">
        <f ca="1">_xll.DBRW($G$15,$H$21,$H$22,S$29,P$28,$H$24,$H$25,$G172,S$30)</f>
        <v>0</v>
      </c>
      <c r="T172" s="52">
        <f ca="1">_xll.DBRW($G$15,$H$21,$H$22,S$29,P$28,$H$24,$H$25,$G172,T$30)</f>
        <v>0</v>
      </c>
      <c r="U172" s="53">
        <f ca="1">_xll.DBRW($G$15,$H$21,$H$22,S$29,P$28,$H$24,$H$25,$G172,U$30)</f>
        <v>0</v>
      </c>
      <c r="V172" s="127">
        <f t="shared" ca="1" si="18"/>
        <v>0</v>
      </c>
      <c r="W172" s="128">
        <f t="shared" ca="1" si="19"/>
        <v>0</v>
      </c>
      <c r="X172" s="55">
        <f ca="1">_xll.DBRW($G$15,$H$21,$H$22,X$29,X$28,$H$24,$H$25,$G172,X$30)</f>
        <v>0</v>
      </c>
      <c r="Y172" s="52">
        <f ca="1">_xll.DBRW($G$15,$H$21,$H$22,X$29,X$28,$H$24,$H$25,$G172,Y$30)</f>
        <v>0</v>
      </c>
      <c r="Z172" s="52">
        <f ca="1">_xll.DBRW($G$15,$H$21,$H$22,X$29,X$28,$H$24,$H$25,$G172,Z$30)</f>
        <v>0</v>
      </c>
      <c r="AA172" s="52">
        <f ca="1">_xll.DBRW($G$15,$H$21,$H$22,AA$29,X$28,$H$24,$H$25,$G172,AA$30)</f>
        <v>0</v>
      </c>
      <c r="AB172" s="52">
        <f ca="1">_xll.DBRW($G$15,$H$21,$H$22,AA$29,X$28,$H$24,$H$25,$G172,AB$30)</f>
        <v>0</v>
      </c>
      <c r="AC172" s="53">
        <f ca="1">_xll.DBRW($G$15,$H$21,$H$22,AA$29,X$28,$H$24,$H$25,$G172,AC$30)</f>
        <v>0</v>
      </c>
      <c r="AD172" s="127">
        <f t="shared" ca="1" si="20"/>
        <v>0</v>
      </c>
      <c r="AE172" s="128">
        <f t="shared" ca="1" si="21"/>
        <v>0</v>
      </c>
      <c r="AF172" s="55">
        <f ca="1">_xll.DBRW($G$15,$H$21,$H$22,AF$29,AF$28,$H$24,$H$25,$G172,AF$30)</f>
        <v>0</v>
      </c>
      <c r="AG172" s="52">
        <f ca="1">_xll.DBRW($G$15,$H$21,$H$22,AF$29,AF$28,$H$24,$H$25,$G172,AG$30)</f>
        <v>0</v>
      </c>
      <c r="AH172" s="52">
        <f ca="1">_xll.DBRW($G$15,$H$21,$H$22,AF$29,AF$28,$H$24,$H$25,$G172,AH$30)</f>
        <v>0</v>
      </c>
      <c r="AI172" s="52">
        <f ca="1">_xll.DBRW($G$15,$H$21,$H$22,AI$29,AF$28,$H$24,$H$25,$G172,AI$30)</f>
        <v>0</v>
      </c>
      <c r="AJ172" s="52">
        <f ca="1">_xll.DBRW($G$15,$H$21,$H$22,AI$29,AF$28,$H$24,$H$25,$G172,AJ$30)</f>
        <v>0</v>
      </c>
      <c r="AK172" s="53">
        <f ca="1">_xll.DBRW($G$15,$H$21,$H$22,AI$29,AF$28,$H$24,$H$25,$G172,AK$30)</f>
        <v>0</v>
      </c>
      <c r="AL172" s="140">
        <f t="shared" ca="1" si="22"/>
        <v>0</v>
      </c>
      <c r="AM172" s="140">
        <f t="shared" ca="1" si="23"/>
        <v>0</v>
      </c>
    </row>
    <row r="173" spans="1:39">
      <c r="A173">
        <f ca="1">IF(_xll.TM1RPTELISCONSOLIDATED($G$31,$G173),IF(_xll.TM1RPTELLEV($G$31,$G173)&lt;=3,_xll.TM1RPTELLEV($G$31,$G173),"D"),"N")</f>
        <v>2</v>
      </c>
      <c r="G173" s="79" t="s">
        <v>320</v>
      </c>
      <c r="H173" s="52">
        <f ca="1">_xll.DBRW($G$15,$H$21,$H$22,H$29,H$28,$H$24,$H$25,$G173,H$30)</f>
        <v>0</v>
      </c>
      <c r="I173" s="52">
        <f ca="1">_xll.DBRW($G$15,$H$21,$H$22,H$29,H$28,$H$24,$H$25,$G173,I$30)</f>
        <v>0</v>
      </c>
      <c r="J173" s="52">
        <f ca="1">_xll.DBRW($G$15,$H$21,$H$22,H$29,H$28,$H$24,$H$25,$G173,J$30)</f>
        <v>0</v>
      </c>
      <c r="K173" s="52">
        <f ca="1">_xll.DBRW($G$15,$H$21,$H$22,K$29,H$28,$H$24,$H$25,$G173,K$30)</f>
        <v>0</v>
      </c>
      <c r="L173" s="52">
        <f ca="1">_xll.DBRW($G$15,$H$21,$H$22,K$29,H$28,$H$24,$H$25,$G173,L$30)</f>
        <v>0</v>
      </c>
      <c r="M173" s="53">
        <f ca="1">_xll.DBRW($G$15,$H$21,$H$22,K$29,H$28,$H$24,$H$25,$G173,M$30)</f>
        <v>0</v>
      </c>
      <c r="N173" s="127">
        <f t="shared" ca="1" si="16"/>
        <v>0</v>
      </c>
      <c r="O173" s="128">
        <f t="shared" ca="1" si="17"/>
        <v>0</v>
      </c>
      <c r="P173" s="55">
        <f ca="1">_xll.DBRW($G$15,$H$21,$H$22,P$29,P$28,$H$24,$H$25,$G173,P$30)</f>
        <v>0</v>
      </c>
      <c r="Q173" s="52">
        <f ca="1">_xll.DBRW($G$15,$H$21,$H$22,P$29,P$28,$H$24,$H$25,$G173,Q$30)</f>
        <v>0</v>
      </c>
      <c r="R173" s="52">
        <f ca="1">_xll.DBRW($G$15,$H$21,$H$22,P$29,P$28,$H$24,$H$25,$G173,R$30)</f>
        <v>0</v>
      </c>
      <c r="S173" s="52">
        <f ca="1">_xll.DBRW($G$15,$H$21,$H$22,S$29,P$28,$H$24,$H$25,$G173,S$30)</f>
        <v>0</v>
      </c>
      <c r="T173" s="52">
        <f ca="1">_xll.DBRW($G$15,$H$21,$H$22,S$29,P$28,$H$24,$H$25,$G173,T$30)</f>
        <v>0</v>
      </c>
      <c r="U173" s="53">
        <f ca="1">_xll.DBRW($G$15,$H$21,$H$22,S$29,P$28,$H$24,$H$25,$G173,U$30)</f>
        <v>0</v>
      </c>
      <c r="V173" s="127">
        <f t="shared" ca="1" si="18"/>
        <v>0</v>
      </c>
      <c r="W173" s="128">
        <f t="shared" ca="1" si="19"/>
        <v>0</v>
      </c>
      <c r="X173" s="55">
        <f ca="1">_xll.DBRW($G$15,$H$21,$H$22,X$29,X$28,$H$24,$H$25,$G173,X$30)</f>
        <v>0</v>
      </c>
      <c r="Y173" s="52">
        <f ca="1">_xll.DBRW($G$15,$H$21,$H$22,X$29,X$28,$H$24,$H$25,$G173,Y$30)</f>
        <v>0</v>
      </c>
      <c r="Z173" s="52">
        <f ca="1">_xll.DBRW($G$15,$H$21,$H$22,X$29,X$28,$H$24,$H$25,$G173,Z$30)</f>
        <v>0</v>
      </c>
      <c r="AA173" s="52">
        <f ca="1">_xll.DBRW($G$15,$H$21,$H$22,AA$29,X$28,$H$24,$H$25,$G173,AA$30)</f>
        <v>0</v>
      </c>
      <c r="AB173" s="52">
        <f ca="1">_xll.DBRW($G$15,$H$21,$H$22,AA$29,X$28,$H$24,$H$25,$G173,AB$30)</f>
        <v>0</v>
      </c>
      <c r="AC173" s="53">
        <f ca="1">_xll.DBRW($G$15,$H$21,$H$22,AA$29,X$28,$H$24,$H$25,$G173,AC$30)</f>
        <v>0</v>
      </c>
      <c r="AD173" s="127">
        <f t="shared" ca="1" si="20"/>
        <v>0</v>
      </c>
      <c r="AE173" s="128">
        <f t="shared" ca="1" si="21"/>
        <v>0</v>
      </c>
      <c r="AF173" s="55">
        <f ca="1">_xll.DBRW($G$15,$H$21,$H$22,AF$29,AF$28,$H$24,$H$25,$G173,AF$30)</f>
        <v>0</v>
      </c>
      <c r="AG173" s="52">
        <f ca="1">_xll.DBRW($G$15,$H$21,$H$22,AF$29,AF$28,$H$24,$H$25,$G173,AG$30)</f>
        <v>0</v>
      </c>
      <c r="AH173" s="52">
        <f ca="1">_xll.DBRW($G$15,$H$21,$H$22,AF$29,AF$28,$H$24,$H$25,$G173,AH$30)</f>
        <v>0</v>
      </c>
      <c r="AI173" s="52">
        <f ca="1">_xll.DBRW($G$15,$H$21,$H$22,AI$29,AF$28,$H$24,$H$25,$G173,AI$30)</f>
        <v>0</v>
      </c>
      <c r="AJ173" s="52">
        <f ca="1">_xll.DBRW($G$15,$H$21,$H$22,AI$29,AF$28,$H$24,$H$25,$G173,AJ$30)</f>
        <v>0</v>
      </c>
      <c r="AK173" s="53">
        <f ca="1">_xll.DBRW($G$15,$H$21,$H$22,AI$29,AF$28,$H$24,$H$25,$G173,AK$30)</f>
        <v>0</v>
      </c>
      <c r="AL173" s="140">
        <f t="shared" ca="1" si="22"/>
        <v>0</v>
      </c>
      <c r="AM173" s="140">
        <f t="shared" ca="1" si="23"/>
        <v>0</v>
      </c>
    </row>
    <row r="174" spans="1:39">
      <c r="A174">
        <f ca="1">IF(_xll.TM1RPTELISCONSOLIDATED($G$31,$G174),IF(_xll.TM1RPTELLEV($G$31,$G174)&lt;=3,_xll.TM1RPTELLEV($G$31,$G174),"D"),"N")</f>
        <v>2</v>
      </c>
      <c r="G174" s="79" t="s">
        <v>321</v>
      </c>
      <c r="H174" s="52">
        <f ca="1">_xll.DBRW($G$15,$H$21,$H$22,H$29,H$28,$H$24,$H$25,$G174,H$30)</f>
        <v>0</v>
      </c>
      <c r="I174" s="52">
        <f ca="1">_xll.DBRW($G$15,$H$21,$H$22,H$29,H$28,$H$24,$H$25,$G174,I$30)</f>
        <v>0</v>
      </c>
      <c r="J174" s="52">
        <f ca="1">_xll.DBRW($G$15,$H$21,$H$22,H$29,H$28,$H$24,$H$25,$G174,J$30)</f>
        <v>0</v>
      </c>
      <c r="K174" s="52">
        <f ca="1">_xll.DBRW($G$15,$H$21,$H$22,K$29,H$28,$H$24,$H$25,$G174,K$30)</f>
        <v>0</v>
      </c>
      <c r="L174" s="52">
        <f ca="1">_xll.DBRW($G$15,$H$21,$H$22,K$29,H$28,$H$24,$H$25,$G174,L$30)</f>
        <v>0</v>
      </c>
      <c r="M174" s="53">
        <f ca="1">_xll.DBRW($G$15,$H$21,$H$22,K$29,H$28,$H$24,$H$25,$G174,M$30)</f>
        <v>0</v>
      </c>
      <c r="N174" s="127">
        <f t="shared" ca="1" si="16"/>
        <v>0</v>
      </c>
      <c r="O174" s="128">
        <f t="shared" ca="1" si="17"/>
        <v>0</v>
      </c>
      <c r="P174" s="55">
        <f ca="1">_xll.DBRW($G$15,$H$21,$H$22,P$29,P$28,$H$24,$H$25,$G174,P$30)</f>
        <v>0</v>
      </c>
      <c r="Q174" s="52">
        <f ca="1">_xll.DBRW($G$15,$H$21,$H$22,P$29,P$28,$H$24,$H$25,$G174,Q$30)</f>
        <v>0</v>
      </c>
      <c r="R174" s="52">
        <f ca="1">_xll.DBRW($G$15,$H$21,$H$22,P$29,P$28,$H$24,$H$25,$G174,R$30)</f>
        <v>0</v>
      </c>
      <c r="S174" s="52">
        <f ca="1">_xll.DBRW($G$15,$H$21,$H$22,S$29,P$28,$H$24,$H$25,$G174,S$30)</f>
        <v>0</v>
      </c>
      <c r="T174" s="52">
        <f ca="1">_xll.DBRW($G$15,$H$21,$H$22,S$29,P$28,$H$24,$H$25,$G174,T$30)</f>
        <v>0</v>
      </c>
      <c r="U174" s="53">
        <f ca="1">_xll.DBRW($G$15,$H$21,$H$22,S$29,P$28,$H$24,$H$25,$G174,U$30)</f>
        <v>0</v>
      </c>
      <c r="V174" s="127">
        <f t="shared" ca="1" si="18"/>
        <v>0</v>
      </c>
      <c r="W174" s="128">
        <f t="shared" ca="1" si="19"/>
        <v>0</v>
      </c>
      <c r="X174" s="55">
        <f ca="1">_xll.DBRW($G$15,$H$21,$H$22,X$29,X$28,$H$24,$H$25,$G174,X$30)</f>
        <v>0</v>
      </c>
      <c r="Y174" s="52">
        <f ca="1">_xll.DBRW($G$15,$H$21,$H$22,X$29,X$28,$H$24,$H$25,$G174,Y$30)</f>
        <v>0</v>
      </c>
      <c r="Z174" s="52">
        <f ca="1">_xll.DBRW($G$15,$H$21,$H$22,X$29,X$28,$H$24,$H$25,$G174,Z$30)</f>
        <v>0</v>
      </c>
      <c r="AA174" s="52">
        <f ca="1">_xll.DBRW($G$15,$H$21,$H$22,AA$29,X$28,$H$24,$H$25,$G174,AA$30)</f>
        <v>0</v>
      </c>
      <c r="AB174" s="52">
        <f ca="1">_xll.DBRW($G$15,$H$21,$H$22,AA$29,X$28,$H$24,$H$25,$G174,AB$30)</f>
        <v>0</v>
      </c>
      <c r="AC174" s="53">
        <f ca="1">_xll.DBRW($G$15,$H$21,$H$22,AA$29,X$28,$H$24,$H$25,$G174,AC$30)</f>
        <v>0</v>
      </c>
      <c r="AD174" s="127">
        <f t="shared" ca="1" si="20"/>
        <v>0</v>
      </c>
      <c r="AE174" s="128">
        <f t="shared" ca="1" si="21"/>
        <v>0</v>
      </c>
      <c r="AF174" s="55">
        <f ca="1">_xll.DBRW($G$15,$H$21,$H$22,AF$29,AF$28,$H$24,$H$25,$G174,AF$30)</f>
        <v>0</v>
      </c>
      <c r="AG174" s="52">
        <f ca="1">_xll.DBRW($G$15,$H$21,$H$22,AF$29,AF$28,$H$24,$H$25,$G174,AG$30)</f>
        <v>0</v>
      </c>
      <c r="AH174" s="52">
        <f ca="1">_xll.DBRW($G$15,$H$21,$H$22,AF$29,AF$28,$H$24,$H$25,$G174,AH$30)</f>
        <v>0</v>
      </c>
      <c r="AI174" s="52">
        <f ca="1">_xll.DBRW($G$15,$H$21,$H$22,AI$29,AF$28,$H$24,$H$25,$G174,AI$30)</f>
        <v>0</v>
      </c>
      <c r="AJ174" s="52">
        <f ca="1">_xll.DBRW($G$15,$H$21,$H$22,AI$29,AF$28,$H$24,$H$25,$G174,AJ$30)</f>
        <v>0</v>
      </c>
      <c r="AK174" s="53">
        <f ca="1">_xll.DBRW($G$15,$H$21,$H$22,AI$29,AF$28,$H$24,$H$25,$G174,AK$30)</f>
        <v>0</v>
      </c>
      <c r="AL174" s="140">
        <f t="shared" ca="1" si="22"/>
        <v>0</v>
      </c>
      <c r="AM174" s="140">
        <f t="shared" ca="1" si="23"/>
        <v>0</v>
      </c>
    </row>
    <row r="175" spans="1:39">
      <c r="A175">
        <f ca="1">IF(_xll.TM1RPTELISCONSOLIDATED($G$31,$G175),IF(_xll.TM1RPTELLEV($G$31,$G175)&lt;=3,_xll.TM1RPTELLEV($G$31,$G175),"D"),"N")</f>
        <v>2</v>
      </c>
      <c r="G175" s="79" t="s">
        <v>322</v>
      </c>
      <c r="H175" s="52">
        <f ca="1">_xll.DBRW($G$15,$H$21,$H$22,H$29,H$28,$H$24,$H$25,$G175,H$30)</f>
        <v>0</v>
      </c>
      <c r="I175" s="52">
        <f ca="1">_xll.DBRW($G$15,$H$21,$H$22,H$29,H$28,$H$24,$H$25,$G175,I$30)</f>
        <v>0</v>
      </c>
      <c r="J175" s="52">
        <f ca="1">_xll.DBRW($G$15,$H$21,$H$22,H$29,H$28,$H$24,$H$25,$G175,J$30)</f>
        <v>0</v>
      </c>
      <c r="K175" s="52">
        <f ca="1">_xll.DBRW($G$15,$H$21,$H$22,K$29,H$28,$H$24,$H$25,$G175,K$30)</f>
        <v>0</v>
      </c>
      <c r="L175" s="52">
        <f ca="1">_xll.DBRW($G$15,$H$21,$H$22,K$29,H$28,$H$24,$H$25,$G175,L$30)</f>
        <v>0</v>
      </c>
      <c r="M175" s="53">
        <f ca="1">_xll.DBRW($G$15,$H$21,$H$22,K$29,H$28,$H$24,$H$25,$G175,M$30)</f>
        <v>0</v>
      </c>
      <c r="N175" s="127">
        <f t="shared" ca="1" si="16"/>
        <v>0</v>
      </c>
      <c r="O175" s="128">
        <f t="shared" ca="1" si="17"/>
        <v>0</v>
      </c>
      <c r="P175" s="55">
        <f ca="1">_xll.DBRW($G$15,$H$21,$H$22,P$29,P$28,$H$24,$H$25,$G175,P$30)</f>
        <v>0</v>
      </c>
      <c r="Q175" s="52">
        <f ca="1">_xll.DBRW($G$15,$H$21,$H$22,P$29,P$28,$H$24,$H$25,$G175,Q$30)</f>
        <v>0</v>
      </c>
      <c r="R175" s="52">
        <f ca="1">_xll.DBRW($G$15,$H$21,$H$22,P$29,P$28,$H$24,$H$25,$G175,R$30)</f>
        <v>0</v>
      </c>
      <c r="S175" s="52">
        <f ca="1">_xll.DBRW($G$15,$H$21,$H$22,S$29,P$28,$H$24,$H$25,$G175,S$30)</f>
        <v>0</v>
      </c>
      <c r="T175" s="52">
        <f ca="1">_xll.DBRW($G$15,$H$21,$H$22,S$29,P$28,$H$24,$H$25,$G175,T$30)</f>
        <v>0</v>
      </c>
      <c r="U175" s="53">
        <f ca="1">_xll.DBRW($G$15,$H$21,$H$22,S$29,P$28,$H$24,$H$25,$G175,U$30)</f>
        <v>0</v>
      </c>
      <c r="V175" s="127">
        <f t="shared" ca="1" si="18"/>
        <v>0</v>
      </c>
      <c r="W175" s="128">
        <f t="shared" ca="1" si="19"/>
        <v>0</v>
      </c>
      <c r="X175" s="55">
        <f ca="1">_xll.DBRW($G$15,$H$21,$H$22,X$29,X$28,$H$24,$H$25,$G175,X$30)</f>
        <v>0</v>
      </c>
      <c r="Y175" s="52">
        <f ca="1">_xll.DBRW($G$15,$H$21,$H$22,X$29,X$28,$H$24,$H$25,$G175,Y$30)</f>
        <v>0</v>
      </c>
      <c r="Z175" s="52">
        <f ca="1">_xll.DBRW($G$15,$H$21,$H$22,X$29,X$28,$H$24,$H$25,$G175,Z$30)</f>
        <v>0</v>
      </c>
      <c r="AA175" s="52">
        <f ca="1">_xll.DBRW($G$15,$H$21,$H$22,AA$29,X$28,$H$24,$H$25,$G175,AA$30)</f>
        <v>0</v>
      </c>
      <c r="AB175" s="52">
        <f ca="1">_xll.DBRW($G$15,$H$21,$H$22,AA$29,X$28,$H$24,$H$25,$G175,AB$30)</f>
        <v>0</v>
      </c>
      <c r="AC175" s="53">
        <f ca="1">_xll.DBRW($G$15,$H$21,$H$22,AA$29,X$28,$H$24,$H$25,$G175,AC$30)</f>
        <v>0</v>
      </c>
      <c r="AD175" s="127">
        <f t="shared" ca="1" si="20"/>
        <v>0</v>
      </c>
      <c r="AE175" s="128">
        <f t="shared" ca="1" si="21"/>
        <v>0</v>
      </c>
      <c r="AF175" s="55">
        <f ca="1">_xll.DBRW($G$15,$H$21,$H$22,AF$29,AF$28,$H$24,$H$25,$G175,AF$30)</f>
        <v>0</v>
      </c>
      <c r="AG175" s="52">
        <f ca="1">_xll.DBRW($G$15,$H$21,$H$22,AF$29,AF$28,$H$24,$H$25,$G175,AG$30)</f>
        <v>0</v>
      </c>
      <c r="AH175" s="52">
        <f ca="1">_xll.DBRW($G$15,$H$21,$H$22,AF$29,AF$28,$H$24,$H$25,$G175,AH$30)</f>
        <v>0</v>
      </c>
      <c r="AI175" s="52">
        <f ca="1">_xll.DBRW($G$15,$H$21,$H$22,AI$29,AF$28,$H$24,$H$25,$G175,AI$30)</f>
        <v>0</v>
      </c>
      <c r="AJ175" s="52">
        <f ca="1">_xll.DBRW($G$15,$H$21,$H$22,AI$29,AF$28,$H$24,$H$25,$G175,AJ$30)</f>
        <v>0</v>
      </c>
      <c r="AK175" s="53">
        <f ca="1">_xll.DBRW($G$15,$H$21,$H$22,AI$29,AF$28,$H$24,$H$25,$G175,AK$30)</f>
        <v>0</v>
      </c>
      <c r="AL175" s="140">
        <f t="shared" ca="1" si="22"/>
        <v>0</v>
      </c>
      <c r="AM175" s="140">
        <f t="shared" ca="1" si="23"/>
        <v>0</v>
      </c>
    </row>
    <row r="176" spans="1:39">
      <c r="A176">
        <f ca="1">IF(_xll.TM1RPTELISCONSOLIDATED($G$31,$G176),IF(_xll.TM1RPTELLEV($G$31,$G176)&lt;=3,_xll.TM1RPTELLEV($G$31,$G176),"D"),"N")</f>
        <v>2</v>
      </c>
      <c r="G176" s="79" t="s">
        <v>323</v>
      </c>
      <c r="H176" s="52">
        <f ca="1">_xll.DBRW($G$15,$H$21,$H$22,H$29,H$28,$H$24,$H$25,$G176,H$30)</f>
        <v>0</v>
      </c>
      <c r="I176" s="52">
        <f ca="1">_xll.DBRW($G$15,$H$21,$H$22,H$29,H$28,$H$24,$H$25,$G176,I$30)</f>
        <v>0</v>
      </c>
      <c r="J176" s="52">
        <f ca="1">_xll.DBRW($G$15,$H$21,$H$22,H$29,H$28,$H$24,$H$25,$G176,J$30)</f>
        <v>0</v>
      </c>
      <c r="K176" s="52">
        <f ca="1">_xll.DBRW($G$15,$H$21,$H$22,K$29,H$28,$H$24,$H$25,$G176,K$30)</f>
        <v>0</v>
      </c>
      <c r="L176" s="52">
        <f ca="1">_xll.DBRW($G$15,$H$21,$H$22,K$29,H$28,$H$24,$H$25,$G176,L$30)</f>
        <v>0</v>
      </c>
      <c r="M176" s="53">
        <f ca="1">_xll.DBRW($G$15,$H$21,$H$22,K$29,H$28,$H$24,$H$25,$G176,M$30)</f>
        <v>0</v>
      </c>
      <c r="N176" s="127">
        <f t="shared" ca="1" si="16"/>
        <v>0</v>
      </c>
      <c r="O176" s="128">
        <f t="shared" ca="1" si="17"/>
        <v>0</v>
      </c>
      <c r="P176" s="55">
        <f ca="1">_xll.DBRW($G$15,$H$21,$H$22,P$29,P$28,$H$24,$H$25,$G176,P$30)</f>
        <v>0</v>
      </c>
      <c r="Q176" s="52">
        <f ca="1">_xll.DBRW($G$15,$H$21,$H$22,P$29,P$28,$H$24,$H$25,$G176,Q$30)</f>
        <v>0</v>
      </c>
      <c r="R176" s="52">
        <f ca="1">_xll.DBRW($G$15,$H$21,$H$22,P$29,P$28,$H$24,$H$25,$G176,R$30)</f>
        <v>0</v>
      </c>
      <c r="S176" s="52">
        <f ca="1">_xll.DBRW($G$15,$H$21,$H$22,S$29,P$28,$H$24,$H$25,$G176,S$30)</f>
        <v>0</v>
      </c>
      <c r="T176" s="52">
        <f ca="1">_xll.DBRW($G$15,$H$21,$H$22,S$29,P$28,$H$24,$H$25,$G176,T$30)</f>
        <v>0</v>
      </c>
      <c r="U176" s="53">
        <f ca="1">_xll.DBRW($G$15,$H$21,$H$22,S$29,P$28,$H$24,$H$25,$G176,U$30)</f>
        <v>0</v>
      </c>
      <c r="V176" s="127">
        <f t="shared" ca="1" si="18"/>
        <v>0</v>
      </c>
      <c r="W176" s="128">
        <f t="shared" ca="1" si="19"/>
        <v>0</v>
      </c>
      <c r="X176" s="55">
        <f ca="1">_xll.DBRW($G$15,$H$21,$H$22,X$29,X$28,$H$24,$H$25,$G176,X$30)</f>
        <v>0</v>
      </c>
      <c r="Y176" s="52">
        <f ca="1">_xll.DBRW($G$15,$H$21,$H$22,X$29,X$28,$H$24,$H$25,$G176,Y$30)</f>
        <v>0</v>
      </c>
      <c r="Z176" s="52">
        <f ca="1">_xll.DBRW($G$15,$H$21,$H$22,X$29,X$28,$H$24,$H$25,$G176,Z$30)</f>
        <v>0</v>
      </c>
      <c r="AA176" s="52">
        <f ca="1">_xll.DBRW($G$15,$H$21,$H$22,AA$29,X$28,$H$24,$H$25,$G176,AA$30)</f>
        <v>0</v>
      </c>
      <c r="AB176" s="52">
        <f ca="1">_xll.DBRW($G$15,$H$21,$H$22,AA$29,X$28,$H$24,$H$25,$G176,AB$30)</f>
        <v>0</v>
      </c>
      <c r="AC176" s="53">
        <f ca="1">_xll.DBRW($G$15,$H$21,$H$22,AA$29,X$28,$H$24,$H$25,$G176,AC$30)</f>
        <v>0</v>
      </c>
      <c r="AD176" s="127">
        <f t="shared" ca="1" si="20"/>
        <v>0</v>
      </c>
      <c r="AE176" s="128">
        <f t="shared" ca="1" si="21"/>
        <v>0</v>
      </c>
      <c r="AF176" s="55">
        <f ca="1">_xll.DBRW($G$15,$H$21,$H$22,AF$29,AF$28,$H$24,$H$25,$G176,AF$30)</f>
        <v>0</v>
      </c>
      <c r="AG176" s="52">
        <f ca="1">_xll.DBRW($G$15,$H$21,$H$22,AF$29,AF$28,$H$24,$H$25,$G176,AG$30)</f>
        <v>0</v>
      </c>
      <c r="AH176" s="52">
        <f ca="1">_xll.DBRW($G$15,$H$21,$H$22,AF$29,AF$28,$H$24,$H$25,$G176,AH$30)</f>
        <v>0</v>
      </c>
      <c r="AI176" s="52">
        <f ca="1">_xll.DBRW($G$15,$H$21,$H$22,AI$29,AF$28,$H$24,$H$25,$G176,AI$30)</f>
        <v>0</v>
      </c>
      <c r="AJ176" s="52">
        <f ca="1">_xll.DBRW($G$15,$H$21,$H$22,AI$29,AF$28,$H$24,$H$25,$G176,AJ$30)</f>
        <v>0</v>
      </c>
      <c r="AK176" s="53">
        <f ca="1">_xll.DBRW($G$15,$H$21,$H$22,AI$29,AF$28,$H$24,$H$25,$G176,AK$30)</f>
        <v>0</v>
      </c>
      <c r="AL176" s="140">
        <f t="shared" ca="1" si="22"/>
        <v>0</v>
      </c>
      <c r="AM176" s="140">
        <f t="shared" ca="1" si="23"/>
        <v>0</v>
      </c>
    </row>
    <row r="177" spans="1:39">
      <c r="A177">
        <f ca="1">IF(_xll.TM1RPTELISCONSOLIDATED($G$31,$G177),IF(_xll.TM1RPTELLEV($G$31,$G177)&lt;=3,_xll.TM1RPTELLEV($G$31,$G177),"D"),"N")</f>
        <v>2</v>
      </c>
      <c r="G177" s="79" t="s">
        <v>324</v>
      </c>
      <c r="H177" s="52">
        <f ca="1">_xll.DBRW($G$15,$H$21,$H$22,H$29,H$28,$H$24,$H$25,$G177,H$30)</f>
        <v>0</v>
      </c>
      <c r="I177" s="52">
        <f ca="1">_xll.DBRW($G$15,$H$21,$H$22,H$29,H$28,$H$24,$H$25,$G177,I$30)</f>
        <v>0</v>
      </c>
      <c r="J177" s="52">
        <f ca="1">_xll.DBRW($G$15,$H$21,$H$22,H$29,H$28,$H$24,$H$25,$G177,J$30)</f>
        <v>0</v>
      </c>
      <c r="K177" s="52">
        <f ca="1">_xll.DBRW($G$15,$H$21,$H$22,K$29,H$28,$H$24,$H$25,$G177,K$30)</f>
        <v>0</v>
      </c>
      <c r="L177" s="52">
        <f ca="1">_xll.DBRW($G$15,$H$21,$H$22,K$29,H$28,$H$24,$H$25,$G177,L$30)</f>
        <v>0</v>
      </c>
      <c r="M177" s="53">
        <f ca="1">_xll.DBRW($G$15,$H$21,$H$22,K$29,H$28,$H$24,$H$25,$G177,M$30)</f>
        <v>0</v>
      </c>
      <c r="N177" s="127">
        <f t="shared" ca="1" si="16"/>
        <v>0</v>
      </c>
      <c r="O177" s="128">
        <f t="shared" ca="1" si="17"/>
        <v>0</v>
      </c>
      <c r="P177" s="55">
        <f ca="1">_xll.DBRW($G$15,$H$21,$H$22,P$29,P$28,$H$24,$H$25,$G177,P$30)</f>
        <v>0</v>
      </c>
      <c r="Q177" s="52">
        <f ca="1">_xll.DBRW($G$15,$H$21,$H$22,P$29,P$28,$H$24,$H$25,$G177,Q$30)</f>
        <v>0</v>
      </c>
      <c r="R177" s="52">
        <f ca="1">_xll.DBRW($G$15,$H$21,$H$22,P$29,P$28,$H$24,$H$25,$G177,R$30)</f>
        <v>0</v>
      </c>
      <c r="S177" s="52">
        <f ca="1">_xll.DBRW($G$15,$H$21,$H$22,S$29,P$28,$H$24,$H$25,$G177,S$30)</f>
        <v>0</v>
      </c>
      <c r="T177" s="52">
        <f ca="1">_xll.DBRW($G$15,$H$21,$H$22,S$29,P$28,$H$24,$H$25,$G177,T$30)</f>
        <v>0</v>
      </c>
      <c r="U177" s="53">
        <f ca="1">_xll.DBRW($G$15,$H$21,$H$22,S$29,P$28,$H$24,$H$25,$G177,U$30)</f>
        <v>0</v>
      </c>
      <c r="V177" s="127">
        <f t="shared" ca="1" si="18"/>
        <v>0</v>
      </c>
      <c r="W177" s="128">
        <f t="shared" ca="1" si="19"/>
        <v>0</v>
      </c>
      <c r="X177" s="55">
        <f ca="1">_xll.DBRW($G$15,$H$21,$H$22,X$29,X$28,$H$24,$H$25,$G177,X$30)</f>
        <v>0</v>
      </c>
      <c r="Y177" s="52">
        <f ca="1">_xll.DBRW($G$15,$H$21,$H$22,X$29,X$28,$H$24,$H$25,$G177,Y$30)</f>
        <v>0</v>
      </c>
      <c r="Z177" s="52">
        <f ca="1">_xll.DBRW($G$15,$H$21,$H$22,X$29,X$28,$H$24,$H$25,$G177,Z$30)</f>
        <v>0</v>
      </c>
      <c r="AA177" s="52">
        <f ca="1">_xll.DBRW($G$15,$H$21,$H$22,AA$29,X$28,$H$24,$H$25,$G177,AA$30)</f>
        <v>0</v>
      </c>
      <c r="AB177" s="52">
        <f ca="1">_xll.DBRW($G$15,$H$21,$H$22,AA$29,X$28,$H$24,$H$25,$G177,AB$30)</f>
        <v>0</v>
      </c>
      <c r="AC177" s="53">
        <f ca="1">_xll.DBRW($G$15,$H$21,$H$22,AA$29,X$28,$H$24,$H$25,$G177,AC$30)</f>
        <v>0</v>
      </c>
      <c r="AD177" s="127">
        <f t="shared" ca="1" si="20"/>
        <v>0</v>
      </c>
      <c r="AE177" s="128">
        <f t="shared" ca="1" si="21"/>
        <v>0</v>
      </c>
      <c r="AF177" s="55">
        <f ca="1">_xll.DBRW($G$15,$H$21,$H$22,AF$29,AF$28,$H$24,$H$25,$G177,AF$30)</f>
        <v>0</v>
      </c>
      <c r="AG177" s="52">
        <f ca="1">_xll.DBRW($G$15,$H$21,$H$22,AF$29,AF$28,$H$24,$H$25,$G177,AG$30)</f>
        <v>0</v>
      </c>
      <c r="AH177" s="52">
        <f ca="1">_xll.DBRW($G$15,$H$21,$H$22,AF$29,AF$28,$H$24,$H$25,$G177,AH$30)</f>
        <v>0</v>
      </c>
      <c r="AI177" s="52">
        <f ca="1">_xll.DBRW($G$15,$H$21,$H$22,AI$29,AF$28,$H$24,$H$25,$G177,AI$30)</f>
        <v>0</v>
      </c>
      <c r="AJ177" s="52">
        <f ca="1">_xll.DBRW($G$15,$H$21,$H$22,AI$29,AF$28,$H$24,$H$25,$G177,AJ$30)</f>
        <v>0</v>
      </c>
      <c r="AK177" s="53">
        <f ca="1">_xll.DBRW($G$15,$H$21,$H$22,AI$29,AF$28,$H$24,$H$25,$G177,AK$30)</f>
        <v>0</v>
      </c>
      <c r="AL177" s="140">
        <f t="shared" ca="1" si="22"/>
        <v>0</v>
      </c>
      <c r="AM177" s="140">
        <f t="shared" ca="1" si="23"/>
        <v>0</v>
      </c>
    </row>
    <row r="178" spans="1:39">
      <c r="A178">
        <f ca="1">IF(_xll.TM1RPTELISCONSOLIDATED($G$31,$G178),IF(_xll.TM1RPTELLEV($G$31,$G178)&lt;=3,_xll.TM1RPTELLEV($G$31,$G178),"D"),"N")</f>
        <v>1</v>
      </c>
      <c r="G178" s="42" t="s">
        <v>183</v>
      </c>
      <c r="H178" s="48">
        <f ca="1">_xll.DBRW($G$15,$H$21,$H$22,H$29,H$28,$H$24,$H$25,$G178,H$30)</f>
        <v>0</v>
      </c>
      <c r="I178" s="48">
        <f ca="1">_xll.DBRW($G$15,$H$21,$H$22,H$29,H$28,$H$24,$H$25,$G178,I$30)</f>
        <v>0</v>
      </c>
      <c r="J178" s="48">
        <f ca="1">_xll.DBRW($G$15,$H$21,$H$22,H$29,H$28,$H$24,$H$25,$G178,J$30)</f>
        <v>0</v>
      </c>
      <c r="K178" s="48">
        <f ca="1">_xll.DBRW($G$15,$H$21,$H$22,K$29,H$28,$H$24,$H$25,$G178,K$30)</f>
        <v>0</v>
      </c>
      <c r="L178" s="48">
        <f ca="1">_xll.DBRW($G$15,$H$21,$H$22,K$29,H$28,$H$24,$H$25,$G178,L$30)</f>
        <v>0</v>
      </c>
      <c r="M178" s="49">
        <f ca="1">_xll.DBRW($G$15,$H$21,$H$22,K$29,H$28,$H$24,$H$25,$G178,M$30)</f>
        <v>0</v>
      </c>
      <c r="N178" s="125">
        <f t="shared" ca="1" si="16"/>
        <v>0</v>
      </c>
      <c r="O178" s="126">
        <f t="shared" ca="1" si="17"/>
        <v>0</v>
      </c>
      <c r="P178" s="51">
        <f ca="1">_xll.DBRW($G$15,$H$21,$H$22,P$29,P$28,$H$24,$H$25,$G178,P$30)</f>
        <v>0</v>
      </c>
      <c r="Q178" s="48">
        <f ca="1">_xll.DBRW($G$15,$H$21,$H$22,P$29,P$28,$H$24,$H$25,$G178,Q$30)</f>
        <v>0</v>
      </c>
      <c r="R178" s="48">
        <f ca="1">_xll.DBRW($G$15,$H$21,$H$22,P$29,P$28,$H$24,$H$25,$G178,R$30)</f>
        <v>0</v>
      </c>
      <c r="S178" s="48">
        <f ca="1">_xll.DBRW($G$15,$H$21,$H$22,S$29,P$28,$H$24,$H$25,$G178,S$30)</f>
        <v>0</v>
      </c>
      <c r="T178" s="48">
        <f ca="1">_xll.DBRW($G$15,$H$21,$H$22,S$29,P$28,$H$24,$H$25,$G178,T$30)</f>
        <v>0</v>
      </c>
      <c r="U178" s="49">
        <f ca="1">_xll.DBRW($G$15,$H$21,$H$22,S$29,P$28,$H$24,$H$25,$G178,U$30)</f>
        <v>0</v>
      </c>
      <c r="V178" s="125">
        <f t="shared" ca="1" si="18"/>
        <v>0</v>
      </c>
      <c r="W178" s="126">
        <f t="shared" ca="1" si="19"/>
        <v>0</v>
      </c>
      <c r="X178" s="51">
        <f ca="1">_xll.DBRW($G$15,$H$21,$H$22,X$29,X$28,$H$24,$H$25,$G178,X$30)</f>
        <v>0</v>
      </c>
      <c r="Y178" s="48">
        <f ca="1">_xll.DBRW($G$15,$H$21,$H$22,X$29,X$28,$H$24,$H$25,$G178,Y$30)</f>
        <v>0</v>
      </c>
      <c r="Z178" s="48">
        <f ca="1">_xll.DBRW($G$15,$H$21,$H$22,X$29,X$28,$H$24,$H$25,$G178,Z$30)</f>
        <v>0</v>
      </c>
      <c r="AA178" s="48">
        <f ca="1">_xll.DBRW($G$15,$H$21,$H$22,AA$29,X$28,$H$24,$H$25,$G178,AA$30)</f>
        <v>0</v>
      </c>
      <c r="AB178" s="48">
        <f ca="1">_xll.DBRW($G$15,$H$21,$H$22,AA$29,X$28,$H$24,$H$25,$G178,AB$30)</f>
        <v>0</v>
      </c>
      <c r="AC178" s="49">
        <f ca="1">_xll.DBRW($G$15,$H$21,$H$22,AA$29,X$28,$H$24,$H$25,$G178,AC$30)</f>
        <v>0</v>
      </c>
      <c r="AD178" s="125">
        <f t="shared" ca="1" si="20"/>
        <v>0</v>
      </c>
      <c r="AE178" s="126">
        <f t="shared" ca="1" si="21"/>
        <v>0</v>
      </c>
      <c r="AF178" s="51">
        <f ca="1">_xll.DBRW($G$15,$H$21,$H$22,AF$29,AF$28,$H$24,$H$25,$G178,AF$30)</f>
        <v>0</v>
      </c>
      <c r="AG178" s="48">
        <f ca="1">_xll.DBRW($G$15,$H$21,$H$22,AF$29,AF$28,$H$24,$H$25,$G178,AG$30)</f>
        <v>0</v>
      </c>
      <c r="AH178" s="48">
        <f ca="1">_xll.DBRW($G$15,$H$21,$H$22,AF$29,AF$28,$H$24,$H$25,$G178,AH$30)</f>
        <v>0</v>
      </c>
      <c r="AI178" s="48">
        <f ca="1">_xll.DBRW($G$15,$H$21,$H$22,AI$29,AF$28,$H$24,$H$25,$G178,AI$30)</f>
        <v>0</v>
      </c>
      <c r="AJ178" s="48">
        <f ca="1">_xll.DBRW($G$15,$H$21,$H$22,AI$29,AF$28,$H$24,$H$25,$G178,AJ$30)</f>
        <v>0</v>
      </c>
      <c r="AK178" s="49">
        <f ca="1">_xll.DBRW($G$15,$H$21,$H$22,AI$29,AF$28,$H$24,$H$25,$G178,AK$30)</f>
        <v>0</v>
      </c>
      <c r="AL178" s="140">
        <f t="shared" ca="1" si="22"/>
        <v>0</v>
      </c>
      <c r="AM178" s="140">
        <f t="shared" ca="1" si="23"/>
        <v>0</v>
      </c>
    </row>
    <row r="179" spans="1:39">
      <c r="A179">
        <f ca="1">IF(_xll.TM1RPTELISCONSOLIDATED($G$31,$G179),IF(_xll.TM1RPTELLEV($G$31,$G179)&lt;=3,_xll.TM1RPTELLEV($G$31,$G179),"D"),"N")</f>
        <v>1</v>
      </c>
      <c r="G179" s="42" t="s">
        <v>184</v>
      </c>
      <c r="H179" s="48">
        <f ca="1">_xll.DBRW($G$15,$H$21,$H$22,H$29,H$28,$H$24,$H$25,$G179,H$30)</f>
        <v>0</v>
      </c>
      <c r="I179" s="48">
        <f ca="1">_xll.DBRW($G$15,$H$21,$H$22,H$29,H$28,$H$24,$H$25,$G179,I$30)</f>
        <v>0</v>
      </c>
      <c r="J179" s="48">
        <f ca="1">_xll.DBRW($G$15,$H$21,$H$22,H$29,H$28,$H$24,$H$25,$G179,J$30)</f>
        <v>0</v>
      </c>
      <c r="K179" s="48">
        <f ca="1">_xll.DBRW($G$15,$H$21,$H$22,K$29,H$28,$H$24,$H$25,$G179,K$30)</f>
        <v>0</v>
      </c>
      <c r="L179" s="48">
        <f ca="1">_xll.DBRW($G$15,$H$21,$H$22,K$29,H$28,$H$24,$H$25,$G179,L$30)</f>
        <v>0</v>
      </c>
      <c r="M179" s="49">
        <f ca="1">_xll.DBRW($G$15,$H$21,$H$22,K$29,H$28,$H$24,$H$25,$G179,M$30)</f>
        <v>0</v>
      </c>
      <c r="N179" s="125">
        <f t="shared" ca="1" si="16"/>
        <v>0</v>
      </c>
      <c r="O179" s="126">
        <f t="shared" ca="1" si="17"/>
        <v>0</v>
      </c>
      <c r="P179" s="51">
        <f ca="1">_xll.DBRW($G$15,$H$21,$H$22,P$29,P$28,$H$24,$H$25,$G179,P$30)</f>
        <v>0</v>
      </c>
      <c r="Q179" s="48">
        <f ca="1">_xll.DBRW($G$15,$H$21,$H$22,P$29,P$28,$H$24,$H$25,$G179,Q$30)</f>
        <v>0</v>
      </c>
      <c r="R179" s="48">
        <f ca="1">_xll.DBRW($G$15,$H$21,$H$22,P$29,P$28,$H$24,$H$25,$G179,R$30)</f>
        <v>0</v>
      </c>
      <c r="S179" s="48">
        <f ca="1">_xll.DBRW($G$15,$H$21,$H$22,S$29,P$28,$H$24,$H$25,$G179,S$30)</f>
        <v>0</v>
      </c>
      <c r="T179" s="48">
        <f ca="1">_xll.DBRW($G$15,$H$21,$H$22,S$29,P$28,$H$24,$H$25,$G179,T$30)</f>
        <v>0</v>
      </c>
      <c r="U179" s="49">
        <f ca="1">_xll.DBRW($G$15,$H$21,$H$22,S$29,P$28,$H$24,$H$25,$G179,U$30)</f>
        <v>0</v>
      </c>
      <c r="V179" s="125">
        <f t="shared" ca="1" si="18"/>
        <v>0</v>
      </c>
      <c r="W179" s="126">
        <f t="shared" ca="1" si="19"/>
        <v>0</v>
      </c>
      <c r="X179" s="51">
        <f ca="1">_xll.DBRW($G$15,$H$21,$H$22,X$29,X$28,$H$24,$H$25,$G179,X$30)</f>
        <v>0</v>
      </c>
      <c r="Y179" s="48">
        <f ca="1">_xll.DBRW($G$15,$H$21,$H$22,X$29,X$28,$H$24,$H$25,$G179,Y$30)</f>
        <v>0</v>
      </c>
      <c r="Z179" s="48">
        <f ca="1">_xll.DBRW($G$15,$H$21,$H$22,X$29,X$28,$H$24,$H$25,$G179,Z$30)</f>
        <v>0</v>
      </c>
      <c r="AA179" s="48">
        <f ca="1">_xll.DBRW($G$15,$H$21,$H$22,AA$29,X$28,$H$24,$H$25,$G179,AA$30)</f>
        <v>0</v>
      </c>
      <c r="AB179" s="48">
        <f ca="1">_xll.DBRW($G$15,$H$21,$H$22,AA$29,X$28,$H$24,$H$25,$G179,AB$30)</f>
        <v>0</v>
      </c>
      <c r="AC179" s="49">
        <f ca="1">_xll.DBRW($G$15,$H$21,$H$22,AA$29,X$28,$H$24,$H$25,$G179,AC$30)</f>
        <v>0</v>
      </c>
      <c r="AD179" s="125">
        <f t="shared" ca="1" si="20"/>
        <v>0</v>
      </c>
      <c r="AE179" s="126">
        <f t="shared" ca="1" si="21"/>
        <v>0</v>
      </c>
      <c r="AF179" s="51">
        <f ca="1">_xll.DBRW($G$15,$H$21,$H$22,AF$29,AF$28,$H$24,$H$25,$G179,AF$30)</f>
        <v>0</v>
      </c>
      <c r="AG179" s="48">
        <f ca="1">_xll.DBRW($G$15,$H$21,$H$22,AF$29,AF$28,$H$24,$H$25,$G179,AG$30)</f>
        <v>0</v>
      </c>
      <c r="AH179" s="48">
        <f ca="1">_xll.DBRW($G$15,$H$21,$H$22,AF$29,AF$28,$H$24,$H$25,$G179,AH$30)</f>
        <v>0</v>
      </c>
      <c r="AI179" s="48">
        <f ca="1">_xll.DBRW($G$15,$H$21,$H$22,AI$29,AF$28,$H$24,$H$25,$G179,AI$30)</f>
        <v>0</v>
      </c>
      <c r="AJ179" s="48">
        <f ca="1">_xll.DBRW($G$15,$H$21,$H$22,AI$29,AF$28,$H$24,$H$25,$G179,AJ$30)</f>
        <v>0</v>
      </c>
      <c r="AK179" s="49">
        <f ca="1">_xll.DBRW($G$15,$H$21,$H$22,AI$29,AF$28,$H$24,$H$25,$G179,AK$30)</f>
        <v>0</v>
      </c>
      <c r="AL179" s="140">
        <f t="shared" ca="1" si="22"/>
        <v>0</v>
      </c>
      <c r="AM179" s="140">
        <f t="shared" ca="1" si="23"/>
        <v>0</v>
      </c>
    </row>
    <row r="180" spans="1:39">
      <c r="A180">
        <f ca="1">IF(_xll.TM1RPTELISCONSOLIDATED($G$31,$G180),IF(_xll.TM1RPTELLEV($G$31,$G180)&lt;=3,_xll.TM1RPTELLEV($G$31,$G180),"D"),"N")</f>
        <v>1</v>
      </c>
      <c r="G180" s="42" t="s">
        <v>185</v>
      </c>
      <c r="H180" s="48">
        <f ca="1">_xll.DBRW($G$15,$H$21,$H$22,H$29,H$28,$H$24,$H$25,$G180,H$30)</f>
        <v>0</v>
      </c>
      <c r="I180" s="48">
        <f ca="1">_xll.DBRW($G$15,$H$21,$H$22,H$29,H$28,$H$24,$H$25,$G180,I$30)</f>
        <v>0</v>
      </c>
      <c r="J180" s="48">
        <f ca="1">_xll.DBRW($G$15,$H$21,$H$22,H$29,H$28,$H$24,$H$25,$G180,J$30)</f>
        <v>0</v>
      </c>
      <c r="K180" s="48">
        <f ca="1">_xll.DBRW($G$15,$H$21,$H$22,K$29,H$28,$H$24,$H$25,$G180,K$30)</f>
        <v>0</v>
      </c>
      <c r="L180" s="48">
        <f ca="1">_xll.DBRW($G$15,$H$21,$H$22,K$29,H$28,$H$24,$H$25,$G180,L$30)</f>
        <v>0</v>
      </c>
      <c r="M180" s="49">
        <f ca="1">_xll.DBRW($G$15,$H$21,$H$22,K$29,H$28,$H$24,$H$25,$G180,M$30)</f>
        <v>0</v>
      </c>
      <c r="N180" s="125">
        <f t="shared" ca="1" si="16"/>
        <v>0</v>
      </c>
      <c r="O180" s="126">
        <f t="shared" ca="1" si="17"/>
        <v>0</v>
      </c>
      <c r="P180" s="51">
        <f ca="1">_xll.DBRW($G$15,$H$21,$H$22,P$29,P$28,$H$24,$H$25,$G180,P$30)</f>
        <v>0</v>
      </c>
      <c r="Q180" s="48">
        <f ca="1">_xll.DBRW($G$15,$H$21,$H$22,P$29,P$28,$H$24,$H$25,$G180,Q$30)</f>
        <v>0</v>
      </c>
      <c r="R180" s="48">
        <f ca="1">_xll.DBRW($G$15,$H$21,$H$22,P$29,P$28,$H$24,$H$25,$G180,R$30)</f>
        <v>0</v>
      </c>
      <c r="S180" s="48">
        <f ca="1">_xll.DBRW($G$15,$H$21,$H$22,S$29,P$28,$H$24,$H$25,$G180,S$30)</f>
        <v>0</v>
      </c>
      <c r="T180" s="48">
        <f ca="1">_xll.DBRW($G$15,$H$21,$H$22,S$29,P$28,$H$24,$H$25,$G180,T$30)</f>
        <v>0</v>
      </c>
      <c r="U180" s="49">
        <f ca="1">_xll.DBRW($G$15,$H$21,$H$22,S$29,P$28,$H$24,$H$25,$G180,U$30)</f>
        <v>0</v>
      </c>
      <c r="V180" s="125">
        <f t="shared" ca="1" si="18"/>
        <v>0</v>
      </c>
      <c r="W180" s="126">
        <f t="shared" ca="1" si="19"/>
        <v>0</v>
      </c>
      <c r="X180" s="51">
        <f ca="1">_xll.DBRW($G$15,$H$21,$H$22,X$29,X$28,$H$24,$H$25,$G180,X$30)</f>
        <v>0</v>
      </c>
      <c r="Y180" s="48">
        <f ca="1">_xll.DBRW($G$15,$H$21,$H$22,X$29,X$28,$H$24,$H$25,$G180,Y$30)</f>
        <v>0</v>
      </c>
      <c r="Z180" s="48">
        <f ca="1">_xll.DBRW($G$15,$H$21,$H$22,X$29,X$28,$H$24,$H$25,$G180,Z$30)</f>
        <v>0</v>
      </c>
      <c r="AA180" s="48">
        <f ca="1">_xll.DBRW($G$15,$H$21,$H$22,AA$29,X$28,$H$24,$H$25,$G180,AA$30)</f>
        <v>0</v>
      </c>
      <c r="AB180" s="48">
        <f ca="1">_xll.DBRW($G$15,$H$21,$H$22,AA$29,X$28,$H$24,$H$25,$G180,AB$30)</f>
        <v>0</v>
      </c>
      <c r="AC180" s="49">
        <f ca="1">_xll.DBRW($G$15,$H$21,$H$22,AA$29,X$28,$H$24,$H$25,$G180,AC$30)</f>
        <v>0</v>
      </c>
      <c r="AD180" s="125">
        <f t="shared" ca="1" si="20"/>
        <v>0</v>
      </c>
      <c r="AE180" s="126">
        <f t="shared" ca="1" si="21"/>
        <v>0</v>
      </c>
      <c r="AF180" s="51">
        <f ca="1">_xll.DBRW($G$15,$H$21,$H$22,AF$29,AF$28,$H$24,$H$25,$G180,AF$30)</f>
        <v>0</v>
      </c>
      <c r="AG180" s="48">
        <f ca="1">_xll.DBRW($G$15,$H$21,$H$22,AF$29,AF$28,$H$24,$H$25,$G180,AG$30)</f>
        <v>0</v>
      </c>
      <c r="AH180" s="48">
        <f ca="1">_xll.DBRW($G$15,$H$21,$H$22,AF$29,AF$28,$H$24,$H$25,$G180,AH$30)</f>
        <v>0</v>
      </c>
      <c r="AI180" s="48">
        <f ca="1">_xll.DBRW($G$15,$H$21,$H$22,AI$29,AF$28,$H$24,$H$25,$G180,AI$30)</f>
        <v>0</v>
      </c>
      <c r="AJ180" s="48">
        <f ca="1">_xll.DBRW($G$15,$H$21,$H$22,AI$29,AF$28,$H$24,$H$25,$G180,AJ$30)</f>
        <v>0</v>
      </c>
      <c r="AK180" s="49">
        <f ca="1">_xll.DBRW($G$15,$H$21,$H$22,AI$29,AF$28,$H$24,$H$25,$G180,AK$30)</f>
        <v>0</v>
      </c>
      <c r="AL180" s="140">
        <f t="shared" ca="1" si="22"/>
        <v>0</v>
      </c>
      <c r="AM180" s="140">
        <f t="shared" ca="1" si="23"/>
        <v>0</v>
      </c>
    </row>
    <row r="181" spans="1:39">
      <c r="A181">
        <f ca="1">IF(_xll.TM1RPTELISCONSOLIDATED($G$31,$G181),IF(_xll.TM1RPTELLEV($G$31,$G181)&lt;=3,_xll.TM1RPTELLEV($G$31,$G181),"D"),"N")</f>
        <v>1</v>
      </c>
      <c r="G181" s="42" t="s">
        <v>186</v>
      </c>
      <c r="H181" s="48">
        <f ca="1">_xll.DBRW($G$15,$H$21,$H$22,H$29,H$28,$H$24,$H$25,$G181,H$30)</f>
        <v>0</v>
      </c>
      <c r="I181" s="48">
        <f ca="1">_xll.DBRW($G$15,$H$21,$H$22,H$29,H$28,$H$24,$H$25,$G181,I$30)</f>
        <v>0</v>
      </c>
      <c r="J181" s="48">
        <f ca="1">_xll.DBRW($G$15,$H$21,$H$22,H$29,H$28,$H$24,$H$25,$G181,J$30)</f>
        <v>0</v>
      </c>
      <c r="K181" s="48">
        <f ca="1">_xll.DBRW($G$15,$H$21,$H$22,K$29,H$28,$H$24,$H$25,$G181,K$30)</f>
        <v>0</v>
      </c>
      <c r="L181" s="48">
        <f ca="1">_xll.DBRW($G$15,$H$21,$H$22,K$29,H$28,$H$24,$H$25,$G181,L$30)</f>
        <v>0</v>
      </c>
      <c r="M181" s="49">
        <f ca="1">_xll.DBRW($G$15,$H$21,$H$22,K$29,H$28,$H$24,$H$25,$G181,M$30)</f>
        <v>0</v>
      </c>
      <c r="N181" s="125">
        <f t="shared" ca="1" si="16"/>
        <v>0</v>
      </c>
      <c r="O181" s="126">
        <f t="shared" ca="1" si="17"/>
        <v>0</v>
      </c>
      <c r="P181" s="51">
        <f ca="1">_xll.DBRW($G$15,$H$21,$H$22,P$29,P$28,$H$24,$H$25,$G181,P$30)</f>
        <v>0</v>
      </c>
      <c r="Q181" s="48">
        <f ca="1">_xll.DBRW($G$15,$H$21,$H$22,P$29,P$28,$H$24,$H$25,$G181,Q$30)</f>
        <v>0</v>
      </c>
      <c r="R181" s="48">
        <f ca="1">_xll.DBRW($G$15,$H$21,$H$22,P$29,P$28,$H$24,$H$25,$G181,R$30)</f>
        <v>0</v>
      </c>
      <c r="S181" s="48">
        <f ca="1">_xll.DBRW($G$15,$H$21,$H$22,S$29,P$28,$H$24,$H$25,$G181,S$30)</f>
        <v>0</v>
      </c>
      <c r="T181" s="48">
        <f ca="1">_xll.DBRW($G$15,$H$21,$H$22,S$29,P$28,$H$24,$H$25,$G181,T$30)</f>
        <v>0</v>
      </c>
      <c r="U181" s="49">
        <f ca="1">_xll.DBRW($G$15,$H$21,$H$22,S$29,P$28,$H$24,$H$25,$G181,U$30)</f>
        <v>0</v>
      </c>
      <c r="V181" s="125">
        <f t="shared" ca="1" si="18"/>
        <v>0</v>
      </c>
      <c r="W181" s="126">
        <f t="shared" ca="1" si="19"/>
        <v>0</v>
      </c>
      <c r="X181" s="51">
        <f ca="1">_xll.DBRW($G$15,$H$21,$H$22,X$29,X$28,$H$24,$H$25,$G181,X$30)</f>
        <v>0</v>
      </c>
      <c r="Y181" s="48">
        <f ca="1">_xll.DBRW($G$15,$H$21,$H$22,X$29,X$28,$H$24,$H$25,$G181,Y$30)</f>
        <v>0</v>
      </c>
      <c r="Z181" s="48">
        <f ca="1">_xll.DBRW($G$15,$H$21,$H$22,X$29,X$28,$H$24,$H$25,$G181,Z$30)</f>
        <v>0</v>
      </c>
      <c r="AA181" s="48">
        <f ca="1">_xll.DBRW($G$15,$H$21,$H$22,AA$29,X$28,$H$24,$H$25,$G181,AA$30)</f>
        <v>0</v>
      </c>
      <c r="AB181" s="48">
        <f ca="1">_xll.DBRW($G$15,$H$21,$H$22,AA$29,X$28,$H$24,$H$25,$G181,AB$30)</f>
        <v>0</v>
      </c>
      <c r="AC181" s="49">
        <f ca="1">_xll.DBRW($G$15,$H$21,$H$22,AA$29,X$28,$H$24,$H$25,$G181,AC$30)</f>
        <v>0</v>
      </c>
      <c r="AD181" s="125">
        <f t="shared" ca="1" si="20"/>
        <v>0</v>
      </c>
      <c r="AE181" s="126">
        <f t="shared" ca="1" si="21"/>
        <v>0</v>
      </c>
      <c r="AF181" s="51">
        <f ca="1">_xll.DBRW($G$15,$H$21,$H$22,AF$29,AF$28,$H$24,$H$25,$G181,AF$30)</f>
        <v>0</v>
      </c>
      <c r="AG181" s="48">
        <f ca="1">_xll.DBRW($G$15,$H$21,$H$22,AF$29,AF$28,$H$24,$H$25,$G181,AG$30)</f>
        <v>0</v>
      </c>
      <c r="AH181" s="48">
        <f ca="1">_xll.DBRW($G$15,$H$21,$H$22,AF$29,AF$28,$H$24,$H$25,$G181,AH$30)</f>
        <v>0</v>
      </c>
      <c r="AI181" s="48">
        <f ca="1">_xll.DBRW($G$15,$H$21,$H$22,AI$29,AF$28,$H$24,$H$25,$G181,AI$30)</f>
        <v>0</v>
      </c>
      <c r="AJ181" s="48">
        <f ca="1">_xll.DBRW($G$15,$H$21,$H$22,AI$29,AF$28,$H$24,$H$25,$G181,AJ$30)</f>
        <v>0</v>
      </c>
      <c r="AK181" s="49">
        <f ca="1">_xll.DBRW($G$15,$H$21,$H$22,AI$29,AF$28,$H$24,$H$25,$G181,AK$30)</f>
        <v>0</v>
      </c>
      <c r="AL181" s="140">
        <f t="shared" ca="1" si="22"/>
        <v>0</v>
      </c>
      <c r="AM181" s="140">
        <f t="shared" ca="1" si="23"/>
        <v>0</v>
      </c>
    </row>
    <row r="182" spans="1:39">
      <c r="A182">
        <f ca="1">IF(_xll.TM1RPTELISCONSOLIDATED($G$31,$G182),IF(_xll.TM1RPTELLEV($G$31,$G182)&lt;=3,_xll.TM1RPTELLEV($G$31,$G182),"D"),"N")</f>
        <v>1</v>
      </c>
      <c r="G182" s="42" t="s">
        <v>187</v>
      </c>
      <c r="H182" s="48">
        <f ca="1">_xll.DBRW($G$15,$H$21,$H$22,H$29,H$28,$H$24,$H$25,$G182,H$30)</f>
        <v>0</v>
      </c>
      <c r="I182" s="48">
        <f ca="1">_xll.DBRW($G$15,$H$21,$H$22,H$29,H$28,$H$24,$H$25,$G182,I$30)</f>
        <v>0</v>
      </c>
      <c r="J182" s="48">
        <f ca="1">_xll.DBRW($G$15,$H$21,$H$22,H$29,H$28,$H$24,$H$25,$G182,J$30)</f>
        <v>0</v>
      </c>
      <c r="K182" s="48">
        <f ca="1">_xll.DBRW($G$15,$H$21,$H$22,K$29,H$28,$H$24,$H$25,$G182,K$30)</f>
        <v>0</v>
      </c>
      <c r="L182" s="48">
        <f ca="1">_xll.DBRW($G$15,$H$21,$H$22,K$29,H$28,$H$24,$H$25,$G182,L$30)</f>
        <v>0</v>
      </c>
      <c r="M182" s="49">
        <f ca="1">_xll.DBRW($G$15,$H$21,$H$22,K$29,H$28,$H$24,$H$25,$G182,M$30)</f>
        <v>0</v>
      </c>
      <c r="N182" s="125">
        <f t="shared" ca="1" si="16"/>
        <v>0</v>
      </c>
      <c r="O182" s="126">
        <f t="shared" ca="1" si="17"/>
        <v>0</v>
      </c>
      <c r="P182" s="51">
        <f ca="1">_xll.DBRW($G$15,$H$21,$H$22,P$29,P$28,$H$24,$H$25,$G182,P$30)</f>
        <v>0</v>
      </c>
      <c r="Q182" s="48">
        <f ca="1">_xll.DBRW($G$15,$H$21,$H$22,P$29,P$28,$H$24,$H$25,$G182,Q$30)</f>
        <v>0</v>
      </c>
      <c r="R182" s="48">
        <f ca="1">_xll.DBRW($G$15,$H$21,$H$22,P$29,P$28,$H$24,$H$25,$G182,R$30)</f>
        <v>0</v>
      </c>
      <c r="S182" s="48">
        <f ca="1">_xll.DBRW($G$15,$H$21,$H$22,S$29,P$28,$H$24,$H$25,$G182,S$30)</f>
        <v>0</v>
      </c>
      <c r="T182" s="48">
        <f ca="1">_xll.DBRW($G$15,$H$21,$H$22,S$29,P$28,$H$24,$H$25,$G182,T$30)</f>
        <v>0</v>
      </c>
      <c r="U182" s="49">
        <f ca="1">_xll.DBRW($G$15,$H$21,$H$22,S$29,P$28,$H$24,$H$25,$G182,U$30)</f>
        <v>0</v>
      </c>
      <c r="V182" s="125">
        <f t="shared" ca="1" si="18"/>
        <v>0</v>
      </c>
      <c r="W182" s="126">
        <f t="shared" ca="1" si="19"/>
        <v>0</v>
      </c>
      <c r="X182" s="51">
        <f ca="1">_xll.DBRW($G$15,$H$21,$H$22,X$29,X$28,$H$24,$H$25,$G182,X$30)</f>
        <v>0</v>
      </c>
      <c r="Y182" s="48">
        <f ca="1">_xll.DBRW($G$15,$H$21,$H$22,X$29,X$28,$H$24,$H$25,$G182,Y$30)</f>
        <v>0</v>
      </c>
      <c r="Z182" s="48">
        <f ca="1">_xll.DBRW($G$15,$H$21,$H$22,X$29,X$28,$H$24,$H$25,$G182,Z$30)</f>
        <v>0</v>
      </c>
      <c r="AA182" s="48">
        <f ca="1">_xll.DBRW($G$15,$H$21,$H$22,AA$29,X$28,$H$24,$H$25,$G182,AA$30)</f>
        <v>0</v>
      </c>
      <c r="AB182" s="48">
        <f ca="1">_xll.DBRW($G$15,$H$21,$H$22,AA$29,X$28,$H$24,$H$25,$G182,AB$30)</f>
        <v>0</v>
      </c>
      <c r="AC182" s="49">
        <f ca="1">_xll.DBRW($G$15,$H$21,$H$22,AA$29,X$28,$H$24,$H$25,$G182,AC$30)</f>
        <v>0</v>
      </c>
      <c r="AD182" s="125">
        <f t="shared" ca="1" si="20"/>
        <v>0</v>
      </c>
      <c r="AE182" s="126">
        <f t="shared" ca="1" si="21"/>
        <v>0</v>
      </c>
      <c r="AF182" s="51">
        <f ca="1">_xll.DBRW($G$15,$H$21,$H$22,AF$29,AF$28,$H$24,$H$25,$G182,AF$30)</f>
        <v>0</v>
      </c>
      <c r="AG182" s="48">
        <f ca="1">_xll.DBRW($G$15,$H$21,$H$22,AF$29,AF$28,$H$24,$H$25,$G182,AG$30)</f>
        <v>0</v>
      </c>
      <c r="AH182" s="48">
        <f ca="1">_xll.DBRW($G$15,$H$21,$H$22,AF$29,AF$28,$H$24,$H$25,$G182,AH$30)</f>
        <v>0</v>
      </c>
      <c r="AI182" s="48">
        <f ca="1">_xll.DBRW($G$15,$H$21,$H$22,AI$29,AF$28,$H$24,$H$25,$G182,AI$30)</f>
        <v>0</v>
      </c>
      <c r="AJ182" s="48">
        <f ca="1">_xll.DBRW($G$15,$H$21,$H$22,AI$29,AF$28,$H$24,$H$25,$G182,AJ$30)</f>
        <v>0</v>
      </c>
      <c r="AK182" s="49">
        <f ca="1">_xll.DBRW($G$15,$H$21,$H$22,AI$29,AF$28,$H$24,$H$25,$G182,AK$30)</f>
        <v>0</v>
      </c>
      <c r="AL182" s="140">
        <f t="shared" ca="1" si="22"/>
        <v>0</v>
      </c>
      <c r="AM182" s="140">
        <f t="shared" ca="1" si="23"/>
        <v>0</v>
      </c>
    </row>
    <row r="183" spans="1:39">
      <c r="A183">
        <f ca="1">IF(_xll.TM1RPTELISCONSOLIDATED($G$31,$G183),IF(_xll.TM1RPTELLEV($G$31,$G183)&lt;=3,_xll.TM1RPTELLEV($G$31,$G183),"D"),"N")</f>
        <v>1</v>
      </c>
      <c r="G183" s="42" t="s">
        <v>188</v>
      </c>
      <c r="H183" s="48">
        <f ca="1">_xll.DBRW($G$15,$H$21,$H$22,H$29,H$28,$H$24,$H$25,$G183,H$30)</f>
        <v>0</v>
      </c>
      <c r="I183" s="48">
        <f ca="1">_xll.DBRW($G$15,$H$21,$H$22,H$29,H$28,$H$24,$H$25,$G183,I$30)</f>
        <v>0</v>
      </c>
      <c r="J183" s="48">
        <f ca="1">_xll.DBRW($G$15,$H$21,$H$22,H$29,H$28,$H$24,$H$25,$G183,J$30)</f>
        <v>0</v>
      </c>
      <c r="K183" s="48">
        <f ca="1">_xll.DBRW($G$15,$H$21,$H$22,K$29,H$28,$H$24,$H$25,$G183,K$30)</f>
        <v>0</v>
      </c>
      <c r="L183" s="48">
        <f ca="1">_xll.DBRW($G$15,$H$21,$H$22,K$29,H$28,$H$24,$H$25,$G183,L$30)</f>
        <v>0</v>
      </c>
      <c r="M183" s="49">
        <f ca="1">_xll.DBRW($G$15,$H$21,$H$22,K$29,H$28,$H$24,$H$25,$G183,M$30)</f>
        <v>0</v>
      </c>
      <c r="N183" s="125">
        <f t="shared" ca="1" si="16"/>
        <v>0</v>
      </c>
      <c r="O183" s="126">
        <f t="shared" ca="1" si="17"/>
        <v>0</v>
      </c>
      <c r="P183" s="51">
        <f ca="1">_xll.DBRW($G$15,$H$21,$H$22,P$29,P$28,$H$24,$H$25,$G183,P$30)</f>
        <v>0</v>
      </c>
      <c r="Q183" s="48">
        <f ca="1">_xll.DBRW($G$15,$H$21,$H$22,P$29,P$28,$H$24,$H$25,$G183,Q$30)</f>
        <v>0</v>
      </c>
      <c r="R183" s="48">
        <f ca="1">_xll.DBRW($G$15,$H$21,$H$22,P$29,P$28,$H$24,$H$25,$G183,R$30)</f>
        <v>0</v>
      </c>
      <c r="S183" s="48">
        <f ca="1">_xll.DBRW($G$15,$H$21,$H$22,S$29,P$28,$H$24,$H$25,$G183,S$30)</f>
        <v>0</v>
      </c>
      <c r="T183" s="48">
        <f ca="1">_xll.DBRW($G$15,$H$21,$H$22,S$29,P$28,$H$24,$H$25,$G183,T$30)</f>
        <v>0</v>
      </c>
      <c r="U183" s="49">
        <f ca="1">_xll.DBRW($G$15,$H$21,$H$22,S$29,P$28,$H$24,$H$25,$G183,U$30)</f>
        <v>0</v>
      </c>
      <c r="V183" s="125">
        <f t="shared" ca="1" si="18"/>
        <v>0</v>
      </c>
      <c r="W183" s="126">
        <f t="shared" ca="1" si="19"/>
        <v>0</v>
      </c>
      <c r="X183" s="51">
        <f ca="1">_xll.DBRW($G$15,$H$21,$H$22,X$29,X$28,$H$24,$H$25,$G183,X$30)</f>
        <v>0</v>
      </c>
      <c r="Y183" s="48">
        <f ca="1">_xll.DBRW($G$15,$H$21,$H$22,X$29,X$28,$H$24,$H$25,$G183,Y$30)</f>
        <v>0</v>
      </c>
      <c r="Z183" s="48">
        <f ca="1">_xll.DBRW($G$15,$H$21,$H$22,X$29,X$28,$H$24,$H$25,$G183,Z$30)</f>
        <v>0</v>
      </c>
      <c r="AA183" s="48">
        <f ca="1">_xll.DBRW($G$15,$H$21,$H$22,AA$29,X$28,$H$24,$H$25,$G183,AA$30)</f>
        <v>0</v>
      </c>
      <c r="AB183" s="48">
        <f ca="1">_xll.DBRW($G$15,$H$21,$H$22,AA$29,X$28,$H$24,$H$25,$G183,AB$30)</f>
        <v>0</v>
      </c>
      <c r="AC183" s="49">
        <f ca="1">_xll.DBRW($G$15,$H$21,$H$22,AA$29,X$28,$H$24,$H$25,$G183,AC$30)</f>
        <v>0</v>
      </c>
      <c r="AD183" s="125">
        <f t="shared" ca="1" si="20"/>
        <v>0</v>
      </c>
      <c r="AE183" s="126">
        <f t="shared" ca="1" si="21"/>
        <v>0</v>
      </c>
      <c r="AF183" s="51">
        <f ca="1">_xll.DBRW($G$15,$H$21,$H$22,AF$29,AF$28,$H$24,$H$25,$G183,AF$30)</f>
        <v>0</v>
      </c>
      <c r="AG183" s="48">
        <f ca="1">_xll.DBRW($G$15,$H$21,$H$22,AF$29,AF$28,$H$24,$H$25,$G183,AG$30)</f>
        <v>0</v>
      </c>
      <c r="AH183" s="48">
        <f ca="1">_xll.DBRW($G$15,$H$21,$H$22,AF$29,AF$28,$H$24,$H$25,$G183,AH$30)</f>
        <v>0</v>
      </c>
      <c r="AI183" s="48">
        <f ca="1">_xll.DBRW($G$15,$H$21,$H$22,AI$29,AF$28,$H$24,$H$25,$G183,AI$30)</f>
        <v>0</v>
      </c>
      <c r="AJ183" s="48">
        <f ca="1">_xll.DBRW($G$15,$H$21,$H$22,AI$29,AF$28,$H$24,$H$25,$G183,AJ$30)</f>
        <v>0</v>
      </c>
      <c r="AK183" s="49">
        <f ca="1">_xll.DBRW($G$15,$H$21,$H$22,AI$29,AF$28,$H$24,$H$25,$G183,AK$30)</f>
        <v>0</v>
      </c>
      <c r="AL183" s="140">
        <f t="shared" ca="1" si="22"/>
        <v>0</v>
      </c>
      <c r="AM183" s="140">
        <f t="shared" ca="1" si="23"/>
        <v>0</v>
      </c>
    </row>
    <row r="184" spans="1:39">
      <c r="A184">
        <f ca="1">IF(_xll.TM1RPTELISCONSOLIDATED($G$31,$G184),IF(_xll.TM1RPTELLEV($G$31,$G184)&lt;=3,_xll.TM1RPTELLEV($G$31,$G184),"D"),"N")</f>
        <v>1</v>
      </c>
      <c r="G184" s="42" t="s">
        <v>189</v>
      </c>
      <c r="H184" s="48">
        <f ca="1">_xll.DBRW($G$15,$H$21,$H$22,H$29,H$28,$H$24,$H$25,$G184,H$30)</f>
        <v>0</v>
      </c>
      <c r="I184" s="48">
        <f ca="1">_xll.DBRW($G$15,$H$21,$H$22,H$29,H$28,$H$24,$H$25,$G184,I$30)</f>
        <v>0</v>
      </c>
      <c r="J184" s="48">
        <f ca="1">_xll.DBRW($G$15,$H$21,$H$22,H$29,H$28,$H$24,$H$25,$G184,J$30)</f>
        <v>0</v>
      </c>
      <c r="K184" s="48">
        <f ca="1">_xll.DBRW($G$15,$H$21,$H$22,K$29,H$28,$H$24,$H$25,$G184,K$30)</f>
        <v>0</v>
      </c>
      <c r="L184" s="48">
        <f ca="1">_xll.DBRW($G$15,$H$21,$H$22,K$29,H$28,$H$24,$H$25,$G184,L$30)</f>
        <v>0</v>
      </c>
      <c r="M184" s="49">
        <f ca="1">_xll.DBRW($G$15,$H$21,$H$22,K$29,H$28,$H$24,$H$25,$G184,M$30)</f>
        <v>0</v>
      </c>
      <c r="N184" s="125">
        <f t="shared" ca="1" si="16"/>
        <v>0</v>
      </c>
      <c r="O184" s="126">
        <f t="shared" ca="1" si="17"/>
        <v>0</v>
      </c>
      <c r="P184" s="51">
        <f ca="1">_xll.DBRW($G$15,$H$21,$H$22,P$29,P$28,$H$24,$H$25,$G184,P$30)</f>
        <v>0</v>
      </c>
      <c r="Q184" s="48">
        <f ca="1">_xll.DBRW($G$15,$H$21,$H$22,P$29,P$28,$H$24,$H$25,$G184,Q$30)</f>
        <v>0</v>
      </c>
      <c r="R184" s="48">
        <f ca="1">_xll.DBRW($G$15,$H$21,$H$22,P$29,P$28,$H$24,$H$25,$G184,R$30)</f>
        <v>0</v>
      </c>
      <c r="S184" s="48">
        <f ca="1">_xll.DBRW($G$15,$H$21,$H$22,S$29,P$28,$H$24,$H$25,$G184,S$30)</f>
        <v>0</v>
      </c>
      <c r="T184" s="48">
        <f ca="1">_xll.DBRW($G$15,$H$21,$H$22,S$29,P$28,$H$24,$H$25,$G184,T$30)</f>
        <v>0</v>
      </c>
      <c r="U184" s="49">
        <f ca="1">_xll.DBRW($G$15,$H$21,$H$22,S$29,P$28,$H$24,$H$25,$G184,U$30)</f>
        <v>0</v>
      </c>
      <c r="V184" s="125">
        <f t="shared" ca="1" si="18"/>
        <v>0</v>
      </c>
      <c r="W184" s="126">
        <f t="shared" ca="1" si="19"/>
        <v>0</v>
      </c>
      <c r="X184" s="51">
        <f ca="1">_xll.DBRW($G$15,$H$21,$H$22,X$29,X$28,$H$24,$H$25,$G184,X$30)</f>
        <v>0</v>
      </c>
      <c r="Y184" s="48">
        <f ca="1">_xll.DBRW($G$15,$H$21,$H$22,X$29,X$28,$H$24,$H$25,$G184,Y$30)</f>
        <v>0</v>
      </c>
      <c r="Z184" s="48">
        <f ca="1">_xll.DBRW($G$15,$H$21,$H$22,X$29,X$28,$H$24,$H$25,$G184,Z$30)</f>
        <v>0</v>
      </c>
      <c r="AA184" s="48">
        <f ca="1">_xll.DBRW($G$15,$H$21,$H$22,AA$29,X$28,$H$24,$H$25,$G184,AA$30)</f>
        <v>0</v>
      </c>
      <c r="AB184" s="48">
        <f ca="1">_xll.DBRW($G$15,$H$21,$H$22,AA$29,X$28,$H$24,$H$25,$G184,AB$30)</f>
        <v>0</v>
      </c>
      <c r="AC184" s="49">
        <f ca="1">_xll.DBRW($G$15,$H$21,$H$22,AA$29,X$28,$H$24,$H$25,$G184,AC$30)</f>
        <v>0</v>
      </c>
      <c r="AD184" s="125">
        <f t="shared" ca="1" si="20"/>
        <v>0</v>
      </c>
      <c r="AE184" s="126">
        <f t="shared" ca="1" si="21"/>
        <v>0</v>
      </c>
      <c r="AF184" s="51">
        <f ca="1">_xll.DBRW($G$15,$H$21,$H$22,AF$29,AF$28,$H$24,$H$25,$G184,AF$30)</f>
        <v>0</v>
      </c>
      <c r="AG184" s="48">
        <f ca="1">_xll.DBRW($G$15,$H$21,$H$22,AF$29,AF$28,$H$24,$H$25,$G184,AG$30)</f>
        <v>0</v>
      </c>
      <c r="AH184" s="48">
        <f ca="1">_xll.DBRW($G$15,$H$21,$H$22,AF$29,AF$28,$H$24,$H$25,$G184,AH$30)</f>
        <v>0</v>
      </c>
      <c r="AI184" s="48">
        <f ca="1">_xll.DBRW($G$15,$H$21,$H$22,AI$29,AF$28,$H$24,$H$25,$G184,AI$30)</f>
        <v>0</v>
      </c>
      <c r="AJ184" s="48">
        <f ca="1">_xll.DBRW($G$15,$H$21,$H$22,AI$29,AF$28,$H$24,$H$25,$G184,AJ$30)</f>
        <v>0</v>
      </c>
      <c r="AK184" s="49">
        <f ca="1">_xll.DBRW($G$15,$H$21,$H$22,AI$29,AF$28,$H$24,$H$25,$G184,AK$30)</f>
        <v>0</v>
      </c>
      <c r="AL184" s="140">
        <f t="shared" ca="1" si="22"/>
        <v>0</v>
      </c>
      <c r="AM184" s="140">
        <f t="shared" ca="1" si="23"/>
        <v>0</v>
      </c>
    </row>
    <row r="185" spans="1:39">
      <c r="A185">
        <f ca="1">IF(_xll.TM1RPTELISCONSOLIDATED($G$31,$G185),IF(_xll.TM1RPTELLEV($G$31,$G185)&lt;=3,_xll.TM1RPTELLEV($G$31,$G185),"D"),"N")</f>
        <v>1</v>
      </c>
      <c r="G185" s="42" t="s">
        <v>190</v>
      </c>
      <c r="H185" s="48">
        <f ca="1">_xll.DBRW($G$15,$H$21,$H$22,H$29,H$28,$H$24,$H$25,$G185,H$30)</f>
        <v>0</v>
      </c>
      <c r="I185" s="48">
        <f ca="1">_xll.DBRW($G$15,$H$21,$H$22,H$29,H$28,$H$24,$H$25,$G185,I$30)</f>
        <v>0</v>
      </c>
      <c r="J185" s="48">
        <f ca="1">_xll.DBRW($G$15,$H$21,$H$22,H$29,H$28,$H$24,$H$25,$G185,J$30)</f>
        <v>0</v>
      </c>
      <c r="K185" s="48">
        <f ca="1">_xll.DBRW($G$15,$H$21,$H$22,K$29,H$28,$H$24,$H$25,$G185,K$30)</f>
        <v>0</v>
      </c>
      <c r="L185" s="48">
        <f ca="1">_xll.DBRW($G$15,$H$21,$H$22,K$29,H$28,$H$24,$H$25,$G185,L$30)</f>
        <v>0</v>
      </c>
      <c r="M185" s="49">
        <f ca="1">_xll.DBRW($G$15,$H$21,$H$22,K$29,H$28,$H$24,$H$25,$G185,M$30)</f>
        <v>0</v>
      </c>
      <c r="N185" s="125">
        <f t="shared" ca="1" si="16"/>
        <v>0</v>
      </c>
      <c r="O185" s="126">
        <f t="shared" ca="1" si="17"/>
        <v>0</v>
      </c>
      <c r="P185" s="51">
        <f ca="1">_xll.DBRW($G$15,$H$21,$H$22,P$29,P$28,$H$24,$H$25,$G185,P$30)</f>
        <v>0</v>
      </c>
      <c r="Q185" s="48">
        <f ca="1">_xll.DBRW($G$15,$H$21,$H$22,P$29,P$28,$H$24,$H$25,$G185,Q$30)</f>
        <v>0</v>
      </c>
      <c r="R185" s="48">
        <f ca="1">_xll.DBRW($G$15,$H$21,$H$22,P$29,P$28,$H$24,$H$25,$G185,R$30)</f>
        <v>0</v>
      </c>
      <c r="S185" s="48">
        <f ca="1">_xll.DBRW($G$15,$H$21,$H$22,S$29,P$28,$H$24,$H$25,$G185,S$30)</f>
        <v>0</v>
      </c>
      <c r="T185" s="48">
        <f ca="1">_xll.DBRW($G$15,$H$21,$H$22,S$29,P$28,$H$24,$H$25,$G185,T$30)</f>
        <v>0</v>
      </c>
      <c r="U185" s="49">
        <f ca="1">_xll.DBRW($G$15,$H$21,$H$22,S$29,P$28,$H$24,$H$25,$G185,U$30)</f>
        <v>0</v>
      </c>
      <c r="V185" s="125">
        <f t="shared" ca="1" si="18"/>
        <v>0</v>
      </c>
      <c r="W185" s="126">
        <f t="shared" ca="1" si="19"/>
        <v>0</v>
      </c>
      <c r="X185" s="51">
        <f ca="1">_xll.DBRW($G$15,$H$21,$H$22,X$29,X$28,$H$24,$H$25,$G185,X$30)</f>
        <v>0</v>
      </c>
      <c r="Y185" s="48">
        <f ca="1">_xll.DBRW($G$15,$H$21,$H$22,X$29,X$28,$H$24,$H$25,$G185,Y$30)</f>
        <v>0</v>
      </c>
      <c r="Z185" s="48">
        <f ca="1">_xll.DBRW($G$15,$H$21,$H$22,X$29,X$28,$H$24,$H$25,$G185,Z$30)</f>
        <v>0</v>
      </c>
      <c r="AA185" s="48">
        <f ca="1">_xll.DBRW($G$15,$H$21,$H$22,AA$29,X$28,$H$24,$H$25,$G185,AA$30)</f>
        <v>0</v>
      </c>
      <c r="AB185" s="48">
        <f ca="1">_xll.DBRW($G$15,$H$21,$H$22,AA$29,X$28,$H$24,$H$25,$G185,AB$30)</f>
        <v>0</v>
      </c>
      <c r="AC185" s="49">
        <f ca="1">_xll.DBRW($G$15,$H$21,$H$22,AA$29,X$28,$H$24,$H$25,$G185,AC$30)</f>
        <v>0</v>
      </c>
      <c r="AD185" s="125">
        <f t="shared" ca="1" si="20"/>
        <v>0</v>
      </c>
      <c r="AE185" s="126">
        <f t="shared" ca="1" si="21"/>
        <v>0</v>
      </c>
      <c r="AF185" s="51">
        <f ca="1">_xll.DBRW($G$15,$H$21,$H$22,AF$29,AF$28,$H$24,$H$25,$G185,AF$30)</f>
        <v>0</v>
      </c>
      <c r="AG185" s="48">
        <f ca="1">_xll.DBRW($G$15,$H$21,$H$22,AF$29,AF$28,$H$24,$H$25,$G185,AG$30)</f>
        <v>0</v>
      </c>
      <c r="AH185" s="48">
        <f ca="1">_xll.DBRW($G$15,$H$21,$H$22,AF$29,AF$28,$H$24,$H$25,$G185,AH$30)</f>
        <v>0</v>
      </c>
      <c r="AI185" s="48">
        <f ca="1">_xll.DBRW($G$15,$H$21,$H$22,AI$29,AF$28,$H$24,$H$25,$G185,AI$30)</f>
        <v>0</v>
      </c>
      <c r="AJ185" s="48">
        <f ca="1">_xll.DBRW($G$15,$H$21,$H$22,AI$29,AF$28,$H$24,$H$25,$G185,AJ$30)</f>
        <v>0</v>
      </c>
      <c r="AK185" s="49">
        <f ca="1">_xll.DBRW($G$15,$H$21,$H$22,AI$29,AF$28,$H$24,$H$25,$G185,AK$30)</f>
        <v>0</v>
      </c>
      <c r="AL185" s="140">
        <f t="shared" ca="1" si="22"/>
        <v>0</v>
      </c>
      <c r="AM185" s="140">
        <f t="shared" ca="1" si="23"/>
        <v>0</v>
      </c>
    </row>
    <row r="186" spans="1:39">
      <c r="A186">
        <f ca="1">IF(_xll.TM1RPTELISCONSOLIDATED($G$31,$G186),IF(_xll.TM1RPTELLEV($G$31,$G186)&lt;=3,_xll.TM1RPTELLEV($G$31,$G186),"D"),"N")</f>
        <v>1</v>
      </c>
      <c r="G186" s="42" t="s">
        <v>191</v>
      </c>
      <c r="H186" s="48">
        <f ca="1">_xll.DBRW($G$15,$H$21,$H$22,H$29,H$28,$H$24,$H$25,$G186,H$30)</f>
        <v>0</v>
      </c>
      <c r="I186" s="48">
        <f ca="1">_xll.DBRW($G$15,$H$21,$H$22,H$29,H$28,$H$24,$H$25,$G186,I$30)</f>
        <v>0</v>
      </c>
      <c r="J186" s="48">
        <f ca="1">_xll.DBRW($G$15,$H$21,$H$22,H$29,H$28,$H$24,$H$25,$G186,J$30)</f>
        <v>0</v>
      </c>
      <c r="K186" s="48">
        <f ca="1">_xll.DBRW($G$15,$H$21,$H$22,K$29,H$28,$H$24,$H$25,$G186,K$30)</f>
        <v>0</v>
      </c>
      <c r="L186" s="48">
        <f ca="1">_xll.DBRW($G$15,$H$21,$H$22,K$29,H$28,$H$24,$H$25,$G186,L$30)</f>
        <v>0</v>
      </c>
      <c r="M186" s="49">
        <f ca="1">_xll.DBRW($G$15,$H$21,$H$22,K$29,H$28,$H$24,$H$25,$G186,M$30)</f>
        <v>0</v>
      </c>
      <c r="N186" s="125">
        <f t="shared" ca="1" si="16"/>
        <v>0</v>
      </c>
      <c r="O186" s="126">
        <f t="shared" ca="1" si="17"/>
        <v>0</v>
      </c>
      <c r="P186" s="51">
        <f ca="1">_xll.DBRW($G$15,$H$21,$H$22,P$29,P$28,$H$24,$H$25,$G186,P$30)</f>
        <v>0</v>
      </c>
      <c r="Q186" s="48">
        <f ca="1">_xll.DBRW($G$15,$H$21,$H$22,P$29,P$28,$H$24,$H$25,$G186,Q$30)</f>
        <v>0</v>
      </c>
      <c r="R186" s="48">
        <f ca="1">_xll.DBRW($G$15,$H$21,$H$22,P$29,P$28,$H$24,$H$25,$G186,R$30)</f>
        <v>0</v>
      </c>
      <c r="S186" s="48">
        <f ca="1">_xll.DBRW($G$15,$H$21,$H$22,S$29,P$28,$H$24,$H$25,$G186,S$30)</f>
        <v>0</v>
      </c>
      <c r="T186" s="48">
        <f ca="1">_xll.DBRW($G$15,$H$21,$H$22,S$29,P$28,$H$24,$H$25,$G186,T$30)</f>
        <v>0</v>
      </c>
      <c r="U186" s="49">
        <f ca="1">_xll.DBRW($G$15,$H$21,$H$22,S$29,P$28,$H$24,$H$25,$G186,U$30)</f>
        <v>0</v>
      </c>
      <c r="V186" s="125">
        <f t="shared" ca="1" si="18"/>
        <v>0</v>
      </c>
      <c r="W186" s="126">
        <f t="shared" ca="1" si="19"/>
        <v>0</v>
      </c>
      <c r="X186" s="51">
        <f ca="1">_xll.DBRW($G$15,$H$21,$H$22,X$29,X$28,$H$24,$H$25,$G186,X$30)</f>
        <v>0</v>
      </c>
      <c r="Y186" s="48">
        <f ca="1">_xll.DBRW($G$15,$H$21,$H$22,X$29,X$28,$H$24,$H$25,$G186,Y$30)</f>
        <v>0</v>
      </c>
      <c r="Z186" s="48">
        <f ca="1">_xll.DBRW($G$15,$H$21,$H$22,X$29,X$28,$H$24,$H$25,$G186,Z$30)</f>
        <v>0</v>
      </c>
      <c r="AA186" s="48">
        <f ca="1">_xll.DBRW($G$15,$H$21,$H$22,AA$29,X$28,$H$24,$H$25,$G186,AA$30)</f>
        <v>0</v>
      </c>
      <c r="AB186" s="48">
        <f ca="1">_xll.DBRW($G$15,$H$21,$H$22,AA$29,X$28,$H$24,$H$25,$G186,AB$30)</f>
        <v>0</v>
      </c>
      <c r="AC186" s="49">
        <f ca="1">_xll.DBRW($G$15,$H$21,$H$22,AA$29,X$28,$H$24,$H$25,$G186,AC$30)</f>
        <v>0</v>
      </c>
      <c r="AD186" s="125">
        <f t="shared" ca="1" si="20"/>
        <v>0</v>
      </c>
      <c r="AE186" s="126">
        <f t="shared" ca="1" si="21"/>
        <v>0</v>
      </c>
      <c r="AF186" s="51">
        <f ca="1">_xll.DBRW($G$15,$H$21,$H$22,AF$29,AF$28,$H$24,$H$25,$G186,AF$30)</f>
        <v>0</v>
      </c>
      <c r="AG186" s="48">
        <f ca="1">_xll.DBRW($G$15,$H$21,$H$22,AF$29,AF$28,$H$24,$H$25,$G186,AG$30)</f>
        <v>0</v>
      </c>
      <c r="AH186" s="48">
        <f ca="1">_xll.DBRW($G$15,$H$21,$H$22,AF$29,AF$28,$H$24,$H$25,$G186,AH$30)</f>
        <v>0</v>
      </c>
      <c r="AI186" s="48">
        <f ca="1">_xll.DBRW($G$15,$H$21,$H$22,AI$29,AF$28,$H$24,$H$25,$G186,AI$30)</f>
        <v>0</v>
      </c>
      <c r="AJ186" s="48">
        <f ca="1">_xll.DBRW($G$15,$H$21,$H$22,AI$29,AF$28,$H$24,$H$25,$G186,AJ$30)</f>
        <v>0</v>
      </c>
      <c r="AK186" s="49">
        <f ca="1">_xll.DBRW($G$15,$H$21,$H$22,AI$29,AF$28,$H$24,$H$25,$G186,AK$30)</f>
        <v>0</v>
      </c>
      <c r="AL186" s="140">
        <f t="shared" ca="1" si="22"/>
        <v>0</v>
      </c>
      <c r="AM186" s="140">
        <f t="shared" ca="1" si="23"/>
        <v>0</v>
      </c>
    </row>
    <row r="187" spans="1:39"/>
    <row r="188" spans="1:39" hidden="1"/>
    <row r="189" spans="1:39" hidden="1"/>
    <row r="190" spans="1:39" hidden="1"/>
    <row r="191" spans="1:39" hidden="1"/>
    <row r="192" spans="1:39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</sheetData>
  <mergeCells count="16">
    <mergeCell ref="AF28:AK28"/>
    <mergeCell ref="AL28:AM29"/>
    <mergeCell ref="H29:J29"/>
    <mergeCell ref="K29:M29"/>
    <mergeCell ref="P29:R29"/>
    <mergeCell ref="S29:U29"/>
    <mergeCell ref="X29:Z29"/>
    <mergeCell ref="AA29:AC29"/>
    <mergeCell ref="AF29:AH29"/>
    <mergeCell ref="AI29:AK29"/>
    <mergeCell ref="H28:M28"/>
    <mergeCell ref="N28:O29"/>
    <mergeCell ref="P28:U28"/>
    <mergeCell ref="V28:W29"/>
    <mergeCell ref="X28:AC28"/>
    <mergeCell ref="AD28:AE29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41" r:id="rId3" name="TIButton1">
          <controlPr defaultSize="0" print="0" autoLine="0" autoPict="0" r:id="rId4">
            <anchor moveWithCells="1">
              <from>
                <xdr:col>13</xdr:col>
                <xdr:colOff>0</xdr:colOff>
                <xdr:row>23</xdr:row>
                <xdr:rowOff>0</xdr:rowOff>
              </from>
              <to>
                <xdr:col>14</xdr:col>
                <xdr:colOff>152400</xdr:colOff>
                <xdr:row>25</xdr:row>
                <xdr:rowOff>0</xdr:rowOff>
              </to>
            </anchor>
          </controlPr>
        </control>
      </mc:Choice>
      <mc:Fallback>
        <control shapeId="10241" r:id="rId3" name="TI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6:G167"/>
  <sheetViews>
    <sheetView topLeftCell="A44" workbookViewId="0"/>
  </sheetViews>
  <sheetFormatPr defaultColWidth="11.42578125" defaultRowHeight="15"/>
  <sheetData>
    <row r="26" spans="7:7">
      <c r="G26" t="s">
        <v>7</v>
      </c>
    </row>
    <row r="27" spans="7:7">
      <c r="G27" t="s">
        <v>9</v>
      </c>
    </row>
    <row r="28" spans="7:7">
      <c r="G28" t="s">
        <v>105</v>
      </c>
    </row>
    <row r="29" spans="7:7">
      <c r="G29" t="s">
        <v>46</v>
      </c>
    </row>
    <row r="30" spans="7:7">
      <c r="G30" t="s">
        <v>47</v>
      </c>
    </row>
    <row r="31" spans="7:7">
      <c r="G31" t="s">
        <v>48</v>
      </c>
    </row>
    <row r="32" spans="7:7">
      <c r="G32" t="s">
        <v>10</v>
      </c>
    </row>
    <row r="33" spans="7:7">
      <c r="G33" t="s">
        <v>106</v>
      </c>
    </row>
    <row r="34" spans="7:7">
      <c r="G34" t="s">
        <v>49</v>
      </c>
    </row>
    <row r="35" spans="7:7">
      <c r="G35" t="s">
        <v>107</v>
      </c>
    </row>
    <row r="36" spans="7:7">
      <c r="G36" t="s">
        <v>108</v>
      </c>
    </row>
    <row r="37" spans="7:7">
      <c r="G37" t="s">
        <v>50</v>
      </c>
    </row>
    <row r="38" spans="7:7">
      <c r="G38" t="s">
        <v>51</v>
      </c>
    </row>
    <row r="39" spans="7:7">
      <c r="G39" t="s">
        <v>109</v>
      </c>
    </row>
    <row r="40" spans="7:7">
      <c r="G40" t="s">
        <v>52</v>
      </c>
    </row>
    <row r="41" spans="7:7">
      <c r="G41" t="s">
        <v>110</v>
      </c>
    </row>
    <row r="42" spans="7:7">
      <c r="G42" t="s">
        <v>53</v>
      </c>
    </row>
    <row r="43" spans="7:7">
      <c r="G43" t="s">
        <v>54</v>
      </c>
    </row>
    <row r="44" spans="7:7">
      <c r="G44" t="s">
        <v>55</v>
      </c>
    </row>
    <row r="45" spans="7:7">
      <c r="G45" t="s">
        <v>111</v>
      </c>
    </row>
    <row r="46" spans="7:7">
      <c r="G46" t="s">
        <v>56</v>
      </c>
    </row>
    <row r="47" spans="7:7">
      <c r="G47" t="s">
        <v>57</v>
      </c>
    </row>
    <row r="48" spans="7:7">
      <c r="G48" t="s">
        <v>112</v>
      </c>
    </row>
    <row r="49" spans="7:7">
      <c r="G49" t="s">
        <v>113</v>
      </c>
    </row>
    <row r="50" spans="7:7">
      <c r="G50" t="s">
        <v>114</v>
      </c>
    </row>
    <row r="51" spans="7:7">
      <c r="G51" t="s">
        <v>58</v>
      </c>
    </row>
    <row r="52" spans="7:7">
      <c r="G52" t="s">
        <v>59</v>
      </c>
    </row>
    <row r="53" spans="7:7">
      <c r="G53" t="s">
        <v>115</v>
      </c>
    </row>
    <row r="54" spans="7:7">
      <c r="G54" t="s">
        <v>60</v>
      </c>
    </row>
    <row r="55" spans="7:7">
      <c r="G55" t="s">
        <v>61</v>
      </c>
    </row>
    <row r="56" spans="7:7">
      <c r="G56" t="s">
        <v>62</v>
      </c>
    </row>
    <row r="57" spans="7:7">
      <c r="G57" t="s">
        <v>63</v>
      </c>
    </row>
    <row r="58" spans="7:7">
      <c r="G58" t="s">
        <v>116</v>
      </c>
    </row>
    <row r="59" spans="7:7">
      <c r="G59" t="s">
        <v>117</v>
      </c>
    </row>
    <row r="60" spans="7:7">
      <c r="G60" t="s">
        <v>118</v>
      </c>
    </row>
    <row r="61" spans="7:7">
      <c r="G61" t="s">
        <v>119</v>
      </c>
    </row>
    <row r="62" spans="7:7">
      <c r="G62" t="s">
        <v>120</v>
      </c>
    </row>
    <row r="63" spans="7:7">
      <c r="G63" t="s">
        <v>11</v>
      </c>
    </row>
    <row r="64" spans="7:7">
      <c r="G64" t="s">
        <v>121</v>
      </c>
    </row>
    <row r="65" spans="7:7">
      <c r="G65" t="s">
        <v>64</v>
      </c>
    </row>
    <row r="66" spans="7:7">
      <c r="G66" t="s">
        <v>122</v>
      </c>
    </row>
    <row r="67" spans="7:7">
      <c r="G67" t="s">
        <v>65</v>
      </c>
    </row>
    <row r="68" spans="7:7">
      <c r="G68" t="s">
        <v>66</v>
      </c>
    </row>
    <row r="69" spans="7:7">
      <c r="G69" t="s">
        <v>123</v>
      </c>
    </row>
    <row r="70" spans="7:7">
      <c r="G70" t="s">
        <v>124</v>
      </c>
    </row>
    <row r="71" spans="7:7">
      <c r="G71" t="s">
        <v>67</v>
      </c>
    </row>
    <row r="72" spans="7:7">
      <c r="G72" t="s">
        <v>125</v>
      </c>
    </row>
    <row r="73" spans="7:7">
      <c r="G73" t="s">
        <v>68</v>
      </c>
    </row>
    <row r="74" spans="7:7">
      <c r="G74" t="s">
        <v>69</v>
      </c>
    </row>
    <row r="75" spans="7:7">
      <c r="G75" t="s">
        <v>70</v>
      </c>
    </row>
    <row r="76" spans="7:7">
      <c r="G76" t="s">
        <v>71</v>
      </c>
    </row>
    <row r="77" spans="7:7">
      <c r="G77" t="s">
        <v>126</v>
      </c>
    </row>
    <row r="78" spans="7:7">
      <c r="G78" t="s">
        <v>72</v>
      </c>
    </row>
    <row r="79" spans="7:7">
      <c r="G79" t="s">
        <v>73</v>
      </c>
    </row>
    <row r="80" spans="7:7">
      <c r="G80" t="s">
        <v>74</v>
      </c>
    </row>
    <row r="81" spans="7:7">
      <c r="G81" t="s">
        <v>127</v>
      </c>
    </row>
    <row r="82" spans="7:7">
      <c r="G82" t="s">
        <v>75</v>
      </c>
    </row>
    <row r="83" spans="7:7">
      <c r="G83" t="s">
        <v>128</v>
      </c>
    </row>
    <row r="84" spans="7:7">
      <c r="G84" t="s">
        <v>129</v>
      </c>
    </row>
    <row r="85" spans="7:7">
      <c r="G85" t="s">
        <v>12</v>
      </c>
    </row>
    <row r="86" spans="7:7">
      <c r="G86" t="s">
        <v>130</v>
      </c>
    </row>
    <row r="87" spans="7:7">
      <c r="G87" t="s">
        <v>76</v>
      </c>
    </row>
    <row r="88" spans="7:7">
      <c r="G88" t="s">
        <v>131</v>
      </c>
    </row>
    <row r="89" spans="7:7">
      <c r="G89" t="s">
        <v>132</v>
      </c>
    </row>
    <row r="90" spans="7:7">
      <c r="G90" t="s">
        <v>133</v>
      </c>
    </row>
    <row r="91" spans="7:7">
      <c r="G91" t="s">
        <v>134</v>
      </c>
    </row>
    <row r="92" spans="7:7">
      <c r="G92" t="s">
        <v>135</v>
      </c>
    </row>
    <row r="93" spans="7:7">
      <c r="G93" t="s">
        <v>13</v>
      </c>
    </row>
    <row r="94" spans="7:7">
      <c r="G94" t="s">
        <v>136</v>
      </c>
    </row>
    <row r="95" spans="7:7">
      <c r="G95" t="s">
        <v>77</v>
      </c>
    </row>
    <row r="96" spans="7:7">
      <c r="G96" t="s">
        <v>78</v>
      </c>
    </row>
    <row r="97" spans="7:7">
      <c r="G97" t="s">
        <v>137</v>
      </c>
    </row>
    <row r="98" spans="7:7">
      <c r="G98" t="s">
        <v>138</v>
      </c>
    </row>
    <row r="99" spans="7:7">
      <c r="G99" t="s">
        <v>139</v>
      </c>
    </row>
    <row r="100" spans="7:7">
      <c r="G100" t="s">
        <v>140</v>
      </c>
    </row>
    <row r="101" spans="7:7">
      <c r="G101" t="s">
        <v>79</v>
      </c>
    </row>
    <row r="102" spans="7:7">
      <c r="G102" t="s">
        <v>141</v>
      </c>
    </row>
    <row r="103" spans="7:7">
      <c r="G103" t="s">
        <v>14</v>
      </c>
    </row>
    <row r="104" spans="7:7">
      <c r="G104" t="s">
        <v>142</v>
      </c>
    </row>
    <row r="105" spans="7:7">
      <c r="G105" t="s">
        <v>80</v>
      </c>
    </row>
    <row r="106" spans="7:7">
      <c r="G106" t="s">
        <v>143</v>
      </c>
    </row>
    <row r="107" spans="7:7">
      <c r="G107" t="s">
        <v>81</v>
      </c>
    </row>
    <row r="108" spans="7:7">
      <c r="G108" t="s">
        <v>82</v>
      </c>
    </row>
    <row r="109" spans="7:7">
      <c r="G109" t="s">
        <v>144</v>
      </c>
    </row>
    <row r="110" spans="7:7">
      <c r="G110" t="s">
        <v>145</v>
      </c>
    </row>
    <row r="111" spans="7:7">
      <c r="G111" t="s">
        <v>146</v>
      </c>
    </row>
    <row r="112" spans="7:7">
      <c r="G112" t="s">
        <v>15</v>
      </c>
    </row>
    <row r="113" spans="7:7">
      <c r="G113" t="s">
        <v>147</v>
      </c>
    </row>
    <row r="114" spans="7:7">
      <c r="G114" t="s">
        <v>83</v>
      </c>
    </row>
    <row r="115" spans="7:7">
      <c r="G115" t="s">
        <v>84</v>
      </c>
    </row>
    <row r="116" spans="7:7">
      <c r="G116" t="s">
        <v>16</v>
      </c>
    </row>
    <row r="117" spans="7:7">
      <c r="G117" t="s">
        <v>148</v>
      </c>
    </row>
    <row r="118" spans="7:7">
      <c r="G118" t="s">
        <v>85</v>
      </c>
    </row>
    <row r="119" spans="7:7">
      <c r="G119" t="s">
        <v>149</v>
      </c>
    </row>
    <row r="120" spans="7:7">
      <c r="G120" t="s">
        <v>86</v>
      </c>
    </row>
    <row r="121" spans="7:7">
      <c r="G121" t="s">
        <v>87</v>
      </c>
    </row>
    <row r="122" spans="7:7">
      <c r="G122" t="s">
        <v>88</v>
      </c>
    </row>
    <row r="123" spans="7:7">
      <c r="G123" t="s">
        <v>89</v>
      </c>
    </row>
    <row r="124" spans="7:7">
      <c r="G124" t="s">
        <v>90</v>
      </c>
    </row>
    <row r="125" spans="7:7">
      <c r="G125" t="s">
        <v>91</v>
      </c>
    </row>
    <row r="126" spans="7:7">
      <c r="G126" t="s">
        <v>92</v>
      </c>
    </row>
    <row r="127" spans="7:7">
      <c r="G127" t="s">
        <v>150</v>
      </c>
    </row>
    <row r="128" spans="7:7">
      <c r="G128" t="s">
        <v>93</v>
      </c>
    </row>
    <row r="129" spans="7:7">
      <c r="G129" t="s">
        <v>94</v>
      </c>
    </row>
    <row r="130" spans="7:7">
      <c r="G130" t="s">
        <v>151</v>
      </c>
    </row>
    <row r="131" spans="7:7">
      <c r="G131" t="s">
        <v>95</v>
      </c>
    </row>
    <row r="132" spans="7:7">
      <c r="G132" t="s">
        <v>96</v>
      </c>
    </row>
    <row r="133" spans="7:7">
      <c r="G133" t="s">
        <v>17</v>
      </c>
    </row>
    <row r="134" spans="7:7">
      <c r="G134" t="s">
        <v>152</v>
      </c>
    </row>
    <row r="135" spans="7:7">
      <c r="G135" t="s">
        <v>97</v>
      </c>
    </row>
    <row r="136" spans="7:7">
      <c r="G136" t="s">
        <v>98</v>
      </c>
    </row>
    <row r="137" spans="7:7">
      <c r="G137" t="s">
        <v>99</v>
      </c>
    </row>
    <row r="138" spans="7:7">
      <c r="G138" t="s">
        <v>153</v>
      </c>
    </row>
    <row r="139" spans="7:7">
      <c r="G139" t="s">
        <v>18</v>
      </c>
    </row>
    <row r="140" spans="7:7">
      <c r="G140" t="s">
        <v>19</v>
      </c>
    </row>
    <row r="141" spans="7:7">
      <c r="G141" t="s">
        <v>20</v>
      </c>
    </row>
    <row r="142" spans="7:7">
      <c r="G142" t="s">
        <v>154</v>
      </c>
    </row>
    <row r="143" spans="7:7">
      <c r="G143" t="s">
        <v>100</v>
      </c>
    </row>
    <row r="144" spans="7:7">
      <c r="G144" t="s">
        <v>101</v>
      </c>
    </row>
    <row r="145" spans="7:7">
      <c r="G145" t="s">
        <v>102</v>
      </c>
    </row>
    <row r="146" spans="7:7">
      <c r="G146" t="s">
        <v>103</v>
      </c>
    </row>
    <row r="147" spans="7:7">
      <c r="G147" t="s">
        <v>155</v>
      </c>
    </row>
    <row r="148" spans="7:7">
      <c r="G148" t="s">
        <v>156</v>
      </c>
    </row>
    <row r="149" spans="7:7">
      <c r="G149" t="s">
        <v>157</v>
      </c>
    </row>
    <row r="150" spans="7:7">
      <c r="G150" t="s">
        <v>21</v>
      </c>
    </row>
    <row r="151" spans="7:7">
      <c r="G151" t="s">
        <v>167</v>
      </c>
    </row>
    <row r="152" spans="7:7">
      <c r="G152" t="s">
        <v>168</v>
      </c>
    </row>
    <row r="153" spans="7:7">
      <c r="G153" t="s">
        <v>169</v>
      </c>
    </row>
    <row r="154" spans="7:7">
      <c r="G154" t="s">
        <v>22</v>
      </c>
    </row>
    <row r="155" spans="7:7">
      <c r="G155" t="s">
        <v>23</v>
      </c>
    </row>
    <row r="156" spans="7:7">
      <c r="G156" t="s">
        <v>24</v>
      </c>
    </row>
    <row r="157" spans="7:7">
      <c r="G157" t="s">
        <v>25</v>
      </c>
    </row>
    <row r="158" spans="7:7">
      <c r="G158" t="s">
        <v>26</v>
      </c>
    </row>
    <row r="159" spans="7:7">
      <c r="G159" t="s">
        <v>27</v>
      </c>
    </row>
    <row r="160" spans="7:7">
      <c r="G160" t="s">
        <v>28</v>
      </c>
    </row>
    <row r="161" spans="7:7">
      <c r="G161" t="s">
        <v>29</v>
      </c>
    </row>
    <row r="162" spans="7:7">
      <c r="G162" t="s">
        <v>30</v>
      </c>
    </row>
    <row r="163" spans="7:7">
      <c r="G163" t="s">
        <v>31</v>
      </c>
    </row>
    <row r="164" spans="7:7">
      <c r="G164" t="s">
        <v>32</v>
      </c>
    </row>
    <row r="165" spans="7:7">
      <c r="G165" t="s">
        <v>33</v>
      </c>
    </row>
    <row r="166" spans="7:7">
      <c r="G166" t="s">
        <v>34</v>
      </c>
    </row>
    <row r="167" spans="7:7">
      <c r="G16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Sales Analysis Summary</vt:lpstr>
      <vt:lpstr>Sales Analysis Detailed</vt:lpstr>
      <vt:lpstr>{AR}01 (2)</vt:lpstr>
      <vt:lpstr>Market shares summary</vt:lpstr>
      <vt:lpstr>{AR}01 (3)</vt:lpstr>
      <vt:lpstr>Market shares detailed</vt:lpstr>
      <vt:lpstr>{AR}01 (4)</vt:lpstr>
      <vt:lpstr>'Market shares detailed'!TM1RPTDATARNGARPT1</vt:lpstr>
      <vt:lpstr>'Market shares summary'!TM1RPTDATARNGARPT1</vt:lpstr>
      <vt:lpstr>'Sales Analysis Detailed'!TM1RPTDATARNGARPT1</vt:lpstr>
      <vt:lpstr>'Sales Analysis Summary'!TM1RPTDATARNGARPT1</vt:lpstr>
      <vt:lpstr>'Market shares detailed'!TM1RPTFMTIDCOL</vt:lpstr>
      <vt:lpstr>'Market shares summary'!TM1RPTFMTIDCOL</vt:lpstr>
      <vt:lpstr>'Sales Analysis Detailed'!TM1RPTFMTIDCOL</vt:lpstr>
      <vt:lpstr>'Sales Analysis Summary'!TM1RPTFMTIDCOL</vt:lpstr>
      <vt:lpstr>'Market shares detailed'!TM1RPTFMTRNG</vt:lpstr>
      <vt:lpstr>'Market shares summary'!TM1RPTFMTRNG</vt:lpstr>
      <vt:lpstr>'Sales Analysis Detailed'!TM1RPTFMTRNG</vt:lpstr>
      <vt:lpstr>'Sales Analysis Summary'!TM1RPTFMTRNG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2016-12-01T13:30:42Z</dcterms:created>
  <dcterms:modified xsi:type="dcterms:W3CDTF">2022-01-25T14:01:11Z</dcterms:modified>
</cp:coreProperties>
</file>