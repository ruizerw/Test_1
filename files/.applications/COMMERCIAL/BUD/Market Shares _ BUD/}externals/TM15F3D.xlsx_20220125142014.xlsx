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drawings/drawing4.xml" ContentType="application/vnd.openxmlformats-officedocument.drawing+xml"/>
  <Override PartName="/xl/activeX/activeX4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23040" windowHeight="9975"/>
  </bookViews>
  <sheets>
    <sheet name="Sales Analysis Summary" sheetId="1" r:id="rId1"/>
    <sheet name="Sales Analysis Detailed" sheetId="5" r:id="rId2"/>
    <sheet name="Market shares summary" sheetId="7" r:id="rId3"/>
    <sheet name="Market shares detailed" sheetId="9" r:id="rId4"/>
    <sheet name="{AR}01 (4)" sheetId="10" state="hidden" r:id="rId5"/>
  </sheets>
  <definedNames>
    <definedName name="TM1REBUILDOPTION">1</definedName>
    <definedName name="TM1RPTDATARNGARPT1" localSheetId="3">'Market shares detailed'!$31:$31</definedName>
    <definedName name="TM1RPTDATARNGARPT1" localSheetId="2">'Market shares summary'!$28:$50</definedName>
    <definedName name="TM1RPTDATARNGARPT1" localSheetId="1">'Sales Analysis Detailed'!$23:$23</definedName>
    <definedName name="TM1RPTDATARNGARPT1" localSheetId="0">'Sales Analysis Summary'!$27:$27</definedName>
    <definedName name="TM1RPTFMTIDCOL" localSheetId="3">'Market shares detailed'!$A$1:$A$8</definedName>
    <definedName name="TM1RPTFMTIDCOL" localSheetId="2">'Market shares summary'!$A$1:$A$8</definedName>
    <definedName name="TM1RPTFMTIDCOL" localSheetId="1">'Sales Analysis Detailed'!$A$1:$A$8</definedName>
    <definedName name="TM1RPTFMTIDCOL" localSheetId="0">'Sales Analysis Summary'!$A$1:$A$8</definedName>
    <definedName name="TM1RPTFMTRNG" localSheetId="3">'Market shares detailed'!$G$1:$AK$8</definedName>
    <definedName name="TM1RPTFMTRNG" localSheetId="2">'Market shares summary'!$B$1:$AF$8</definedName>
    <definedName name="TM1RPTFMTRNG" localSheetId="1">'Sales Analysis Detailed'!$B$1:$O$8</definedName>
    <definedName name="TM1RPTFMTRNG" localSheetId="0">'Sales Analysis Summary'!$B$1:$Q$8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9" l="1"/>
  <c r="H21" i="9"/>
  <c r="H22" i="9"/>
  <c r="C21" i="7"/>
  <c r="H24" i="9"/>
  <c r="C22" i="7"/>
  <c r="H25" i="9"/>
  <c r="G31" i="9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B9" i="7"/>
  <c r="C18" i="7"/>
  <c r="C19" i="7"/>
  <c r="AD25" i="7"/>
  <c r="AF50" i="7"/>
  <c r="AA25" i="7"/>
  <c r="AC50" i="7"/>
  <c r="AH50" i="7"/>
  <c r="AD50" i="7"/>
  <c r="AA50" i="7"/>
  <c r="AG50" i="7"/>
  <c r="AE50" i="7"/>
  <c r="AB50" i="7"/>
  <c r="V25" i="7"/>
  <c r="X50" i="7"/>
  <c r="S25" i="7"/>
  <c r="U50" i="7"/>
  <c r="Z50" i="7"/>
  <c r="V50" i="7"/>
  <c r="S50" i="7"/>
  <c r="Y50" i="7"/>
  <c r="W50" i="7"/>
  <c r="T50" i="7"/>
  <c r="N25" i="7"/>
  <c r="P50" i="7"/>
  <c r="K25" i="7"/>
  <c r="M50" i="7"/>
  <c r="R50" i="7"/>
  <c r="N50" i="7"/>
  <c r="K50" i="7"/>
  <c r="Q50" i="7"/>
  <c r="O50" i="7"/>
  <c r="L50" i="7"/>
  <c r="F25" i="7"/>
  <c r="H50" i="7"/>
  <c r="C25" i="7"/>
  <c r="E50" i="7"/>
  <c r="J50" i="7"/>
  <c r="F50" i="7"/>
  <c r="C50" i="7"/>
  <c r="I50" i="7"/>
  <c r="G50" i="7"/>
  <c r="D50" i="7"/>
  <c r="AF49" i="7"/>
  <c r="AC49" i="7"/>
  <c r="AH49" i="7"/>
  <c r="AD49" i="7"/>
  <c r="AA49" i="7"/>
  <c r="AG49" i="7"/>
  <c r="AE49" i="7"/>
  <c r="AB49" i="7"/>
  <c r="X49" i="7"/>
  <c r="U49" i="7"/>
  <c r="Z49" i="7"/>
  <c r="V49" i="7"/>
  <c r="S49" i="7"/>
  <c r="Y49" i="7"/>
  <c r="W49" i="7"/>
  <c r="T49" i="7"/>
  <c r="P49" i="7"/>
  <c r="M49" i="7"/>
  <c r="R49" i="7"/>
  <c r="N49" i="7"/>
  <c r="K49" i="7"/>
  <c r="Q49" i="7"/>
  <c r="O49" i="7"/>
  <c r="L49" i="7"/>
  <c r="H49" i="7"/>
  <c r="E49" i="7"/>
  <c r="J49" i="7"/>
  <c r="F49" i="7"/>
  <c r="C49" i="7"/>
  <c r="I49" i="7"/>
  <c r="G49" i="7"/>
  <c r="D49" i="7"/>
  <c r="AF48" i="7"/>
  <c r="AC48" i="7"/>
  <c r="AH48" i="7"/>
  <c r="AD48" i="7"/>
  <c r="AA48" i="7"/>
  <c r="AG48" i="7"/>
  <c r="AE48" i="7"/>
  <c r="AB48" i="7"/>
  <c r="X48" i="7"/>
  <c r="U48" i="7"/>
  <c r="Z48" i="7"/>
  <c r="V48" i="7"/>
  <c r="S48" i="7"/>
  <c r="Y48" i="7"/>
  <c r="W48" i="7"/>
  <c r="T48" i="7"/>
  <c r="P48" i="7"/>
  <c r="M48" i="7"/>
  <c r="R48" i="7"/>
  <c r="N48" i="7"/>
  <c r="K48" i="7"/>
  <c r="Q48" i="7"/>
  <c r="O48" i="7"/>
  <c r="L48" i="7"/>
  <c r="H48" i="7"/>
  <c r="E48" i="7"/>
  <c r="J48" i="7"/>
  <c r="F48" i="7"/>
  <c r="C48" i="7"/>
  <c r="I48" i="7"/>
  <c r="G48" i="7"/>
  <c r="D48" i="7"/>
  <c r="AF47" i="7"/>
  <c r="AC47" i="7"/>
  <c r="AH47" i="7"/>
  <c r="AD47" i="7"/>
  <c r="AA47" i="7"/>
  <c r="AG47" i="7"/>
  <c r="AE47" i="7"/>
  <c r="AB47" i="7"/>
  <c r="X47" i="7"/>
  <c r="U47" i="7"/>
  <c r="Z47" i="7"/>
  <c r="V47" i="7"/>
  <c r="S47" i="7"/>
  <c r="Y47" i="7"/>
  <c r="W47" i="7"/>
  <c r="T47" i="7"/>
  <c r="P47" i="7"/>
  <c r="M47" i="7"/>
  <c r="R47" i="7"/>
  <c r="N47" i="7"/>
  <c r="K47" i="7"/>
  <c r="Q47" i="7"/>
  <c r="O47" i="7"/>
  <c r="L47" i="7"/>
  <c r="H47" i="7"/>
  <c r="E47" i="7"/>
  <c r="J47" i="7"/>
  <c r="F47" i="7"/>
  <c r="C47" i="7"/>
  <c r="I47" i="7"/>
  <c r="G47" i="7"/>
  <c r="D47" i="7"/>
  <c r="AF46" i="7"/>
  <c r="AC46" i="7"/>
  <c r="AH46" i="7"/>
  <c r="AD46" i="7"/>
  <c r="AA46" i="7"/>
  <c r="AG46" i="7"/>
  <c r="AE46" i="7"/>
  <c r="AB46" i="7"/>
  <c r="X46" i="7"/>
  <c r="U46" i="7"/>
  <c r="Z46" i="7"/>
  <c r="V46" i="7"/>
  <c r="S46" i="7"/>
  <c r="Y46" i="7"/>
  <c r="W46" i="7"/>
  <c r="T46" i="7"/>
  <c r="P46" i="7"/>
  <c r="M46" i="7"/>
  <c r="R46" i="7"/>
  <c r="N46" i="7"/>
  <c r="K46" i="7"/>
  <c r="Q46" i="7"/>
  <c r="O46" i="7"/>
  <c r="L46" i="7"/>
  <c r="H46" i="7"/>
  <c r="E46" i="7"/>
  <c r="J46" i="7"/>
  <c r="F46" i="7"/>
  <c r="C46" i="7"/>
  <c r="I46" i="7"/>
  <c r="G46" i="7"/>
  <c r="D46" i="7"/>
  <c r="AF45" i="7"/>
  <c r="AC45" i="7"/>
  <c r="AH45" i="7"/>
  <c r="AD45" i="7"/>
  <c r="AA45" i="7"/>
  <c r="AG45" i="7"/>
  <c r="AE45" i="7"/>
  <c r="AB45" i="7"/>
  <c r="X45" i="7"/>
  <c r="U45" i="7"/>
  <c r="Z45" i="7"/>
  <c r="V45" i="7"/>
  <c r="S45" i="7"/>
  <c r="Y45" i="7"/>
  <c r="W45" i="7"/>
  <c r="T45" i="7"/>
  <c r="P45" i="7"/>
  <c r="M45" i="7"/>
  <c r="R45" i="7"/>
  <c r="N45" i="7"/>
  <c r="K45" i="7"/>
  <c r="Q45" i="7"/>
  <c r="O45" i="7"/>
  <c r="L45" i="7"/>
  <c r="H45" i="7"/>
  <c r="E45" i="7"/>
  <c r="J45" i="7"/>
  <c r="F45" i="7"/>
  <c r="C45" i="7"/>
  <c r="I45" i="7"/>
  <c r="G45" i="7"/>
  <c r="D45" i="7"/>
  <c r="AF44" i="7"/>
  <c r="AC44" i="7"/>
  <c r="AH44" i="7"/>
  <c r="AD44" i="7"/>
  <c r="AA44" i="7"/>
  <c r="AG44" i="7"/>
  <c r="AE44" i="7"/>
  <c r="AB44" i="7"/>
  <c r="X44" i="7"/>
  <c r="U44" i="7"/>
  <c r="Z44" i="7"/>
  <c r="V44" i="7"/>
  <c r="S44" i="7"/>
  <c r="Y44" i="7"/>
  <c r="W44" i="7"/>
  <c r="T44" i="7"/>
  <c r="P44" i="7"/>
  <c r="M44" i="7"/>
  <c r="R44" i="7"/>
  <c r="N44" i="7"/>
  <c r="K44" i="7"/>
  <c r="Q44" i="7"/>
  <c r="O44" i="7"/>
  <c r="L44" i="7"/>
  <c r="H44" i="7"/>
  <c r="E44" i="7"/>
  <c r="J44" i="7"/>
  <c r="F44" i="7"/>
  <c r="C44" i="7"/>
  <c r="I44" i="7"/>
  <c r="G44" i="7"/>
  <c r="D44" i="7"/>
  <c r="AF43" i="7"/>
  <c r="AC43" i="7"/>
  <c r="AH43" i="7"/>
  <c r="AD43" i="7"/>
  <c r="AA43" i="7"/>
  <c r="AG43" i="7"/>
  <c r="AE43" i="7"/>
  <c r="AB43" i="7"/>
  <c r="X43" i="7"/>
  <c r="U43" i="7"/>
  <c r="Z43" i="7"/>
  <c r="V43" i="7"/>
  <c r="S43" i="7"/>
  <c r="Y43" i="7"/>
  <c r="W43" i="7"/>
  <c r="T43" i="7"/>
  <c r="P43" i="7"/>
  <c r="M43" i="7"/>
  <c r="R43" i="7"/>
  <c r="N43" i="7"/>
  <c r="K43" i="7"/>
  <c r="Q43" i="7"/>
  <c r="O43" i="7"/>
  <c r="L43" i="7"/>
  <c r="H43" i="7"/>
  <c r="E43" i="7"/>
  <c r="J43" i="7"/>
  <c r="F43" i="7"/>
  <c r="C43" i="7"/>
  <c r="I43" i="7"/>
  <c r="G43" i="7"/>
  <c r="D43" i="7"/>
  <c r="AF42" i="7"/>
  <c r="AC42" i="7"/>
  <c r="AH42" i="7"/>
  <c r="AD42" i="7"/>
  <c r="AA42" i="7"/>
  <c r="AG42" i="7"/>
  <c r="AE42" i="7"/>
  <c r="AB42" i="7"/>
  <c r="X42" i="7"/>
  <c r="U42" i="7"/>
  <c r="Z42" i="7"/>
  <c r="V42" i="7"/>
  <c r="S42" i="7"/>
  <c r="Y42" i="7"/>
  <c r="W42" i="7"/>
  <c r="T42" i="7"/>
  <c r="P42" i="7"/>
  <c r="M42" i="7"/>
  <c r="R42" i="7"/>
  <c r="N42" i="7"/>
  <c r="K42" i="7"/>
  <c r="Q42" i="7"/>
  <c r="O42" i="7"/>
  <c r="L42" i="7"/>
  <c r="H42" i="7"/>
  <c r="E42" i="7"/>
  <c r="J42" i="7"/>
  <c r="F42" i="7"/>
  <c r="C42" i="7"/>
  <c r="I42" i="7"/>
  <c r="G42" i="7"/>
  <c r="D42" i="7"/>
  <c r="AF41" i="7"/>
  <c r="AC41" i="7"/>
  <c r="AH41" i="7"/>
  <c r="AD41" i="7"/>
  <c r="AA41" i="7"/>
  <c r="AG41" i="7"/>
  <c r="AE41" i="7"/>
  <c r="AB41" i="7"/>
  <c r="X41" i="7"/>
  <c r="U41" i="7"/>
  <c r="Z41" i="7"/>
  <c r="V41" i="7"/>
  <c r="S41" i="7"/>
  <c r="Y41" i="7"/>
  <c r="W41" i="7"/>
  <c r="T41" i="7"/>
  <c r="P41" i="7"/>
  <c r="M41" i="7"/>
  <c r="R41" i="7"/>
  <c r="N41" i="7"/>
  <c r="K41" i="7"/>
  <c r="Q41" i="7"/>
  <c r="O41" i="7"/>
  <c r="L41" i="7"/>
  <c r="H41" i="7"/>
  <c r="E41" i="7"/>
  <c r="J41" i="7"/>
  <c r="F41" i="7"/>
  <c r="C41" i="7"/>
  <c r="I41" i="7"/>
  <c r="G41" i="7"/>
  <c r="D41" i="7"/>
  <c r="AF40" i="7"/>
  <c r="AC40" i="7"/>
  <c r="AH40" i="7"/>
  <c r="AD40" i="7"/>
  <c r="AA40" i="7"/>
  <c r="AG40" i="7"/>
  <c r="AE40" i="7"/>
  <c r="AB40" i="7"/>
  <c r="X40" i="7"/>
  <c r="U40" i="7"/>
  <c r="Z40" i="7"/>
  <c r="V40" i="7"/>
  <c r="S40" i="7"/>
  <c r="Y40" i="7"/>
  <c r="W40" i="7"/>
  <c r="T40" i="7"/>
  <c r="P40" i="7"/>
  <c r="M40" i="7"/>
  <c r="R40" i="7"/>
  <c r="N40" i="7"/>
  <c r="K40" i="7"/>
  <c r="Q40" i="7"/>
  <c r="O40" i="7"/>
  <c r="L40" i="7"/>
  <c r="H40" i="7"/>
  <c r="E40" i="7"/>
  <c r="J40" i="7"/>
  <c r="F40" i="7"/>
  <c r="C40" i="7"/>
  <c r="I40" i="7"/>
  <c r="G40" i="7"/>
  <c r="D40" i="7"/>
  <c r="AF39" i="7"/>
  <c r="AC39" i="7"/>
  <c r="AH39" i="7"/>
  <c r="AD39" i="7"/>
  <c r="AA39" i="7"/>
  <c r="AG39" i="7"/>
  <c r="AE39" i="7"/>
  <c r="AB39" i="7"/>
  <c r="X39" i="7"/>
  <c r="U39" i="7"/>
  <c r="Z39" i="7"/>
  <c r="V39" i="7"/>
  <c r="S39" i="7"/>
  <c r="Y39" i="7"/>
  <c r="W39" i="7"/>
  <c r="T39" i="7"/>
  <c r="P39" i="7"/>
  <c r="M39" i="7"/>
  <c r="R39" i="7"/>
  <c r="N39" i="7"/>
  <c r="K39" i="7"/>
  <c r="Q39" i="7"/>
  <c r="O39" i="7"/>
  <c r="L39" i="7"/>
  <c r="H39" i="7"/>
  <c r="E39" i="7"/>
  <c r="J39" i="7"/>
  <c r="F39" i="7"/>
  <c r="C39" i="7"/>
  <c r="I39" i="7"/>
  <c r="G39" i="7"/>
  <c r="D39" i="7"/>
  <c r="AF38" i="7"/>
  <c r="AC38" i="7"/>
  <c r="AH38" i="7"/>
  <c r="AD38" i="7"/>
  <c r="AA38" i="7"/>
  <c r="AG38" i="7"/>
  <c r="AE38" i="7"/>
  <c r="AB38" i="7"/>
  <c r="X38" i="7"/>
  <c r="U38" i="7"/>
  <c r="Z38" i="7"/>
  <c r="V38" i="7"/>
  <c r="S38" i="7"/>
  <c r="Y38" i="7"/>
  <c r="W38" i="7"/>
  <c r="T38" i="7"/>
  <c r="P38" i="7"/>
  <c r="M38" i="7"/>
  <c r="R38" i="7"/>
  <c r="N38" i="7"/>
  <c r="K38" i="7"/>
  <c r="Q38" i="7"/>
  <c r="O38" i="7"/>
  <c r="L38" i="7"/>
  <c r="H38" i="7"/>
  <c r="E38" i="7"/>
  <c r="J38" i="7"/>
  <c r="F38" i="7"/>
  <c r="C38" i="7"/>
  <c r="I38" i="7"/>
  <c r="G38" i="7"/>
  <c r="D38" i="7"/>
  <c r="AF37" i="7"/>
  <c r="AC37" i="7"/>
  <c r="AH37" i="7"/>
  <c r="AD37" i="7"/>
  <c r="AA37" i="7"/>
  <c r="AG37" i="7"/>
  <c r="AE37" i="7"/>
  <c r="AB37" i="7"/>
  <c r="X37" i="7"/>
  <c r="U37" i="7"/>
  <c r="Z37" i="7"/>
  <c r="V37" i="7"/>
  <c r="S37" i="7"/>
  <c r="Y37" i="7"/>
  <c r="W37" i="7"/>
  <c r="T37" i="7"/>
  <c r="P37" i="7"/>
  <c r="M37" i="7"/>
  <c r="R37" i="7"/>
  <c r="N37" i="7"/>
  <c r="K37" i="7"/>
  <c r="Q37" i="7"/>
  <c r="O37" i="7"/>
  <c r="L37" i="7"/>
  <c r="H37" i="7"/>
  <c r="E37" i="7"/>
  <c r="J37" i="7"/>
  <c r="F37" i="7"/>
  <c r="C37" i="7"/>
  <c r="I37" i="7"/>
  <c r="G37" i="7"/>
  <c r="D37" i="7"/>
  <c r="AF36" i="7"/>
  <c r="AC36" i="7"/>
  <c r="AH36" i="7"/>
  <c r="AD36" i="7"/>
  <c r="AA36" i="7"/>
  <c r="AG36" i="7"/>
  <c r="AE36" i="7"/>
  <c r="AB36" i="7"/>
  <c r="X36" i="7"/>
  <c r="U36" i="7"/>
  <c r="Z36" i="7"/>
  <c r="V36" i="7"/>
  <c r="S36" i="7"/>
  <c r="Y36" i="7"/>
  <c r="W36" i="7"/>
  <c r="T36" i="7"/>
  <c r="P36" i="7"/>
  <c r="M36" i="7"/>
  <c r="R36" i="7"/>
  <c r="N36" i="7"/>
  <c r="K36" i="7"/>
  <c r="Q36" i="7"/>
  <c r="O36" i="7"/>
  <c r="L36" i="7"/>
  <c r="H36" i="7"/>
  <c r="E36" i="7"/>
  <c r="J36" i="7"/>
  <c r="F36" i="7"/>
  <c r="C36" i="7"/>
  <c r="I36" i="7"/>
  <c r="G36" i="7"/>
  <c r="D36" i="7"/>
  <c r="AF35" i="7"/>
  <c r="AC35" i="7"/>
  <c r="AH35" i="7"/>
  <c r="AD35" i="7"/>
  <c r="AA35" i="7"/>
  <c r="AG35" i="7"/>
  <c r="AE35" i="7"/>
  <c r="AB35" i="7"/>
  <c r="X35" i="7"/>
  <c r="U35" i="7"/>
  <c r="Z35" i="7"/>
  <c r="V35" i="7"/>
  <c r="S35" i="7"/>
  <c r="Y35" i="7"/>
  <c r="W35" i="7"/>
  <c r="T35" i="7"/>
  <c r="P35" i="7"/>
  <c r="M35" i="7"/>
  <c r="R35" i="7"/>
  <c r="N35" i="7"/>
  <c r="K35" i="7"/>
  <c r="Q35" i="7"/>
  <c r="O35" i="7"/>
  <c r="L35" i="7"/>
  <c r="H35" i="7"/>
  <c r="E35" i="7"/>
  <c r="J35" i="7"/>
  <c r="F35" i="7"/>
  <c r="C35" i="7"/>
  <c r="I35" i="7"/>
  <c r="G35" i="7"/>
  <c r="D35" i="7"/>
  <c r="AF34" i="7"/>
  <c r="AC34" i="7"/>
  <c r="AH34" i="7"/>
  <c r="AD34" i="7"/>
  <c r="AA34" i="7"/>
  <c r="AG34" i="7"/>
  <c r="AE34" i="7"/>
  <c r="AB34" i="7"/>
  <c r="X34" i="7"/>
  <c r="U34" i="7"/>
  <c r="Z34" i="7"/>
  <c r="V34" i="7"/>
  <c r="S34" i="7"/>
  <c r="Y34" i="7"/>
  <c r="W34" i="7"/>
  <c r="T34" i="7"/>
  <c r="P34" i="7"/>
  <c r="M34" i="7"/>
  <c r="R34" i="7"/>
  <c r="N34" i="7"/>
  <c r="K34" i="7"/>
  <c r="Q34" i="7"/>
  <c r="O34" i="7"/>
  <c r="L34" i="7"/>
  <c r="H34" i="7"/>
  <c r="E34" i="7"/>
  <c r="J34" i="7"/>
  <c r="F34" i="7"/>
  <c r="C34" i="7"/>
  <c r="I34" i="7"/>
  <c r="G34" i="7"/>
  <c r="D34" i="7"/>
  <c r="AF33" i="7"/>
  <c r="AC33" i="7"/>
  <c r="AH33" i="7"/>
  <c r="AD33" i="7"/>
  <c r="AA33" i="7"/>
  <c r="AG33" i="7"/>
  <c r="AE33" i="7"/>
  <c r="AB33" i="7"/>
  <c r="X33" i="7"/>
  <c r="U33" i="7"/>
  <c r="Z33" i="7"/>
  <c r="V33" i="7"/>
  <c r="S33" i="7"/>
  <c r="Y33" i="7"/>
  <c r="W33" i="7"/>
  <c r="T33" i="7"/>
  <c r="P33" i="7"/>
  <c r="M33" i="7"/>
  <c r="R33" i="7"/>
  <c r="N33" i="7"/>
  <c r="K33" i="7"/>
  <c r="Q33" i="7"/>
  <c r="O33" i="7"/>
  <c r="L33" i="7"/>
  <c r="H33" i="7"/>
  <c r="E33" i="7"/>
  <c r="J33" i="7"/>
  <c r="F33" i="7"/>
  <c r="C33" i="7"/>
  <c r="I33" i="7"/>
  <c r="G33" i="7"/>
  <c r="D33" i="7"/>
  <c r="AF32" i="7"/>
  <c r="AC32" i="7"/>
  <c r="AH32" i="7"/>
  <c r="AD32" i="7"/>
  <c r="AA32" i="7"/>
  <c r="AG32" i="7"/>
  <c r="AE32" i="7"/>
  <c r="AB32" i="7"/>
  <c r="X32" i="7"/>
  <c r="U32" i="7"/>
  <c r="Z32" i="7"/>
  <c r="V32" i="7"/>
  <c r="S32" i="7"/>
  <c r="Y32" i="7"/>
  <c r="W32" i="7"/>
  <c r="T32" i="7"/>
  <c r="P32" i="7"/>
  <c r="M32" i="7"/>
  <c r="R32" i="7"/>
  <c r="N32" i="7"/>
  <c r="K32" i="7"/>
  <c r="Q32" i="7"/>
  <c r="O32" i="7"/>
  <c r="L32" i="7"/>
  <c r="H32" i="7"/>
  <c r="E32" i="7"/>
  <c r="J32" i="7"/>
  <c r="F32" i="7"/>
  <c r="C32" i="7"/>
  <c r="I32" i="7"/>
  <c r="G32" i="7"/>
  <c r="D32" i="7"/>
  <c r="AF31" i="7"/>
  <c r="AC31" i="7"/>
  <c r="AH31" i="7"/>
  <c r="AD31" i="7"/>
  <c r="AA31" i="7"/>
  <c r="AG31" i="7"/>
  <c r="AE31" i="7"/>
  <c r="AB31" i="7"/>
  <c r="X31" i="7"/>
  <c r="U31" i="7"/>
  <c r="Z31" i="7"/>
  <c r="V31" i="7"/>
  <c r="S31" i="7"/>
  <c r="Y31" i="7"/>
  <c r="W31" i="7"/>
  <c r="T31" i="7"/>
  <c r="P31" i="7"/>
  <c r="M31" i="7"/>
  <c r="R31" i="7"/>
  <c r="N31" i="7"/>
  <c r="K31" i="7"/>
  <c r="Q31" i="7"/>
  <c r="O31" i="7"/>
  <c r="L31" i="7"/>
  <c r="H31" i="7"/>
  <c r="E31" i="7"/>
  <c r="J31" i="7"/>
  <c r="F31" i="7"/>
  <c r="C31" i="7"/>
  <c r="I31" i="7"/>
  <c r="G31" i="7"/>
  <c r="D31" i="7"/>
  <c r="AF30" i="7"/>
  <c r="AC30" i="7"/>
  <c r="AH30" i="7"/>
  <c r="AD30" i="7"/>
  <c r="AA30" i="7"/>
  <c r="AG30" i="7"/>
  <c r="AE30" i="7"/>
  <c r="AB30" i="7"/>
  <c r="X30" i="7"/>
  <c r="U30" i="7"/>
  <c r="Z30" i="7"/>
  <c r="V30" i="7"/>
  <c r="S30" i="7"/>
  <c r="Y30" i="7"/>
  <c r="W30" i="7"/>
  <c r="T30" i="7"/>
  <c r="P30" i="7"/>
  <c r="M30" i="7"/>
  <c r="R30" i="7"/>
  <c r="N30" i="7"/>
  <c r="K30" i="7"/>
  <c r="Q30" i="7"/>
  <c r="O30" i="7"/>
  <c r="L30" i="7"/>
  <c r="H30" i="7"/>
  <c r="E30" i="7"/>
  <c r="J30" i="7"/>
  <c r="F30" i="7"/>
  <c r="C30" i="7"/>
  <c r="I30" i="7"/>
  <c r="G30" i="7"/>
  <c r="D30" i="7"/>
  <c r="AF29" i="7"/>
  <c r="AC29" i="7"/>
  <c r="AH29" i="7"/>
  <c r="AD29" i="7"/>
  <c r="AA29" i="7"/>
  <c r="AG29" i="7"/>
  <c r="AE29" i="7"/>
  <c r="AB29" i="7"/>
  <c r="X29" i="7"/>
  <c r="U29" i="7"/>
  <c r="Z29" i="7"/>
  <c r="V29" i="7"/>
  <c r="S29" i="7"/>
  <c r="Y29" i="7"/>
  <c r="W29" i="7"/>
  <c r="T29" i="7"/>
  <c r="P29" i="7"/>
  <c r="M29" i="7"/>
  <c r="R29" i="7"/>
  <c r="N29" i="7"/>
  <c r="K29" i="7"/>
  <c r="Q29" i="7"/>
  <c r="O29" i="7"/>
  <c r="L29" i="7"/>
  <c r="H29" i="7"/>
  <c r="E29" i="7"/>
  <c r="J29" i="7"/>
  <c r="F29" i="7"/>
  <c r="C29" i="7"/>
  <c r="I29" i="7"/>
  <c r="G29" i="7"/>
  <c r="D29" i="7"/>
  <c r="B28" i="7"/>
  <c r="B9" i="5"/>
  <c r="C16" i="5"/>
  <c r="C21" i="1"/>
  <c r="C17" i="5"/>
  <c r="C18" i="5"/>
  <c r="C15" i="5"/>
  <c r="B23" i="5"/>
  <c r="K23" i="5"/>
  <c r="G23" i="5"/>
  <c r="D23" i="5"/>
  <c r="O23" i="5"/>
  <c r="N23" i="5"/>
  <c r="J23" i="5"/>
  <c r="F23" i="5"/>
  <c r="C23" i="5"/>
  <c r="B9" i="1"/>
  <c r="C20" i="1"/>
  <c r="N25" i="1"/>
  <c r="C22" i="1"/>
  <c r="C18" i="1"/>
  <c r="B27" i="1"/>
  <c r="O27" i="1"/>
  <c r="J25" i="1"/>
  <c r="K27" i="1"/>
  <c r="F25" i="1"/>
  <c r="G27" i="1"/>
  <c r="C25" i="1"/>
  <c r="D27" i="1"/>
  <c r="N27" i="1"/>
  <c r="J27" i="1"/>
  <c r="F27" i="1"/>
  <c r="C27" i="1"/>
  <c r="AK31" i="9"/>
  <c r="AH31" i="9"/>
  <c r="AM31" i="9"/>
  <c r="AI31" i="9"/>
  <c r="AF31" i="9"/>
  <c r="AL31" i="9"/>
  <c r="AJ31" i="9"/>
  <c r="AG31" i="9"/>
  <c r="AC31" i="9"/>
  <c r="Z31" i="9"/>
  <c r="AE31" i="9"/>
  <c r="AA31" i="9"/>
  <c r="X31" i="9"/>
  <c r="AD31" i="9"/>
  <c r="AB31" i="9"/>
  <c r="Y31" i="9"/>
  <c r="U31" i="9"/>
  <c r="R31" i="9"/>
  <c r="W31" i="9"/>
  <c r="S31" i="9"/>
  <c r="P31" i="9"/>
  <c r="V31" i="9"/>
  <c r="T31" i="9"/>
  <c r="Q31" i="9"/>
  <c r="M31" i="9"/>
  <c r="J31" i="9"/>
  <c r="O31" i="9"/>
  <c r="K31" i="9"/>
  <c r="H31" i="9"/>
  <c r="N31" i="9"/>
  <c r="L31" i="9"/>
  <c r="I31" i="9"/>
  <c r="A31" i="9"/>
  <c r="A5" i="9"/>
  <c r="A4" i="9"/>
  <c r="A3" i="9"/>
  <c r="A2" i="9"/>
  <c r="AF28" i="7"/>
  <c r="AC28" i="7"/>
  <c r="AH28" i="7"/>
  <c r="AD28" i="7"/>
  <c r="AA28" i="7"/>
  <c r="AG28" i="7"/>
  <c r="AE28" i="7"/>
  <c r="AB28" i="7"/>
  <c r="X28" i="7"/>
  <c r="U28" i="7"/>
  <c r="Z28" i="7"/>
  <c r="V28" i="7"/>
  <c r="S28" i="7"/>
  <c r="Y28" i="7"/>
  <c r="W28" i="7"/>
  <c r="T28" i="7"/>
  <c r="P28" i="7"/>
  <c r="M28" i="7"/>
  <c r="R28" i="7"/>
  <c r="N28" i="7"/>
  <c r="K28" i="7"/>
  <c r="Q28" i="7"/>
  <c r="O28" i="7"/>
  <c r="L28" i="7"/>
  <c r="H28" i="7"/>
  <c r="E28" i="7"/>
  <c r="J28" i="7"/>
  <c r="F28" i="7"/>
  <c r="C28" i="7"/>
  <c r="I28" i="7"/>
  <c r="G28" i="7"/>
  <c r="D28" i="7"/>
  <c r="A28" i="7"/>
  <c r="A5" i="7"/>
  <c r="A4" i="7"/>
  <c r="A3" i="7"/>
  <c r="A2" i="7"/>
  <c r="Q23" i="5"/>
  <c r="P23" i="5"/>
  <c r="M23" i="5"/>
  <c r="L23" i="5"/>
  <c r="I23" i="5"/>
  <c r="H23" i="5"/>
  <c r="E23" i="5"/>
  <c r="A23" i="5"/>
  <c r="A5" i="5"/>
  <c r="A4" i="5"/>
  <c r="A3" i="5"/>
  <c r="A2" i="5"/>
  <c r="Q27" i="1"/>
  <c r="M27" i="1"/>
  <c r="L27" i="1"/>
  <c r="I27" i="1"/>
  <c r="E27" i="1"/>
  <c r="P27" i="1"/>
  <c r="H27" i="1"/>
  <c r="A27" i="1"/>
  <c r="A5" i="1"/>
  <c r="A4" i="1"/>
  <c r="A3" i="1"/>
  <c r="A2" i="1"/>
</calcChain>
</file>

<file path=xl/sharedStrings.xml><?xml version="1.0" encoding="utf-8"?>
<sst xmlns="http://schemas.openxmlformats.org/spreadsheetml/2006/main" count="329" uniqueCount="195">
  <si>
    <t>Customer_Supplier</t>
  </si>
  <si>
    <t>Currency</t>
  </si>
  <si>
    <t>Month</t>
  </si>
  <si>
    <t>Origin_Company</t>
  </si>
  <si>
    <t>Allocation</t>
  </si>
  <si>
    <t>QTY</t>
  </si>
  <si>
    <t>SALES</t>
  </si>
  <si>
    <t>TOTAL PRODUCT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</si>
  <si>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</si>
  <si>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</si>
  <si>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</si>
  <si>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</si>
  <si>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</si>
  <si>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</si>
  <si>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</si>
  <si>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</si>
  <si>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</si>
  <si>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</si>
  <si>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</si>
  <si>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</si>
  <si>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</si>
  <si>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</si>
  <si>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</si>
  <si>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</si>
  <si>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</si>
  <si>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</si>
  <si>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</si>
  <si>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</si>
  <si>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</si>
  <si>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</si>
  <si>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</si>
  <si>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</si>
  <si>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</si>
  <si>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</si>
  <si>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</si>
  <si>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</si>
  <si>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</si>
  <si>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</si>
  <si>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</si>
  <si>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SALES %</t>
  </si>
  <si>
    <t>N-1</t>
  </si>
  <si>
    <t>% of net sales machines + parts</t>
  </si>
  <si>
    <t xml:space="preserve">Sales performance analysis </t>
  </si>
  <si>
    <t>AC2016</t>
  </si>
  <si>
    <t>% of net sales machines+ parts</t>
  </si>
  <si>
    <t>BU2017draft</t>
  </si>
  <si>
    <t>SALES % N-1</t>
  </si>
  <si>
    <t>FC3_2017</t>
  </si>
  <si>
    <t>BU2018draft</t>
  </si>
  <si>
    <t>F - 700100 - MOUNTED REV. PLOUGHS</t>
  </si>
  <si>
    <t>F - 700200 - SEMI-MOUNTED REV. PLOUGHS</t>
  </si>
  <si>
    <t>F - 700300 - SEMI MOUNTED PLOUGHS</t>
  </si>
  <si>
    <t>F - 701100 - DEEP WORKING CULTIVATORS</t>
  </si>
  <si>
    <t>S - 701120 - SOIL LOOSENERS</t>
  </si>
  <si>
    <t>S - 701130 - DISC/TINES CULTIVATIORS</t>
  </si>
  <si>
    <t>F - 701200 - STUBBLE CULTIVATORS(DCH)</t>
  </si>
  <si>
    <t>S - 701210 - STUBBLE CULT. W DISC</t>
  </si>
  <si>
    <t>S - 701220 - STUBBLE CULT.W TINES</t>
  </si>
  <si>
    <t>F - 701300 - DISC HARROW (CCR)</t>
  </si>
  <si>
    <t>S - 701310 - TANDEM DISC HARR (CCR-A)</t>
  </si>
  <si>
    <t>S - 701320 - OFFSET DISC HARR (CCR-B)</t>
  </si>
  <si>
    <t>F - 701500 - STRIP TILL (STL)</t>
  </si>
  <si>
    <t>F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</si>
  <si>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</si>
  <si>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</si>
  <si>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</si>
  <si>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</si>
  <si>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F - 702100 - MECHANICAL SEED DRILL(SLM</t>
  </si>
  <si>
    <t>S - 702110 - MOUN.SEED DRILL MEC(SLM-A</t>
  </si>
  <si>
    <t>S - 702120 - INTEGR. SEED DRILL (SLM-B</t>
  </si>
  <si>
    <t>F - 702200 - PNEUMATIC SEED DRILL (SLP</t>
  </si>
  <si>
    <t>S - 702210 - MOUNTED SEED DRILL (SLP-A</t>
  </si>
  <si>
    <t>S - 702220 - INTÉGR PNEUM.C (SLP</t>
  </si>
  <si>
    <t>S - 702230 - SEEDING BAR (SLP-C)</t>
  </si>
  <si>
    <t>S - 702240 - TRAIL.SEED DRILL(SLP-D)</t>
  </si>
  <si>
    <t>S - 702260 - MOUNTED MIN TILL (SLP-F)</t>
  </si>
  <si>
    <t>S - 702270 - TRAIL. MIN TILL (SLP-G)</t>
  </si>
  <si>
    <t>F - 702300 - FRONT HOP/SEED CART (TF)</t>
  </si>
  <si>
    <t>F - 702600 - PNEUMATIC PLANTER</t>
  </si>
  <si>
    <t>F - 703100 - TWIN DISC &amp; UNIVERSAL</t>
  </si>
  <si>
    <t>F - 704100 - MOUNTED SPRAYERS</t>
  </si>
  <si>
    <t>F - 704200 - TRAILED SPRAYERS</t>
  </si>
  <si>
    <t>F - 704700 - INTEGRATED SPRAYERS</t>
  </si>
  <si>
    <t>F - 705100 - HEDGE GRASS CUTTERS &amp; SHR</t>
  </si>
  <si>
    <t>S - 705110 - OFFSET ARM VERGE SHREDDER</t>
  </si>
  <si>
    <t>S - 705120 - HEDGE AND GRASS CUTTERS</t>
  </si>
  <si>
    <t>F - 706100 - SHREDDER HORIZONTAL AXIS</t>
  </si>
  <si>
    <t>F - 706200 - ROTARY TOPPERS</t>
  </si>
  <si>
    <t>F - 707100 - MOWERS</t>
  </si>
  <si>
    <t>S - 707110 - DISC MOWERS</t>
  </si>
  <si>
    <t>S - 707120 - FRONT&amp;TRIPLE DISC MOWERS</t>
  </si>
  <si>
    <t>S - 707130 - DRUM MOWERS</t>
  </si>
  <si>
    <t>S - 707150 - TRAILED DISC MOWERS</t>
  </si>
  <si>
    <t>F - 707200 - MOWER CONDITIONERS</t>
  </si>
  <si>
    <t>F - 707300 - CONDITIONERS</t>
  </si>
  <si>
    <t>F - 707400 - RAKES</t>
  </si>
  <si>
    <t>S - 707410 - GYRORAKES</t>
  </si>
  <si>
    <t>S - 707430 - BELT MERGER</t>
  </si>
  <si>
    <t>F - 707500 - GYROTEDDERS</t>
  </si>
  <si>
    <t>F - 707600 - TEDDER-RAKE COMBINATIONS</t>
  </si>
  <si>
    <t>F - 708100 - ROUND BALERS</t>
  </si>
  <si>
    <t>F - 708200 - ROUND BALER-WRAPPER COMBI</t>
  </si>
  <si>
    <t>F - 708300 - HIGH DENSITY BALERS</t>
  </si>
  <si>
    <t>F - 715100 - SILAGE CUTTERS</t>
  </si>
  <si>
    <t>F - 715200 - BLOWERS &amp; FEEDERS &amp; RECYC</t>
  </si>
  <si>
    <t>F - 715300 - SELF-PROPELLED TMR MIXERS</t>
  </si>
  <si>
    <t>F - 715400 - TMR MIXERS</t>
  </si>
  <si>
    <t>Sales performance analysis - summary</t>
  </si>
  <si>
    <t>F - 700000 - PLOUGHING</t>
  </si>
  <si>
    <t>F - 701000 - TILLAGE</t>
  </si>
  <si>
    <t>S - 701100 - DEEP WORKING CULTIVATORS</t>
  </si>
  <si>
    <t>S - 701110 - SUB SOILER</t>
  </si>
  <si>
    <t>S - 701140 - TINES CULTIVATORS (CPR-D)</t>
  </si>
  <si>
    <t>S - 701200 - STUBBLE CULTIVATORS(DCH)</t>
  </si>
  <si>
    <t>S - 701300 - DISC HARROW (CCR)</t>
  </si>
  <si>
    <t>S - 701330 - SEED BED TAND.DISC(CCR-C)</t>
  </si>
  <si>
    <t>S - 701340 - DEEP TANDEM DISC (CCR-D)</t>
  </si>
  <si>
    <t>F - 701400 - VERTICAL TILLAGE (VTL)</t>
  </si>
  <si>
    <t>S - 701600 - SEED BED PREP.TOOLS(PLS)</t>
  </si>
  <si>
    <t>S - 701650 - RECIPRO HARROWS (PLS-E)</t>
  </si>
  <si>
    <t>S - 701660 - DISC/TINE CULT.(PLS-F)</t>
  </si>
  <si>
    <t>S - 701670 - DISC/TINE CULT.(PLS-F)</t>
  </si>
  <si>
    <t>F - 701700 - ROLLERS(ROL)</t>
  </si>
  <si>
    <t>F - 701800 - INTER ROW CULT. (BIN)</t>
  </si>
  <si>
    <t>F - 702000 - SEEDING</t>
  </si>
  <si>
    <t>S - 702100 - MECHANICAL SEED DRILL(SLM</t>
  </si>
  <si>
    <t>S - 702130 - TRAILED MIN TILL (SLM-C)</t>
  </si>
  <si>
    <t>S - 702140 - TRAILED NO TILL (SLM-D)</t>
  </si>
  <si>
    <t>S - 702200 - PNEUMATIC SEED DRILL (SLP</t>
  </si>
  <si>
    <t>S - 702250 - TRAIL.SEED NO TILL (SLP-E</t>
  </si>
  <si>
    <t>F - 702500 - MECHANICAL PLANTERS</t>
  </si>
  <si>
    <t>F - 702700 - TRANSPLANTERS</t>
  </si>
  <si>
    <t>F - 702900 - SEEDING COMBINATIONS</t>
  </si>
  <si>
    <t>F - 703000 - FERTILISING</t>
  </si>
  <si>
    <t>F - 703200 - PNEUMATIC SPREADER</t>
  </si>
  <si>
    <t>F - 703300 - SELF PROP FERTILIZING</t>
  </si>
  <si>
    <t>F - 703600 - FERTILIZER SPREADER CART</t>
  </si>
  <si>
    <t>F - 703700 - CARRYING FRAME SPREADERS</t>
  </si>
  <si>
    <t>F - 703800 - LIFTING EQUIPMENT (MAN)</t>
  </si>
  <si>
    <t>F - 704000 - SPRAYING</t>
  </si>
  <si>
    <t>F - 704300 - VINEYARD &amp; ORCHARD SPRAYE</t>
  </si>
  <si>
    <t>F - 704400 - SELF-PROP. FIELD SPRAYERS</t>
  </si>
  <si>
    <t>F - 704500 - PROFESIONAL SPAYERS</t>
  </si>
  <si>
    <t>F - 704600 - LANDSCAPE SPRAYERS</t>
  </si>
  <si>
    <t>F - 704900 - SPRAYING EQUIPMENTS</t>
  </si>
  <si>
    <t>F - 705000 - LANDSCAPE MAINTENANCE</t>
  </si>
  <si>
    <t>S - 705100 - HEDGE GRASS CUTTERS &amp; SHR</t>
  </si>
  <si>
    <t>F - 705200 - SALT &amp; SAND SPREADERS</t>
  </si>
  <si>
    <t>F - 705400 - BUILDINGS &amp; AMENITY SPRAY</t>
  </si>
  <si>
    <t>F - 705500 - GREEN AREA SPRAYER</t>
  </si>
  <si>
    <t>F - 706000 - SHREDDING</t>
  </si>
  <si>
    <t>F - 707000 - HAY &amp; FORAGE</t>
  </si>
  <si>
    <t>S - 707100 - MOWERS</t>
  </si>
  <si>
    <t>S - 707400 - RAKES</t>
  </si>
  <si>
    <t>S - 707450 - TRAILED WHEEL RAKES</t>
  </si>
  <si>
    <t>F - 708000 - BALERS</t>
  </si>
  <si>
    <t>F - 708400 - SMALL SQUARE BALER</t>
  </si>
  <si>
    <t>F - 715000 - BEDDING &amp; FEEDING</t>
  </si>
  <si>
    <t>F - 715500 - FEED DELIVERY BOXES</t>
  </si>
  <si>
    <t>F - 715600 - AUTO. FEEDING SYSTEM.</t>
  </si>
  <si>
    <t>F - 715800 - DISTRIBUTORS / FEEDERS</t>
  </si>
  <si>
    <t>Prev_IC_mapping</t>
  </si>
  <si>
    <t>MARKET SHARES - 4 PERIODS</t>
  </si>
  <si>
    <t>Country</t>
  </si>
  <si>
    <t>Market Share %</t>
  </si>
  <si>
    <t>KUHN Sales</t>
  </si>
  <si>
    <t>KUHN_Scope</t>
  </si>
  <si>
    <t>Unit.Price</t>
  </si>
  <si>
    <t>Market Shares - 4 periods</t>
  </si>
  <si>
    <t>Market Shares</t>
  </si>
  <si>
    <t>F - 718000 - MANURE SPREADING</t>
  </si>
  <si>
    <t>F - 718200 - REAR DISCHARGES SPREADERS</t>
  </si>
  <si>
    <t>F - 718300 - SIDE SPREADERS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</si>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</sst>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- &quot;@"/>
    <numFmt numFmtId="165" formatCode="&quot;+ &quot;@"/>
    <numFmt numFmtId="166" formatCode="0&quot; &quot;%"/>
    <numFmt numFmtId="167" formatCode="0.0&quot; &quot;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C00000"/>
      <name val="Adobe Heiti Std R"/>
      <family val="2"/>
      <charset val="128"/>
    </font>
    <font>
      <b/>
      <i/>
      <sz val="9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70">
    <xf numFmtId="0" fontId="0" fillId="0" borderId="0" xfId="0"/>
    <xf numFmtId="0" fontId="1" fillId="0" borderId="0" xfId="0" applyFont="1"/>
    <xf numFmtId="3" fontId="3" fillId="0" borderId="0" xfId="0" applyNumberFormat="1" applyFont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10" borderId="0" xfId="0" applyFill="1"/>
    <xf numFmtId="0" fontId="0" fillId="0" borderId="0" xfId="0" applyFill="1"/>
    <xf numFmtId="0" fontId="0" fillId="0" borderId="0" xfId="0" applyFill="1" applyBorder="1"/>
    <xf numFmtId="0" fontId="2" fillId="4" borderId="4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left" vertical="center" wrapText="1"/>
    </xf>
    <xf numFmtId="0" fontId="0" fillId="2" borderId="1" xfId="0" applyFill="1" applyBorder="1"/>
    <xf numFmtId="3" fontId="4" fillId="2" borderId="1" xfId="0" applyNumberFormat="1" applyFont="1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0" fontId="0" fillId="5" borderId="1" xfId="0" applyFill="1" applyBorder="1"/>
    <xf numFmtId="3" fontId="4" fillId="5" borderId="1" xfId="0" applyNumberFormat="1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0" fontId="0" fillId="7" borderId="1" xfId="0" applyFill="1" applyBorder="1"/>
    <xf numFmtId="3" fontId="4" fillId="7" borderId="1" xfId="0" applyNumberFormat="1" applyFont="1" applyFill="1" applyBorder="1"/>
    <xf numFmtId="3" fontId="4" fillId="2" borderId="2" xfId="0" applyNumberFormat="1" applyFont="1" applyFill="1" applyBorder="1"/>
    <xf numFmtId="3" fontId="4" fillId="3" borderId="2" xfId="0" applyNumberFormat="1" applyFont="1" applyFill="1" applyBorder="1"/>
    <xf numFmtId="3" fontId="4" fillId="5" borderId="2" xfId="0" applyNumberFormat="1" applyFont="1" applyFill="1" applyBorder="1"/>
    <xf numFmtId="3" fontId="4" fillId="6" borderId="2" xfId="0" applyNumberFormat="1" applyFont="1" applyFill="1" applyBorder="1"/>
    <xf numFmtId="3" fontId="4" fillId="7" borderId="2" xfId="0" applyNumberFormat="1" applyFont="1" applyFill="1" applyBorder="1"/>
    <xf numFmtId="3" fontId="4" fillId="2" borderId="3" xfId="0" applyNumberFormat="1" applyFont="1" applyFill="1" applyBorder="1"/>
    <xf numFmtId="3" fontId="4" fillId="3" borderId="3" xfId="0" applyNumberFormat="1" applyFont="1" applyFill="1" applyBorder="1"/>
    <xf numFmtId="3" fontId="4" fillId="5" borderId="3" xfId="0" applyNumberFormat="1" applyFont="1" applyFill="1" applyBorder="1"/>
    <xf numFmtId="3" fontId="4" fillId="6" borderId="3" xfId="0" applyNumberFormat="1" applyFont="1" applyFill="1" applyBorder="1"/>
    <xf numFmtId="3" fontId="4" fillId="7" borderId="3" xfId="0" applyNumberFormat="1" applyFont="1" applyFill="1" applyBorder="1"/>
    <xf numFmtId="166" fontId="5" fillId="2" borderId="10" xfId="0" applyNumberFormat="1" applyFont="1" applyFill="1" applyBorder="1"/>
    <xf numFmtId="166" fontId="5" fillId="3" borderId="10" xfId="0" applyNumberFormat="1" applyFont="1" applyFill="1" applyBorder="1"/>
    <xf numFmtId="166" fontId="5" fillId="5" borderId="10" xfId="0" applyNumberFormat="1" applyFont="1" applyFill="1" applyBorder="1"/>
    <xf numFmtId="166" fontId="5" fillId="6" borderId="10" xfId="0" applyNumberFormat="1" applyFont="1" applyFill="1" applyBorder="1"/>
    <xf numFmtId="166" fontId="5" fillId="7" borderId="10" xfId="0" applyNumberFormat="1" applyFont="1" applyFill="1" applyBorder="1"/>
    <xf numFmtId="164" fontId="0" fillId="2" borderId="1" xfId="0" applyNumberFormat="1" applyFill="1" applyBorder="1" applyAlignment="1"/>
    <xf numFmtId="0" fontId="0" fillId="0" borderId="0" xfId="0" applyAlignment="1">
      <alignment horizontal="center"/>
    </xf>
    <xf numFmtId="3" fontId="3" fillId="2" borderId="1" xfId="0" applyNumberFormat="1" applyFont="1" applyFill="1" applyBorder="1"/>
    <xf numFmtId="3" fontId="3" fillId="2" borderId="2" xfId="0" applyNumberFormat="1" applyFont="1" applyFill="1" applyBorder="1"/>
    <xf numFmtId="9" fontId="9" fillId="2" borderId="10" xfId="1" applyFont="1" applyFill="1" applyBorder="1" applyAlignment="1">
      <alignment horizontal="center"/>
    </xf>
    <xf numFmtId="3" fontId="3" fillId="2" borderId="3" xfId="0" applyNumberFormat="1" applyFont="1" applyFill="1" applyBorder="1"/>
    <xf numFmtId="3" fontId="3" fillId="3" borderId="1" xfId="0" applyNumberFormat="1" applyFont="1" applyFill="1" applyBorder="1"/>
    <xf numFmtId="3" fontId="3" fillId="3" borderId="2" xfId="0" applyNumberFormat="1" applyFont="1" applyFill="1" applyBorder="1"/>
    <xf numFmtId="9" fontId="9" fillId="3" borderId="10" xfId="1" applyFont="1" applyFill="1" applyBorder="1" applyAlignment="1">
      <alignment horizontal="center"/>
    </xf>
    <xf numFmtId="3" fontId="3" fillId="3" borderId="3" xfId="0" applyNumberFormat="1" applyFont="1" applyFill="1" applyBorder="1"/>
    <xf numFmtId="3" fontId="3" fillId="5" borderId="1" xfId="0" applyNumberFormat="1" applyFont="1" applyFill="1" applyBorder="1"/>
    <xf numFmtId="3" fontId="3" fillId="5" borderId="2" xfId="0" applyNumberFormat="1" applyFont="1" applyFill="1" applyBorder="1"/>
    <xf numFmtId="9" fontId="9" fillId="5" borderId="10" xfId="1" applyFont="1" applyFill="1" applyBorder="1" applyAlignment="1">
      <alignment horizontal="center"/>
    </xf>
    <xf numFmtId="3" fontId="3" fillId="5" borderId="3" xfId="0" applyNumberFormat="1" applyFont="1" applyFill="1" applyBorder="1"/>
    <xf numFmtId="0" fontId="0" fillId="0" borderId="1" xfId="0" applyFill="1" applyBorder="1"/>
    <xf numFmtId="3" fontId="3" fillId="0" borderId="1" xfId="0" applyNumberFormat="1" applyFont="1" applyFill="1" applyBorder="1"/>
    <xf numFmtId="3" fontId="3" fillId="0" borderId="2" xfId="0" applyNumberFormat="1" applyFont="1" applyFill="1" applyBorder="1"/>
    <xf numFmtId="9" fontId="9" fillId="0" borderId="10" xfId="1" applyFont="1" applyFill="1" applyBorder="1" applyAlignment="1">
      <alignment horizontal="center"/>
    </xf>
    <xf numFmtId="3" fontId="3" fillId="0" borderId="3" xfId="0" applyNumberFormat="1" applyFont="1" applyFill="1" applyBorder="1"/>
    <xf numFmtId="3" fontId="3" fillId="7" borderId="1" xfId="0" applyNumberFormat="1" applyFont="1" applyFill="1" applyBorder="1"/>
    <xf numFmtId="3" fontId="3" fillId="7" borderId="2" xfId="0" applyNumberFormat="1" applyFont="1" applyFill="1" applyBorder="1"/>
    <xf numFmtId="9" fontId="9" fillId="7" borderId="10" xfId="1" applyFont="1" applyFill="1" applyBorder="1" applyAlignment="1">
      <alignment horizontal="center"/>
    </xf>
    <xf numFmtId="3" fontId="3" fillId="7" borderId="3" xfId="0" applyNumberFormat="1" applyFont="1" applyFill="1" applyBorder="1"/>
    <xf numFmtId="3" fontId="3" fillId="0" borderId="0" xfId="0" applyNumberFormat="1" applyFont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1" borderId="0" xfId="0" applyFill="1"/>
    <xf numFmtId="0" fontId="10" fillId="11" borderId="0" xfId="0" applyFont="1" applyFill="1"/>
    <xf numFmtId="0" fontId="0" fillId="11" borderId="0" xfId="0" applyFill="1" applyAlignment="1">
      <alignment horizontal="center"/>
    </xf>
    <xf numFmtId="0" fontId="1" fillId="11" borderId="0" xfId="0" applyFont="1" applyFill="1"/>
    <xf numFmtId="0" fontId="6" fillId="11" borderId="0" xfId="0" applyFont="1" applyFill="1"/>
    <xf numFmtId="0" fontId="0" fillId="0" borderId="0" xfId="0" applyAlignment="1">
      <alignment vertical="center"/>
    </xf>
    <xf numFmtId="0" fontId="0" fillId="11" borderId="0" xfId="0" applyFill="1" applyAlignment="1">
      <alignment vertic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9" fontId="3" fillId="2" borderId="0" xfId="1" applyFont="1" applyFill="1" applyAlignment="1">
      <alignment horizontal="center"/>
    </xf>
    <xf numFmtId="0" fontId="0" fillId="2" borderId="2" xfId="0" applyFill="1" applyBorder="1"/>
    <xf numFmtId="3" fontId="4" fillId="2" borderId="11" xfId="0" applyNumberFormat="1" applyFont="1" applyFill="1" applyBorder="1"/>
    <xf numFmtId="3" fontId="4" fillId="2" borderId="12" xfId="0" applyNumberFormat="1" applyFont="1" applyFill="1" applyBorder="1"/>
    <xf numFmtId="3" fontId="4" fillId="2" borderId="13" xfId="0" applyNumberFormat="1" applyFont="1" applyFill="1" applyBorder="1"/>
    <xf numFmtId="3" fontId="4" fillId="2" borderId="17" xfId="0" applyNumberFormat="1" applyFont="1" applyFill="1" applyBorder="1"/>
    <xf numFmtId="167" fontId="5" fillId="2" borderId="10" xfId="0" applyNumberFormat="1" applyFont="1" applyFill="1" applyBorder="1"/>
    <xf numFmtId="167" fontId="5" fillId="2" borderId="7" xfId="0" applyNumberFormat="1" applyFont="1" applyFill="1" applyBorder="1"/>
    <xf numFmtId="0" fontId="0" fillId="3" borderId="2" xfId="0" applyFill="1" applyBorder="1"/>
    <xf numFmtId="3" fontId="4" fillId="3" borderId="18" xfId="0" applyNumberFormat="1" applyFont="1" applyFill="1" applyBorder="1"/>
    <xf numFmtId="3" fontId="4" fillId="3" borderId="19" xfId="0" applyNumberFormat="1" applyFont="1" applyFill="1" applyBorder="1"/>
    <xf numFmtId="167" fontId="5" fillId="3" borderId="10" xfId="0" applyNumberFormat="1" applyFont="1" applyFill="1" applyBorder="1"/>
    <xf numFmtId="167" fontId="5" fillId="3" borderId="7" xfId="0" applyNumberFormat="1" applyFont="1" applyFill="1" applyBorder="1"/>
    <xf numFmtId="0" fontId="0" fillId="5" borderId="2" xfId="0" applyFill="1" applyBorder="1"/>
    <xf numFmtId="3" fontId="4" fillId="5" borderId="18" xfId="0" applyNumberFormat="1" applyFont="1" applyFill="1" applyBorder="1"/>
    <xf numFmtId="3" fontId="4" fillId="5" borderId="19" xfId="0" applyNumberFormat="1" applyFont="1" applyFill="1" applyBorder="1"/>
    <xf numFmtId="167" fontId="5" fillId="5" borderId="10" xfId="0" applyNumberFormat="1" applyFont="1" applyFill="1" applyBorder="1"/>
    <xf numFmtId="167" fontId="5" fillId="5" borderId="7" xfId="0" applyNumberFormat="1" applyFont="1" applyFill="1" applyBorder="1"/>
    <xf numFmtId="0" fontId="0" fillId="6" borderId="2" xfId="0" applyFill="1" applyBorder="1"/>
    <xf numFmtId="3" fontId="4" fillId="6" borderId="18" xfId="0" applyNumberFormat="1" applyFont="1" applyFill="1" applyBorder="1"/>
    <xf numFmtId="3" fontId="4" fillId="6" borderId="19" xfId="0" applyNumberFormat="1" applyFont="1" applyFill="1" applyBorder="1"/>
    <xf numFmtId="167" fontId="5" fillId="6" borderId="10" xfId="0" applyNumberFormat="1" applyFont="1" applyFill="1" applyBorder="1"/>
    <xf numFmtId="167" fontId="5" fillId="6" borderId="7" xfId="0" applyNumberFormat="1" applyFont="1" applyFill="1" applyBorder="1"/>
    <xf numFmtId="0" fontId="0" fillId="7" borderId="2" xfId="0" applyFill="1" applyBorder="1"/>
    <xf numFmtId="3" fontId="4" fillId="7" borderId="14" xfId="0" applyNumberFormat="1" applyFont="1" applyFill="1" applyBorder="1"/>
    <xf numFmtId="3" fontId="4" fillId="7" borderId="15" xfId="0" applyNumberFormat="1" applyFont="1" applyFill="1" applyBorder="1"/>
    <xf numFmtId="3" fontId="4" fillId="7" borderId="16" xfId="0" applyNumberFormat="1" applyFont="1" applyFill="1" applyBorder="1"/>
    <xf numFmtId="3" fontId="4" fillId="7" borderId="20" xfId="0" applyNumberFormat="1" applyFont="1" applyFill="1" applyBorder="1"/>
    <xf numFmtId="167" fontId="5" fillId="7" borderId="10" xfId="0" applyNumberFormat="1" applyFont="1" applyFill="1" applyBorder="1"/>
    <xf numFmtId="167" fontId="5" fillId="7" borderId="7" xfId="0" applyNumberFormat="1" applyFont="1" applyFill="1" applyBorder="1"/>
    <xf numFmtId="4" fontId="3" fillId="0" borderId="0" xfId="0" applyNumberFormat="1" applyFont="1"/>
    <xf numFmtId="0" fontId="8" fillId="11" borderId="0" xfId="0" applyFont="1" applyFill="1" applyAlignment="1">
      <alignment vertical="center"/>
    </xf>
    <xf numFmtId="0" fontId="2" fillId="12" borderId="33" xfId="0" applyFont="1" applyFill="1" applyBorder="1" applyAlignment="1">
      <alignment horizontal="center"/>
    </xf>
    <xf numFmtId="0" fontId="2" fillId="12" borderId="34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2" fillId="12" borderId="36" xfId="0" applyFont="1" applyFill="1" applyBorder="1" applyAlignment="1">
      <alignment horizontal="center"/>
    </xf>
    <xf numFmtId="0" fontId="2" fillId="12" borderId="37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12" borderId="4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167" fontId="5" fillId="2" borderId="4" xfId="0" applyNumberFormat="1" applyFont="1" applyFill="1" applyBorder="1"/>
    <xf numFmtId="165" fontId="0" fillId="3" borderId="2" xfId="0" applyNumberFormat="1" applyFill="1" applyBorder="1" applyAlignment="1">
      <alignment horizontal="left" indent="1"/>
    </xf>
    <xf numFmtId="9" fontId="3" fillId="2" borderId="41" xfId="1" applyFont="1" applyFill="1" applyBorder="1"/>
    <xf numFmtId="9" fontId="3" fillId="2" borderId="42" xfId="1" applyFont="1" applyFill="1" applyBorder="1"/>
    <xf numFmtId="9" fontId="3" fillId="3" borderId="41" xfId="1" applyFont="1" applyFill="1" applyBorder="1"/>
    <xf numFmtId="9" fontId="3" fillId="3" borderId="42" xfId="1" applyFont="1" applyFill="1" applyBorder="1"/>
    <xf numFmtId="9" fontId="3" fillId="5" borderId="41" xfId="1" applyFont="1" applyFill="1" applyBorder="1"/>
    <xf numFmtId="9" fontId="3" fillId="5" borderId="42" xfId="1" applyFont="1" applyFill="1" applyBorder="1"/>
    <xf numFmtId="3" fontId="3" fillId="6" borderId="1" xfId="0" applyNumberFormat="1" applyFont="1" applyFill="1" applyBorder="1"/>
    <xf numFmtId="3" fontId="3" fillId="6" borderId="2" xfId="0" applyNumberFormat="1" applyFont="1" applyFill="1" applyBorder="1"/>
    <xf numFmtId="9" fontId="3" fillId="6" borderId="41" xfId="1" applyFont="1" applyFill="1" applyBorder="1"/>
    <xf numFmtId="9" fontId="3" fillId="6" borderId="42" xfId="1" applyFont="1" applyFill="1" applyBorder="1"/>
    <xf numFmtId="3" fontId="3" fillId="6" borderId="3" xfId="0" applyNumberFormat="1" applyFont="1" applyFill="1" applyBorder="1"/>
    <xf numFmtId="9" fontId="3" fillId="7" borderId="41" xfId="1" applyFont="1" applyFill="1" applyBorder="1"/>
    <xf numFmtId="9" fontId="3" fillId="7" borderId="42" xfId="1" applyFont="1" applyFill="1" applyBorder="1"/>
    <xf numFmtId="0" fontId="10" fillId="8" borderId="0" xfId="0" applyFont="1" applyFill="1"/>
    <xf numFmtId="0" fontId="0" fillId="8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4" borderId="16" xfId="0" applyFont="1" applyFill="1" applyBorder="1" applyAlignment="1">
      <alignment horizontal="center"/>
    </xf>
    <xf numFmtId="9" fontId="3" fillId="2" borderId="0" xfId="1" applyFont="1" applyFill="1"/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 vertical="center" wrapText="1"/>
    </xf>
    <xf numFmtId="0" fontId="2" fillId="12" borderId="31" xfId="0" applyFont="1" applyFill="1" applyBorder="1" applyAlignment="1">
      <alignment horizontal="center" vertical="center" wrapText="1"/>
    </xf>
    <xf numFmtId="0" fontId="2" fillId="12" borderId="32" xfId="0" applyFont="1" applyFill="1" applyBorder="1" applyAlignment="1">
      <alignment horizontal="center" vertical="center" wrapText="1"/>
    </xf>
    <xf numFmtId="0" fontId="2" fillId="12" borderId="28" xfId="0" applyFont="1" applyFill="1" applyBorder="1" applyAlignment="1">
      <alignment horizontal="center" wrapText="1"/>
    </xf>
    <xf numFmtId="0" fontId="2" fillId="12" borderId="29" xfId="0" applyFont="1" applyFill="1" applyBorder="1" applyAlignment="1">
      <alignment horizontal="center" wrapText="1"/>
    </xf>
    <xf numFmtId="0" fontId="2" fillId="12" borderId="30" xfId="0" applyFont="1" applyFill="1" applyBorder="1" applyAlignment="1">
      <alignment horizontal="center" wrapText="1"/>
    </xf>
    <xf numFmtId="0" fontId="2" fillId="12" borderId="6" xfId="0" applyFont="1" applyFill="1" applyBorder="1" applyAlignment="1">
      <alignment horizontal="center" wrapText="1"/>
    </xf>
    <xf numFmtId="0" fontId="2" fillId="12" borderId="21" xfId="0" applyFont="1" applyFill="1" applyBorder="1" applyAlignment="1">
      <alignment horizontal="center" wrapText="1"/>
    </xf>
    <xf numFmtId="0" fontId="2" fillId="12" borderId="22" xfId="0" applyFont="1" applyFill="1" applyBorder="1" applyAlignment="1">
      <alignment horizontal="center" wrapText="1"/>
    </xf>
    <xf numFmtId="0" fontId="2" fillId="12" borderId="23" xfId="0" applyFont="1" applyFill="1" applyBorder="1" applyAlignment="1">
      <alignment horizontal="center" wrapText="1"/>
    </xf>
    <xf numFmtId="0" fontId="2" fillId="12" borderId="24" xfId="0" applyFont="1" applyFill="1" applyBorder="1" applyAlignment="1">
      <alignment horizontal="center" wrapText="1"/>
    </xf>
    <xf numFmtId="0" fontId="2" fillId="12" borderId="7" xfId="0" applyFont="1" applyFill="1" applyBorder="1" applyAlignment="1">
      <alignment horizontal="center" wrapText="1"/>
    </xf>
    <xf numFmtId="0" fontId="2" fillId="12" borderId="27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175"/>
  <ax:ocxPr ax:name="_ExtentY" ax:value="1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175261</xdr:rowOff>
    </xdr:from>
    <xdr:to>
      <xdr:col>11</xdr:col>
      <xdr:colOff>110491</xdr:colOff>
      <xdr:row>14</xdr:row>
      <xdr:rowOff>180747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38301"/>
          <a:ext cx="14016991" cy="10951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</xdr:row>
          <xdr:rowOff>142875</xdr:rowOff>
        </xdr:from>
        <xdr:to>
          <xdr:col>6</xdr:col>
          <xdr:colOff>381000</xdr:colOff>
          <xdr:row>18</xdr:row>
          <xdr:rowOff>485775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1132184</xdr:colOff>
      <xdr:row>12</xdr:row>
      <xdr:rowOff>161365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49310" cy="7100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628650</xdr:colOff>
          <xdr:row>16</xdr:row>
          <xdr:rowOff>66675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176875</xdr:rowOff>
    </xdr:from>
    <xdr:to>
      <xdr:col>13</xdr:col>
      <xdr:colOff>58420</xdr:colOff>
      <xdr:row>16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200120" cy="12801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6</xdr:col>
          <xdr:colOff>371475</xdr:colOff>
          <xdr:row>23</xdr:row>
          <xdr:rowOff>38100</xdr:rowOff>
        </xdr:to>
        <xdr:sp macro="" textlink="">
          <xdr:nvSpPr>
            <xdr:cNvPr id="8193" name="TIButton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15</xdr:col>
      <xdr:colOff>220981</xdr:colOff>
      <xdr:row>19</xdr:row>
      <xdr:rowOff>181847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69041" cy="91336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0</xdr:rowOff>
        </xdr:from>
        <xdr:to>
          <xdr:col>14</xdr:col>
          <xdr:colOff>228600</xdr:colOff>
          <xdr:row>26</xdr:row>
          <xdr:rowOff>9525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T83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31" sqref="B31"/>
      <selection pane="bottomRight" activeCell="C20" sqref="C20"/>
    </sheetView>
  </sheetViews>
  <sheetFormatPr defaultColWidth="0" defaultRowHeight="15" zeroHeight="1"/>
  <cols>
    <col min="1" max="1" width="18.7109375" hidden="1" customWidth="1"/>
    <col min="2" max="2" width="69.42578125" customWidth="1"/>
    <col min="3" max="3" width="10.7109375" customWidth="1"/>
    <col min="4" max="4" width="20.7109375" customWidth="1"/>
    <col min="5" max="5" width="13.7109375" customWidth="1"/>
    <col min="6" max="6" width="10.7109375" customWidth="1"/>
    <col min="7" max="7" width="20.7109375" customWidth="1"/>
    <col min="8" max="9" width="12.7109375" customWidth="1"/>
    <col min="10" max="10" width="10.7109375" customWidth="1"/>
    <col min="11" max="11" width="20.7109375" customWidth="1"/>
    <col min="12" max="13" width="12.7109375" customWidth="1"/>
    <col min="14" max="14" width="10.7109375" customWidth="1"/>
    <col min="15" max="15" width="20.7109375" customWidth="1"/>
    <col min="16" max="17" width="12.7109375" customWidth="1"/>
    <col min="18" max="18" width="11.5703125" customWidth="1"/>
    <col min="19" max="20" width="11.5703125" style="12" hidden="1" customWidth="1"/>
    <col min="21" max="16384" width="11.5703125" hidden="1"/>
  </cols>
  <sheetData>
    <row r="1" spans="1:20" hidden="1">
      <c r="A1" t="s">
        <v>37</v>
      </c>
      <c r="R1" s="7"/>
    </row>
    <row r="2" spans="1:20" hidden="1">
      <c r="A2">
        <f>0</f>
        <v>0</v>
      </c>
      <c r="B2" s="16"/>
      <c r="C2" s="17"/>
      <c r="D2" s="26"/>
      <c r="E2" s="36"/>
      <c r="F2" s="31"/>
      <c r="G2" s="17"/>
      <c r="H2" s="36"/>
      <c r="I2" s="36"/>
      <c r="J2" s="17"/>
      <c r="K2" s="17"/>
      <c r="L2" s="36"/>
      <c r="M2" s="36"/>
      <c r="N2" s="17"/>
      <c r="O2" s="17"/>
      <c r="P2" s="36"/>
      <c r="Q2" s="36"/>
      <c r="R2" s="7"/>
    </row>
    <row r="3" spans="1:20" hidden="1">
      <c r="A3">
        <f>1</f>
        <v>1</v>
      </c>
      <c r="B3" s="18"/>
      <c r="C3" s="19"/>
      <c r="D3" s="27"/>
      <c r="E3" s="37"/>
      <c r="F3" s="32"/>
      <c r="G3" s="19"/>
      <c r="H3" s="37"/>
      <c r="I3" s="37"/>
      <c r="J3" s="19"/>
      <c r="K3" s="19"/>
      <c r="L3" s="37"/>
      <c r="M3" s="37"/>
      <c r="N3" s="19"/>
      <c r="O3" s="19"/>
      <c r="P3" s="37"/>
      <c r="Q3" s="37"/>
      <c r="R3" s="7"/>
    </row>
    <row r="4" spans="1:20" hidden="1">
      <c r="A4">
        <f>2</f>
        <v>2</v>
      </c>
      <c r="B4" s="20"/>
      <c r="C4" s="21"/>
      <c r="D4" s="28"/>
      <c r="E4" s="38"/>
      <c r="F4" s="33"/>
      <c r="G4" s="21"/>
      <c r="H4" s="38"/>
      <c r="I4" s="38"/>
      <c r="J4" s="21"/>
      <c r="K4" s="21"/>
      <c r="L4" s="38"/>
      <c r="M4" s="38"/>
      <c r="N4" s="21"/>
      <c r="O4" s="21"/>
      <c r="P4" s="38"/>
      <c r="Q4" s="38"/>
      <c r="R4" s="7"/>
    </row>
    <row r="5" spans="1:20" hidden="1">
      <c r="A5">
        <f>3</f>
        <v>3</v>
      </c>
      <c r="B5" s="22"/>
      <c r="C5" s="23"/>
      <c r="D5" s="29"/>
      <c r="E5" s="39"/>
      <c r="F5" s="34"/>
      <c r="G5" s="23"/>
      <c r="H5" s="39"/>
      <c r="I5" s="39"/>
      <c r="J5" s="23"/>
      <c r="K5" s="23"/>
      <c r="L5" s="39"/>
      <c r="M5" s="39"/>
      <c r="N5" s="23"/>
      <c r="O5" s="23"/>
      <c r="P5" s="39"/>
      <c r="Q5" s="39"/>
      <c r="R5" s="7"/>
    </row>
    <row r="6" spans="1:20" hidden="1">
      <c r="A6" t="s">
        <v>35</v>
      </c>
      <c r="B6" s="24"/>
      <c r="C6" s="25"/>
      <c r="D6" s="30"/>
      <c r="E6" s="40"/>
      <c r="F6" s="35"/>
      <c r="G6" s="25"/>
      <c r="H6" s="40"/>
      <c r="I6" s="40"/>
      <c r="J6" s="25"/>
      <c r="K6" s="25"/>
      <c r="L6" s="40"/>
      <c r="M6" s="40"/>
      <c r="N6" s="25"/>
      <c r="O6" s="25"/>
      <c r="P6" s="40"/>
      <c r="Q6" s="40"/>
      <c r="R6" s="7"/>
    </row>
    <row r="7" spans="1:20" hidden="1">
      <c r="A7" t="s">
        <v>36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7"/>
    </row>
    <row r="8" spans="1:20" hidden="1">
      <c r="A8" t="s">
        <v>38</v>
      </c>
      <c r="R8" s="7"/>
    </row>
    <row r="9" spans="1:20" hidden="1">
      <c r="B9" t="str">
        <f ca="1">_xll.TM1RPTVIEW("CXMD:FTM_DATA_MARGIN:ARPT1", 1, _xll.TM1RPTTITLE("CXMD:Month",$C$20), _xll.TM1RPTTITLE("CXMD:DIM_Origin_Company",$C$21), _xll.TM1RPTTITLE("CXMD:DIM_Allocation",$C$22), _xll.TM1RPTTITLE("CXMD:DIM_Customer_Supplier",$C$18),TM1RPTFMTRNG,TM1RPTFMTIDCOL)</f>
        <v>CXMD:FTM_DATA_MARGIN:ARPT1</v>
      </c>
      <c r="R9" s="7"/>
    </row>
    <row r="10" spans="1:2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3"/>
      <c r="T10" s="13"/>
    </row>
    <row r="11" spans="1:20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3"/>
      <c r="T11" s="13"/>
    </row>
    <row r="12" spans="1:20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3"/>
      <c r="T12" s="13"/>
    </row>
    <row r="13" spans="1:2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3"/>
      <c r="T13" s="13"/>
    </row>
    <row r="14" spans="1:20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3"/>
      <c r="T14" s="13"/>
    </row>
    <row r="15" spans="1:20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3"/>
      <c r="T15" s="13"/>
    </row>
    <row r="16" spans="1:20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3"/>
      <c r="T16" s="13"/>
    </row>
    <row r="17" spans="1:18" hidden="1">
      <c r="R17" s="7"/>
    </row>
    <row r="18" spans="1:18" hidden="1">
      <c r="B18" s="1" t="s">
        <v>0</v>
      </c>
      <c r="C18" t="str">
        <f ca="1">_xll.SUBNM("CXMD:DIM_Customer_Supplier","","Others")</f>
        <v>Others</v>
      </c>
      <c r="R18" s="7"/>
    </row>
    <row r="19" spans="1:18" ht="39.75" customHeight="1">
      <c r="A19" s="7"/>
      <c r="B19" s="15" t="s">
        <v>107</v>
      </c>
      <c r="C19" s="7"/>
      <c r="D19" s="7"/>
      <c r="E19" s="7"/>
      <c r="F19" s="11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B20" s="9" t="s">
        <v>2</v>
      </c>
      <c r="C20" s="10" t="str">
        <f ca="1">_xll.SUBNM("CXMD:Month","","Total_Month")</f>
        <v>Total_Month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>
      <c r="B21" s="9" t="s">
        <v>3</v>
      </c>
      <c r="C21" s="10" t="str">
        <f ca="1">_xll.SUBNM("CXMD:DIM_Origin_Company","","KUHN GERMANY","Name EN")</f>
        <v>KUHN GERMANY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idden="1">
      <c r="B22" s="9" t="s">
        <v>4</v>
      </c>
      <c r="C22" s="7" t="str">
        <f ca="1">CONCATENATE(_xll.DBRA("CXMD:DIM_Origin_Company",C21,"Origin Company"),"_SALES")</f>
        <v>D_SALES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8.1" customHeight="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idden="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28.9" customHeight="1">
      <c r="B25" s="7"/>
      <c r="C25" s="139" t="str">
        <f ca="1">_xll.SUBNM("CXMD:Actuality","Actuality","AC2016","Description EN")</f>
        <v>AC2016</v>
      </c>
      <c r="D25" s="140"/>
      <c r="E25" s="137" t="s">
        <v>41</v>
      </c>
      <c r="F25" s="139" t="str">
        <f ca="1">_xll.SUBNM("CXMD:Actuality","Actuality","BU2017Draft","Description EN")</f>
        <v>BU2017draft</v>
      </c>
      <c r="G25" s="141"/>
      <c r="H25" s="14" t="s">
        <v>39</v>
      </c>
      <c r="I25" s="137" t="s">
        <v>41</v>
      </c>
      <c r="J25" s="142" t="str">
        <f ca="1">_xll.SUBNM("CXMD:Actuality","Actuality","FC3_2017","Description EN")</f>
        <v>FC3_2017</v>
      </c>
      <c r="K25" s="141"/>
      <c r="L25" s="14" t="s">
        <v>39</v>
      </c>
      <c r="M25" s="137" t="s">
        <v>41</v>
      </c>
      <c r="N25" s="142" t="str">
        <f ca="1">_xll.SUBNM("CXMD:Actuality","","BU2018Draft","Description EN")</f>
        <v>BU2018draft</v>
      </c>
      <c r="O25" s="141"/>
      <c r="P25" s="14" t="s">
        <v>39</v>
      </c>
      <c r="Q25" s="137" t="s">
        <v>41</v>
      </c>
      <c r="R25" s="7"/>
    </row>
    <row r="26" spans="1:18">
      <c r="B26" s="7"/>
      <c r="C26" s="3" t="s">
        <v>5</v>
      </c>
      <c r="D26" s="3" t="s">
        <v>6</v>
      </c>
      <c r="E26" s="138"/>
      <c r="F26" s="3" t="s">
        <v>5</v>
      </c>
      <c r="G26" s="4" t="s">
        <v>6</v>
      </c>
      <c r="H26" s="6" t="s">
        <v>40</v>
      </c>
      <c r="I26" s="138"/>
      <c r="J26" s="5" t="s">
        <v>5</v>
      </c>
      <c r="K26" s="4" t="s">
        <v>6</v>
      </c>
      <c r="L26" s="6" t="s">
        <v>40</v>
      </c>
      <c r="M26" s="138"/>
      <c r="N26" s="5" t="s">
        <v>5</v>
      </c>
      <c r="O26" s="4" t="s">
        <v>6</v>
      </c>
      <c r="P26" s="6" t="s">
        <v>40</v>
      </c>
      <c r="Q26" s="138"/>
      <c r="R26" s="7"/>
    </row>
    <row r="27" spans="1:18">
      <c r="A27" t="str">
        <f ca="1">IF(_xll.TM1RPTELISCONSOLIDATED($B$27,$B27),IF(_xll.TM1RPTELLEV($B$27,$B27)&lt;=3,_xll.TM1RPTELLEV($B$27,$B27),"D"),"N")</f>
        <v>N</v>
      </c>
      <c r="B27" s="41" t="str">
        <f ca="1">_xll.TM1RPTROW($B$9,"CXMD:DIM_Configuration","Product_Line","","Description EN",0)</f>
        <v/>
      </c>
      <c r="C27" s="17" t="str">
        <f ca="1">_xll.DBRW($B$9,$C$20,C$25,$C$21,$C$22,$C$18,$B27,C$26)</f>
        <v/>
      </c>
      <c r="D27" s="26" t="str">
        <f ca="1">_xll.DBRW($B$9,$C$20,C$25,$C$21,$C$22,$C$18,$B27,D$26)</f>
        <v/>
      </c>
      <c r="E27" s="36" t="e">
        <f ca="1">D27/$D$27</f>
        <v>#VALUE!</v>
      </c>
      <c r="F27" s="31" t="str">
        <f ca="1">_xll.DBRW($B$9,$C$20,F$25,$C$21,$C$22,$C$18,$B27,F$26)</f>
        <v/>
      </c>
      <c r="G27" s="17" t="str">
        <f ca="1">_xll.DBRW($B$9,$C$20,F$25,$C$21,$C$22,$C$18,$B27,G$26)</f>
        <v/>
      </c>
      <c r="H27" s="36" t="e">
        <f ca="1">IF(D27&lt;&gt;0,(G27-D27)/D27,0)</f>
        <v>#VALUE!</v>
      </c>
      <c r="I27" s="36" t="e">
        <f ca="1">G27/$G$27</f>
        <v>#VALUE!</v>
      </c>
      <c r="J27" s="17" t="str">
        <f ca="1">_xll.DBRW($B$9,$C$20,J$25,$C$21,$C$22,$C$18,$B27,J$26)</f>
        <v/>
      </c>
      <c r="K27" s="17" t="str">
        <f ca="1">_xll.DBRW($B$9,$C$20,J$25,$C$21,$C$22,$C$18,$B27,K$26)</f>
        <v/>
      </c>
      <c r="L27" s="36" t="e">
        <f ca="1">IF(G27&lt;&gt;0,(K27-G27)/G27,0)</f>
        <v>#VALUE!</v>
      </c>
      <c r="M27" s="36" t="e">
        <f ca="1">K27/$K$27</f>
        <v>#VALUE!</v>
      </c>
      <c r="N27" s="17" t="str">
        <f ca="1">_xll.DBRW($B$9,$C$20,N$25,$C$21,$C$22,$C$18,$B27,N$26)</f>
        <v/>
      </c>
      <c r="O27" s="17" t="str">
        <f ca="1">_xll.DBRW($B$9,$C$20,N$25,$C$21,$C$22,$C$18,$B27,O$26)</f>
        <v/>
      </c>
      <c r="P27" s="36" t="e">
        <f ca="1">IF(K27&lt;&gt;0,(O27-K27)/K27,0)</f>
        <v>#VALUE!</v>
      </c>
      <c r="Q27" s="36" t="e">
        <f ca="1">O27/$O$27</f>
        <v>#VALUE!</v>
      </c>
      <c r="R27" s="7"/>
    </row>
    <row r="28" spans="1:18" hidden="1"/>
    <row r="29" spans="1:18" hidden="1"/>
    <row r="30" spans="1:18" hidden="1"/>
    <row r="31" spans="1:18" hidden="1"/>
    <row r="32" spans="1:18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</sheetData>
  <mergeCells count="8">
    <mergeCell ref="Q25:Q26"/>
    <mergeCell ref="C25:D25"/>
    <mergeCell ref="F25:G25"/>
    <mergeCell ref="J25:K25"/>
    <mergeCell ref="N25:O25"/>
    <mergeCell ref="E25:E26"/>
    <mergeCell ref="I25:I26"/>
    <mergeCell ref="M25:M2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247650</xdr:colOff>
                <xdr:row>18</xdr:row>
                <xdr:rowOff>142875</xdr:rowOff>
              </from>
              <to>
                <xdr:col>6</xdr:col>
                <xdr:colOff>381000</xdr:colOff>
                <xdr:row>18</xdr:row>
                <xdr:rowOff>485775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R330"/>
  <sheetViews>
    <sheetView showGridLines="0" topLeftCell="B10" zoomScale="115" zoomScaleNormal="115" workbookViewId="0">
      <selection activeCell="C16" sqref="C16"/>
    </sheetView>
  </sheetViews>
  <sheetFormatPr defaultColWidth="0" defaultRowHeight="15" zeroHeight="1"/>
  <cols>
    <col min="1" max="1" width="18.7109375" hidden="1" customWidth="1"/>
    <col min="2" max="2" width="56.28515625" customWidth="1"/>
    <col min="3" max="3" width="10.85546875" customWidth="1"/>
    <col min="4" max="4" width="20.7109375" customWidth="1"/>
    <col min="5" max="5" width="15.28515625" style="42" customWidth="1"/>
    <col min="6" max="6" width="10.85546875" customWidth="1"/>
    <col min="7" max="7" width="20.7109375" customWidth="1"/>
    <col min="8" max="8" width="8.7109375" style="42" customWidth="1"/>
    <col min="9" max="9" width="14.85546875" style="42" customWidth="1"/>
    <col min="10" max="10" width="10.85546875" customWidth="1"/>
    <col min="11" max="11" width="20.7109375" customWidth="1"/>
    <col min="12" max="12" width="8.7109375" style="42" customWidth="1"/>
    <col min="13" max="13" width="15.140625" style="42" customWidth="1"/>
    <col min="14" max="14" width="10.85546875" customWidth="1"/>
    <col min="15" max="15" width="20.7109375" customWidth="1"/>
    <col min="16" max="16" width="8.7109375" style="42" customWidth="1"/>
    <col min="17" max="17" width="15" style="42" customWidth="1"/>
    <col min="18" max="18" width="1" customWidth="1"/>
    <col min="19" max="16384" width="11.5703125" hidden="1"/>
  </cols>
  <sheetData>
    <row r="1" spans="1:17" hidden="1">
      <c r="A1" t="s">
        <v>37</v>
      </c>
    </row>
    <row r="2" spans="1:17" hidden="1">
      <c r="A2">
        <f>0</f>
        <v>0</v>
      </c>
      <c r="B2" s="16"/>
      <c r="C2" s="43"/>
      <c r="D2" s="44"/>
      <c r="E2" s="45"/>
      <c r="F2" s="46"/>
      <c r="G2" s="46"/>
      <c r="H2" s="45"/>
      <c r="I2" s="45"/>
      <c r="J2" s="43"/>
      <c r="K2" s="43"/>
      <c r="L2" s="45"/>
      <c r="M2" s="45"/>
      <c r="N2" s="43"/>
      <c r="O2" s="43"/>
      <c r="P2" s="45"/>
      <c r="Q2" s="45"/>
    </row>
    <row r="3" spans="1:17" hidden="1">
      <c r="A3">
        <f>1</f>
        <v>1</v>
      </c>
      <c r="B3" s="18"/>
      <c r="C3" s="47"/>
      <c r="D3" s="48"/>
      <c r="E3" s="49"/>
      <c r="F3" s="50"/>
      <c r="G3" s="50"/>
      <c r="H3" s="49"/>
      <c r="I3" s="49"/>
      <c r="J3" s="47"/>
      <c r="K3" s="47"/>
      <c r="L3" s="49"/>
      <c r="M3" s="49"/>
      <c r="N3" s="47"/>
      <c r="O3" s="47"/>
      <c r="P3" s="49"/>
      <c r="Q3" s="49"/>
    </row>
    <row r="4" spans="1:17" hidden="1">
      <c r="A4">
        <f>2</f>
        <v>2</v>
      </c>
      <c r="B4" s="20"/>
      <c r="C4" s="51"/>
      <c r="D4" s="52"/>
      <c r="E4" s="53"/>
      <c r="F4" s="54"/>
      <c r="G4" s="54"/>
      <c r="H4" s="53"/>
      <c r="I4" s="53"/>
      <c r="J4" s="51"/>
      <c r="K4" s="51"/>
      <c r="L4" s="53"/>
      <c r="M4" s="53"/>
      <c r="N4" s="51"/>
      <c r="O4" s="51"/>
      <c r="P4" s="53"/>
      <c r="Q4" s="53"/>
    </row>
    <row r="5" spans="1:17" hidden="1">
      <c r="A5">
        <f>3</f>
        <v>3</v>
      </c>
      <c r="B5" s="55"/>
      <c r="C5" s="56"/>
      <c r="D5" s="57"/>
      <c r="E5" s="58"/>
      <c r="F5" s="59"/>
      <c r="G5" s="59"/>
      <c r="H5" s="58"/>
      <c r="I5" s="58"/>
      <c r="J5" s="56"/>
      <c r="K5" s="56"/>
      <c r="L5" s="58"/>
      <c r="M5" s="58"/>
      <c r="N5" s="56"/>
      <c r="O5" s="56"/>
      <c r="P5" s="58"/>
      <c r="Q5" s="58"/>
    </row>
    <row r="6" spans="1:17" hidden="1">
      <c r="A6" t="s">
        <v>35</v>
      </c>
      <c r="B6" s="24"/>
      <c r="C6" s="60"/>
      <c r="D6" s="61"/>
      <c r="E6" s="62"/>
      <c r="F6" s="63"/>
      <c r="G6" s="63"/>
      <c r="H6" s="62"/>
      <c r="I6" s="62"/>
      <c r="J6" s="60"/>
      <c r="K6" s="60"/>
      <c r="L6" s="62"/>
      <c r="M6" s="62"/>
      <c r="N6" s="60"/>
      <c r="O6" s="60"/>
      <c r="P6" s="62"/>
      <c r="Q6" s="62"/>
    </row>
    <row r="7" spans="1:17" hidden="1">
      <c r="A7" t="s">
        <v>36</v>
      </c>
      <c r="C7" s="2"/>
      <c r="D7" s="2"/>
      <c r="E7" s="64"/>
      <c r="F7" s="2"/>
      <c r="G7" s="2"/>
      <c r="H7" s="64"/>
      <c r="I7" s="64"/>
      <c r="J7" s="2"/>
      <c r="K7" s="2"/>
      <c r="L7" s="64"/>
      <c r="M7" s="64"/>
      <c r="N7" s="2"/>
      <c r="O7" s="2"/>
      <c r="P7" s="64"/>
      <c r="Q7" s="64"/>
    </row>
    <row r="8" spans="1:17" hidden="1">
      <c r="A8" t="s">
        <v>38</v>
      </c>
    </row>
    <row r="9" spans="1:17" hidden="1">
      <c r="B9" t="str">
        <f ca="1">_xll.TM1RPTVIEW("CXMD:FTM_DATA_MARGIN:ARPT1", 1, _xll.TM1RPTTITLE("CXMD:Month",$C$16), _xll.TM1RPTTITLE("CXMD:DIM_Origin_Company",$C$17), _xll.TM1RPTTITLE("CXMD:DIM_Allocation",$C$18), _xll.TM1RPTTITLE("CXMD:DIM_Customer_Supplier",$C$15),TM1RPTFMTRNG,TM1RPTFMTIDCOL)</f>
        <v>CXMD:FTM_DATA_MARGIN:ARPT1</v>
      </c>
    </row>
    <row r="10" spans="1:17" s="65" customFormat="1">
      <c r="E10" s="66"/>
      <c r="H10" s="66"/>
      <c r="I10" s="66"/>
      <c r="L10" s="66"/>
      <c r="M10" s="66"/>
      <c r="P10" s="66"/>
      <c r="Q10" s="66"/>
    </row>
    <row r="11" spans="1:17" s="65" customFormat="1">
      <c r="E11" s="66"/>
      <c r="H11" s="66"/>
      <c r="I11" s="66"/>
      <c r="L11" s="66"/>
      <c r="M11" s="66"/>
      <c r="P11" s="66"/>
      <c r="Q11" s="66"/>
    </row>
    <row r="12" spans="1:17" s="65" customFormat="1">
      <c r="E12" s="66"/>
      <c r="H12" s="66"/>
      <c r="I12" s="66"/>
      <c r="L12" s="66"/>
      <c r="M12" s="66"/>
      <c r="P12" s="66"/>
      <c r="Q12" s="66"/>
    </row>
    <row r="13" spans="1:17" s="65" customFormat="1">
      <c r="E13" s="66"/>
      <c r="H13" s="66"/>
      <c r="I13" s="66"/>
      <c r="L13" s="66"/>
      <c r="M13" s="66"/>
      <c r="P13" s="66"/>
      <c r="Q13" s="66"/>
    </row>
    <row r="14" spans="1:17" s="67" customFormat="1" ht="25.15" customHeight="1">
      <c r="B14" s="68" t="s">
        <v>42</v>
      </c>
      <c r="E14" s="69"/>
      <c r="H14" s="69"/>
      <c r="I14" s="69"/>
      <c r="L14" s="69"/>
      <c r="M14" s="69"/>
      <c r="P14" s="69"/>
      <c r="Q14" s="69"/>
    </row>
    <row r="15" spans="1:17" s="67" customFormat="1" hidden="1">
      <c r="B15" s="70" t="s">
        <v>0</v>
      </c>
      <c r="C15" s="67" t="str">
        <f ca="1">_xll.SUBNM("CXMD:DIM_Customer_Supplier","","Others")</f>
        <v>Others</v>
      </c>
      <c r="E15" s="69"/>
      <c r="H15" s="69"/>
      <c r="I15" s="69"/>
      <c r="L15" s="69"/>
      <c r="M15" s="69"/>
      <c r="P15" s="69"/>
      <c r="Q15" s="69"/>
    </row>
    <row r="16" spans="1:17" s="67" customFormat="1">
      <c r="B16" s="70" t="s">
        <v>2</v>
      </c>
      <c r="C16" s="71" t="str">
        <f ca="1">_xll.SUBNM("CXMD:Month","","Total_Month")</f>
        <v>Total_Month</v>
      </c>
      <c r="E16" s="69"/>
      <c r="G16" s="69"/>
      <c r="H16" s="69"/>
      <c r="I16" s="69"/>
      <c r="L16" s="69"/>
      <c r="M16" s="69"/>
      <c r="P16" s="69"/>
      <c r="Q16" s="69"/>
    </row>
    <row r="17" spans="1:17" s="67" customFormat="1">
      <c r="B17" s="70" t="s">
        <v>3</v>
      </c>
      <c r="C17" s="71" t="str">
        <f ca="1">'Sales Analysis Summary'!C21</f>
        <v>KUHN GERMANY</v>
      </c>
      <c r="E17" s="69"/>
      <c r="H17" s="69"/>
      <c r="I17" s="69"/>
      <c r="L17" s="69"/>
      <c r="M17" s="69"/>
      <c r="P17" s="69"/>
      <c r="Q17" s="69"/>
    </row>
    <row r="18" spans="1:17" s="67" customFormat="1" hidden="1">
      <c r="B18" s="70" t="s">
        <v>4</v>
      </c>
      <c r="C18" s="67" t="str">
        <f ca="1">_xll.SUBNM("CXMD:DIM_Allocation","","Total Allocation","Allocation EN")</f>
        <v>Total Allocation</v>
      </c>
      <c r="E18" s="69"/>
      <c r="H18" s="69"/>
      <c r="I18" s="69"/>
      <c r="L18" s="69"/>
      <c r="M18" s="69"/>
      <c r="P18" s="69"/>
      <c r="Q18" s="69"/>
    </row>
    <row r="19" spans="1:17" s="67" customFormat="1">
      <c r="E19" s="69"/>
      <c r="H19" s="69"/>
      <c r="I19" s="69"/>
      <c r="L19" s="69"/>
      <c r="M19" s="69"/>
      <c r="P19" s="69"/>
      <c r="Q19" s="69"/>
    </row>
    <row r="20" spans="1:17" s="67" customFormat="1" ht="15.75" thickBot="1">
      <c r="E20" s="69"/>
      <c r="H20" s="69"/>
      <c r="I20" s="69"/>
      <c r="L20" s="69"/>
      <c r="M20" s="69"/>
      <c r="P20" s="69"/>
      <c r="Q20" s="69"/>
    </row>
    <row r="21" spans="1:17" s="72" customFormat="1" ht="28.9" customHeight="1">
      <c r="B21" s="73"/>
      <c r="C21" s="147" t="s">
        <v>43</v>
      </c>
      <c r="D21" s="143"/>
      <c r="E21" s="145" t="s">
        <v>44</v>
      </c>
      <c r="F21" s="147" t="s">
        <v>45</v>
      </c>
      <c r="G21" s="143"/>
      <c r="H21" s="143" t="s">
        <v>46</v>
      </c>
      <c r="I21" s="145" t="s">
        <v>44</v>
      </c>
      <c r="J21" s="147" t="s">
        <v>47</v>
      </c>
      <c r="K21" s="143"/>
      <c r="L21" s="143" t="s">
        <v>46</v>
      </c>
      <c r="M21" s="145" t="s">
        <v>44</v>
      </c>
      <c r="N21" s="147" t="s">
        <v>48</v>
      </c>
      <c r="O21" s="143"/>
      <c r="P21" s="143" t="s">
        <v>46</v>
      </c>
      <c r="Q21" s="145" t="s">
        <v>44</v>
      </c>
    </row>
    <row r="22" spans="1:17" ht="15.75" thickBot="1">
      <c r="B22" s="67"/>
      <c r="C22" s="74" t="s">
        <v>5</v>
      </c>
      <c r="D22" s="75" t="s">
        <v>6</v>
      </c>
      <c r="E22" s="146"/>
      <c r="F22" s="74" t="s">
        <v>5</v>
      </c>
      <c r="G22" s="75" t="s">
        <v>6</v>
      </c>
      <c r="H22" s="144"/>
      <c r="I22" s="146"/>
      <c r="J22" s="74" t="s">
        <v>5</v>
      </c>
      <c r="K22" s="75" t="s">
        <v>6</v>
      </c>
      <c r="L22" s="144"/>
      <c r="M22" s="146"/>
      <c r="N22" s="74" t="s">
        <v>5</v>
      </c>
      <c r="O22" s="75" t="s">
        <v>6</v>
      </c>
      <c r="P22" s="144"/>
      <c r="Q22" s="146"/>
    </row>
    <row r="23" spans="1:17">
      <c r="A23" t="str">
        <f ca="1">IF(_xll.TM1RPTELISCONSOLIDATED($B$23,$B23),IF(_xll.TM1RPTELLEV($B$23,$B23)&lt;=3,_xll.TM1RPTELLEV($B$23,$B23),"D"),"N")</f>
        <v>N</v>
      </c>
      <c r="B23" s="41" t="str">
        <f ca="1">_xll.TM1RPTROW($B$9,"CXMD:DIM_Configuration","Product_Market_Shares_BUD_Meeting","","Description EN",0)</f>
        <v/>
      </c>
      <c r="C23" s="43" t="str">
        <f ca="1">_xll.DBRW($B$9,$C$16,C$21,$C$17,$C$18,$C$15,$B23,C$22)</f>
        <v/>
      </c>
      <c r="D23" s="44" t="str">
        <f ca="1">_xll.DBRW($B$9,$C$16,C$21,$C$17,$C$18,$C$15,$B23,D$22)</f>
        <v/>
      </c>
      <c r="E23" s="45" t="e">
        <f ca="1">D23/$D$23</f>
        <v>#VALUE!</v>
      </c>
      <c r="F23" s="46" t="str">
        <f ca="1">_xll.DBRW($B$9,$C$16,F$21,$C$17,$C$18,$C$15,$B23,F$22)</f>
        <v/>
      </c>
      <c r="G23" s="46" t="str">
        <f ca="1">_xll.DBRW($B$9,$C$16,F$21,$C$17,$C$18,$C$15,$B23,G$22)</f>
        <v/>
      </c>
      <c r="H23" s="45" t="e">
        <f ca="1">IF(D23&lt;&gt;0,(G23-D23)/D23,0)</f>
        <v>#VALUE!</v>
      </c>
      <c r="I23" s="45" t="e">
        <f ca="1">G23/$G$23</f>
        <v>#VALUE!</v>
      </c>
      <c r="J23" s="43" t="str">
        <f ca="1">_xll.DBRW($B$9,$C$16,J$21,$C$17,$C$18,$C$15,$B23,J$22)</f>
        <v/>
      </c>
      <c r="K23" s="43" t="str">
        <f ca="1">_xll.DBRW($B$9,$C$16,J$21,$C$17,$C$18,$C$15,$B23,K$22)</f>
        <v/>
      </c>
      <c r="L23" s="45" t="e">
        <f ca="1">IF(G23&lt;&gt;0,(K23-G23)/G23,0)</f>
        <v>#VALUE!</v>
      </c>
      <c r="M23" s="45" t="e">
        <f ca="1">K23/$K$23</f>
        <v>#VALUE!</v>
      </c>
      <c r="N23" s="43" t="str">
        <f ca="1">_xll.DBRW($B$9,$C$16,N$21,$C$17,$C$18,$C$15,$B23,N$22)</f>
        <v/>
      </c>
      <c r="O23" s="43" t="str">
        <f ca="1">_xll.DBRW($B$9,$C$16,N$21,$C$17,$C$18,$C$15,$B23,O$22)</f>
        <v/>
      </c>
      <c r="P23" s="76" t="e">
        <f ca="1">IF(K23&lt;&gt;0,(O23-K23)/K23,0)</f>
        <v>#VALUE!</v>
      </c>
      <c r="Q23" s="76" t="e">
        <f ca="1">O23/$K$23</f>
        <v>#VALUE!</v>
      </c>
    </row>
    <row r="24" spans="1:17"/>
    <row r="25" spans="1:17" hidden="1"/>
    <row r="26" spans="1:17" hidden="1"/>
    <row r="27" spans="1:17" hidden="1"/>
    <row r="28" spans="1:17" hidden="1"/>
    <row r="29" spans="1:17" hidden="1"/>
    <row r="30" spans="1:17" hidden="1"/>
    <row r="31" spans="1:17" hidden="1"/>
    <row r="32" spans="1:17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</sheetData>
  <mergeCells count="11">
    <mergeCell ref="J21:K21"/>
    <mergeCell ref="C21:D21"/>
    <mergeCell ref="E21:E22"/>
    <mergeCell ref="F21:G21"/>
    <mergeCell ref="H21:H22"/>
    <mergeCell ref="I21:I22"/>
    <mergeCell ref="L21:L22"/>
    <mergeCell ref="M21:M22"/>
    <mergeCell ref="N21:O21"/>
    <mergeCell ref="P21:P22"/>
    <mergeCell ref="Q21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628650</xdr:colOff>
                <xdr:row>16</xdr:row>
                <xdr:rowOff>66675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W131"/>
  <sheetViews>
    <sheetView showGridLines="0" topLeftCell="B1" zoomScale="90" zoomScaleNormal="90" workbookViewId="0">
      <pane xSplit="1" ySplit="27" topLeftCell="C28" activePane="bottomRight" state="frozen"/>
      <selection activeCell="B55" sqref="B55"/>
      <selection pane="topRight" activeCell="B55" sqref="B55"/>
      <selection pane="bottomLeft" activeCell="B55" sqref="B55"/>
      <selection pane="bottomRight" activeCell="C21" sqref="C21"/>
    </sheetView>
  </sheetViews>
  <sheetFormatPr defaultColWidth="0" defaultRowHeight="15" zeroHeight="1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0.7109375" customWidth="1"/>
    <col min="6" max="6" width="12.7109375" customWidth="1"/>
    <col min="7" max="7" width="14.7109375" customWidth="1"/>
    <col min="8" max="8" width="20.7109375" customWidth="1"/>
    <col min="9" max="11" width="12.7109375" customWidth="1"/>
    <col min="12" max="12" width="14.7109375" customWidth="1"/>
    <col min="13" max="13" width="20.7109375" customWidth="1"/>
    <col min="14" max="14" width="12.7109375" customWidth="1"/>
    <col min="15" max="15" width="14.7109375" customWidth="1"/>
    <col min="16" max="16" width="20.7109375" customWidth="1"/>
    <col min="17" max="19" width="12.7109375" customWidth="1"/>
    <col min="20" max="20" width="14.7109375" customWidth="1"/>
    <col min="21" max="21" width="20.7109375" customWidth="1"/>
    <col min="22" max="22" width="12.7109375" customWidth="1"/>
    <col min="23" max="23" width="14.7109375" customWidth="1"/>
    <col min="24" max="24" width="20.7109375" customWidth="1"/>
    <col min="25" max="27" width="12.7109375" customWidth="1"/>
    <col min="28" max="28" width="14.7109375" customWidth="1"/>
    <col min="29" max="29" width="20.7109375" customWidth="1"/>
    <col min="30" max="30" width="12.7109375" customWidth="1"/>
    <col min="31" max="31" width="14.7109375" customWidth="1"/>
    <col min="32" max="32" width="20.7109375" customWidth="1"/>
    <col min="33" max="34" width="12.7109375" customWidth="1"/>
    <col min="35" max="1011" width="0" hidden="1" customWidth="1"/>
    <col min="1012" max="16384" width="11.5703125" hidden="1"/>
  </cols>
  <sheetData>
    <row r="1" spans="1:34" hidden="1">
      <c r="A1" t="s">
        <v>37</v>
      </c>
    </row>
    <row r="2" spans="1:34" hidden="1">
      <c r="A2">
        <f>0</f>
        <v>0</v>
      </c>
      <c r="B2" s="77"/>
      <c r="C2" s="78"/>
      <c r="D2" s="79"/>
      <c r="E2" s="80"/>
      <c r="F2" s="78"/>
      <c r="G2" s="79"/>
      <c r="H2" s="81"/>
      <c r="I2" s="82"/>
      <c r="J2" s="83"/>
      <c r="K2" s="78"/>
      <c r="L2" s="79"/>
      <c r="M2" s="80"/>
      <c r="N2" s="78"/>
      <c r="O2" s="79"/>
      <c r="P2" s="80"/>
      <c r="Q2" s="82"/>
      <c r="R2" s="82"/>
      <c r="S2" s="78"/>
      <c r="T2" s="79"/>
      <c r="U2" s="80"/>
      <c r="V2" s="78"/>
      <c r="W2" s="79"/>
      <c r="X2" s="80"/>
      <c r="Y2" s="82"/>
      <c r="Z2" s="82"/>
      <c r="AA2" s="78"/>
      <c r="AB2" s="79"/>
      <c r="AC2" s="80"/>
      <c r="AD2" s="78"/>
      <c r="AE2" s="79"/>
      <c r="AF2" s="81"/>
      <c r="AG2" s="82"/>
      <c r="AH2" s="82"/>
    </row>
    <row r="3" spans="1:34" hidden="1">
      <c r="A3">
        <f>1</f>
        <v>1</v>
      </c>
      <c r="B3" s="84"/>
      <c r="C3" s="85"/>
      <c r="D3" s="19"/>
      <c r="E3" s="86"/>
      <c r="F3" s="85"/>
      <c r="G3" s="19"/>
      <c r="H3" s="27"/>
      <c r="I3" s="87"/>
      <c r="J3" s="88"/>
      <c r="K3" s="85"/>
      <c r="L3" s="19"/>
      <c r="M3" s="86"/>
      <c r="N3" s="85"/>
      <c r="O3" s="19"/>
      <c r="P3" s="86"/>
      <c r="Q3" s="87"/>
      <c r="R3" s="87"/>
      <c r="S3" s="85"/>
      <c r="T3" s="19"/>
      <c r="U3" s="86"/>
      <c r="V3" s="85"/>
      <c r="W3" s="19"/>
      <c r="X3" s="86"/>
      <c r="Y3" s="87"/>
      <c r="Z3" s="87"/>
      <c r="AA3" s="85"/>
      <c r="AB3" s="19"/>
      <c r="AC3" s="86"/>
      <c r="AD3" s="85"/>
      <c r="AE3" s="19"/>
      <c r="AF3" s="27"/>
      <c r="AG3" s="87"/>
      <c r="AH3" s="87"/>
    </row>
    <row r="4" spans="1:34" hidden="1">
      <c r="A4">
        <f>2</f>
        <v>2</v>
      </c>
      <c r="B4" s="89"/>
      <c r="C4" s="90"/>
      <c r="D4" s="21"/>
      <c r="E4" s="91"/>
      <c r="F4" s="90"/>
      <c r="G4" s="21"/>
      <c r="H4" s="28"/>
      <c r="I4" s="92"/>
      <c r="J4" s="93"/>
      <c r="K4" s="90"/>
      <c r="L4" s="21"/>
      <c r="M4" s="91"/>
      <c r="N4" s="90"/>
      <c r="O4" s="21"/>
      <c r="P4" s="91"/>
      <c r="Q4" s="92"/>
      <c r="R4" s="92"/>
      <c r="S4" s="90"/>
      <c r="T4" s="21"/>
      <c r="U4" s="91"/>
      <c r="V4" s="90"/>
      <c r="W4" s="21"/>
      <c r="X4" s="91"/>
      <c r="Y4" s="92"/>
      <c r="Z4" s="92"/>
      <c r="AA4" s="90"/>
      <c r="AB4" s="21"/>
      <c r="AC4" s="91"/>
      <c r="AD4" s="90"/>
      <c r="AE4" s="21"/>
      <c r="AF4" s="28"/>
      <c r="AG4" s="92"/>
      <c r="AH4" s="92"/>
    </row>
    <row r="5" spans="1:34" hidden="1">
      <c r="A5">
        <f>3</f>
        <v>3</v>
      </c>
      <c r="B5" s="94"/>
      <c r="C5" s="95"/>
      <c r="D5" s="23"/>
      <c r="E5" s="96"/>
      <c r="F5" s="95"/>
      <c r="G5" s="23"/>
      <c r="H5" s="29"/>
      <c r="I5" s="97"/>
      <c r="J5" s="98"/>
      <c r="K5" s="95"/>
      <c r="L5" s="23"/>
      <c r="M5" s="96"/>
      <c r="N5" s="95"/>
      <c r="O5" s="23"/>
      <c r="P5" s="96"/>
      <c r="Q5" s="97"/>
      <c r="R5" s="97"/>
      <c r="S5" s="95"/>
      <c r="T5" s="23"/>
      <c r="U5" s="96"/>
      <c r="V5" s="95"/>
      <c r="W5" s="23"/>
      <c r="X5" s="96"/>
      <c r="Y5" s="97"/>
      <c r="Z5" s="97"/>
      <c r="AA5" s="95"/>
      <c r="AB5" s="23"/>
      <c r="AC5" s="96"/>
      <c r="AD5" s="95"/>
      <c r="AE5" s="23"/>
      <c r="AF5" s="29"/>
      <c r="AG5" s="97"/>
      <c r="AH5" s="97"/>
    </row>
    <row r="6" spans="1:34" ht="15.75" hidden="1" thickBot="1">
      <c r="A6" t="s">
        <v>35</v>
      </c>
      <c r="B6" s="99"/>
      <c r="C6" s="100"/>
      <c r="D6" s="101"/>
      <c r="E6" s="102"/>
      <c r="F6" s="100"/>
      <c r="G6" s="101"/>
      <c r="H6" s="103"/>
      <c r="I6" s="104"/>
      <c r="J6" s="105"/>
      <c r="K6" s="100"/>
      <c r="L6" s="101"/>
      <c r="M6" s="102"/>
      <c r="N6" s="100"/>
      <c r="O6" s="101"/>
      <c r="P6" s="102"/>
      <c r="Q6" s="104"/>
      <c r="R6" s="104"/>
      <c r="S6" s="100"/>
      <c r="T6" s="101"/>
      <c r="U6" s="102"/>
      <c r="V6" s="100"/>
      <c r="W6" s="101"/>
      <c r="X6" s="102"/>
      <c r="Y6" s="104"/>
      <c r="Z6" s="104"/>
      <c r="AA6" s="100"/>
      <c r="AB6" s="101"/>
      <c r="AC6" s="102"/>
      <c r="AD6" s="100"/>
      <c r="AE6" s="101"/>
      <c r="AF6" s="103"/>
      <c r="AG6" s="104"/>
      <c r="AH6" s="104"/>
    </row>
    <row r="7" spans="1:34" hidden="1">
      <c r="A7" t="s">
        <v>36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</row>
    <row r="8" spans="1:34" hidden="1">
      <c r="A8" t="s">
        <v>38</v>
      </c>
    </row>
    <row r="9" spans="1:34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3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idden="1"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</row>
    <row r="18" spans="1:34" hidden="1">
      <c r="B18" s="70" t="s">
        <v>1</v>
      </c>
      <c r="C18" s="67" t="str">
        <f ca="1">_xll.SUBNM("CXMD:Currency","Par défaut","CD_LC","Description EN")</f>
        <v>Local currency</v>
      </c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</row>
    <row r="19" spans="1:34" hidden="1">
      <c r="B19" s="70" t="s">
        <v>161</v>
      </c>
      <c r="C19" s="67" t="str">
        <f ca="1">_xll.SUBNM("CXMD:Prev_IC_mapping","","Others")</f>
        <v>Others</v>
      </c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</row>
    <row r="20" spans="1:34" ht="19.899999999999999" customHeight="1">
      <c r="B20" s="107" t="s">
        <v>162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</row>
    <row r="21" spans="1:34">
      <c r="B21" s="70" t="s">
        <v>3</v>
      </c>
      <c r="C21" s="71" t="str">
        <f ca="1">_xll.SUBNM("CXMD:DIM_Origin_Company","","KUHN GERMANY","Name EN")</f>
        <v>KUHN GERMANY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spans="1:34">
      <c r="B22" s="70" t="s">
        <v>163</v>
      </c>
      <c r="C22" s="71" t="str">
        <f ca="1">_xll.SUBNM("CXMD:DIM_Country","Total Country SOM","C-101","Country Name")</f>
        <v>ALLEMAGNE</v>
      </c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</row>
    <row r="23" spans="1:34" hidden="1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</row>
    <row r="24" spans="1:34" ht="7.15" customHeight="1" thickBot="1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</row>
    <row r="25" spans="1:34" ht="14.45" customHeight="1">
      <c r="B25" s="67"/>
      <c r="C25" s="156" t="str">
        <f ca="1">_xll.SUBNM("CXMD:Actuality","Actuality_Market_Share","AC2016","Description EN")</f>
        <v>AC2016</v>
      </c>
      <c r="D25" s="157"/>
      <c r="E25" s="158"/>
      <c r="F25" s="156" t="str">
        <f ca="1">_xll.SUBNM("CXMD:Actuality","Actuality_Market_Share","AC2016","Description EN")</f>
        <v>AC2016</v>
      </c>
      <c r="G25" s="157"/>
      <c r="H25" s="159"/>
      <c r="I25" s="148" t="s">
        <v>164</v>
      </c>
      <c r="J25" s="149"/>
      <c r="K25" s="156" t="str">
        <f ca="1">_xll.SUBNM("CXMD:Actuality","Actuality_Market_Share","BU2017Draft","Description EN")</f>
        <v>BU2017draft</v>
      </c>
      <c r="L25" s="157"/>
      <c r="M25" s="158"/>
      <c r="N25" s="156" t="str">
        <f ca="1">_xll.SUBNM("CXMD:Actuality","Actuality_Market_Share","BU2017Draft","Description EN")</f>
        <v>BU2017draft</v>
      </c>
      <c r="O25" s="157"/>
      <c r="P25" s="159"/>
      <c r="Q25" s="148" t="s">
        <v>164</v>
      </c>
      <c r="R25" s="149"/>
      <c r="S25" s="161" t="str">
        <f ca="1">_xll.SUBNM("CXMD:Actuality","Actuality_Market_Share","FC3_2017","Description EN")</f>
        <v>FC3_2017</v>
      </c>
      <c r="T25" s="157"/>
      <c r="U25" s="158"/>
      <c r="V25" s="156" t="str">
        <f ca="1">_xll.SUBNM("CXMD:Actuality","Actuality_Market_Share","FC3_2017","Description EN")</f>
        <v>FC3_2017</v>
      </c>
      <c r="W25" s="157"/>
      <c r="X25" s="159"/>
      <c r="Y25" s="148" t="s">
        <v>164</v>
      </c>
      <c r="Z25" s="149"/>
      <c r="AA25" s="161" t="str">
        <f ca="1">_xll.SUBNM("CXMD:Actuality","Actuality_Market_Share","BU2018draft","Description EN")</f>
        <v>BU2018draft</v>
      </c>
      <c r="AB25" s="157"/>
      <c r="AC25" s="158"/>
      <c r="AD25" s="156" t="str">
        <f ca="1">_xll.SUBNM("CXMD:Actuality","Actuality_Market_Share","BU2018draft","Description EN")</f>
        <v>BU2018draft</v>
      </c>
      <c r="AE25" s="157"/>
      <c r="AF25" s="159"/>
      <c r="AG25" s="148" t="s">
        <v>164</v>
      </c>
      <c r="AH25" s="149"/>
    </row>
    <row r="26" spans="1:34">
      <c r="B26" s="67"/>
      <c r="C26" s="152" t="s">
        <v>165</v>
      </c>
      <c r="D26" s="153"/>
      <c r="E26" s="154"/>
      <c r="F26" s="152" t="s">
        <v>166</v>
      </c>
      <c r="G26" s="153"/>
      <c r="H26" s="155"/>
      <c r="I26" s="150"/>
      <c r="J26" s="151"/>
      <c r="K26" s="152" t="s">
        <v>165</v>
      </c>
      <c r="L26" s="153"/>
      <c r="M26" s="154"/>
      <c r="N26" s="152" t="s">
        <v>166</v>
      </c>
      <c r="O26" s="153"/>
      <c r="P26" s="155"/>
      <c r="Q26" s="150"/>
      <c r="R26" s="151"/>
      <c r="S26" s="160" t="s">
        <v>165</v>
      </c>
      <c r="T26" s="153"/>
      <c r="U26" s="154"/>
      <c r="V26" s="152" t="s">
        <v>166</v>
      </c>
      <c r="W26" s="153"/>
      <c r="X26" s="155"/>
      <c r="Y26" s="150"/>
      <c r="Z26" s="151"/>
      <c r="AA26" s="160" t="s">
        <v>165</v>
      </c>
      <c r="AB26" s="153"/>
      <c r="AC26" s="154"/>
      <c r="AD26" s="152" t="s">
        <v>166</v>
      </c>
      <c r="AE26" s="153"/>
      <c r="AF26" s="155"/>
      <c r="AG26" s="150"/>
      <c r="AH26" s="151"/>
    </row>
    <row r="27" spans="1:34" ht="15.75" thickBot="1">
      <c r="B27" s="67"/>
      <c r="C27" s="108" t="s">
        <v>5</v>
      </c>
      <c r="D27" s="109" t="s">
        <v>167</v>
      </c>
      <c r="E27" s="110" t="s">
        <v>6</v>
      </c>
      <c r="F27" s="108" t="s">
        <v>5</v>
      </c>
      <c r="G27" s="109" t="s">
        <v>167</v>
      </c>
      <c r="H27" s="111" t="s">
        <v>6</v>
      </c>
      <c r="I27" s="112" t="s">
        <v>5</v>
      </c>
      <c r="J27" s="112" t="s">
        <v>6</v>
      </c>
      <c r="K27" s="108" t="s">
        <v>5</v>
      </c>
      <c r="L27" s="109" t="s">
        <v>167</v>
      </c>
      <c r="M27" s="110" t="s">
        <v>6</v>
      </c>
      <c r="N27" s="108" t="s">
        <v>5</v>
      </c>
      <c r="O27" s="109" t="s">
        <v>167</v>
      </c>
      <c r="P27" s="111" t="s">
        <v>6</v>
      </c>
      <c r="Q27" s="113" t="s">
        <v>5</v>
      </c>
      <c r="R27" s="113" t="s">
        <v>6</v>
      </c>
      <c r="S27" s="114" t="s">
        <v>5</v>
      </c>
      <c r="T27" s="109" t="s">
        <v>167</v>
      </c>
      <c r="U27" s="110" t="s">
        <v>6</v>
      </c>
      <c r="V27" s="108" t="s">
        <v>5</v>
      </c>
      <c r="W27" s="109" t="s">
        <v>167</v>
      </c>
      <c r="X27" s="111" t="s">
        <v>6</v>
      </c>
      <c r="Y27" s="113" t="s">
        <v>5</v>
      </c>
      <c r="Z27" s="112" t="s">
        <v>6</v>
      </c>
      <c r="AA27" s="114" t="s">
        <v>5</v>
      </c>
      <c r="AB27" s="109" t="s">
        <v>167</v>
      </c>
      <c r="AC27" s="110" t="s">
        <v>6</v>
      </c>
      <c r="AD27" s="108" t="s">
        <v>5</v>
      </c>
      <c r="AE27" s="109" t="s">
        <v>167</v>
      </c>
      <c r="AF27" s="111" t="s">
        <v>6</v>
      </c>
      <c r="AG27" s="115" t="s">
        <v>5</v>
      </c>
      <c r="AH27" s="112" t="s">
        <v>6</v>
      </c>
    </row>
    <row r="28" spans="1:34">
      <c r="A28">
        <f ca="1">IF(_xll.TM1RPTELISCONSOLIDATED($B$28,$B28),IF(_xll.TM1RPTELLEV($B$28,$B28)&lt;=3,_xll.TM1RPTELLEV($B$28,$B28),"D"),"N")</f>
        <v>0</v>
      </c>
      <c r="B28" s="116" t="str">
        <f ca="1">_xll.TM1RPTROW($B$9,"CXMD:DIM_Configuration","Product_Line","","Description EN",0)</f>
        <v>TOTAL PRODUCT</v>
      </c>
      <c r="C28" s="78">
        <f ca="1">_xll.DBRW($B$9,$C$18,$C$19,C$26,C$25,$C$21,$C$22,$B28,C$27)</f>
        <v>0</v>
      </c>
      <c r="D28" s="79">
        <f ca="1">_xll.DBRW($B$9,$C$18,$C$19,C$26,C$25,$C$21,$C$22,$B28,D$27)</f>
        <v>0</v>
      </c>
      <c r="E28" s="80">
        <f ca="1">_xll.DBRW($B$9,$C$18,$C$19,C$26,C$25,$C$21,$C$22,$B28,E$27)</f>
        <v>0</v>
      </c>
      <c r="F28" s="78">
        <f ca="1">_xll.DBRW($B$9,$C$18,$C$19,F$26,F$25,$C$21,$C$22,$B28,F$27)</f>
        <v>0</v>
      </c>
      <c r="G28" s="79">
        <f ca="1">_xll.DBRW($B$9,$C$18,$C$19,F$26,F$25,$C$21,$C$22,$B28,G$27)</f>
        <v>0</v>
      </c>
      <c r="H28" s="81">
        <f ca="1">_xll.DBRW($B$9,$C$18,$C$19,F$26,F$25,$C$21,$C$22,$B28,H$27)</f>
        <v>0</v>
      </c>
      <c r="I28" s="82">
        <f ca="1">IF(F28&lt;&gt;0,C28/F28,0)</f>
        <v>0</v>
      </c>
      <c r="J28" s="83">
        <f ca="1">IF(H28&lt;&gt;0,E28/H28,0)</f>
        <v>0</v>
      </c>
      <c r="K28" s="78">
        <f ca="1">_xll.DBRW($B$9,$C$18,$C$19,K$26,K$25,$C$21,$C$22,$B28,K$27)</f>
        <v>0</v>
      </c>
      <c r="L28" s="79">
        <f ca="1">_xll.DBRW($B$9,$C$18,$C$19,K$26,K$25,$C$21,$C$22,$B28,L$27)</f>
        <v>0</v>
      </c>
      <c r="M28" s="80">
        <f ca="1">_xll.DBRW($B$9,$C$18,$C$19,K$26,K$25,$C$21,$C$22,$B28,M$27)</f>
        <v>0</v>
      </c>
      <c r="N28" s="78">
        <f ca="1">_xll.DBRW($B$9,$C$18,$C$19,N$26,N$25,$C$21,$C$22,$B28,N$27)</f>
        <v>0</v>
      </c>
      <c r="O28" s="79">
        <f ca="1">_xll.DBRW($B$9,$C$18,$C$19,N$26,N$25,$C$21,$C$22,$B28,O$27)</f>
        <v>0</v>
      </c>
      <c r="P28" s="80">
        <f ca="1">_xll.DBRW($B$9,$C$18,$C$19,N$26,N$25,$C$21,$C$22,$B28,P$27)</f>
        <v>0</v>
      </c>
      <c r="Q28" s="82">
        <f ca="1">IF(N28&lt;&gt;0,K28/N28,0)</f>
        <v>0</v>
      </c>
      <c r="R28" s="82">
        <f ca="1">IF(P28&lt;&gt;0,M28/P28,0)</f>
        <v>0</v>
      </c>
      <c r="S28" s="78">
        <f ca="1">_xll.DBRW($B$9,$C$18,$C$19,S$26,S$25,$C$21,$C$22,$B28,S$27)</f>
        <v>0</v>
      </c>
      <c r="T28" s="79">
        <f ca="1">_xll.DBRW($B$9,$C$18,$C$19,S$26,S$25,$C$21,$C$22,$B28,T$27)</f>
        <v>0</v>
      </c>
      <c r="U28" s="80">
        <f ca="1">_xll.DBRW($B$9,$C$18,$C$19,S$26,S$25,$C$21,$C$22,$B28,U$27)</f>
        <v>0</v>
      </c>
      <c r="V28" s="78">
        <f ca="1">_xll.DBRW($B$9,$C$18,$C$19,V$26,V$25,$C$21,$C$22,$B28,V$27)</f>
        <v>0</v>
      </c>
      <c r="W28" s="79">
        <f ca="1">_xll.DBRW($B$9,$C$18,$C$19,V$26,V$25,$C$21,$C$22,$B28,W$27)</f>
        <v>0</v>
      </c>
      <c r="X28" s="80">
        <f ca="1">_xll.DBRW($B$9,$C$18,$C$19,V$26,V$25,$C$21,$C$22,$B28,X$27)</f>
        <v>0</v>
      </c>
      <c r="Y28" s="82">
        <f ca="1">IF(V28&lt;&gt;0,S28/V28,0)</f>
        <v>0</v>
      </c>
      <c r="Z28" s="82">
        <f ca="1">IF(X28&lt;&gt;0,U28/X28,0)</f>
        <v>0</v>
      </c>
      <c r="AA28" s="78">
        <f ca="1">_xll.DBRW($B$9,$C$18,$C$19,AA$26,AA$25,$C$21,$C$22,$B28,AA$27)</f>
        <v>0</v>
      </c>
      <c r="AB28" s="79">
        <f ca="1">_xll.DBRW($B$9,$C$18,$C$19,AA$26,AA$25,$C$21,$C$22,$B28,AB$27)</f>
        <v>0</v>
      </c>
      <c r="AC28" s="80">
        <f ca="1">_xll.DBRW($B$9,$C$18,$C$19,AA$26,AA$25,$C$21,$C$22,$B28,AC$27)</f>
        <v>0</v>
      </c>
      <c r="AD28" s="78">
        <f ca="1">_xll.DBRW($B$9,$C$18,$C$19,AD$26,AD$25,$C$21,$C$22,$B28,AD$27)</f>
        <v>0</v>
      </c>
      <c r="AE28" s="79">
        <f ca="1">_xll.DBRW($B$9,$C$18,$C$19,AD$26,AD$25,$C$21,$C$22,$B28,AE$27)</f>
        <v>0</v>
      </c>
      <c r="AF28" s="81">
        <f ca="1">_xll.DBRW($B$9,$C$18,$C$19,AD$26,AD$25,$C$21,$C$22,$B28,AF$27)</f>
        <v>0</v>
      </c>
      <c r="AG28" s="117">
        <f ca="1">IF(AD28&lt;&gt;0,AA28/AD28,0)</f>
        <v>0</v>
      </c>
      <c r="AH28" s="117">
        <f ca="1">IF(AF28&lt;&gt;0,AC28/AF28,0)</f>
        <v>0</v>
      </c>
    </row>
    <row r="29" spans="1:34">
      <c r="A29">
        <f ca="1">IF(_xll.TM1RPTELISCONSOLIDATED($B$28,$B29),IF(_xll.TM1RPTELLEV($B$28,$B29)&lt;=3,_xll.TM1RPTELLEV($B$28,$B29),"D"),"N")</f>
        <v>1</v>
      </c>
      <c r="B29" s="118" t="s">
        <v>173</v>
      </c>
      <c r="C29" s="85">
        <f ca="1">_xll.DBRW($B$9,$C$18,$C$19,C$26,C$25,$C$21,$C$22,$B29,C$27)</f>
        <v>0</v>
      </c>
      <c r="D29" s="19">
        <f ca="1">_xll.DBRW($B$9,$C$18,$C$19,C$26,C$25,$C$21,$C$22,$B29,D$27)</f>
        <v>0</v>
      </c>
      <c r="E29" s="86">
        <f ca="1">_xll.DBRW($B$9,$C$18,$C$19,C$26,C$25,$C$21,$C$22,$B29,E$27)</f>
        <v>0</v>
      </c>
      <c r="F29" s="85">
        <f ca="1">_xll.DBRW($B$9,$C$18,$C$19,F$26,F$25,$C$21,$C$22,$B29,F$27)</f>
        <v>0</v>
      </c>
      <c r="G29" s="19">
        <f ca="1">_xll.DBRW($B$9,$C$18,$C$19,F$26,F$25,$C$21,$C$22,$B29,G$27)</f>
        <v>0</v>
      </c>
      <c r="H29" s="27">
        <f ca="1">_xll.DBRW($B$9,$C$18,$C$19,F$26,F$25,$C$21,$C$22,$B29,H$27)</f>
        <v>0</v>
      </c>
      <c r="I29" s="87">
        <f t="shared" ref="I29:I50" ca="1" si="0">IF(F29&lt;&gt;0,C29/F29,0)</f>
        <v>0</v>
      </c>
      <c r="J29" s="88">
        <f t="shared" ref="J29:J50" ca="1" si="1">IF(H29&lt;&gt;0,E29/H29,0)</f>
        <v>0</v>
      </c>
      <c r="K29" s="85">
        <f ca="1">_xll.DBRW($B$9,$C$18,$C$19,K$26,K$25,$C$21,$C$22,$B29,K$27)</f>
        <v>0</v>
      </c>
      <c r="L29" s="19">
        <f ca="1">_xll.DBRW($B$9,$C$18,$C$19,K$26,K$25,$C$21,$C$22,$B29,L$27)</f>
        <v>0</v>
      </c>
      <c r="M29" s="86">
        <f ca="1">_xll.DBRW($B$9,$C$18,$C$19,K$26,K$25,$C$21,$C$22,$B29,M$27)</f>
        <v>0</v>
      </c>
      <c r="N29" s="85">
        <f ca="1">_xll.DBRW($B$9,$C$18,$C$19,N$26,N$25,$C$21,$C$22,$B29,N$27)</f>
        <v>0</v>
      </c>
      <c r="O29" s="19">
        <f ca="1">_xll.DBRW($B$9,$C$18,$C$19,N$26,N$25,$C$21,$C$22,$B29,O$27)</f>
        <v>0</v>
      </c>
      <c r="P29" s="86">
        <f ca="1">_xll.DBRW($B$9,$C$18,$C$19,N$26,N$25,$C$21,$C$22,$B29,P$27)</f>
        <v>0</v>
      </c>
      <c r="Q29" s="87">
        <f t="shared" ref="Q29:Q50" ca="1" si="2">IF(N29&lt;&gt;0,K29/N29,0)</f>
        <v>0</v>
      </c>
      <c r="R29" s="87">
        <f t="shared" ref="R29:R50" ca="1" si="3">IF(P29&lt;&gt;0,M29/P29,0)</f>
        <v>0</v>
      </c>
      <c r="S29" s="85">
        <f ca="1">_xll.DBRW($B$9,$C$18,$C$19,S$26,S$25,$C$21,$C$22,$B29,S$27)</f>
        <v>0</v>
      </c>
      <c r="T29" s="19">
        <f ca="1">_xll.DBRW($B$9,$C$18,$C$19,S$26,S$25,$C$21,$C$22,$B29,T$27)</f>
        <v>0</v>
      </c>
      <c r="U29" s="86">
        <f ca="1">_xll.DBRW($B$9,$C$18,$C$19,S$26,S$25,$C$21,$C$22,$B29,U$27)</f>
        <v>0</v>
      </c>
      <c r="V29" s="85">
        <f ca="1">_xll.DBRW($B$9,$C$18,$C$19,V$26,V$25,$C$21,$C$22,$B29,V$27)</f>
        <v>0</v>
      </c>
      <c r="W29" s="19">
        <f ca="1">_xll.DBRW($B$9,$C$18,$C$19,V$26,V$25,$C$21,$C$22,$B29,W$27)</f>
        <v>0</v>
      </c>
      <c r="X29" s="86">
        <f ca="1">_xll.DBRW($B$9,$C$18,$C$19,V$26,V$25,$C$21,$C$22,$B29,X$27)</f>
        <v>0</v>
      </c>
      <c r="Y29" s="87">
        <f t="shared" ref="Y29:Y50" ca="1" si="4">IF(V29&lt;&gt;0,S29/V29,0)</f>
        <v>0</v>
      </c>
      <c r="Z29" s="87">
        <f t="shared" ref="Z29:Z50" ca="1" si="5">IF(X29&lt;&gt;0,U29/X29,0)</f>
        <v>0</v>
      </c>
      <c r="AA29" s="85">
        <f ca="1">_xll.DBRW($B$9,$C$18,$C$19,AA$26,AA$25,$C$21,$C$22,$B29,AA$27)</f>
        <v>0</v>
      </c>
      <c r="AB29" s="19">
        <f ca="1">_xll.DBRW($B$9,$C$18,$C$19,AA$26,AA$25,$C$21,$C$22,$B29,AB$27)</f>
        <v>0</v>
      </c>
      <c r="AC29" s="86">
        <f ca="1">_xll.DBRW($B$9,$C$18,$C$19,AA$26,AA$25,$C$21,$C$22,$B29,AC$27)</f>
        <v>0</v>
      </c>
      <c r="AD29" s="85">
        <f ca="1">_xll.DBRW($B$9,$C$18,$C$19,AD$26,AD$25,$C$21,$C$22,$B29,AD$27)</f>
        <v>0</v>
      </c>
      <c r="AE29" s="19">
        <f ca="1">_xll.DBRW($B$9,$C$18,$C$19,AD$26,AD$25,$C$21,$C$22,$B29,AE$27)</f>
        <v>0</v>
      </c>
      <c r="AF29" s="27">
        <f ca="1">_xll.DBRW($B$9,$C$18,$C$19,AD$26,AD$25,$C$21,$C$22,$B29,AF$27)</f>
        <v>0</v>
      </c>
      <c r="AG29" s="117">
        <f t="shared" ref="AG29:AG50" ca="1" si="6">IF(AD29&lt;&gt;0,AA29/AD29,0)</f>
        <v>0</v>
      </c>
      <c r="AH29" s="117">
        <f t="shared" ref="AH29:AH50" ca="1" si="7">IF(AF29&lt;&gt;0,AC29/AF29,0)</f>
        <v>0</v>
      </c>
    </row>
    <row r="30" spans="1:34">
      <c r="A30">
        <f ca="1">IF(_xll.TM1RPTELISCONSOLIDATED($B$28,$B30),IF(_xll.TM1RPTELLEV($B$28,$B30)&lt;=3,_xll.TM1RPTELLEV($B$28,$B30),"D"),"N")</f>
        <v>1</v>
      </c>
      <c r="B30" s="118" t="s">
        <v>174</v>
      </c>
      <c r="C30" s="85">
        <f ca="1">_xll.DBRW($B$9,$C$18,$C$19,C$26,C$25,$C$21,$C$22,$B30,C$27)</f>
        <v>0</v>
      </c>
      <c r="D30" s="19">
        <f ca="1">_xll.DBRW($B$9,$C$18,$C$19,C$26,C$25,$C$21,$C$22,$B30,D$27)</f>
        <v>0</v>
      </c>
      <c r="E30" s="86">
        <f ca="1">_xll.DBRW($B$9,$C$18,$C$19,C$26,C$25,$C$21,$C$22,$B30,E$27)</f>
        <v>0</v>
      </c>
      <c r="F30" s="85">
        <f ca="1">_xll.DBRW($B$9,$C$18,$C$19,F$26,F$25,$C$21,$C$22,$B30,F$27)</f>
        <v>0</v>
      </c>
      <c r="G30" s="19">
        <f ca="1">_xll.DBRW($B$9,$C$18,$C$19,F$26,F$25,$C$21,$C$22,$B30,G$27)</f>
        <v>0</v>
      </c>
      <c r="H30" s="27">
        <f ca="1">_xll.DBRW($B$9,$C$18,$C$19,F$26,F$25,$C$21,$C$22,$B30,H$27)</f>
        <v>0</v>
      </c>
      <c r="I30" s="87">
        <f t="shared" ca="1" si="0"/>
        <v>0</v>
      </c>
      <c r="J30" s="88">
        <f t="shared" ca="1" si="1"/>
        <v>0</v>
      </c>
      <c r="K30" s="85">
        <f ca="1">_xll.DBRW($B$9,$C$18,$C$19,K$26,K$25,$C$21,$C$22,$B30,K$27)</f>
        <v>0</v>
      </c>
      <c r="L30" s="19">
        <f ca="1">_xll.DBRW($B$9,$C$18,$C$19,K$26,K$25,$C$21,$C$22,$B30,L$27)</f>
        <v>0</v>
      </c>
      <c r="M30" s="86">
        <f ca="1">_xll.DBRW($B$9,$C$18,$C$19,K$26,K$25,$C$21,$C$22,$B30,M$27)</f>
        <v>0</v>
      </c>
      <c r="N30" s="85">
        <f ca="1">_xll.DBRW($B$9,$C$18,$C$19,N$26,N$25,$C$21,$C$22,$B30,N$27)</f>
        <v>0</v>
      </c>
      <c r="O30" s="19">
        <f ca="1">_xll.DBRW($B$9,$C$18,$C$19,N$26,N$25,$C$21,$C$22,$B30,O$27)</f>
        <v>0</v>
      </c>
      <c r="P30" s="86">
        <f ca="1">_xll.DBRW($B$9,$C$18,$C$19,N$26,N$25,$C$21,$C$22,$B30,P$27)</f>
        <v>0</v>
      </c>
      <c r="Q30" s="87">
        <f t="shared" ca="1" si="2"/>
        <v>0</v>
      </c>
      <c r="R30" s="87">
        <f t="shared" ca="1" si="3"/>
        <v>0</v>
      </c>
      <c r="S30" s="85">
        <f ca="1">_xll.DBRW($B$9,$C$18,$C$19,S$26,S$25,$C$21,$C$22,$B30,S$27)</f>
        <v>0</v>
      </c>
      <c r="T30" s="19">
        <f ca="1">_xll.DBRW($B$9,$C$18,$C$19,S$26,S$25,$C$21,$C$22,$B30,T$27)</f>
        <v>0</v>
      </c>
      <c r="U30" s="86">
        <f ca="1">_xll.DBRW($B$9,$C$18,$C$19,S$26,S$25,$C$21,$C$22,$B30,U$27)</f>
        <v>0</v>
      </c>
      <c r="V30" s="85">
        <f ca="1">_xll.DBRW($B$9,$C$18,$C$19,V$26,V$25,$C$21,$C$22,$B30,V$27)</f>
        <v>0</v>
      </c>
      <c r="W30" s="19">
        <f ca="1">_xll.DBRW($B$9,$C$18,$C$19,V$26,V$25,$C$21,$C$22,$B30,W$27)</f>
        <v>0</v>
      </c>
      <c r="X30" s="86">
        <f ca="1">_xll.DBRW($B$9,$C$18,$C$19,V$26,V$25,$C$21,$C$22,$B30,X$27)</f>
        <v>0</v>
      </c>
      <c r="Y30" s="87">
        <f t="shared" ca="1" si="4"/>
        <v>0</v>
      </c>
      <c r="Z30" s="87">
        <f t="shared" ca="1" si="5"/>
        <v>0</v>
      </c>
      <c r="AA30" s="85">
        <f ca="1">_xll.DBRW($B$9,$C$18,$C$19,AA$26,AA$25,$C$21,$C$22,$B30,AA$27)</f>
        <v>0</v>
      </c>
      <c r="AB30" s="19">
        <f ca="1">_xll.DBRW($B$9,$C$18,$C$19,AA$26,AA$25,$C$21,$C$22,$B30,AB$27)</f>
        <v>0</v>
      </c>
      <c r="AC30" s="86">
        <f ca="1">_xll.DBRW($B$9,$C$18,$C$19,AA$26,AA$25,$C$21,$C$22,$B30,AC$27)</f>
        <v>0</v>
      </c>
      <c r="AD30" s="85">
        <f ca="1">_xll.DBRW($B$9,$C$18,$C$19,AD$26,AD$25,$C$21,$C$22,$B30,AD$27)</f>
        <v>0</v>
      </c>
      <c r="AE30" s="19">
        <f ca="1">_xll.DBRW($B$9,$C$18,$C$19,AD$26,AD$25,$C$21,$C$22,$B30,AE$27)</f>
        <v>0</v>
      </c>
      <c r="AF30" s="27">
        <f ca="1">_xll.DBRW($B$9,$C$18,$C$19,AD$26,AD$25,$C$21,$C$22,$B30,AF$27)</f>
        <v>0</v>
      </c>
      <c r="AG30" s="117">
        <f t="shared" ca="1" si="6"/>
        <v>0</v>
      </c>
      <c r="AH30" s="117">
        <f t="shared" ca="1" si="7"/>
        <v>0</v>
      </c>
    </row>
    <row r="31" spans="1:34">
      <c r="A31">
        <f ca="1">IF(_xll.TM1RPTELISCONSOLIDATED($B$28,$B31),IF(_xll.TM1RPTELLEV($B$28,$B31)&lt;=3,_xll.TM1RPTELLEV($B$28,$B31),"D"),"N")</f>
        <v>1</v>
      </c>
      <c r="B31" s="118" t="s">
        <v>175</v>
      </c>
      <c r="C31" s="85">
        <f ca="1">_xll.DBRW($B$9,$C$18,$C$19,C$26,C$25,$C$21,$C$22,$B31,C$27)</f>
        <v>0</v>
      </c>
      <c r="D31" s="19">
        <f ca="1">_xll.DBRW($B$9,$C$18,$C$19,C$26,C$25,$C$21,$C$22,$B31,D$27)</f>
        <v>0</v>
      </c>
      <c r="E31" s="86">
        <f ca="1">_xll.DBRW($B$9,$C$18,$C$19,C$26,C$25,$C$21,$C$22,$B31,E$27)</f>
        <v>0</v>
      </c>
      <c r="F31" s="85">
        <f ca="1">_xll.DBRW($B$9,$C$18,$C$19,F$26,F$25,$C$21,$C$22,$B31,F$27)</f>
        <v>0</v>
      </c>
      <c r="G31" s="19">
        <f ca="1">_xll.DBRW($B$9,$C$18,$C$19,F$26,F$25,$C$21,$C$22,$B31,G$27)</f>
        <v>0</v>
      </c>
      <c r="H31" s="27">
        <f ca="1">_xll.DBRW($B$9,$C$18,$C$19,F$26,F$25,$C$21,$C$22,$B31,H$27)</f>
        <v>0</v>
      </c>
      <c r="I31" s="87">
        <f t="shared" ca="1" si="0"/>
        <v>0</v>
      </c>
      <c r="J31" s="88">
        <f t="shared" ca="1" si="1"/>
        <v>0</v>
      </c>
      <c r="K31" s="85">
        <f ca="1">_xll.DBRW($B$9,$C$18,$C$19,K$26,K$25,$C$21,$C$22,$B31,K$27)</f>
        <v>0</v>
      </c>
      <c r="L31" s="19">
        <f ca="1">_xll.DBRW($B$9,$C$18,$C$19,K$26,K$25,$C$21,$C$22,$B31,L$27)</f>
        <v>0</v>
      </c>
      <c r="M31" s="86">
        <f ca="1">_xll.DBRW($B$9,$C$18,$C$19,K$26,K$25,$C$21,$C$22,$B31,M$27)</f>
        <v>0</v>
      </c>
      <c r="N31" s="85">
        <f ca="1">_xll.DBRW($B$9,$C$18,$C$19,N$26,N$25,$C$21,$C$22,$B31,N$27)</f>
        <v>0</v>
      </c>
      <c r="O31" s="19">
        <f ca="1">_xll.DBRW($B$9,$C$18,$C$19,N$26,N$25,$C$21,$C$22,$B31,O$27)</f>
        <v>0</v>
      </c>
      <c r="P31" s="86">
        <f ca="1">_xll.DBRW($B$9,$C$18,$C$19,N$26,N$25,$C$21,$C$22,$B31,P$27)</f>
        <v>0</v>
      </c>
      <c r="Q31" s="87">
        <f t="shared" ca="1" si="2"/>
        <v>0</v>
      </c>
      <c r="R31" s="87">
        <f t="shared" ca="1" si="3"/>
        <v>0</v>
      </c>
      <c r="S31" s="85">
        <f ca="1">_xll.DBRW($B$9,$C$18,$C$19,S$26,S$25,$C$21,$C$22,$B31,S$27)</f>
        <v>0</v>
      </c>
      <c r="T31" s="19">
        <f ca="1">_xll.DBRW($B$9,$C$18,$C$19,S$26,S$25,$C$21,$C$22,$B31,T$27)</f>
        <v>0</v>
      </c>
      <c r="U31" s="86">
        <f ca="1">_xll.DBRW($B$9,$C$18,$C$19,S$26,S$25,$C$21,$C$22,$B31,U$27)</f>
        <v>0</v>
      </c>
      <c r="V31" s="85">
        <f ca="1">_xll.DBRW($B$9,$C$18,$C$19,V$26,V$25,$C$21,$C$22,$B31,V$27)</f>
        <v>0</v>
      </c>
      <c r="W31" s="19">
        <f ca="1">_xll.DBRW($B$9,$C$18,$C$19,V$26,V$25,$C$21,$C$22,$B31,W$27)</f>
        <v>0</v>
      </c>
      <c r="X31" s="86">
        <f ca="1">_xll.DBRW($B$9,$C$18,$C$19,V$26,V$25,$C$21,$C$22,$B31,X$27)</f>
        <v>0</v>
      </c>
      <c r="Y31" s="87">
        <f t="shared" ca="1" si="4"/>
        <v>0</v>
      </c>
      <c r="Z31" s="87">
        <f t="shared" ca="1" si="5"/>
        <v>0</v>
      </c>
      <c r="AA31" s="85">
        <f ca="1">_xll.DBRW($B$9,$C$18,$C$19,AA$26,AA$25,$C$21,$C$22,$B31,AA$27)</f>
        <v>0</v>
      </c>
      <c r="AB31" s="19">
        <f ca="1">_xll.DBRW($B$9,$C$18,$C$19,AA$26,AA$25,$C$21,$C$22,$B31,AB$27)</f>
        <v>0</v>
      </c>
      <c r="AC31" s="86">
        <f ca="1">_xll.DBRW($B$9,$C$18,$C$19,AA$26,AA$25,$C$21,$C$22,$B31,AC$27)</f>
        <v>0</v>
      </c>
      <c r="AD31" s="85">
        <f ca="1">_xll.DBRW($B$9,$C$18,$C$19,AD$26,AD$25,$C$21,$C$22,$B31,AD$27)</f>
        <v>0</v>
      </c>
      <c r="AE31" s="19">
        <f ca="1">_xll.DBRW($B$9,$C$18,$C$19,AD$26,AD$25,$C$21,$C$22,$B31,AE$27)</f>
        <v>0</v>
      </c>
      <c r="AF31" s="27">
        <f ca="1">_xll.DBRW($B$9,$C$18,$C$19,AD$26,AD$25,$C$21,$C$22,$B31,AF$27)</f>
        <v>0</v>
      </c>
      <c r="AG31" s="117">
        <f t="shared" ca="1" si="6"/>
        <v>0</v>
      </c>
      <c r="AH31" s="117">
        <f t="shared" ca="1" si="7"/>
        <v>0</v>
      </c>
    </row>
    <row r="32" spans="1:34">
      <c r="A32">
        <f ca="1">IF(_xll.TM1RPTELISCONSOLIDATED($B$28,$B32),IF(_xll.TM1RPTELLEV($B$28,$B32)&lt;=3,_xll.TM1RPTELLEV($B$28,$B32),"D"),"N")</f>
        <v>1</v>
      </c>
      <c r="B32" s="118" t="s">
        <v>176</v>
      </c>
      <c r="C32" s="85">
        <f ca="1">_xll.DBRW($B$9,$C$18,$C$19,C$26,C$25,$C$21,$C$22,$B32,C$27)</f>
        <v>0</v>
      </c>
      <c r="D32" s="19">
        <f ca="1">_xll.DBRW($B$9,$C$18,$C$19,C$26,C$25,$C$21,$C$22,$B32,D$27)</f>
        <v>0</v>
      </c>
      <c r="E32" s="86">
        <f ca="1">_xll.DBRW($B$9,$C$18,$C$19,C$26,C$25,$C$21,$C$22,$B32,E$27)</f>
        <v>0</v>
      </c>
      <c r="F32" s="85">
        <f ca="1">_xll.DBRW($B$9,$C$18,$C$19,F$26,F$25,$C$21,$C$22,$B32,F$27)</f>
        <v>0</v>
      </c>
      <c r="G32" s="19">
        <f ca="1">_xll.DBRW($B$9,$C$18,$C$19,F$26,F$25,$C$21,$C$22,$B32,G$27)</f>
        <v>0</v>
      </c>
      <c r="H32" s="27">
        <f ca="1">_xll.DBRW($B$9,$C$18,$C$19,F$26,F$25,$C$21,$C$22,$B32,H$27)</f>
        <v>0</v>
      </c>
      <c r="I32" s="87">
        <f t="shared" ca="1" si="0"/>
        <v>0</v>
      </c>
      <c r="J32" s="88">
        <f t="shared" ca="1" si="1"/>
        <v>0</v>
      </c>
      <c r="K32" s="85">
        <f ca="1">_xll.DBRW($B$9,$C$18,$C$19,K$26,K$25,$C$21,$C$22,$B32,K$27)</f>
        <v>0</v>
      </c>
      <c r="L32" s="19">
        <f ca="1">_xll.DBRW($B$9,$C$18,$C$19,K$26,K$25,$C$21,$C$22,$B32,L$27)</f>
        <v>0</v>
      </c>
      <c r="M32" s="86">
        <f ca="1">_xll.DBRW($B$9,$C$18,$C$19,K$26,K$25,$C$21,$C$22,$B32,M$27)</f>
        <v>0</v>
      </c>
      <c r="N32" s="85">
        <f ca="1">_xll.DBRW($B$9,$C$18,$C$19,N$26,N$25,$C$21,$C$22,$B32,N$27)</f>
        <v>0</v>
      </c>
      <c r="O32" s="19">
        <f ca="1">_xll.DBRW($B$9,$C$18,$C$19,N$26,N$25,$C$21,$C$22,$B32,O$27)</f>
        <v>0</v>
      </c>
      <c r="P32" s="86">
        <f ca="1">_xll.DBRW($B$9,$C$18,$C$19,N$26,N$25,$C$21,$C$22,$B32,P$27)</f>
        <v>0</v>
      </c>
      <c r="Q32" s="87">
        <f t="shared" ca="1" si="2"/>
        <v>0</v>
      </c>
      <c r="R32" s="87">
        <f t="shared" ca="1" si="3"/>
        <v>0</v>
      </c>
      <c r="S32" s="85">
        <f ca="1">_xll.DBRW($B$9,$C$18,$C$19,S$26,S$25,$C$21,$C$22,$B32,S$27)</f>
        <v>0</v>
      </c>
      <c r="T32" s="19">
        <f ca="1">_xll.DBRW($B$9,$C$18,$C$19,S$26,S$25,$C$21,$C$22,$B32,T$27)</f>
        <v>0</v>
      </c>
      <c r="U32" s="86">
        <f ca="1">_xll.DBRW($B$9,$C$18,$C$19,S$26,S$25,$C$21,$C$22,$B32,U$27)</f>
        <v>0</v>
      </c>
      <c r="V32" s="85">
        <f ca="1">_xll.DBRW($B$9,$C$18,$C$19,V$26,V$25,$C$21,$C$22,$B32,V$27)</f>
        <v>0</v>
      </c>
      <c r="W32" s="19">
        <f ca="1">_xll.DBRW($B$9,$C$18,$C$19,V$26,V$25,$C$21,$C$22,$B32,W$27)</f>
        <v>0</v>
      </c>
      <c r="X32" s="86">
        <f ca="1">_xll.DBRW($B$9,$C$18,$C$19,V$26,V$25,$C$21,$C$22,$B32,X$27)</f>
        <v>0</v>
      </c>
      <c r="Y32" s="87">
        <f t="shared" ca="1" si="4"/>
        <v>0</v>
      </c>
      <c r="Z32" s="87">
        <f t="shared" ca="1" si="5"/>
        <v>0</v>
      </c>
      <c r="AA32" s="85">
        <f ca="1">_xll.DBRW($B$9,$C$18,$C$19,AA$26,AA$25,$C$21,$C$22,$B32,AA$27)</f>
        <v>0</v>
      </c>
      <c r="AB32" s="19">
        <f ca="1">_xll.DBRW($B$9,$C$18,$C$19,AA$26,AA$25,$C$21,$C$22,$B32,AB$27)</f>
        <v>0</v>
      </c>
      <c r="AC32" s="86">
        <f ca="1">_xll.DBRW($B$9,$C$18,$C$19,AA$26,AA$25,$C$21,$C$22,$B32,AC$27)</f>
        <v>0</v>
      </c>
      <c r="AD32" s="85">
        <f ca="1">_xll.DBRW($B$9,$C$18,$C$19,AD$26,AD$25,$C$21,$C$22,$B32,AD$27)</f>
        <v>0</v>
      </c>
      <c r="AE32" s="19">
        <f ca="1">_xll.DBRW($B$9,$C$18,$C$19,AD$26,AD$25,$C$21,$C$22,$B32,AE$27)</f>
        <v>0</v>
      </c>
      <c r="AF32" s="27">
        <f ca="1">_xll.DBRW($B$9,$C$18,$C$19,AD$26,AD$25,$C$21,$C$22,$B32,AF$27)</f>
        <v>0</v>
      </c>
      <c r="AG32" s="117">
        <f t="shared" ca="1" si="6"/>
        <v>0</v>
      </c>
      <c r="AH32" s="117">
        <f t="shared" ca="1" si="7"/>
        <v>0</v>
      </c>
    </row>
    <row r="33" spans="1:34">
      <c r="A33">
        <f ca="1">IF(_xll.TM1RPTELISCONSOLIDATED($B$28,$B33),IF(_xll.TM1RPTELLEV($B$28,$B33)&lt;=3,_xll.TM1RPTELLEV($B$28,$B33),"D"),"N")</f>
        <v>1</v>
      </c>
      <c r="B33" s="118" t="s">
        <v>177</v>
      </c>
      <c r="C33" s="85">
        <f ca="1">_xll.DBRW($B$9,$C$18,$C$19,C$26,C$25,$C$21,$C$22,$B33,C$27)</f>
        <v>0</v>
      </c>
      <c r="D33" s="19">
        <f ca="1">_xll.DBRW($B$9,$C$18,$C$19,C$26,C$25,$C$21,$C$22,$B33,D$27)</f>
        <v>0</v>
      </c>
      <c r="E33" s="86">
        <f ca="1">_xll.DBRW($B$9,$C$18,$C$19,C$26,C$25,$C$21,$C$22,$B33,E$27)</f>
        <v>0</v>
      </c>
      <c r="F33" s="85">
        <f ca="1">_xll.DBRW($B$9,$C$18,$C$19,F$26,F$25,$C$21,$C$22,$B33,F$27)</f>
        <v>0</v>
      </c>
      <c r="G33" s="19">
        <f ca="1">_xll.DBRW($B$9,$C$18,$C$19,F$26,F$25,$C$21,$C$22,$B33,G$27)</f>
        <v>0</v>
      </c>
      <c r="H33" s="27">
        <f ca="1">_xll.DBRW($B$9,$C$18,$C$19,F$26,F$25,$C$21,$C$22,$B33,H$27)</f>
        <v>0</v>
      </c>
      <c r="I33" s="87">
        <f t="shared" ca="1" si="0"/>
        <v>0</v>
      </c>
      <c r="J33" s="88">
        <f t="shared" ca="1" si="1"/>
        <v>0</v>
      </c>
      <c r="K33" s="85">
        <f ca="1">_xll.DBRW($B$9,$C$18,$C$19,K$26,K$25,$C$21,$C$22,$B33,K$27)</f>
        <v>0</v>
      </c>
      <c r="L33" s="19">
        <f ca="1">_xll.DBRW($B$9,$C$18,$C$19,K$26,K$25,$C$21,$C$22,$B33,L$27)</f>
        <v>0</v>
      </c>
      <c r="M33" s="86">
        <f ca="1">_xll.DBRW($B$9,$C$18,$C$19,K$26,K$25,$C$21,$C$22,$B33,M$27)</f>
        <v>0</v>
      </c>
      <c r="N33" s="85">
        <f ca="1">_xll.DBRW($B$9,$C$18,$C$19,N$26,N$25,$C$21,$C$22,$B33,N$27)</f>
        <v>0</v>
      </c>
      <c r="O33" s="19">
        <f ca="1">_xll.DBRW($B$9,$C$18,$C$19,N$26,N$25,$C$21,$C$22,$B33,O$27)</f>
        <v>0</v>
      </c>
      <c r="P33" s="86">
        <f ca="1">_xll.DBRW($B$9,$C$18,$C$19,N$26,N$25,$C$21,$C$22,$B33,P$27)</f>
        <v>0</v>
      </c>
      <c r="Q33" s="87">
        <f t="shared" ca="1" si="2"/>
        <v>0</v>
      </c>
      <c r="R33" s="87">
        <f t="shared" ca="1" si="3"/>
        <v>0</v>
      </c>
      <c r="S33" s="85">
        <f ca="1">_xll.DBRW($B$9,$C$18,$C$19,S$26,S$25,$C$21,$C$22,$B33,S$27)</f>
        <v>0</v>
      </c>
      <c r="T33" s="19">
        <f ca="1">_xll.DBRW($B$9,$C$18,$C$19,S$26,S$25,$C$21,$C$22,$B33,T$27)</f>
        <v>0</v>
      </c>
      <c r="U33" s="86">
        <f ca="1">_xll.DBRW($B$9,$C$18,$C$19,S$26,S$25,$C$21,$C$22,$B33,U$27)</f>
        <v>0</v>
      </c>
      <c r="V33" s="85">
        <f ca="1">_xll.DBRW($B$9,$C$18,$C$19,V$26,V$25,$C$21,$C$22,$B33,V$27)</f>
        <v>0</v>
      </c>
      <c r="W33" s="19">
        <f ca="1">_xll.DBRW($B$9,$C$18,$C$19,V$26,V$25,$C$21,$C$22,$B33,W$27)</f>
        <v>0</v>
      </c>
      <c r="X33" s="86">
        <f ca="1">_xll.DBRW($B$9,$C$18,$C$19,V$26,V$25,$C$21,$C$22,$B33,X$27)</f>
        <v>0</v>
      </c>
      <c r="Y33" s="87">
        <f t="shared" ca="1" si="4"/>
        <v>0</v>
      </c>
      <c r="Z33" s="87">
        <f t="shared" ca="1" si="5"/>
        <v>0</v>
      </c>
      <c r="AA33" s="85">
        <f ca="1">_xll.DBRW($B$9,$C$18,$C$19,AA$26,AA$25,$C$21,$C$22,$B33,AA$27)</f>
        <v>0</v>
      </c>
      <c r="AB33" s="19">
        <f ca="1">_xll.DBRW($B$9,$C$18,$C$19,AA$26,AA$25,$C$21,$C$22,$B33,AB$27)</f>
        <v>0</v>
      </c>
      <c r="AC33" s="86">
        <f ca="1">_xll.DBRW($B$9,$C$18,$C$19,AA$26,AA$25,$C$21,$C$22,$B33,AC$27)</f>
        <v>0</v>
      </c>
      <c r="AD33" s="85">
        <f ca="1">_xll.DBRW($B$9,$C$18,$C$19,AD$26,AD$25,$C$21,$C$22,$B33,AD$27)</f>
        <v>0</v>
      </c>
      <c r="AE33" s="19">
        <f ca="1">_xll.DBRW($B$9,$C$18,$C$19,AD$26,AD$25,$C$21,$C$22,$B33,AE$27)</f>
        <v>0</v>
      </c>
      <c r="AF33" s="27">
        <f ca="1">_xll.DBRW($B$9,$C$18,$C$19,AD$26,AD$25,$C$21,$C$22,$B33,AF$27)</f>
        <v>0</v>
      </c>
      <c r="AG33" s="117">
        <f t="shared" ca="1" si="6"/>
        <v>0</v>
      </c>
      <c r="AH33" s="117">
        <f t="shared" ca="1" si="7"/>
        <v>0</v>
      </c>
    </row>
    <row r="34" spans="1:34">
      <c r="A34">
        <f ca="1">IF(_xll.TM1RPTELISCONSOLIDATED($B$28,$B34),IF(_xll.TM1RPTELLEV($B$28,$B34)&lt;=3,_xll.TM1RPTELLEV($B$28,$B34),"D"),"N")</f>
        <v>1</v>
      </c>
      <c r="B34" s="118" t="s">
        <v>178</v>
      </c>
      <c r="C34" s="85">
        <f ca="1">_xll.DBRW($B$9,$C$18,$C$19,C$26,C$25,$C$21,$C$22,$B34,C$27)</f>
        <v>0</v>
      </c>
      <c r="D34" s="19">
        <f ca="1">_xll.DBRW($B$9,$C$18,$C$19,C$26,C$25,$C$21,$C$22,$B34,D$27)</f>
        <v>0</v>
      </c>
      <c r="E34" s="86">
        <f ca="1">_xll.DBRW($B$9,$C$18,$C$19,C$26,C$25,$C$21,$C$22,$B34,E$27)</f>
        <v>0</v>
      </c>
      <c r="F34" s="85">
        <f ca="1">_xll.DBRW($B$9,$C$18,$C$19,F$26,F$25,$C$21,$C$22,$B34,F$27)</f>
        <v>0</v>
      </c>
      <c r="G34" s="19">
        <f ca="1">_xll.DBRW($B$9,$C$18,$C$19,F$26,F$25,$C$21,$C$22,$B34,G$27)</f>
        <v>0</v>
      </c>
      <c r="H34" s="27">
        <f ca="1">_xll.DBRW($B$9,$C$18,$C$19,F$26,F$25,$C$21,$C$22,$B34,H$27)</f>
        <v>0</v>
      </c>
      <c r="I34" s="87">
        <f t="shared" ca="1" si="0"/>
        <v>0</v>
      </c>
      <c r="J34" s="88">
        <f t="shared" ca="1" si="1"/>
        <v>0</v>
      </c>
      <c r="K34" s="85">
        <f ca="1">_xll.DBRW($B$9,$C$18,$C$19,K$26,K$25,$C$21,$C$22,$B34,K$27)</f>
        <v>0</v>
      </c>
      <c r="L34" s="19">
        <f ca="1">_xll.DBRW($B$9,$C$18,$C$19,K$26,K$25,$C$21,$C$22,$B34,L$27)</f>
        <v>0</v>
      </c>
      <c r="M34" s="86">
        <f ca="1">_xll.DBRW($B$9,$C$18,$C$19,K$26,K$25,$C$21,$C$22,$B34,M$27)</f>
        <v>0</v>
      </c>
      <c r="N34" s="85">
        <f ca="1">_xll.DBRW($B$9,$C$18,$C$19,N$26,N$25,$C$21,$C$22,$B34,N$27)</f>
        <v>0</v>
      </c>
      <c r="O34" s="19">
        <f ca="1">_xll.DBRW($B$9,$C$18,$C$19,N$26,N$25,$C$21,$C$22,$B34,O$27)</f>
        <v>0</v>
      </c>
      <c r="P34" s="86">
        <f ca="1">_xll.DBRW($B$9,$C$18,$C$19,N$26,N$25,$C$21,$C$22,$B34,P$27)</f>
        <v>0</v>
      </c>
      <c r="Q34" s="87">
        <f t="shared" ca="1" si="2"/>
        <v>0</v>
      </c>
      <c r="R34" s="87">
        <f t="shared" ca="1" si="3"/>
        <v>0</v>
      </c>
      <c r="S34" s="85">
        <f ca="1">_xll.DBRW($B$9,$C$18,$C$19,S$26,S$25,$C$21,$C$22,$B34,S$27)</f>
        <v>0</v>
      </c>
      <c r="T34" s="19">
        <f ca="1">_xll.DBRW($B$9,$C$18,$C$19,S$26,S$25,$C$21,$C$22,$B34,T$27)</f>
        <v>0</v>
      </c>
      <c r="U34" s="86">
        <f ca="1">_xll.DBRW($B$9,$C$18,$C$19,S$26,S$25,$C$21,$C$22,$B34,U$27)</f>
        <v>0</v>
      </c>
      <c r="V34" s="85">
        <f ca="1">_xll.DBRW($B$9,$C$18,$C$19,V$26,V$25,$C$21,$C$22,$B34,V$27)</f>
        <v>0</v>
      </c>
      <c r="W34" s="19">
        <f ca="1">_xll.DBRW($B$9,$C$18,$C$19,V$26,V$25,$C$21,$C$22,$B34,W$27)</f>
        <v>0</v>
      </c>
      <c r="X34" s="86">
        <f ca="1">_xll.DBRW($B$9,$C$18,$C$19,V$26,V$25,$C$21,$C$22,$B34,X$27)</f>
        <v>0</v>
      </c>
      <c r="Y34" s="87">
        <f t="shared" ca="1" si="4"/>
        <v>0</v>
      </c>
      <c r="Z34" s="87">
        <f t="shared" ca="1" si="5"/>
        <v>0</v>
      </c>
      <c r="AA34" s="85">
        <f ca="1">_xll.DBRW($B$9,$C$18,$C$19,AA$26,AA$25,$C$21,$C$22,$B34,AA$27)</f>
        <v>0</v>
      </c>
      <c r="AB34" s="19">
        <f ca="1">_xll.DBRW($B$9,$C$18,$C$19,AA$26,AA$25,$C$21,$C$22,$B34,AB$27)</f>
        <v>0</v>
      </c>
      <c r="AC34" s="86">
        <f ca="1">_xll.DBRW($B$9,$C$18,$C$19,AA$26,AA$25,$C$21,$C$22,$B34,AC$27)</f>
        <v>0</v>
      </c>
      <c r="AD34" s="85">
        <f ca="1">_xll.DBRW($B$9,$C$18,$C$19,AD$26,AD$25,$C$21,$C$22,$B34,AD$27)</f>
        <v>0</v>
      </c>
      <c r="AE34" s="19">
        <f ca="1">_xll.DBRW($B$9,$C$18,$C$19,AD$26,AD$25,$C$21,$C$22,$B34,AE$27)</f>
        <v>0</v>
      </c>
      <c r="AF34" s="27">
        <f ca="1">_xll.DBRW($B$9,$C$18,$C$19,AD$26,AD$25,$C$21,$C$22,$B34,AF$27)</f>
        <v>0</v>
      </c>
      <c r="AG34" s="117">
        <f t="shared" ca="1" si="6"/>
        <v>0</v>
      </c>
      <c r="AH34" s="117">
        <f t="shared" ca="1" si="7"/>
        <v>0</v>
      </c>
    </row>
    <row r="35" spans="1:34">
      <c r="A35">
        <f ca="1">IF(_xll.TM1RPTELISCONSOLIDATED($B$28,$B35),IF(_xll.TM1RPTELLEV($B$28,$B35)&lt;=3,_xll.TM1RPTELLEV($B$28,$B35),"D"),"N")</f>
        <v>1</v>
      </c>
      <c r="B35" s="118" t="s">
        <v>179</v>
      </c>
      <c r="C35" s="85">
        <f ca="1">_xll.DBRW($B$9,$C$18,$C$19,C$26,C$25,$C$21,$C$22,$B35,C$27)</f>
        <v>0</v>
      </c>
      <c r="D35" s="19">
        <f ca="1">_xll.DBRW($B$9,$C$18,$C$19,C$26,C$25,$C$21,$C$22,$B35,D$27)</f>
        <v>0</v>
      </c>
      <c r="E35" s="86">
        <f ca="1">_xll.DBRW($B$9,$C$18,$C$19,C$26,C$25,$C$21,$C$22,$B35,E$27)</f>
        <v>0</v>
      </c>
      <c r="F35" s="85">
        <f ca="1">_xll.DBRW($B$9,$C$18,$C$19,F$26,F$25,$C$21,$C$22,$B35,F$27)</f>
        <v>0</v>
      </c>
      <c r="G35" s="19">
        <f ca="1">_xll.DBRW($B$9,$C$18,$C$19,F$26,F$25,$C$21,$C$22,$B35,G$27)</f>
        <v>0</v>
      </c>
      <c r="H35" s="27">
        <f ca="1">_xll.DBRW($B$9,$C$18,$C$19,F$26,F$25,$C$21,$C$22,$B35,H$27)</f>
        <v>0</v>
      </c>
      <c r="I35" s="87">
        <f t="shared" ca="1" si="0"/>
        <v>0</v>
      </c>
      <c r="J35" s="88">
        <f t="shared" ca="1" si="1"/>
        <v>0</v>
      </c>
      <c r="K35" s="85">
        <f ca="1">_xll.DBRW($B$9,$C$18,$C$19,K$26,K$25,$C$21,$C$22,$B35,K$27)</f>
        <v>0</v>
      </c>
      <c r="L35" s="19">
        <f ca="1">_xll.DBRW($B$9,$C$18,$C$19,K$26,K$25,$C$21,$C$22,$B35,L$27)</f>
        <v>0</v>
      </c>
      <c r="M35" s="86">
        <f ca="1">_xll.DBRW($B$9,$C$18,$C$19,K$26,K$25,$C$21,$C$22,$B35,M$27)</f>
        <v>0</v>
      </c>
      <c r="N35" s="85">
        <f ca="1">_xll.DBRW($B$9,$C$18,$C$19,N$26,N$25,$C$21,$C$22,$B35,N$27)</f>
        <v>0</v>
      </c>
      <c r="O35" s="19">
        <f ca="1">_xll.DBRW($B$9,$C$18,$C$19,N$26,N$25,$C$21,$C$22,$B35,O$27)</f>
        <v>0</v>
      </c>
      <c r="P35" s="86">
        <f ca="1">_xll.DBRW($B$9,$C$18,$C$19,N$26,N$25,$C$21,$C$22,$B35,P$27)</f>
        <v>0</v>
      </c>
      <c r="Q35" s="87">
        <f t="shared" ca="1" si="2"/>
        <v>0</v>
      </c>
      <c r="R35" s="87">
        <f t="shared" ca="1" si="3"/>
        <v>0</v>
      </c>
      <c r="S35" s="85">
        <f ca="1">_xll.DBRW($B$9,$C$18,$C$19,S$26,S$25,$C$21,$C$22,$B35,S$27)</f>
        <v>0</v>
      </c>
      <c r="T35" s="19">
        <f ca="1">_xll.DBRW($B$9,$C$18,$C$19,S$26,S$25,$C$21,$C$22,$B35,T$27)</f>
        <v>0</v>
      </c>
      <c r="U35" s="86">
        <f ca="1">_xll.DBRW($B$9,$C$18,$C$19,S$26,S$25,$C$21,$C$22,$B35,U$27)</f>
        <v>0</v>
      </c>
      <c r="V35" s="85">
        <f ca="1">_xll.DBRW($B$9,$C$18,$C$19,V$26,V$25,$C$21,$C$22,$B35,V$27)</f>
        <v>0</v>
      </c>
      <c r="W35" s="19">
        <f ca="1">_xll.DBRW($B$9,$C$18,$C$19,V$26,V$25,$C$21,$C$22,$B35,W$27)</f>
        <v>0</v>
      </c>
      <c r="X35" s="86">
        <f ca="1">_xll.DBRW($B$9,$C$18,$C$19,V$26,V$25,$C$21,$C$22,$B35,X$27)</f>
        <v>0</v>
      </c>
      <c r="Y35" s="87">
        <f t="shared" ca="1" si="4"/>
        <v>0</v>
      </c>
      <c r="Z35" s="87">
        <f t="shared" ca="1" si="5"/>
        <v>0</v>
      </c>
      <c r="AA35" s="85">
        <f ca="1">_xll.DBRW($B$9,$C$18,$C$19,AA$26,AA$25,$C$21,$C$22,$B35,AA$27)</f>
        <v>0</v>
      </c>
      <c r="AB35" s="19">
        <f ca="1">_xll.DBRW($B$9,$C$18,$C$19,AA$26,AA$25,$C$21,$C$22,$B35,AB$27)</f>
        <v>0</v>
      </c>
      <c r="AC35" s="86">
        <f ca="1">_xll.DBRW($B$9,$C$18,$C$19,AA$26,AA$25,$C$21,$C$22,$B35,AC$27)</f>
        <v>0</v>
      </c>
      <c r="AD35" s="85">
        <f ca="1">_xll.DBRW($B$9,$C$18,$C$19,AD$26,AD$25,$C$21,$C$22,$B35,AD$27)</f>
        <v>0</v>
      </c>
      <c r="AE35" s="19">
        <f ca="1">_xll.DBRW($B$9,$C$18,$C$19,AD$26,AD$25,$C$21,$C$22,$B35,AE$27)</f>
        <v>0</v>
      </c>
      <c r="AF35" s="27">
        <f ca="1">_xll.DBRW($B$9,$C$18,$C$19,AD$26,AD$25,$C$21,$C$22,$B35,AF$27)</f>
        <v>0</v>
      </c>
      <c r="AG35" s="117">
        <f t="shared" ca="1" si="6"/>
        <v>0</v>
      </c>
      <c r="AH35" s="117">
        <f t="shared" ca="1" si="7"/>
        <v>0</v>
      </c>
    </row>
    <row r="36" spans="1:34">
      <c r="A36">
        <f ca="1">IF(_xll.TM1RPTELISCONSOLIDATED($B$28,$B36),IF(_xll.TM1RPTELLEV($B$28,$B36)&lt;=3,_xll.TM1RPTELLEV($B$28,$B36),"D"),"N")</f>
        <v>1</v>
      </c>
      <c r="B36" s="118" t="s">
        <v>180</v>
      </c>
      <c r="C36" s="85">
        <f ca="1">_xll.DBRW($B$9,$C$18,$C$19,C$26,C$25,$C$21,$C$22,$B36,C$27)</f>
        <v>0</v>
      </c>
      <c r="D36" s="19">
        <f ca="1">_xll.DBRW($B$9,$C$18,$C$19,C$26,C$25,$C$21,$C$22,$B36,D$27)</f>
        <v>0</v>
      </c>
      <c r="E36" s="86">
        <f ca="1">_xll.DBRW($B$9,$C$18,$C$19,C$26,C$25,$C$21,$C$22,$B36,E$27)</f>
        <v>0</v>
      </c>
      <c r="F36" s="85">
        <f ca="1">_xll.DBRW($B$9,$C$18,$C$19,F$26,F$25,$C$21,$C$22,$B36,F$27)</f>
        <v>0</v>
      </c>
      <c r="G36" s="19">
        <f ca="1">_xll.DBRW($B$9,$C$18,$C$19,F$26,F$25,$C$21,$C$22,$B36,G$27)</f>
        <v>0</v>
      </c>
      <c r="H36" s="27">
        <f ca="1">_xll.DBRW($B$9,$C$18,$C$19,F$26,F$25,$C$21,$C$22,$B36,H$27)</f>
        <v>0</v>
      </c>
      <c r="I36" s="87">
        <f t="shared" ca="1" si="0"/>
        <v>0</v>
      </c>
      <c r="J36" s="88">
        <f t="shared" ca="1" si="1"/>
        <v>0</v>
      </c>
      <c r="K36" s="85">
        <f ca="1">_xll.DBRW($B$9,$C$18,$C$19,K$26,K$25,$C$21,$C$22,$B36,K$27)</f>
        <v>0</v>
      </c>
      <c r="L36" s="19">
        <f ca="1">_xll.DBRW($B$9,$C$18,$C$19,K$26,K$25,$C$21,$C$22,$B36,L$27)</f>
        <v>0</v>
      </c>
      <c r="M36" s="86">
        <f ca="1">_xll.DBRW($B$9,$C$18,$C$19,K$26,K$25,$C$21,$C$22,$B36,M$27)</f>
        <v>0</v>
      </c>
      <c r="N36" s="85">
        <f ca="1">_xll.DBRW($B$9,$C$18,$C$19,N$26,N$25,$C$21,$C$22,$B36,N$27)</f>
        <v>0</v>
      </c>
      <c r="O36" s="19">
        <f ca="1">_xll.DBRW($B$9,$C$18,$C$19,N$26,N$25,$C$21,$C$22,$B36,O$27)</f>
        <v>0</v>
      </c>
      <c r="P36" s="86">
        <f ca="1">_xll.DBRW($B$9,$C$18,$C$19,N$26,N$25,$C$21,$C$22,$B36,P$27)</f>
        <v>0</v>
      </c>
      <c r="Q36" s="87">
        <f t="shared" ca="1" si="2"/>
        <v>0</v>
      </c>
      <c r="R36" s="87">
        <f t="shared" ca="1" si="3"/>
        <v>0</v>
      </c>
      <c r="S36" s="85">
        <f ca="1">_xll.DBRW($B$9,$C$18,$C$19,S$26,S$25,$C$21,$C$22,$B36,S$27)</f>
        <v>0</v>
      </c>
      <c r="T36" s="19">
        <f ca="1">_xll.DBRW($B$9,$C$18,$C$19,S$26,S$25,$C$21,$C$22,$B36,T$27)</f>
        <v>0</v>
      </c>
      <c r="U36" s="86">
        <f ca="1">_xll.DBRW($B$9,$C$18,$C$19,S$26,S$25,$C$21,$C$22,$B36,U$27)</f>
        <v>0</v>
      </c>
      <c r="V36" s="85">
        <f ca="1">_xll.DBRW($B$9,$C$18,$C$19,V$26,V$25,$C$21,$C$22,$B36,V$27)</f>
        <v>0</v>
      </c>
      <c r="W36" s="19">
        <f ca="1">_xll.DBRW($B$9,$C$18,$C$19,V$26,V$25,$C$21,$C$22,$B36,W$27)</f>
        <v>0</v>
      </c>
      <c r="X36" s="86">
        <f ca="1">_xll.DBRW($B$9,$C$18,$C$19,V$26,V$25,$C$21,$C$22,$B36,X$27)</f>
        <v>0</v>
      </c>
      <c r="Y36" s="87">
        <f t="shared" ca="1" si="4"/>
        <v>0</v>
      </c>
      <c r="Z36" s="87">
        <f t="shared" ca="1" si="5"/>
        <v>0</v>
      </c>
      <c r="AA36" s="85">
        <f ca="1">_xll.DBRW($B$9,$C$18,$C$19,AA$26,AA$25,$C$21,$C$22,$B36,AA$27)</f>
        <v>0</v>
      </c>
      <c r="AB36" s="19">
        <f ca="1">_xll.DBRW($B$9,$C$18,$C$19,AA$26,AA$25,$C$21,$C$22,$B36,AB$27)</f>
        <v>0</v>
      </c>
      <c r="AC36" s="86">
        <f ca="1">_xll.DBRW($B$9,$C$18,$C$19,AA$26,AA$25,$C$21,$C$22,$B36,AC$27)</f>
        <v>0</v>
      </c>
      <c r="AD36" s="85">
        <f ca="1">_xll.DBRW($B$9,$C$18,$C$19,AD$26,AD$25,$C$21,$C$22,$B36,AD$27)</f>
        <v>0</v>
      </c>
      <c r="AE36" s="19">
        <f ca="1">_xll.DBRW($B$9,$C$18,$C$19,AD$26,AD$25,$C$21,$C$22,$B36,AE$27)</f>
        <v>0</v>
      </c>
      <c r="AF36" s="27">
        <f ca="1">_xll.DBRW($B$9,$C$18,$C$19,AD$26,AD$25,$C$21,$C$22,$B36,AF$27)</f>
        <v>0</v>
      </c>
      <c r="AG36" s="117">
        <f t="shared" ca="1" si="6"/>
        <v>0</v>
      </c>
      <c r="AH36" s="117">
        <f t="shared" ca="1" si="7"/>
        <v>0</v>
      </c>
    </row>
    <row r="37" spans="1:34">
      <c r="A37">
        <f ca="1">IF(_xll.TM1RPTELISCONSOLIDATED($B$28,$B37),IF(_xll.TM1RPTELLEV($B$28,$B37)&lt;=3,_xll.TM1RPTELLEV($B$28,$B37),"D"),"N")</f>
        <v>1</v>
      </c>
      <c r="B37" s="118" t="s">
        <v>181</v>
      </c>
      <c r="C37" s="85">
        <f ca="1">_xll.DBRW($B$9,$C$18,$C$19,C$26,C$25,$C$21,$C$22,$B37,C$27)</f>
        <v>0</v>
      </c>
      <c r="D37" s="19">
        <f ca="1">_xll.DBRW($B$9,$C$18,$C$19,C$26,C$25,$C$21,$C$22,$B37,D$27)</f>
        <v>0</v>
      </c>
      <c r="E37" s="86">
        <f ca="1">_xll.DBRW($B$9,$C$18,$C$19,C$26,C$25,$C$21,$C$22,$B37,E$27)</f>
        <v>0</v>
      </c>
      <c r="F37" s="85">
        <f ca="1">_xll.DBRW($B$9,$C$18,$C$19,F$26,F$25,$C$21,$C$22,$B37,F$27)</f>
        <v>0</v>
      </c>
      <c r="G37" s="19">
        <f ca="1">_xll.DBRW($B$9,$C$18,$C$19,F$26,F$25,$C$21,$C$22,$B37,G$27)</f>
        <v>0</v>
      </c>
      <c r="H37" s="27">
        <f ca="1">_xll.DBRW($B$9,$C$18,$C$19,F$26,F$25,$C$21,$C$22,$B37,H$27)</f>
        <v>0</v>
      </c>
      <c r="I37" s="87">
        <f t="shared" ca="1" si="0"/>
        <v>0</v>
      </c>
      <c r="J37" s="88">
        <f t="shared" ca="1" si="1"/>
        <v>0</v>
      </c>
      <c r="K37" s="85">
        <f ca="1">_xll.DBRW($B$9,$C$18,$C$19,K$26,K$25,$C$21,$C$22,$B37,K$27)</f>
        <v>0</v>
      </c>
      <c r="L37" s="19">
        <f ca="1">_xll.DBRW($B$9,$C$18,$C$19,K$26,K$25,$C$21,$C$22,$B37,L$27)</f>
        <v>0</v>
      </c>
      <c r="M37" s="86">
        <f ca="1">_xll.DBRW($B$9,$C$18,$C$19,K$26,K$25,$C$21,$C$22,$B37,M$27)</f>
        <v>0</v>
      </c>
      <c r="N37" s="85">
        <f ca="1">_xll.DBRW($B$9,$C$18,$C$19,N$26,N$25,$C$21,$C$22,$B37,N$27)</f>
        <v>0</v>
      </c>
      <c r="O37" s="19">
        <f ca="1">_xll.DBRW($B$9,$C$18,$C$19,N$26,N$25,$C$21,$C$22,$B37,O$27)</f>
        <v>0</v>
      </c>
      <c r="P37" s="86">
        <f ca="1">_xll.DBRW($B$9,$C$18,$C$19,N$26,N$25,$C$21,$C$22,$B37,P$27)</f>
        <v>0</v>
      </c>
      <c r="Q37" s="87">
        <f t="shared" ca="1" si="2"/>
        <v>0</v>
      </c>
      <c r="R37" s="87">
        <f t="shared" ca="1" si="3"/>
        <v>0</v>
      </c>
      <c r="S37" s="85">
        <f ca="1">_xll.DBRW($B$9,$C$18,$C$19,S$26,S$25,$C$21,$C$22,$B37,S$27)</f>
        <v>0</v>
      </c>
      <c r="T37" s="19">
        <f ca="1">_xll.DBRW($B$9,$C$18,$C$19,S$26,S$25,$C$21,$C$22,$B37,T$27)</f>
        <v>0</v>
      </c>
      <c r="U37" s="86">
        <f ca="1">_xll.DBRW($B$9,$C$18,$C$19,S$26,S$25,$C$21,$C$22,$B37,U$27)</f>
        <v>0</v>
      </c>
      <c r="V37" s="85">
        <f ca="1">_xll.DBRW($B$9,$C$18,$C$19,V$26,V$25,$C$21,$C$22,$B37,V$27)</f>
        <v>0</v>
      </c>
      <c r="W37" s="19">
        <f ca="1">_xll.DBRW($B$9,$C$18,$C$19,V$26,V$25,$C$21,$C$22,$B37,W$27)</f>
        <v>0</v>
      </c>
      <c r="X37" s="86">
        <f ca="1">_xll.DBRW($B$9,$C$18,$C$19,V$26,V$25,$C$21,$C$22,$B37,X$27)</f>
        <v>0</v>
      </c>
      <c r="Y37" s="87">
        <f t="shared" ca="1" si="4"/>
        <v>0</v>
      </c>
      <c r="Z37" s="87">
        <f t="shared" ca="1" si="5"/>
        <v>0</v>
      </c>
      <c r="AA37" s="85">
        <f ca="1">_xll.DBRW($B$9,$C$18,$C$19,AA$26,AA$25,$C$21,$C$22,$B37,AA$27)</f>
        <v>0</v>
      </c>
      <c r="AB37" s="19">
        <f ca="1">_xll.DBRW($B$9,$C$18,$C$19,AA$26,AA$25,$C$21,$C$22,$B37,AB$27)</f>
        <v>0</v>
      </c>
      <c r="AC37" s="86">
        <f ca="1">_xll.DBRW($B$9,$C$18,$C$19,AA$26,AA$25,$C$21,$C$22,$B37,AC$27)</f>
        <v>0</v>
      </c>
      <c r="AD37" s="85">
        <f ca="1">_xll.DBRW($B$9,$C$18,$C$19,AD$26,AD$25,$C$21,$C$22,$B37,AD$27)</f>
        <v>0</v>
      </c>
      <c r="AE37" s="19">
        <f ca="1">_xll.DBRW($B$9,$C$18,$C$19,AD$26,AD$25,$C$21,$C$22,$B37,AE$27)</f>
        <v>0</v>
      </c>
      <c r="AF37" s="27">
        <f ca="1">_xll.DBRW($B$9,$C$18,$C$19,AD$26,AD$25,$C$21,$C$22,$B37,AF$27)</f>
        <v>0</v>
      </c>
      <c r="AG37" s="117">
        <f t="shared" ca="1" si="6"/>
        <v>0</v>
      </c>
      <c r="AH37" s="117">
        <f t="shared" ca="1" si="7"/>
        <v>0</v>
      </c>
    </row>
    <row r="38" spans="1:34">
      <c r="A38">
        <f ca="1">IF(_xll.TM1RPTELISCONSOLIDATED($B$28,$B38),IF(_xll.TM1RPTELLEV($B$28,$B38)&lt;=3,_xll.TM1RPTELLEV($B$28,$B38),"D"),"N")</f>
        <v>1</v>
      </c>
      <c r="B38" s="118" t="s">
        <v>182</v>
      </c>
      <c r="C38" s="85">
        <f ca="1">_xll.DBRW($B$9,$C$18,$C$19,C$26,C$25,$C$21,$C$22,$B38,C$27)</f>
        <v>0</v>
      </c>
      <c r="D38" s="19">
        <f ca="1">_xll.DBRW($B$9,$C$18,$C$19,C$26,C$25,$C$21,$C$22,$B38,D$27)</f>
        <v>0</v>
      </c>
      <c r="E38" s="86">
        <f ca="1">_xll.DBRW($B$9,$C$18,$C$19,C$26,C$25,$C$21,$C$22,$B38,E$27)</f>
        <v>0</v>
      </c>
      <c r="F38" s="85">
        <f ca="1">_xll.DBRW($B$9,$C$18,$C$19,F$26,F$25,$C$21,$C$22,$B38,F$27)</f>
        <v>0</v>
      </c>
      <c r="G38" s="19">
        <f ca="1">_xll.DBRW($B$9,$C$18,$C$19,F$26,F$25,$C$21,$C$22,$B38,G$27)</f>
        <v>0</v>
      </c>
      <c r="H38" s="27">
        <f ca="1">_xll.DBRW($B$9,$C$18,$C$19,F$26,F$25,$C$21,$C$22,$B38,H$27)</f>
        <v>0</v>
      </c>
      <c r="I38" s="87">
        <f t="shared" ca="1" si="0"/>
        <v>0</v>
      </c>
      <c r="J38" s="88">
        <f t="shared" ca="1" si="1"/>
        <v>0</v>
      </c>
      <c r="K38" s="85">
        <f ca="1">_xll.DBRW($B$9,$C$18,$C$19,K$26,K$25,$C$21,$C$22,$B38,K$27)</f>
        <v>0</v>
      </c>
      <c r="L38" s="19">
        <f ca="1">_xll.DBRW($B$9,$C$18,$C$19,K$26,K$25,$C$21,$C$22,$B38,L$27)</f>
        <v>0</v>
      </c>
      <c r="M38" s="86">
        <f ca="1">_xll.DBRW($B$9,$C$18,$C$19,K$26,K$25,$C$21,$C$22,$B38,M$27)</f>
        <v>0</v>
      </c>
      <c r="N38" s="85">
        <f ca="1">_xll.DBRW($B$9,$C$18,$C$19,N$26,N$25,$C$21,$C$22,$B38,N$27)</f>
        <v>0</v>
      </c>
      <c r="O38" s="19">
        <f ca="1">_xll.DBRW($B$9,$C$18,$C$19,N$26,N$25,$C$21,$C$22,$B38,O$27)</f>
        <v>0</v>
      </c>
      <c r="P38" s="86">
        <f ca="1">_xll.DBRW($B$9,$C$18,$C$19,N$26,N$25,$C$21,$C$22,$B38,P$27)</f>
        <v>0</v>
      </c>
      <c r="Q38" s="87">
        <f t="shared" ca="1" si="2"/>
        <v>0</v>
      </c>
      <c r="R38" s="87">
        <f t="shared" ca="1" si="3"/>
        <v>0</v>
      </c>
      <c r="S38" s="85">
        <f ca="1">_xll.DBRW($B$9,$C$18,$C$19,S$26,S$25,$C$21,$C$22,$B38,S$27)</f>
        <v>0</v>
      </c>
      <c r="T38" s="19">
        <f ca="1">_xll.DBRW($B$9,$C$18,$C$19,S$26,S$25,$C$21,$C$22,$B38,T$27)</f>
        <v>0</v>
      </c>
      <c r="U38" s="86">
        <f ca="1">_xll.DBRW($B$9,$C$18,$C$19,S$26,S$25,$C$21,$C$22,$B38,U$27)</f>
        <v>0</v>
      </c>
      <c r="V38" s="85">
        <f ca="1">_xll.DBRW($B$9,$C$18,$C$19,V$26,V$25,$C$21,$C$22,$B38,V$27)</f>
        <v>0</v>
      </c>
      <c r="W38" s="19">
        <f ca="1">_xll.DBRW($B$9,$C$18,$C$19,V$26,V$25,$C$21,$C$22,$B38,W$27)</f>
        <v>0</v>
      </c>
      <c r="X38" s="86">
        <f ca="1">_xll.DBRW($B$9,$C$18,$C$19,V$26,V$25,$C$21,$C$22,$B38,X$27)</f>
        <v>0</v>
      </c>
      <c r="Y38" s="87">
        <f t="shared" ca="1" si="4"/>
        <v>0</v>
      </c>
      <c r="Z38" s="87">
        <f t="shared" ca="1" si="5"/>
        <v>0</v>
      </c>
      <c r="AA38" s="85">
        <f ca="1">_xll.DBRW($B$9,$C$18,$C$19,AA$26,AA$25,$C$21,$C$22,$B38,AA$27)</f>
        <v>0</v>
      </c>
      <c r="AB38" s="19">
        <f ca="1">_xll.DBRW($B$9,$C$18,$C$19,AA$26,AA$25,$C$21,$C$22,$B38,AB$27)</f>
        <v>0</v>
      </c>
      <c r="AC38" s="86">
        <f ca="1">_xll.DBRW($B$9,$C$18,$C$19,AA$26,AA$25,$C$21,$C$22,$B38,AC$27)</f>
        <v>0</v>
      </c>
      <c r="AD38" s="85">
        <f ca="1">_xll.DBRW($B$9,$C$18,$C$19,AD$26,AD$25,$C$21,$C$22,$B38,AD$27)</f>
        <v>0</v>
      </c>
      <c r="AE38" s="19">
        <f ca="1">_xll.DBRW($B$9,$C$18,$C$19,AD$26,AD$25,$C$21,$C$22,$B38,AE$27)</f>
        <v>0</v>
      </c>
      <c r="AF38" s="27">
        <f ca="1">_xll.DBRW($B$9,$C$18,$C$19,AD$26,AD$25,$C$21,$C$22,$B38,AF$27)</f>
        <v>0</v>
      </c>
      <c r="AG38" s="117">
        <f t="shared" ca="1" si="6"/>
        <v>0</v>
      </c>
      <c r="AH38" s="117">
        <f t="shared" ca="1" si="7"/>
        <v>0</v>
      </c>
    </row>
    <row r="39" spans="1:34">
      <c r="A39">
        <f ca="1">IF(_xll.TM1RPTELISCONSOLIDATED($B$28,$B39),IF(_xll.TM1RPTELLEV($B$28,$B39)&lt;=3,_xll.TM1RPTELLEV($B$28,$B39),"D"),"N")</f>
        <v>1</v>
      </c>
      <c r="B39" s="118" t="s">
        <v>183</v>
      </c>
      <c r="C39" s="85">
        <f ca="1">_xll.DBRW($B$9,$C$18,$C$19,C$26,C$25,$C$21,$C$22,$B39,C$27)</f>
        <v>0</v>
      </c>
      <c r="D39" s="19">
        <f ca="1">_xll.DBRW($B$9,$C$18,$C$19,C$26,C$25,$C$21,$C$22,$B39,D$27)</f>
        <v>0</v>
      </c>
      <c r="E39" s="86">
        <f ca="1">_xll.DBRW($B$9,$C$18,$C$19,C$26,C$25,$C$21,$C$22,$B39,E$27)</f>
        <v>0</v>
      </c>
      <c r="F39" s="85">
        <f ca="1">_xll.DBRW($B$9,$C$18,$C$19,F$26,F$25,$C$21,$C$22,$B39,F$27)</f>
        <v>0</v>
      </c>
      <c r="G39" s="19">
        <f ca="1">_xll.DBRW($B$9,$C$18,$C$19,F$26,F$25,$C$21,$C$22,$B39,G$27)</f>
        <v>0</v>
      </c>
      <c r="H39" s="27">
        <f ca="1">_xll.DBRW($B$9,$C$18,$C$19,F$26,F$25,$C$21,$C$22,$B39,H$27)</f>
        <v>0</v>
      </c>
      <c r="I39" s="87">
        <f t="shared" ca="1" si="0"/>
        <v>0</v>
      </c>
      <c r="J39" s="88">
        <f t="shared" ca="1" si="1"/>
        <v>0</v>
      </c>
      <c r="K39" s="85">
        <f ca="1">_xll.DBRW($B$9,$C$18,$C$19,K$26,K$25,$C$21,$C$22,$B39,K$27)</f>
        <v>0</v>
      </c>
      <c r="L39" s="19">
        <f ca="1">_xll.DBRW($B$9,$C$18,$C$19,K$26,K$25,$C$21,$C$22,$B39,L$27)</f>
        <v>0</v>
      </c>
      <c r="M39" s="86">
        <f ca="1">_xll.DBRW($B$9,$C$18,$C$19,K$26,K$25,$C$21,$C$22,$B39,M$27)</f>
        <v>0</v>
      </c>
      <c r="N39" s="85">
        <f ca="1">_xll.DBRW($B$9,$C$18,$C$19,N$26,N$25,$C$21,$C$22,$B39,N$27)</f>
        <v>0</v>
      </c>
      <c r="O39" s="19">
        <f ca="1">_xll.DBRW($B$9,$C$18,$C$19,N$26,N$25,$C$21,$C$22,$B39,O$27)</f>
        <v>0</v>
      </c>
      <c r="P39" s="86">
        <f ca="1">_xll.DBRW($B$9,$C$18,$C$19,N$26,N$25,$C$21,$C$22,$B39,P$27)</f>
        <v>0</v>
      </c>
      <c r="Q39" s="87">
        <f t="shared" ca="1" si="2"/>
        <v>0</v>
      </c>
      <c r="R39" s="87">
        <f t="shared" ca="1" si="3"/>
        <v>0</v>
      </c>
      <c r="S39" s="85">
        <f ca="1">_xll.DBRW($B$9,$C$18,$C$19,S$26,S$25,$C$21,$C$22,$B39,S$27)</f>
        <v>0</v>
      </c>
      <c r="T39" s="19">
        <f ca="1">_xll.DBRW($B$9,$C$18,$C$19,S$26,S$25,$C$21,$C$22,$B39,T$27)</f>
        <v>0</v>
      </c>
      <c r="U39" s="86">
        <f ca="1">_xll.DBRW($B$9,$C$18,$C$19,S$26,S$25,$C$21,$C$22,$B39,U$27)</f>
        <v>0</v>
      </c>
      <c r="V39" s="85">
        <f ca="1">_xll.DBRW($B$9,$C$18,$C$19,V$26,V$25,$C$21,$C$22,$B39,V$27)</f>
        <v>0</v>
      </c>
      <c r="W39" s="19">
        <f ca="1">_xll.DBRW($B$9,$C$18,$C$19,V$26,V$25,$C$21,$C$22,$B39,W$27)</f>
        <v>0</v>
      </c>
      <c r="X39" s="86">
        <f ca="1">_xll.DBRW($B$9,$C$18,$C$19,V$26,V$25,$C$21,$C$22,$B39,X$27)</f>
        <v>0</v>
      </c>
      <c r="Y39" s="87">
        <f t="shared" ca="1" si="4"/>
        <v>0</v>
      </c>
      <c r="Z39" s="87">
        <f t="shared" ca="1" si="5"/>
        <v>0</v>
      </c>
      <c r="AA39" s="85">
        <f ca="1">_xll.DBRW($B$9,$C$18,$C$19,AA$26,AA$25,$C$21,$C$22,$B39,AA$27)</f>
        <v>0</v>
      </c>
      <c r="AB39" s="19">
        <f ca="1">_xll.DBRW($B$9,$C$18,$C$19,AA$26,AA$25,$C$21,$C$22,$B39,AB$27)</f>
        <v>0</v>
      </c>
      <c r="AC39" s="86">
        <f ca="1">_xll.DBRW($B$9,$C$18,$C$19,AA$26,AA$25,$C$21,$C$22,$B39,AC$27)</f>
        <v>0</v>
      </c>
      <c r="AD39" s="85">
        <f ca="1">_xll.DBRW($B$9,$C$18,$C$19,AD$26,AD$25,$C$21,$C$22,$B39,AD$27)</f>
        <v>0</v>
      </c>
      <c r="AE39" s="19">
        <f ca="1">_xll.DBRW($B$9,$C$18,$C$19,AD$26,AD$25,$C$21,$C$22,$B39,AE$27)</f>
        <v>0</v>
      </c>
      <c r="AF39" s="27">
        <f ca="1">_xll.DBRW($B$9,$C$18,$C$19,AD$26,AD$25,$C$21,$C$22,$B39,AF$27)</f>
        <v>0</v>
      </c>
      <c r="AG39" s="117">
        <f t="shared" ca="1" si="6"/>
        <v>0</v>
      </c>
      <c r="AH39" s="117">
        <f t="shared" ca="1" si="7"/>
        <v>0</v>
      </c>
    </row>
    <row r="40" spans="1:34">
      <c r="A40">
        <f ca="1">IF(_xll.TM1RPTELISCONSOLIDATED($B$28,$B40),IF(_xll.TM1RPTELLEV($B$28,$B40)&lt;=3,_xll.TM1RPTELLEV($B$28,$B40),"D"),"N")</f>
        <v>1</v>
      </c>
      <c r="B40" s="118" t="s">
        <v>184</v>
      </c>
      <c r="C40" s="85">
        <f ca="1">_xll.DBRW($B$9,$C$18,$C$19,C$26,C$25,$C$21,$C$22,$B40,C$27)</f>
        <v>0</v>
      </c>
      <c r="D40" s="19">
        <f ca="1">_xll.DBRW($B$9,$C$18,$C$19,C$26,C$25,$C$21,$C$22,$B40,D$27)</f>
        <v>0</v>
      </c>
      <c r="E40" s="86">
        <f ca="1">_xll.DBRW($B$9,$C$18,$C$19,C$26,C$25,$C$21,$C$22,$B40,E$27)</f>
        <v>0</v>
      </c>
      <c r="F40" s="85">
        <f ca="1">_xll.DBRW($B$9,$C$18,$C$19,F$26,F$25,$C$21,$C$22,$B40,F$27)</f>
        <v>0</v>
      </c>
      <c r="G40" s="19">
        <f ca="1">_xll.DBRW($B$9,$C$18,$C$19,F$26,F$25,$C$21,$C$22,$B40,G$27)</f>
        <v>0</v>
      </c>
      <c r="H40" s="27">
        <f ca="1">_xll.DBRW($B$9,$C$18,$C$19,F$26,F$25,$C$21,$C$22,$B40,H$27)</f>
        <v>0</v>
      </c>
      <c r="I40" s="87">
        <f t="shared" ca="1" si="0"/>
        <v>0</v>
      </c>
      <c r="J40" s="88">
        <f t="shared" ca="1" si="1"/>
        <v>0</v>
      </c>
      <c r="K40" s="85">
        <f ca="1">_xll.DBRW($B$9,$C$18,$C$19,K$26,K$25,$C$21,$C$22,$B40,K$27)</f>
        <v>0</v>
      </c>
      <c r="L40" s="19">
        <f ca="1">_xll.DBRW($B$9,$C$18,$C$19,K$26,K$25,$C$21,$C$22,$B40,L$27)</f>
        <v>0</v>
      </c>
      <c r="M40" s="86">
        <f ca="1">_xll.DBRW($B$9,$C$18,$C$19,K$26,K$25,$C$21,$C$22,$B40,M$27)</f>
        <v>0</v>
      </c>
      <c r="N40" s="85">
        <f ca="1">_xll.DBRW($B$9,$C$18,$C$19,N$26,N$25,$C$21,$C$22,$B40,N$27)</f>
        <v>0</v>
      </c>
      <c r="O40" s="19">
        <f ca="1">_xll.DBRW($B$9,$C$18,$C$19,N$26,N$25,$C$21,$C$22,$B40,O$27)</f>
        <v>0</v>
      </c>
      <c r="P40" s="86">
        <f ca="1">_xll.DBRW($B$9,$C$18,$C$19,N$26,N$25,$C$21,$C$22,$B40,P$27)</f>
        <v>0</v>
      </c>
      <c r="Q40" s="87">
        <f t="shared" ca="1" si="2"/>
        <v>0</v>
      </c>
      <c r="R40" s="87">
        <f t="shared" ca="1" si="3"/>
        <v>0</v>
      </c>
      <c r="S40" s="85">
        <f ca="1">_xll.DBRW($B$9,$C$18,$C$19,S$26,S$25,$C$21,$C$22,$B40,S$27)</f>
        <v>0</v>
      </c>
      <c r="T40" s="19">
        <f ca="1">_xll.DBRW($B$9,$C$18,$C$19,S$26,S$25,$C$21,$C$22,$B40,T$27)</f>
        <v>0</v>
      </c>
      <c r="U40" s="86">
        <f ca="1">_xll.DBRW($B$9,$C$18,$C$19,S$26,S$25,$C$21,$C$22,$B40,U$27)</f>
        <v>0</v>
      </c>
      <c r="V40" s="85">
        <f ca="1">_xll.DBRW($B$9,$C$18,$C$19,V$26,V$25,$C$21,$C$22,$B40,V$27)</f>
        <v>0</v>
      </c>
      <c r="W40" s="19">
        <f ca="1">_xll.DBRW($B$9,$C$18,$C$19,V$26,V$25,$C$21,$C$22,$B40,W$27)</f>
        <v>0</v>
      </c>
      <c r="X40" s="86">
        <f ca="1">_xll.DBRW($B$9,$C$18,$C$19,V$26,V$25,$C$21,$C$22,$B40,X$27)</f>
        <v>0</v>
      </c>
      <c r="Y40" s="87">
        <f t="shared" ca="1" si="4"/>
        <v>0</v>
      </c>
      <c r="Z40" s="87">
        <f t="shared" ca="1" si="5"/>
        <v>0</v>
      </c>
      <c r="AA40" s="85">
        <f ca="1">_xll.DBRW($B$9,$C$18,$C$19,AA$26,AA$25,$C$21,$C$22,$B40,AA$27)</f>
        <v>0</v>
      </c>
      <c r="AB40" s="19">
        <f ca="1">_xll.DBRW($B$9,$C$18,$C$19,AA$26,AA$25,$C$21,$C$22,$B40,AB$27)</f>
        <v>0</v>
      </c>
      <c r="AC40" s="86">
        <f ca="1">_xll.DBRW($B$9,$C$18,$C$19,AA$26,AA$25,$C$21,$C$22,$B40,AC$27)</f>
        <v>0</v>
      </c>
      <c r="AD40" s="85">
        <f ca="1">_xll.DBRW($B$9,$C$18,$C$19,AD$26,AD$25,$C$21,$C$22,$B40,AD$27)</f>
        <v>0</v>
      </c>
      <c r="AE40" s="19">
        <f ca="1">_xll.DBRW($B$9,$C$18,$C$19,AD$26,AD$25,$C$21,$C$22,$B40,AE$27)</f>
        <v>0</v>
      </c>
      <c r="AF40" s="27">
        <f ca="1">_xll.DBRW($B$9,$C$18,$C$19,AD$26,AD$25,$C$21,$C$22,$B40,AF$27)</f>
        <v>0</v>
      </c>
      <c r="AG40" s="117">
        <f t="shared" ca="1" si="6"/>
        <v>0</v>
      </c>
      <c r="AH40" s="117">
        <f t="shared" ca="1" si="7"/>
        <v>0</v>
      </c>
    </row>
    <row r="41" spans="1:34">
      <c r="A41">
        <f ca="1">IF(_xll.TM1RPTELISCONSOLIDATED($B$28,$B41),IF(_xll.TM1RPTELLEV($B$28,$B41)&lt;=3,_xll.TM1RPTELLEV($B$28,$B41),"D"),"N")</f>
        <v>1</v>
      </c>
      <c r="B41" s="118" t="s">
        <v>185</v>
      </c>
      <c r="C41" s="85">
        <f ca="1">_xll.DBRW($B$9,$C$18,$C$19,C$26,C$25,$C$21,$C$22,$B41,C$27)</f>
        <v>0</v>
      </c>
      <c r="D41" s="19">
        <f ca="1">_xll.DBRW($B$9,$C$18,$C$19,C$26,C$25,$C$21,$C$22,$B41,D$27)</f>
        <v>0</v>
      </c>
      <c r="E41" s="86">
        <f ca="1">_xll.DBRW($B$9,$C$18,$C$19,C$26,C$25,$C$21,$C$22,$B41,E$27)</f>
        <v>0</v>
      </c>
      <c r="F41" s="85">
        <f ca="1">_xll.DBRW($B$9,$C$18,$C$19,F$26,F$25,$C$21,$C$22,$B41,F$27)</f>
        <v>0</v>
      </c>
      <c r="G41" s="19">
        <f ca="1">_xll.DBRW($B$9,$C$18,$C$19,F$26,F$25,$C$21,$C$22,$B41,G$27)</f>
        <v>0</v>
      </c>
      <c r="H41" s="27">
        <f ca="1">_xll.DBRW($B$9,$C$18,$C$19,F$26,F$25,$C$21,$C$22,$B41,H$27)</f>
        <v>0</v>
      </c>
      <c r="I41" s="87">
        <f t="shared" ca="1" si="0"/>
        <v>0</v>
      </c>
      <c r="J41" s="88">
        <f t="shared" ca="1" si="1"/>
        <v>0</v>
      </c>
      <c r="K41" s="85">
        <f ca="1">_xll.DBRW($B$9,$C$18,$C$19,K$26,K$25,$C$21,$C$22,$B41,K$27)</f>
        <v>0</v>
      </c>
      <c r="L41" s="19">
        <f ca="1">_xll.DBRW($B$9,$C$18,$C$19,K$26,K$25,$C$21,$C$22,$B41,L$27)</f>
        <v>0</v>
      </c>
      <c r="M41" s="86">
        <f ca="1">_xll.DBRW($B$9,$C$18,$C$19,K$26,K$25,$C$21,$C$22,$B41,M$27)</f>
        <v>0</v>
      </c>
      <c r="N41" s="85">
        <f ca="1">_xll.DBRW($B$9,$C$18,$C$19,N$26,N$25,$C$21,$C$22,$B41,N$27)</f>
        <v>0</v>
      </c>
      <c r="O41" s="19">
        <f ca="1">_xll.DBRW($B$9,$C$18,$C$19,N$26,N$25,$C$21,$C$22,$B41,O$27)</f>
        <v>0</v>
      </c>
      <c r="P41" s="86">
        <f ca="1">_xll.DBRW($B$9,$C$18,$C$19,N$26,N$25,$C$21,$C$22,$B41,P$27)</f>
        <v>0</v>
      </c>
      <c r="Q41" s="87">
        <f t="shared" ca="1" si="2"/>
        <v>0</v>
      </c>
      <c r="R41" s="87">
        <f t="shared" ca="1" si="3"/>
        <v>0</v>
      </c>
      <c r="S41" s="85">
        <f ca="1">_xll.DBRW($B$9,$C$18,$C$19,S$26,S$25,$C$21,$C$22,$B41,S$27)</f>
        <v>0</v>
      </c>
      <c r="T41" s="19">
        <f ca="1">_xll.DBRW($B$9,$C$18,$C$19,S$26,S$25,$C$21,$C$22,$B41,T$27)</f>
        <v>0</v>
      </c>
      <c r="U41" s="86">
        <f ca="1">_xll.DBRW($B$9,$C$18,$C$19,S$26,S$25,$C$21,$C$22,$B41,U$27)</f>
        <v>0</v>
      </c>
      <c r="V41" s="85">
        <f ca="1">_xll.DBRW($B$9,$C$18,$C$19,V$26,V$25,$C$21,$C$22,$B41,V$27)</f>
        <v>0</v>
      </c>
      <c r="W41" s="19">
        <f ca="1">_xll.DBRW($B$9,$C$18,$C$19,V$26,V$25,$C$21,$C$22,$B41,W$27)</f>
        <v>0</v>
      </c>
      <c r="X41" s="86">
        <f ca="1">_xll.DBRW($B$9,$C$18,$C$19,V$26,V$25,$C$21,$C$22,$B41,X$27)</f>
        <v>0</v>
      </c>
      <c r="Y41" s="87">
        <f t="shared" ca="1" si="4"/>
        <v>0</v>
      </c>
      <c r="Z41" s="87">
        <f t="shared" ca="1" si="5"/>
        <v>0</v>
      </c>
      <c r="AA41" s="85">
        <f ca="1">_xll.DBRW($B$9,$C$18,$C$19,AA$26,AA$25,$C$21,$C$22,$B41,AA$27)</f>
        <v>0</v>
      </c>
      <c r="AB41" s="19">
        <f ca="1">_xll.DBRW($B$9,$C$18,$C$19,AA$26,AA$25,$C$21,$C$22,$B41,AB$27)</f>
        <v>0</v>
      </c>
      <c r="AC41" s="86">
        <f ca="1">_xll.DBRW($B$9,$C$18,$C$19,AA$26,AA$25,$C$21,$C$22,$B41,AC$27)</f>
        <v>0</v>
      </c>
      <c r="AD41" s="85">
        <f ca="1">_xll.DBRW($B$9,$C$18,$C$19,AD$26,AD$25,$C$21,$C$22,$B41,AD$27)</f>
        <v>0</v>
      </c>
      <c r="AE41" s="19">
        <f ca="1">_xll.DBRW($B$9,$C$18,$C$19,AD$26,AD$25,$C$21,$C$22,$B41,AE$27)</f>
        <v>0</v>
      </c>
      <c r="AF41" s="27">
        <f ca="1">_xll.DBRW($B$9,$C$18,$C$19,AD$26,AD$25,$C$21,$C$22,$B41,AF$27)</f>
        <v>0</v>
      </c>
      <c r="AG41" s="117">
        <f t="shared" ca="1" si="6"/>
        <v>0</v>
      </c>
      <c r="AH41" s="117">
        <f t="shared" ca="1" si="7"/>
        <v>0</v>
      </c>
    </row>
    <row r="42" spans="1:34">
      <c r="A42">
        <f ca="1">IF(_xll.TM1RPTELISCONSOLIDATED($B$28,$B42),IF(_xll.TM1RPTELLEV($B$28,$B42)&lt;=3,_xll.TM1RPTELLEV($B$28,$B42),"D"),"N")</f>
        <v>1</v>
      </c>
      <c r="B42" s="118" t="s">
        <v>186</v>
      </c>
      <c r="C42" s="85">
        <f ca="1">_xll.DBRW($B$9,$C$18,$C$19,C$26,C$25,$C$21,$C$22,$B42,C$27)</f>
        <v>0</v>
      </c>
      <c r="D42" s="19">
        <f ca="1">_xll.DBRW($B$9,$C$18,$C$19,C$26,C$25,$C$21,$C$22,$B42,D$27)</f>
        <v>0</v>
      </c>
      <c r="E42" s="86">
        <f ca="1">_xll.DBRW($B$9,$C$18,$C$19,C$26,C$25,$C$21,$C$22,$B42,E$27)</f>
        <v>0</v>
      </c>
      <c r="F42" s="85">
        <f ca="1">_xll.DBRW($B$9,$C$18,$C$19,F$26,F$25,$C$21,$C$22,$B42,F$27)</f>
        <v>0</v>
      </c>
      <c r="G42" s="19">
        <f ca="1">_xll.DBRW($B$9,$C$18,$C$19,F$26,F$25,$C$21,$C$22,$B42,G$27)</f>
        <v>0</v>
      </c>
      <c r="H42" s="27">
        <f ca="1">_xll.DBRW($B$9,$C$18,$C$19,F$26,F$25,$C$21,$C$22,$B42,H$27)</f>
        <v>0</v>
      </c>
      <c r="I42" s="87">
        <f t="shared" ca="1" si="0"/>
        <v>0</v>
      </c>
      <c r="J42" s="88">
        <f t="shared" ca="1" si="1"/>
        <v>0</v>
      </c>
      <c r="K42" s="85">
        <f ca="1">_xll.DBRW($B$9,$C$18,$C$19,K$26,K$25,$C$21,$C$22,$B42,K$27)</f>
        <v>0</v>
      </c>
      <c r="L42" s="19">
        <f ca="1">_xll.DBRW($B$9,$C$18,$C$19,K$26,K$25,$C$21,$C$22,$B42,L$27)</f>
        <v>0</v>
      </c>
      <c r="M42" s="86">
        <f ca="1">_xll.DBRW($B$9,$C$18,$C$19,K$26,K$25,$C$21,$C$22,$B42,M$27)</f>
        <v>0</v>
      </c>
      <c r="N42" s="85">
        <f ca="1">_xll.DBRW($B$9,$C$18,$C$19,N$26,N$25,$C$21,$C$22,$B42,N$27)</f>
        <v>0</v>
      </c>
      <c r="O42" s="19">
        <f ca="1">_xll.DBRW($B$9,$C$18,$C$19,N$26,N$25,$C$21,$C$22,$B42,O$27)</f>
        <v>0</v>
      </c>
      <c r="P42" s="86">
        <f ca="1">_xll.DBRW($B$9,$C$18,$C$19,N$26,N$25,$C$21,$C$22,$B42,P$27)</f>
        <v>0</v>
      </c>
      <c r="Q42" s="87">
        <f t="shared" ca="1" si="2"/>
        <v>0</v>
      </c>
      <c r="R42" s="87">
        <f t="shared" ca="1" si="3"/>
        <v>0</v>
      </c>
      <c r="S42" s="85">
        <f ca="1">_xll.DBRW($B$9,$C$18,$C$19,S$26,S$25,$C$21,$C$22,$B42,S$27)</f>
        <v>0</v>
      </c>
      <c r="T42" s="19">
        <f ca="1">_xll.DBRW($B$9,$C$18,$C$19,S$26,S$25,$C$21,$C$22,$B42,T$27)</f>
        <v>0</v>
      </c>
      <c r="U42" s="86">
        <f ca="1">_xll.DBRW($B$9,$C$18,$C$19,S$26,S$25,$C$21,$C$22,$B42,U$27)</f>
        <v>0</v>
      </c>
      <c r="V42" s="85">
        <f ca="1">_xll.DBRW($B$9,$C$18,$C$19,V$26,V$25,$C$21,$C$22,$B42,V$27)</f>
        <v>0</v>
      </c>
      <c r="W42" s="19">
        <f ca="1">_xll.DBRW($B$9,$C$18,$C$19,V$26,V$25,$C$21,$C$22,$B42,W$27)</f>
        <v>0</v>
      </c>
      <c r="X42" s="86">
        <f ca="1">_xll.DBRW($B$9,$C$18,$C$19,V$26,V$25,$C$21,$C$22,$B42,X$27)</f>
        <v>0</v>
      </c>
      <c r="Y42" s="87">
        <f t="shared" ca="1" si="4"/>
        <v>0</v>
      </c>
      <c r="Z42" s="87">
        <f t="shared" ca="1" si="5"/>
        <v>0</v>
      </c>
      <c r="AA42" s="85">
        <f ca="1">_xll.DBRW($B$9,$C$18,$C$19,AA$26,AA$25,$C$21,$C$22,$B42,AA$27)</f>
        <v>0</v>
      </c>
      <c r="AB42" s="19">
        <f ca="1">_xll.DBRW($B$9,$C$18,$C$19,AA$26,AA$25,$C$21,$C$22,$B42,AB$27)</f>
        <v>0</v>
      </c>
      <c r="AC42" s="86">
        <f ca="1">_xll.DBRW($B$9,$C$18,$C$19,AA$26,AA$25,$C$21,$C$22,$B42,AC$27)</f>
        <v>0</v>
      </c>
      <c r="AD42" s="85">
        <f ca="1">_xll.DBRW($B$9,$C$18,$C$19,AD$26,AD$25,$C$21,$C$22,$B42,AD$27)</f>
        <v>0</v>
      </c>
      <c r="AE42" s="19">
        <f ca="1">_xll.DBRW($B$9,$C$18,$C$19,AD$26,AD$25,$C$21,$C$22,$B42,AE$27)</f>
        <v>0</v>
      </c>
      <c r="AF42" s="27">
        <f ca="1">_xll.DBRW($B$9,$C$18,$C$19,AD$26,AD$25,$C$21,$C$22,$B42,AF$27)</f>
        <v>0</v>
      </c>
      <c r="AG42" s="117">
        <f t="shared" ca="1" si="6"/>
        <v>0</v>
      </c>
      <c r="AH42" s="117">
        <f t="shared" ca="1" si="7"/>
        <v>0</v>
      </c>
    </row>
    <row r="43" spans="1:34">
      <c r="A43">
        <f ca="1">IF(_xll.TM1RPTELISCONSOLIDATED($B$28,$B43),IF(_xll.TM1RPTELLEV($B$28,$B43)&lt;=3,_xll.TM1RPTELLEV($B$28,$B43),"D"),"N")</f>
        <v>1</v>
      </c>
      <c r="B43" s="118" t="s">
        <v>187</v>
      </c>
      <c r="C43" s="85">
        <f ca="1">_xll.DBRW($B$9,$C$18,$C$19,C$26,C$25,$C$21,$C$22,$B43,C$27)</f>
        <v>0</v>
      </c>
      <c r="D43" s="19">
        <f ca="1">_xll.DBRW($B$9,$C$18,$C$19,C$26,C$25,$C$21,$C$22,$B43,D$27)</f>
        <v>0</v>
      </c>
      <c r="E43" s="86">
        <f ca="1">_xll.DBRW($B$9,$C$18,$C$19,C$26,C$25,$C$21,$C$22,$B43,E$27)</f>
        <v>0</v>
      </c>
      <c r="F43" s="85">
        <f ca="1">_xll.DBRW($B$9,$C$18,$C$19,F$26,F$25,$C$21,$C$22,$B43,F$27)</f>
        <v>0</v>
      </c>
      <c r="G43" s="19">
        <f ca="1">_xll.DBRW($B$9,$C$18,$C$19,F$26,F$25,$C$21,$C$22,$B43,G$27)</f>
        <v>0</v>
      </c>
      <c r="H43" s="27">
        <f ca="1">_xll.DBRW($B$9,$C$18,$C$19,F$26,F$25,$C$21,$C$22,$B43,H$27)</f>
        <v>0</v>
      </c>
      <c r="I43" s="87">
        <f t="shared" ca="1" si="0"/>
        <v>0</v>
      </c>
      <c r="J43" s="88">
        <f t="shared" ca="1" si="1"/>
        <v>0</v>
      </c>
      <c r="K43" s="85">
        <f ca="1">_xll.DBRW($B$9,$C$18,$C$19,K$26,K$25,$C$21,$C$22,$B43,K$27)</f>
        <v>0</v>
      </c>
      <c r="L43" s="19">
        <f ca="1">_xll.DBRW($B$9,$C$18,$C$19,K$26,K$25,$C$21,$C$22,$B43,L$27)</f>
        <v>0</v>
      </c>
      <c r="M43" s="86">
        <f ca="1">_xll.DBRW($B$9,$C$18,$C$19,K$26,K$25,$C$21,$C$22,$B43,M$27)</f>
        <v>0</v>
      </c>
      <c r="N43" s="85">
        <f ca="1">_xll.DBRW($B$9,$C$18,$C$19,N$26,N$25,$C$21,$C$22,$B43,N$27)</f>
        <v>0</v>
      </c>
      <c r="O43" s="19">
        <f ca="1">_xll.DBRW($B$9,$C$18,$C$19,N$26,N$25,$C$21,$C$22,$B43,O$27)</f>
        <v>0</v>
      </c>
      <c r="P43" s="86">
        <f ca="1">_xll.DBRW($B$9,$C$18,$C$19,N$26,N$25,$C$21,$C$22,$B43,P$27)</f>
        <v>0</v>
      </c>
      <c r="Q43" s="87">
        <f t="shared" ca="1" si="2"/>
        <v>0</v>
      </c>
      <c r="R43" s="87">
        <f t="shared" ca="1" si="3"/>
        <v>0</v>
      </c>
      <c r="S43" s="85">
        <f ca="1">_xll.DBRW($B$9,$C$18,$C$19,S$26,S$25,$C$21,$C$22,$B43,S$27)</f>
        <v>0</v>
      </c>
      <c r="T43" s="19">
        <f ca="1">_xll.DBRW($B$9,$C$18,$C$19,S$26,S$25,$C$21,$C$22,$B43,T$27)</f>
        <v>0</v>
      </c>
      <c r="U43" s="86">
        <f ca="1">_xll.DBRW($B$9,$C$18,$C$19,S$26,S$25,$C$21,$C$22,$B43,U$27)</f>
        <v>0</v>
      </c>
      <c r="V43" s="85">
        <f ca="1">_xll.DBRW($B$9,$C$18,$C$19,V$26,V$25,$C$21,$C$22,$B43,V$27)</f>
        <v>0</v>
      </c>
      <c r="W43" s="19">
        <f ca="1">_xll.DBRW($B$9,$C$18,$C$19,V$26,V$25,$C$21,$C$22,$B43,W$27)</f>
        <v>0</v>
      </c>
      <c r="X43" s="86">
        <f ca="1">_xll.DBRW($B$9,$C$18,$C$19,V$26,V$25,$C$21,$C$22,$B43,X$27)</f>
        <v>0</v>
      </c>
      <c r="Y43" s="87">
        <f t="shared" ca="1" si="4"/>
        <v>0</v>
      </c>
      <c r="Z43" s="87">
        <f t="shared" ca="1" si="5"/>
        <v>0</v>
      </c>
      <c r="AA43" s="85">
        <f ca="1">_xll.DBRW($B$9,$C$18,$C$19,AA$26,AA$25,$C$21,$C$22,$B43,AA$27)</f>
        <v>0</v>
      </c>
      <c r="AB43" s="19">
        <f ca="1">_xll.DBRW($B$9,$C$18,$C$19,AA$26,AA$25,$C$21,$C$22,$B43,AB$27)</f>
        <v>0</v>
      </c>
      <c r="AC43" s="86">
        <f ca="1">_xll.DBRW($B$9,$C$18,$C$19,AA$26,AA$25,$C$21,$C$22,$B43,AC$27)</f>
        <v>0</v>
      </c>
      <c r="AD43" s="85">
        <f ca="1">_xll.DBRW($B$9,$C$18,$C$19,AD$26,AD$25,$C$21,$C$22,$B43,AD$27)</f>
        <v>0</v>
      </c>
      <c r="AE43" s="19">
        <f ca="1">_xll.DBRW($B$9,$C$18,$C$19,AD$26,AD$25,$C$21,$C$22,$B43,AE$27)</f>
        <v>0</v>
      </c>
      <c r="AF43" s="27">
        <f ca="1">_xll.DBRW($B$9,$C$18,$C$19,AD$26,AD$25,$C$21,$C$22,$B43,AF$27)</f>
        <v>0</v>
      </c>
      <c r="AG43" s="117">
        <f t="shared" ca="1" si="6"/>
        <v>0</v>
      </c>
      <c r="AH43" s="117">
        <f t="shared" ca="1" si="7"/>
        <v>0</v>
      </c>
    </row>
    <row r="44" spans="1:34">
      <c r="A44">
        <f ca="1">IF(_xll.TM1RPTELISCONSOLIDATED($B$28,$B44),IF(_xll.TM1RPTELLEV($B$28,$B44)&lt;=3,_xll.TM1RPTELLEV($B$28,$B44),"D"),"N")</f>
        <v>1</v>
      </c>
      <c r="B44" s="118" t="s">
        <v>188</v>
      </c>
      <c r="C44" s="85">
        <f ca="1">_xll.DBRW($B$9,$C$18,$C$19,C$26,C$25,$C$21,$C$22,$B44,C$27)</f>
        <v>0</v>
      </c>
      <c r="D44" s="19">
        <f ca="1">_xll.DBRW($B$9,$C$18,$C$19,C$26,C$25,$C$21,$C$22,$B44,D$27)</f>
        <v>0</v>
      </c>
      <c r="E44" s="86">
        <f ca="1">_xll.DBRW($B$9,$C$18,$C$19,C$26,C$25,$C$21,$C$22,$B44,E$27)</f>
        <v>0</v>
      </c>
      <c r="F44" s="85">
        <f ca="1">_xll.DBRW($B$9,$C$18,$C$19,F$26,F$25,$C$21,$C$22,$B44,F$27)</f>
        <v>0</v>
      </c>
      <c r="G44" s="19">
        <f ca="1">_xll.DBRW($B$9,$C$18,$C$19,F$26,F$25,$C$21,$C$22,$B44,G$27)</f>
        <v>0</v>
      </c>
      <c r="H44" s="27">
        <f ca="1">_xll.DBRW($B$9,$C$18,$C$19,F$26,F$25,$C$21,$C$22,$B44,H$27)</f>
        <v>0</v>
      </c>
      <c r="I44" s="87">
        <f t="shared" ca="1" si="0"/>
        <v>0</v>
      </c>
      <c r="J44" s="88">
        <f t="shared" ca="1" si="1"/>
        <v>0</v>
      </c>
      <c r="K44" s="85">
        <f ca="1">_xll.DBRW($B$9,$C$18,$C$19,K$26,K$25,$C$21,$C$22,$B44,K$27)</f>
        <v>0</v>
      </c>
      <c r="L44" s="19">
        <f ca="1">_xll.DBRW($B$9,$C$18,$C$19,K$26,K$25,$C$21,$C$22,$B44,L$27)</f>
        <v>0</v>
      </c>
      <c r="M44" s="86">
        <f ca="1">_xll.DBRW($B$9,$C$18,$C$19,K$26,K$25,$C$21,$C$22,$B44,M$27)</f>
        <v>0</v>
      </c>
      <c r="N44" s="85">
        <f ca="1">_xll.DBRW($B$9,$C$18,$C$19,N$26,N$25,$C$21,$C$22,$B44,N$27)</f>
        <v>0</v>
      </c>
      <c r="O44" s="19">
        <f ca="1">_xll.DBRW($B$9,$C$18,$C$19,N$26,N$25,$C$21,$C$22,$B44,O$27)</f>
        <v>0</v>
      </c>
      <c r="P44" s="86">
        <f ca="1">_xll.DBRW($B$9,$C$18,$C$19,N$26,N$25,$C$21,$C$22,$B44,P$27)</f>
        <v>0</v>
      </c>
      <c r="Q44" s="87">
        <f t="shared" ca="1" si="2"/>
        <v>0</v>
      </c>
      <c r="R44" s="87">
        <f t="shared" ca="1" si="3"/>
        <v>0</v>
      </c>
      <c r="S44" s="85">
        <f ca="1">_xll.DBRW($B$9,$C$18,$C$19,S$26,S$25,$C$21,$C$22,$B44,S$27)</f>
        <v>0</v>
      </c>
      <c r="T44" s="19">
        <f ca="1">_xll.DBRW($B$9,$C$18,$C$19,S$26,S$25,$C$21,$C$22,$B44,T$27)</f>
        <v>0</v>
      </c>
      <c r="U44" s="86">
        <f ca="1">_xll.DBRW($B$9,$C$18,$C$19,S$26,S$25,$C$21,$C$22,$B44,U$27)</f>
        <v>0</v>
      </c>
      <c r="V44" s="85">
        <f ca="1">_xll.DBRW($B$9,$C$18,$C$19,V$26,V$25,$C$21,$C$22,$B44,V$27)</f>
        <v>0</v>
      </c>
      <c r="W44" s="19">
        <f ca="1">_xll.DBRW($B$9,$C$18,$C$19,V$26,V$25,$C$21,$C$22,$B44,W$27)</f>
        <v>0</v>
      </c>
      <c r="X44" s="86">
        <f ca="1">_xll.DBRW($B$9,$C$18,$C$19,V$26,V$25,$C$21,$C$22,$B44,X$27)</f>
        <v>0</v>
      </c>
      <c r="Y44" s="87">
        <f t="shared" ca="1" si="4"/>
        <v>0</v>
      </c>
      <c r="Z44" s="87">
        <f t="shared" ca="1" si="5"/>
        <v>0</v>
      </c>
      <c r="AA44" s="85">
        <f ca="1">_xll.DBRW($B$9,$C$18,$C$19,AA$26,AA$25,$C$21,$C$22,$B44,AA$27)</f>
        <v>0</v>
      </c>
      <c r="AB44" s="19">
        <f ca="1">_xll.DBRW($B$9,$C$18,$C$19,AA$26,AA$25,$C$21,$C$22,$B44,AB$27)</f>
        <v>0</v>
      </c>
      <c r="AC44" s="86">
        <f ca="1">_xll.DBRW($B$9,$C$18,$C$19,AA$26,AA$25,$C$21,$C$22,$B44,AC$27)</f>
        <v>0</v>
      </c>
      <c r="AD44" s="85">
        <f ca="1">_xll.DBRW($B$9,$C$18,$C$19,AD$26,AD$25,$C$21,$C$22,$B44,AD$27)</f>
        <v>0</v>
      </c>
      <c r="AE44" s="19">
        <f ca="1">_xll.DBRW($B$9,$C$18,$C$19,AD$26,AD$25,$C$21,$C$22,$B44,AE$27)</f>
        <v>0</v>
      </c>
      <c r="AF44" s="27">
        <f ca="1">_xll.DBRW($B$9,$C$18,$C$19,AD$26,AD$25,$C$21,$C$22,$B44,AF$27)</f>
        <v>0</v>
      </c>
      <c r="AG44" s="117">
        <f t="shared" ca="1" si="6"/>
        <v>0</v>
      </c>
      <c r="AH44" s="117">
        <f t="shared" ca="1" si="7"/>
        <v>0</v>
      </c>
    </row>
    <row r="45" spans="1:34">
      <c r="A45">
        <f ca="1">IF(_xll.TM1RPTELISCONSOLIDATED($B$28,$B45),IF(_xll.TM1RPTELLEV($B$28,$B45)&lt;=3,_xll.TM1RPTELLEV($B$28,$B45),"D"),"N")</f>
        <v>1</v>
      </c>
      <c r="B45" s="118" t="s">
        <v>189</v>
      </c>
      <c r="C45" s="85">
        <f ca="1">_xll.DBRW($B$9,$C$18,$C$19,C$26,C$25,$C$21,$C$22,$B45,C$27)</f>
        <v>0</v>
      </c>
      <c r="D45" s="19">
        <f ca="1">_xll.DBRW($B$9,$C$18,$C$19,C$26,C$25,$C$21,$C$22,$B45,D$27)</f>
        <v>0</v>
      </c>
      <c r="E45" s="86">
        <f ca="1">_xll.DBRW($B$9,$C$18,$C$19,C$26,C$25,$C$21,$C$22,$B45,E$27)</f>
        <v>0</v>
      </c>
      <c r="F45" s="85">
        <f ca="1">_xll.DBRW($B$9,$C$18,$C$19,F$26,F$25,$C$21,$C$22,$B45,F$27)</f>
        <v>0</v>
      </c>
      <c r="G45" s="19">
        <f ca="1">_xll.DBRW($B$9,$C$18,$C$19,F$26,F$25,$C$21,$C$22,$B45,G$27)</f>
        <v>0</v>
      </c>
      <c r="H45" s="27">
        <f ca="1">_xll.DBRW($B$9,$C$18,$C$19,F$26,F$25,$C$21,$C$22,$B45,H$27)</f>
        <v>0</v>
      </c>
      <c r="I45" s="87">
        <f t="shared" ca="1" si="0"/>
        <v>0</v>
      </c>
      <c r="J45" s="88">
        <f t="shared" ca="1" si="1"/>
        <v>0</v>
      </c>
      <c r="K45" s="85">
        <f ca="1">_xll.DBRW($B$9,$C$18,$C$19,K$26,K$25,$C$21,$C$22,$B45,K$27)</f>
        <v>0</v>
      </c>
      <c r="L45" s="19">
        <f ca="1">_xll.DBRW($B$9,$C$18,$C$19,K$26,K$25,$C$21,$C$22,$B45,L$27)</f>
        <v>0</v>
      </c>
      <c r="M45" s="86">
        <f ca="1">_xll.DBRW($B$9,$C$18,$C$19,K$26,K$25,$C$21,$C$22,$B45,M$27)</f>
        <v>0</v>
      </c>
      <c r="N45" s="85">
        <f ca="1">_xll.DBRW($B$9,$C$18,$C$19,N$26,N$25,$C$21,$C$22,$B45,N$27)</f>
        <v>0</v>
      </c>
      <c r="O45" s="19">
        <f ca="1">_xll.DBRW($B$9,$C$18,$C$19,N$26,N$25,$C$21,$C$22,$B45,O$27)</f>
        <v>0</v>
      </c>
      <c r="P45" s="86">
        <f ca="1">_xll.DBRW($B$9,$C$18,$C$19,N$26,N$25,$C$21,$C$22,$B45,P$27)</f>
        <v>0</v>
      </c>
      <c r="Q45" s="87">
        <f t="shared" ca="1" si="2"/>
        <v>0</v>
      </c>
      <c r="R45" s="87">
        <f t="shared" ca="1" si="3"/>
        <v>0</v>
      </c>
      <c r="S45" s="85">
        <f ca="1">_xll.DBRW($B$9,$C$18,$C$19,S$26,S$25,$C$21,$C$22,$B45,S$27)</f>
        <v>0</v>
      </c>
      <c r="T45" s="19">
        <f ca="1">_xll.DBRW($B$9,$C$18,$C$19,S$26,S$25,$C$21,$C$22,$B45,T$27)</f>
        <v>0</v>
      </c>
      <c r="U45" s="86">
        <f ca="1">_xll.DBRW($B$9,$C$18,$C$19,S$26,S$25,$C$21,$C$22,$B45,U$27)</f>
        <v>0</v>
      </c>
      <c r="V45" s="85">
        <f ca="1">_xll.DBRW($B$9,$C$18,$C$19,V$26,V$25,$C$21,$C$22,$B45,V$27)</f>
        <v>0</v>
      </c>
      <c r="W45" s="19">
        <f ca="1">_xll.DBRW($B$9,$C$18,$C$19,V$26,V$25,$C$21,$C$22,$B45,W$27)</f>
        <v>0</v>
      </c>
      <c r="X45" s="86">
        <f ca="1">_xll.DBRW($B$9,$C$18,$C$19,V$26,V$25,$C$21,$C$22,$B45,X$27)</f>
        <v>0</v>
      </c>
      <c r="Y45" s="87">
        <f t="shared" ca="1" si="4"/>
        <v>0</v>
      </c>
      <c r="Z45" s="87">
        <f t="shared" ca="1" si="5"/>
        <v>0</v>
      </c>
      <c r="AA45" s="85">
        <f ca="1">_xll.DBRW($B$9,$C$18,$C$19,AA$26,AA$25,$C$21,$C$22,$B45,AA$27)</f>
        <v>0</v>
      </c>
      <c r="AB45" s="19">
        <f ca="1">_xll.DBRW($B$9,$C$18,$C$19,AA$26,AA$25,$C$21,$C$22,$B45,AB$27)</f>
        <v>0</v>
      </c>
      <c r="AC45" s="86">
        <f ca="1">_xll.DBRW($B$9,$C$18,$C$19,AA$26,AA$25,$C$21,$C$22,$B45,AC$27)</f>
        <v>0</v>
      </c>
      <c r="AD45" s="85">
        <f ca="1">_xll.DBRW($B$9,$C$18,$C$19,AD$26,AD$25,$C$21,$C$22,$B45,AD$27)</f>
        <v>0</v>
      </c>
      <c r="AE45" s="19">
        <f ca="1">_xll.DBRW($B$9,$C$18,$C$19,AD$26,AD$25,$C$21,$C$22,$B45,AE$27)</f>
        <v>0</v>
      </c>
      <c r="AF45" s="27">
        <f ca="1">_xll.DBRW($B$9,$C$18,$C$19,AD$26,AD$25,$C$21,$C$22,$B45,AF$27)</f>
        <v>0</v>
      </c>
      <c r="AG45" s="117">
        <f t="shared" ca="1" si="6"/>
        <v>0</v>
      </c>
      <c r="AH45" s="117">
        <f t="shared" ca="1" si="7"/>
        <v>0</v>
      </c>
    </row>
    <row r="46" spans="1:34">
      <c r="A46">
        <f ca="1">IF(_xll.TM1RPTELISCONSOLIDATED($B$28,$B46),IF(_xll.TM1RPTELLEV($B$28,$B46)&lt;=3,_xll.TM1RPTELLEV($B$28,$B46),"D"),"N")</f>
        <v>1</v>
      </c>
      <c r="B46" s="118" t="s">
        <v>190</v>
      </c>
      <c r="C46" s="85">
        <f ca="1">_xll.DBRW($B$9,$C$18,$C$19,C$26,C$25,$C$21,$C$22,$B46,C$27)</f>
        <v>0</v>
      </c>
      <c r="D46" s="19">
        <f ca="1">_xll.DBRW($B$9,$C$18,$C$19,C$26,C$25,$C$21,$C$22,$B46,D$27)</f>
        <v>0</v>
      </c>
      <c r="E46" s="86">
        <f ca="1">_xll.DBRW($B$9,$C$18,$C$19,C$26,C$25,$C$21,$C$22,$B46,E$27)</f>
        <v>0</v>
      </c>
      <c r="F46" s="85">
        <f ca="1">_xll.DBRW($B$9,$C$18,$C$19,F$26,F$25,$C$21,$C$22,$B46,F$27)</f>
        <v>0</v>
      </c>
      <c r="G46" s="19">
        <f ca="1">_xll.DBRW($B$9,$C$18,$C$19,F$26,F$25,$C$21,$C$22,$B46,G$27)</f>
        <v>0</v>
      </c>
      <c r="H46" s="27">
        <f ca="1">_xll.DBRW($B$9,$C$18,$C$19,F$26,F$25,$C$21,$C$22,$B46,H$27)</f>
        <v>0</v>
      </c>
      <c r="I46" s="87">
        <f t="shared" ca="1" si="0"/>
        <v>0</v>
      </c>
      <c r="J46" s="88">
        <f t="shared" ca="1" si="1"/>
        <v>0</v>
      </c>
      <c r="K46" s="85">
        <f ca="1">_xll.DBRW($B$9,$C$18,$C$19,K$26,K$25,$C$21,$C$22,$B46,K$27)</f>
        <v>0</v>
      </c>
      <c r="L46" s="19">
        <f ca="1">_xll.DBRW($B$9,$C$18,$C$19,K$26,K$25,$C$21,$C$22,$B46,L$27)</f>
        <v>0</v>
      </c>
      <c r="M46" s="86">
        <f ca="1">_xll.DBRW($B$9,$C$18,$C$19,K$26,K$25,$C$21,$C$22,$B46,M$27)</f>
        <v>0</v>
      </c>
      <c r="N46" s="85">
        <f ca="1">_xll.DBRW($B$9,$C$18,$C$19,N$26,N$25,$C$21,$C$22,$B46,N$27)</f>
        <v>0</v>
      </c>
      <c r="O46" s="19">
        <f ca="1">_xll.DBRW($B$9,$C$18,$C$19,N$26,N$25,$C$21,$C$22,$B46,O$27)</f>
        <v>0</v>
      </c>
      <c r="P46" s="86">
        <f ca="1">_xll.DBRW($B$9,$C$18,$C$19,N$26,N$25,$C$21,$C$22,$B46,P$27)</f>
        <v>0</v>
      </c>
      <c r="Q46" s="87">
        <f t="shared" ca="1" si="2"/>
        <v>0</v>
      </c>
      <c r="R46" s="87">
        <f t="shared" ca="1" si="3"/>
        <v>0</v>
      </c>
      <c r="S46" s="85">
        <f ca="1">_xll.DBRW($B$9,$C$18,$C$19,S$26,S$25,$C$21,$C$22,$B46,S$27)</f>
        <v>0</v>
      </c>
      <c r="T46" s="19">
        <f ca="1">_xll.DBRW($B$9,$C$18,$C$19,S$26,S$25,$C$21,$C$22,$B46,T$27)</f>
        <v>0</v>
      </c>
      <c r="U46" s="86">
        <f ca="1">_xll.DBRW($B$9,$C$18,$C$19,S$26,S$25,$C$21,$C$22,$B46,U$27)</f>
        <v>0</v>
      </c>
      <c r="V46" s="85">
        <f ca="1">_xll.DBRW($B$9,$C$18,$C$19,V$26,V$25,$C$21,$C$22,$B46,V$27)</f>
        <v>0</v>
      </c>
      <c r="W46" s="19">
        <f ca="1">_xll.DBRW($B$9,$C$18,$C$19,V$26,V$25,$C$21,$C$22,$B46,W$27)</f>
        <v>0</v>
      </c>
      <c r="X46" s="86">
        <f ca="1">_xll.DBRW($B$9,$C$18,$C$19,V$26,V$25,$C$21,$C$22,$B46,X$27)</f>
        <v>0</v>
      </c>
      <c r="Y46" s="87">
        <f t="shared" ca="1" si="4"/>
        <v>0</v>
      </c>
      <c r="Z46" s="87">
        <f t="shared" ca="1" si="5"/>
        <v>0</v>
      </c>
      <c r="AA46" s="85">
        <f ca="1">_xll.DBRW($B$9,$C$18,$C$19,AA$26,AA$25,$C$21,$C$22,$B46,AA$27)</f>
        <v>0</v>
      </c>
      <c r="AB46" s="19">
        <f ca="1">_xll.DBRW($B$9,$C$18,$C$19,AA$26,AA$25,$C$21,$C$22,$B46,AB$27)</f>
        <v>0</v>
      </c>
      <c r="AC46" s="86">
        <f ca="1">_xll.DBRW($B$9,$C$18,$C$19,AA$26,AA$25,$C$21,$C$22,$B46,AC$27)</f>
        <v>0</v>
      </c>
      <c r="AD46" s="85">
        <f ca="1">_xll.DBRW($B$9,$C$18,$C$19,AD$26,AD$25,$C$21,$C$22,$B46,AD$27)</f>
        <v>0</v>
      </c>
      <c r="AE46" s="19">
        <f ca="1">_xll.DBRW($B$9,$C$18,$C$19,AD$26,AD$25,$C$21,$C$22,$B46,AE$27)</f>
        <v>0</v>
      </c>
      <c r="AF46" s="27">
        <f ca="1">_xll.DBRW($B$9,$C$18,$C$19,AD$26,AD$25,$C$21,$C$22,$B46,AF$27)</f>
        <v>0</v>
      </c>
      <c r="AG46" s="117">
        <f t="shared" ca="1" si="6"/>
        <v>0</v>
      </c>
      <c r="AH46" s="117">
        <f t="shared" ca="1" si="7"/>
        <v>0</v>
      </c>
    </row>
    <row r="47" spans="1:34">
      <c r="A47">
        <f ca="1">IF(_xll.TM1RPTELISCONSOLIDATED($B$28,$B47),IF(_xll.TM1RPTELLEV($B$28,$B47)&lt;=3,_xll.TM1RPTELLEV($B$28,$B47),"D"),"N")</f>
        <v>1</v>
      </c>
      <c r="B47" s="118" t="s">
        <v>191</v>
      </c>
      <c r="C47" s="85">
        <f ca="1">_xll.DBRW($B$9,$C$18,$C$19,C$26,C$25,$C$21,$C$22,$B47,C$27)</f>
        <v>0</v>
      </c>
      <c r="D47" s="19">
        <f ca="1">_xll.DBRW($B$9,$C$18,$C$19,C$26,C$25,$C$21,$C$22,$B47,D$27)</f>
        <v>0</v>
      </c>
      <c r="E47" s="86">
        <f ca="1">_xll.DBRW($B$9,$C$18,$C$19,C$26,C$25,$C$21,$C$22,$B47,E$27)</f>
        <v>0</v>
      </c>
      <c r="F47" s="85">
        <f ca="1">_xll.DBRW($B$9,$C$18,$C$19,F$26,F$25,$C$21,$C$22,$B47,F$27)</f>
        <v>0</v>
      </c>
      <c r="G47" s="19">
        <f ca="1">_xll.DBRW($B$9,$C$18,$C$19,F$26,F$25,$C$21,$C$22,$B47,G$27)</f>
        <v>0</v>
      </c>
      <c r="H47" s="27">
        <f ca="1">_xll.DBRW($B$9,$C$18,$C$19,F$26,F$25,$C$21,$C$22,$B47,H$27)</f>
        <v>0</v>
      </c>
      <c r="I47" s="87">
        <f t="shared" ca="1" si="0"/>
        <v>0</v>
      </c>
      <c r="J47" s="88">
        <f t="shared" ca="1" si="1"/>
        <v>0</v>
      </c>
      <c r="K47" s="85">
        <f ca="1">_xll.DBRW($B$9,$C$18,$C$19,K$26,K$25,$C$21,$C$22,$B47,K$27)</f>
        <v>0</v>
      </c>
      <c r="L47" s="19">
        <f ca="1">_xll.DBRW($B$9,$C$18,$C$19,K$26,K$25,$C$21,$C$22,$B47,L$27)</f>
        <v>0</v>
      </c>
      <c r="M47" s="86">
        <f ca="1">_xll.DBRW($B$9,$C$18,$C$19,K$26,K$25,$C$21,$C$22,$B47,M$27)</f>
        <v>0</v>
      </c>
      <c r="N47" s="85">
        <f ca="1">_xll.DBRW($B$9,$C$18,$C$19,N$26,N$25,$C$21,$C$22,$B47,N$27)</f>
        <v>0</v>
      </c>
      <c r="O47" s="19">
        <f ca="1">_xll.DBRW($B$9,$C$18,$C$19,N$26,N$25,$C$21,$C$22,$B47,O$27)</f>
        <v>0</v>
      </c>
      <c r="P47" s="86">
        <f ca="1">_xll.DBRW($B$9,$C$18,$C$19,N$26,N$25,$C$21,$C$22,$B47,P$27)</f>
        <v>0</v>
      </c>
      <c r="Q47" s="87">
        <f t="shared" ca="1" si="2"/>
        <v>0</v>
      </c>
      <c r="R47" s="87">
        <f t="shared" ca="1" si="3"/>
        <v>0</v>
      </c>
      <c r="S47" s="85">
        <f ca="1">_xll.DBRW($B$9,$C$18,$C$19,S$26,S$25,$C$21,$C$22,$B47,S$27)</f>
        <v>0</v>
      </c>
      <c r="T47" s="19">
        <f ca="1">_xll.DBRW($B$9,$C$18,$C$19,S$26,S$25,$C$21,$C$22,$B47,T$27)</f>
        <v>0</v>
      </c>
      <c r="U47" s="86">
        <f ca="1">_xll.DBRW($B$9,$C$18,$C$19,S$26,S$25,$C$21,$C$22,$B47,U$27)</f>
        <v>0</v>
      </c>
      <c r="V47" s="85">
        <f ca="1">_xll.DBRW($B$9,$C$18,$C$19,V$26,V$25,$C$21,$C$22,$B47,V$27)</f>
        <v>0</v>
      </c>
      <c r="W47" s="19">
        <f ca="1">_xll.DBRW($B$9,$C$18,$C$19,V$26,V$25,$C$21,$C$22,$B47,W$27)</f>
        <v>0</v>
      </c>
      <c r="X47" s="86">
        <f ca="1">_xll.DBRW($B$9,$C$18,$C$19,V$26,V$25,$C$21,$C$22,$B47,X$27)</f>
        <v>0</v>
      </c>
      <c r="Y47" s="87">
        <f t="shared" ca="1" si="4"/>
        <v>0</v>
      </c>
      <c r="Z47" s="87">
        <f t="shared" ca="1" si="5"/>
        <v>0</v>
      </c>
      <c r="AA47" s="85">
        <f ca="1">_xll.DBRW($B$9,$C$18,$C$19,AA$26,AA$25,$C$21,$C$22,$B47,AA$27)</f>
        <v>0</v>
      </c>
      <c r="AB47" s="19">
        <f ca="1">_xll.DBRW($B$9,$C$18,$C$19,AA$26,AA$25,$C$21,$C$22,$B47,AB$27)</f>
        <v>0</v>
      </c>
      <c r="AC47" s="86">
        <f ca="1">_xll.DBRW($B$9,$C$18,$C$19,AA$26,AA$25,$C$21,$C$22,$B47,AC$27)</f>
        <v>0</v>
      </c>
      <c r="AD47" s="85">
        <f ca="1">_xll.DBRW($B$9,$C$18,$C$19,AD$26,AD$25,$C$21,$C$22,$B47,AD$27)</f>
        <v>0</v>
      </c>
      <c r="AE47" s="19">
        <f ca="1">_xll.DBRW($B$9,$C$18,$C$19,AD$26,AD$25,$C$21,$C$22,$B47,AE$27)</f>
        <v>0</v>
      </c>
      <c r="AF47" s="27">
        <f ca="1">_xll.DBRW($B$9,$C$18,$C$19,AD$26,AD$25,$C$21,$C$22,$B47,AF$27)</f>
        <v>0</v>
      </c>
      <c r="AG47" s="117">
        <f t="shared" ca="1" si="6"/>
        <v>0</v>
      </c>
      <c r="AH47" s="117">
        <f t="shared" ca="1" si="7"/>
        <v>0</v>
      </c>
    </row>
    <row r="48" spans="1:34">
      <c r="A48">
        <f ca="1">IF(_xll.TM1RPTELISCONSOLIDATED($B$28,$B48),IF(_xll.TM1RPTELLEV($B$28,$B48)&lt;=3,_xll.TM1RPTELLEV($B$28,$B48),"D"),"N")</f>
        <v>1</v>
      </c>
      <c r="B48" s="118" t="s">
        <v>192</v>
      </c>
      <c r="C48" s="85">
        <f ca="1">_xll.DBRW($B$9,$C$18,$C$19,C$26,C$25,$C$21,$C$22,$B48,C$27)</f>
        <v>0</v>
      </c>
      <c r="D48" s="19">
        <f ca="1">_xll.DBRW($B$9,$C$18,$C$19,C$26,C$25,$C$21,$C$22,$B48,D$27)</f>
        <v>0</v>
      </c>
      <c r="E48" s="86">
        <f ca="1">_xll.DBRW($B$9,$C$18,$C$19,C$26,C$25,$C$21,$C$22,$B48,E$27)</f>
        <v>0</v>
      </c>
      <c r="F48" s="85">
        <f ca="1">_xll.DBRW($B$9,$C$18,$C$19,F$26,F$25,$C$21,$C$22,$B48,F$27)</f>
        <v>0</v>
      </c>
      <c r="G48" s="19">
        <f ca="1">_xll.DBRW($B$9,$C$18,$C$19,F$26,F$25,$C$21,$C$22,$B48,G$27)</f>
        <v>0</v>
      </c>
      <c r="H48" s="27">
        <f ca="1">_xll.DBRW($B$9,$C$18,$C$19,F$26,F$25,$C$21,$C$22,$B48,H$27)</f>
        <v>0</v>
      </c>
      <c r="I48" s="87">
        <f t="shared" ca="1" si="0"/>
        <v>0</v>
      </c>
      <c r="J48" s="88">
        <f t="shared" ca="1" si="1"/>
        <v>0</v>
      </c>
      <c r="K48" s="85">
        <f ca="1">_xll.DBRW($B$9,$C$18,$C$19,K$26,K$25,$C$21,$C$22,$B48,K$27)</f>
        <v>0</v>
      </c>
      <c r="L48" s="19">
        <f ca="1">_xll.DBRW($B$9,$C$18,$C$19,K$26,K$25,$C$21,$C$22,$B48,L$27)</f>
        <v>0</v>
      </c>
      <c r="M48" s="86">
        <f ca="1">_xll.DBRW($B$9,$C$18,$C$19,K$26,K$25,$C$21,$C$22,$B48,M$27)</f>
        <v>0</v>
      </c>
      <c r="N48" s="85">
        <f ca="1">_xll.DBRW($B$9,$C$18,$C$19,N$26,N$25,$C$21,$C$22,$B48,N$27)</f>
        <v>0</v>
      </c>
      <c r="O48" s="19">
        <f ca="1">_xll.DBRW($B$9,$C$18,$C$19,N$26,N$25,$C$21,$C$22,$B48,O$27)</f>
        <v>0</v>
      </c>
      <c r="P48" s="86">
        <f ca="1">_xll.DBRW($B$9,$C$18,$C$19,N$26,N$25,$C$21,$C$22,$B48,P$27)</f>
        <v>0</v>
      </c>
      <c r="Q48" s="87">
        <f t="shared" ca="1" si="2"/>
        <v>0</v>
      </c>
      <c r="R48" s="87">
        <f t="shared" ca="1" si="3"/>
        <v>0</v>
      </c>
      <c r="S48" s="85">
        <f ca="1">_xll.DBRW($B$9,$C$18,$C$19,S$26,S$25,$C$21,$C$22,$B48,S$27)</f>
        <v>0</v>
      </c>
      <c r="T48" s="19">
        <f ca="1">_xll.DBRW($B$9,$C$18,$C$19,S$26,S$25,$C$21,$C$22,$B48,T$27)</f>
        <v>0</v>
      </c>
      <c r="U48" s="86">
        <f ca="1">_xll.DBRW($B$9,$C$18,$C$19,S$26,S$25,$C$21,$C$22,$B48,U$27)</f>
        <v>0</v>
      </c>
      <c r="V48" s="85">
        <f ca="1">_xll.DBRW($B$9,$C$18,$C$19,V$26,V$25,$C$21,$C$22,$B48,V$27)</f>
        <v>0</v>
      </c>
      <c r="W48" s="19">
        <f ca="1">_xll.DBRW($B$9,$C$18,$C$19,V$26,V$25,$C$21,$C$22,$B48,W$27)</f>
        <v>0</v>
      </c>
      <c r="X48" s="86">
        <f ca="1">_xll.DBRW($B$9,$C$18,$C$19,V$26,V$25,$C$21,$C$22,$B48,X$27)</f>
        <v>0</v>
      </c>
      <c r="Y48" s="87">
        <f t="shared" ca="1" si="4"/>
        <v>0</v>
      </c>
      <c r="Z48" s="87">
        <f t="shared" ca="1" si="5"/>
        <v>0</v>
      </c>
      <c r="AA48" s="85">
        <f ca="1">_xll.DBRW($B$9,$C$18,$C$19,AA$26,AA$25,$C$21,$C$22,$B48,AA$27)</f>
        <v>0</v>
      </c>
      <c r="AB48" s="19">
        <f ca="1">_xll.DBRW($B$9,$C$18,$C$19,AA$26,AA$25,$C$21,$C$22,$B48,AB$27)</f>
        <v>0</v>
      </c>
      <c r="AC48" s="86">
        <f ca="1">_xll.DBRW($B$9,$C$18,$C$19,AA$26,AA$25,$C$21,$C$22,$B48,AC$27)</f>
        <v>0</v>
      </c>
      <c r="AD48" s="85">
        <f ca="1">_xll.DBRW($B$9,$C$18,$C$19,AD$26,AD$25,$C$21,$C$22,$B48,AD$27)</f>
        <v>0</v>
      </c>
      <c r="AE48" s="19">
        <f ca="1">_xll.DBRW($B$9,$C$18,$C$19,AD$26,AD$25,$C$21,$C$22,$B48,AE$27)</f>
        <v>0</v>
      </c>
      <c r="AF48" s="27">
        <f ca="1">_xll.DBRW($B$9,$C$18,$C$19,AD$26,AD$25,$C$21,$C$22,$B48,AF$27)</f>
        <v>0</v>
      </c>
      <c r="AG48" s="117">
        <f t="shared" ca="1" si="6"/>
        <v>0</v>
      </c>
      <c r="AH48" s="117">
        <f t="shared" ca="1" si="7"/>
        <v>0</v>
      </c>
    </row>
    <row r="49" spans="1:34">
      <c r="A49">
        <f ca="1">IF(_xll.TM1RPTELISCONSOLIDATED($B$28,$B49),IF(_xll.TM1RPTELLEV($B$28,$B49)&lt;=3,_xll.TM1RPTELLEV($B$28,$B49),"D"),"N")</f>
        <v>1</v>
      </c>
      <c r="B49" s="118" t="s">
        <v>193</v>
      </c>
      <c r="C49" s="85">
        <f ca="1">_xll.DBRW($B$9,$C$18,$C$19,C$26,C$25,$C$21,$C$22,$B49,C$27)</f>
        <v>0</v>
      </c>
      <c r="D49" s="19">
        <f ca="1">_xll.DBRW($B$9,$C$18,$C$19,C$26,C$25,$C$21,$C$22,$B49,D$27)</f>
        <v>0</v>
      </c>
      <c r="E49" s="86">
        <f ca="1">_xll.DBRW($B$9,$C$18,$C$19,C$26,C$25,$C$21,$C$22,$B49,E$27)</f>
        <v>0</v>
      </c>
      <c r="F49" s="85">
        <f ca="1">_xll.DBRW($B$9,$C$18,$C$19,F$26,F$25,$C$21,$C$22,$B49,F$27)</f>
        <v>0</v>
      </c>
      <c r="G49" s="19">
        <f ca="1">_xll.DBRW($B$9,$C$18,$C$19,F$26,F$25,$C$21,$C$22,$B49,G$27)</f>
        <v>0</v>
      </c>
      <c r="H49" s="27">
        <f ca="1">_xll.DBRW($B$9,$C$18,$C$19,F$26,F$25,$C$21,$C$22,$B49,H$27)</f>
        <v>0</v>
      </c>
      <c r="I49" s="87">
        <f t="shared" ca="1" si="0"/>
        <v>0</v>
      </c>
      <c r="J49" s="88">
        <f t="shared" ca="1" si="1"/>
        <v>0</v>
      </c>
      <c r="K49" s="85">
        <f ca="1">_xll.DBRW($B$9,$C$18,$C$19,K$26,K$25,$C$21,$C$22,$B49,K$27)</f>
        <v>0</v>
      </c>
      <c r="L49" s="19">
        <f ca="1">_xll.DBRW($B$9,$C$18,$C$19,K$26,K$25,$C$21,$C$22,$B49,L$27)</f>
        <v>0</v>
      </c>
      <c r="M49" s="86">
        <f ca="1">_xll.DBRW($B$9,$C$18,$C$19,K$26,K$25,$C$21,$C$22,$B49,M$27)</f>
        <v>0</v>
      </c>
      <c r="N49" s="85">
        <f ca="1">_xll.DBRW($B$9,$C$18,$C$19,N$26,N$25,$C$21,$C$22,$B49,N$27)</f>
        <v>0</v>
      </c>
      <c r="O49" s="19">
        <f ca="1">_xll.DBRW($B$9,$C$18,$C$19,N$26,N$25,$C$21,$C$22,$B49,O$27)</f>
        <v>0</v>
      </c>
      <c r="P49" s="86">
        <f ca="1">_xll.DBRW($B$9,$C$18,$C$19,N$26,N$25,$C$21,$C$22,$B49,P$27)</f>
        <v>0</v>
      </c>
      <c r="Q49" s="87">
        <f t="shared" ca="1" si="2"/>
        <v>0</v>
      </c>
      <c r="R49" s="87">
        <f t="shared" ca="1" si="3"/>
        <v>0</v>
      </c>
      <c r="S49" s="85">
        <f ca="1">_xll.DBRW($B$9,$C$18,$C$19,S$26,S$25,$C$21,$C$22,$B49,S$27)</f>
        <v>0</v>
      </c>
      <c r="T49" s="19">
        <f ca="1">_xll.DBRW($B$9,$C$18,$C$19,S$26,S$25,$C$21,$C$22,$B49,T$27)</f>
        <v>0</v>
      </c>
      <c r="U49" s="86">
        <f ca="1">_xll.DBRW($B$9,$C$18,$C$19,S$26,S$25,$C$21,$C$22,$B49,U$27)</f>
        <v>0</v>
      </c>
      <c r="V49" s="85">
        <f ca="1">_xll.DBRW($B$9,$C$18,$C$19,V$26,V$25,$C$21,$C$22,$B49,V$27)</f>
        <v>0</v>
      </c>
      <c r="W49" s="19">
        <f ca="1">_xll.DBRW($B$9,$C$18,$C$19,V$26,V$25,$C$21,$C$22,$B49,W$27)</f>
        <v>0</v>
      </c>
      <c r="X49" s="86">
        <f ca="1">_xll.DBRW($B$9,$C$18,$C$19,V$26,V$25,$C$21,$C$22,$B49,X$27)</f>
        <v>0</v>
      </c>
      <c r="Y49" s="87">
        <f t="shared" ca="1" si="4"/>
        <v>0</v>
      </c>
      <c r="Z49" s="87">
        <f t="shared" ca="1" si="5"/>
        <v>0</v>
      </c>
      <c r="AA49" s="85">
        <f ca="1">_xll.DBRW($B$9,$C$18,$C$19,AA$26,AA$25,$C$21,$C$22,$B49,AA$27)</f>
        <v>0</v>
      </c>
      <c r="AB49" s="19">
        <f ca="1">_xll.DBRW($B$9,$C$18,$C$19,AA$26,AA$25,$C$21,$C$22,$B49,AB$27)</f>
        <v>0</v>
      </c>
      <c r="AC49" s="86">
        <f ca="1">_xll.DBRW($B$9,$C$18,$C$19,AA$26,AA$25,$C$21,$C$22,$B49,AC$27)</f>
        <v>0</v>
      </c>
      <c r="AD49" s="85">
        <f ca="1">_xll.DBRW($B$9,$C$18,$C$19,AD$26,AD$25,$C$21,$C$22,$B49,AD$27)</f>
        <v>0</v>
      </c>
      <c r="AE49" s="19">
        <f ca="1">_xll.DBRW($B$9,$C$18,$C$19,AD$26,AD$25,$C$21,$C$22,$B49,AE$27)</f>
        <v>0</v>
      </c>
      <c r="AF49" s="27">
        <f ca="1">_xll.DBRW($B$9,$C$18,$C$19,AD$26,AD$25,$C$21,$C$22,$B49,AF$27)</f>
        <v>0</v>
      </c>
      <c r="AG49" s="117">
        <f t="shared" ca="1" si="6"/>
        <v>0</v>
      </c>
      <c r="AH49" s="117">
        <f t="shared" ca="1" si="7"/>
        <v>0</v>
      </c>
    </row>
    <row r="50" spans="1:34">
      <c r="A50">
        <f ca="1">IF(_xll.TM1RPTELISCONSOLIDATED($B$28,$B50),IF(_xll.TM1RPTELLEV($B$28,$B50)&lt;=3,_xll.TM1RPTELLEV($B$28,$B50),"D"),"N")</f>
        <v>1</v>
      </c>
      <c r="B50" s="118" t="s">
        <v>194</v>
      </c>
      <c r="C50" s="85">
        <f ca="1">_xll.DBRW($B$9,$C$18,$C$19,C$26,C$25,$C$21,$C$22,$B50,C$27)</f>
        <v>0</v>
      </c>
      <c r="D50" s="19">
        <f ca="1">_xll.DBRW($B$9,$C$18,$C$19,C$26,C$25,$C$21,$C$22,$B50,D$27)</f>
        <v>0</v>
      </c>
      <c r="E50" s="86">
        <f ca="1">_xll.DBRW($B$9,$C$18,$C$19,C$26,C$25,$C$21,$C$22,$B50,E$27)</f>
        <v>0</v>
      </c>
      <c r="F50" s="85">
        <f ca="1">_xll.DBRW($B$9,$C$18,$C$19,F$26,F$25,$C$21,$C$22,$B50,F$27)</f>
        <v>0</v>
      </c>
      <c r="G50" s="19">
        <f ca="1">_xll.DBRW($B$9,$C$18,$C$19,F$26,F$25,$C$21,$C$22,$B50,G$27)</f>
        <v>0</v>
      </c>
      <c r="H50" s="27">
        <f ca="1">_xll.DBRW($B$9,$C$18,$C$19,F$26,F$25,$C$21,$C$22,$B50,H$27)</f>
        <v>0</v>
      </c>
      <c r="I50" s="87">
        <f t="shared" ca="1" si="0"/>
        <v>0</v>
      </c>
      <c r="J50" s="88">
        <f t="shared" ca="1" si="1"/>
        <v>0</v>
      </c>
      <c r="K50" s="85">
        <f ca="1">_xll.DBRW($B$9,$C$18,$C$19,K$26,K$25,$C$21,$C$22,$B50,K$27)</f>
        <v>0</v>
      </c>
      <c r="L50" s="19">
        <f ca="1">_xll.DBRW($B$9,$C$18,$C$19,K$26,K$25,$C$21,$C$22,$B50,L$27)</f>
        <v>0</v>
      </c>
      <c r="M50" s="86">
        <f ca="1">_xll.DBRW($B$9,$C$18,$C$19,K$26,K$25,$C$21,$C$22,$B50,M$27)</f>
        <v>0</v>
      </c>
      <c r="N50" s="85">
        <f ca="1">_xll.DBRW($B$9,$C$18,$C$19,N$26,N$25,$C$21,$C$22,$B50,N$27)</f>
        <v>0</v>
      </c>
      <c r="O50" s="19">
        <f ca="1">_xll.DBRW($B$9,$C$18,$C$19,N$26,N$25,$C$21,$C$22,$B50,O$27)</f>
        <v>0</v>
      </c>
      <c r="P50" s="86">
        <f ca="1">_xll.DBRW($B$9,$C$18,$C$19,N$26,N$25,$C$21,$C$22,$B50,P$27)</f>
        <v>0</v>
      </c>
      <c r="Q50" s="87">
        <f t="shared" ca="1" si="2"/>
        <v>0</v>
      </c>
      <c r="R50" s="87">
        <f t="shared" ca="1" si="3"/>
        <v>0</v>
      </c>
      <c r="S50" s="85">
        <f ca="1">_xll.DBRW($B$9,$C$18,$C$19,S$26,S$25,$C$21,$C$22,$B50,S$27)</f>
        <v>0</v>
      </c>
      <c r="T50" s="19">
        <f ca="1">_xll.DBRW($B$9,$C$18,$C$19,S$26,S$25,$C$21,$C$22,$B50,T$27)</f>
        <v>0</v>
      </c>
      <c r="U50" s="86">
        <f ca="1">_xll.DBRW($B$9,$C$18,$C$19,S$26,S$25,$C$21,$C$22,$B50,U$27)</f>
        <v>0</v>
      </c>
      <c r="V50" s="85">
        <f ca="1">_xll.DBRW($B$9,$C$18,$C$19,V$26,V$25,$C$21,$C$22,$B50,V$27)</f>
        <v>0</v>
      </c>
      <c r="W50" s="19">
        <f ca="1">_xll.DBRW($B$9,$C$18,$C$19,V$26,V$25,$C$21,$C$22,$B50,W$27)</f>
        <v>0</v>
      </c>
      <c r="X50" s="86">
        <f ca="1">_xll.DBRW($B$9,$C$18,$C$19,V$26,V$25,$C$21,$C$22,$B50,X$27)</f>
        <v>0</v>
      </c>
      <c r="Y50" s="87">
        <f t="shared" ca="1" si="4"/>
        <v>0</v>
      </c>
      <c r="Z50" s="87">
        <f t="shared" ca="1" si="5"/>
        <v>0</v>
      </c>
      <c r="AA50" s="85">
        <f ca="1">_xll.DBRW($B$9,$C$18,$C$19,AA$26,AA$25,$C$21,$C$22,$B50,AA$27)</f>
        <v>0</v>
      </c>
      <c r="AB50" s="19">
        <f ca="1">_xll.DBRW($B$9,$C$18,$C$19,AA$26,AA$25,$C$21,$C$22,$B50,AB$27)</f>
        <v>0</v>
      </c>
      <c r="AC50" s="86">
        <f ca="1">_xll.DBRW($B$9,$C$18,$C$19,AA$26,AA$25,$C$21,$C$22,$B50,AC$27)</f>
        <v>0</v>
      </c>
      <c r="AD50" s="85">
        <f ca="1">_xll.DBRW($B$9,$C$18,$C$19,AD$26,AD$25,$C$21,$C$22,$B50,AD$27)</f>
        <v>0</v>
      </c>
      <c r="AE50" s="19">
        <f ca="1">_xll.DBRW($B$9,$C$18,$C$19,AD$26,AD$25,$C$21,$C$22,$B50,AE$27)</f>
        <v>0</v>
      </c>
      <c r="AF50" s="27">
        <f ca="1">_xll.DBRW($B$9,$C$18,$C$19,AD$26,AD$25,$C$21,$C$22,$B50,AF$27)</f>
        <v>0</v>
      </c>
      <c r="AG50" s="117">
        <f t="shared" ca="1" si="6"/>
        <v>0</v>
      </c>
      <c r="AH50" s="117">
        <f t="shared" ca="1" si="7"/>
        <v>0</v>
      </c>
    </row>
    <row r="51" spans="1:34"/>
    <row r="52" spans="1:34" hidden="1"/>
    <row r="53" spans="1:34" hidden="1"/>
    <row r="54" spans="1:34" hidden="1"/>
    <row r="55" spans="1:34" hidden="1"/>
    <row r="56" spans="1:34" hidden="1"/>
    <row r="57" spans="1:34" hidden="1"/>
    <row r="58" spans="1:34" hidden="1"/>
    <row r="59" spans="1:34" hidden="1"/>
    <row r="60" spans="1:34" hidden="1"/>
    <row r="61" spans="1:34" hidden="1"/>
    <row r="62" spans="1:34" hidden="1"/>
    <row r="63" spans="1:34" hidden="1"/>
    <row r="64" spans="1:3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</sheetData>
  <mergeCells count="20">
    <mergeCell ref="AG25:AH26"/>
    <mergeCell ref="S26:U26"/>
    <mergeCell ref="V26:X26"/>
    <mergeCell ref="AA26:AC26"/>
    <mergeCell ref="AD26:AF26"/>
    <mergeCell ref="S25:U25"/>
    <mergeCell ref="V25:X25"/>
    <mergeCell ref="Y25:Z26"/>
    <mergeCell ref="AA25:AC25"/>
    <mergeCell ref="AD25:AF25"/>
    <mergeCell ref="Q25:R26"/>
    <mergeCell ref="C26:E26"/>
    <mergeCell ref="F26:H26"/>
    <mergeCell ref="K26:M26"/>
    <mergeCell ref="N26:P26"/>
    <mergeCell ref="C25:E25"/>
    <mergeCell ref="F25:H25"/>
    <mergeCell ref="I25:J26"/>
    <mergeCell ref="K25:M25"/>
    <mergeCell ref="N25:P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TIButton1">
          <controlPr defaultSize="0" print="0" autoLine="0" r:id="rId5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6</xdr:col>
                <xdr:colOff>295275</xdr:colOff>
                <xdr:row>23</xdr:row>
                <xdr:rowOff>9525</xdr:rowOff>
              </to>
            </anchor>
          </controlPr>
        </control>
      </mc:Choice>
      <mc:Fallback>
        <control shapeId="8193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LT408"/>
  <sheetViews>
    <sheetView showGridLines="0" topLeftCell="G16" workbookViewId="0">
      <selection activeCell="H24" sqref="H24"/>
    </sheetView>
  </sheetViews>
  <sheetFormatPr defaultColWidth="0" defaultRowHeight="15" zeroHeight="1"/>
  <cols>
    <col min="1" max="1" width="18.7109375" hidden="1" customWidth="1"/>
    <col min="2" max="6" width="0" hidden="1" customWidth="1"/>
    <col min="7" max="7" width="52.28515625" customWidth="1"/>
    <col min="8" max="8" width="10.7109375" customWidth="1"/>
    <col min="9" max="9" width="12.7109375" customWidth="1"/>
    <col min="10" max="10" width="20.7109375" customWidth="1"/>
    <col min="11" max="11" width="10.7109375" customWidth="1"/>
    <col min="12" max="12" width="12.7109375" customWidth="1"/>
    <col min="13" max="13" width="20.7109375" customWidth="1"/>
    <col min="14" max="16" width="10.7109375" customWidth="1"/>
    <col min="17" max="17" width="12.7109375" customWidth="1"/>
    <col min="18" max="18" width="20.7109375" customWidth="1"/>
    <col min="19" max="19" width="10.7109375" customWidth="1"/>
    <col min="20" max="20" width="12.7109375" customWidth="1"/>
    <col min="21" max="21" width="20.7109375" customWidth="1"/>
    <col min="22" max="24" width="10.7109375" customWidth="1"/>
    <col min="25" max="25" width="12.7109375" customWidth="1"/>
    <col min="26" max="26" width="20.7109375" customWidth="1"/>
    <col min="27" max="27" width="10.7109375" customWidth="1"/>
    <col min="28" max="28" width="12.7109375" customWidth="1"/>
    <col min="29" max="29" width="20.7109375" customWidth="1"/>
    <col min="30" max="32" width="10.7109375" customWidth="1"/>
    <col min="33" max="33" width="12.7109375" customWidth="1"/>
    <col min="34" max="34" width="20.7109375" customWidth="1"/>
    <col min="35" max="35" width="10.7109375" customWidth="1"/>
    <col min="36" max="36" width="12.7109375" customWidth="1"/>
    <col min="37" max="37" width="20.7109375" customWidth="1"/>
    <col min="38" max="39" width="10.7109375" customWidth="1"/>
    <col min="40" max="40" width="2.140625" style="12" customWidth="1"/>
    <col min="41" max="1008" width="0" hidden="1" customWidth="1"/>
    <col min="1009" max="16384" width="11.5703125" hidden="1"/>
  </cols>
  <sheetData>
    <row r="1" spans="1:40" hidden="1">
      <c r="A1" t="s">
        <v>37</v>
      </c>
    </row>
    <row r="2" spans="1:40" hidden="1">
      <c r="A2">
        <f>0</f>
        <v>0</v>
      </c>
      <c r="G2" s="16"/>
      <c r="H2" s="43"/>
      <c r="I2" s="43"/>
      <c r="J2" s="43"/>
      <c r="K2" s="43"/>
      <c r="L2" s="43"/>
      <c r="M2" s="44"/>
      <c r="N2" s="119"/>
      <c r="O2" s="120"/>
      <c r="P2" s="46"/>
      <c r="Q2" s="43"/>
      <c r="R2" s="43"/>
      <c r="S2" s="43"/>
      <c r="T2" s="43"/>
      <c r="U2" s="44"/>
      <c r="V2" s="119"/>
      <c r="W2" s="120"/>
      <c r="X2" s="46"/>
      <c r="Y2" s="43"/>
      <c r="Z2" s="43"/>
      <c r="AA2" s="43"/>
      <c r="AB2" s="43"/>
      <c r="AC2" s="44"/>
      <c r="AD2" s="119"/>
      <c r="AE2" s="120"/>
      <c r="AF2" s="46"/>
      <c r="AG2" s="43"/>
      <c r="AH2" s="43"/>
      <c r="AI2" s="43"/>
      <c r="AJ2" s="43"/>
      <c r="AK2" s="44"/>
      <c r="AL2" s="119"/>
      <c r="AM2" s="120"/>
    </row>
    <row r="3" spans="1:40" hidden="1">
      <c r="A3">
        <f>1</f>
        <v>1</v>
      </c>
      <c r="G3" s="18"/>
      <c r="H3" s="47"/>
      <c r="I3" s="47"/>
      <c r="J3" s="47"/>
      <c r="K3" s="47"/>
      <c r="L3" s="47"/>
      <c r="M3" s="48"/>
      <c r="N3" s="121"/>
      <c r="O3" s="122"/>
      <c r="P3" s="50"/>
      <c r="Q3" s="47"/>
      <c r="R3" s="47"/>
      <c r="S3" s="47"/>
      <c r="T3" s="47"/>
      <c r="U3" s="48"/>
      <c r="V3" s="121"/>
      <c r="W3" s="122"/>
      <c r="X3" s="50"/>
      <c r="Y3" s="47"/>
      <c r="Z3" s="47"/>
      <c r="AA3" s="47"/>
      <c r="AB3" s="47"/>
      <c r="AC3" s="48"/>
      <c r="AD3" s="121"/>
      <c r="AE3" s="122"/>
      <c r="AF3" s="50"/>
      <c r="AG3" s="47"/>
      <c r="AH3" s="47"/>
      <c r="AI3" s="47"/>
      <c r="AJ3" s="47"/>
      <c r="AK3" s="48"/>
      <c r="AL3" s="121"/>
      <c r="AM3" s="122"/>
    </row>
    <row r="4" spans="1:40" hidden="1">
      <c r="A4">
        <f>2</f>
        <v>2</v>
      </c>
      <c r="G4" s="20"/>
      <c r="H4" s="51"/>
      <c r="I4" s="51"/>
      <c r="J4" s="51"/>
      <c r="K4" s="51"/>
      <c r="L4" s="51"/>
      <c r="M4" s="52"/>
      <c r="N4" s="123"/>
      <c r="O4" s="124"/>
      <c r="P4" s="54"/>
      <c r="Q4" s="51"/>
      <c r="R4" s="51"/>
      <c r="S4" s="51"/>
      <c r="T4" s="51"/>
      <c r="U4" s="52"/>
      <c r="V4" s="123"/>
      <c r="W4" s="124"/>
      <c r="X4" s="54"/>
      <c r="Y4" s="51"/>
      <c r="Z4" s="51"/>
      <c r="AA4" s="51"/>
      <c r="AB4" s="51"/>
      <c r="AC4" s="52"/>
      <c r="AD4" s="123"/>
      <c r="AE4" s="124"/>
      <c r="AF4" s="54"/>
      <c r="AG4" s="51"/>
      <c r="AH4" s="51"/>
      <c r="AI4" s="51"/>
      <c r="AJ4" s="51"/>
      <c r="AK4" s="52"/>
      <c r="AL4" s="123"/>
      <c r="AM4" s="124"/>
    </row>
    <row r="5" spans="1:40" hidden="1">
      <c r="A5">
        <f>3</f>
        <v>3</v>
      </c>
      <c r="G5" s="22"/>
      <c r="H5" s="125"/>
      <c r="I5" s="125"/>
      <c r="J5" s="125"/>
      <c r="K5" s="125"/>
      <c r="L5" s="125"/>
      <c r="M5" s="126"/>
      <c r="N5" s="127"/>
      <c r="O5" s="128"/>
      <c r="P5" s="129"/>
      <c r="Q5" s="125"/>
      <c r="R5" s="125"/>
      <c r="S5" s="125"/>
      <c r="T5" s="125"/>
      <c r="U5" s="126"/>
      <c r="V5" s="127"/>
      <c r="W5" s="128"/>
      <c r="X5" s="129"/>
      <c r="Y5" s="125"/>
      <c r="Z5" s="125"/>
      <c r="AA5" s="125"/>
      <c r="AB5" s="125"/>
      <c r="AC5" s="126"/>
      <c r="AD5" s="127"/>
      <c r="AE5" s="128"/>
      <c r="AF5" s="129"/>
      <c r="AG5" s="125"/>
      <c r="AH5" s="125"/>
      <c r="AI5" s="125"/>
      <c r="AJ5" s="125"/>
      <c r="AK5" s="126"/>
      <c r="AL5" s="127"/>
      <c r="AM5" s="128"/>
    </row>
    <row r="6" spans="1:40" hidden="1">
      <c r="A6" t="s">
        <v>35</v>
      </c>
      <c r="G6" s="24"/>
      <c r="H6" s="60"/>
      <c r="I6" s="60"/>
      <c r="J6" s="60"/>
      <c r="K6" s="60"/>
      <c r="L6" s="60"/>
      <c r="M6" s="61"/>
      <c r="N6" s="130"/>
      <c r="O6" s="131"/>
      <c r="P6" s="63"/>
      <c r="Q6" s="60"/>
      <c r="R6" s="60"/>
      <c r="S6" s="60"/>
      <c r="T6" s="60"/>
      <c r="U6" s="61"/>
      <c r="V6" s="130"/>
      <c r="W6" s="131"/>
      <c r="X6" s="63"/>
      <c r="Y6" s="60"/>
      <c r="Z6" s="60"/>
      <c r="AA6" s="60"/>
      <c r="AB6" s="60"/>
      <c r="AC6" s="61"/>
      <c r="AD6" s="130"/>
      <c r="AE6" s="131"/>
      <c r="AF6" s="63"/>
      <c r="AG6" s="60"/>
      <c r="AH6" s="60"/>
      <c r="AI6" s="60"/>
      <c r="AJ6" s="60"/>
      <c r="AK6" s="61"/>
      <c r="AL6" s="130"/>
      <c r="AM6" s="131"/>
    </row>
    <row r="7" spans="1:40" hidden="1">
      <c r="A7" t="s">
        <v>36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</row>
    <row r="8" spans="1:40" hidden="1">
      <c r="A8" t="s">
        <v>38</v>
      </c>
    </row>
    <row r="9" spans="1:40" hidden="1"/>
    <row r="10" spans="1:40" hidden="1"/>
    <row r="11" spans="1:40" hidden="1"/>
    <row r="12" spans="1:40" hidden="1"/>
    <row r="13" spans="1:40" hidden="1"/>
    <row r="14" spans="1:40" hidden="1"/>
    <row r="15" spans="1:40" hidden="1">
      <c r="G15" t="str">
        <f ca="1">_xll.TM1RPTVIEW("CXMD:OTC_DATA_MARKET_ANALYSIS:ARPT1", 1, _xll.TM1RPTTITLE("CXMD:Currency",$H$21), _xll.TM1RPTTITLE("CXMD:DIM_Prev_IC_mapping",$H$22), _xll.TM1RPTTITLE("CXMD:DIM_Origin_Company",$H$24), _xll.TM1RPTTITLE("CXMD:DIM_Country",$H$25),TM1RPTFMTRNG,TM1RPTFMTIDCOL)</f>
        <v>CXMD:OTC_DATA_MARKET_ANALYSIS:ARPT1</v>
      </c>
    </row>
    <row r="16" spans="1:40" s="65" customFormat="1">
      <c r="AN16" s="12"/>
    </row>
    <row r="17" spans="1:40" s="65" customFormat="1">
      <c r="AN17" s="12"/>
    </row>
    <row r="18" spans="1:40" s="65" customFormat="1">
      <c r="AN18" s="12"/>
    </row>
    <row r="19" spans="1:40" s="65" customFormat="1">
      <c r="AN19" s="12"/>
    </row>
    <row r="20" spans="1:40" s="65" customFormat="1">
      <c r="AN20" s="12"/>
    </row>
    <row r="21" spans="1:40" s="7" customFormat="1" hidden="1">
      <c r="G21" s="9" t="s">
        <v>1</v>
      </c>
      <c r="H21" s="7" t="str">
        <f ca="1">_xll.SUBNM("CXMD:Currency","Par défaut","CD_LC","Description EN")</f>
        <v>Local currency</v>
      </c>
      <c r="AN21" s="12"/>
    </row>
    <row r="22" spans="1:40" s="7" customFormat="1" hidden="1">
      <c r="G22" s="9" t="s">
        <v>161</v>
      </c>
      <c r="H22" s="7" t="str">
        <f ca="1">_xll.SUBNM("CXMD:DIM_Prev_IC_mapping","","Others")</f>
        <v>Others</v>
      </c>
      <c r="AN22" s="12"/>
    </row>
    <row r="23" spans="1:40" s="7" customFormat="1" ht="25.9" customHeight="1">
      <c r="G23" s="132" t="s">
        <v>168</v>
      </c>
      <c r="AN23" s="12"/>
    </row>
    <row r="24" spans="1:40" s="7" customFormat="1">
      <c r="G24" s="9" t="s">
        <v>3</v>
      </c>
      <c r="H24" s="10" t="str">
        <f ca="1">'Market shares summary'!C21</f>
        <v>KUHN GERMANY</v>
      </c>
      <c r="AN24" s="12"/>
    </row>
    <row r="25" spans="1:40" s="7" customFormat="1">
      <c r="G25" s="9" t="s">
        <v>163</v>
      </c>
      <c r="H25" s="10" t="str">
        <f ca="1">'Market shares summary'!C22</f>
        <v>ALLEMAGNE</v>
      </c>
      <c r="AN25" s="12"/>
    </row>
    <row r="26" spans="1:40" s="7" customFormat="1" hidden="1">
      <c r="AN26" s="12"/>
    </row>
    <row r="27" spans="1:40" s="7" customFormat="1" ht="15.75" thickBot="1">
      <c r="AN27" s="12"/>
    </row>
    <row r="28" spans="1:40" s="72" customFormat="1" ht="28.9" customHeight="1">
      <c r="G28" s="133"/>
      <c r="H28" s="162" t="s">
        <v>43</v>
      </c>
      <c r="I28" s="163"/>
      <c r="J28" s="163"/>
      <c r="K28" s="163"/>
      <c r="L28" s="163"/>
      <c r="M28" s="164"/>
      <c r="N28" s="143" t="s">
        <v>169</v>
      </c>
      <c r="O28" s="145"/>
      <c r="P28" s="162" t="s">
        <v>45</v>
      </c>
      <c r="Q28" s="163"/>
      <c r="R28" s="163"/>
      <c r="S28" s="163"/>
      <c r="T28" s="163"/>
      <c r="U28" s="164"/>
      <c r="V28" s="143" t="s">
        <v>169</v>
      </c>
      <c r="W28" s="145"/>
      <c r="X28" s="162" t="s">
        <v>47</v>
      </c>
      <c r="Y28" s="163"/>
      <c r="Z28" s="163"/>
      <c r="AA28" s="163"/>
      <c r="AB28" s="163"/>
      <c r="AC28" s="164"/>
      <c r="AD28" s="143" t="s">
        <v>169</v>
      </c>
      <c r="AE28" s="145"/>
      <c r="AF28" s="162" t="s">
        <v>48</v>
      </c>
      <c r="AG28" s="163"/>
      <c r="AH28" s="163"/>
      <c r="AI28" s="163"/>
      <c r="AJ28" s="163"/>
      <c r="AK28" s="164"/>
      <c r="AL28" s="143" t="s">
        <v>169</v>
      </c>
      <c r="AM28" s="145"/>
      <c r="AN28" s="134"/>
    </row>
    <row r="29" spans="1:40">
      <c r="G29" s="7"/>
      <c r="H29" s="167" t="s">
        <v>165</v>
      </c>
      <c r="I29" s="165"/>
      <c r="J29" s="165"/>
      <c r="K29" s="165" t="s">
        <v>166</v>
      </c>
      <c r="L29" s="165"/>
      <c r="M29" s="165"/>
      <c r="N29" s="165"/>
      <c r="O29" s="166"/>
      <c r="P29" s="168" t="s">
        <v>165</v>
      </c>
      <c r="Q29" s="169"/>
      <c r="R29" s="169"/>
      <c r="S29" s="169" t="s">
        <v>166</v>
      </c>
      <c r="T29" s="169"/>
      <c r="U29" s="169"/>
      <c r="V29" s="165"/>
      <c r="W29" s="166"/>
      <c r="X29" s="168" t="s">
        <v>165</v>
      </c>
      <c r="Y29" s="169"/>
      <c r="Z29" s="169"/>
      <c r="AA29" s="169" t="s">
        <v>166</v>
      </c>
      <c r="AB29" s="169"/>
      <c r="AC29" s="169"/>
      <c r="AD29" s="165"/>
      <c r="AE29" s="166"/>
      <c r="AF29" s="168" t="s">
        <v>165</v>
      </c>
      <c r="AG29" s="169"/>
      <c r="AH29" s="169"/>
      <c r="AI29" s="169" t="s">
        <v>166</v>
      </c>
      <c r="AJ29" s="169"/>
      <c r="AK29" s="169"/>
      <c r="AL29" s="165"/>
      <c r="AM29" s="166"/>
    </row>
    <row r="30" spans="1:40" ht="15.75" thickBot="1">
      <c r="G30" s="7"/>
      <c r="H30" s="74" t="s">
        <v>5</v>
      </c>
      <c r="I30" s="75" t="s">
        <v>167</v>
      </c>
      <c r="J30" s="75" t="s">
        <v>6</v>
      </c>
      <c r="K30" s="75" t="s">
        <v>5</v>
      </c>
      <c r="L30" s="75" t="s">
        <v>167</v>
      </c>
      <c r="M30" s="75" t="s">
        <v>6</v>
      </c>
      <c r="N30" s="75" t="s">
        <v>5</v>
      </c>
      <c r="O30" s="135" t="s">
        <v>6</v>
      </c>
      <c r="P30" s="74" t="s">
        <v>5</v>
      </c>
      <c r="Q30" s="75" t="s">
        <v>167</v>
      </c>
      <c r="R30" s="75" t="s">
        <v>6</v>
      </c>
      <c r="S30" s="75" t="s">
        <v>5</v>
      </c>
      <c r="T30" s="75" t="s">
        <v>167</v>
      </c>
      <c r="U30" s="75" t="s">
        <v>6</v>
      </c>
      <c r="V30" s="75" t="s">
        <v>5</v>
      </c>
      <c r="W30" s="135" t="s">
        <v>6</v>
      </c>
      <c r="X30" s="74" t="s">
        <v>5</v>
      </c>
      <c r="Y30" s="75" t="s">
        <v>167</v>
      </c>
      <c r="Z30" s="75" t="s">
        <v>6</v>
      </c>
      <c r="AA30" s="75" t="s">
        <v>5</v>
      </c>
      <c r="AB30" s="75" t="s">
        <v>167</v>
      </c>
      <c r="AC30" s="75" t="s">
        <v>6</v>
      </c>
      <c r="AD30" s="75" t="s">
        <v>5</v>
      </c>
      <c r="AE30" s="135" t="s">
        <v>6</v>
      </c>
      <c r="AF30" s="74" t="s">
        <v>5</v>
      </c>
      <c r="AG30" s="75" t="s">
        <v>167</v>
      </c>
      <c r="AH30" s="75" t="s">
        <v>6</v>
      </c>
      <c r="AI30" s="75" t="s">
        <v>5</v>
      </c>
      <c r="AJ30" s="75" t="s">
        <v>167</v>
      </c>
      <c r="AK30" s="75" t="s">
        <v>6</v>
      </c>
      <c r="AL30" s="75" t="s">
        <v>5</v>
      </c>
      <c r="AM30" s="135" t="s">
        <v>6</v>
      </c>
    </row>
    <row r="31" spans="1:40">
      <c r="A31" t="str">
        <f ca="1">IF(_xll.TM1RPTELISCONSOLIDATED($G$31,$G31),IF(_xll.TM1RPTELLEV($G$31,$G31)&lt;=3,_xll.TM1RPTELLEV($G$31,$G31),"D"),"N")</f>
        <v>N</v>
      </c>
      <c r="G31" s="41" t="str">
        <f ca="1">_xll.TM1RPTROW($G$15,"CXMD:DIM_Configuration","Product_Market_Shares_BUD_Meeting","","Description EN",0)</f>
        <v/>
      </c>
      <c r="H31" s="43" t="str">
        <f ca="1">_xll.DBRW($G$15,$H$21,$H$22,H$29,H$28,$H$24,$H$25,$G31,H$30)</f>
        <v/>
      </c>
      <c r="I31" s="43" t="str">
        <f ca="1">_xll.DBRW($G$15,$H$21,$H$22,H$29,H$28,$H$24,$H$25,$G31,I$30)</f>
        <v/>
      </c>
      <c r="J31" s="43" t="str">
        <f ca="1">_xll.DBRW($G$15,$H$21,$H$22,H$29,H$28,$H$24,$H$25,$G31,J$30)</f>
        <v/>
      </c>
      <c r="K31" s="43" t="str">
        <f ca="1">_xll.DBRW($G$15,$H$21,$H$22,K$29,H$28,$H$24,$H$25,$G31,K$30)</f>
        <v/>
      </c>
      <c r="L31" s="43" t="str">
        <f ca="1">_xll.DBRW($G$15,$H$21,$H$22,K$29,H$28,$H$24,$H$25,$G31,L$30)</f>
        <v/>
      </c>
      <c r="M31" s="44" t="str">
        <f ca="1">_xll.DBRW($G$15,$H$21,$H$22,K$29,H$28,$H$24,$H$25,$G31,M$30)</f>
        <v/>
      </c>
      <c r="N31" s="119" t="e">
        <f ca="1">IF(K31&lt;&gt;0,H31/K31,0)</f>
        <v>#VALUE!</v>
      </c>
      <c r="O31" s="120" t="e">
        <f ca="1">IF(M31&lt;&gt;0,J31/M31,0)</f>
        <v>#VALUE!</v>
      </c>
      <c r="P31" s="46" t="str">
        <f ca="1">_xll.DBRW($G$15,$H$21,$H$22,P$29,P$28,$H$24,$H$25,$G31,P$30)</f>
        <v/>
      </c>
      <c r="Q31" s="43" t="str">
        <f ca="1">_xll.DBRW($G$15,$H$21,$H$22,P$29,P$28,$H$24,$H$25,$G31,Q$30)</f>
        <v/>
      </c>
      <c r="R31" s="43" t="str">
        <f ca="1">_xll.DBRW($G$15,$H$21,$H$22,P$29,P$28,$H$24,$H$25,$G31,R$30)</f>
        <v/>
      </c>
      <c r="S31" s="43" t="str">
        <f ca="1">_xll.DBRW($G$15,$H$21,$H$22,S$29,P$28,$H$24,$H$25,$G31,S$30)</f>
        <v/>
      </c>
      <c r="T31" s="43" t="str">
        <f ca="1">_xll.DBRW($G$15,$H$21,$H$22,S$29,P$28,$H$24,$H$25,$G31,T$30)</f>
        <v/>
      </c>
      <c r="U31" s="44" t="str">
        <f ca="1">_xll.DBRW($G$15,$H$21,$H$22,S$29,P$28,$H$24,$H$25,$G31,U$30)</f>
        <v/>
      </c>
      <c r="V31" s="119" t="e">
        <f ca="1">IF(S31&lt;&gt;0,P31/S31,0)</f>
        <v>#VALUE!</v>
      </c>
      <c r="W31" s="120" t="e">
        <f ca="1">IF(U31&lt;&gt;0,R31/U31,0)</f>
        <v>#VALUE!</v>
      </c>
      <c r="X31" s="46" t="str">
        <f ca="1">_xll.DBRW($G$15,$H$21,$H$22,X$29,X$28,$H$24,$H$25,$G31,X$30)</f>
        <v/>
      </c>
      <c r="Y31" s="43" t="str">
        <f ca="1">_xll.DBRW($G$15,$H$21,$H$22,X$29,X$28,$H$24,$H$25,$G31,Y$30)</f>
        <v/>
      </c>
      <c r="Z31" s="43" t="str">
        <f ca="1">_xll.DBRW($G$15,$H$21,$H$22,X$29,X$28,$H$24,$H$25,$G31,Z$30)</f>
        <v/>
      </c>
      <c r="AA31" s="43" t="str">
        <f ca="1">_xll.DBRW($G$15,$H$21,$H$22,AA$29,X$28,$H$24,$H$25,$G31,AA$30)</f>
        <v/>
      </c>
      <c r="AB31" s="43" t="str">
        <f ca="1">_xll.DBRW($G$15,$H$21,$H$22,AA$29,X$28,$H$24,$H$25,$G31,AB$30)</f>
        <v/>
      </c>
      <c r="AC31" s="44" t="str">
        <f ca="1">_xll.DBRW($G$15,$H$21,$H$22,AA$29,X$28,$H$24,$H$25,$G31,AC$30)</f>
        <v/>
      </c>
      <c r="AD31" s="119" t="e">
        <f ca="1">IF(AA31&lt;&gt;0,X31/AA31,0)</f>
        <v>#VALUE!</v>
      </c>
      <c r="AE31" s="120" t="e">
        <f ca="1">IF(AC31&lt;&gt;0,Z31/AC31,0)</f>
        <v>#VALUE!</v>
      </c>
      <c r="AF31" s="46" t="str">
        <f ca="1">_xll.DBRW($G$15,$H$21,$H$22,AF$29,AF$28,$H$24,$H$25,$G31,AF$30)</f>
        <v/>
      </c>
      <c r="AG31" s="43" t="str">
        <f ca="1">_xll.DBRW($G$15,$H$21,$H$22,AF$29,AF$28,$H$24,$H$25,$G31,AG$30)</f>
        <v/>
      </c>
      <c r="AH31" s="43" t="str">
        <f ca="1">_xll.DBRW($G$15,$H$21,$H$22,AF$29,AF$28,$H$24,$H$25,$G31,AH$30)</f>
        <v/>
      </c>
      <c r="AI31" s="43" t="str">
        <f ca="1">_xll.DBRW($G$15,$H$21,$H$22,AI$29,AF$28,$H$24,$H$25,$G31,AI$30)</f>
        <v/>
      </c>
      <c r="AJ31" s="43" t="str">
        <f ca="1">_xll.DBRW($G$15,$H$21,$H$22,AI$29,AF$28,$H$24,$H$25,$G31,AJ$30)</f>
        <v/>
      </c>
      <c r="AK31" s="44" t="str">
        <f ca="1">_xll.DBRW($G$15,$H$21,$H$22,AI$29,AF$28,$H$24,$H$25,$G31,AK$30)</f>
        <v/>
      </c>
      <c r="AL31" s="136" t="e">
        <f ca="1">IF(AI31&lt;&gt;0,AF31/AI31,0)</f>
        <v>#VALUE!</v>
      </c>
      <c r="AM31" s="136" t="e">
        <f ca="1">IF(AK31&lt;&gt;0,AH31/AK31,0)</f>
        <v>#VALUE!</v>
      </c>
    </row>
    <row r="32" spans="1:40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</sheetData>
  <mergeCells count="16">
    <mergeCell ref="AF28:AK28"/>
    <mergeCell ref="AL28:AM29"/>
    <mergeCell ref="H29:J29"/>
    <mergeCell ref="K29:M29"/>
    <mergeCell ref="P29:R29"/>
    <mergeCell ref="S29:U29"/>
    <mergeCell ref="X29:Z29"/>
    <mergeCell ref="AA29:AC29"/>
    <mergeCell ref="AF29:AH29"/>
    <mergeCell ref="AI29:AK29"/>
    <mergeCell ref="H28:M28"/>
    <mergeCell ref="N28:O29"/>
    <mergeCell ref="P28:U28"/>
    <mergeCell ref="V28:W29"/>
    <mergeCell ref="X28:AC28"/>
    <mergeCell ref="AD28:AE2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TIButton1">
          <controlPr defaultSize="0" print="0" autoLine="0" r:id="rId4">
            <anchor moveWithCells="1">
              <from>
                <xdr:col>13</xdr:col>
                <xdr:colOff>0</xdr:colOff>
                <xdr:row>23</xdr:row>
                <xdr:rowOff>0</xdr:rowOff>
              </from>
              <to>
                <xdr:col>14</xdr:col>
                <xdr:colOff>171450</xdr:colOff>
                <xdr:row>24</xdr:row>
                <xdr:rowOff>171450</xdr:rowOff>
              </to>
            </anchor>
          </controlPr>
        </control>
      </mc:Choice>
      <mc:Fallback>
        <control shapeId="10241" r:id="rId3" name="TI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6:G167"/>
  <sheetViews>
    <sheetView topLeftCell="A44" workbookViewId="0"/>
  </sheetViews>
  <sheetFormatPr defaultColWidth="11.42578125" defaultRowHeight="15"/>
  <sheetData>
    <row r="26" spans="7:7">
      <c r="G26" t="s">
        <v>7</v>
      </c>
    </row>
    <row r="27" spans="7:7">
      <c r="G27" t="s">
        <v>8</v>
      </c>
    </row>
    <row r="28" spans="7:7">
      <c r="G28" t="s">
        <v>108</v>
      </c>
    </row>
    <row r="29" spans="7:7">
      <c r="G29" t="s">
        <v>49</v>
      </c>
    </row>
    <row r="30" spans="7:7">
      <c r="G30" t="s">
        <v>50</v>
      </c>
    </row>
    <row r="31" spans="7:7">
      <c r="G31" t="s">
        <v>51</v>
      </c>
    </row>
    <row r="32" spans="7:7">
      <c r="G32" t="s">
        <v>9</v>
      </c>
    </row>
    <row r="33" spans="7:7">
      <c r="G33" t="s">
        <v>109</v>
      </c>
    </row>
    <row r="34" spans="7:7">
      <c r="G34" t="s">
        <v>52</v>
      </c>
    </row>
    <row r="35" spans="7:7">
      <c r="G35" t="s">
        <v>110</v>
      </c>
    </row>
    <row r="36" spans="7:7">
      <c r="G36" t="s">
        <v>111</v>
      </c>
    </row>
    <row r="37" spans="7:7">
      <c r="G37" t="s">
        <v>53</v>
      </c>
    </row>
    <row r="38" spans="7:7">
      <c r="G38" t="s">
        <v>54</v>
      </c>
    </row>
    <row r="39" spans="7:7">
      <c r="G39" t="s">
        <v>112</v>
      </c>
    </row>
    <row r="40" spans="7:7">
      <c r="G40" t="s">
        <v>55</v>
      </c>
    </row>
    <row r="41" spans="7:7">
      <c r="G41" t="s">
        <v>113</v>
      </c>
    </row>
    <row r="42" spans="7:7">
      <c r="G42" t="s">
        <v>56</v>
      </c>
    </row>
    <row r="43" spans="7:7">
      <c r="G43" t="s">
        <v>57</v>
      </c>
    </row>
    <row r="44" spans="7:7">
      <c r="G44" t="s">
        <v>58</v>
      </c>
    </row>
    <row r="45" spans="7:7">
      <c r="G45" t="s">
        <v>114</v>
      </c>
    </row>
    <row r="46" spans="7:7">
      <c r="G46" t="s">
        <v>59</v>
      </c>
    </row>
    <row r="47" spans="7:7">
      <c r="G47" t="s">
        <v>60</v>
      </c>
    </row>
    <row r="48" spans="7:7">
      <c r="G48" t="s">
        <v>115</v>
      </c>
    </row>
    <row r="49" spans="7:7">
      <c r="G49" t="s">
        <v>116</v>
      </c>
    </row>
    <row r="50" spans="7:7">
      <c r="G50" t="s">
        <v>117</v>
      </c>
    </row>
    <row r="51" spans="7:7">
      <c r="G51" t="s">
        <v>61</v>
      </c>
    </row>
    <row r="52" spans="7:7">
      <c r="G52" t="s">
        <v>62</v>
      </c>
    </row>
    <row r="53" spans="7:7">
      <c r="G53" t="s">
        <v>118</v>
      </c>
    </row>
    <row r="54" spans="7:7">
      <c r="G54" t="s">
        <v>63</v>
      </c>
    </row>
    <row r="55" spans="7:7">
      <c r="G55" t="s">
        <v>64</v>
      </c>
    </row>
    <row r="56" spans="7:7">
      <c r="G56" t="s">
        <v>65</v>
      </c>
    </row>
    <row r="57" spans="7:7">
      <c r="G57" t="s">
        <v>66</v>
      </c>
    </row>
    <row r="58" spans="7:7">
      <c r="G58" t="s">
        <v>119</v>
      </c>
    </row>
    <row r="59" spans="7:7">
      <c r="G59" t="s">
        <v>120</v>
      </c>
    </row>
    <row r="60" spans="7:7">
      <c r="G60" t="s">
        <v>121</v>
      </c>
    </row>
    <row r="61" spans="7:7">
      <c r="G61" t="s">
        <v>122</v>
      </c>
    </row>
    <row r="62" spans="7:7">
      <c r="G62" t="s">
        <v>123</v>
      </c>
    </row>
    <row r="63" spans="7:7">
      <c r="G63" t="s">
        <v>10</v>
      </c>
    </row>
    <row r="64" spans="7:7">
      <c r="G64" t="s">
        <v>124</v>
      </c>
    </row>
    <row r="65" spans="7:7">
      <c r="G65" t="s">
        <v>67</v>
      </c>
    </row>
    <row r="66" spans="7:7">
      <c r="G66" t="s">
        <v>125</v>
      </c>
    </row>
    <row r="67" spans="7:7">
      <c r="G67" t="s">
        <v>68</v>
      </c>
    </row>
    <row r="68" spans="7:7">
      <c r="G68" t="s">
        <v>69</v>
      </c>
    </row>
    <row r="69" spans="7:7">
      <c r="G69" t="s">
        <v>126</v>
      </c>
    </row>
    <row r="70" spans="7:7">
      <c r="G70" t="s">
        <v>127</v>
      </c>
    </row>
    <row r="71" spans="7:7">
      <c r="G71" t="s">
        <v>70</v>
      </c>
    </row>
    <row r="72" spans="7:7">
      <c r="G72" t="s">
        <v>128</v>
      </c>
    </row>
    <row r="73" spans="7:7">
      <c r="G73" t="s">
        <v>71</v>
      </c>
    </row>
    <row r="74" spans="7:7">
      <c r="G74" t="s">
        <v>72</v>
      </c>
    </row>
    <row r="75" spans="7:7">
      <c r="G75" t="s">
        <v>73</v>
      </c>
    </row>
    <row r="76" spans="7:7">
      <c r="G76" t="s">
        <v>74</v>
      </c>
    </row>
    <row r="77" spans="7:7">
      <c r="G77" t="s">
        <v>129</v>
      </c>
    </row>
    <row r="78" spans="7:7">
      <c r="G78" t="s">
        <v>75</v>
      </c>
    </row>
    <row r="79" spans="7:7">
      <c r="G79" t="s">
        <v>76</v>
      </c>
    </row>
    <row r="80" spans="7:7">
      <c r="G80" t="s">
        <v>77</v>
      </c>
    </row>
    <row r="81" spans="7:7">
      <c r="G81" t="s">
        <v>130</v>
      </c>
    </row>
    <row r="82" spans="7:7">
      <c r="G82" t="s">
        <v>78</v>
      </c>
    </row>
    <row r="83" spans="7:7">
      <c r="G83" t="s">
        <v>131</v>
      </c>
    </row>
    <row r="84" spans="7:7">
      <c r="G84" t="s">
        <v>132</v>
      </c>
    </row>
    <row r="85" spans="7:7">
      <c r="G85" t="s">
        <v>11</v>
      </c>
    </row>
    <row r="86" spans="7:7">
      <c r="G86" t="s">
        <v>133</v>
      </c>
    </row>
    <row r="87" spans="7:7">
      <c r="G87" t="s">
        <v>79</v>
      </c>
    </row>
    <row r="88" spans="7:7">
      <c r="G88" t="s">
        <v>134</v>
      </c>
    </row>
    <row r="89" spans="7:7">
      <c r="G89" t="s">
        <v>135</v>
      </c>
    </row>
    <row r="90" spans="7:7">
      <c r="G90" t="s">
        <v>136</v>
      </c>
    </row>
    <row r="91" spans="7:7">
      <c r="G91" t="s">
        <v>137</v>
      </c>
    </row>
    <row r="92" spans="7:7">
      <c r="G92" t="s">
        <v>138</v>
      </c>
    </row>
    <row r="93" spans="7:7">
      <c r="G93" t="s">
        <v>12</v>
      </c>
    </row>
    <row r="94" spans="7:7">
      <c r="G94" t="s">
        <v>139</v>
      </c>
    </row>
    <row r="95" spans="7:7">
      <c r="G95" t="s">
        <v>80</v>
      </c>
    </row>
    <row r="96" spans="7:7">
      <c r="G96" t="s">
        <v>81</v>
      </c>
    </row>
    <row r="97" spans="7:7">
      <c r="G97" t="s">
        <v>140</v>
      </c>
    </row>
    <row r="98" spans="7:7">
      <c r="G98" t="s">
        <v>141</v>
      </c>
    </row>
    <row r="99" spans="7:7">
      <c r="G99" t="s">
        <v>142</v>
      </c>
    </row>
    <row r="100" spans="7:7">
      <c r="G100" t="s">
        <v>143</v>
      </c>
    </row>
    <row r="101" spans="7:7">
      <c r="G101" t="s">
        <v>82</v>
      </c>
    </row>
    <row r="102" spans="7:7">
      <c r="G102" t="s">
        <v>144</v>
      </c>
    </row>
    <row r="103" spans="7:7">
      <c r="G103" t="s">
        <v>13</v>
      </c>
    </row>
    <row r="104" spans="7:7">
      <c r="G104" t="s">
        <v>145</v>
      </c>
    </row>
    <row r="105" spans="7:7">
      <c r="G105" t="s">
        <v>83</v>
      </c>
    </row>
    <row r="106" spans="7:7">
      <c r="G106" t="s">
        <v>146</v>
      </c>
    </row>
    <row r="107" spans="7:7">
      <c r="G107" t="s">
        <v>84</v>
      </c>
    </row>
    <row r="108" spans="7:7">
      <c r="G108" t="s">
        <v>85</v>
      </c>
    </row>
    <row r="109" spans="7:7">
      <c r="G109" t="s">
        <v>147</v>
      </c>
    </row>
    <row r="110" spans="7:7">
      <c r="G110" t="s">
        <v>148</v>
      </c>
    </row>
    <row r="111" spans="7:7">
      <c r="G111" t="s">
        <v>149</v>
      </c>
    </row>
    <row r="112" spans="7:7">
      <c r="G112" t="s">
        <v>14</v>
      </c>
    </row>
    <row r="113" spans="7:7">
      <c r="G113" t="s">
        <v>150</v>
      </c>
    </row>
    <row r="114" spans="7:7">
      <c r="G114" t="s">
        <v>86</v>
      </c>
    </row>
    <row r="115" spans="7:7">
      <c r="G115" t="s">
        <v>87</v>
      </c>
    </row>
    <row r="116" spans="7:7">
      <c r="G116" t="s">
        <v>15</v>
      </c>
    </row>
    <row r="117" spans="7:7">
      <c r="G117" t="s">
        <v>151</v>
      </c>
    </row>
    <row r="118" spans="7:7">
      <c r="G118" t="s">
        <v>88</v>
      </c>
    </row>
    <row r="119" spans="7:7">
      <c r="G119" t="s">
        <v>152</v>
      </c>
    </row>
    <row r="120" spans="7:7">
      <c r="G120" t="s">
        <v>89</v>
      </c>
    </row>
    <row r="121" spans="7:7">
      <c r="G121" t="s">
        <v>90</v>
      </c>
    </row>
    <row r="122" spans="7:7">
      <c r="G122" t="s">
        <v>91</v>
      </c>
    </row>
    <row r="123" spans="7:7">
      <c r="G123" t="s">
        <v>92</v>
      </c>
    </row>
    <row r="124" spans="7:7">
      <c r="G124" t="s">
        <v>93</v>
      </c>
    </row>
    <row r="125" spans="7:7">
      <c r="G125" t="s">
        <v>94</v>
      </c>
    </row>
    <row r="126" spans="7:7">
      <c r="G126" t="s">
        <v>95</v>
      </c>
    </row>
    <row r="127" spans="7:7">
      <c r="G127" t="s">
        <v>153</v>
      </c>
    </row>
    <row r="128" spans="7:7">
      <c r="G128" t="s">
        <v>96</v>
      </c>
    </row>
    <row r="129" spans="7:7">
      <c r="G129" t="s">
        <v>97</v>
      </c>
    </row>
    <row r="130" spans="7:7">
      <c r="G130" t="s">
        <v>154</v>
      </c>
    </row>
    <row r="131" spans="7:7">
      <c r="G131" t="s">
        <v>98</v>
      </c>
    </row>
    <row r="132" spans="7:7">
      <c r="G132" t="s">
        <v>99</v>
      </c>
    </row>
    <row r="133" spans="7:7">
      <c r="G133" t="s">
        <v>16</v>
      </c>
    </row>
    <row r="134" spans="7:7">
      <c r="G134" t="s">
        <v>155</v>
      </c>
    </row>
    <row r="135" spans="7:7">
      <c r="G135" t="s">
        <v>100</v>
      </c>
    </row>
    <row r="136" spans="7:7">
      <c r="G136" t="s">
        <v>101</v>
      </c>
    </row>
    <row r="137" spans="7:7">
      <c r="G137" t="s">
        <v>102</v>
      </c>
    </row>
    <row r="138" spans="7:7">
      <c r="G138" t="s">
        <v>156</v>
      </c>
    </row>
    <row r="139" spans="7:7">
      <c r="G139" t="s">
        <v>17</v>
      </c>
    </row>
    <row r="140" spans="7:7">
      <c r="G140" t="s">
        <v>18</v>
      </c>
    </row>
    <row r="141" spans="7:7">
      <c r="G141" t="s">
        <v>19</v>
      </c>
    </row>
    <row r="142" spans="7:7">
      <c r="G142" t="s">
        <v>157</v>
      </c>
    </row>
    <row r="143" spans="7:7">
      <c r="G143" t="s">
        <v>103</v>
      </c>
    </row>
    <row r="144" spans="7:7">
      <c r="G144" t="s">
        <v>104</v>
      </c>
    </row>
    <row r="145" spans="7:7">
      <c r="G145" t="s">
        <v>105</v>
      </c>
    </row>
    <row r="146" spans="7:7">
      <c r="G146" t="s">
        <v>106</v>
      </c>
    </row>
    <row r="147" spans="7:7">
      <c r="G147" t="s">
        <v>158</v>
      </c>
    </row>
    <row r="148" spans="7:7">
      <c r="G148" t="s">
        <v>159</v>
      </c>
    </row>
    <row r="149" spans="7:7">
      <c r="G149" t="s">
        <v>160</v>
      </c>
    </row>
    <row r="150" spans="7:7">
      <c r="G150" t="s">
        <v>20</v>
      </c>
    </row>
    <row r="151" spans="7:7">
      <c r="G151" t="s">
        <v>170</v>
      </c>
    </row>
    <row r="152" spans="7:7">
      <c r="G152" t="s">
        <v>171</v>
      </c>
    </row>
    <row r="153" spans="7:7">
      <c r="G153" t="s">
        <v>172</v>
      </c>
    </row>
    <row r="154" spans="7:7">
      <c r="G154" t="s">
        <v>21</v>
      </c>
    </row>
    <row r="155" spans="7:7">
      <c r="G155" t="s">
        <v>22</v>
      </c>
    </row>
    <row r="156" spans="7:7">
      <c r="G156" t="s">
        <v>23</v>
      </c>
    </row>
    <row r="157" spans="7:7">
      <c r="G157" t="s">
        <v>24</v>
      </c>
    </row>
    <row r="158" spans="7:7">
      <c r="G158" t="s">
        <v>25</v>
      </c>
    </row>
    <row r="159" spans="7:7">
      <c r="G159" t="s">
        <v>26</v>
      </c>
    </row>
    <row r="160" spans="7:7">
      <c r="G160" t="s">
        <v>27</v>
      </c>
    </row>
    <row r="161" spans="7:7">
      <c r="G161" t="s">
        <v>28</v>
      </c>
    </row>
    <row r="162" spans="7:7">
      <c r="G162" t="s">
        <v>29</v>
      </c>
    </row>
    <row r="163" spans="7:7">
      <c r="G163" t="s">
        <v>30</v>
      </c>
    </row>
    <row r="164" spans="7:7">
      <c r="G164" t="s">
        <v>31</v>
      </c>
    </row>
    <row r="165" spans="7:7">
      <c r="G165" t="s">
        <v>32</v>
      </c>
    </row>
    <row r="166" spans="7:7">
      <c r="G166" t="s">
        <v>33</v>
      </c>
    </row>
    <row r="167" spans="7:7">
      <c r="G16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Sales Analysis Summary</vt:lpstr>
      <vt:lpstr>Sales Analysis Detailed</vt:lpstr>
      <vt:lpstr>Market shares summary</vt:lpstr>
      <vt:lpstr>Market shares detailed</vt:lpstr>
      <vt:lpstr>{AR}01 (4)</vt:lpstr>
      <vt:lpstr>'Market shares detailed'!TM1RPTDATARNGARPT1</vt:lpstr>
      <vt:lpstr>'Market shares summary'!TM1RPTDATARNGARPT1</vt:lpstr>
      <vt:lpstr>'Sales Analysis Detailed'!TM1RPTDATARNGARPT1</vt:lpstr>
      <vt:lpstr>'Sales Analysis Summary'!TM1RPTDATARNGARPT1</vt:lpstr>
      <vt:lpstr>'Market shares detailed'!TM1RPTFMTIDCOL</vt:lpstr>
      <vt:lpstr>'Market shares summary'!TM1RPTFMTIDCOL</vt:lpstr>
      <vt:lpstr>'Sales Analysis Detailed'!TM1RPTFMTIDCOL</vt:lpstr>
      <vt:lpstr>'Sales Analysis Summary'!TM1RPTFMTIDCOL</vt:lpstr>
      <vt:lpstr>'Market shares detailed'!TM1RPTFMTRNG</vt:lpstr>
      <vt:lpstr>'Market shares summary'!TM1RPTFMTRNG</vt:lpstr>
      <vt:lpstr>'Sales Analysis Detailed'!TM1RPTFMTRNG</vt:lpstr>
      <vt:lpstr>'Sales Analysis Summary'!TM1RPTFMTRNG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2022-01-25T14:20:05Z</dcterms:modified>
</cp:coreProperties>
</file>