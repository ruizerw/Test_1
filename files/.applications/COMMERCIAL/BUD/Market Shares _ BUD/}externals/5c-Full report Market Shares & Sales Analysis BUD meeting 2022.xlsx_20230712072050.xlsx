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-120" yWindow="-120" windowWidth="29040" windowHeight="15750" firstSheet="1" activeTab="1"/>
  </bookViews>
  <sheets>
    <sheet name="Cognos_Office_Connection_Cache" sheetId="11" state="veryHidden" r:id="rId1"/>
    <sheet name="SOM Summary_Kuhn Scope" sheetId="7" r:id="rId2"/>
    <sheet name="SOM detailed_Kuhn Scope" sheetId="9" r:id="rId3"/>
    <sheet name="SOM detailed_Global Market" sheetId="12" r:id="rId4"/>
  </sheets>
  <definedNames>
    <definedName name="ID" localSheetId="0" hidden="1">"1ec1e813-4489-4b77-a927-1edf9d09ae3a"</definedName>
    <definedName name="ID" localSheetId="2" hidden="1">"66b54b92-da33-46c7-8031-e4cc3524fac5"</definedName>
    <definedName name="ID" localSheetId="1" hidden="1">"474fd1b1-99b2-409b-bbd0-67c16237e233"</definedName>
    <definedName name="TM1REBUILDOPTION">1</definedName>
    <definedName name="TM1RPTDATARNGARPT1" localSheetId="3">'SOM detailed_Global Market'!$25:$180</definedName>
    <definedName name="TM1RPTDATARNGARPT1" localSheetId="2">'SOM detailed_Kuhn Scope'!$31:$31</definedName>
    <definedName name="TM1RPTDATARNGARPT1" localSheetId="1">'SOM Summary_Kuhn Scope'!$27:$49</definedName>
    <definedName name="TM1RPTFMTIDCOL" localSheetId="3">'SOM detailed_Global Market'!$A$1:$A$8</definedName>
    <definedName name="TM1RPTFMTIDCOL" localSheetId="2">'SOM detailed_Kuhn Scope'!$A$1:$A$8</definedName>
    <definedName name="TM1RPTFMTIDCOL" localSheetId="1">'SOM Summary_Kuhn Scope'!$A$1:$A$8</definedName>
    <definedName name="TM1RPTFMTRNG" localSheetId="3">'SOM detailed_Global Market'!$B$1:$AL$8</definedName>
    <definedName name="TM1RPTFMTRNG" localSheetId="2">'SOM detailed_Kuhn Scope'!$G$1:$AK$8</definedName>
    <definedName name="TM1RPTFMTRNG" localSheetId="1">'SOM Summary_Kuhn Scope'!$B$1:$AF$8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80" i="12" l="1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B9" i="12"/>
  <c r="C16" i="12"/>
  <c r="C17" i="12"/>
  <c r="AD24" i="7"/>
  <c r="AD22" i="12"/>
  <c r="C20" i="7"/>
  <c r="C18" i="12"/>
  <c r="C21" i="7"/>
  <c r="C19" i="12"/>
  <c r="AI180" i="12"/>
  <c r="AF180" i="12"/>
  <c r="AL180" i="12"/>
  <c r="AG180" i="12"/>
  <c r="AD180" i="12"/>
  <c r="AJ180" i="12"/>
  <c r="AK180" i="12"/>
  <c r="AH180" i="12"/>
  <c r="AE180" i="12"/>
  <c r="S24" i="7"/>
  <c r="U22" i="12"/>
  <c r="Z180" i="12"/>
  <c r="W180" i="12"/>
  <c r="AC180" i="12"/>
  <c r="U180" i="12"/>
  <c r="X180" i="12"/>
  <c r="AA180" i="12"/>
  <c r="AB180" i="12"/>
  <c r="Y180" i="12"/>
  <c r="V180" i="12"/>
  <c r="K24" i="7"/>
  <c r="L22" i="12"/>
  <c r="N180" i="12"/>
  <c r="Q180" i="12"/>
  <c r="T180" i="12"/>
  <c r="L180" i="12"/>
  <c r="O180" i="12"/>
  <c r="R180" i="12"/>
  <c r="S180" i="12"/>
  <c r="P180" i="12"/>
  <c r="M180" i="12"/>
  <c r="C24" i="7"/>
  <c r="C22" i="12"/>
  <c r="E180" i="12"/>
  <c r="H180" i="12"/>
  <c r="K180" i="12"/>
  <c r="C180" i="12"/>
  <c r="F180" i="12"/>
  <c r="I180" i="12"/>
  <c r="J180" i="12"/>
  <c r="G180" i="12"/>
  <c r="D180" i="12"/>
  <c r="AI179" i="12"/>
  <c r="AF179" i="12"/>
  <c r="AL179" i="12"/>
  <c r="AG179" i="12"/>
  <c r="AD179" i="12"/>
  <c r="AJ179" i="12"/>
  <c r="AK179" i="12"/>
  <c r="AH179" i="12"/>
  <c r="AE179" i="12"/>
  <c r="Z179" i="12"/>
  <c r="W179" i="12"/>
  <c r="AC179" i="12"/>
  <c r="U179" i="12"/>
  <c r="X179" i="12"/>
  <c r="AA179" i="12"/>
  <c r="AB179" i="12"/>
  <c r="Y179" i="12"/>
  <c r="V179" i="12"/>
  <c r="N179" i="12"/>
  <c r="Q179" i="12"/>
  <c r="T179" i="12"/>
  <c r="L179" i="12"/>
  <c r="O179" i="12"/>
  <c r="R179" i="12"/>
  <c r="S179" i="12"/>
  <c r="P179" i="12"/>
  <c r="M179" i="12"/>
  <c r="E179" i="12"/>
  <c r="H179" i="12"/>
  <c r="K179" i="12"/>
  <c r="C179" i="12"/>
  <c r="F179" i="12"/>
  <c r="I179" i="12"/>
  <c r="J179" i="12"/>
  <c r="G179" i="12"/>
  <c r="D179" i="12"/>
  <c r="AI178" i="12"/>
  <c r="AF178" i="12"/>
  <c r="AL178" i="12"/>
  <c r="AG178" i="12"/>
  <c r="AD178" i="12"/>
  <c r="AJ178" i="12"/>
  <c r="AK178" i="12"/>
  <c r="AH178" i="12"/>
  <c r="AE178" i="12"/>
  <c r="Z178" i="12"/>
  <c r="W178" i="12"/>
  <c r="AC178" i="12"/>
  <c r="U178" i="12"/>
  <c r="X178" i="12"/>
  <c r="AA178" i="12"/>
  <c r="AB178" i="12"/>
  <c r="Y178" i="12"/>
  <c r="V178" i="12"/>
  <c r="N178" i="12"/>
  <c r="Q178" i="12"/>
  <c r="T178" i="12"/>
  <c r="L178" i="12"/>
  <c r="O178" i="12"/>
  <c r="R178" i="12"/>
  <c r="S178" i="12"/>
  <c r="P178" i="12"/>
  <c r="M178" i="12"/>
  <c r="E178" i="12"/>
  <c r="H178" i="12"/>
  <c r="K178" i="12"/>
  <c r="C178" i="12"/>
  <c r="F178" i="12"/>
  <c r="I178" i="12"/>
  <c r="J178" i="12"/>
  <c r="G178" i="12"/>
  <c r="D178" i="12"/>
  <c r="AI177" i="12"/>
  <c r="AF177" i="12"/>
  <c r="AL177" i="12"/>
  <c r="AG177" i="12"/>
  <c r="AD177" i="12"/>
  <c r="AJ177" i="12"/>
  <c r="AK177" i="12"/>
  <c r="AH177" i="12"/>
  <c r="AE177" i="12"/>
  <c r="Z177" i="12"/>
  <c r="W177" i="12"/>
  <c r="AC177" i="12"/>
  <c r="U177" i="12"/>
  <c r="X177" i="12"/>
  <c r="AA177" i="12"/>
  <c r="AB177" i="12"/>
  <c r="Y177" i="12"/>
  <c r="V177" i="12"/>
  <c r="N177" i="12"/>
  <c r="Q177" i="12"/>
  <c r="T177" i="12"/>
  <c r="L177" i="12"/>
  <c r="O177" i="12"/>
  <c r="R177" i="12"/>
  <c r="S177" i="12"/>
  <c r="P177" i="12"/>
  <c r="M177" i="12"/>
  <c r="E177" i="12"/>
  <c r="H177" i="12"/>
  <c r="K177" i="12"/>
  <c r="C177" i="12"/>
  <c r="F177" i="12"/>
  <c r="I177" i="12"/>
  <c r="J177" i="12"/>
  <c r="G177" i="12"/>
  <c r="D177" i="12"/>
  <c r="AI176" i="12"/>
  <c r="AF176" i="12"/>
  <c r="AL176" i="12"/>
  <c r="AG176" i="12"/>
  <c r="AD176" i="12"/>
  <c r="AJ176" i="12"/>
  <c r="AK176" i="12"/>
  <c r="AH176" i="12"/>
  <c r="AE176" i="12"/>
  <c r="Z176" i="12"/>
  <c r="W176" i="12"/>
  <c r="AC176" i="12"/>
  <c r="U176" i="12"/>
  <c r="X176" i="12"/>
  <c r="AA176" i="12"/>
  <c r="AB176" i="12"/>
  <c r="Y176" i="12"/>
  <c r="V176" i="12"/>
  <c r="N176" i="12"/>
  <c r="Q176" i="12"/>
  <c r="T176" i="12"/>
  <c r="L176" i="12"/>
  <c r="O176" i="12"/>
  <c r="R176" i="12"/>
  <c r="S176" i="12"/>
  <c r="P176" i="12"/>
  <c r="M176" i="12"/>
  <c r="E176" i="12"/>
  <c r="H176" i="12"/>
  <c r="K176" i="12"/>
  <c r="C176" i="12"/>
  <c r="F176" i="12"/>
  <c r="I176" i="12"/>
  <c r="J176" i="12"/>
  <c r="G176" i="12"/>
  <c r="D176" i="12"/>
  <c r="AI175" i="12"/>
  <c r="AF175" i="12"/>
  <c r="AL175" i="12"/>
  <c r="AG175" i="12"/>
  <c r="AD175" i="12"/>
  <c r="AJ175" i="12"/>
  <c r="AK175" i="12"/>
  <c r="AH175" i="12"/>
  <c r="AE175" i="12"/>
  <c r="Z175" i="12"/>
  <c r="W175" i="12"/>
  <c r="AC175" i="12"/>
  <c r="U175" i="12"/>
  <c r="X175" i="12"/>
  <c r="AA175" i="12"/>
  <c r="AB175" i="12"/>
  <c r="Y175" i="12"/>
  <c r="V175" i="12"/>
  <c r="N175" i="12"/>
  <c r="Q175" i="12"/>
  <c r="T175" i="12"/>
  <c r="L175" i="12"/>
  <c r="O175" i="12"/>
  <c r="R175" i="12"/>
  <c r="S175" i="12"/>
  <c r="P175" i="12"/>
  <c r="M175" i="12"/>
  <c r="E175" i="12"/>
  <c r="H175" i="12"/>
  <c r="K175" i="12"/>
  <c r="C175" i="12"/>
  <c r="F175" i="12"/>
  <c r="I175" i="12"/>
  <c r="J175" i="12"/>
  <c r="G175" i="12"/>
  <c r="D175" i="12"/>
  <c r="AI174" i="12"/>
  <c r="AF174" i="12"/>
  <c r="AL174" i="12"/>
  <c r="AG174" i="12"/>
  <c r="AD174" i="12"/>
  <c r="AJ174" i="12"/>
  <c r="AK174" i="12"/>
  <c r="AH174" i="12"/>
  <c r="AE174" i="12"/>
  <c r="Z174" i="12"/>
  <c r="W174" i="12"/>
  <c r="AC174" i="12"/>
  <c r="U174" i="12"/>
  <c r="X174" i="12"/>
  <c r="AA174" i="12"/>
  <c r="AB174" i="12"/>
  <c r="Y174" i="12"/>
  <c r="V174" i="12"/>
  <c r="N174" i="12"/>
  <c r="Q174" i="12"/>
  <c r="T174" i="12"/>
  <c r="L174" i="12"/>
  <c r="O174" i="12"/>
  <c r="R174" i="12"/>
  <c r="S174" i="12"/>
  <c r="P174" i="12"/>
  <c r="M174" i="12"/>
  <c r="E174" i="12"/>
  <c r="H174" i="12"/>
  <c r="K174" i="12"/>
  <c r="C174" i="12"/>
  <c r="F174" i="12"/>
  <c r="I174" i="12"/>
  <c r="J174" i="12"/>
  <c r="G174" i="12"/>
  <c r="D174" i="12"/>
  <c r="AI173" i="12"/>
  <c r="AF173" i="12"/>
  <c r="AL173" i="12"/>
  <c r="AG173" i="12"/>
  <c r="AD173" i="12"/>
  <c r="AJ173" i="12"/>
  <c r="AK173" i="12"/>
  <c r="AH173" i="12"/>
  <c r="AE173" i="12"/>
  <c r="Z173" i="12"/>
  <c r="W173" i="12"/>
  <c r="AC173" i="12"/>
  <c r="U173" i="12"/>
  <c r="X173" i="12"/>
  <c r="AA173" i="12"/>
  <c r="AB173" i="12"/>
  <c r="Y173" i="12"/>
  <c r="V173" i="12"/>
  <c r="N173" i="12"/>
  <c r="Q173" i="12"/>
  <c r="T173" i="12"/>
  <c r="L173" i="12"/>
  <c r="O173" i="12"/>
  <c r="R173" i="12"/>
  <c r="S173" i="12"/>
  <c r="P173" i="12"/>
  <c r="M173" i="12"/>
  <c r="E173" i="12"/>
  <c r="H173" i="12"/>
  <c r="K173" i="12"/>
  <c r="C173" i="12"/>
  <c r="F173" i="12"/>
  <c r="I173" i="12"/>
  <c r="J173" i="12"/>
  <c r="G173" i="12"/>
  <c r="D173" i="12"/>
  <c r="AI172" i="12"/>
  <c r="AF172" i="12"/>
  <c r="AL172" i="12"/>
  <c r="AG172" i="12"/>
  <c r="AD172" i="12"/>
  <c r="AJ172" i="12"/>
  <c r="AK172" i="12"/>
  <c r="AH172" i="12"/>
  <c r="AE172" i="12"/>
  <c r="Z172" i="12"/>
  <c r="W172" i="12"/>
  <c r="AC172" i="12"/>
  <c r="U172" i="12"/>
  <c r="X172" i="12"/>
  <c r="AA172" i="12"/>
  <c r="AB172" i="12"/>
  <c r="Y172" i="12"/>
  <c r="V172" i="12"/>
  <c r="N172" i="12"/>
  <c r="Q172" i="12"/>
  <c r="T172" i="12"/>
  <c r="L172" i="12"/>
  <c r="O172" i="12"/>
  <c r="R172" i="12"/>
  <c r="S172" i="12"/>
  <c r="P172" i="12"/>
  <c r="M172" i="12"/>
  <c r="E172" i="12"/>
  <c r="H172" i="12"/>
  <c r="K172" i="12"/>
  <c r="C172" i="12"/>
  <c r="F172" i="12"/>
  <c r="I172" i="12"/>
  <c r="J172" i="12"/>
  <c r="G172" i="12"/>
  <c r="D172" i="12"/>
  <c r="AI171" i="12"/>
  <c r="AF171" i="12"/>
  <c r="AL171" i="12"/>
  <c r="AG171" i="12"/>
  <c r="AD171" i="12"/>
  <c r="AJ171" i="12"/>
  <c r="AK171" i="12"/>
  <c r="AH171" i="12"/>
  <c r="AE171" i="12"/>
  <c r="Z171" i="12"/>
  <c r="W171" i="12"/>
  <c r="AC171" i="12"/>
  <c r="U171" i="12"/>
  <c r="X171" i="12"/>
  <c r="AA171" i="12"/>
  <c r="AB171" i="12"/>
  <c r="Y171" i="12"/>
  <c r="V171" i="12"/>
  <c r="N171" i="12"/>
  <c r="Q171" i="12"/>
  <c r="T171" i="12"/>
  <c r="L171" i="12"/>
  <c r="O171" i="12"/>
  <c r="R171" i="12"/>
  <c r="S171" i="12"/>
  <c r="P171" i="12"/>
  <c r="M171" i="12"/>
  <c r="E171" i="12"/>
  <c r="H171" i="12"/>
  <c r="K171" i="12"/>
  <c r="C171" i="12"/>
  <c r="F171" i="12"/>
  <c r="I171" i="12"/>
  <c r="J171" i="12"/>
  <c r="G171" i="12"/>
  <c r="D171" i="12"/>
  <c r="AI170" i="12"/>
  <c r="AF170" i="12"/>
  <c r="AL170" i="12"/>
  <c r="AG170" i="12"/>
  <c r="AD170" i="12"/>
  <c r="AJ170" i="12"/>
  <c r="AK170" i="12"/>
  <c r="AH170" i="12"/>
  <c r="AE170" i="12"/>
  <c r="Z170" i="12"/>
  <c r="W170" i="12"/>
  <c r="AC170" i="12"/>
  <c r="U170" i="12"/>
  <c r="X170" i="12"/>
  <c r="AA170" i="12"/>
  <c r="AB170" i="12"/>
  <c r="Y170" i="12"/>
  <c r="V170" i="12"/>
  <c r="N170" i="12"/>
  <c r="Q170" i="12"/>
  <c r="T170" i="12"/>
  <c r="L170" i="12"/>
  <c r="O170" i="12"/>
  <c r="R170" i="12"/>
  <c r="S170" i="12"/>
  <c r="P170" i="12"/>
  <c r="M170" i="12"/>
  <c r="E170" i="12"/>
  <c r="H170" i="12"/>
  <c r="K170" i="12"/>
  <c r="C170" i="12"/>
  <c r="F170" i="12"/>
  <c r="I170" i="12"/>
  <c r="J170" i="12"/>
  <c r="G170" i="12"/>
  <c r="D170" i="12"/>
  <c r="AI169" i="12"/>
  <c r="AF169" i="12"/>
  <c r="AL169" i="12"/>
  <c r="AG169" i="12"/>
  <c r="AD169" i="12"/>
  <c r="AJ169" i="12"/>
  <c r="AK169" i="12"/>
  <c r="AH169" i="12"/>
  <c r="AE169" i="12"/>
  <c r="Z169" i="12"/>
  <c r="W169" i="12"/>
  <c r="AC169" i="12"/>
  <c r="U169" i="12"/>
  <c r="X169" i="12"/>
  <c r="AA169" i="12"/>
  <c r="AB169" i="12"/>
  <c r="Y169" i="12"/>
  <c r="V169" i="12"/>
  <c r="N169" i="12"/>
  <c r="Q169" i="12"/>
  <c r="T169" i="12"/>
  <c r="L169" i="12"/>
  <c r="O169" i="12"/>
  <c r="R169" i="12"/>
  <c r="S169" i="12"/>
  <c r="P169" i="12"/>
  <c r="M169" i="12"/>
  <c r="E169" i="12"/>
  <c r="H169" i="12"/>
  <c r="K169" i="12"/>
  <c r="C169" i="12"/>
  <c r="F169" i="12"/>
  <c r="I169" i="12"/>
  <c r="J169" i="12"/>
  <c r="G169" i="12"/>
  <c r="D169" i="12"/>
  <c r="AI168" i="12"/>
  <c r="AF168" i="12"/>
  <c r="AL168" i="12"/>
  <c r="AG168" i="12"/>
  <c r="AD168" i="12"/>
  <c r="AJ168" i="12"/>
  <c r="AK168" i="12"/>
  <c r="AH168" i="12"/>
  <c r="AE168" i="12"/>
  <c r="Z168" i="12"/>
  <c r="W168" i="12"/>
  <c r="AC168" i="12"/>
  <c r="U168" i="12"/>
  <c r="X168" i="12"/>
  <c r="AA168" i="12"/>
  <c r="AB168" i="12"/>
  <c r="Y168" i="12"/>
  <c r="V168" i="12"/>
  <c r="N168" i="12"/>
  <c r="Q168" i="12"/>
  <c r="T168" i="12"/>
  <c r="L168" i="12"/>
  <c r="O168" i="12"/>
  <c r="R168" i="12"/>
  <c r="S168" i="12"/>
  <c r="P168" i="12"/>
  <c r="M168" i="12"/>
  <c r="E168" i="12"/>
  <c r="H168" i="12"/>
  <c r="K168" i="12"/>
  <c r="C168" i="12"/>
  <c r="F168" i="12"/>
  <c r="I168" i="12"/>
  <c r="J168" i="12"/>
  <c r="G168" i="12"/>
  <c r="D168" i="12"/>
  <c r="AI167" i="12"/>
  <c r="AF167" i="12"/>
  <c r="AL167" i="12"/>
  <c r="AG167" i="12"/>
  <c r="AD167" i="12"/>
  <c r="AJ167" i="12"/>
  <c r="AK167" i="12"/>
  <c r="AH167" i="12"/>
  <c r="AE167" i="12"/>
  <c r="Z167" i="12"/>
  <c r="W167" i="12"/>
  <c r="AC167" i="12"/>
  <c r="U167" i="12"/>
  <c r="X167" i="12"/>
  <c r="AA167" i="12"/>
  <c r="AB167" i="12"/>
  <c r="Y167" i="12"/>
  <c r="V167" i="12"/>
  <c r="N167" i="12"/>
  <c r="Q167" i="12"/>
  <c r="T167" i="12"/>
  <c r="L167" i="12"/>
  <c r="O167" i="12"/>
  <c r="R167" i="12"/>
  <c r="S167" i="12"/>
  <c r="P167" i="12"/>
  <c r="M167" i="12"/>
  <c r="E167" i="12"/>
  <c r="H167" i="12"/>
  <c r="K167" i="12"/>
  <c r="C167" i="12"/>
  <c r="F167" i="12"/>
  <c r="I167" i="12"/>
  <c r="J167" i="12"/>
  <c r="G167" i="12"/>
  <c r="D167" i="12"/>
  <c r="AI166" i="12"/>
  <c r="AF166" i="12"/>
  <c r="AL166" i="12"/>
  <c r="AG166" i="12"/>
  <c r="AD166" i="12"/>
  <c r="AJ166" i="12"/>
  <c r="AK166" i="12"/>
  <c r="AH166" i="12"/>
  <c r="AE166" i="12"/>
  <c r="Z166" i="12"/>
  <c r="W166" i="12"/>
  <c r="AC166" i="12"/>
  <c r="U166" i="12"/>
  <c r="X166" i="12"/>
  <c r="AA166" i="12"/>
  <c r="AB166" i="12"/>
  <c r="Y166" i="12"/>
  <c r="V166" i="12"/>
  <c r="N166" i="12"/>
  <c r="Q166" i="12"/>
  <c r="T166" i="12"/>
  <c r="L166" i="12"/>
  <c r="O166" i="12"/>
  <c r="R166" i="12"/>
  <c r="S166" i="12"/>
  <c r="P166" i="12"/>
  <c r="M166" i="12"/>
  <c r="E166" i="12"/>
  <c r="H166" i="12"/>
  <c r="K166" i="12"/>
  <c r="C166" i="12"/>
  <c r="F166" i="12"/>
  <c r="I166" i="12"/>
  <c r="J166" i="12"/>
  <c r="G166" i="12"/>
  <c r="D166" i="12"/>
  <c r="AI165" i="12"/>
  <c r="AF165" i="12"/>
  <c r="AL165" i="12"/>
  <c r="AG165" i="12"/>
  <c r="AD165" i="12"/>
  <c r="AJ165" i="12"/>
  <c r="AK165" i="12"/>
  <c r="AH165" i="12"/>
  <c r="AE165" i="12"/>
  <c r="Z165" i="12"/>
  <c r="W165" i="12"/>
  <c r="AC165" i="12"/>
  <c r="U165" i="12"/>
  <c r="X165" i="12"/>
  <c r="AA165" i="12"/>
  <c r="AB165" i="12"/>
  <c r="Y165" i="12"/>
  <c r="V165" i="12"/>
  <c r="N165" i="12"/>
  <c r="Q165" i="12"/>
  <c r="T165" i="12"/>
  <c r="L165" i="12"/>
  <c r="O165" i="12"/>
  <c r="R165" i="12"/>
  <c r="S165" i="12"/>
  <c r="P165" i="12"/>
  <c r="M165" i="12"/>
  <c r="E165" i="12"/>
  <c r="H165" i="12"/>
  <c r="K165" i="12"/>
  <c r="C165" i="12"/>
  <c r="F165" i="12"/>
  <c r="I165" i="12"/>
  <c r="J165" i="12"/>
  <c r="G165" i="12"/>
  <c r="D165" i="12"/>
  <c r="AI164" i="12"/>
  <c r="AF164" i="12"/>
  <c r="AL164" i="12"/>
  <c r="AG164" i="12"/>
  <c r="AD164" i="12"/>
  <c r="AJ164" i="12"/>
  <c r="AK164" i="12"/>
  <c r="AH164" i="12"/>
  <c r="AE164" i="12"/>
  <c r="Z164" i="12"/>
  <c r="W164" i="12"/>
  <c r="AC164" i="12"/>
  <c r="U164" i="12"/>
  <c r="X164" i="12"/>
  <c r="AA164" i="12"/>
  <c r="AB164" i="12"/>
  <c r="Y164" i="12"/>
  <c r="V164" i="12"/>
  <c r="N164" i="12"/>
  <c r="Q164" i="12"/>
  <c r="T164" i="12"/>
  <c r="L164" i="12"/>
  <c r="O164" i="12"/>
  <c r="R164" i="12"/>
  <c r="S164" i="12"/>
  <c r="P164" i="12"/>
  <c r="M164" i="12"/>
  <c r="E164" i="12"/>
  <c r="H164" i="12"/>
  <c r="K164" i="12"/>
  <c r="C164" i="12"/>
  <c r="F164" i="12"/>
  <c r="I164" i="12"/>
  <c r="J164" i="12"/>
  <c r="G164" i="12"/>
  <c r="D164" i="12"/>
  <c r="AI163" i="12"/>
  <c r="AF163" i="12"/>
  <c r="AL163" i="12"/>
  <c r="AG163" i="12"/>
  <c r="AD163" i="12"/>
  <c r="AJ163" i="12"/>
  <c r="AK163" i="12"/>
  <c r="AH163" i="12"/>
  <c r="AE163" i="12"/>
  <c r="Z163" i="12"/>
  <c r="W163" i="12"/>
  <c r="AC163" i="12"/>
  <c r="U163" i="12"/>
  <c r="X163" i="12"/>
  <c r="AA163" i="12"/>
  <c r="AB163" i="12"/>
  <c r="Y163" i="12"/>
  <c r="V163" i="12"/>
  <c r="N163" i="12"/>
  <c r="Q163" i="12"/>
  <c r="T163" i="12"/>
  <c r="L163" i="12"/>
  <c r="O163" i="12"/>
  <c r="R163" i="12"/>
  <c r="S163" i="12"/>
  <c r="P163" i="12"/>
  <c r="M163" i="12"/>
  <c r="E163" i="12"/>
  <c r="H163" i="12"/>
  <c r="K163" i="12"/>
  <c r="C163" i="12"/>
  <c r="F163" i="12"/>
  <c r="I163" i="12"/>
  <c r="J163" i="12"/>
  <c r="G163" i="12"/>
  <c r="D163" i="12"/>
  <c r="AI162" i="12"/>
  <c r="AF162" i="12"/>
  <c r="AL162" i="12"/>
  <c r="AG162" i="12"/>
  <c r="AD162" i="12"/>
  <c r="AJ162" i="12"/>
  <c r="AK162" i="12"/>
  <c r="AH162" i="12"/>
  <c r="AE162" i="12"/>
  <c r="Z162" i="12"/>
  <c r="W162" i="12"/>
  <c r="AC162" i="12"/>
  <c r="U162" i="12"/>
  <c r="X162" i="12"/>
  <c r="AA162" i="12"/>
  <c r="AB162" i="12"/>
  <c r="Y162" i="12"/>
  <c r="V162" i="12"/>
  <c r="N162" i="12"/>
  <c r="Q162" i="12"/>
  <c r="T162" i="12"/>
  <c r="L162" i="12"/>
  <c r="O162" i="12"/>
  <c r="R162" i="12"/>
  <c r="S162" i="12"/>
  <c r="P162" i="12"/>
  <c r="M162" i="12"/>
  <c r="E162" i="12"/>
  <c r="H162" i="12"/>
  <c r="K162" i="12"/>
  <c r="C162" i="12"/>
  <c r="F162" i="12"/>
  <c r="I162" i="12"/>
  <c r="J162" i="12"/>
  <c r="G162" i="12"/>
  <c r="D162" i="12"/>
  <c r="AI161" i="12"/>
  <c r="AF161" i="12"/>
  <c r="AL161" i="12"/>
  <c r="AG161" i="12"/>
  <c r="AD161" i="12"/>
  <c r="AJ161" i="12"/>
  <c r="AK161" i="12"/>
  <c r="AH161" i="12"/>
  <c r="AE161" i="12"/>
  <c r="Z161" i="12"/>
  <c r="W161" i="12"/>
  <c r="AC161" i="12"/>
  <c r="U161" i="12"/>
  <c r="X161" i="12"/>
  <c r="AA161" i="12"/>
  <c r="AB161" i="12"/>
  <c r="Y161" i="12"/>
  <c r="V161" i="12"/>
  <c r="N161" i="12"/>
  <c r="Q161" i="12"/>
  <c r="T161" i="12"/>
  <c r="L161" i="12"/>
  <c r="O161" i="12"/>
  <c r="R161" i="12"/>
  <c r="S161" i="12"/>
  <c r="P161" i="12"/>
  <c r="M161" i="12"/>
  <c r="E161" i="12"/>
  <c r="H161" i="12"/>
  <c r="K161" i="12"/>
  <c r="C161" i="12"/>
  <c r="F161" i="12"/>
  <c r="I161" i="12"/>
  <c r="J161" i="12"/>
  <c r="G161" i="12"/>
  <c r="D161" i="12"/>
  <c r="AI160" i="12"/>
  <c r="AF160" i="12"/>
  <c r="AL160" i="12"/>
  <c r="AG160" i="12"/>
  <c r="AD160" i="12"/>
  <c r="AJ160" i="12"/>
  <c r="AK160" i="12"/>
  <c r="AH160" i="12"/>
  <c r="AE160" i="12"/>
  <c r="Z160" i="12"/>
  <c r="W160" i="12"/>
  <c r="AC160" i="12"/>
  <c r="U160" i="12"/>
  <c r="X160" i="12"/>
  <c r="AA160" i="12"/>
  <c r="AB160" i="12"/>
  <c r="Y160" i="12"/>
  <c r="V160" i="12"/>
  <c r="N160" i="12"/>
  <c r="Q160" i="12"/>
  <c r="T160" i="12"/>
  <c r="L160" i="12"/>
  <c r="O160" i="12"/>
  <c r="R160" i="12"/>
  <c r="S160" i="12"/>
  <c r="P160" i="12"/>
  <c r="M160" i="12"/>
  <c r="E160" i="12"/>
  <c r="H160" i="12"/>
  <c r="K160" i="12"/>
  <c r="C160" i="12"/>
  <c r="F160" i="12"/>
  <c r="I160" i="12"/>
  <c r="J160" i="12"/>
  <c r="G160" i="12"/>
  <c r="D160" i="12"/>
  <c r="AI159" i="12"/>
  <c r="AF159" i="12"/>
  <c r="AL159" i="12"/>
  <c r="AG159" i="12"/>
  <c r="AD159" i="12"/>
  <c r="AJ159" i="12"/>
  <c r="AK159" i="12"/>
  <c r="AH159" i="12"/>
  <c r="AE159" i="12"/>
  <c r="Z159" i="12"/>
  <c r="W159" i="12"/>
  <c r="AC159" i="12"/>
  <c r="U159" i="12"/>
  <c r="X159" i="12"/>
  <c r="AA159" i="12"/>
  <c r="AB159" i="12"/>
  <c r="Y159" i="12"/>
  <c r="V159" i="12"/>
  <c r="N159" i="12"/>
  <c r="Q159" i="12"/>
  <c r="T159" i="12"/>
  <c r="L159" i="12"/>
  <c r="O159" i="12"/>
  <c r="R159" i="12"/>
  <c r="S159" i="12"/>
  <c r="P159" i="12"/>
  <c r="M159" i="12"/>
  <c r="E159" i="12"/>
  <c r="H159" i="12"/>
  <c r="K159" i="12"/>
  <c r="C159" i="12"/>
  <c r="F159" i="12"/>
  <c r="I159" i="12"/>
  <c r="J159" i="12"/>
  <c r="G159" i="12"/>
  <c r="D159" i="12"/>
  <c r="AI158" i="12"/>
  <c r="AF158" i="12"/>
  <c r="AL158" i="12"/>
  <c r="AG158" i="12"/>
  <c r="AD158" i="12"/>
  <c r="AJ158" i="12"/>
  <c r="AK158" i="12"/>
  <c r="AH158" i="12"/>
  <c r="AE158" i="12"/>
  <c r="Z158" i="12"/>
  <c r="W158" i="12"/>
  <c r="AC158" i="12"/>
  <c r="U158" i="12"/>
  <c r="X158" i="12"/>
  <c r="AA158" i="12"/>
  <c r="AB158" i="12"/>
  <c r="Y158" i="12"/>
  <c r="V158" i="12"/>
  <c r="N158" i="12"/>
  <c r="Q158" i="12"/>
  <c r="T158" i="12"/>
  <c r="L158" i="12"/>
  <c r="O158" i="12"/>
  <c r="R158" i="12"/>
  <c r="S158" i="12"/>
  <c r="P158" i="12"/>
  <c r="M158" i="12"/>
  <c r="E158" i="12"/>
  <c r="H158" i="12"/>
  <c r="K158" i="12"/>
  <c r="C158" i="12"/>
  <c r="F158" i="12"/>
  <c r="I158" i="12"/>
  <c r="J158" i="12"/>
  <c r="G158" i="12"/>
  <c r="D158" i="12"/>
  <c r="AI157" i="12"/>
  <c r="AF157" i="12"/>
  <c r="AL157" i="12"/>
  <c r="AG157" i="12"/>
  <c r="AD157" i="12"/>
  <c r="AJ157" i="12"/>
  <c r="AK157" i="12"/>
  <c r="AH157" i="12"/>
  <c r="AE157" i="12"/>
  <c r="Z157" i="12"/>
  <c r="W157" i="12"/>
  <c r="AC157" i="12"/>
  <c r="U157" i="12"/>
  <c r="X157" i="12"/>
  <c r="AA157" i="12"/>
  <c r="AB157" i="12"/>
  <c r="Y157" i="12"/>
  <c r="V157" i="12"/>
  <c r="N157" i="12"/>
  <c r="Q157" i="12"/>
  <c r="T157" i="12"/>
  <c r="L157" i="12"/>
  <c r="O157" i="12"/>
  <c r="R157" i="12"/>
  <c r="S157" i="12"/>
  <c r="P157" i="12"/>
  <c r="M157" i="12"/>
  <c r="E157" i="12"/>
  <c r="H157" i="12"/>
  <c r="K157" i="12"/>
  <c r="C157" i="12"/>
  <c r="F157" i="12"/>
  <c r="I157" i="12"/>
  <c r="J157" i="12"/>
  <c r="G157" i="12"/>
  <c r="D157" i="12"/>
  <c r="AI156" i="12"/>
  <c r="AF156" i="12"/>
  <c r="AL156" i="12"/>
  <c r="AG156" i="12"/>
  <c r="AD156" i="12"/>
  <c r="AJ156" i="12"/>
  <c r="AK156" i="12"/>
  <c r="AH156" i="12"/>
  <c r="AE156" i="12"/>
  <c r="Z156" i="12"/>
  <c r="W156" i="12"/>
  <c r="AC156" i="12"/>
  <c r="U156" i="12"/>
  <c r="X156" i="12"/>
  <c r="AA156" i="12"/>
  <c r="AB156" i="12"/>
  <c r="Y156" i="12"/>
  <c r="V156" i="12"/>
  <c r="N156" i="12"/>
  <c r="Q156" i="12"/>
  <c r="T156" i="12"/>
  <c r="L156" i="12"/>
  <c r="O156" i="12"/>
  <c r="R156" i="12"/>
  <c r="S156" i="12"/>
  <c r="P156" i="12"/>
  <c r="M156" i="12"/>
  <c r="E156" i="12"/>
  <c r="H156" i="12"/>
  <c r="K156" i="12"/>
  <c r="C156" i="12"/>
  <c r="F156" i="12"/>
  <c r="I156" i="12"/>
  <c r="J156" i="12"/>
  <c r="G156" i="12"/>
  <c r="D156" i="12"/>
  <c r="AI155" i="12"/>
  <c r="AF155" i="12"/>
  <c r="AL155" i="12"/>
  <c r="AG155" i="12"/>
  <c r="AD155" i="12"/>
  <c r="AJ155" i="12"/>
  <c r="AK155" i="12"/>
  <c r="AH155" i="12"/>
  <c r="AE155" i="12"/>
  <c r="Z155" i="12"/>
  <c r="W155" i="12"/>
  <c r="AC155" i="12"/>
  <c r="U155" i="12"/>
  <c r="X155" i="12"/>
  <c r="AA155" i="12"/>
  <c r="AB155" i="12"/>
  <c r="Y155" i="12"/>
  <c r="V155" i="12"/>
  <c r="N155" i="12"/>
  <c r="Q155" i="12"/>
  <c r="T155" i="12"/>
  <c r="L155" i="12"/>
  <c r="O155" i="12"/>
  <c r="R155" i="12"/>
  <c r="S155" i="12"/>
  <c r="P155" i="12"/>
  <c r="M155" i="12"/>
  <c r="E155" i="12"/>
  <c r="H155" i="12"/>
  <c r="K155" i="12"/>
  <c r="C155" i="12"/>
  <c r="F155" i="12"/>
  <c r="I155" i="12"/>
  <c r="J155" i="12"/>
  <c r="G155" i="12"/>
  <c r="D155" i="12"/>
  <c r="AI154" i="12"/>
  <c r="AF154" i="12"/>
  <c r="AL154" i="12"/>
  <c r="AG154" i="12"/>
  <c r="AD154" i="12"/>
  <c r="AJ154" i="12"/>
  <c r="AK154" i="12"/>
  <c r="AH154" i="12"/>
  <c r="AE154" i="12"/>
  <c r="Z154" i="12"/>
  <c r="W154" i="12"/>
  <c r="AC154" i="12"/>
  <c r="U154" i="12"/>
  <c r="X154" i="12"/>
  <c r="AA154" i="12"/>
  <c r="AB154" i="12"/>
  <c r="Y154" i="12"/>
  <c r="V154" i="12"/>
  <c r="N154" i="12"/>
  <c r="Q154" i="12"/>
  <c r="T154" i="12"/>
  <c r="L154" i="12"/>
  <c r="O154" i="12"/>
  <c r="R154" i="12"/>
  <c r="S154" i="12"/>
  <c r="P154" i="12"/>
  <c r="M154" i="12"/>
  <c r="E154" i="12"/>
  <c r="H154" i="12"/>
  <c r="K154" i="12"/>
  <c r="C154" i="12"/>
  <c r="F154" i="12"/>
  <c r="I154" i="12"/>
  <c r="J154" i="12"/>
  <c r="G154" i="12"/>
  <c r="D154" i="12"/>
  <c r="AI153" i="12"/>
  <c r="AF153" i="12"/>
  <c r="AL153" i="12"/>
  <c r="AG153" i="12"/>
  <c r="AD153" i="12"/>
  <c r="AJ153" i="12"/>
  <c r="AK153" i="12"/>
  <c r="AH153" i="12"/>
  <c r="AE153" i="12"/>
  <c r="Z153" i="12"/>
  <c r="W153" i="12"/>
  <c r="AC153" i="12"/>
  <c r="U153" i="12"/>
  <c r="X153" i="12"/>
  <c r="AA153" i="12"/>
  <c r="AB153" i="12"/>
  <c r="Y153" i="12"/>
  <c r="V153" i="12"/>
  <c r="N153" i="12"/>
  <c r="Q153" i="12"/>
  <c r="T153" i="12"/>
  <c r="L153" i="12"/>
  <c r="O153" i="12"/>
  <c r="R153" i="12"/>
  <c r="S153" i="12"/>
  <c r="P153" i="12"/>
  <c r="M153" i="12"/>
  <c r="E153" i="12"/>
  <c r="H153" i="12"/>
  <c r="K153" i="12"/>
  <c r="C153" i="12"/>
  <c r="F153" i="12"/>
  <c r="I153" i="12"/>
  <c r="J153" i="12"/>
  <c r="G153" i="12"/>
  <c r="D153" i="12"/>
  <c r="AI152" i="12"/>
  <c r="AF152" i="12"/>
  <c r="AL152" i="12"/>
  <c r="AG152" i="12"/>
  <c r="AD152" i="12"/>
  <c r="AJ152" i="12"/>
  <c r="AK152" i="12"/>
  <c r="AH152" i="12"/>
  <c r="AE152" i="12"/>
  <c r="Z152" i="12"/>
  <c r="W152" i="12"/>
  <c r="AC152" i="12"/>
  <c r="U152" i="12"/>
  <c r="X152" i="12"/>
  <c r="AA152" i="12"/>
  <c r="AB152" i="12"/>
  <c r="Y152" i="12"/>
  <c r="V152" i="12"/>
  <c r="N152" i="12"/>
  <c r="Q152" i="12"/>
  <c r="T152" i="12"/>
  <c r="L152" i="12"/>
  <c r="O152" i="12"/>
  <c r="R152" i="12"/>
  <c r="S152" i="12"/>
  <c r="P152" i="12"/>
  <c r="M152" i="12"/>
  <c r="E152" i="12"/>
  <c r="H152" i="12"/>
  <c r="K152" i="12"/>
  <c r="C152" i="12"/>
  <c r="F152" i="12"/>
  <c r="I152" i="12"/>
  <c r="J152" i="12"/>
  <c r="G152" i="12"/>
  <c r="D152" i="12"/>
  <c r="AI151" i="12"/>
  <c r="AF151" i="12"/>
  <c r="AL151" i="12"/>
  <c r="AG151" i="12"/>
  <c r="AD151" i="12"/>
  <c r="AJ151" i="12"/>
  <c r="AK151" i="12"/>
  <c r="AH151" i="12"/>
  <c r="AE151" i="12"/>
  <c r="Z151" i="12"/>
  <c r="W151" i="12"/>
  <c r="AC151" i="12"/>
  <c r="U151" i="12"/>
  <c r="X151" i="12"/>
  <c r="AA151" i="12"/>
  <c r="AB151" i="12"/>
  <c r="Y151" i="12"/>
  <c r="V151" i="12"/>
  <c r="N151" i="12"/>
  <c r="Q151" i="12"/>
  <c r="T151" i="12"/>
  <c r="L151" i="12"/>
  <c r="O151" i="12"/>
  <c r="R151" i="12"/>
  <c r="S151" i="12"/>
  <c r="P151" i="12"/>
  <c r="M151" i="12"/>
  <c r="E151" i="12"/>
  <c r="H151" i="12"/>
  <c r="K151" i="12"/>
  <c r="C151" i="12"/>
  <c r="F151" i="12"/>
  <c r="I151" i="12"/>
  <c r="J151" i="12"/>
  <c r="G151" i="12"/>
  <c r="D151" i="12"/>
  <c r="AI150" i="12"/>
  <c r="AF150" i="12"/>
  <c r="AL150" i="12"/>
  <c r="AG150" i="12"/>
  <c r="AD150" i="12"/>
  <c r="AJ150" i="12"/>
  <c r="AK150" i="12"/>
  <c r="AH150" i="12"/>
  <c r="AE150" i="12"/>
  <c r="Z150" i="12"/>
  <c r="W150" i="12"/>
  <c r="AC150" i="12"/>
  <c r="U150" i="12"/>
  <c r="X150" i="12"/>
  <c r="AA150" i="12"/>
  <c r="AB150" i="12"/>
  <c r="Y150" i="12"/>
  <c r="V150" i="12"/>
  <c r="N150" i="12"/>
  <c r="Q150" i="12"/>
  <c r="T150" i="12"/>
  <c r="L150" i="12"/>
  <c r="O150" i="12"/>
  <c r="R150" i="12"/>
  <c r="S150" i="12"/>
  <c r="P150" i="12"/>
  <c r="M150" i="12"/>
  <c r="E150" i="12"/>
  <c r="H150" i="12"/>
  <c r="K150" i="12"/>
  <c r="C150" i="12"/>
  <c r="F150" i="12"/>
  <c r="I150" i="12"/>
  <c r="J150" i="12"/>
  <c r="G150" i="12"/>
  <c r="D150" i="12"/>
  <c r="AI149" i="12"/>
  <c r="AF149" i="12"/>
  <c r="AL149" i="12"/>
  <c r="AG149" i="12"/>
  <c r="AD149" i="12"/>
  <c r="AJ149" i="12"/>
  <c r="AK149" i="12"/>
  <c r="AH149" i="12"/>
  <c r="AE149" i="12"/>
  <c r="Z149" i="12"/>
  <c r="W149" i="12"/>
  <c r="AC149" i="12"/>
  <c r="U149" i="12"/>
  <c r="X149" i="12"/>
  <c r="AA149" i="12"/>
  <c r="AB149" i="12"/>
  <c r="Y149" i="12"/>
  <c r="V149" i="12"/>
  <c r="N149" i="12"/>
  <c r="Q149" i="12"/>
  <c r="T149" i="12"/>
  <c r="L149" i="12"/>
  <c r="O149" i="12"/>
  <c r="R149" i="12"/>
  <c r="S149" i="12"/>
  <c r="P149" i="12"/>
  <c r="M149" i="12"/>
  <c r="E149" i="12"/>
  <c r="H149" i="12"/>
  <c r="K149" i="12"/>
  <c r="C149" i="12"/>
  <c r="F149" i="12"/>
  <c r="I149" i="12"/>
  <c r="J149" i="12"/>
  <c r="G149" i="12"/>
  <c r="D149" i="12"/>
  <c r="AI148" i="12"/>
  <c r="AF148" i="12"/>
  <c r="AL148" i="12"/>
  <c r="AG148" i="12"/>
  <c r="AD148" i="12"/>
  <c r="AJ148" i="12"/>
  <c r="AK148" i="12"/>
  <c r="AH148" i="12"/>
  <c r="AE148" i="12"/>
  <c r="Z148" i="12"/>
  <c r="W148" i="12"/>
  <c r="AC148" i="12"/>
  <c r="U148" i="12"/>
  <c r="X148" i="12"/>
  <c r="AA148" i="12"/>
  <c r="AB148" i="12"/>
  <c r="Y148" i="12"/>
  <c r="V148" i="12"/>
  <c r="N148" i="12"/>
  <c r="Q148" i="12"/>
  <c r="T148" i="12"/>
  <c r="L148" i="12"/>
  <c r="O148" i="12"/>
  <c r="R148" i="12"/>
  <c r="S148" i="12"/>
  <c r="P148" i="12"/>
  <c r="M148" i="12"/>
  <c r="E148" i="12"/>
  <c r="H148" i="12"/>
  <c r="K148" i="12"/>
  <c r="C148" i="12"/>
  <c r="F148" i="12"/>
  <c r="I148" i="12"/>
  <c r="J148" i="12"/>
  <c r="G148" i="12"/>
  <c r="D148" i="12"/>
  <c r="AI147" i="12"/>
  <c r="AF147" i="12"/>
  <c r="AL147" i="12"/>
  <c r="AG147" i="12"/>
  <c r="AD147" i="12"/>
  <c r="AJ147" i="12"/>
  <c r="AK147" i="12"/>
  <c r="AH147" i="12"/>
  <c r="AE147" i="12"/>
  <c r="Z147" i="12"/>
  <c r="W147" i="12"/>
  <c r="AC147" i="12"/>
  <c r="U147" i="12"/>
  <c r="X147" i="12"/>
  <c r="AA147" i="12"/>
  <c r="AB147" i="12"/>
  <c r="Y147" i="12"/>
  <c r="V147" i="12"/>
  <c r="N147" i="12"/>
  <c r="Q147" i="12"/>
  <c r="T147" i="12"/>
  <c r="L147" i="12"/>
  <c r="O147" i="12"/>
  <c r="R147" i="12"/>
  <c r="S147" i="12"/>
  <c r="P147" i="12"/>
  <c r="M147" i="12"/>
  <c r="E147" i="12"/>
  <c r="H147" i="12"/>
  <c r="K147" i="12"/>
  <c r="C147" i="12"/>
  <c r="F147" i="12"/>
  <c r="I147" i="12"/>
  <c r="J147" i="12"/>
  <c r="G147" i="12"/>
  <c r="D147" i="12"/>
  <c r="AI146" i="12"/>
  <c r="AF146" i="12"/>
  <c r="AL146" i="12"/>
  <c r="AG146" i="12"/>
  <c r="AD146" i="12"/>
  <c r="AJ146" i="12"/>
  <c r="AK146" i="12"/>
  <c r="AH146" i="12"/>
  <c r="AE146" i="12"/>
  <c r="Z146" i="12"/>
  <c r="W146" i="12"/>
  <c r="AC146" i="12"/>
  <c r="U146" i="12"/>
  <c r="X146" i="12"/>
  <c r="AA146" i="12"/>
  <c r="AB146" i="12"/>
  <c r="Y146" i="12"/>
  <c r="V146" i="12"/>
  <c r="N146" i="12"/>
  <c r="Q146" i="12"/>
  <c r="T146" i="12"/>
  <c r="L146" i="12"/>
  <c r="O146" i="12"/>
  <c r="R146" i="12"/>
  <c r="S146" i="12"/>
  <c r="P146" i="12"/>
  <c r="M146" i="12"/>
  <c r="E146" i="12"/>
  <c r="H146" i="12"/>
  <c r="K146" i="12"/>
  <c r="C146" i="12"/>
  <c r="F146" i="12"/>
  <c r="I146" i="12"/>
  <c r="J146" i="12"/>
  <c r="G146" i="12"/>
  <c r="D146" i="12"/>
  <c r="AI145" i="12"/>
  <c r="AF145" i="12"/>
  <c r="AL145" i="12"/>
  <c r="AG145" i="12"/>
  <c r="AD145" i="12"/>
  <c r="AJ145" i="12"/>
  <c r="AK145" i="12"/>
  <c r="AH145" i="12"/>
  <c r="AE145" i="12"/>
  <c r="Z145" i="12"/>
  <c r="W145" i="12"/>
  <c r="AC145" i="12"/>
  <c r="U145" i="12"/>
  <c r="X145" i="12"/>
  <c r="AA145" i="12"/>
  <c r="AB145" i="12"/>
  <c r="Y145" i="12"/>
  <c r="V145" i="12"/>
  <c r="N145" i="12"/>
  <c r="Q145" i="12"/>
  <c r="T145" i="12"/>
  <c r="L145" i="12"/>
  <c r="O145" i="12"/>
  <c r="R145" i="12"/>
  <c r="S145" i="12"/>
  <c r="P145" i="12"/>
  <c r="M145" i="12"/>
  <c r="E145" i="12"/>
  <c r="H145" i="12"/>
  <c r="K145" i="12"/>
  <c r="C145" i="12"/>
  <c r="F145" i="12"/>
  <c r="I145" i="12"/>
  <c r="J145" i="12"/>
  <c r="G145" i="12"/>
  <c r="D145" i="12"/>
  <c r="AI144" i="12"/>
  <c r="AF144" i="12"/>
  <c r="AL144" i="12"/>
  <c r="AG144" i="12"/>
  <c r="AD144" i="12"/>
  <c r="AJ144" i="12"/>
  <c r="AK144" i="12"/>
  <c r="AH144" i="12"/>
  <c r="AE144" i="12"/>
  <c r="Z144" i="12"/>
  <c r="W144" i="12"/>
  <c r="AC144" i="12"/>
  <c r="U144" i="12"/>
  <c r="X144" i="12"/>
  <c r="AA144" i="12"/>
  <c r="AB144" i="12"/>
  <c r="Y144" i="12"/>
  <c r="V144" i="12"/>
  <c r="N144" i="12"/>
  <c r="Q144" i="12"/>
  <c r="T144" i="12"/>
  <c r="L144" i="12"/>
  <c r="O144" i="12"/>
  <c r="R144" i="12"/>
  <c r="S144" i="12"/>
  <c r="P144" i="12"/>
  <c r="M144" i="12"/>
  <c r="E144" i="12"/>
  <c r="H144" i="12"/>
  <c r="K144" i="12"/>
  <c r="C144" i="12"/>
  <c r="F144" i="12"/>
  <c r="I144" i="12"/>
  <c r="J144" i="12"/>
  <c r="G144" i="12"/>
  <c r="D144" i="12"/>
  <c r="AI143" i="12"/>
  <c r="AF143" i="12"/>
  <c r="AL143" i="12"/>
  <c r="AG143" i="12"/>
  <c r="AD143" i="12"/>
  <c r="AJ143" i="12"/>
  <c r="AK143" i="12"/>
  <c r="AH143" i="12"/>
  <c r="AE143" i="12"/>
  <c r="Z143" i="12"/>
  <c r="W143" i="12"/>
  <c r="AC143" i="12"/>
  <c r="U143" i="12"/>
  <c r="X143" i="12"/>
  <c r="AA143" i="12"/>
  <c r="AB143" i="12"/>
  <c r="Y143" i="12"/>
  <c r="V143" i="12"/>
  <c r="N143" i="12"/>
  <c r="Q143" i="12"/>
  <c r="T143" i="12"/>
  <c r="L143" i="12"/>
  <c r="O143" i="12"/>
  <c r="R143" i="12"/>
  <c r="S143" i="12"/>
  <c r="P143" i="12"/>
  <c r="M143" i="12"/>
  <c r="E143" i="12"/>
  <c r="H143" i="12"/>
  <c r="K143" i="12"/>
  <c r="C143" i="12"/>
  <c r="F143" i="12"/>
  <c r="I143" i="12"/>
  <c r="J143" i="12"/>
  <c r="G143" i="12"/>
  <c r="D143" i="12"/>
  <c r="AI142" i="12"/>
  <c r="AF142" i="12"/>
  <c r="AL142" i="12"/>
  <c r="AG142" i="12"/>
  <c r="AD142" i="12"/>
  <c r="AJ142" i="12"/>
  <c r="AK142" i="12"/>
  <c r="AH142" i="12"/>
  <c r="AE142" i="12"/>
  <c r="Z142" i="12"/>
  <c r="W142" i="12"/>
  <c r="AC142" i="12"/>
  <c r="U142" i="12"/>
  <c r="X142" i="12"/>
  <c r="AA142" i="12"/>
  <c r="AB142" i="12"/>
  <c r="Y142" i="12"/>
  <c r="V142" i="12"/>
  <c r="N142" i="12"/>
  <c r="Q142" i="12"/>
  <c r="T142" i="12"/>
  <c r="L142" i="12"/>
  <c r="O142" i="12"/>
  <c r="R142" i="12"/>
  <c r="S142" i="12"/>
  <c r="P142" i="12"/>
  <c r="M142" i="12"/>
  <c r="E142" i="12"/>
  <c r="H142" i="12"/>
  <c r="K142" i="12"/>
  <c r="C142" i="12"/>
  <c r="F142" i="12"/>
  <c r="I142" i="12"/>
  <c r="J142" i="12"/>
  <c r="G142" i="12"/>
  <c r="D142" i="12"/>
  <c r="AI141" i="12"/>
  <c r="AF141" i="12"/>
  <c r="AL141" i="12"/>
  <c r="AG141" i="12"/>
  <c r="AD141" i="12"/>
  <c r="AJ141" i="12"/>
  <c r="AK141" i="12"/>
  <c r="AH141" i="12"/>
  <c r="AE141" i="12"/>
  <c r="Z141" i="12"/>
  <c r="W141" i="12"/>
  <c r="AC141" i="12"/>
  <c r="U141" i="12"/>
  <c r="X141" i="12"/>
  <c r="AA141" i="12"/>
  <c r="AB141" i="12"/>
  <c r="Y141" i="12"/>
  <c r="V141" i="12"/>
  <c r="N141" i="12"/>
  <c r="Q141" i="12"/>
  <c r="T141" i="12"/>
  <c r="L141" i="12"/>
  <c r="O141" i="12"/>
  <c r="R141" i="12"/>
  <c r="S141" i="12"/>
  <c r="P141" i="12"/>
  <c r="M141" i="12"/>
  <c r="E141" i="12"/>
  <c r="H141" i="12"/>
  <c r="K141" i="12"/>
  <c r="C141" i="12"/>
  <c r="F141" i="12"/>
  <c r="I141" i="12"/>
  <c r="J141" i="12"/>
  <c r="G141" i="12"/>
  <c r="D141" i="12"/>
  <c r="AI140" i="12"/>
  <c r="AF140" i="12"/>
  <c r="AL140" i="12"/>
  <c r="AG140" i="12"/>
  <c r="AD140" i="12"/>
  <c r="AJ140" i="12"/>
  <c r="AK140" i="12"/>
  <c r="AH140" i="12"/>
  <c r="AE140" i="12"/>
  <c r="Z140" i="12"/>
  <c r="W140" i="12"/>
  <c r="AC140" i="12"/>
  <c r="U140" i="12"/>
  <c r="X140" i="12"/>
  <c r="AA140" i="12"/>
  <c r="AB140" i="12"/>
  <c r="Y140" i="12"/>
  <c r="V140" i="12"/>
  <c r="N140" i="12"/>
  <c r="Q140" i="12"/>
  <c r="T140" i="12"/>
  <c r="L140" i="12"/>
  <c r="O140" i="12"/>
  <c r="R140" i="12"/>
  <c r="S140" i="12"/>
  <c r="P140" i="12"/>
  <c r="M140" i="12"/>
  <c r="E140" i="12"/>
  <c r="H140" i="12"/>
  <c r="K140" i="12"/>
  <c r="C140" i="12"/>
  <c r="F140" i="12"/>
  <c r="I140" i="12"/>
  <c r="J140" i="12"/>
  <c r="G140" i="12"/>
  <c r="D140" i="12"/>
  <c r="AI139" i="12"/>
  <c r="AF139" i="12"/>
  <c r="AL139" i="12"/>
  <c r="AG139" i="12"/>
  <c r="AD139" i="12"/>
  <c r="AJ139" i="12"/>
  <c r="AK139" i="12"/>
  <c r="AH139" i="12"/>
  <c r="AE139" i="12"/>
  <c r="Z139" i="12"/>
  <c r="W139" i="12"/>
  <c r="AC139" i="12"/>
  <c r="U139" i="12"/>
  <c r="X139" i="12"/>
  <c r="AA139" i="12"/>
  <c r="AB139" i="12"/>
  <c r="Y139" i="12"/>
  <c r="V139" i="12"/>
  <c r="N139" i="12"/>
  <c r="Q139" i="12"/>
  <c r="T139" i="12"/>
  <c r="L139" i="12"/>
  <c r="O139" i="12"/>
  <c r="R139" i="12"/>
  <c r="S139" i="12"/>
  <c r="P139" i="12"/>
  <c r="M139" i="12"/>
  <c r="E139" i="12"/>
  <c r="H139" i="12"/>
  <c r="K139" i="12"/>
  <c r="C139" i="12"/>
  <c r="F139" i="12"/>
  <c r="I139" i="12"/>
  <c r="J139" i="12"/>
  <c r="G139" i="12"/>
  <c r="D139" i="12"/>
  <c r="AI138" i="12"/>
  <c r="AF138" i="12"/>
  <c r="AL138" i="12"/>
  <c r="AG138" i="12"/>
  <c r="AD138" i="12"/>
  <c r="AJ138" i="12"/>
  <c r="AK138" i="12"/>
  <c r="AH138" i="12"/>
  <c r="AE138" i="12"/>
  <c r="Z138" i="12"/>
  <c r="W138" i="12"/>
  <c r="AC138" i="12"/>
  <c r="U138" i="12"/>
  <c r="X138" i="12"/>
  <c r="AA138" i="12"/>
  <c r="AB138" i="12"/>
  <c r="Y138" i="12"/>
  <c r="V138" i="12"/>
  <c r="N138" i="12"/>
  <c r="Q138" i="12"/>
  <c r="T138" i="12"/>
  <c r="L138" i="12"/>
  <c r="O138" i="12"/>
  <c r="R138" i="12"/>
  <c r="S138" i="12"/>
  <c r="P138" i="12"/>
  <c r="M138" i="12"/>
  <c r="E138" i="12"/>
  <c r="H138" i="12"/>
  <c r="K138" i="12"/>
  <c r="C138" i="12"/>
  <c r="F138" i="12"/>
  <c r="I138" i="12"/>
  <c r="J138" i="12"/>
  <c r="G138" i="12"/>
  <c r="D138" i="12"/>
  <c r="AI137" i="12"/>
  <c r="AF137" i="12"/>
  <c r="AL137" i="12"/>
  <c r="AG137" i="12"/>
  <c r="AD137" i="12"/>
  <c r="AJ137" i="12"/>
  <c r="AK137" i="12"/>
  <c r="AH137" i="12"/>
  <c r="AE137" i="12"/>
  <c r="Z137" i="12"/>
  <c r="W137" i="12"/>
  <c r="AC137" i="12"/>
  <c r="U137" i="12"/>
  <c r="X137" i="12"/>
  <c r="AA137" i="12"/>
  <c r="AB137" i="12"/>
  <c r="Y137" i="12"/>
  <c r="V137" i="12"/>
  <c r="N137" i="12"/>
  <c r="Q137" i="12"/>
  <c r="T137" i="12"/>
  <c r="L137" i="12"/>
  <c r="O137" i="12"/>
  <c r="R137" i="12"/>
  <c r="S137" i="12"/>
  <c r="P137" i="12"/>
  <c r="M137" i="12"/>
  <c r="E137" i="12"/>
  <c r="H137" i="12"/>
  <c r="K137" i="12"/>
  <c r="C137" i="12"/>
  <c r="F137" i="12"/>
  <c r="I137" i="12"/>
  <c r="J137" i="12"/>
  <c r="G137" i="12"/>
  <c r="D137" i="12"/>
  <c r="AI136" i="12"/>
  <c r="AF136" i="12"/>
  <c r="AL136" i="12"/>
  <c r="AG136" i="12"/>
  <c r="AD136" i="12"/>
  <c r="AJ136" i="12"/>
  <c r="AK136" i="12"/>
  <c r="AH136" i="12"/>
  <c r="AE136" i="12"/>
  <c r="Z136" i="12"/>
  <c r="W136" i="12"/>
  <c r="AC136" i="12"/>
  <c r="U136" i="12"/>
  <c r="X136" i="12"/>
  <c r="AA136" i="12"/>
  <c r="AB136" i="12"/>
  <c r="Y136" i="12"/>
  <c r="V136" i="12"/>
  <c r="N136" i="12"/>
  <c r="Q136" i="12"/>
  <c r="T136" i="12"/>
  <c r="L136" i="12"/>
  <c r="O136" i="12"/>
  <c r="R136" i="12"/>
  <c r="S136" i="12"/>
  <c r="P136" i="12"/>
  <c r="M136" i="12"/>
  <c r="E136" i="12"/>
  <c r="H136" i="12"/>
  <c r="K136" i="12"/>
  <c r="C136" i="12"/>
  <c r="F136" i="12"/>
  <c r="I136" i="12"/>
  <c r="J136" i="12"/>
  <c r="G136" i="12"/>
  <c r="D136" i="12"/>
  <c r="AI135" i="12"/>
  <c r="AF135" i="12"/>
  <c r="AL135" i="12"/>
  <c r="AG135" i="12"/>
  <c r="AD135" i="12"/>
  <c r="AJ135" i="12"/>
  <c r="AK135" i="12"/>
  <c r="AH135" i="12"/>
  <c r="AE135" i="12"/>
  <c r="Z135" i="12"/>
  <c r="W135" i="12"/>
  <c r="AC135" i="12"/>
  <c r="U135" i="12"/>
  <c r="X135" i="12"/>
  <c r="AA135" i="12"/>
  <c r="AB135" i="12"/>
  <c r="Y135" i="12"/>
  <c r="V135" i="12"/>
  <c r="N135" i="12"/>
  <c r="Q135" i="12"/>
  <c r="T135" i="12"/>
  <c r="L135" i="12"/>
  <c r="O135" i="12"/>
  <c r="R135" i="12"/>
  <c r="S135" i="12"/>
  <c r="P135" i="12"/>
  <c r="M135" i="12"/>
  <c r="E135" i="12"/>
  <c r="H135" i="12"/>
  <c r="K135" i="12"/>
  <c r="C135" i="12"/>
  <c r="F135" i="12"/>
  <c r="I135" i="12"/>
  <c r="J135" i="12"/>
  <c r="G135" i="12"/>
  <c r="D135" i="12"/>
  <c r="AI134" i="12"/>
  <c r="AF134" i="12"/>
  <c r="AL134" i="12"/>
  <c r="AG134" i="12"/>
  <c r="AD134" i="12"/>
  <c r="AJ134" i="12"/>
  <c r="AK134" i="12"/>
  <c r="AH134" i="12"/>
  <c r="AE134" i="12"/>
  <c r="Z134" i="12"/>
  <c r="W134" i="12"/>
  <c r="AC134" i="12"/>
  <c r="U134" i="12"/>
  <c r="X134" i="12"/>
  <c r="AA134" i="12"/>
  <c r="AB134" i="12"/>
  <c r="Y134" i="12"/>
  <c r="V134" i="12"/>
  <c r="N134" i="12"/>
  <c r="Q134" i="12"/>
  <c r="T134" i="12"/>
  <c r="L134" i="12"/>
  <c r="O134" i="12"/>
  <c r="R134" i="12"/>
  <c r="S134" i="12"/>
  <c r="P134" i="12"/>
  <c r="M134" i="12"/>
  <c r="E134" i="12"/>
  <c r="H134" i="12"/>
  <c r="K134" i="12"/>
  <c r="C134" i="12"/>
  <c r="F134" i="12"/>
  <c r="I134" i="12"/>
  <c r="J134" i="12"/>
  <c r="G134" i="12"/>
  <c r="D134" i="12"/>
  <c r="AI133" i="12"/>
  <c r="AF133" i="12"/>
  <c r="AL133" i="12"/>
  <c r="AG133" i="12"/>
  <c r="AD133" i="12"/>
  <c r="AJ133" i="12"/>
  <c r="AK133" i="12"/>
  <c r="AH133" i="12"/>
  <c r="AE133" i="12"/>
  <c r="Z133" i="12"/>
  <c r="W133" i="12"/>
  <c r="AC133" i="12"/>
  <c r="U133" i="12"/>
  <c r="X133" i="12"/>
  <c r="AA133" i="12"/>
  <c r="AB133" i="12"/>
  <c r="Y133" i="12"/>
  <c r="V133" i="12"/>
  <c r="N133" i="12"/>
  <c r="Q133" i="12"/>
  <c r="T133" i="12"/>
  <c r="L133" i="12"/>
  <c r="O133" i="12"/>
  <c r="R133" i="12"/>
  <c r="S133" i="12"/>
  <c r="P133" i="12"/>
  <c r="M133" i="12"/>
  <c r="E133" i="12"/>
  <c r="H133" i="12"/>
  <c r="K133" i="12"/>
  <c r="C133" i="12"/>
  <c r="F133" i="12"/>
  <c r="I133" i="12"/>
  <c r="J133" i="12"/>
  <c r="G133" i="12"/>
  <c r="D133" i="12"/>
  <c r="AI132" i="12"/>
  <c r="AF132" i="12"/>
  <c r="AL132" i="12"/>
  <c r="AG132" i="12"/>
  <c r="AD132" i="12"/>
  <c r="AJ132" i="12"/>
  <c r="AK132" i="12"/>
  <c r="AH132" i="12"/>
  <c r="AE132" i="12"/>
  <c r="Z132" i="12"/>
  <c r="W132" i="12"/>
  <c r="AC132" i="12"/>
  <c r="U132" i="12"/>
  <c r="X132" i="12"/>
  <c r="AA132" i="12"/>
  <c r="AB132" i="12"/>
  <c r="Y132" i="12"/>
  <c r="V132" i="12"/>
  <c r="N132" i="12"/>
  <c r="Q132" i="12"/>
  <c r="T132" i="12"/>
  <c r="L132" i="12"/>
  <c r="O132" i="12"/>
  <c r="R132" i="12"/>
  <c r="S132" i="12"/>
  <c r="P132" i="12"/>
  <c r="M132" i="12"/>
  <c r="E132" i="12"/>
  <c r="H132" i="12"/>
  <c r="K132" i="12"/>
  <c r="C132" i="12"/>
  <c r="F132" i="12"/>
  <c r="I132" i="12"/>
  <c r="J132" i="12"/>
  <c r="G132" i="12"/>
  <c r="D132" i="12"/>
  <c r="AI131" i="12"/>
  <c r="AF131" i="12"/>
  <c r="AL131" i="12"/>
  <c r="AG131" i="12"/>
  <c r="AD131" i="12"/>
  <c r="AJ131" i="12"/>
  <c r="AK131" i="12"/>
  <c r="AH131" i="12"/>
  <c r="AE131" i="12"/>
  <c r="Z131" i="12"/>
  <c r="W131" i="12"/>
  <c r="AC131" i="12"/>
  <c r="U131" i="12"/>
  <c r="X131" i="12"/>
  <c r="AA131" i="12"/>
  <c r="AB131" i="12"/>
  <c r="Y131" i="12"/>
  <c r="V131" i="12"/>
  <c r="N131" i="12"/>
  <c r="Q131" i="12"/>
  <c r="T131" i="12"/>
  <c r="L131" i="12"/>
  <c r="O131" i="12"/>
  <c r="R131" i="12"/>
  <c r="S131" i="12"/>
  <c r="P131" i="12"/>
  <c r="M131" i="12"/>
  <c r="E131" i="12"/>
  <c r="H131" i="12"/>
  <c r="K131" i="12"/>
  <c r="C131" i="12"/>
  <c r="F131" i="12"/>
  <c r="I131" i="12"/>
  <c r="J131" i="12"/>
  <c r="G131" i="12"/>
  <c r="D131" i="12"/>
  <c r="AI130" i="12"/>
  <c r="AF130" i="12"/>
  <c r="AL130" i="12"/>
  <c r="AG130" i="12"/>
  <c r="AD130" i="12"/>
  <c r="AJ130" i="12"/>
  <c r="AK130" i="12"/>
  <c r="AH130" i="12"/>
  <c r="AE130" i="12"/>
  <c r="Z130" i="12"/>
  <c r="W130" i="12"/>
  <c r="AC130" i="12"/>
  <c r="U130" i="12"/>
  <c r="X130" i="12"/>
  <c r="AA130" i="12"/>
  <c r="AB130" i="12"/>
  <c r="Y130" i="12"/>
  <c r="V130" i="12"/>
  <c r="N130" i="12"/>
  <c r="Q130" i="12"/>
  <c r="T130" i="12"/>
  <c r="L130" i="12"/>
  <c r="O130" i="12"/>
  <c r="R130" i="12"/>
  <c r="S130" i="12"/>
  <c r="P130" i="12"/>
  <c r="M130" i="12"/>
  <c r="E130" i="12"/>
  <c r="H130" i="12"/>
  <c r="K130" i="12"/>
  <c r="C130" i="12"/>
  <c r="F130" i="12"/>
  <c r="I130" i="12"/>
  <c r="J130" i="12"/>
  <c r="G130" i="12"/>
  <c r="D130" i="12"/>
  <c r="AI129" i="12"/>
  <c r="AF129" i="12"/>
  <c r="AL129" i="12"/>
  <c r="AG129" i="12"/>
  <c r="AD129" i="12"/>
  <c r="AJ129" i="12"/>
  <c r="AK129" i="12"/>
  <c r="AH129" i="12"/>
  <c r="AE129" i="12"/>
  <c r="Z129" i="12"/>
  <c r="W129" i="12"/>
  <c r="AC129" i="12"/>
  <c r="U129" i="12"/>
  <c r="X129" i="12"/>
  <c r="AA129" i="12"/>
  <c r="AB129" i="12"/>
  <c r="Y129" i="12"/>
  <c r="V129" i="12"/>
  <c r="N129" i="12"/>
  <c r="Q129" i="12"/>
  <c r="T129" i="12"/>
  <c r="L129" i="12"/>
  <c r="O129" i="12"/>
  <c r="R129" i="12"/>
  <c r="S129" i="12"/>
  <c r="P129" i="12"/>
  <c r="M129" i="12"/>
  <c r="E129" i="12"/>
  <c r="H129" i="12"/>
  <c r="K129" i="12"/>
  <c r="C129" i="12"/>
  <c r="F129" i="12"/>
  <c r="I129" i="12"/>
  <c r="J129" i="12"/>
  <c r="G129" i="12"/>
  <c r="D129" i="12"/>
  <c r="AI128" i="12"/>
  <c r="AF128" i="12"/>
  <c r="AL128" i="12"/>
  <c r="AG128" i="12"/>
  <c r="AD128" i="12"/>
  <c r="AJ128" i="12"/>
  <c r="AK128" i="12"/>
  <c r="AH128" i="12"/>
  <c r="AE128" i="12"/>
  <c r="Z128" i="12"/>
  <c r="W128" i="12"/>
  <c r="AC128" i="12"/>
  <c r="U128" i="12"/>
  <c r="X128" i="12"/>
  <c r="AA128" i="12"/>
  <c r="AB128" i="12"/>
  <c r="Y128" i="12"/>
  <c r="V128" i="12"/>
  <c r="N128" i="12"/>
  <c r="Q128" i="12"/>
  <c r="T128" i="12"/>
  <c r="L128" i="12"/>
  <c r="O128" i="12"/>
  <c r="R128" i="12"/>
  <c r="S128" i="12"/>
  <c r="P128" i="12"/>
  <c r="M128" i="12"/>
  <c r="E128" i="12"/>
  <c r="H128" i="12"/>
  <c r="K128" i="12"/>
  <c r="C128" i="12"/>
  <c r="F128" i="12"/>
  <c r="I128" i="12"/>
  <c r="J128" i="12"/>
  <c r="G128" i="12"/>
  <c r="D128" i="12"/>
  <c r="AI127" i="12"/>
  <c r="AF127" i="12"/>
  <c r="AL127" i="12"/>
  <c r="AG127" i="12"/>
  <c r="AD127" i="12"/>
  <c r="AJ127" i="12"/>
  <c r="AK127" i="12"/>
  <c r="AH127" i="12"/>
  <c r="AE127" i="12"/>
  <c r="Z127" i="12"/>
  <c r="W127" i="12"/>
  <c r="AC127" i="12"/>
  <c r="U127" i="12"/>
  <c r="X127" i="12"/>
  <c r="AA127" i="12"/>
  <c r="AB127" i="12"/>
  <c r="Y127" i="12"/>
  <c r="V127" i="12"/>
  <c r="N127" i="12"/>
  <c r="Q127" i="12"/>
  <c r="T127" i="12"/>
  <c r="L127" i="12"/>
  <c r="O127" i="12"/>
  <c r="R127" i="12"/>
  <c r="S127" i="12"/>
  <c r="P127" i="12"/>
  <c r="M127" i="12"/>
  <c r="E127" i="12"/>
  <c r="H127" i="12"/>
  <c r="K127" i="12"/>
  <c r="C127" i="12"/>
  <c r="F127" i="12"/>
  <c r="I127" i="12"/>
  <c r="J127" i="12"/>
  <c r="G127" i="12"/>
  <c r="D127" i="12"/>
  <c r="AI126" i="12"/>
  <c r="AF126" i="12"/>
  <c r="AL126" i="12"/>
  <c r="AG126" i="12"/>
  <c r="AD126" i="12"/>
  <c r="AJ126" i="12"/>
  <c r="AK126" i="12"/>
  <c r="AH126" i="12"/>
  <c r="AE126" i="12"/>
  <c r="Z126" i="12"/>
  <c r="W126" i="12"/>
  <c r="AC126" i="12"/>
  <c r="U126" i="12"/>
  <c r="X126" i="12"/>
  <c r="AA126" i="12"/>
  <c r="AB126" i="12"/>
  <c r="Y126" i="12"/>
  <c r="V126" i="12"/>
  <c r="N126" i="12"/>
  <c r="Q126" i="12"/>
  <c r="T126" i="12"/>
  <c r="L126" i="12"/>
  <c r="O126" i="12"/>
  <c r="R126" i="12"/>
  <c r="S126" i="12"/>
  <c r="P126" i="12"/>
  <c r="M126" i="12"/>
  <c r="E126" i="12"/>
  <c r="H126" i="12"/>
  <c r="K126" i="12"/>
  <c r="C126" i="12"/>
  <c r="F126" i="12"/>
  <c r="I126" i="12"/>
  <c r="J126" i="12"/>
  <c r="G126" i="12"/>
  <c r="D126" i="12"/>
  <c r="AI125" i="12"/>
  <c r="AF125" i="12"/>
  <c r="AL125" i="12"/>
  <c r="AG125" i="12"/>
  <c r="AD125" i="12"/>
  <c r="AJ125" i="12"/>
  <c r="AK125" i="12"/>
  <c r="AH125" i="12"/>
  <c r="AE125" i="12"/>
  <c r="Z125" i="12"/>
  <c r="W125" i="12"/>
  <c r="AC125" i="12"/>
  <c r="U125" i="12"/>
  <c r="X125" i="12"/>
  <c r="AA125" i="12"/>
  <c r="AB125" i="12"/>
  <c r="Y125" i="12"/>
  <c r="V125" i="12"/>
  <c r="N125" i="12"/>
  <c r="Q125" i="12"/>
  <c r="T125" i="12"/>
  <c r="L125" i="12"/>
  <c r="O125" i="12"/>
  <c r="R125" i="12"/>
  <c r="S125" i="12"/>
  <c r="P125" i="12"/>
  <c r="M125" i="12"/>
  <c r="E125" i="12"/>
  <c r="H125" i="12"/>
  <c r="K125" i="12"/>
  <c r="C125" i="12"/>
  <c r="F125" i="12"/>
  <c r="I125" i="12"/>
  <c r="J125" i="12"/>
  <c r="G125" i="12"/>
  <c r="D125" i="12"/>
  <c r="AI124" i="12"/>
  <c r="AF124" i="12"/>
  <c r="AL124" i="12"/>
  <c r="AG124" i="12"/>
  <c r="AD124" i="12"/>
  <c r="AJ124" i="12"/>
  <c r="AK124" i="12"/>
  <c r="AH124" i="12"/>
  <c r="AE124" i="12"/>
  <c r="Z124" i="12"/>
  <c r="W124" i="12"/>
  <c r="AC124" i="12"/>
  <c r="U124" i="12"/>
  <c r="X124" i="12"/>
  <c r="AA124" i="12"/>
  <c r="AB124" i="12"/>
  <c r="Y124" i="12"/>
  <c r="V124" i="12"/>
  <c r="N124" i="12"/>
  <c r="Q124" i="12"/>
  <c r="T124" i="12"/>
  <c r="L124" i="12"/>
  <c r="O124" i="12"/>
  <c r="R124" i="12"/>
  <c r="S124" i="12"/>
  <c r="P124" i="12"/>
  <c r="M124" i="12"/>
  <c r="E124" i="12"/>
  <c r="H124" i="12"/>
  <c r="K124" i="12"/>
  <c r="C124" i="12"/>
  <c r="F124" i="12"/>
  <c r="I124" i="12"/>
  <c r="J124" i="12"/>
  <c r="G124" i="12"/>
  <c r="D124" i="12"/>
  <c r="AI123" i="12"/>
  <c r="AF123" i="12"/>
  <c r="AL123" i="12"/>
  <c r="AG123" i="12"/>
  <c r="AD123" i="12"/>
  <c r="AJ123" i="12"/>
  <c r="AK123" i="12"/>
  <c r="AH123" i="12"/>
  <c r="AE123" i="12"/>
  <c r="Z123" i="12"/>
  <c r="W123" i="12"/>
  <c r="AC123" i="12"/>
  <c r="U123" i="12"/>
  <c r="X123" i="12"/>
  <c r="AA123" i="12"/>
  <c r="AB123" i="12"/>
  <c r="Y123" i="12"/>
  <c r="V123" i="12"/>
  <c r="N123" i="12"/>
  <c r="Q123" i="12"/>
  <c r="T123" i="12"/>
  <c r="L123" i="12"/>
  <c r="O123" i="12"/>
  <c r="R123" i="12"/>
  <c r="S123" i="12"/>
  <c r="P123" i="12"/>
  <c r="M123" i="12"/>
  <c r="E123" i="12"/>
  <c r="H123" i="12"/>
  <c r="K123" i="12"/>
  <c r="C123" i="12"/>
  <c r="F123" i="12"/>
  <c r="I123" i="12"/>
  <c r="J123" i="12"/>
  <c r="G123" i="12"/>
  <c r="D123" i="12"/>
  <c r="AI122" i="12"/>
  <c r="AF122" i="12"/>
  <c r="AL122" i="12"/>
  <c r="AG122" i="12"/>
  <c r="AD122" i="12"/>
  <c r="AJ122" i="12"/>
  <c r="AK122" i="12"/>
  <c r="AH122" i="12"/>
  <c r="AE122" i="12"/>
  <c r="Z122" i="12"/>
  <c r="W122" i="12"/>
  <c r="AC122" i="12"/>
  <c r="U122" i="12"/>
  <c r="X122" i="12"/>
  <c r="AA122" i="12"/>
  <c r="AB122" i="12"/>
  <c r="Y122" i="12"/>
  <c r="V122" i="12"/>
  <c r="N122" i="12"/>
  <c r="Q122" i="12"/>
  <c r="T122" i="12"/>
  <c r="L122" i="12"/>
  <c r="O122" i="12"/>
  <c r="R122" i="12"/>
  <c r="S122" i="12"/>
  <c r="P122" i="12"/>
  <c r="M122" i="12"/>
  <c r="E122" i="12"/>
  <c r="H122" i="12"/>
  <c r="K122" i="12"/>
  <c r="C122" i="12"/>
  <c r="F122" i="12"/>
  <c r="I122" i="12"/>
  <c r="J122" i="12"/>
  <c r="G122" i="12"/>
  <c r="D122" i="12"/>
  <c r="AI121" i="12"/>
  <c r="AF121" i="12"/>
  <c r="AL121" i="12"/>
  <c r="AG121" i="12"/>
  <c r="AD121" i="12"/>
  <c r="AJ121" i="12"/>
  <c r="AK121" i="12"/>
  <c r="AH121" i="12"/>
  <c r="AE121" i="12"/>
  <c r="Z121" i="12"/>
  <c r="W121" i="12"/>
  <c r="AC121" i="12"/>
  <c r="U121" i="12"/>
  <c r="X121" i="12"/>
  <c r="AA121" i="12"/>
  <c r="AB121" i="12"/>
  <c r="Y121" i="12"/>
  <c r="V121" i="12"/>
  <c r="N121" i="12"/>
  <c r="Q121" i="12"/>
  <c r="T121" i="12"/>
  <c r="L121" i="12"/>
  <c r="O121" i="12"/>
  <c r="R121" i="12"/>
  <c r="S121" i="12"/>
  <c r="P121" i="12"/>
  <c r="M121" i="12"/>
  <c r="E121" i="12"/>
  <c r="H121" i="12"/>
  <c r="K121" i="12"/>
  <c r="C121" i="12"/>
  <c r="F121" i="12"/>
  <c r="I121" i="12"/>
  <c r="J121" i="12"/>
  <c r="G121" i="12"/>
  <c r="D121" i="12"/>
  <c r="AI120" i="12"/>
  <c r="AF120" i="12"/>
  <c r="AL120" i="12"/>
  <c r="AG120" i="12"/>
  <c r="AD120" i="12"/>
  <c r="AJ120" i="12"/>
  <c r="AK120" i="12"/>
  <c r="AH120" i="12"/>
  <c r="AE120" i="12"/>
  <c r="Z120" i="12"/>
  <c r="W120" i="12"/>
  <c r="AC120" i="12"/>
  <c r="U120" i="12"/>
  <c r="X120" i="12"/>
  <c r="AA120" i="12"/>
  <c r="AB120" i="12"/>
  <c r="Y120" i="12"/>
  <c r="V120" i="12"/>
  <c r="N120" i="12"/>
  <c r="Q120" i="12"/>
  <c r="T120" i="12"/>
  <c r="L120" i="12"/>
  <c r="O120" i="12"/>
  <c r="R120" i="12"/>
  <c r="S120" i="12"/>
  <c r="P120" i="12"/>
  <c r="M120" i="12"/>
  <c r="E120" i="12"/>
  <c r="H120" i="12"/>
  <c r="K120" i="12"/>
  <c r="C120" i="12"/>
  <c r="F120" i="12"/>
  <c r="I120" i="12"/>
  <c r="J120" i="12"/>
  <c r="G120" i="12"/>
  <c r="D120" i="12"/>
  <c r="AI119" i="12"/>
  <c r="AF119" i="12"/>
  <c r="AL119" i="12"/>
  <c r="AG119" i="12"/>
  <c r="AD119" i="12"/>
  <c r="AJ119" i="12"/>
  <c r="AK119" i="12"/>
  <c r="AH119" i="12"/>
  <c r="AE119" i="12"/>
  <c r="Z119" i="12"/>
  <c r="W119" i="12"/>
  <c r="AC119" i="12"/>
  <c r="U119" i="12"/>
  <c r="X119" i="12"/>
  <c r="AA119" i="12"/>
  <c r="AB119" i="12"/>
  <c r="Y119" i="12"/>
  <c r="V119" i="12"/>
  <c r="N119" i="12"/>
  <c r="Q119" i="12"/>
  <c r="T119" i="12"/>
  <c r="L119" i="12"/>
  <c r="O119" i="12"/>
  <c r="R119" i="12"/>
  <c r="S119" i="12"/>
  <c r="P119" i="12"/>
  <c r="M119" i="12"/>
  <c r="E119" i="12"/>
  <c r="H119" i="12"/>
  <c r="K119" i="12"/>
  <c r="C119" i="12"/>
  <c r="F119" i="12"/>
  <c r="I119" i="12"/>
  <c r="J119" i="12"/>
  <c r="G119" i="12"/>
  <c r="D119" i="12"/>
  <c r="AI118" i="12"/>
  <c r="AF118" i="12"/>
  <c r="AL118" i="12"/>
  <c r="AG118" i="12"/>
  <c r="AD118" i="12"/>
  <c r="AJ118" i="12"/>
  <c r="AK118" i="12"/>
  <c r="AH118" i="12"/>
  <c r="AE118" i="12"/>
  <c r="Z118" i="12"/>
  <c r="W118" i="12"/>
  <c r="AC118" i="12"/>
  <c r="U118" i="12"/>
  <c r="X118" i="12"/>
  <c r="AA118" i="12"/>
  <c r="AB118" i="12"/>
  <c r="Y118" i="12"/>
  <c r="V118" i="12"/>
  <c r="N118" i="12"/>
  <c r="Q118" i="12"/>
  <c r="T118" i="12"/>
  <c r="L118" i="12"/>
  <c r="O118" i="12"/>
  <c r="R118" i="12"/>
  <c r="S118" i="12"/>
  <c r="P118" i="12"/>
  <c r="M118" i="12"/>
  <c r="E118" i="12"/>
  <c r="H118" i="12"/>
  <c r="K118" i="12"/>
  <c r="C118" i="12"/>
  <c r="F118" i="12"/>
  <c r="I118" i="12"/>
  <c r="J118" i="12"/>
  <c r="G118" i="12"/>
  <c r="D118" i="12"/>
  <c r="AI117" i="12"/>
  <c r="AF117" i="12"/>
  <c r="AL117" i="12"/>
  <c r="AG117" i="12"/>
  <c r="AD117" i="12"/>
  <c r="AJ117" i="12"/>
  <c r="AK117" i="12"/>
  <c r="AH117" i="12"/>
  <c r="AE117" i="12"/>
  <c r="Z117" i="12"/>
  <c r="W117" i="12"/>
  <c r="AC117" i="12"/>
  <c r="U117" i="12"/>
  <c r="X117" i="12"/>
  <c r="AA117" i="12"/>
  <c r="AB117" i="12"/>
  <c r="Y117" i="12"/>
  <c r="V117" i="12"/>
  <c r="N117" i="12"/>
  <c r="Q117" i="12"/>
  <c r="T117" i="12"/>
  <c r="L117" i="12"/>
  <c r="O117" i="12"/>
  <c r="R117" i="12"/>
  <c r="S117" i="12"/>
  <c r="P117" i="12"/>
  <c r="M117" i="12"/>
  <c r="E117" i="12"/>
  <c r="H117" i="12"/>
  <c r="K117" i="12"/>
  <c r="C117" i="12"/>
  <c r="F117" i="12"/>
  <c r="I117" i="12"/>
  <c r="J117" i="12"/>
  <c r="G117" i="12"/>
  <c r="D117" i="12"/>
  <c r="AI116" i="12"/>
  <c r="AF116" i="12"/>
  <c r="AL116" i="12"/>
  <c r="AG116" i="12"/>
  <c r="AD116" i="12"/>
  <c r="AJ116" i="12"/>
  <c r="AK116" i="12"/>
  <c r="AH116" i="12"/>
  <c r="AE116" i="12"/>
  <c r="Z116" i="12"/>
  <c r="W116" i="12"/>
  <c r="AC116" i="12"/>
  <c r="U116" i="12"/>
  <c r="X116" i="12"/>
  <c r="AA116" i="12"/>
  <c r="AB116" i="12"/>
  <c r="Y116" i="12"/>
  <c r="V116" i="12"/>
  <c r="N116" i="12"/>
  <c r="Q116" i="12"/>
  <c r="T116" i="12"/>
  <c r="L116" i="12"/>
  <c r="O116" i="12"/>
  <c r="R116" i="12"/>
  <c r="S116" i="12"/>
  <c r="P116" i="12"/>
  <c r="M116" i="12"/>
  <c r="E116" i="12"/>
  <c r="H116" i="12"/>
  <c r="K116" i="12"/>
  <c r="C116" i="12"/>
  <c r="F116" i="12"/>
  <c r="I116" i="12"/>
  <c r="J116" i="12"/>
  <c r="G116" i="12"/>
  <c r="D116" i="12"/>
  <c r="AI115" i="12"/>
  <c r="AF115" i="12"/>
  <c r="AL115" i="12"/>
  <c r="AG115" i="12"/>
  <c r="AD115" i="12"/>
  <c r="AJ115" i="12"/>
  <c r="AK115" i="12"/>
  <c r="AH115" i="12"/>
  <c r="AE115" i="12"/>
  <c r="Z115" i="12"/>
  <c r="W115" i="12"/>
  <c r="AC115" i="12"/>
  <c r="U115" i="12"/>
  <c r="X115" i="12"/>
  <c r="AA115" i="12"/>
  <c r="AB115" i="12"/>
  <c r="Y115" i="12"/>
  <c r="V115" i="12"/>
  <c r="N115" i="12"/>
  <c r="Q115" i="12"/>
  <c r="T115" i="12"/>
  <c r="L115" i="12"/>
  <c r="O115" i="12"/>
  <c r="R115" i="12"/>
  <c r="S115" i="12"/>
  <c r="P115" i="12"/>
  <c r="M115" i="12"/>
  <c r="E115" i="12"/>
  <c r="H115" i="12"/>
  <c r="K115" i="12"/>
  <c r="C115" i="12"/>
  <c r="F115" i="12"/>
  <c r="I115" i="12"/>
  <c r="J115" i="12"/>
  <c r="G115" i="12"/>
  <c r="D115" i="12"/>
  <c r="AI114" i="12"/>
  <c r="AF114" i="12"/>
  <c r="AL114" i="12"/>
  <c r="AG114" i="12"/>
  <c r="AD114" i="12"/>
  <c r="AJ114" i="12"/>
  <c r="AK114" i="12"/>
  <c r="AH114" i="12"/>
  <c r="AE114" i="12"/>
  <c r="Z114" i="12"/>
  <c r="W114" i="12"/>
  <c r="AC114" i="12"/>
  <c r="U114" i="12"/>
  <c r="X114" i="12"/>
  <c r="AA114" i="12"/>
  <c r="AB114" i="12"/>
  <c r="Y114" i="12"/>
  <c r="V114" i="12"/>
  <c r="N114" i="12"/>
  <c r="Q114" i="12"/>
  <c r="T114" i="12"/>
  <c r="L114" i="12"/>
  <c r="O114" i="12"/>
  <c r="R114" i="12"/>
  <c r="S114" i="12"/>
  <c r="P114" i="12"/>
  <c r="M114" i="12"/>
  <c r="E114" i="12"/>
  <c r="H114" i="12"/>
  <c r="K114" i="12"/>
  <c r="C114" i="12"/>
  <c r="F114" i="12"/>
  <c r="I114" i="12"/>
  <c r="J114" i="12"/>
  <c r="G114" i="12"/>
  <c r="D114" i="12"/>
  <c r="AI113" i="12"/>
  <c r="AF113" i="12"/>
  <c r="AL113" i="12"/>
  <c r="AG113" i="12"/>
  <c r="AD113" i="12"/>
  <c r="AJ113" i="12"/>
  <c r="AK113" i="12"/>
  <c r="AH113" i="12"/>
  <c r="AE113" i="12"/>
  <c r="Z113" i="12"/>
  <c r="W113" i="12"/>
  <c r="AC113" i="12"/>
  <c r="U113" i="12"/>
  <c r="X113" i="12"/>
  <c r="AA113" i="12"/>
  <c r="AB113" i="12"/>
  <c r="Y113" i="12"/>
  <c r="V113" i="12"/>
  <c r="N113" i="12"/>
  <c r="Q113" i="12"/>
  <c r="T113" i="12"/>
  <c r="L113" i="12"/>
  <c r="O113" i="12"/>
  <c r="R113" i="12"/>
  <c r="S113" i="12"/>
  <c r="P113" i="12"/>
  <c r="M113" i="12"/>
  <c r="E113" i="12"/>
  <c r="H113" i="12"/>
  <c r="K113" i="12"/>
  <c r="C113" i="12"/>
  <c r="F113" i="12"/>
  <c r="I113" i="12"/>
  <c r="J113" i="12"/>
  <c r="G113" i="12"/>
  <c r="D113" i="12"/>
  <c r="AI112" i="12"/>
  <c r="AF112" i="12"/>
  <c r="AL112" i="12"/>
  <c r="AG112" i="12"/>
  <c r="AD112" i="12"/>
  <c r="AJ112" i="12"/>
  <c r="AK112" i="12"/>
  <c r="AH112" i="12"/>
  <c r="AE112" i="12"/>
  <c r="Z112" i="12"/>
  <c r="W112" i="12"/>
  <c r="AC112" i="12"/>
  <c r="U112" i="12"/>
  <c r="X112" i="12"/>
  <c r="AA112" i="12"/>
  <c r="AB112" i="12"/>
  <c r="Y112" i="12"/>
  <c r="V112" i="12"/>
  <c r="N112" i="12"/>
  <c r="Q112" i="12"/>
  <c r="T112" i="12"/>
  <c r="L112" i="12"/>
  <c r="O112" i="12"/>
  <c r="R112" i="12"/>
  <c r="S112" i="12"/>
  <c r="P112" i="12"/>
  <c r="M112" i="12"/>
  <c r="E112" i="12"/>
  <c r="H112" i="12"/>
  <c r="K112" i="12"/>
  <c r="C112" i="12"/>
  <c r="F112" i="12"/>
  <c r="I112" i="12"/>
  <c r="J112" i="12"/>
  <c r="G112" i="12"/>
  <c r="D112" i="12"/>
  <c r="AI111" i="12"/>
  <c r="AF111" i="12"/>
  <c r="AL111" i="12"/>
  <c r="AG111" i="12"/>
  <c r="AD111" i="12"/>
  <c r="AJ111" i="12"/>
  <c r="AK111" i="12"/>
  <c r="AH111" i="12"/>
  <c r="AE111" i="12"/>
  <c r="Z111" i="12"/>
  <c r="W111" i="12"/>
  <c r="AC111" i="12"/>
  <c r="U111" i="12"/>
  <c r="X111" i="12"/>
  <c r="AA111" i="12"/>
  <c r="AB111" i="12"/>
  <c r="Y111" i="12"/>
  <c r="V111" i="12"/>
  <c r="N111" i="12"/>
  <c r="Q111" i="12"/>
  <c r="T111" i="12"/>
  <c r="L111" i="12"/>
  <c r="O111" i="12"/>
  <c r="R111" i="12"/>
  <c r="S111" i="12"/>
  <c r="P111" i="12"/>
  <c r="M111" i="12"/>
  <c r="E111" i="12"/>
  <c r="H111" i="12"/>
  <c r="K111" i="12"/>
  <c r="C111" i="12"/>
  <c r="F111" i="12"/>
  <c r="I111" i="12"/>
  <c r="J111" i="12"/>
  <c r="G111" i="12"/>
  <c r="D111" i="12"/>
  <c r="AI110" i="12"/>
  <c r="AF110" i="12"/>
  <c r="AL110" i="12"/>
  <c r="AG110" i="12"/>
  <c r="AD110" i="12"/>
  <c r="AJ110" i="12"/>
  <c r="AK110" i="12"/>
  <c r="AH110" i="12"/>
  <c r="AE110" i="12"/>
  <c r="Z110" i="12"/>
  <c r="W110" i="12"/>
  <c r="AC110" i="12"/>
  <c r="U110" i="12"/>
  <c r="X110" i="12"/>
  <c r="AA110" i="12"/>
  <c r="AB110" i="12"/>
  <c r="Y110" i="12"/>
  <c r="V110" i="12"/>
  <c r="N110" i="12"/>
  <c r="Q110" i="12"/>
  <c r="T110" i="12"/>
  <c r="L110" i="12"/>
  <c r="O110" i="12"/>
  <c r="R110" i="12"/>
  <c r="S110" i="12"/>
  <c r="P110" i="12"/>
  <c r="M110" i="12"/>
  <c r="E110" i="12"/>
  <c r="H110" i="12"/>
  <c r="K110" i="12"/>
  <c r="C110" i="12"/>
  <c r="F110" i="12"/>
  <c r="I110" i="12"/>
  <c r="J110" i="12"/>
  <c r="G110" i="12"/>
  <c r="D110" i="12"/>
  <c r="AI109" i="12"/>
  <c r="AF109" i="12"/>
  <c r="AL109" i="12"/>
  <c r="AG109" i="12"/>
  <c r="AD109" i="12"/>
  <c r="AJ109" i="12"/>
  <c r="AK109" i="12"/>
  <c r="AH109" i="12"/>
  <c r="AE109" i="12"/>
  <c r="Z109" i="12"/>
  <c r="W109" i="12"/>
  <c r="AC109" i="12"/>
  <c r="U109" i="12"/>
  <c r="X109" i="12"/>
  <c r="AA109" i="12"/>
  <c r="AB109" i="12"/>
  <c r="Y109" i="12"/>
  <c r="V109" i="12"/>
  <c r="N109" i="12"/>
  <c r="Q109" i="12"/>
  <c r="T109" i="12"/>
  <c r="L109" i="12"/>
  <c r="O109" i="12"/>
  <c r="R109" i="12"/>
  <c r="S109" i="12"/>
  <c r="P109" i="12"/>
  <c r="M109" i="12"/>
  <c r="E109" i="12"/>
  <c r="H109" i="12"/>
  <c r="K109" i="12"/>
  <c r="C109" i="12"/>
  <c r="F109" i="12"/>
  <c r="I109" i="12"/>
  <c r="J109" i="12"/>
  <c r="G109" i="12"/>
  <c r="D109" i="12"/>
  <c r="AI108" i="12"/>
  <c r="AF108" i="12"/>
  <c r="AL108" i="12"/>
  <c r="AG108" i="12"/>
  <c r="AD108" i="12"/>
  <c r="AJ108" i="12"/>
  <c r="AK108" i="12"/>
  <c r="AH108" i="12"/>
  <c r="AE108" i="12"/>
  <c r="Z108" i="12"/>
  <c r="W108" i="12"/>
  <c r="AC108" i="12"/>
  <c r="U108" i="12"/>
  <c r="X108" i="12"/>
  <c r="AA108" i="12"/>
  <c r="AB108" i="12"/>
  <c r="Y108" i="12"/>
  <c r="V108" i="12"/>
  <c r="N108" i="12"/>
  <c r="Q108" i="12"/>
  <c r="T108" i="12"/>
  <c r="L108" i="12"/>
  <c r="O108" i="12"/>
  <c r="R108" i="12"/>
  <c r="S108" i="12"/>
  <c r="P108" i="12"/>
  <c r="M108" i="12"/>
  <c r="E108" i="12"/>
  <c r="H108" i="12"/>
  <c r="K108" i="12"/>
  <c r="C108" i="12"/>
  <c r="F108" i="12"/>
  <c r="I108" i="12"/>
  <c r="J108" i="12"/>
  <c r="G108" i="12"/>
  <c r="D108" i="12"/>
  <c r="AI107" i="12"/>
  <c r="AF107" i="12"/>
  <c r="AL107" i="12"/>
  <c r="AG107" i="12"/>
  <c r="AD107" i="12"/>
  <c r="AJ107" i="12"/>
  <c r="AK107" i="12"/>
  <c r="AH107" i="12"/>
  <c r="AE107" i="12"/>
  <c r="Z107" i="12"/>
  <c r="W107" i="12"/>
  <c r="AC107" i="12"/>
  <c r="U107" i="12"/>
  <c r="X107" i="12"/>
  <c r="AA107" i="12"/>
  <c r="AB107" i="12"/>
  <c r="Y107" i="12"/>
  <c r="V107" i="12"/>
  <c r="N107" i="12"/>
  <c r="Q107" i="12"/>
  <c r="T107" i="12"/>
  <c r="L107" i="12"/>
  <c r="O107" i="12"/>
  <c r="R107" i="12"/>
  <c r="S107" i="12"/>
  <c r="P107" i="12"/>
  <c r="M107" i="12"/>
  <c r="E107" i="12"/>
  <c r="H107" i="12"/>
  <c r="K107" i="12"/>
  <c r="C107" i="12"/>
  <c r="F107" i="12"/>
  <c r="I107" i="12"/>
  <c r="J107" i="12"/>
  <c r="G107" i="12"/>
  <c r="D107" i="12"/>
  <c r="AI106" i="12"/>
  <c r="AF106" i="12"/>
  <c r="AL106" i="12"/>
  <c r="AG106" i="12"/>
  <c r="AD106" i="12"/>
  <c r="AJ106" i="12"/>
  <c r="AK106" i="12"/>
  <c r="AH106" i="12"/>
  <c r="AE106" i="12"/>
  <c r="Z106" i="12"/>
  <c r="W106" i="12"/>
  <c r="AC106" i="12"/>
  <c r="U106" i="12"/>
  <c r="X106" i="12"/>
  <c r="AA106" i="12"/>
  <c r="AB106" i="12"/>
  <c r="Y106" i="12"/>
  <c r="V106" i="12"/>
  <c r="N106" i="12"/>
  <c r="Q106" i="12"/>
  <c r="T106" i="12"/>
  <c r="L106" i="12"/>
  <c r="O106" i="12"/>
  <c r="R106" i="12"/>
  <c r="S106" i="12"/>
  <c r="P106" i="12"/>
  <c r="M106" i="12"/>
  <c r="E106" i="12"/>
  <c r="H106" i="12"/>
  <c r="K106" i="12"/>
  <c r="C106" i="12"/>
  <c r="F106" i="12"/>
  <c r="I106" i="12"/>
  <c r="J106" i="12"/>
  <c r="G106" i="12"/>
  <c r="D106" i="12"/>
  <c r="AI105" i="12"/>
  <c r="AF105" i="12"/>
  <c r="AL105" i="12"/>
  <c r="AG105" i="12"/>
  <c r="AD105" i="12"/>
  <c r="AJ105" i="12"/>
  <c r="AK105" i="12"/>
  <c r="AH105" i="12"/>
  <c r="AE105" i="12"/>
  <c r="Z105" i="12"/>
  <c r="W105" i="12"/>
  <c r="AC105" i="12"/>
  <c r="U105" i="12"/>
  <c r="X105" i="12"/>
  <c r="AA105" i="12"/>
  <c r="AB105" i="12"/>
  <c r="Y105" i="12"/>
  <c r="V105" i="12"/>
  <c r="N105" i="12"/>
  <c r="Q105" i="12"/>
  <c r="T105" i="12"/>
  <c r="L105" i="12"/>
  <c r="O105" i="12"/>
  <c r="R105" i="12"/>
  <c r="S105" i="12"/>
  <c r="P105" i="12"/>
  <c r="M105" i="12"/>
  <c r="E105" i="12"/>
  <c r="H105" i="12"/>
  <c r="K105" i="12"/>
  <c r="C105" i="12"/>
  <c r="F105" i="12"/>
  <c r="I105" i="12"/>
  <c r="J105" i="12"/>
  <c r="G105" i="12"/>
  <c r="D105" i="12"/>
  <c r="AI104" i="12"/>
  <c r="AF104" i="12"/>
  <c r="AL104" i="12"/>
  <c r="AG104" i="12"/>
  <c r="AD104" i="12"/>
  <c r="AJ104" i="12"/>
  <c r="AK104" i="12"/>
  <c r="AH104" i="12"/>
  <c r="AE104" i="12"/>
  <c r="Z104" i="12"/>
  <c r="W104" i="12"/>
  <c r="AC104" i="12"/>
  <c r="U104" i="12"/>
  <c r="X104" i="12"/>
  <c r="AA104" i="12"/>
  <c r="AB104" i="12"/>
  <c r="Y104" i="12"/>
  <c r="V104" i="12"/>
  <c r="N104" i="12"/>
  <c r="Q104" i="12"/>
  <c r="T104" i="12"/>
  <c r="L104" i="12"/>
  <c r="O104" i="12"/>
  <c r="R104" i="12"/>
  <c r="S104" i="12"/>
  <c r="P104" i="12"/>
  <c r="M104" i="12"/>
  <c r="E104" i="12"/>
  <c r="H104" i="12"/>
  <c r="K104" i="12"/>
  <c r="C104" i="12"/>
  <c r="F104" i="12"/>
  <c r="I104" i="12"/>
  <c r="J104" i="12"/>
  <c r="G104" i="12"/>
  <c r="D104" i="12"/>
  <c r="AI103" i="12"/>
  <c r="AF103" i="12"/>
  <c r="AL103" i="12"/>
  <c r="AG103" i="12"/>
  <c r="AD103" i="12"/>
  <c r="AJ103" i="12"/>
  <c r="AK103" i="12"/>
  <c r="AH103" i="12"/>
  <c r="AE103" i="12"/>
  <c r="Z103" i="12"/>
  <c r="W103" i="12"/>
  <c r="AC103" i="12"/>
  <c r="U103" i="12"/>
  <c r="X103" i="12"/>
  <c r="AA103" i="12"/>
  <c r="AB103" i="12"/>
  <c r="Y103" i="12"/>
  <c r="V103" i="12"/>
  <c r="N103" i="12"/>
  <c r="Q103" i="12"/>
  <c r="T103" i="12"/>
  <c r="L103" i="12"/>
  <c r="O103" i="12"/>
  <c r="R103" i="12"/>
  <c r="S103" i="12"/>
  <c r="P103" i="12"/>
  <c r="M103" i="12"/>
  <c r="E103" i="12"/>
  <c r="H103" i="12"/>
  <c r="K103" i="12"/>
  <c r="C103" i="12"/>
  <c r="F103" i="12"/>
  <c r="I103" i="12"/>
  <c r="J103" i="12"/>
  <c r="G103" i="12"/>
  <c r="D103" i="12"/>
  <c r="AI102" i="12"/>
  <c r="AF102" i="12"/>
  <c r="AL102" i="12"/>
  <c r="AG102" i="12"/>
  <c r="AD102" i="12"/>
  <c r="AJ102" i="12"/>
  <c r="AK102" i="12"/>
  <c r="AH102" i="12"/>
  <c r="AE102" i="12"/>
  <c r="Z102" i="12"/>
  <c r="W102" i="12"/>
  <c r="AC102" i="12"/>
  <c r="U102" i="12"/>
  <c r="X102" i="12"/>
  <c r="AA102" i="12"/>
  <c r="AB102" i="12"/>
  <c r="Y102" i="12"/>
  <c r="V102" i="12"/>
  <c r="N102" i="12"/>
  <c r="Q102" i="12"/>
  <c r="T102" i="12"/>
  <c r="L102" i="12"/>
  <c r="O102" i="12"/>
  <c r="R102" i="12"/>
  <c r="S102" i="12"/>
  <c r="P102" i="12"/>
  <c r="M102" i="12"/>
  <c r="E102" i="12"/>
  <c r="H102" i="12"/>
  <c r="K102" i="12"/>
  <c r="C102" i="12"/>
  <c r="F102" i="12"/>
  <c r="I102" i="12"/>
  <c r="J102" i="12"/>
  <c r="G102" i="12"/>
  <c r="D102" i="12"/>
  <c r="AI101" i="12"/>
  <c r="AF101" i="12"/>
  <c r="AL101" i="12"/>
  <c r="AG101" i="12"/>
  <c r="AD101" i="12"/>
  <c r="AJ101" i="12"/>
  <c r="AK101" i="12"/>
  <c r="AH101" i="12"/>
  <c r="AE101" i="12"/>
  <c r="Z101" i="12"/>
  <c r="W101" i="12"/>
  <c r="AC101" i="12"/>
  <c r="U101" i="12"/>
  <c r="X101" i="12"/>
  <c r="AA101" i="12"/>
  <c r="AB101" i="12"/>
  <c r="Y101" i="12"/>
  <c r="V101" i="12"/>
  <c r="N101" i="12"/>
  <c r="Q101" i="12"/>
  <c r="T101" i="12"/>
  <c r="L101" i="12"/>
  <c r="O101" i="12"/>
  <c r="R101" i="12"/>
  <c r="S101" i="12"/>
  <c r="P101" i="12"/>
  <c r="M101" i="12"/>
  <c r="E101" i="12"/>
  <c r="H101" i="12"/>
  <c r="K101" i="12"/>
  <c r="C101" i="12"/>
  <c r="F101" i="12"/>
  <c r="I101" i="12"/>
  <c r="J101" i="12"/>
  <c r="G101" i="12"/>
  <c r="D101" i="12"/>
  <c r="AI100" i="12"/>
  <c r="AF100" i="12"/>
  <c r="AL100" i="12"/>
  <c r="AG100" i="12"/>
  <c r="AD100" i="12"/>
  <c r="AJ100" i="12"/>
  <c r="AK100" i="12"/>
  <c r="AH100" i="12"/>
  <c r="AE100" i="12"/>
  <c r="Z100" i="12"/>
  <c r="W100" i="12"/>
  <c r="AC100" i="12"/>
  <c r="U100" i="12"/>
  <c r="X100" i="12"/>
  <c r="AA100" i="12"/>
  <c r="AB100" i="12"/>
  <c r="Y100" i="12"/>
  <c r="V100" i="12"/>
  <c r="N100" i="12"/>
  <c r="Q100" i="12"/>
  <c r="T100" i="12"/>
  <c r="L100" i="12"/>
  <c r="O100" i="12"/>
  <c r="R100" i="12"/>
  <c r="S100" i="12"/>
  <c r="P100" i="12"/>
  <c r="M100" i="12"/>
  <c r="E100" i="12"/>
  <c r="H100" i="12"/>
  <c r="K100" i="12"/>
  <c r="C100" i="12"/>
  <c r="F100" i="12"/>
  <c r="I100" i="12"/>
  <c r="J100" i="12"/>
  <c r="G100" i="12"/>
  <c r="D100" i="12"/>
  <c r="AI99" i="12"/>
  <c r="AF99" i="12"/>
  <c r="AL99" i="12"/>
  <c r="AG99" i="12"/>
  <c r="AD99" i="12"/>
  <c r="AJ99" i="12"/>
  <c r="AK99" i="12"/>
  <c r="AH99" i="12"/>
  <c r="AE99" i="12"/>
  <c r="Z99" i="12"/>
  <c r="W99" i="12"/>
  <c r="AC99" i="12"/>
  <c r="U99" i="12"/>
  <c r="X99" i="12"/>
  <c r="AA99" i="12"/>
  <c r="AB99" i="12"/>
  <c r="Y99" i="12"/>
  <c r="V99" i="12"/>
  <c r="N99" i="12"/>
  <c r="Q99" i="12"/>
  <c r="T99" i="12"/>
  <c r="L99" i="12"/>
  <c r="O99" i="12"/>
  <c r="R99" i="12"/>
  <c r="S99" i="12"/>
  <c r="P99" i="12"/>
  <c r="M99" i="12"/>
  <c r="E99" i="12"/>
  <c r="H99" i="12"/>
  <c r="K99" i="12"/>
  <c r="C99" i="12"/>
  <c r="F99" i="12"/>
  <c r="I99" i="12"/>
  <c r="J99" i="12"/>
  <c r="G99" i="12"/>
  <c r="D99" i="12"/>
  <c r="AI98" i="12"/>
  <c r="AF98" i="12"/>
  <c r="AL98" i="12"/>
  <c r="AG98" i="12"/>
  <c r="AD98" i="12"/>
  <c r="AJ98" i="12"/>
  <c r="AK98" i="12"/>
  <c r="AH98" i="12"/>
  <c r="AE98" i="12"/>
  <c r="Z98" i="12"/>
  <c r="W98" i="12"/>
  <c r="AC98" i="12"/>
  <c r="U98" i="12"/>
  <c r="X98" i="12"/>
  <c r="AA98" i="12"/>
  <c r="AB98" i="12"/>
  <c r="Y98" i="12"/>
  <c r="V98" i="12"/>
  <c r="N98" i="12"/>
  <c r="Q98" i="12"/>
  <c r="T98" i="12"/>
  <c r="L98" i="12"/>
  <c r="O98" i="12"/>
  <c r="R98" i="12"/>
  <c r="S98" i="12"/>
  <c r="P98" i="12"/>
  <c r="M98" i="12"/>
  <c r="E98" i="12"/>
  <c r="H98" i="12"/>
  <c r="K98" i="12"/>
  <c r="C98" i="12"/>
  <c r="F98" i="12"/>
  <c r="I98" i="12"/>
  <c r="J98" i="12"/>
  <c r="G98" i="12"/>
  <c r="D98" i="12"/>
  <c r="AI97" i="12"/>
  <c r="AF97" i="12"/>
  <c r="AL97" i="12"/>
  <c r="AG97" i="12"/>
  <c r="AD97" i="12"/>
  <c r="AJ97" i="12"/>
  <c r="AK97" i="12"/>
  <c r="AH97" i="12"/>
  <c r="AE97" i="12"/>
  <c r="Z97" i="12"/>
  <c r="W97" i="12"/>
  <c r="AC97" i="12"/>
  <c r="U97" i="12"/>
  <c r="X97" i="12"/>
  <c r="AA97" i="12"/>
  <c r="AB97" i="12"/>
  <c r="Y97" i="12"/>
  <c r="V97" i="12"/>
  <c r="N97" i="12"/>
  <c r="Q97" i="12"/>
  <c r="T97" i="12"/>
  <c r="L97" i="12"/>
  <c r="O97" i="12"/>
  <c r="R97" i="12"/>
  <c r="S97" i="12"/>
  <c r="P97" i="12"/>
  <c r="M97" i="12"/>
  <c r="E97" i="12"/>
  <c r="H97" i="12"/>
  <c r="K97" i="12"/>
  <c r="C97" i="12"/>
  <c r="F97" i="12"/>
  <c r="I97" i="12"/>
  <c r="J97" i="12"/>
  <c r="G97" i="12"/>
  <c r="D97" i="12"/>
  <c r="AI96" i="12"/>
  <c r="AF96" i="12"/>
  <c r="AL96" i="12"/>
  <c r="AG96" i="12"/>
  <c r="AD96" i="12"/>
  <c r="AJ96" i="12"/>
  <c r="AK96" i="12"/>
  <c r="AH96" i="12"/>
  <c r="AE96" i="12"/>
  <c r="Z96" i="12"/>
  <c r="W96" i="12"/>
  <c r="AC96" i="12"/>
  <c r="U96" i="12"/>
  <c r="X96" i="12"/>
  <c r="AA96" i="12"/>
  <c r="AB96" i="12"/>
  <c r="Y96" i="12"/>
  <c r="V96" i="12"/>
  <c r="N96" i="12"/>
  <c r="Q96" i="12"/>
  <c r="T96" i="12"/>
  <c r="L96" i="12"/>
  <c r="O96" i="12"/>
  <c r="R96" i="12"/>
  <c r="S96" i="12"/>
  <c r="P96" i="12"/>
  <c r="M96" i="12"/>
  <c r="E96" i="12"/>
  <c r="H96" i="12"/>
  <c r="K96" i="12"/>
  <c r="C96" i="12"/>
  <c r="F96" i="12"/>
  <c r="I96" i="12"/>
  <c r="J96" i="12"/>
  <c r="G96" i="12"/>
  <c r="D96" i="12"/>
  <c r="AI95" i="12"/>
  <c r="AF95" i="12"/>
  <c r="AL95" i="12"/>
  <c r="AG95" i="12"/>
  <c r="AD95" i="12"/>
  <c r="AJ95" i="12"/>
  <c r="AK95" i="12"/>
  <c r="AH95" i="12"/>
  <c r="AE95" i="12"/>
  <c r="Z95" i="12"/>
  <c r="W95" i="12"/>
  <c r="AC95" i="12"/>
  <c r="U95" i="12"/>
  <c r="X95" i="12"/>
  <c r="AA95" i="12"/>
  <c r="AB95" i="12"/>
  <c r="Y95" i="12"/>
  <c r="V95" i="12"/>
  <c r="N95" i="12"/>
  <c r="Q95" i="12"/>
  <c r="T95" i="12"/>
  <c r="L95" i="12"/>
  <c r="O95" i="12"/>
  <c r="R95" i="12"/>
  <c r="S95" i="12"/>
  <c r="P95" i="12"/>
  <c r="M95" i="12"/>
  <c r="E95" i="12"/>
  <c r="H95" i="12"/>
  <c r="K95" i="12"/>
  <c r="C95" i="12"/>
  <c r="F95" i="12"/>
  <c r="I95" i="12"/>
  <c r="J95" i="12"/>
  <c r="G95" i="12"/>
  <c r="D95" i="12"/>
  <c r="AI94" i="12"/>
  <c r="AF94" i="12"/>
  <c r="AL94" i="12"/>
  <c r="AG94" i="12"/>
  <c r="AD94" i="12"/>
  <c r="AJ94" i="12"/>
  <c r="AK94" i="12"/>
  <c r="AH94" i="12"/>
  <c r="AE94" i="12"/>
  <c r="Z94" i="12"/>
  <c r="W94" i="12"/>
  <c r="AC94" i="12"/>
  <c r="U94" i="12"/>
  <c r="X94" i="12"/>
  <c r="AA94" i="12"/>
  <c r="AB94" i="12"/>
  <c r="Y94" i="12"/>
  <c r="V94" i="12"/>
  <c r="N94" i="12"/>
  <c r="Q94" i="12"/>
  <c r="T94" i="12"/>
  <c r="L94" i="12"/>
  <c r="O94" i="12"/>
  <c r="R94" i="12"/>
  <c r="S94" i="12"/>
  <c r="P94" i="12"/>
  <c r="M94" i="12"/>
  <c r="E94" i="12"/>
  <c r="H94" i="12"/>
  <c r="K94" i="12"/>
  <c r="C94" i="12"/>
  <c r="F94" i="12"/>
  <c r="I94" i="12"/>
  <c r="J94" i="12"/>
  <c r="G94" i="12"/>
  <c r="D94" i="12"/>
  <c r="AI93" i="12"/>
  <c r="AF93" i="12"/>
  <c r="AL93" i="12"/>
  <c r="AG93" i="12"/>
  <c r="AD93" i="12"/>
  <c r="AJ93" i="12"/>
  <c r="AK93" i="12"/>
  <c r="AH93" i="12"/>
  <c r="AE93" i="12"/>
  <c r="Z93" i="12"/>
  <c r="W93" i="12"/>
  <c r="AC93" i="12"/>
  <c r="U93" i="12"/>
  <c r="X93" i="12"/>
  <c r="AA93" i="12"/>
  <c r="AB93" i="12"/>
  <c r="Y93" i="12"/>
  <c r="V93" i="12"/>
  <c r="N93" i="12"/>
  <c r="Q93" i="12"/>
  <c r="T93" i="12"/>
  <c r="L93" i="12"/>
  <c r="O93" i="12"/>
  <c r="R93" i="12"/>
  <c r="S93" i="12"/>
  <c r="P93" i="12"/>
  <c r="M93" i="12"/>
  <c r="E93" i="12"/>
  <c r="H93" i="12"/>
  <c r="K93" i="12"/>
  <c r="C93" i="12"/>
  <c r="F93" i="12"/>
  <c r="I93" i="12"/>
  <c r="J93" i="12"/>
  <c r="G93" i="12"/>
  <c r="D93" i="12"/>
  <c r="AI92" i="12"/>
  <c r="AF92" i="12"/>
  <c r="AL92" i="12"/>
  <c r="AG92" i="12"/>
  <c r="AD92" i="12"/>
  <c r="AJ92" i="12"/>
  <c r="AK92" i="12"/>
  <c r="AH92" i="12"/>
  <c r="AE92" i="12"/>
  <c r="Z92" i="12"/>
  <c r="W92" i="12"/>
  <c r="AC92" i="12"/>
  <c r="U92" i="12"/>
  <c r="X92" i="12"/>
  <c r="AA92" i="12"/>
  <c r="AB92" i="12"/>
  <c r="Y92" i="12"/>
  <c r="V92" i="12"/>
  <c r="N92" i="12"/>
  <c r="Q92" i="12"/>
  <c r="T92" i="12"/>
  <c r="L92" i="12"/>
  <c r="O92" i="12"/>
  <c r="R92" i="12"/>
  <c r="S92" i="12"/>
  <c r="P92" i="12"/>
  <c r="M92" i="12"/>
  <c r="E92" i="12"/>
  <c r="H92" i="12"/>
  <c r="K92" i="12"/>
  <c r="C92" i="12"/>
  <c r="F92" i="12"/>
  <c r="I92" i="12"/>
  <c r="J92" i="12"/>
  <c r="G92" i="12"/>
  <c r="D92" i="12"/>
  <c r="AI91" i="12"/>
  <c r="AF91" i="12"/>
  <c r="AL91" i="12"/>
  <c r="AG91" i="12"/>
  <c r="AD91" i="12"/>
  <c r="AJ91" i="12"/>
  <c r="AK91" i="12"/>
  <c r="AH91" i="12"/>
  <c r="AE91" i="12"/>
  <c r="Z91" i="12"/>
  <c r="W91" i="12"/>
  <c r="AC91" i="12"/>
  <c r="U91" i="12"/>
  <c r="X91" i="12"/>
  <c r="AA91" i="12"/>
  <c r="AB91" i="12"/>
  <c r="Y91" i="12"/>
  <c r="V91" i="12"/>
  <c r="N91" i="12"/>
  <c r="Q91" i="12"/>
  <c r="T91" i="12"/>
  <c r="L91" i="12"/>
  <c r="O91" i="12"/>
  <c r="R91" i="12"/>
  <c r="S91" i="12"/>
  <c r="P91" i="12"/>
  <c r="M91" i="12"/>
  <c r="E91" i="12"/>
  <c r="H91" i="12"/>
  <c r="K91" i="12"/>
  <c r="C91" i="12"/>
  <c r="F91" i="12"/>
  <c r="I91" i="12"/>
  <c r="J91" i="12"/>
  <c r="G91" i="12"/>
  <c r="D91" i="12"/>
  <c r="AI90" i="12"/>
  <c r="AF90" i="12"/>
  <c r="AL90" i="12"/>
  <c r="AG90" i="12"/>
  <c r="AD90" i="12"/>
  <c r="AJ90" i="12"/>
  <c r="AK90" i="12"/>
  <c r="AH90" i="12"/>
  <c r="AE90" i="12"/>
  <c r="Z90" i="12"/>
  <c r="W90" i="12"/>
  <c r="AC90" i="12"/>
  <c r="U90" i="12"/>
  <c r="X90" i="12"/>
  <c r="AA90" i="12"/>
  <c r="AB90" i="12"/>
  <c r="Y90" i="12"/>
  <c r="V90" i="12"/>
  <c r="N90" i="12"/>
  <c r="Q90" i="12"/>
  <c r="T90" i="12"/>
  <c r="L90" i="12"/>
  <c r="O90" i="12"/>
  <c r="R90" i="12"/>
  <c r="S90" i="12"/>
  <c r="P90" i="12"/>
  <c r="M90" i="12"/>
  <c r="E90" i="12"/>
  <c r="H90" i="12"/>
  <c r="K90" i="12"/>
  <c r="C90" i="12"/>
  <c r="F90" i="12"/>
  <c r="I90" i="12"/>
  <c r="J90" i="12"/>
  <c r="G90" i="12"/>
  <c r="D90" i="12"/>
  <c r="AI89" i="12"/>
  <c r="AF89" i="12"/>
  <c r="AL89" i="12"/>
  <c r="AG89" i="12"/>
  <c r="AD89" i="12"/>
  <c r="AJ89" i="12"/>
  <c r="AK89" i="12"/>
  <c r="AH89" i="12"/>
  <c r="AE89" i="12"/>
  <c r="Z89" i="12"/>
  <c r="W89" i="12"/>
  <c r="AC89" i="12"/>
  <c r="U89" i="12"/>
  <c r="X89" i="12"/>
  <c r="AA89" i="12"/>
  <c r="AB89" i="12"/>
  <c r="Y89" i="12"/>
  <c r="V89" i="12"/>
  <c r="N89" i="12"/>
  <c r="Q89" i="12"/>
  <c r="T89" i="12"/>
  <c r="L89" i="12"/>
  <c r="O89" i="12"/>
  <c r="R89" i="12"/>
  <c r="S89" i="12"/>
  <c r="P89" i="12"/>
  <c r="M89" i="12"/>
  <c r="E89" i="12"/>
  <c r="H89" i="12"/>
  <c r="K89" i="12"/>
  <c r="C89" i="12"/>
  <c r="F89" i="12"/>
  <c r="I89" i="12"/>
  <c r="J89" i="12"/>
  <c r="G89" i="12"/>
  <c r="D89" i="12"/>
  <c r="AI88" i="12"/>
  <c r="AF88" i="12"/>
  <c r="AL88" i="12"/>
  <c r="AG88" i="12"/>
  <c r="AD88" i="12"/>
  <c r="AJ88" i="12"/>
  <c r="AK88" i="12"/>
  <c r="AH88" i="12"/>
  <c r="AE88" i="12"/>
  <c r="Z88" i="12"/>
  <c r="W88" i="12"/>
  <c r="AC88" i="12"/>
  <c r="U88" i="12"/>
  <c r="X88" i="12"/>
  <c r="AA88" i="12"/>
  <c r="AB88" i="12"/>
  <c r="Y88" i="12"/>
  <c r="V88" i="12"/>
  <c r="N88" i="12"/>
  <c r="Q88" i="12"/>
  <c r="T88" i="12"/>
  <c r="L88" i="12"/>
  <c r="O88" i="12"/>
  <c r="R88" i="12"/>
  <c r="S88" i="12"/>
  <c r="P88" i="12"/>
  <c r="M88" i="12"/>
  <c r="E88" i="12"/>
  <c r="H88" i="12"/>
  <c r="K88" i="12"/>
  <c r="C88" i="12"/>
  <c r="F88" i="12"/>
  <c r="I88" i="12"/>
  <c r="J88" i="12"/>
  <c r="G88" i="12"/>
  <c r="D88" i="12"/>
  <c r="AI87" i="12"/>
  <c r="AF87" i="12"/>
  <c r="AL87" i="12"/>
  <c r="AG87" i="12"/>
  <c r="AD87" i="12"/>
  <c r="AJ87" i="12"/>
  <c r="AK87" i="12"/>
  <c r="AH87" i="12"/>
  <c r="AE87" i="12"/>
  <c r="Z87" i="12"/>
  <c r="W87" i="12"/>
  <c r="AC87" i="12"/>
  <c r="U87" i="12"/>
  <c r="X87" i="12"/>
  <c r="AA87" i="12"/>
  <c r="AB87" i="12"/>
  <c r="Y87" i="12"/>
  <c r="V87" i="12"/>
  <c r="N87" i="12"/>
  <c r="Q87" i="12"/>
  <c r="T87" i="12"/>
  <c r="L87" i="12"/>
  <c r="O87" i="12"/>
  <c r="R87" i="12"/>
  <c r="S87" i="12"/>
  <c r="P87" i="12"/>
  <c r="M87" i="12"/>
  <c r="E87" i="12"/>
  <c r="H87" i="12"/>
  <c r="K87" i="12"/>
  <c r="C87" i="12"/>
  <c r="F87" i="12"/>
  <c r="I87" i="12"/>
  <c r="J87" i="12"/>
  <c r="G87" i="12"/>
  <c r="D87" i="12"/>
  <c r="AI86" i="12"/>
  <c r="AF86" i="12"/>
  <c r="AL86" i="12"/>
  <c r="AG86" i="12"/>
  <c r="AD86" i="12"/>
  <c r="AJ86" i="12"/>
  <c r="AK86" i="12"/>
  <c r="AH86" i="12"/>
  <c r="AE86" i="12"/>
  <c r="Z86" i="12"/>
  <c r="W86" i="12"/>
  <c r="AC86" i="12"/>
  <c r="U86" i="12"/>
  <c r="X86" i="12"/>
  <c r="AA86" i="12"/>
  <c r="AB86" i="12"/>
  <c r="Y86" i="12"/>
  <c r="V86" i="12"/>
  <c r="N86" i="12"/>
  <c r="Q86" i="12"/>
  <c r="T86" i="12"/>
  <c r="L86" i="12"/>
  <c r="O86" i="12"/>
  <c r="R86" i="12"/>
  <c r="S86" i="12"/>
  <c r="P86" i="12"/>
  <c r="M86" i="12"/>
  <c r="E86" i="12"/>
  <c r="H86" i="12"/>
  <c r="K86" i="12"/>
  <c r="C86" i="12"/>
  <c r="F86" i="12"/>
  <c r="I86" i="12"/>
  <c r="J86" i="12"/>
  <c r="G86" i="12"/>
  <c r="D86" i="12"/>
  <c r="AI85" i="12"/>
  <c r="AF85" i="12"/>
  <c r="AL85" i="12"/>
  <c r="AG85" i="12"/>
  <c r="AD85" i="12"/>
  <c r="AJ85" i="12"/>
  <c r="AK85" i="12"/>
  <c r="AH85" i="12"/>
  <c r="AE85" i="12"/>
  <c r="Z85" i="12"/>
  <c r="W85" i="12"/>
  <c r="AC85" i="12"/>
  <c r="U85" i="12"/>
  <c r="X85" i="12"/>
  <c r="AA85" i="12"/>
  <c r="AB85" i="12"/>
  <c r="Y85" i="12"/>
  <c r="V85" i="12"/>
  <c r="N85" i="12"/>
  <c r="Q85" i="12"/>
  <c r="T85" i="12"/>
  <c r="L85" i="12"/>
  <c r="O85" i="12"/>
  <c r="R85" i="12"/>
  <c r="S85" i="12"/>
  <c r="P85" i="12"/>
  <c r="M85" i="12"/>
  <c r="E85" i="12"/>
  <c r="H85" i="12"/>
  <c r="K85" i="12"/>
  <c r="C85" i="12"/>
  <c r="F85" i="12"/>
  <c r="I85" i="12"/>
  <c r="J85" i="12"/>
  <c r="G85" i="12"/>
  <c r="D85" i="12"/>
  <c r="AI84" i="12"/>
  <c r="AF84" i="12"/>
  <c r="AL84" i="12"/>
  <c r="AG84" i="12"/>
  <c r="AD84" i="12"/>
  <c r="AJ84" i="12"/>
  <c r="AK84" i="12"/>
  <c r="AH84" i="12"/>
  <c r="AE84" i="12"/>
  <c r="Z84" i="12"/>
  <c r="W84" i="12"/>
  <c r="AC84" i="12"/>
  <c r="U84" i="12"/>
  <c r="X84" i="12"/>
  <c r="AA84" i="12"/>
  <c r="AB84" i="12"/>
  <c r="Y84" i="12"/>
  <c r="V84" i="12"/>
  <c r="N84" i="12"/>
  <c r="Q84" i="12"/>
  <c r="T84" i="12"/>
  <c r="L84" i="12"/>
  <c r="O84" i="12"/>
  <c r="R84" i="12"/>
  <c r="S84" i="12"/>
  <c r="P84" i="12"/>
  <c r="M84" i="12"/>
  <c r="E84" i="12"/>
  <c r="H84" i="12"/>
  <c r="K84" i="12"/>
  <c r="C84" i="12"/>
  <c r="F84" i="12"/>
  <c r="I84" i="12"/>
  <c r="J84" i="12"/>
  <c r="G84" i="12"/>
  <c r="D84" i="12"/>
  <c r="AI83" i="12"/>
  <c r="AF83" i="12"/>
  <c r="AL83" i="12"/>
  <c r="AG83" i="12"/>
  <c r="AD83" i="12"/>
  <c r="AJ83" i="12"/>
  <c r="AK83" i="12"/>
  <c r="AH83" i="12"/>
  <c r="AE83" i="12"/>
  <c r="Z83" i="12"/>
  <c r="W83" i="12"/>
  <c r="AC83" i="12"/>
  <c r="U83" i="12"/>
  <c r="X83" i="12"/>
  <c r="AA83" i="12"/>
  <c r="AB83" i="12"/>
  <c r="Y83" i="12"/>
  <c r="V83" i="12"/>
  <c r="N83" i="12"/>
  <c r="Q83" i="12"/>
  <c r="T83" i="12"/>
  <c r="L83" i="12"/>
  <c r="O83" i="12"/>
  <c r="R83" i="12"/>
  <c r="S83" i="12"/>
  <c r="P83" i="12"/>
  <c r="M83" i="12"/>
  <c r="E83" i="12"/>
  <c r="H83" i="12"/>
  <c r="K83" i="12"/>
  <c r="C83" i="12"/>
  <c r="F83" i="12"/>
  <c r="I83" i="12"/>
  <c r="J83" i="12"/>
  <c r="G83" i="12"/>
  <c r="D83" i="12"/>
  <c r="AI82" i="12"/>
  <c r="AF82" i="12"/>
  <c r="AL82" i="12"/>
  <c r="AG82" i="12"/>
  <c r="AD82" i="12"/>
  <c r="AJ82" i="12"/>
  <c r="AK82" i="12"/>
  <c r="AH82" i="12"/>
  <c r="AE82" i="12"/>
  <c r="Z82" i="12"/>
  <c r="W82" i="12"/>
  <c r="AC82" i="12"/>
  <c r="U82" i="12"/>
  <c r="X82" i="12"/>
  <c r="AA82" i="12"/>
  <c r="AB82" i="12"/>
  <c r="Y82" i="12"/>
  <c r="V82" i="12"/>
  <c r="N82" i="12"/>
  <c r="Q82" i="12"/>
  <c r="T82" i="12"/>
  <c r="L82" i="12"/>
  <c r="O82" i="12"/>
  <c r="R82" i="12"/>
  <c r="S82" i="12"/>
  <c r="P82" i="12"/>
  <c r="M82" i="12"/>
  <c r="E82" i="12"/>
  <c r="H82" i="12"/>
  <c r="K82" i="12"/>
  <c r="C82" i="12"/>
  <c r="F82" i="12"/>
  <c r="I82" i="12"/>
  <c r="J82" i="12"/>
  <c r="G82" i="12"/>
  <c r="D82" i="12"/>
  <c r="AI81" i="12"/>
  <c r="AF81" i="12"/>
  <c r="AL81" i="12"/>
  <c r="AG81" i="12"/>
  <c r="AD81" i="12"/>
  <c r="AJ81" i="12"/>
  <c r="AK81" i="12"/>
  <c r="AH81" i="12"/>
  <c r="AE81" i="12"/>
  <c r="Z81" i="12"/>
  <c r="W81" i="12"/>
  <c r="AC81" i="12"/>
  <c r="U81" i="12"/>
  <c r="X81" i="12"/>
  <c r="AA81" i="12"/>
  <c r="AB81" i="12"/>
  <c r="Y81" i="12"/>
  <c r="V81" i="12"/>
  <c r="N81" i="12"/>
  <c r="Q81" i="12"/>
  <c r="T81" i="12"/>
  <c r="L81" i="12"/>
  <c r="O81" i="12"/>
  <c r="R81" i="12"/>
  <c r="S81" i="12"/>
  <c r="P81" i="12"/>
  <c r="M81" i="12"/>
  <c r="E81" i="12"/>
  <c r="H81" i="12"/>
  <c r="K81" i="12"/>
  <c r="C81" i="12"/>
  <c r="F81" i="12"/>
  <c r="I81" i="12"/>
  <c r="J81" i="12"/>
  <c r="G81" i="12"/>
  <c r="D81" i="12"/>
  <c r="AI80" i="12"/>
  <c r="AF80" i="12"/>
  <c r="AL80" i="12"/>
  <c r="AG80" i="12"/>
  <c r="AD80" i="12"/>
  <c r="AJ80" i="12"/>
  <c r="AK80" i="12"/>
  <c r="AH80" i="12"/>
  <c r="AE80" i="12"/>
  <c r="Z80" i="12"/>
  <c r="W80" i="12"/>
  <c r="AC80" i="12"/>
  <c r="U80" i="12"/>
  <c r="X80" i="12"/>
  <c r="AA80" i="12"/>
  <c r="AB80" i="12"/>
  <c r="Y80" i="12"/>
  <c r="V80" i="12"/>
  <c r="N80" i="12"/>
  <c r="Q80" i="12"/>
  <c r="T80" i="12"/>
  <c r="L80" i="12"/>
  <c r="O80" i="12"/>
  <c r="R80" i="12"/>
  <c r="S80" i="12"/>
  <c r="P80" i="12"/>
  <c r="M80" i="12"/>
  <c r="E80" i="12"/>
  <c r="H80" i="12"/>
  <c r="K80" i="12"/>
  <c r="C80" i="12"/>
  <c r="F80" i="12"/>
  <c r="I80" i="12"/>
  <c r="J80" i="12"/>
  <c r="G80" i="12"/>
  <c r="D80" i="12"/>
  <c r="AI79" i="12"/>
  <c r="AF79" i="12"/>
  <c r="AL79" i="12"/>
  <c r="AG79" i="12"/>
  <c r="AD79" i="12"/>
  <c r="AJ79" i="12"/>
  <c r="AK79" i="12"/>
  <c r="AH79" i="12"/>
  <c r="AE79" i="12"/>
  <c r="Z79" i="12"/>
  <c r="W79" i="12"/>
  <c r="AC79" i="12"/>
  <c r="U79" i="12"/>
  <c r="X79" i="12"/>
  <c r="AA79" i="12"/>
  <c r="AB79" i="12"/>
  <c r="Y79" i="12"/>
  <c r="V79" i="12"/>
  <c r="N79" i="12"/>
  <c r="Q79" i="12"/>
  <c r="T79" i="12"/>
  <c r="L79" i="12"/>
  <c r="O79" i="12"/>
  <c r="R79" i="12"/>
  <c r="S79" i="12"/>
  <c r="P79" i="12"/>
  <c r="M79" i="12"/>
  <c r="E79" i="12"/>
  <c r="H79" i="12"/>
  <c r="K79" i="12"/>
  <c r="C79" i="12"/>
  <c r="F79" i="12"/>
  <c r="I79" i="12"/>
  <c r="J79" i="12"/>
  <c r="G79" i="12"/>
  <c r="D79" i="12"/>
  <c r="AI78" i="12"/>
  <c r="AF78" i="12"/>
  <c r="AL78" i="12"/>
  <c r="AG78" i="12"/>
  <c r="AD78" i="12"/>
  <c r="AJ78" i="12"/>
  <c r="AK78" i="12"/>
  <c r="AH78" i="12"/>
  <c r="AE78" i="12"/>
  <c r="Z78" i="12"/>
  <c r="W78" i="12"/>
  <c r="AC78" i="12"/>
  <c r="U78" i="12"/>
  <c r="X78" i="12"/>
  <c r="AA78" i="12"/>
  <c r="AB78" i="12"/>
  <c r="Y78" i="12"/>
  <c r="V78" i="12"/>
  <c r="N78" i="12"/>
  <c r="Q78" i="12"/>
  <c r="T78" i="12"/>
  <c r="L78" i="12"/>
  <c r="O78" i="12"/>
  <c r="R78" i="12"/>
  <c r="S78" i="12"/>
  <c r="P78" i="12"/>
  <c r="M78" i="12"/>
  <c r="E78" i="12"/>
  <c r="H78" i="12"/>
  <c r="K78" i="12"/>
  <c r="C78" i="12"/>
  <c r="F78" i="12"/>
  <c r="I78" i="12"/>
  <c r="J78" i="12"/>
  <c r="G78" i="12"/>
  <c r="D78" i="12"/>
  <c r="AI77" i="12"/>
  <c r="AF77" i="12"/>
  <c r="AL77" i="12"/>
  <c r="AG77" i="12"/>
  <c r="AD77" i="12"/>
  <c r="AJ77" i="12"/>
  <c r="AK77" i="12"/>
  <c r="AH77" i="12"/>
  <c r="AE77" i="12"/>
  <c r="Z77" i="12"/>
  <c r="W77" i="12"/>
  <c r="AC77" i="12"/>
  <c r="U77" i="12"/>
  <c r="X77" i="12"/>
  <c r="AA77" i="12"/>
  <c r="AB77" i="12"/>
  <c r="Y77" i="12"/>
  <c r="V77" i="12"/>
  <c r="N77" i="12"/>
  <c r="Q77" i="12"/>
  <c r="T77" i="12"/>
  <c r="L77" i="12"/>
  <c r="O77" i="12"/>
  <c r="R77" i="12"/>
  <c r="S77" i="12"/>
  <c r="P77" i="12"/>
  <c r="M77" i="12"/>
  <c r="E77" i="12"/>
  <c r="H77" i="12"/>
  <c r="K77" i="12"/>
  <c r="C77" i="12"/>
  <c r="F77" i="12"/>
  <c r="I77" i="12"/>
  <c r="J77" i="12"/>
  <c r="G77" i="12"/>
  <c r="D77" i="12"/>
  <c r="AI76" i="12"/>
  <c r="AF76" i="12"/>
  <c r="AL76" i="12"/>
  <c r="AG76" i="12"/>
  <c r="AD76" i="12"/>
  <c r="AJ76" i="12"/>
  <c r="AK76" i="12"/>
  <c r="AH76" i="12"/>
  <c r="AE76" i="12"/>
  <c r="Z76" i="12"/>
  <c r="W76" i="12"/>
  <c r="AC76" i="12"/>
  <c r="U76" i="12"/>
  <c r="X76" i="12"/>
  <c r="AA76" i="12"/>
  <c r="AB76" i="12"/>
  <c r="Y76" i="12"/>
  <c r="V76" i="12"/>
  <c r="N76" i="12"/>
  <c r="Q76" i="12"/>
  <c r="T76" i="12"/>
  <c r="L76" i="12"/>
  <c r="O76" i="12"/>
  <c r="R76" i="12"/>
  <c r="S76" i="12"/>
  <c r="P76" i="12"/>
  <c r="M76" i="12"/>
  <c r="E76" i="12"/>
  <c r="H76" i="12"/>
  <c r="K76" i="12"/>
  <c r="C76" i="12"/>
  <c r="F76" i="12"/>
  <c r="I76" i="12"/>
  <c r="J76" i="12"/>
  <c r="G76" i="12"/>
  <c r="D76" i="12"/>
  <c r="AI75" i="12"/>
  <c r="AF75" i="12"/>
  <c r="AL75" i="12"/>
  <c r="AG75" i="12"/>
  <c r="AD75" i="12"/>
  <c r="AJ75" i="12"/>
  <c r="AK75" i="12"/>
  <c r="AH75" i="12"/>
  <c r="AE75" i="12"/>
  <c r="Z75" i="12"/>
  <c r="W75" i="12"/>
  <c r="AC75" i="12"/>
  <c r="U75" i="12"/>
  <c r="X75" i="12"/>
  <c r="AA75" i="12"/>
  <c r="AB75" i="12"/>
  <c r="Y75" i="12"/>
  <c r="V75" i="12"/>
  <c r="N75" i="12"/>
  <c r="Q75" i="12"/>
  <c r="T75" i="12"/>
  <c r="L75" i="12"/>
  <c r="O75" i="12"/>
  <c r="R75" i="12"/>
  <c r="S75" i="12"/>
  <c r="P75" i="12"/>
  <c r="M75" i="12"/>
  <c r="E75" i="12"/>
  <c r="H75" i="12"/>
  <c r="K75" i="12"/>
  <c r="C75" i="12"/>
  <c r="F75" i="12"/>
  <c r="I75" i="12"/>
  <c r="J75" i="12"/>
  <c r="G75" i="12"/>
  <c r="D75" i="12"/>
  <c r="AI74" i="12"/>
  <c r="AF74" i="12"/>
  <c r="AL74" i="12"/>
  <c r="AG74" i="12"/>
  <c r="AD74" i="12"/>
  <c r="AJ74" i="12"/>
  <c r="AK74" i="12"/>
  <c r="AH74" i="12"/>
  <c r="AE74" i="12"/>
  <c r="Z74" i="12"/>
  <c r="W74" i="12"/>
  <c r="AC74" i="12"/>
  <c r="U74" i="12"/>
  <c r="X74" i="12"/>
  <c r="AA74" i="12"/>
  <c r="AB74" i="12"/>
  <c r="Y74" i="12"/>
  <c r="V74" i="12"/>
  <c r="N74" i="12"/>
  <c r="Q74" i="12"/>
  <c r="T74" i="12"/>
  <c r="L74" i="12"/>
  <c r="O74" i="12"/>
  <c r="R74" i="12"/>
  <c r="S74" i="12"/>
  <c r="P74" i="12"/>
  <c r="M74" i="12"/>
  <c r="E74" i="12"/>
  <c r="H74" i="12"/>
  <c r="K74" i="12"/>
  <c r="C74" i="12"/>
  <c r="F74" i="12"/>
  <c r="I74" i="12"/>
  <c r="J74" i="12"/>
  <c r="G74" i="12"/>
  <c r="D74" i="12"/>
  <c r="AI73" i="12"/>
  <c r="AF73" i="12"/>
  <c r="AL73" i="12"/>
  <c r="AG73" i="12"/>
  <c r="AD73" i="12"/>
  <c r="AJ73" i="12"/>
  <c r="AK73" i="12"/>
  <c r="AH73" i="12"/>
  <c r="AE73" i="12"/>
  <c r="Z73" i="12"/>
  <c r="W73" i="12"/>
  <c r="AC73" i="12"/>
  <c r="U73" i="12"/>
  <c r="X73" i="12"/>
  <c r="AA73" i="12"/>
  <c r="AB73" i="12"/>
  <c r="Y73" i="12"/>
  <c r="V73" i="12"/>
  <c r="N73" i="12"/>
  <c r="Q73" i="12"/>
  <c r="T73" i="12"/>
  <c r="L73" i="12"/>
  <c r="O73" i="12"/>
  <c r="R73" i="12"/>
  <c r="S73" i="12"/>
  <c r="P73" i="12"/>
  <c r="M73" i="12"/>
  <c r="E73" i="12"/>
  <c r="H73" i="12"/>
  <c r="K73" i="12"/>
  <c r="C73" i="12"/>
  <c r="F73" i="12"/>
  <c r="I73" i="12"/>
  <c r="J73" i="12"/>
  <c r="G73" i="12"/>
  <c r="D73" i="12"/>
  <c r="AI72" i="12"/>
  <c r="AF72" i="12"/>
  <c r="AL72" i="12"/>
  <c r="AG72" i="12"/>
  <c r="AD72" i="12"/>
  <c r="AJ72" i="12"/>
  <c r="AK72" i="12"/>
  <c r="AH72" i="12"/>
  <c r="AE72" i="12"/>
  <c r="Z72" i="12"/>
  <c r="W72" i="12"/>
  <c r="AC72" i="12"/>
  <c r="U72" i="12"/>
  <c r="X72" i="12"/>
  <c r="AA72" i="12"/>
  <c r="AB72" i="12"/>
  <c r="Y72" i="12"/>
  <c r="V72" i="12"/>
  <c r="N72" i="12"/>
  <c r="Q72" i="12"/>
  <c r="T72" i="12"/>
  <c r="L72" i="12"/>
  <c r="O72" i="12"/>
  <c r="R72" i="12"/>
  <c r="S72" i="12"/>
  <c r="P72" i="12"/>
  <c r="M72" i="12"/>
  <c r="E72" i="12"/>
  <c r="H72" i="12"/>
  <c r="K72" i="12"/>
  <c r="C72" i="12"/>
  <c r="F72" i="12"/>
  <c r="I72" i="12"/>
  <c r="J72" i="12"/>
  <c r="G72" i="12"/>
  <c r="D72" i="12"/>
  <c r="AI71" i="12"/>
  <c r="AF71" i="12"/>
  <c r="AL71" i="12"/>
  <c r="AG71" i="12"/>
  <c r="AD71" i="12"/>
  <c r="AJ71" i="12"/>
  <c r="AK71" i="12"/>
  <c r="AH71" i="12"/>
  <c r="AE71" i="12"/>
  <c r="Z71" i="12"/>
  <c r="W71" i="12"/>
  <c r="AC71" i="12"/>
  <c r="U71" i="12"/>
  <c r="X71" i="12"/>
  <c r="AA71" i="12"/>
  <c r="AB71" i="12"/>
  <c r="Y71" i="12"/>
  <c r="V71" i="12"/>
  <c r="N71" i="12"/>
  <c r="Q71" i="12"/>
  <c r="T71" i="12"/>
  <c r="L71" i="12"/>
  <c r="O71" i="12"/>
  <c r="R71" i="12"/>
  <c r="S71" i="12"/>
  <c r="P71" i="12"/>
  <c r="M71" i="12"/>
  <c r="E71" i="12"/>
  <c r="H71" i="12"/>
  <c r="K71" i="12"/>
  <c r="C71" i="12"/>
  <c r="F71" i="12"/>
  <c r="I71" i="12"/>
  <c r="J71" i="12"/>
  <c r="G71" i="12"/>
  <c r="D71" i="12"/>
  <c r="AI70" i="12"/>
  <c r="AF70" i="12"/>
  <c r="AL70" i="12"/>
  <c r="AG70" i="12"/>
  <c r="AD70" i="12"/>
  <c r="AJ70" i="12"/>
  <c r="AK70" i="12"/>
  <c r="AH70" i="12"/>
  <c r="AE70" i="12"/>
  <c r="Z70" i="12"/>
  <c r="W70" i="12"/>
  <c r="AC70" i="12"/>
  <c r="U70" i="12"/>
  <c r="X70" i="12"/>
  <c r="AA70" i="12"/>
  <c r="AB70" i="12"/>
  <c r="Y70" i="12"/>
  <c r="V70" i="12"/>
  <c r="N70" i="12"/>
  <c r="Q70" i="12"/>
  <c r="T70" i="12"/>
  <c r="L70" i="12"/>
  <c r="O70" i="12"/>
  <c r="R70" i="12"/>
  <c r="S70" i="12"/>
  <c r="P70" i="12"/>
  <c r="M70" i="12"/>
  <c r="E70" i="12"/>
  <c r="H70" i="12"/>
  <c r="K70" i="12"/>
  <c r="C70" i="12"/>
  <c r="F70" i="12"/>
  <c r="I70" i="12"/>
  <c r="J70" i="12"/>
  <c r="G70" i="12"/>
  <c r="D70" i="12"/>
  <c r="AI69" i="12"/>
  <c r="AF69" i="12"/>
  <c r="AL69" i="12"/>
  <c r="AG69" i="12"/>
  <c r="AD69" i="12"/>
  <c r="AJ69" i="12"/>
  <c r="AK69" i="12"/>
  <c r="AH69" i="12"/>
  <c r="AE69" i="12"/>
  <c r="Z69" i="12"/>
  <c r="W69" i="12"/>
  <c r="AC69" i="12"/>
  <c r="U69" i="12"/>
  <c r="X69" i="12"/>
  <c r="AA69" i="12"/>
  <c r="AB69" i="12"/>
  <c r="Y69" i="12"/>
  <c r="V69" i="12"/>
  <c r="N69" i="12"/>
  <c r="Q69" i="12"/>
  <c r="T69" i="12"/>
  <c r="L69" i="12"/>
  <c r="O69" i="12"/>
  <c r="R69" i="12"/>
  <c r="S69" i="12"/>
  <c r="P69" i="12"/>
  <c r="M69" i="12"/>
  <c r="E69" i="12"/>
  <c r="H69" i="12"/>
  <c r="K69" i="12"/>
  <c r="C69" i="12"/>
  <c r="F69" i="12"/>
  <c r="I69" i="12"/>
  <c r="J69" i="12"/>
  <c r="G69" i="12"/>
  <c r="D69" i="12"/>
  <c r="AI68" i="12"/>
  <c r="AF68" i="12"/>
  <c r="AL68" i="12"/>
  <c r="AG68" i="12"/>
  <c r="AD68" i="12"/>
  <c r="AJ68" i="12"/>
  <c r="AK68" i="12"/>
  <c r="AH68" i="12"/>
  <c r="AE68" i="12"/>
  <c r="Z68" i="12"/>
  <c r="W68" i="12"/>
  <c r="AC68" i="12"/>
  <c r="U68" i="12"/>
  <c r="X68" i="12"/>
  <c r="AA68" i="12"/>
  <c r="AB68" i="12"/>
  <c r="Y68" i="12"/>
  <c r="V68" i="12"/>
  <c r="N68" i="12"/>
  <c r="Q68" i="12"/>
  <c r="T68" i="12"/>
  <c r="L68" i="12"/>
  <c r="O68" i="12"/>
  <c r="R68" i="12"/>
  <c r="S68" i="12"/>
  <c r="P68" i="12"/>
  <c r="M68" i="12"/>
  <c r="E68" i="12"/>
  <c r="H68" i="12"/>
  <c r="K68" i="12"/>
  <c r="C68" i="12"/>
  <c r="F68" i="12"/>
  <c r="I68" i="12"/>
  <c r="J68" i="12"/>
  <c r="G68" i="12"/>
  <c r="D68" i="12"/>
  <c r="AI67" i="12"/>
  <c r="AF67" i="12"/>
  <c r="AL67" i="12"/>
  <c r="AG67" i="12"/>
  <c r="AD67" i="12"/>
  <c r="AJ67" i="12"/>
  <c r="AK67" i="12"/>
  <c r="AH67" i="12"/>
  <c r="AE67" i="12"/>
  <c r="Z67" i="12"/>
  <c r="W67" i="12"/>
  <c r="AC67" i="12"/>
  <c r="U67" i="12"/>
  <c r="X67" i="12"/>
  <c r="AA67" i="12"/>
  <c r="AB67" i="12"/>
  <c r="Y67" i="12"/>
  <c r="V67" i="12"/>
  <c r="N67" i="12"/>
  <c r="Q67" i="12"/>
  <c r="T67" i="12"/>
  <c r="L67" i="12"/>
  <c r="O67" i="12"/>
  <c r="R67" i="12"/>
  <c r="S67" i="12"/>
  <c r="P67" i="12"/>
  <c r="M67" i="12"/>
  <c r="E67" i="12"/>
  <c r="H67" i="12"/>
  <c r="K67" i="12"/>
  <c r="C67" i="12"/>
  <c r="F67" i="12"/>
  <c r="I67" i="12"/>
  <c r="J67" i="12"/>
  <c r="G67" i="12"/>
  <c r="D67" i="12"/>
  <c r="AI66" i="12"/>
  <c r="AF66" i="12"/>
  <c r="AL66" i="12"/>
  <c r="AG66" i="12"/>
  <c r="AD66" i="12"/>
  <c r="AJ66" i="12"/>
  <c r="AK66" i="12"/>
  <c r="AH66" i="12"/>
  <c r="AE66" i="12"/>
  <c r="Z66" i="12"/>
  <c r="W66" i="12"/>
  <c r="AC66" i="12"/>
  <c r="U66" i="12"/>
  <c r="X66" i="12"/>
  <c r="AA66" i="12"/>
  <c r="AB66" i="12"/>
  <c r="Y66" i="12"/>
  <c r="V66" i="12"/>
  <c r="N66" i="12"/>
  <c r="Q66" i="12"/>
  <c r="T66" i="12"/>
  <c r="L66" i="12"/>
  <c r="O66" i="12"/>
  <c r="R66" i="12"/>
  <c r="S66" i="12"/>
  <c r="P66" i="12"/>
  <c r="M66" i="12"/>
  <c r="E66" i="12"/>
  <c r="H66" i="12"/>
  <c r="K66" i="12"/>
  <c r="C66" i="12"/>
  <c r="F66" i="12"/>
  <c r="I66" i="12"/>
  <c r="J66" i="12"/>
  <c r="G66" i="12"/>
  <c r="D66" i="12"/>
  <c r="AI65" i="12"/>
  <c r="AF65" i="12"/>
  <c r="AL65" i="12"/>
  <c r="AG65" i="12"/>
  <c r="AD65" i="12"/>
  <c r="AJ65" i="12"/>
  <c r="AK65" i="12"/>
  <c r="AH65" i="12"/>
  <c r="AE65" i="12"/>
  <c r="Z65" i="12"/>
  <c r="W65" i="12"/>
  <c r="AC65" i="12"/>
  <c r="U65" i="12"/>
  <c r="X65" i="12"/>
  <c r="AA65" i="12"/>
  <c r="AB65" i="12"/>
  <c r="Y65" i="12"/>
  <c r="V65" i="12"/>
  <c r="N65" i="12"/>
  <c r="Q65" i="12"/>
  <c r="T65" i="12"/>
  <c r="L65" i="12"/>
  <c r="O65" i="12"/>
  <c r="R65" i="12"/>
  <c r="S65" i="12"/>
  <c r="P65" i="12"/>
  <c r="M65" i="12"/>
  <c r="E65" i="12"/>
  <c r="H65" i="12"/>
  <c r="K65" i="12"/>
  <c r="C65" i="12"/>
  <c r="F65" i="12"/>
  <c r="I65" i="12"/>
  <c r="J65" i="12"/>
  <c r="G65" i="12"/>
  <c r="D65" i="12"/>
  <c r="AI64" i="12"/>
  <c r="AF64" i="12"/>
  <c r="AL64" i="12"/>
  <c r="AG64" i="12"/>
  <c r="AD64" i="12"/>
  <c r="AJ64" i="12"/>
  <c r="AK64" i="12"/>
  <c r="AH64" i="12"/>
  <c r="AE64" i="12"/>
  <c r="Z64" i="12"/>
  <c r="W64" i="12"/>
  <c r="AC64" i="12"/>
  <c r="U64" i="12"/>
  <c r="X64" i="12"/>
  <c r="AA64" i="12"/>
  <c r="AB64" i="12"/>
  <c r="Y64" i="12"/>
  <c r="V64" i="12"/>
  <c r="N64" i="12"/>
  <c r="Q64" i="12"/>
  <c r="T64" i="12"/>
  <c r="L64" i="12"/>
  <c r="O64" i="12"/>
  <c r="R64" i="12"/>
  <c r="S64" i="12"/>
  <c r="P64" i="12"/>
  <c r="M64" i="12"/>
  <c r="E64" i="12"/>
  <c r="H64" i="12"/>
  <c r="K64" i="12"/>
  <c r="C64" i="12"/>
  <c r="F64" i="12"/>
  <c r="I64" i="12"/>
  <c r="J64" i="12"/>
  <c r="G64" i="12"/>
  <c r="D64" i="12"/>
  <c r="AI63" i="12"/>
  <c r="AF63" i="12"/>
  <c r="AL63" i="12"/>
  <c r="AG63" i="12"/>
  <c r="AD63" i="12"/>
  <c r="AJ63" i="12"/>
  <c r="AK63" i="12"/>
  <c r="AH63" i="12"/>
  <c r="AE63" i="12"/>
  <c r="Z63" i="12"/>
  <c r="W63" i="12"/>
  <c r="AC63" i="12"/>
  <c r="U63" i="12"/>
  <c r="X63" i="12"/>
  <c r="AA63" i="12"/>
  <c r="AB63" i="12"/>
  <c r="Y63" i="12"/>
  <c r="V63" i="12"/>
  <c r="N63" i="12"/>
  <c r="Q63" i="12"/>
  <c r="T63" i="12"/>
  <c r="L63" i="12"/>
  <c r="O63" i="12"/>
  <c r="R63" i="12"/>
  <c r="S63" i="12"/>
  <c r="P63" i="12"/>
  <c r="M63" i="12"/>
  <c r="E63" i="12"/>
  <c r="H63" i="12"/>
  <c r="K63" i="12"/>
  <c r="C63" i="12"/>
  <c r="F63" i="12"/>
  <c r="I63" i="12"/>
  <c r="J63" i="12"/>
  <c r="G63" i="12"/>
  <c r="D63" i="12"/>
  <c r="AI62" i="12"/>
  <c r="AF62" i="12"/>
  <c r="AL62" i="12"/>
  <c r="AG62" i="12"/>
  <c r="AD62" i="12"/>
  <c r="AJ62" i="12"/>
  <c r="AK62" i="12"/>
  <c r="AH62" i="12"/>
  <c r="AE62" i="12"/>
  <c r="Z62" i="12"/>
  <c r="W62" i="12"/>
  <c r="AC62" i="12"/>
  <c r="U62" i="12"/>
  <c r="X62" i="12"/>
  <c r="AA62" i="12"/>
  <c r="AB62" i="12"/>
  <c r="Y62" i="12"/>
  <c r="V62" i="12"/>
  <c r="N62" i="12"/>
  <c r="Q62" i="12"/>
  <c r="T62" i="12"/>
  <c r="L62" i="12"/>
  <c r="O62" i="12"/>
  <c r="R62" i="12"/>
  <c r="S62" i="12"/>
  <c r="P62" i="12"/>
  <c r="M62" i="12"/>
  <c r="E62" i="12"/>
  <c r="H62" i="12"/>
  <c r="K62" i="12"/>
  <c r="C62" i="12"/>
  <c r="F62" i="12"/>
  <c r="I62" i="12"/>
  <c r="J62" i="12"/>
  <c r="G62" i="12"/>
  <c r="D62" i="12"/>
  <c r="AI61" i="12"/>
  <c r="AF61" i="12"/>
  <c r="AL61" i="12"/>
  <c r="AG61" i="12"/>
  <c r="AD61" i="12"/>
  <c r="AJ61" i="12"/>
  <c r="AK61" i="12"/>
  <c r="AH61" i="12"/>
  <c r="AE61" i="12"/>
  <c r="Z61" i="12"/>
  <c r="W61" i="12"/>
  <c r="AC61" i="12"/>
  <c r="U61" i="12"/>
  <c r="X61" i="12"/>
  <c r="AA61" i="12"/>
  <c r="AB61" i="12"/>
  <c r="Y61" i="12"/>
  <c r="V61" i="12"/>
  <c r="N61" i="12"/>
  <c r="Q61" i="12"/>
  <c r="T61" i="12"/>
  <c r="L61" i="12"/>
  <c r="O61" i="12"/>
  <c r="R61" i="12"/>
  <c r="S61" i="12"/>
  <c r="P61" i="12"/>
  <c r="M61" i="12"/>
  <c r="E61" i="12"/>
  <c r="H61" i="12"/>
  <c r="K61" i="12"/>
  <c r="C61" i="12"/>
  <c r="F61" i="12"/>
  <c r="I61" i="12"/>
  <c r="J61" i="12"/>
  <c r="G61" i="12"/>
  <c r="D61" i="12"/>
  <c r="AI60" i="12"/>
  <c r="AF60" i="12"/>
  <c r="AL60" i="12"/>
  <c r="AG60" i="12"/>
  <c r="AD60" i="12"/>
  <c r="AJ60" i="12"/>
  <c r="AK60" i="12"/>
  <c r="AH60" i="12"/>
  <c r="AE60" i="12"/>
  <c r="Z60" i="12"/>
  <c r="W60" i="12"/>
  <c r="AC60" i="12"/>
  <c r="U60" i="12"/>
  <c r="X60" i="12"/>
  <c r="AA60" i="12"/>
  <c r="AB60" i="12"/>
  <c r="Y60" i="12"/>
  <c r="V60" i="12"/>
  <c r="N60" i="12"/>
  <c r="Q60" i="12"/>
  <c r="T60" i="12"/>
  <c r="L60" i="12"/>
  <c r="O60" i="12"/>
  <c r="R60" i="12"/>
  <c r="S60" i="12"/>
  <c r="P60" i="12"/>
  <c r="M60" i="12"/>
  <c r="E60" i="12"/>
  <c r="H60" i="12"/>
  <c r="K60" i="12"/>
  <c r="C60" i="12"/>
  <c r="F60" i="12"/>
  <c r="I60" i="12"/>
  <c r="J60" i="12"/>
  <c r="G60" i="12"/>
  <c r="D60" i="12"/>
  <c r="AI59" i="12"/>
  <c r="AF59" i="12"/>
  <c r="AL59" i="12"/>
  <c r="AG59" i="12"/>
  <c r="AD59" i="12"/>
  <c r="AJ59" i="12"/>
  <c r="AK59" i="12"/>
  <c r="AH59" i="12"/>
  <c r="AE59" i="12"/>
  <c r="Z59" i="12"/>
  <c r="W59" i="12"/>
  <c r="AC59" i="12"/>
  <c r="U59" i="12"/>
  <c r="X59" i="12"/>
  <c r="AA59" i="12"/>
  <c r="AB59" i="12"/>
  <c r="Y59" i="12"/>
  <c r="V59" i="12"/>
  <c r="N59" i="12"/>
  <c r="Q59" i="12"/>
  <c r="T59" i="12"/>
  <c r="L59" i="12"/>
  <c r="O59" i="12"/>
  <c r="R59" i="12"/>
  <c r="S59" i="12"/>
  <c r="P59" i="12"/>
  <c r="M59" i="12"/>
  <c r="E59" i="12"/>
  <c r="H59" i="12"/>
  <c r="K59" i="12"/>
  <c r="C59" i="12"/>
  <c r="F59" i="12"/>
  <c r="I59" i="12"/>
  <c r="J59" i="12"/>
  <c r="G59" i="12"/>
  <c r="D59" i="12"/>
  <c r="AI58" i="12"/>
  <c r="AF58" i="12"/>
  <c r="AL58" i="12"/>
  <c r="AG58" i="12"/>
  <c r="AD58" i="12"/>
  <c r="AJ58" i="12"/>
  <c r="AK58" i="12"/>
  <c r="AH58" i="12"/>
  <c r="AE58" i="12"/>
  <c r="Z58" i="12"/>
  <c r="W58" i="12"/>
  <c r="AC58" i="12"/>
  <c r="U58" i="12"/>
  <c r="X58" i="12"/>
  <c r="AA58" i="12"/>
  <c r="AB58" i="12"/>
  <c r="Y58" i="12"/>
  <c r="V58" i="12"/>
  <c r="N58" i="12"/>
  <c r="Q58" i="12"/>
  <c r="T58" i="12"/>
  <c r="L58" i="12"/>
  <c r="O58" i="12"/>
  <c r="R58" i="12"/>
  <c r="S58" i="12"/>
  <c r="P58" i="12"/>
  <c r="M58" i="12"/>
  <c r="E58" i="12"/>
  <c r="H58" i="12"/>
  <c r="K58" i="12"/>
  <c r="C58" i="12"/>
  <c r="F58" i="12"/>
  <c r="I58" i="12"/>
  <c r="J58" i="12"/>
  <c r="G58" i="12"/>
  <c r="D58" i="12"/>
  <c r="AI57" i="12"/>
  <c r="AF57" i="12"/>
  <c r="AL57" i="12"/>
  <c r="AG57" i="12"/>
  <c r="AD57" i="12"/>
  <c r="AJ57" i="12"/>
  <c r="AK57" i="12"/>
  <c r="AH57" i="12"/>
  <c r="AE57" i="12"/>
  <c r="Z57" i="12"/>
  <c r="W57" i="12"/>
  <c r="AC57" i="12"/>
  <c r="U57" i="12"/>
  <c r="X57" i="12"/>
  <c r="AA57" i="12"/>
  <c r="AB57" i="12"/>
  <c r="Y57" i="12"/>
  <c r="V57" i="12"/>
  <c r="N57" i="12"/>
  <c r="Q57" i="12"/>
  <c r="T57" i="12"/>
  <c r="L57" i="12"/>
  <c r="O57" i="12"/>
  <c r="R57" i="12"/>
  <c r="S57" i="12"/>
  <c r="P57" i="12"/>
  <c r="M57" i="12"/>
  <c r="E57" i="12"/>
  <c r="H57" i="12"/>
  <c r="K57" i="12"/>
  <c r="C57" i="12"/>
  <c r="F57" i="12"/>
  <c r="I57" i="12"/>
  <c r="J57" i="12"/>
  <c r="G57" i="12"/>
  <c r="D57" i="12"/>
  <c r="AI56" i="12"/>
  <c r="AF56" i="12"/>
  <c r="AL56" i="12"/>
  <c r="AG56" i="12"/>
  <c r="AD56" i="12"/>
  <c r="AJ56" i="12"/>
  <c r="AK56" i="12"/>
  <c r="AH56" i="12"/>
  <c r="AE56" i="12"/>
  <c r="Z56" i="12"/>
  <c r="W56" i="12"/>
  <c r="AC56" i="12"/>
  <c r="U56" i="12"/>
  <c r="X56" i="12"/>
  <c r="AA56" i="12"/>
  <c r="AB56" i="12"/>
  <c r="Y56" i="12"/>
  <c r="V56" i="12"/>
  <c r="N56" i="12"/>
  <c r="Q56" i="12"/>
  <c r="T56" i="12"/>
  <c r="L56" i="12"/>
  <c r="O56" i="12"/>
  <c r="R56" i="12"/>
  <c r="S56" i="12"/>
  <c r="P56" i="12"/>
  <c r="M56" i="12"/>
  <c r="E56" i="12"/>
  <c r="H56" i="12"/>
  <c r="K56" i="12"/>
  <c r="C56" i="12"/>
  <c r="F56" i="12"/>
  <c r="I56" i="12"/>
  <c r="J56" i="12"/>
  <c r="G56" i="12"/>
  <c r="D56" i="12"/>
  <c r="AI55" i="12"/>
  <c r="AF55" i="12"/>
  <c r="AL55" i="12"/>
  <c r="AG55" i="12"/>
  <c r="AD55" i="12"/>
  <c r="AJ55" i="12"/>
  <c r="AK55" i="12"/>
  <c r="AH55" i="12"/>
  <c r="AE55" i="12"/>
  <c r="Z55" i="12"/>
  <c r="W55" i="12"/>
  <c r="AC55" i="12"/>
  <c r="U55" i="12"/>
  <c r="X55" i="12"/>
  <c r="AA55" i="12"/>
  <c r="AB55" i="12"/>
  <c r="Y55" i="12"/>
  <c r="V55" i="12"/>
  <c r="N55" i="12"/>
  <c r="Q55" i="12"/>
  <c r="T55" i="12"/>
  <c r="L55" i="12"/>
  <c r="O55" i="12"/>
  <c r="R55" i="12"/>
  <c r="S55" i="12"/>
  <c r="P55" i="12"/>
  <c r="M55" i="12"/>
  <c r="E55" i="12"/>
  <c r="H55" i="12"/>
  <c r="K55" i="12"/>
  <c r="C55" i="12"/>
  <c r="F55" i="12"/>
  <c r="I55" i="12"/>
  <c r="J55" i="12"/>
  <c r="G55" i="12"/>
  <c r="D55" i="12"/>
  <c r="AI54" i="12"/>
  <c r="AF54" i="12"/>
  <c r="AL54" i="12"/>
  <c r="AG54" i="12"/>
  <c r="AD54" i="12"/>
  <c r="AJ54" i="12"/>
  <c r="AK54" i="12"/>
  <c r="AH54" i="12"/>
  <c r="AE54" i="12"/>
  <c r="Z54" i="12"/>
  <c r="W54" i="12"/>
  <c r="AC54" i="12"/>
  <c r="U54" i="12"/>
  <c r="X54" i="12"/>
  <c r="AA54" i="12"/>
  <c r="AB54" i="12"/>
  <c r="Y54" i="12"/>
  <c r="V54" i="12"/>
  <c r="N54" i="12"/>
  <c r="Q54" i="12"/>
  <c r="T54" i="12"/>
  <c r="L54" i="12"/>
  <c r="O54" i="12"/>
  <c r="R54" i="12"/>
  <c r="S54" i="12"/>
  <c r="P54" i="12"/>
  <c r="M54" i="12"/>
  <c r="E54" i="12"/>
  <c r="H54" i="12"/>
  <c r="K54" i="12"/>
  <c r="C54" i="12"/>
  <c r="F54" i="12"/>
  <c r="I54" i="12"/>
  <c r="J54" i="12"/>
  <c r="G54" i="12"/>
  <c r="D54" i="12"/>
  <c r="AI53" i="12"/>
  <c r="AF53" i="12"/>
  <c r="AL53" i="12"/>
  <c r="AG53" i="12"/>
  <c r="AD53" i="12"/>
  <c r="AJ53" i="12"/>
  <c r="AK53" i="12"/>
  <c r="AH53" i="12"/>
  <c r="AE53" i="12"/>
  <c r="Z53" i="12"/>
  <c r="W53" i="12"/>
  <c r="AC53" i="12"/>
  <c r="U53" i="12"/>
  <c r="X53" i="12"/>
  <c r="AA53" i="12"/>
  <c r="AB53" i="12"/>
  <c r="Y53" i="12"/>
  <c r="V53" i="12"/>
  <c r="N53" i="12"/>
  <c r="Q53" i="12"/>
  <c r="T53" i="12"/>
  <c r="L53" i="12"/>
  <c r="O53" i="12"/>
  <c r="R53" i="12"/>
  <c r="S53" i="12"/>
  <c r="P53" i="12"/>
  <c r="M53" i="12"/>
  <c r="E53" i="12"/>
  <c r="H53" i="12"/>
  <c r="K53" i="12"/>
  <c r="C53" i="12"/>
  <c r="F53" i="12"/>
  <c r="I53" i="12"/>
  <c r="J53" i="12"/>
  <c r="G53" i="12"/>
  <c r="D53" i="12"/>
  <c r="AI52" i="12"/>
  <c r="AF52" i="12"/>
  <c r="AL52" i="12"/>
  <c r="AG52" i="12"/>
  <c r="AD52" i="12"/>
  <c r="AJ52" i="12"/>
  <c r="AK52" i="12"/>
  <c r="AH52" i="12"/>
  <c r="AE52" i="12"/>
  <c r="Z52" i="12"/>
  <c r="W52" i="12"/>
  <c r="AC52" i="12"/>
  <c r="U52" i="12"/>
  <c r="X52" i="12"/>
  <c r="AA52" i="12"/>
  <c r="AB52" i="12"/>
  <c r="Y52" i="12"/>
  <c r="V52" i="12"/>
  <c r="N52" i="12"/>
  <c r="Q52" i="12"/>
  <c r="T52" i="12"/>
  <c r="L52" i="12"/>
  <c r="O52" i="12"/>
  <c r="R52" i="12"/>
  <c r="S52" i="12"/>
  <c r="P52" i="12"/>
  <c r="M52" i="12"/>
  <c r="E52" i="12"/>
  <c r="H52" i="12"/>
  <c r="K52" i="12"/>
  <c r="C52" i="12"/>
  <c r="F52" i="12"/>
  <c r="I52" i="12"/>
  <c r="J52" i="12"/>
  <c r="G52" i="12"/>
  <c r="D52" i="12"/>
  <c r="AI51" i="12"/>
  <c r="AF51" i="12"/>
  <c r="AL51" i="12"/>
  <c r="AG51" i="12"/>
  <c r="AD51" i="12"/>
  <c r="AJ51" i="12"/>
  <c r="AK51" i="12"/>
  <c r="AH51" i="12"/>
  <c r="AE51" i="12"/>
  <c r="Z51" i="12"/>
  <c r="W51" i="12"/>
  <c r="AC51" i="12"/>
  <c r="U51" i="12"/>
  <c r="X51" i="12"/>
  <c r="AA51" i="12"/>
  <c r="AB51" i="12"/>
  <c r="Y51" i="12"/>
  <c r="V51" i="12"/>
  <c r="N51" i="12"/>
  <c r="Q51" i="12"/>
  <c r="T51" i="12"/>
  <c r="L51" i="12"/>
  <c r="O51" i="12"/>
  <c r="R51" i="12"/>
  <c r="S51" i="12"/>
  <c r="P51" i="12"/>
  <c r="M51" i="12"/>
  <c r="E51" i="12"/>
  <c r="H51" i="12"/>
  <c r="K51" i="12"/>
  <c r="C51" i="12"/>
  <c r="F51" i="12"/>
  <c r="I51" i="12"/>
  <c r="J51" i="12"/>
  <c r="G51" i="12"/>
  <c r="D51" i="12"/>
  <c r="AI50" i="12"/>
  <c r="AF50" i="12"/>
  <c r="AL50" i="12"/>
  <c r="AG50" i="12"/>
  <c r="AD50" i="12"/>
  <c r="AJ50" i="12"/>
  <c r="AK50" i="12"/>
  <c r="AH50" i="12"/>
  <c r="AE50" i="12"/>
  <c r="Z50" i="12"/>
  <c r="W50" i="12"/>
  <c r="AC50" i="12"/>
  <c r="U50" i="12"/>
  <c r="X50" i="12"/>
  <c r="AA50" i="12"/>
  <c r="AB50" i="12"/>
  <c r="Y50" i="12"/>
  <c r="V50" i="12"/>
  <c r="N50" i="12"/>
  <c r="Q50" i="12"/>
  <c r="T50" i="12"/>
  <c r="L50" i="12"/>
  <c r="O50" i="12"/>
  <c r="R50" i="12"/>
  <c r="S50" i="12"/>
  <c r="P50" i="12"/>
  <c r="M50" i="12"/>
  <c r="E50" i="12"/>
  <c r="H50" i="12"/>
  <c r="K50" i="12"/>
  <c r="C50" i="12"/>
  <c r="F50" i="12"/>
  <c r="I50" i="12"/>
  <c r="J50" i="12"/>
  <c r="G50" i="12"/>
  <c r="D50" i="12"/>
  <c r="AI49" i="12"/>
  <c r="AF49" i="12"/>
  <c r="AL49" i="12"/>
  <c r="AG49" i="12"/>
  <c r="AD49" i="12"/>
  <c r="AJ49" i="12"/>
  <c r="AK49" i="12"/>
  <c r="AH49" i="12"/>
  <c r="AE49" i="12"/>
  <c r="Z49" i="12"/>
  <c r="W49" i="12"/>
  <c r="AC49" i="12"/>
  <c r="U49" i="12"/>
  <c r="X49" i="12"/>
  <c r="AA49" i="12"/>
  <c r="AB49" i="12"/>
  <c r="Y49" i="12"/>
  <c r="V49" i="12"/>
  <c r="N49" i="12"/>
  <c r="Q49" i="12"/>
  <c r="T49" i="12"/>
  <c r="L49" i="12"/>
  <c r="O49" i="12"/>
  <c r="R49" i="12"/>
  <c r="S49" i="12"/>
  <c r="P49" i="12"/>
  <c r="M49" i="12"/>
  <c r="E49" i="12"/>
  <c r="H49" i="12"/>
  <c r="K49" i="12"/>
  <c r="C49" i="12"/>
  <c r="F49" i="12"/>
  <c r="I49" i="12"/>
  <c r="J49" i="12"/>
  <c r="G49" i="12"/>
  <c r="D49" i="12"/>
  <c r="AI48" i="12"/>
  <c r="AF48" i="12"/>
  <c r="AL48" i="12"/>
  <c r="AG48" i="12"/>
  <c r="AD48" i="12"/>
  <c r="AJ48" i="12"/>
  <c r="AK48" i="12"/>
  <c r="AH48" i="12"/>
  <c r="AE48" i="12"/>
  <c r="Z48" i="12"/>
  <c r="W48" i="12"/>
  <c r="AC48" i="12"/>
  <c r="U48" i="12"/>
  <c r="X48" i="12"/>
  <c r="AA48" i="12"/>
  <c r="AB48" i="12"/>
  <c r="Y48" i="12"/>
  <c r="V48" i="12"/>
  <c r="N48" i="12"/>
  <c r="Q48" i="12"/>
  <c r="T48" i="12"/>
  <c r="L48" i="12"/>
  <c r="O48" i="12"/>
  <c r="R48" i="12"/>
  <c r="S48" i="12"/>
  <c r="P48" i="12"/>
  <c r="M48" i="12"/>
  <c r="E48" i="12"/>
  <c r="H48" i="12"/>
  <c r="K48" i="12"/>
  <c r="C48" i="12"/>
  <c r="F48" i="12"/>
  <c r="I48" i="12"/>
  <c r="J48" i="12"/>
  <c r="G48" i="12"/>
  <c r="D48" i="12"/>
  <c r="AI47" i="12"/>
  <c r="AF47" i="12"/>
  <c r="AL47" i="12"/>
  <c r="AG47" i="12"/>
  <c r="AD47" i="12"/>
  <c r="AJ47" i="12"/>
  <c r="AK47" i="12"/>
  <c r="AH47" i="12"/>
  <c r="AE47" i="12"/>
  <c r="Z47" i="12"/>
  <c r="W47" i="12"/>
  <c r="AC47" i="12"/>
  <c r="U47" i="12"/>
  <c r="X47" i="12"/>
  <c r="AA47" i="12"/>
  <c r="AB47" i="12"/>
  <c r="Y47" i="12"/>
  <c r="V47" i="12"/>
  <c r="N47" i="12"/>
  <c r="Q47" i="12"/>
  <c r="T47" i="12"/>
  <c r="L47" i="12"/>
  <c r="O47" i="12"/>
  <c r="R47" i="12"/>
  <c r="S47" i="12"/>
  <c r="P47" i="12"/>
  <c r="M47" i="12"/>
  <c r="E47" i="12"/>
  <c r="H47" i="12"/>
  <c r="K47" i="12"/>
  <c r="C47" i="12"/>
  <c r="F47" i="12"/>
  <c r="I47" i="12"/>
  <c r="J47" i="12"/>
  <c r="G47" i="12"/>
  <c r="D47" i="12"/>
  <c r="AI46" i="12"/>
  <c r="AF46" i="12"/>
  <c r="AL46" i="12"/>
  <c r="AG46" i="12"/>
  <c r="AD46" i="12"/>
  <c r="AJ46" i="12"/>
  <c r="AK46" i="12"/>
  <c r="AH46" i="12"/>
  <c r="AE46" i="12"/>
  <c r="Z46" i="12"/>
  <c r="W46" i="12"/>
  <c r="AC46" i="12"/>
  <c r="U46" i="12"/>
  <c r="X46" i="12"/>
  <c r="AA46" i="12"/>
  <c r="AB46" i="12"/>
  <c r="Y46" i="12"/>
  <c r="V46" i="12"/>
  <c r="N46" i="12"/>
  <c r="Q46" i="12"/>
  <c r="T46" i="12"/>
  <c r="L46" i="12"/>
  <c r="O46" i="12"/>
  <c r="R46" i="12"/>
  <c r="S46" i="12"/>
  <c r="P46" i="12"/>
  <c r="M46" i="12"/>
  <c r="E46" i="12"/>
  <c r="H46" i="12"/>
  <c r="K46" i="12"/>
  <c r="C46" i="12"/>
  <c r="F46" i="12"/>
  <c r="I46" i="12"/>
  <c r="J46" i="12"/>
  <c r="G46" i="12"/>
  <c r="D46" i="12"/>
  <c r="AI45" i="12"/>
  <c r="AF45" i="12"/>
  <c r="AL45" i="12"/>
  <c r="AG45" i="12"/>
  <c r="AD45" i="12"/>
  <c r="AJ45" i="12"/>
  <c r="AK45" i="12"/>
  <c r="AH45" i="12"/>
  <c r="AE45" i="12"/>
  <c r="Z45" i="12"/>
  <c r="W45" i="12"/>
  <c r="AC45" i="12"/>
  <c r="U45" i="12"/>
  <c r="X45" i="12"/>
  <c r="AA45" i="12"/>
  <c r="AB45" i="12"/>
  <c r="Y45" i="12"/>
  <c r="V45" i="12"/>
  <c r="N45" i="12"/>
  <c r="Q45" i="12"/>
  <c r="T45" i="12"/>
  <c r="L45" i="12"/>
  <c r="O45" i="12"/>
  <c r="R45" i="12"/>
  <c r="S45" i="12"/>
  <c r="P45" i="12"/>
  <c r="M45" i="12"/>
  <c r="E45" i="12"/>
  <c r="H45" i="12"/>
  <c r="K45" i="12"/>
  <c r="C45" i="12"/>
  <c r="F45" i="12"/>
  <c r="I45" i="12"/>
  <c r="J45" i="12"/>
  <c r="G45" i="12"/>
  <c r="D45" i="12"/>
  <c r="AI44" i="12"/>
  <c r="AF44" i="12"/>
  <c r="AL44" i="12"/>
  <c r="AG44" i="12"/>
  <c r="AD44" i="12"/>
  <c r="AJ44" i="12"/>
  <c r="AK44" i="12"/>
  <c r="AH44" i="12"/>
  <c r="AE44" i="12"/>
  <c r="Z44" i="12"/>
  <c r="W44" i="12"/>
  <c r="AC44" i="12"/>
  <c r="U44" i="12"/>
  <c r="X44" i="12"/>
  <c r="AA44" i="12"/>
  <c r="AB44" i="12"/>
  <c r="Y44" i="12"/>
  <c r="V44" i="12"/>
  <c r="N44" i="12"/>
  <c r="Q44" i="12"/>
  <c r="T44" i="12"/>
  <c r="L44" i="12"/>
  <c r="O44" i="12"/>
  <c r="R44" i="12"/>
  <c r="S44" i="12"/>
  <c r="P44" i="12"/>
  <c r="M44" i="12"/>
  <c r="E44" i="12"/>
  <c r="H44" i="12"/>
  <c r="K44" i="12"/>
  <c r="C44" i="12"/>
  <c r="F44" i="12"/>
  <c r="I44" i="12"/>
  <c r="J44" i="12"/>
  <c r="G44" i="12"/>
  <c r="D44" i="12"/>
  <c r="AI43" i="12"/>
  <c r="AF43" i="12"/>
  <c r="AL43" i="12"/>
  <c r="AG43" i="12"/>
  <c r="AD43" i="12"/>
  <c r="AJ43" i="12"/>
  <c r="AK43" i="12"/>
  <c r="AH43" i="12"/>
  <c r="AE43" i="12"/>
  <c r="Z43" i="12"/>
  <c r="W43" i="12"/>
  <c r="AC43" i="12"/>
  <c r="U43" i="12"/>
  <c r="X43" i="12"/>
  <c r="AA43" i="12"/>
  <c r="AB43" i="12"/>
  <c r="Y43" i="12"/>
  <c r="V43" i="12"/>
  <c r="N43" i="12"/>
  <c r="Q43" i="12"/>
  <c r="T43" i="12"/>
  <c r="L43" i="12"/>
  <c r="O43" i="12"/>
  <c r="R43" i="12"/>
  <c r="S43" i="12"/>
  <c r="P43" i="12"/>
  <c r="M43" i="12"/>
  <c r="E43" i="12"/>
  <c r="H43" i="12"/>
  <c r="K43" i="12"/>
  <c r="C43" i="12"/>
  <c r="F43" i="12"/>
  <c r="I43" i="12"/>
  <c r="J43" i="12"/>
  <c r="G43" i="12"/>
  <c r="D43" i="12"/>
  <c r="AI42" i="12"/>
  <c r="AF42" i="12"/>
  <c r="AL42" i="12"/>
  <c r="AG42" i="12"/>
  <c r="AD42" i="12"/>
  <c r="AJ42" i="12"/>
  <c r="AK42" i="12"/>
  <c r="AH42" i="12"/>
  <c r="AE42" i="12"/>
  <c r="Z42" i="12"/>
  <c r="W42" i="12"/>
  <c r="AC42" i="12"/>
  <c r="U42" i="12"/>
  <c r="X42" i="12"/>
  <c r="AA42" i="12"/>
  <c r="AB42" i="12"/>
  <c r="Y42" i="12"/>
  <c r="V42" i="12"/>
  <c r="N42" i="12"/>
  <c r="Q42" i="12"/>
  <c r="T42" i="12"/>
  <c r="L42" i="12"/>
  <c r="O42" i="12"/>
  <c r="R42" i="12"/>
  <c r="S42" i="12"/>
  <c r="P42" i="12"/>
  <c r="M42" i="12"/>
  <c r="E42" i="12"/>
  <c r="H42" i="12"/>
  <c r="K42" i="12"/>
  <c r="C42" i="12"/>
  <c r="F42" i="12"/>
  <c r="I42" i="12"/>
  <c r="J42" i="12"/>
  <c r="G42" i="12"/>
  <c r="D42" i="12"/>
  <c r="AI41" i="12"/>
  <c r="AF41" i="12"/>
  <c r="AL41" i="12"/>
  <c r="AG41" i="12"/>
  <c r="AD41" i="12"/>
  <c r="AJ41" i="12"/>
  <c r="AK41" i="12"/>
  <c r="AH41" i="12"/>
  <c r="AE41" i="12"/>
  <c r="Z41" i="12"/>
  <c r="W41" i="12"/>
  <c r="AC41" i="12"/>
  <c r="U41" i="12"/>
  <c r="X41" i="12"/>
  <c r="AA41" i="12"/>
  <c r="AB41" i="12"/>
  <c r="Y41" i="12"/>
  <c r="V41" i="12"/>
  <c r="N41" i="12"/>
  <c r="Q41" i="12"/>
  <c r="T41" i="12"/>
  <c r="L41" i="12"/>
  <c r="O41" i="12"/>
  <c r="R41" i="12"/>
  <c r="S41" i="12"/>
  <c r="P41" i="12"/>
  <c r="M41" i="12"/>
  <c r="E41" i="12"/>
  <c r="H41" i="12"/>
  <c r="K41" i="12"/>
  <c r="C41" i="12"/>
  <c r="F41" i="12"/>
  <c r="I41" i="12"/>
  <c r="J41" i="12"/>
  <c r="G41" i="12"/>
  <c r="D41" i="12"/>
  <c r="AI40" i="12"/>
  <c r="AF40" i="12"/>
  <c r="AL40" i="12"/>
  <c r="AG40" i="12"/>
  <c r="AD40" i="12"/>
  <c r="AJ40" i="12"/>
  <c r="AK40" i="12"/>
  <c r="AH40" i="12"/>
  <c r="AE40" i="12"/>
  <c r="Z40" i="12"/>
  <c r="W40" i="12"/>
  <c r="AC40" i="12"/>
  <c r="U40" i="12"/>
  <c r="X40" i="12"/>
  <c r="AA40" i="12"/>
  <c r="AB40" i="12"/>
  <c r="Y40" i="12"/>
  <c r="V40" i="12"/>
  <c r="N40" i="12"/>
  <c r="Q40" i="12"/>
  <c r="T40" i="12"/>
  <c r="L40" i="12"/>
  <c r="O40" i="12"/>
  <c r="R40" i="12"/>
  <c r="S40" i="12"/>
  <c r="P40" i="12"/>
  <c r="M40" i="12"/>
  <c r="E40" i="12"/>
  <c r="H40" i="12"/>
  <c r="K40" i="12"/>
  <c r="C40" i="12"/>
  <c r="F40" i="12"/>
  <c r="I40" i="12"/>
  <c r="J40" i="12"/>
  <c r="G40" i="12"/>
  <c r="D40" i="12"/>
  <c r="AI39" i="12"/>
  <c r="AF39" i="12"/>
  <c r="AL39" i="12"/>
  <c r="AG39" i="12"/>
  <c r="AD39" i="12"/>
  <c r="AJ39" i="12"/>
  <c r="AK39" i="12"/>
  <c r="AH39" i="12"/>
  <c r="AE39" i="12"/>
  <c r="Z39" i="12"/>
  <c r="W39" i="12"/>
  <c r="AC39" i="12"/>
  <c r="U39" i="12"/>
  <c r="X39" i="12"/>
  <c r="AA39" i="12"/>
  <c r="AB39" i="12"/>
  <c r="Y39" i="12"/>
  <c r="V39" i="12"/>
  <c r="N39" i="12"/>
  <c r="Q39" i="12"/>
  <c r="T39" i="12"/>
  <c r="L39" i="12"/>
  <c r="O39" i="12"/>
  <c r="R39" i="12"/>
  <c r="S39" i="12"/>
  <c r="P39" i="12"/>
  <c r="M39" i="12"/>
  <c r="E39" i="12"/>
  <c r="H39" i="12"/>
  <c r="K39" i="12"/>
  <c r="C39" i="12"/>
  <c r="F39" i="12"/>
  <c r="I39" i="12"/>
  <c r="J39" i="12"/>
  <c r="G39" i="12"/>
  <c r="D39" i="12"/>
  <c r="AI38" i="12"/>
  <c r="AF38" i="12"/>
  <c r="AL38" i="12"/>
  <c r="AG38" i="12"/>
  <c r="AD38" i="12"/>
  <c r="AJ38" i="12"/>
  <c r="AK38" i="12"/>
  <c r="AH38" i="12"/>
  <c r="AE38" i="12"/>
  <c r="Z38" i="12"/>
  <c r="W38" i="12"/>
  <c r="AC38" i="12"/>
  <c r="U38" i="12"/>
  <c r="X38" i="12"/>
  <c r="AA38" i="12"/>
  <c r="AB38" i="12"/>
  <c r="Y38" i="12"/>
  <c r="V38" i="12"/>
  <c r="N38" i="12"/>
  <c r="Q38" i="12"/>
  <c r="T38" i="12"/>
  <c r="L38" i="12"/>
  <c r="O38" i="12"/>
  <c r="R38" i="12"/>
  <c r="S38" i="12"/>
  <c r="P38" i="12"/>
  <c r="M38" i="12"/>
  <c r="E38" i="12"/>
  <c r="H38" i="12"/>
  <c r="K38" i="12"/>
  <c r="C38" i="12"/>
  <c r="F38" i="12"/>
  <c r="I38" i="12"/>
  <c r="J38" i="12"/>
  <c r="G38" i="12"/>
  <c r="D38" i="12"/>
  <c r="AI37" i="12"/>
  <c r="AF37" i="12"/>
  <c r="AL37" i="12"/>
  <c r="AG37" i="12"/>
  <c r="AD37" i="12"/>
  <c r="AJ37" i="12"/>
  <c r="AK37" i="12"/>
  <c r="AH37" i="12"/>
  <c r="AE37" i="12"/>
  <c r="Z37" i="12"/>
  <c r="W37" i="12"/>
  <c r="AC37" i="12"/>
  <c r="U37" i="12"/>
  <c r="X37" i="12"/>
  <c r="AA37" i="12"/>
  <c r="AB37" i="12"/>
  <c r="Y37" i="12"/>
  <c r="V37" i="12"/>
  <c r="N37" i="12"/>
  <c r="Q37" i="12"/>
  <c r="T37" i="12"/>
  <c r="L37" i="12"/>
  <c r="O37" i="12"/>
  <c r="R37" i="12"/>
  <c r="S37" i="12"/>
  <c r="P37" i="12"/>
  <c r="M37" i="12"/>
  <c r="E37" i="12"/>
  <c r="H37" i="12"/>
  <c r="K37" i="12"/>
  <c r="C37" i="12"/>
  <c r="F37" i="12"/>
  <c r="I37" i="12"/>
  <c r="J37" i="12"/>
  <c r="G37" i="12"/>
  <c r="D37" i="12"/>
  <c r="AI36" i="12"/>
  <c r="AF36" i="12"/>
  <c r="AL36" i="12"/>
  <c r="AG36" i="12"/>
  <c r="AD36" i="12"/>
  <c r="AJ36" i="12"/>
  <c r="AK36" i="12"/>
  <c r="AH36" i="12"/>
  <c r="AE36" i="12"/>
  <c r="Z36" i="12"/>
  <c r="W36" i="12"/>
  <c r="AC36" i="12"/>
  <c r="U36" i="12"/>
  <c r="X36" i="12"/>
  <c r="AA36" i="12"/>
  <c r="AB36" i="12"/>
  <c r="Y36" i="12"/>
  <c r="V36" i="12"/>
  <c r="N36" i="12"/>
  <c r="Q36" i="12"/>
  <c r="T36" i="12"/>
  <c r="L36" i="12"/>
  <c r="O36" i="12"/>
  <c r="R36" i="12"/>
  <c r="S36" i="12"/>
  <c r="P36" i="12"/>
  <c r="M36" i="12"/>
  <c r="E36" i="12"/>
  <c r="H36" i="12"/>
  <c r="K36" i="12"/>
  <c r="C36" i="12"/>
  <c r="F36" i="12"/>
  <c r="I36" i="12"/>
  <c r="J36" i="12"/>
  <c r="G36" i="12"/>
  <c r="D36" i="12"/>
  <c r="AI35" i="12"/>
  <c r="AF35" i="12"/>
  <c r="AL35" i="12"/>
  <c r="AG35" i="12"/>
  <c r="AD35" i="12"/>
  <c r="AJ35" i="12"/>
  <c r="AK35" i="12"/>
  <c r="AH35" i="12"/>
  <c r="AE35" i="12"/>
  <c r="Z35" i="12"/>
  <c r="W35" i="12"/>
  <c r="AC35" i="12"/>
  <c r="U35" i="12"/>
  <c r="X35" i="12"/>
  <c r="AA35" i="12"/>
  <c r="AB35" i="12"/>
  <c r="Y35" i="12"/>
  <c r="V35" i="12"/>
  <c r="N35" i="12"/>
  <c r="Q35" i="12"/>
  <c r="T35" i="12"/>
  <c r="L35" i="12"/>
  <c r="O35" i="12"/>
  <c r="R35" i="12"/>
  <c r="S35" i="12"/>
  <c r="P35" i="12"/>
  <c r="M35" i="12"/>
  <c r="E35" i="12"/>
  <c r="H35" i="12"/>
  <c r="K35" i="12"/>
  <c r="C35" i="12"/>
  <c r="F35" i="12"/>
  <c r="I35" i="12"/>
  <c r="J35" i="12"/>
  <c r="G35" i="12"/>
  <c r="D35" i="12"/>
  <c r="AI34" i="12"/>
  <c r="AF34" i="12"/>
  <c r="AL34" i="12"/>
  <c r="AG34" i="12"/>
  <c r="AD34" i="12"/>
  <c r="AJ34" i="12"/>
  <c r="AK34" i="12"/>
  <c r="AH34" i="12"/>
  <c r="AE34" i="12"/>
  <c r="Z34" i="12"/>
  <c r="W34" i="12"/>
  <c r="AC34" i="12"/>
  <c r="U34" i="12"/>
  <c r="X34" i="12"/>
  <c r="AA34" i="12"/>
  <c r="AB34" i="12"/>
  <c r="Y34" i="12"/>
  <c r="V34" i="12"/>
  <c r="N34" i="12"/>
  <c r="Q34" i="12"/>
  <c r="T34" i="12"/>
  <c r="L34" i="12"/>
  <c r="O34" i="12"/>
  <c r="R34" i="12"/>
  <c r="S34" i="12"/>
  <c r="P34" i="12"/>
  <c r="M34" i="12"/>
  <c r="E34" i="12"/>
  <c r="H34" i="12"/>
  <c r="K34" i="12"/>
  <c r="C34" i="12"/>
  <c r="F34" i="12"/>
  <c r="I34" i="12"/>
  <c r="J34" i="12"/>
  <c r="G34" i="12"/>
  <c r="D34" i="12"/>
  <c r="AI33" i="12"/>
  <c r="AF33" i="12"/>
  <c r="AL33" i="12"/>
  <c r="AG33" i="12"/>
  <c r="AD33" i="12"/>
  <c r="AJ33" i="12"/>
  <c r="AK33" i="12"/>
  <c r="AH33" i="12"/>
  <c r="AE33" i="12"/>
  <c r="Z33" i="12"/>
  <c r="W33" i="12"/>
  <c r="AC33" i="12"/>
  <c r="U33" i="12"/>
  <c r="X33" i="12"/>
  <c r="AA33" i="12"/>
  <c r="AB33" i="12"/>
  <c r="Y33" i="12"/>
  <c r="V33" i="12"/>
  <c r="N33" i="12"/>
  <c r="Q33" i="12"/>
  <c r="T33" i="12"/>
  <c r="L33" i="12"/>
  <c r="O33" i="12"/>
  <c r="R33" i="12"/>
  <c r="S33" i="12"/>
  <c r="P33" i="12"/>
  <c r="M33" i="12"/>
  <c r="E33" i="12"/>
  <c r="H33" i="12"/>
  <c r="K33" i="12"/>
  <c r="C33" i="12"/>
  <c r="F33" i="12"/>
  <c r="I33" i="12"/>
  <c r="J33" i="12"/>
  <c r="G33" i="12"/>
  <c r="D33" i="12"/>
  <c r="AI32" i="12"/>
  <c r="AF32" i="12"/>
  <c r="AL32" i="12"/>
  <c r="AG32" i="12"/>
  <c r="AD32" i="12"/>
  <c r="AJ32" i="12"/>
  <c r="AK32" i="12"/>
  <c r="AH32" i="12"/>
  <c r="AE32" i="12"/>
  <c r="Z32" i="12"/>
  <c r="W32" i="12"/>
  <c r="AC32" i="12"/>
  <c r="U32" i="12"/>
  <c r="X32" i="12"/>
  <c r="AA32" i="12"/>
  <c r="AB32" i="12"/>
  <c r="Y32" i="12"/>
  <c r="V32" i="12"/>
  <c r="N32" i="12"/>
  <c r="Q32" i="12"/>
  <c r="T32" i="12"/>
  <c r="L32" i="12"/>
  <c r="O32" i="12"/>
  <c r="R32" i="12"/>
  <c r="S32" i="12"/>
  <c r="P32" i="12"/>
  <c r="M32" i="12"/>
  <c r="E32" i="12"/>
  <c r="H32" i="12"/>
  <c r="K32" i="12"/>
  <c r="C32" i="12"/>
  <c r="F32" i="12"/>
  <c r="I32" i="12"/>
  <c r="J32" i="12"/>
  <c r="G32" i="12"/>
  <c r="D32" i="12"/>
  <c r="AI31" i="12"/>
  <c r="AF31" i="12"/>
  <c r="AL31" i="12"/>
  <c r="AG31" i="12"/>
  <c r="AD31" i="12"/>
  <c r="AJ31" i="12"/>
  <c r="AK31" i="12"/>
  <c r="AH31" i="12"/>
  <c r="AE31" i="12"/>
  <c r="Z31" i="12"/>
  <c r="W31" i="12"/>
  <c r="AC31" i="12"/>
  <c r="U31" i="12"/>
  <c r="X31" i="12"/>
  <c r="AA31" i="12"/>
  <c r="AB31" i="12"/>
  <c r="Y31" i="12"/>
  <c r="V31" i="12"/>
  <c r="N31" i="12"/>
  <c r="Q31" i="12"/>
  <c r="T31" i="12"/>
  <c r="L31" i="12"/>
  <c r="O31" i="12"/>
  <c r="R31" i="12"/>
  <c r="S31" i="12"/>
  <c r="P31" i="12"/>
  <c r="M31" i="12"/>
  <c r="E31" i="12"/>
  <c r="H31" i="12"/>
  <c r="K31" i="12"/>
  <c r="C31" i="12"/>
  <c r="F31" i="12"/>
  <c r="I31" i="12"/>
  <c r="J31" i="12"/>
  <c r="G31" i="12"/>
  <c r="D31" i="12"/>
  <c r="AI30" i="12"/>
  <c r="AF30" i="12"/>
  <c r="AL30" i="12"/>
  <c r="AG30" i="12"/>
  <c r="AD30" i="12"/>
  <c r="AJ30" i="12"/>
  <c r="AK30" i="12"/>
  <c r="AH30" i="12"/>
  <c r="AE30" i="12"/>
  <c r="Z30" i="12"/>
  <c r="W30" i="12"/>
  <c r="AC30" i="12"/>
  <c r="U30" i="12"/>
  <c r="X30" i="12"/>
  <c r="AA30" i="12"/>
  <c r="AB30" i="12"/>
  <c r="Y30" i="12"/>
  <c r="V30" i="12"/>
  <c r="N30" i="12"/>
  <c r="Q30" i="12"/>
  <c r="T30" i="12"/>
  <c r="L30" i="12"/>
  <c r="O30" i="12"/>
  <c r="R30" i="12"/>
  <c r="S30" i="12"/>
  <c r="P30" i="12"/>
  <c r="M30" i="12"/>
  <c r="E30" i="12"/>
  <c r="H30" i="12"/>
  <c r="K30" i="12"/>
  <c r="C30" i="12"/>
  <c r="F30" i="12"/>
  <c r="I30" i="12"/>
  <c r="J30" i="12"/>
  <c r="G30" i="12"/>
  <c r="D30" i="12"/>
  <c r="AI29" i="12"/>
  <c r="AF29" i="12"/>
  <c r="AL29" i="12"/>
  <c r="AG29" i="12"/>
  <c r="AD29" i="12"/>
  <c r="AJ29" i="12"/>
  <c r="AK29" i="12"/>
  <c r="AH29" i="12"/>
  <c r="AE29" i="12"/>
  <c r="Z29" i="12"/>
  <c r="W29" i="12"/>
  <c r="AC29" i="12"/>
  <c r="U29" i="12"/>
  <c r="X29" i="12"/>
  <c r="AA29" i="12"/>
  <c r="AB29" i="12"/>
  <c r="Y29" i="12"/>
  <c r="V29" i="12"/>
  <c r="N29" i="12"/>
  <c r="Q29" i="12"/>
  <c r="T29" i="12"/>
  <c r="L29" i="12"/>
  <c r="O29" i="12"/>
  <c r="R29" i="12"/>
  <c r="S29" i="12"/>
  <c r="P29" i="12"/>
  <c r="M29" i="12"/>
  <c r="E29" i="12"/>
  <c r="H29" i="12"/>
  <c r="K29" i="12"/>
  <c r="C29" i="12"/>
  <c r="F29" i="12"/>
  <c r="I29" i="12"/>
  <c r="J29" i="12"/>
  <c r="G29" i="12"/>
  <c r="D29" i="12"/>
  <c r="AI28" i="12"/>
  <c r="AF28" i="12"/>
  <c r="AL28" i="12"/>
  <c r="AG28" i="12"/>
  <c r="AD28" i="12"/>
  <c r="AJ28" i="12"/>
  <c r="AK28" i="12"/>
  <c r="AH28" i="12"/>
  <c r="AE28" i="12"/>
  <c r="Z28" i="12"/>
  <c r="W28" i="12"/>
  <c r="AC28" i="12"/>
  <c r="U28" i="12"/>
  <c r="X28" i="12"/>
  <c r="AA28" i="12"/>
  <c r="AB28" i="12"/>
  <c r="Y28" i="12"/>
  <c r="V28" i="12"/>
  <c r="N28" i="12"/>
  <c r="Q28" i="12"/>
  <c r="T28" i="12"/>
  <c r="L28" i="12"/>
  <c r="O28" i="12"/>
  <c r="R28" i="12"/>
  <c r="S28" i="12"/>
  <c r="P28" i="12"/>
  <c r="M28" i="12"/>
  <c r="E28" i="12"/>
  <c r="H28" i="12"/>
  <c r="K28" i="12"/>
  <c r="C28" i="12"/>
  <c r="F28" i="12"/>
  <c r="I28" i="12"/>
  <c r="J28" i="12"/>
  <c r="G28" i="12"/>
  <c r="D28" i="12"/>
  <c r="AI27" i="12"/>
  <c r="AF27" i="12"/>
  <c r="AL27" i="12"/>
  <c r="AG27" i="12"/>
  <c r="AD27" i="12"/>
  <c r="AJ27" i="12"/>
  <c r="AK27" i="12"/>
  <c r="AH27" i="12"/>
  <c r="AE27" i="12"/>
  <c r="Z27" i="12"/>
  <c r="W27" i="12"/>
  <c r="AC27" i="12"/>
  <c r="U27" i="12"/>
  <c r="X27" i="12"/>
  <c r="AA27" i="12"/>
  <c r="AB27" i="12"/>
  <c r="Y27" i="12"/>
  <c r="V27" i="12"/>
  <c r="N27" i="12"/>
  <c r="Q27" i="12"/>
  <c r="T27" i="12"/>
  <c r="L27" i="12"/>
  <c r="O27" i="12"/>
  <c r="R27" i="12"/>
  <c r="S27" i="12"/>
  <c r="P27" i="12"/>
  <c r="M27" i="12"/>
  <c r="E27" i="12"/>
  <c r="H27" i="12"/>
  <c r="K27" i="12"/>
  <c r="C27" i="12"/>
  <c r="F27" i="12"/>
  <c r="I27" i="12"/>
  <c r="J27" i="12"/>
  <c r="G27" i="12"/>
  <c r="D27" i="12"/>
  <c r="AI26" i="12"/>
  <c r="AF26" i="12"/>
  <c r="AL26" i="12"/>
  <c r="AG26" i="12"/>
  <c r="AD26" i="12"/>
  <c r="AJ26" i="12"/>
  <c r="AK26" i="12"/>
  <c r="AH26" i="12"/>
  <c r="AE26" i="12"/>
  <c r="Z26" i="12"/>
  <c r="W26" i="12"/>
  <c r="AC26" i="12"/>
  <c r="U26" i="12"/>
  <c r="X26" i="12"/>
  <c r="AA26" i="12"/>
  <c r="AB26" i="12"/>
  <c r="Y26" i="12"/>
  <c r="V26" i="12"/>
  <c r="N26" i="12"/>
  <c r="Q26" i="12"/>
  <c r="T26" i="12"/>
  <c r="L26" i="12"/>
  <c r="O26" i="12"/>
  <c r="R26" i="12"/>
  <c r="S26" i="12"/>
  <c r="P26" i="12"/>
  <c r="M26" i="12"/>
  <c r="E26" i="12"/>
  <c r="H26" i="12"/>
  <c r="K26" i="12"/>
  <c r="C26" i="12"/>
  <c r="F26" i="12"/>
  <c r="I26" i="12"/>
  <c r="J26" i="12"/>
  <c r="G26" i="12"/>
  <c r="D26" i="12"/>
  <c r="B25" i="12"/>
  <c r="G15" i="9"/>
  <c r="H21" i="9"/>
  <c r="H22" i="9"/>
  <c r="AF28" i="9"/>
  <c r="H24" i="9"/>
  <c r="H25" i="9"/>
  <c r="X28" i="9"/>
  <c r="P28" i="9"/>
  <c r="H28" i="9"/>
  <c r="G31" i="9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B9" i="7"/>
  <c r="C17" i="7"/>
  <c r="C18" i="7"/>
  <c r="AF49" i="7"/>
  <c r="AA24" i="7"/>
  <c r="AC49" i="7"/>
  <c r="AH49" i="7"/>
  <c r="AD49" i="7"/>
  <c r="AA49" i="7"/>
  <c r="AG49" i="7"/>
  <c r="AE49" i="7"/>
  <c r="AB49" i="7"/>
  <c r="V24" i="7"/>
  <c r="X49" i="7"/>
  <c r="U49" i="7"/>
  <c r="Z49" i="7"/>
  <c r="V49" i="7"/>
  <c r="S49" i="7"/>
  <c r="Y49" i="7"/>
  <c r="W49" i="7"/>
  <c r="T49" i="7"/>
  <c r="N24" i="7"/>
  <c r="P49" i="7"/>
  <c r="M49" i="7"/>
  <c r="R49" i="7"/>
  <c r="N49" i="7"/>
  <c r="K49" i="7"/>
  <c r="Q49" i="7"/>
  <c r="O49" i="7"/>
  <c r="L49" i="7"/>
  <c r="F24" i="7"/>
  <c r="H49" i="7"/>
  <c r="E49" i="7"/>
  <c r="J49" i="7"/>
  <c r="F49" i="7"/>
  <c r="C49" i="7"/>
  <c r="I49" i="7"/>
  <c r="G49" i="7"/>
  <c r="D49" i="7"/>
  <c r="AF48" i="7"/>
  <c r="AC48" i="7"/>
  <c r="AH48" i="7"/>
  <c r="AD48" i="7"/>
  <c r="AA48" i="7"/>
  <c r="AG48" i="7"/>
  <c r="AE48" i="7"/>
  <c r="AB48" i="7"/>
  <c r="X48" i="7"/>
  <c r="U48" i="7"/>
  <c r="Z48" i="7"/>
  <c r="V48" i="7"/>
  <c r="S48" i="7"/>
  <c r="Y48" i="7"/>
  <c r="W48" i="7"/>
  <c r="T48" i="7"/>
  <c r="P48" i="7"/>
  <c r="M48" i="7"/>
  <c r="R48" i="7"/>
  <c r="N48" i="7"/>
  <c r="K48" i="7"/>
  <c r="Q48" i="7"/>
  <c r="O48" i="7"/>
  <c r="L48" i="7"/>
  <c r="H48" i="7"/>
  <c r="E48" i="7"/>
  <c r="J48" i="7"/>
  <c r="F48" i="7"/>
  <c r="C48" i="7"/>
  <c r="I48" i="7"/>
  <c r="G48" i="7"/>
  <c r="D48" i="7"/>
  <c r="AF47" i="7"/>
  <c r="AC47" i="7"/>
  <c r="AH47" i="7"/>
  <c r="AD47" i="7"/>
  <c r="AA47" i="7"/>
  <c r="AG47" i="7"/>
  <c r="AE47" i="7"/>
  <c r="AB47" i="7"/>
  <c r="X47" i="7"/>
  <c r="U47" i="7"/>
  <c r="Z47" i="7"/>
  <c r="V47" i="7"/>
  <c r="S47" i="7"/>
  <c r="Y47" i="7"/>
  <c r="W47" i="7"/>
  <c r="T47" i="7"/>
  <c r="P47" i="7"/>
  <c r="M47" i="7"/>
  <c r="R47" i="7"/>
  <c r="N47" i="7"/>
  <c r="K47" i="7"/>
  <c r="Q47" i="7"/>
  <c r="O47" i="7"/>
  <c r="L47" i="7"/>
  <c r="H47" i="7"/>
  <c r="E47" i="7"/>
  <c r="J47" i="7"/>
  <c r="F47" i="7"/>
  <c r="C47" i="7"/>
  <c r="I47" i="7"/>
  <c r="G47" i="7"/>
  <c r="D47" i="7"/>
  <c r="AF46" i="7"/>
  <c r="AC46" i="7"/>
  <c r="AH46" i="7"/>
  <c r="AD46" i="7"/>
  <c r="AA46" i="7"/>
  <c r="AG46" i="7"/>
  <c r="AE46" i="7"/>
  <c r="AB46" i="7"/>
  <c r="X46" i="7"/>
  <c r="U46" i="7"/>
  <c r="Z46" i="7"/>
  <c r="V46" i="7"/>
  <c r="S46" i="7"/>
  <c r="Y46" i="7"/>
  <c r="W46" i="7"/>
  <c r="T46" i="7"/>
  <c r="P46" i="7"/>
  <c r="M46" i="7"/>
  <c r="R46" i="7"/>
  <c r="N46" i="7"/>
  <c r="K46" i="7"/>
  <c r="Q46" i="7"/>
  <c r="O46" i="7"/>
  <c r="L46" i="7"/>
  <c r="H46" i="7"/>
  <c r="E46" i="7"/>
  <c r="J46" i="7"/>
  <c r="F46" i="7"/>
  <c r="C46" i="7"/>
  <c r="I46" i="7"/>
  <c r="G46" i="7"/>
  <c r="D46" i="7"/>
  <c r="AF45" i="7"/>
  <c r="AC45" i="7"/>
  <c r="AH45" i="7"/>
  <c r="AD45" i="7"/>
  <c r="AA45" i="7"/>
  <c r="AG45" i="7"/>
  <c r="AE45" i="7"/>
  <c r="AB45" i="7"/>
  <c r="X45" i="7"/>
  <c r="U45" i="7"/>
  <c r="Z45" i="7"/>
  <c r="V45" i="7"/>
  <c r="S45" i="7"/>
  <c r="Y45" i="7"/>
  <c r="W45" i="7"/>
  <c r="T45" i="7"/>
  <c r="P45" i="7"/>
  <c r="M45" i="7"/>
  <c r="R45" i="7"/>
  <c r="N45" i="7"/>
  <c r="K45" i="7"/>
  <c r="Q45" i="7"/>
  <c r="O45" i="7"/>
  <c r="L45" i="7"/>
  <c r="H45" i="7"/>
  <c r="E45" i="7"/>
  <c r="J45" i="7"/>
  <c r="F45" i="7"/>
  <c r="C45" i="7"/>
  <c r="I45" i="7"/>
  <c r="G45" i="7"/>
  <c r="D45" i="7"/>
  <c r="AF44" i="7"/>
  <c r="AC44" i="7"/>
  <c r="AH44" i="7"/>
  <c r="AD44" i="7"/>
  <c r="AA44" i="7"/>
  <c r="AG44" i="7"/>
  <c r="AE44" i="7"/>
  <c r="AB44" i="7"/>
  <c r="X44" i="7"/>
  <c r="U44" i="7"/>
  <c r="Z44" i="7"/>
  <c r="V44" i="7"/>
  <c r="S44" i="7"/>
  <c r="Y44" i="7"/>
  <c r="W44" i="7"/>
  <c r="T44" i="7"/>
  <c r="P44" i="7"/>
  <c r="M44" i="7"/>
  <c r="R44" i="7"/>
  <c r="N44" i="7"/>
  <c r="K44" i="7"/>
  <c r="Q44" i="7"/>
  <c r="O44" i="7"/>
  <c r="L44" i="7"/>
  <c r="H44" i="7"/>
  <c r="E44" i="7"/>
  <c r="J44" i="7"/>
  <c r="F44" i="7"/>
  <c r="C44" i="7"/>
  <c r="I44" i="7"/>
  <c r="G44" i="7"/>
  <c r="D44" i="7"/>
  <c r="AF43" i="7"/>
  <c r="AC43" i="7"/>
  <c r="AH43" i="7"/>
  <c r="AD43" i="7"/>
  <c r="AA43" i="7"/>
  <c r="AG43" i="7"/>
  <c r="AE43" i="7"/>
  <c r="AB43" i="7"/>
  <c r="X43" i="7"/>
  <c r="U43" i="7"/>
  <c r="Z43" i="7"/>
  <c r="V43" i="7"/>
  <c r="S43" i="7"/>
  <c r="Y43" i="7"/>
  <c r="W43" i="7"/>
  <c r="T43" i="7"/>
  <c r="P43" i="7"/>
  <c r="M43" i="7"/>
  <c r="R43" i="7"/>
  <c r="N43" i="7"/>
  <c r="K43" i="7"/>
  <c r="Q43" i="7"/>
  <c r="O43" i="7"/>
  <c r="L43" i="7"/>
  <c r="H43" i="7"/>
  <c r="E43" i="7"/>
  <c r="J43" i="7"/>
  <c r="F43" i="7"/>
  <c r="C43" i="7"/>
  <c r="I43" i="7"/>
  <c r="G43" i="7"/>
  <c r="D43" i="7"/>
  <c r="AF42" i="7"/>
  <c r="AC42" i="7"/>
  <c r="AH42" i="7"/>
  <c r="AD42" i="7"/>
  <c r="AA42" i="7"/>
  <c r="AG42" i="7"/>
  <c r="AE42" i="7"/>
  <c r="AB42" i="7"/>
  <c r="X42" i="7"/>
  <c r="U42" i="7"/>
  <c r="Z42" i="7"/>
  <c r="V42" i="7"/>
  <c r="S42" i="7"/>
  <c r="Y42" i="7"/>
  <c r="W42" i="7"/>
  <c r="T42" i="7"/>
  <c r="P42" i="7"/>
  <c r="M42" i="7"/>
  <c r="R42" i="7"/>
  <c r="N42" i="7"/>
  <c r="K42" i="7"/>
  <c r="Q42" i="7"/>
  <c r="O42" i="7"/>
  <c r="L42" i="7"/>
  <c r="H42" i="7"/>
  <c r="E42" i="7"/>
  <c r="J42" i="7"/>
  <c r="F42" i="7"/>
  <c r="C42" i="7"/>
  <c r="I42" i="7"/>
  <c r="G42" i="7"/>
  <c r="D42" i="7"/>
  <c r="AF41" i="7"/>
  <c r="AC41" i="7"/>
  <c r="AH41" i="7"/>
  <c r="AD41" i="7"/>
  <c r="AA41" i="7"/>
  <c r="AG41" i="7"/>
  <c r="AE41" i="7"/>
  <c r="AB41" i="7"/>
  <c r="X41" i="7"/>
  <c r="U41" i="7"/>
  <c r="Z41" i="7"/>
  <c r="V41" i="7"/>
  <c r="S41" i="7"/>
  <c r="Y41" i="7"/>
  <c r="W41" i="7"/>
  <c r="T41" i="7"/>
  <c r="P41" i="7"/>
  <c r="M41" i="7"/>
  <c r="R41" i="7"/>
  <c r="N41" i="7"/>
  <c r="K41" i="7"/>
  <c r="Q41" i="7"/>
  <c r="O41" i="7"/>
  <c r="L41" i="7"/>
  <c r="H41" i="7"/>
  <c r="E41" i="7"/>
  <c r="J41" i="7"/>
  <c r="F41" i="7"/>
  <c r="C41" i="7"/>
  <c r="I41" i="7"/>
  <c r="G41" i="7"/>
  <c r="D41" i="7"/>
  <c r="AF40" i="7"/>
  <c r="AC40" i="7"/>
  <c r="AH40" i="7"/>
  <c r="AD40" i="7"/>
  <c r="AA40" i="7"/>
  <c r="AG40" i="7"/>
  <c r="AE40" i="7"/>
  <c r="AB40" i="7"/>
  <c r="X40" i="7"/>
  <c r="U40" i="7"/>
  <c r="Z40" i="7"/>
  <c r="V40" i="7"/>
  <c r="S40" i="7"/>
  <c r="Y40" i="7"/>
  <c r="W40" i="7"/>
  <c r="T40" i="7"/>
  <c r="P40" i="7"/>
  <c r="M40" i="7"/>
  <c r="R40" i="7"/>
  <c r="N40" i="7"/>
  <c r="K40" i="7"/>
  <c r="Q40" i="7"/>
  <c r="O40" i="7"/>
  <c r="L40" i="7"/>
  <c r="H40" i="7"/>
  <c r="E40" i="7"/>
  <c r="J40" i="7"/>
  <c r="F40" i="7"/>
  <c r="C40" i="7"/>
  <c r="I40" i="7"/>
  <c r="G40" i="7"/>
  <c r="D40" i="7"/>
  <c r="AF39" i="7"/>
  <c r="AC39" i="7"/>
  <c r="AH39" i="7"/>
  <c r="AD39" i="7"/>
  <c r="AA39" i="7"/>
  <c r="AG39" i="7"/>
  <c r="AE39" i="7"/>
  <c r="AB39" i="7"/>
  <c r="X39" i="7"/>
  <c r="U39" i="7"/>
  <c r="Z39" i="7"/>
  <c r="V39" i="7"/>
  <c r="S39" i="7"/>
  <c r="Y39" i="7"/>
  <c r="W39" i="7"/>
  <c r="T39" i="7"/>
  <c r="P39" i="7"/>
  <c r="M39" i="7"/>
  <c r="R39" i="7"/>
  <c r="N39" i="7"/>
  <c r="K39" i="7"/>
  <c r="Q39" i="7"/>
  <c r="O39" i="7"/>
  <c r="L39" i="7"/>
  <c r="H39" i="7"/>
  <c r="E39" i="7"/>
  <c r="J39" i="7"/>
  <c r="F39" i="7"/>
  <c r="C39" i="7"/>
  <c r="I39" i="7"/>
  <c r="G39" i="7"/>
  <c r="D39" i="7"/>
  <c r="AF38" i="7"/>
  <c r="AC38" i="7"/>
  <c r="AH38" i="7"/>
  <c r="AD38" i="7"/>
  <c r="AA38" i="7"/>
  <c r="AG38" i="7"/>
  <c r="AE38" i="7"/>
  <c r="AB38" i="7"/>
  <c r="X38" i="7"/>
  <c r="U38" i="7"/>
  <c r="Z38" i="7"/>
  <c r="V38" i="7"/>
  <c r="S38" i="7"/>
  <c r="Y38" i="7"/>
  <c r="W38" i="7"/>
  <c r="T38" i="7"/>
  <c r="P38" i="7"/>
  <c r="M38" i="7"/>
  <c r="R38" i="7"/>
  <c r="N38" i="7"/>
  <c r="K38" i="7"/>
  <c r="Q38" i="7"/>
  <c r="O38" i="7"/>
  <c r="L38" i="7"/>
  <c r="H38" i="7"/>
  <c r="E38" i="7"/>
  <c r="J38" i="7"/>
  <c r="F38" i="7"/>
  <c r="C38" i="7"/>
  <c r="I38" i="7"/>
  <c r="G38" i="7"/>
  <c r="D38" i="7"/>
  <c r="AF37" i="7"/>
  <c r="AC37" i="7"/>
  <c r="AH37" i="7"/>
  <c r="AD37" i="7"/>
  <c r="AA37" i="7"/>
  <c r="AG37" i="7"/>
  <c r="AE37" i="7"/>
  <c r="AB37" i="7"/>
  <c r="X37" i="7"/>
  <c r="U37" i="7"/>
  <c r="Z37" i="7"/>
  <c r="V37" i="7"/>
  <c r="S37" i="7"/>
  <c r="Y37" i="7"/>
  <c r="W37" i="7"/>
  <c r="T37" i="7"/>
  <c r="P37" i="7"/>
  <c r="M37" i="7"/>
  <c r="R37" i="7"/>
  <c r="N37" i="7"/>
  <c r="K37" i="7"/>
  <c r="Q37" i="7"/>
  <c r="O37" i="7"/>
  <c r="L37" i="7"/>
  <c r="H37" i="7"/>
  <c r="E37" i="7"/>
  <c r="J37" i="7"/>
  <c r="F37" i="7"/>
  <c r="C37" i="7"/>
  <c r="I37" i="7"/>
  <c r="G37" i="7"/>
  <c r="D37" i="7"/>
  <c r="AF36" i="7"/>
  <c r="AC36" i="7"/>
  <c r="AH36" i="7"/>
  <c r="AD36" i="7"/>
  <c r="AA36" i="7"/>
  <c r="AG36" i="7"/>
  <c r="AE36" i="7"/>
  <c r="AB36" i="7"/>
  <c r="X36" i="7"/>
  <c r="U36" i="7"/>
  <c r="Z36" i="7"/>
  <c r="V36" i="7"/>
  <c r="S36" i="7"/>
  <c r="Y36" i="7"/>
  <c r="W36" i="7"/>
  <c r="T36" i="7"/>
  <c r="P36" i="7"/>
  <c r="M36" i="7"/>
  <c r="R36" i="7"/>
  <c r="N36" i="7"/>
  <c r="K36" i="7"/>
  <c r="Q36" i="7"/>
  <c r="O36" i="7"/>
  <c r="L36" i="7"/>
  <c r="H36" i="7"/>
  <c r="E36" i="7"/>
  <c r="J36" i="7"/>
  <c r="F36" i="7"/>
  <c r="C36" i="7"/>
  <c r="I36" i="7"/>
  <c r="G36" i="7"/>
  <c r="D36" i="7"/>
  <c r="AF35" i="7"/>
  <c r="AC35" i="7"/>
  <c r="AH35" i="7"/>
  <c r="AD35" i="7"/>
  <c r="AA35" i="7"/>
  <c r="AG35" i="7"/>
  <c r="AE35" i="7"/>
  <c r="AB35" i="7"/>
  <c r="X35" i="7"/>
  <c r="U35" i="7"/>
  <c r="Z35" i="7"/>
  <c r="V35" i="7"/>
  <c r="S35" i="7"/>
  <c r="Y35" i="7"/>
  <c r="W35" i="7"/>
  <c r="T35" i="7"/>
  <c r="P35" i="7"/>
  <c r="M35" i="7"/>
  <c r="R35" i="7"/>
  <c r="N35" i="7"/>
  <c r="K35" i="7"/>
  <c r="Q35" i="7"/>
  <c r="O35" i="7"/>
  <c r="L35" i="7"/>
  <c r="H35" i="7"/>
  <c r="E35" i="7"/>
  <c r="J35" i="7"/>
  <c r="F35" i="7"/>
  <c r="C35" i="7"/>
  <c r="I35" i="7"/>
  <c r="G35" i="7"/>
  <c r="D35" i="7"/>
  <c r="AF34" i="7"/>
  <c r="AC34" i="7"/>
  <c r="AH34" i="7"/>
  <c r="AD34" i="7"/>
  <c r="AA34" i="7"/>
  <c r="AG34" i="7"/>
  <c r="AE34" i="7"/>
  <c r="AB34" i="7"/>
  <c r="X34" i="7"/>
  <c r="U34" i="7"/>
  <c r="Z34" i="7"/>
  <c r="V34" i="7"/>
  <c r="S34" i="7"/>
  <c r="Y34" i="7"/>
  <c r="W34" i="7"/>
  <c r="T34" i="7"/>
  <c r="P34" i="7"/>
  <c r="M34" i="7"/>
  <c r="R34" i="7"/>
  <c r="N34" i="7"/>
  <c r="K34" i="7"/>
  <c r="Q34" i="7"/>
  <c r="O34" i="7"/>
  <c r="L34" i="7"/>
  <c r="H34" i="7"/>
  <c r="E34" i="7"/>
  <c r="J34" i="7"/>
  <c r="F34" i="7"/>
  <c r="C34" i="7"/>
  <c r="I34" i="7"/>
  <c r="G34" i="7"/>
  <c r="D34" i="7"/>
  <c r="AF33" i="7"/>
  <c r="AC33" i="7"/>
  <c r="AH33" i="7"/>
  <c r="AD33" i="7"/>
  <c r="AA33" i="7"/>
  <c r="AG33" i="7"/>
  <c r="AE33" i="7"/>
  <c r="AB33" i="7"/>
  <c r="X33" i="7"/>
  <c r="U33" i="7"/>
  <c r="Z33" i="7"/>
  <c r="V33" i="7"/>
  <c r="S33" i="7"/>
  <c r="Y33" i="7"/>
  <c r="W33" i="7"/>
  <c r="T33" i="7"/>
  <c r="P33" i="7"/>
  <c r="M33" i="7"/>
  <c r="R33" i="7"/>
  <c r="N33" i="7"/>
  <c r="K33" i="7"/>
  <c r="Q33" i="7"/>
  <c r="O33" i="7"/>
  <c r="L33" i="7"/>
  <c r="H33" i="7"/>
  <c r="E33" i="7"/>
  <c r="J33" i="7"/>
  <c r="F33" i="7"/>
  <c r="C33" i="7"/>
  <c r="I33" i="7"/>
  <c r="G33" i="7"/>
  <c r="D33" i="7"/>
  <c r="AF32" i="7"/>
  <c r="AC32" i="7"/>
  <c r="AH32" i="7"/>
  <c r="AD32" i="7"/>
  <c r="AA32" i="7"/>
  <c r="AG32" i="7"/>
  <c r="AE32" i="7"/>
  <c r="AB32" i="7"/>
  <c r="X32" i="7"/>
  <c r="U32" i="7"/>
  <c r="Z32" i="7"/>
  <c r="V32" i="7"/>
  <c r="S32" i="7"/>
  <c r="Y32" i="7"/>
  <c r="W32" i="7"/>
  <c r="T32" i="7"/>
  <c r="P32" i="7"/>
  <c r="M32" i="7"/>
  <c r="R32" i="7"/>
  <c r="N32" i="7"/>
  <c r="K32" i="7"/>
  <c r="Q32" i="7"/>
  <c r="O32" i="7"/>
  <c r="L32" i="7"/>
  <c r="H32" i="7"/>
  <c r="E32" i="7"/>
  <c r="J32" i="7"/>
  <c r="F32" i="7"/>
  <c r="C32" i="7"/>
  <c r="I32" i="7"/>
  <c r="G32" i="7"/>
  <c r="D32" i="7"/>
  <c r="AF31" i="7"/>
  <c r="AC31" i="7"/>
  <c r="AH31" i="7"/>
  <c r="AD31" i="7"/>
  <c r="AA31" i="7"/>
  <c r="AG31" i="7"/>
  <c r="AE31" i="7"/>
  <c r="AB31" i="7"/>
  <c r="X31" i="7"/>
  <c r="U31" i="7"/>
  <c r="Z31" i="7"/>
  <c r="V31" i="7"/>
  <c r="S31" i="7"/>
  <c r="Y31" i="7"/>
  <c r="W31" i="7"/>
  <c r="T31" i="7"/>
  <c r="P31" i="7"/>
  <c r="M31" i="7"/>
  <c r="R31" i="7"/>
  <c r="N31" i="7"/>
  <c r="K31" i="7"/>
  <c r="Q31" i="7"/>
  <c r="O31" i="7"/>
  <c r="L31" i="7"/>
  <c r="H31" i="7"/>
  <c r="E31" i="7"/>
  <c r="J31" i="7"/>
  <c r="F31" i="7"/>
  <c r="C31" i="7"/>
  <c r="I31" i="7"/>
  <c r="G31" i="7"/>
  <c r="D31" i="7"/>
  <c r="AF30" i="7"/>
  <c r="AC30" i="7"/>
  <c r="AH30" i="7"/>
  <c r="AD30" i="7"/>
  <c r="AA30" i="7"/>
  <c r="AG30" i="7"/>
  <c r="AE30" i="7"/>
  <c r="AB30" i="7"/>
  <c r="X30" i="7"/>
  <c r="U30" i="7"/>
  <c r="Z30" i="7"/>
  <c r="V30" i="7"/>
  <c r="S30" i="7"/>
  <c r="Y30" i="7"/>
  <c r="W30" i="7"/>
  <c r="T30" i="7"/>
  <c r="P30" i="7"/>
  <c r="M30" i="7"/>
  <c r="R30" i="7"/>
  <c r="N30" i="7"/>
  <c r="K30" i="7"/>
  <c r="Q30" i="7"/>
  <c r="O30" i="7"/>
  <c r="L30" i="7"/>
  <c r="H30" i="7"/>
  <c r="E30" i="7"/>
  <c r="J30" i="7"/>
  <c r="F30" i="7"/>
  <c r="C30" i="7"/>
  <c r="I30" i="7"/>
  <c r="G30" i="7"/>
  <c r="D30" i="7"/>
  <c r="AF29" i="7"/>
  <c r="AC29" i="7"/>
  <c r="AH29" i="7"/>
  <c r="AD29" i="7"/>
  <c r="AA29" i="7"/>
  <c r="AG29" i="7"/>
  <c r="AE29" i="7"/>
  <c r="AB29" i="7"/>
  <c r="X29" i="7"/>
  <c r="U29" i="7"/>
  <c r="Z29" i="7"/>
  <c r="V29" i="7"/>
  <c r="S29" i="7"/>
  <c r="Y29" i="7"/>
  <c r="W29" i="7"/>
  <c r="T29" i="7"/>
  <c r="P29" i="7"/>
  <c r="M29" i="7"/>
  <c r="R29" i="7"/>
  <c r="N29" i="7"/>
  <c r="K29" i="7"/>
  <c r="Q29" i="7"/>
  <c r="O29" i="7"/>
  <c r="L29" i="7"/>
  <c r="H29" i="7"/>
  <c r="E29" i="7"/>
  <c r="J29" i="7"/>
  <c r="F29" i="7"/>
  <c r="C29" i="7"/>
  <c r="I29" i="7"/>
  <c r="G29" i="7"/>
  <c r="D29" i="7"/>
  <c r="AF28" i="7"/>
  <c r="AC28" i="7"/>
  <c r="AH28" i="7"/>
  <c r="AD28" i="7"/>
  <c r="AA28" i="7"/>
  <c r="AG28" i="7"/>
  <c r="AE28" i="7"/>
  <c r="AB28" i="7"/>
  <c r="X28" i="7"/>
  <c r="U28" i="7"/>
  <c r="Z28" i="7"/>
  <c r="V28" i="7"/>
  <c r="S28" i="7"/>
  <c r="Y28" i="7"/>
  <c r="W28" i="7"/>
  <c r="T28" i="7"/>
  <c r="P28" i="7"/>
  <c r="M28" i="7"/>
  <c r="R28" i="7"/>
  <c r="N28" i="7"/>
  <c r="K28" i="7"/>
  <c r="Q28" i="7"/>
  <c r="O28" i="7"/>
  <c r="L28" i="7"/>
  <c r="H28" i="7"/>
  <c r="E28" i="7"/>
  <c r="J28" i="7"/>
  <c r="F28" i="7"/>
  <c r="C28" i="7"/>
  <c r="I28" i="7"/>
  <c r="G28" i="7"/>
  <c r="D28" i="7"/>
  <c r="B27" i="7"/>
  <c r="AG25" i="12"/>
  <c r="AD25" i="12"/>
  <c r="AJ25" i="12"/>
  <c r="AI25" i="12"/>
  <c r="AF25" i="12"/>
  <c r="AL25" i="12"/>
  <c r="AK25" i="12"/>
  <c r="U25" i="12"/>
  <c r="X25" i="12"/>
  <c r="AA25" i="12"/>
  <c r="Z25" i="12"/>
  <c r="W25" i="12"/>
  <c r="AC25" i="12"/>
  <c r="AB25" i="12"/>
  <c r="L25" i="12"/>
  <c r="O25" i="12"/>
  <c r="R25" i="12"/>
  <c r="N25" i="12"/>
  <c r="Q25" i="12"/>
  <c r="T25" i="12"/>
  <c r="S25" i="12"/>
  <c r="C25" i="12"/>
  <c r="F25" i="12"/>
  <c r="I25" i="12"/>
  <c r="E25" i="12"/>
  <c r="H25" i="12"/>
  <c r="K25" i="12"/>
  <c r="J25" i="12"/>
  <c r="AH25" i="12"/>
  <c r="AE25" i="12"/>
  <c r="Y25" i="12"/>
  <c r="V25" i="12"/>
  <c r="P25" i="12"/>
  <c r="M25" i="12"/>
  <c r="G25" i="12"/>
  <c r="D25" i="12"/>
  <c r="A25" i="12"/>
  <c r="A5" i="12"/>
  <c r="A4" i="12"/>
  <c r="A3" i="12"/>
  <c r="A2" i="12"/>
  <c r="A5" i="9"/>
  <c r="A4" i="9"/>
  <c r="A3" i="9"/>
  <c r="A2" i="9"/>
  <c r="A5" i="7"/>
  <c r="A4" i="7"/>
  <c r="A3" i="7"/>
  <c r="A2" i="7"/>
  <c r="A31" i="9"/>
  <c r="P27" i="7"/>
  <c r="AF27" i="7"/>
  <c r="AC27" i="7"/>
  <c r="N27" i="7"/>
  <c r="F27" i="7"/>
  <c r="AA27" i="7"/>
  <c r="K27" i="7"/>
  <c r="O27" i="7"/>
  <c r="T27" i="7"/>
  <c r="M27" i="7"/>
  <c r="V27" i="7"/>
  <c r="C27" i="7"/>
  <c r="W27" i="7"/>
  <c r="D27" i="7"/>
  <c r="A27" i="7"/>
  <c r="U27" i="7"/>
  <c r="S27" i="7"/>
  <c r="G27" i="7"/>
  <c r="H27" i="7"/>
  <c r="E27" i="7"/>
  <c r="AE27" i="7"/>
  <c r="L27" i="7"/>
  <c r="X27" i="7"/>
  <c r="AB27" i="7"/>
  <c r="AD27" i="7"/>
  <c r="AG27" i="7"/>
  <c r="Z27" i="7"/>
  <c r="J27" i="7"/>
  <c r="Y27" i="7"/>
  <c r="I27" i="7"/>
  <c r="Q27" i="7"/>
  <c r="AH27" i="7"/>
  <c r="R27" i="7"/>
  <c r="AG31" i="9"/>
  <c r="I31" i="9"/>
  <c r="Y31" i="9"/>
  <c r="K31" i="9"/>
  <c r="AA31" i="9"/>
  <c r="J31" i="9"/>
  <c r="R31" i="9"/>
  <c r="Z31" i="9"/>
  <c r="AH31" i="9"/>
  <c r="M31" i="9"/>
  <c r="U31" i="9"/>
  <c r="AC31" i="9"/>
  <c r="AK31" i="9"/>
  <c r="L31" i="9"/>
  <c r="T31" i="9"/>
  <c r="AB31" i="9"/>
  <c r="AJ31" i="9"/>
  <c r="H31" i="9"/>
  <c r="P31" i="9"/>
  <c r="X31" i="9"/>
  <c r="AF31" i="9"/>
  <c r="Q31" i="9"/>
  <c r="AI31" i="9"/>
  <c r="S31" i="9"/>
  <c r="V31" i="9"/>
  <c r="AL31" i="9"/>
  <c r="AM31" i="9"/>
  <c r="AE31" i="9"/>
  <c r="W31" i="9"/>
  <c r="O31" i="9"/>
  <c r="AD31" i="9"/>
  <c r="N31" i="9"/>
</calcChain>
</file>

<file path=xl/sharedStrings.xml><?xml version="1.0" encoding="utf-8"?>
<sst xmlns="http://schemas.openxmlformats.org/spreadsheetml/2006/main" count="340" uniqueCount="175">
  <si>
    <t>Currency</t>
  </si>
  <si>
    <t>Origin_Company</t>
  </si>
  <si>
    <t>QTY</t>
  </si>
  <si>
    <t>SALES</t>
  </si>
  <si>
    <t>D</t>
  </si>
  <si>
    <t>N</t>
  </si>
  <si>
    <t>[Begin Format Range]</t>
  </si>
  <si>
    <t>[End Format Range]</t>
  </si>
  <si>
    <t>Prev_IC_mapping</t>
  </si>
  <si>
    <t>MARKET SHARES - 4 PERIODS</t>
  </si>
  <si>
    <t>Country</t>
  </si>
  <si>
    <t>Market Share %</t>
  </si>
  <si>
    <t>KUHN Sales</t>
  </si>
  <si>
    <t>KUHN_Scope</t>
  </si>
  <si>
    <t>Unit.Price</t>
  </si>
  <si>
    <t>Market Shares - 4 periods</t>
  </si>
  <si>
    <t>Market Shares</t>
  </si>
  <si>
    <t>Kuhn_scope</t>
  </si>
  <si>
    <t>Out_of_Scope</t>
  </si>
  <si>
    <t>Global_Market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</si>
  <si>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</si>
  <si>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</si>
  <si>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</si>
  <si>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</si>
  <si>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</si>
  <si>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</si>
  <si>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</si>
  <si>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</si>
  <si>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</si>
  <si>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</si>
  <si>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</si>
  <si>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</si>
  <si>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</si>
  <si>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</si>
  <si>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</si>
  <si>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</si>
  <si>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</si>
  <si>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</si>
  <si>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</si>
  <si>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</si>
  <si>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</si>
  <si>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</si>
  <si>
    <t>F - CRP - Mounted reversible ploughs</t>
  </si>
  <si>
    <t>F - RSP - Semi-mounted reversible ploughs</t>
  </si>
  <si>
    <t>F - SSP - Semi-mounted conventional ploughs</t>
  </si>
  <si>
    <t>F - CROT - Rotary ploughs</t>
  </si>
  <si>
    <t>F - F-CORPS - Bodies and skim coulters</t>
  </si>
  <si>
    <t>F - PC-LAB - Ploughing</t>
  </si>
  <si>
    <t>F - F-CPR - Deep working cultivators</t>
  </si>
  <si>
    <t>SF - SF-CPR_A -Sub soilers</t>
  </si>
  <si>
    <t>SF - SF-CPR_B -Soil looseners</t>
  </si>
  <si>
    <t>SF - SF-CPR_C -Discs / tines cultivators</t>
  </si>
  <si>
    <t>SF - SF-CPR_D -Tines cultivators</t>
  </si>
  <si>
    <t>SF - PC-F-CPR -Deep working cultivators</t>
  </si>
  <si>
    <t>F - F-DCH - Stubble cultivators</t>
  </si>
  <si>
    <t>SF - SF-DCH_A -Stubble cultivators with discs</t>
  </si>
  <si>
    <t>SF - SF-DCH_B -Stubble cultivators with tines</t>
  </si>
  <si>
    <t>SF - PC-F-DCH -Stubble cultivators</t>
  </si>
  <si>
    <t>F - F-CCR - Disc harrows</t>
  </si>
  <si>
    <t>SF - SF-CCR_C -Seed bed tandem disc harrow</t>
  </si>
  <si>
    <t>SF - SF-CCR_A -Tandem disc harrows</t>
  </si>
  <si>
    <t>SF - SF-CCR_D -Tandem disc harrow for deep tillage</t>
  </si>
  <si>
    <t>SF - SF-CCR_B -Offset disc harrows</t>
  </si>
  <si>
    <t>SF - PC-F-CCR -Disc harrows</t>
  </si>
  <si>
    <t>F - F-VTL - Shalow tillage tools</t>
  </si>
  <si>
    <t>F - F-STL - Strip-Till</t>
  </si>
  <si>
    <t>F - F-PLS - Seedbed preparation tools</t>
  </si>
  <si>
    <t>SF - SF-PLS_A -Seed bed cultivators</t>
  </si>
  <si>
    <t>SF - SF-PLS_F -Seed bed cultivators with discs and tines</t>
  </si>
  <si>
    <t>SF - SF-PLS_B -Integrated seed bed cultivators</t>
  </si>
  <si>
    <t>SF - SF-PLS_D -Power harrows</t>
  </si>
  <si>
    <t>SF - SF-PLS_E -Reciprocating Harrows</t>
  </si>
  <si>
    <t>SF - SF-PLS_C -Power tillers</t>
  </si>
  <si>
    <t>SF - PC-F-PLS -Seedbed preparation tools</t>
  </si>
  <si>
    <t>F - F-ROL - Rollers</t>
  </si>
  <si>
    <t>F - F-ADD - Additional Tillage</t>
  </si>
  <si>
    <t>F - F-BIN - Inter-row cultivators</t>
  </si>
  <si>
    <t>F - PC-SOL - Tillage</t>
  </si>
  <si>
    <t>F - TF - Front Hoppers / Seed Carts</t>
  </si>
  <si>
    <t>F - F-SLM - Mechanical seed drills</t>
  </si>
  <si>
    <t>SF - SF-SLM_A -Mounted seed drills mechanical</t>
  </si>
  <si>
    <t>SF - SF-SLM_B -Integrated seed drills mechanical</t>
  </si>
  <si>
    <t>SF - SF-SLM_C -Trailed seed drills min till</t>
  </si>
  <si>
    <t>SF - SF-SLM_D -Trailed seed drills no till meca</t>
  </si>
  <si>
    <t>SF - PC-F-SLM -Mechanical seed drills</t>
  </si>
  <si>
    <t>F - F-SLP - Pneumatic seed drills</t>
  </si>
  <si>
    <t>SF - SF-SLP_B -Integrated seed drills pneumatic</t>
  </si>
  <si>
    <t>SF - SF-SLP_C -Seeding bar front hopper / seed cart</t>
  </si>
  <si>
    <t>SF - SF-SLP_E -Trailed seed drills No Till</t>
  </si>
  <si>
    <t>SF - SF-SLP_F -Mounted seed drills min till</t>
  </si>
  <si>
    <t>SF - SF-SLP_G -Trailed seed drills min till</t>
  </si>
  <si>
    <t>SF - SF-SLP_D -Trailed seed drills for conventional seeding</t>
  </si>
  <si>
    <t>SF - SF-SLP_A -Mounted seed drills</t>
  </si>
  <si>
    <t>SF - PC-F-SLP -Pneumatic seed drills</t>
  </si>
  <si>
    <t>F - F-SH - Cover crop seeders</t>
  </si>
  <si>
    <t>F - F-SMM - Mechanical precision seed drills</t>
  </si>
  <si>
    <t>F - F-SMP - Pneumatic precision seed drills</t>
  </si>
  <si>
    <t>F - F-CTAP - Transport or coupling trailer for seeder</t>
  </si>
  <si>
    <t>F - PL - Transplanter</t>
  </si>
  <si>
    <t>F - PC-SEM - Seeding</t>
  </si>
  <si>
    <t>F - MAN - Lifting Equipment</t>
  </si>
  <si>
    <t>F - DE - Fertiliser Spreaders</t>
  </si>
  <si>
    <t>F - F-RAVDIS - Fertiliser Spreader Cart</t>
  </si>
  <si>
    <t>F - CHARIOT - Carrying frame</t>
  </si>
  <si>
    <t>F - PC-FER - Fertilisation</t>
  </si>
  <si>
    <t>F - F-PAA - Self-propelled field sprayers</t>
  </si>
  <si>
    <t>F - PAT - Trailed agricultural sprayers</t>
  </si>
  <si>
    <t>F - PAP - Mounted agricultural sprayers</t>
  </si>
  <si>
    <t>F - PE - Integrated sprayers</t>
  </si>
  <si>
    <t>F - F-PVV - Vineyard and orchard sprayers</t>
  </si>
  <si>
    <t>F - ATO - Air blast sprayers</t>
  </si>
  <si>
    <t>F - TGC - Trailed field sprayers</t>
  </si>
  <si>
    <t>F - PGC - Mounted field sprayers</t>
  </si>
  <si>
    <t>F - PEV - Amenity sprayers</t>
  </si>
  <si>
    <t>F - PC-PLV - Spraying</t>
  </si>
  <si>
    <t>F - F-PLV-EQU - Sprayer equipment</t>
  </si>
  <si>
    <t>F - BAC - Offset arm Verge Shredders</t>
  </si>
  <si>
    <t>F - FD - Hedge and Grass Cutters</t>
  </si>
  <si>
    <t>SF - FDBA -Hedge and Grass Cutters - Rear Arm</t>
  </si>
  <si>
    <t>SF - FDGP -Professional-Duty Boom Mowers</t>
  </si>
  <si>
    <t>SF - FD-420-490 -AGRI-LONGER 34-45 HP</t>
  </si>
  <si>
    <t>SF - SF-POLY-LONGER -POLY-LONGER 51 HP</t>
  </si>
  <si>
    <t>SF - FD-490-550 -MULTI-LONGER 44-60 HP</t>
  </si>
  <si>
    <t>SF - FD-550-620 -PRO-LONGER 80 HP</t>
  </si>
  <si>
    <t>SF - PC-FD -Hedge and Grass Cutters</t>
  </si>
  <si>
    <t>F - DSS - Salt and Sand Spreaders</t>
  </si>
  <si>
    <t>F - PEV2 - Amenity sprayers</t>
  </si>
  <si>
    <t>F - PBAT - Sprayer for building</t>
  </si>
  <si>
    <t>F - PC-ENT - Sprayers for buildings</t>
  </si>
  <si>
    <t>F - BAH - Shredder with horizontal axis</t>
  </si>
  <si>
    <t>F - BAV - Rotary Toppers</t>
  </si>
  <si>
    <t>F - PC-BRO - Shredders</t>
  </si>
  <si>
    <t>F - GMD - Mowers</t>
  </si>
  <si>
    <t>SF - FF -Front Mounted Disc Mowers</t>
  </si>
  <si>
    <t>SF - FGS -Select Range Disc Mowers</t>
  </si>
  <si>
    <t>SF - FTR -Trailed disc mowers</t>
  </si>
  <si>
    <t>SF - FT -Triple Gang Disc Mowers</t>
  </si>
  <si>
    <t>SF - FRH -Horizontal Fold Disc Mowers</t>
  </si>
  <si>
    <t>SF - FRV -Vertical Fold Disc Mowers</t>
  </si>
  <si>
    <t>SF - PDF -Mower cutterbars</t>
  </si>
  <si>
    <t>SF - FTF -Front mounted drum mowers</t>
  </si>
  <si>
    <t>SF - FTTR -Trailed drum mowers</t>
  </si>
  <si>
    <t>SF - FTT -Triple drum mowers</t>
  </si>
  <si>
    <t>SF - FTP -Mounted drum mowers</t>
  </si>
  <si>
    <t>SF - FA -FA Sicklebar Mowers</t>
  </si>
  <si>
    <t>SF - PC-GMD -Mowers</t>
  </si>
  <si>
    <t>F - FC - Mower Conditioners</t>
  </si>
  <si>
    <t>F - COND - Conditioners</t>
  </si>
  <si>
    <t>F - GF - Gyrotedders</t>
  </si>
  <si>
    <t>F - GA - Rakes</t>
  </si>
  <si>
    <t>SF - GAP -Mounted Gyrorakes</t>
  </si>
  <si>
    <t>SF - GASP -Semi-Mounted Gyrorakes</t>
  </si>
  <si>
    <t>SF - GAT -Trailed Gyrorakes</t>
  </si>
  <si>
    <t>SF - ANTP -Belt merger</t>
  </si>
  <si>
    <t>SF - RST -Trailed wheel rakes</t>
  </si>
  <si>
    <t>SF - KUHNFLEX -Kuhnflex</t>
  </si>
  <si>
    <t>SF - PC-GA -Rakes</t>
  </si>
  <si>
    <t>F - GRS - Tedder-Rake Combinations</t>
  </si>
  <si>
    <t>F - PC-RFO - Hay / Silage Making</t>
  </si>
  <si>
    <t>F - PBR - Round balers</t>
  </si>
  <si>
    <t>F - PCBR - Round Baler-Wrapper Combinations</t>
  </si>
  <si>
    <t>F - PHD - High density balers</t>
  </si>
  <si>
    <t>F - F-PMD - Small square balers</t>
  </si>
  <si>
    <t>F - PC-PRE - Balers</t>
  </si>
  <si>
    <t>F - EUR - TMR Mixers</t>
  </si>
  <si>
    <t>F - SP - Self-Propelled TMR Mixers</t>
  </si>
  <si>
    <t>F - F-AFS - Automatic Feeding System</t>
  </si>
  <si>
    <t>F - DES - Silage Cutters</t>
  </si>
  <si>
    <t>F - PPD - Straw Blowers &amp; Feeders</t>
  </si>
  <si>
    <t>F - DP - Silage Feeders &amp; Straw Blowers</t>
  </si>
  <si>
    <t>F - DEL - Feed Delivery Boxes</t>
  </si>
  <si>
    <t>F - DERBALROND - Round Bale Distributors / Feeders</t>
  </si>
  <si>
    <t>F - DEROUL - Distributors / Feeders</t>
  </si>
  <si>
    <t>F - REC - Recycling Machines</t>
  </si>
  <si>
    <t>F - PC-CDE - Bedding &amp; Feeding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</si>
</sst>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&quot; &quot;%"/>
    <numFmt numFmtId="165" formatCode="&quot;- &quot;@"/>
    <numFmt numFmtId="166" formatCode="&quot;+ &quot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6DCE4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38">
    <xf numFmtId="0" fontId="0" fillId="0" borderId="0" xfId="0"/>
    <xf numFmtId="0" fontId="0" fillId="8" borderId="0" xfId="0" applyFill="1"/>
    <xf numFmtId="0" fontId="0" fillId="9" borderId="0" xfId="0" applyFill="1" applyBorder="1"/>
    <xf numFmtId="0" fontId="1" fillId="8" borderId="0" xfId="0" applyFont="1" applyFill="1"/>
    <xf numFmtId="0" fontId="6" fillId="8" borderId="0" xfId="0" applyFont="1" applyFill="1"/>
    <xf numFmtId="0" fontId="0" fillId="0" borderId="0" xfId="0" applyFill="1"/>
    <xf numFmtId="0" fontId="0" fillId="2" borderId="1" xfId="0" applyFill="1" applyBorder="1"/>
    <xf numFmtId="0" fontId="0" fillId="3" borderId="1" xfId="0" applyFill="1" applyBorder="1"/>
    <xf numFmtId="3" fontId="4" fillId="3" borderId="1" xfId="0" applyNumberFormat="1" applyFont="1" applyFill="1" applyBorder="1"/>
    <xf numFmtId="0" fontId="0" fillId="5" borderId="1" xfId="0" applyFill="1" applyBorder="1"/>
    <xf numFmtId="3" fontId="4" fillId="5" borderId="1" xfId="0" applyNumberFormat="1" applyFont="1" applyFill="1" applyBorder="1"/>
    <xf numFmtId="0" fontId="0" fillId="6" borderId="1" xfId="0" applyFill="1" applyBorder="1"/>
    <xf numFmtId="3" fontId="4" fillId="6" borderId="1" xfId="0" applyNumberFormat="1" applyFont="1" applyFill="1" applyBorder="1"/>
    <xf numFmtId="0" fontId="0" fillId="7" borderId="1" xfId="0" applyFill="1" applyBorder="1"/>
    <xf numFmtId="3" fontId="4" fillId="3" borderId="2" xfId="0" applyNumberFormat="1" applyFont="1" applyFill="1" applyBorder="1"/>
    <xf numFmtId="3" fontId="4" fillId="5" borderId="2" xfId="0" applyNumberFormat="1" applyFont="1" applyFill="1" applyBorder="1"/>
    <xf numFmtId="3" fontId="4" fillId="6" borderId="2" xfId="0" applyNumberFormat="1" applyFont="1" applyFill="1" applyBorder="1"/>
    <xf numFmtId="3" fontId="3" fillId="2" borderId="1" xfId="0" applyNumberFormat="1" applyFont="1" applyFill="1" applyBorder="1"/>
    <xf numFmtId="3" fontId="3" fillId="2" borderId="2" xfId="0" applyNumberFormat="1" applyFont="1" applyFill="1" applyBorder="1"/>
    <xf numFmtId="3" fontId="3" fillId="2" borderId="3" xfId="0" applyNumberFormat="1" applyFont="1" applyFill="1" applyBorder="1"/>
    <xf numFmtId="3" fontId="3" fillId="3" borderId="1" xfId="0" applyNumberFormat="1" applyFont="1" applyFill="1" applyBorder="1"/>
    <xf numFmtId="3" fontId="3" fillId="3" borderId="2" xfId="0" applyNumberFormat="1" applyFont="1" applyFill="1" applyBorder="1"/>
    <xf numFmtId="3" fontId="3" fillId="3" borderId="3" xfId="0" applyNumberFormat="1" applyFont="1" applyFill="1" applyBorder="1"/>
    <xf numFmtId="3" fontId="3" fillId="5" borderId="1" xfId="0" applyNumberFormat="1" applyFont="1" applyFill="1" applyBorder="1"/>
    <xf numFmtId="3" fontId="3" fillId="5" borderId="2" xfId="0" applyNumberFormat="1" applyFont="1" applyFill="1" applyBorder="1"/>
    <xf numFmtId="3" fontId="3" fillId="5" borderId="3" xfId="0" applyNumberFormat="1" applyFont="1" applyFill="1" applyBorder="1"/>
    <xf numFmtId="3" fontId="3" fillId="7" borderId="1" xfId="0" applyNumberFormat="1" applyFont="1" applyFill="1" applyBorder="1"/>
    <xf numFmtId="3" fontId="3" fillId="7" borderId="2" xfId="0" applyNumberFormat="1" applyFont="1" applyFill="1" applyBorder="1"/>
    <xf numFmtId="3" fontId="3" fillId="7" borderId="3" xfId="0" applyNumberFormat="1" applyFont="1" applyFill="1" applyBorder="1"/>
    <xf numFmtId="0" fontId="0" fillId="9" borderId="0" xfId="0" applyFill="1"/>
    <xf numFmtId="0" fontId="0" fillId="10" borderId="0" xfId="0" applyFill="1"/>
    <xf numFmtId="0" fontId="1" fillId="10" borderId="0" xfId="0" applyFont="1" applyFill="1"/>
    <xf numFmtId="0" fontId="6" fillId="10" borderId="0" xfId="0" applyFont="1" applyFill="1"/>
    <xf numFmtId="0" fontId="0" fillId="0" borderId="0" xfId="0" applyAlignment="1">
      <alignment vertic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0" fillId="2" borderId="2" xfId="0" applyFill="1" applyBorder="1"/>
    <xf numFmtId="3" fontId="4" fillId="2" borderId="7" xfId="0" applyNumberFormat="1" applyFont="1" applyFill="1" applyBorder="1"/>
    <xf numFmtId="3" fontId="4" fillId="2" borderId="8" xfId="0" applyNumberFormat="1" applyFont="1" applyFill="1" applyBorder="1"/>
    <xf numFmtId="3" fontId="4" fillId="2" borderId="9" xfId="0" applyNumberFormat="1" applyFont="1" applyFill="1" applyBorder="1"/>
    <xf numFmtId="3" fontId="4" fillId="2" borderId="13" xfId="0" applyNumberFormat="1" applyFont="1" applyFill="1" applyBorder="1"/>
    <xf numFmtId="164" fontId="5" fillId="2" borderId="6" xfId="0" applyNumberFormat="1" applyFont="1" applyFill="1" applyBorder="1"/>
    <xf numFmtId="164" fontId="5" fillId="2" borderId="5" xfId="0" applyNumberFormat="1" applyFont="1" applyFill="1" applyBorder="1"/>
    <xf numFmtId="0" fontId="0" fillId="3" borderId="2" xfId="0" applyFill="1" applyBorder="1"/>
    <xf numFmtId="3" fontId="4" fillId="3" borderId="14" xfId="0" applyNumberFormat="1" applyFont="1" applyFill="1" applyBorder="1"/>
    <xf numFmtId="3" fontId="4" fillId="3" borderId="15" xfId="0" applyNumberFormat="1" applyFont="1" applyFill="1" applyBorder="1"/>
    <xf numFmtId="164" fontId="5" fillId="3" borderId="6" xfId="0" applyNumberFormat="1" applyFont="1" applyFill="1" applyBorder="1"/>
    <xf numFmtId="164" fontId="5" fillId="3" borderId="5" xfId="0" applyNumberFormat="1" applyFont="1" applyFill="1" applyBorder="1"/>
    <xf numFmtId="0" fontId="0" fillId="5" borderId="2" xfId="0" applyFill="1" applyBorder="1"/>
    <xf numFmtId="3" fontId="4" fillId="5" borderId="14" xfId="0" applyNumberFormat="1" applyFont="1" applyFill="1" applyBorder="1"/>
    <xf numFmtId="3" fontId="4" fillId="5" borderId="15" xfId="0" applyNumberFormat="1" applyFont="1" applyFill="1" applyBorder="1"/>
    <xf numFmtId="164" fontId="5" fillId="5" borderId="6" xfId="0" applyNumberFormat="1" applyFont="1" applyFill="1" applyBorder="1"/>
    <xf numFmtId="164" fontId="5" fillId="5" borderId="5" xfId="0" applyNumberFormat="1" applyFont="1" applyFill="1" applyBorder="1"/>
    <xf numFmtId="0" fontId="0" fillId="6" borderId="2" xfId="0" applyFill="1" applyBorder="1"/>
    <xf numFmtId="3" fontId="4" fillId="6" borderId="14" xfId="0" applyNumberFormat="1" applyFont="1" applyFill="1" applyBorder="1"/>
    <xf numFmtId="3" fontId="4" fillId="6" borderId="15" xfId="0" applyNumberFormat="1" applyFont="1" applyFill="1" applyBorder="1"/>
    <xf numFmtId="164" fontId="5" fillId="6" borderId="6" xfId="0" applyNumberFormat="1" applyFont="1" applyFill="1" applyBorder="1"/>
    <xf numFmtId="164" fontId="5" fillId="6" borderId="5" xfId="0" applyNumberFormat="1" applyFont="1" applyFill="1" applyBorder="1"/>
    <xf numFmtId="0" fontId="0" fillId="7" borderId="2" xfId="0" applyFill="1" applyBorder="1"/>
    <xf numFmtId="3" fontId="4" fillId="7" borderId="10" xfId="0" applyNumberFormat="1" applyFont="1" applyFill="1" applyBorder="1"/>
    <xf numFmtId="3" fontId="4" fillId="7" borderId="11" xfId="0" applyNumberFormat="1" applyFont="1" applyFill="1" applyBorder="1"/>
    <xf numFmtId="3" fontId="4" fillId="7" borderId="12" xfId="0" applyNumberFormat="1" applyFont="1" applyFill="1" applyBorder="1"/>
    <xf numFmtId="3" fontId="4" fillId="7" borderId="16" xfId="0" applyNumberFormat="1" applyFont="1" applyFill="1" applyBorder="1"/>
    <xf numFmtId="164" fontId="5" fillId="7" borderId="6" xfId="0" applyNumberFormat="1" applyFont="1" applyFill="1" applyBorder="1"/>
    <xf numFmtId="164" fontId="5" fillId="7" borderId="5" xfId="0" applyNumberFormat="1" applyFont="1" applyFill="1" applyBorder="1"/>
    <xf numFmtId="4" fontId="3" fillId="0" borderId="0" xfId="0" applyNumberFormat="1" applyFont="1"/>
    <xf numFmtId="0" fontId="2" fillId="11" borderId="29" xfId="0" applyFont="1" applyFill="1" applyBorder="1" applyAlignment="1">
      <alignment horizontal="center"/>
    </xf>
    <xf numFmtId="0" fontId="2" fillId="11" borderId="30" xfId="0" applyFont="1" applyFill="1" applyBorder="1" applyAlignment="1">
      <alignment horizontal="center"/>
    </xf>
    <xf numFmtId="0" fontId="2" fillId="11" borderId="31" xfId="0" applyFont="1" applyFill="1" applyBorder="1" applyAlignment="1">
      <alignment horizontal="center"/>
    </xf>
    <xf numFmtId="0" fontId="2" fillId="11" borderId="32" xfId="0" applyFont="1" applyFill="1" applyBorder="1" applyAlignment="1">
      <alignment horizontal="center"/>
    </xf>
    <xf numFmtId="0" fontId="2" fillId="11" borderId="33" xfId="0" applyFont="1" applyFill="1" applyBorder="1" applyAlignment="1">
      <alignment horizontal="center"/>
    </xf>
    <xf numFmtId="0" fontId="2" fillId="11" borderId="34" xfId="0" applyFont="1" applyFill="1" applyBorder="1" applyAlignment="1">
      <alignment horizontal="center"/>
    </xf>
    <xf numFmtId="0" fontId="2" fillId="11" borderId="35" xfId="0" applyFont="1" applyFill="1" applyBorder="1" applyAlignment="1">
      <alignment horizontal="center"/>
    </xf>
    <xf numFmtId="0" fontId="2" fillId="11" borderId="36" xfId="0" applyFont="1" applyFill="1" applyBorder="1" applyAlignment="1">
      <alignment horizontal="center"/>
    </xf>
    <xf numFmtId="9" fontId="3" fillId="2" borderId="37" xfId="1" applyFont="1" applyFill="1" applyBorder="1"/>
    <xf numFmtId="9" fontId="3" fillId="2" borderId="38" xfId="1" applyFont="1" applyFill="1" applyBorder="1"/>
    <xf numFmtId="9" fontId="3" fillId="3" borderId="37" xfId="1" applyFont="1" applyFill="1" applyBorder="1"/>
    <xf numFmtId="9" fontId="3" fillId="3" borderId="38" xfId="1" applyFont="1" applyFill="1" applyBorder="1"/>
    <xf numFmtId="9" fontId="3" fillId="5" borderId="37" xfId="1" applyFont="1" applyFill="1" applyBorder="1"/>
    <xf numFmtId="9" fontId="3" fillId="5" borderId="38" xfId="1" applyFont="1" applyFill="1" applyBorder="1"/>
    <xf numFmtId="3" fontId="3" fillId="6" borderId="1" xfId="0" applyNumberFormat="1" applyFont="1" applyFill="1" applyBorder="1"/>
    <xf numFmtId="3" fontId="3" fillId="6" borderId="2" xfId="0" applyNumberFormat="1" applyFont="1" applyFill="1" applyBorder="1"/>
    <xf numFmtId="9" fontId="3" fillId="6" borderId="37" xfId="1" applyFont="1" applyFill="1" applyBorder="1"/>
    <xf numFmtId="9" fontId="3" fillId="6" borderId="38" xfId="1" applyFont="1" applyFill="1" applyBorder="1"/>
    <xf numFmtId="3" fontId="3" fillId="6" borderId="3" xfId="0" applyNumberFormat="1" applyFont="1" applyFill="1" applyBorder="1"/>
    <xf numFmtId="9" fontId="3" fillId="7" borderId="37" xfId="1" applyFont="1" applyFill="1" applyBorder="1"/>
    <xf numFmtId="9" fontId="3" fillId="7" borderId="38" xfId="1" applyFont="1" applyFill="1" applyBorder="1"/>
    <xf numFmtId="0" fontId="8" fillId="8" borderId="0" xfId="0" applyFont="1" applyFill="1"/>
    <xf numFmtId="0" fontId="0" fillId="8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4" borderId="12" xfId="0" applyFont="1" applyFill="1" applyBorder="1" applyAlignment="1">
      <alignment horizontal="center"/>
    </xf>
    <xf numFmtId="165" fontId="0" fillId="2" borderId="1" xfId="0" applyNumberFormat="1" applyFill="1" applyBorder="1" applyAlignment="1"/>
    <xf numFmtId="0" fontId="2" fillId="12" borderId="1" xfId="0" applyFont="1" applyFill="1" applyBorder="1" applyAlignment="1">
      <alignment horizontal="center"/>
    </xf>
    <xf numFmtId="0" fontId="0" fillId="13" borderId="0" xfId="0" applyFill="1"/>
    <xf numFmtId="0" fontId="1" fillId="13" borderId="0" xfId="0" applyFont="1" applyFill="1"/>
    <xf numFmtId="0" fontId="6" fillId="13" borderId="0" xfId="0" applyFont="1" applyFill="1"/>
    <xf numFmtId="4" fontId="3" fillId="2" borderId="1" xfId="0" applyNumberFormat="1" applyFont="1" applyFill="1" applyBorder="1"/>
    <xf numFmtId="4" fontId="3" fillId="3" borderId="1" xfId="0" applyNumberFormat="1" applyFont="1" applyFill="1" applyBorder="1"/>
    <xf numFmtId="0" fontId="0" fillId="14" borderId="1" xfId="0" applyFill="1" applyBorder="1"/>
    <xf numFmtId="4" fontId="3" fillId="14" borderId="1" xfId="0" applyNumberFormat="1" applyFont="1" applyFill="1" applyBorder="1"/>
    <xf numFmtId="4" fontId="3" fillId="6" borderId="1" xfId="0" applyNumberFormat="1" applyFont="1" applyFill="1" applyBorder="1"/>
    <xf numFmtId="0" fontId="0" fillId="15" borderId="1" xfId="0" applyFill="1" applyBorder="1"/>
    <xf numFmtId="4" fontId="3" fillId="15" borderId="1" xfId="0" applyNumberFormat="1" applyFont="1" applyFill="1" applyBorder="1"/>
    <xf numFmtId="0" fontId="0" fillId="0" borderId="1" xfId="0" applyBorder="1"/>
    <xf numFmtId="4" fontId="3" fillId="0" borderId="1" xfId="0" applyNumberFormat="1" applyFont="1" applyBorder="1"/>
    <xf numFmtId="0" fontId="9" fillId="9" borderId="0" xfId="0" applyFont="1" applyFill="1"/>
    <xf numFmtId="0" fontId="2" fillId="11" borderId="21" xfId="0" applyFont="1" applyFill="1" applyBorder="1" applyAlignment="1">
      <alignment horizontal="center" vertical="center" wrapText="1"/>
    </xf>
    <xf numFmtId="0" fontId="2" fillId="11" borderId="22" xfId="0" applyFont="1" applyFill="1" applyBorder="1" applyAlignment="1">
      <alignment horizontal="center" vertical="center" wrapText="1"/>
    </xf>
    <xf numFmtId="0" fontId="2" fillId="11" borderId="27" xfId="0" applyFont="1" applyFill="1" applyBorder="1" applyAlignment="1">
      <alignment horizontal="center" vertical="center" wrapText="1"/>
    </xf>
    <xf numFmtId="0" fontId="2" fillId="11" borderId="28" xfId="0" applyFont="1" applyFill="1" applyBorder="1" applyAlignment="1">
      <alignment horizontal="center" vertical="center" wrapText="1"/>
    </xf>
    <xf numFmtId="0" fontId="2" fillId="11" borderId="24" xfId="0" applyFont="1" applyFill="1" applyBorder="1" applyAlignment="1">
      <alignment horizontal="center" wrapText="1"/>
    </xf>
    <xf numFmtId="0" fontId="2" fillId="11" borderId="25" xfId="0" applyFont="1" applyFill="1" applyBorder="1" applyAlignment="1">
      <alignment horizontal="center" wrapText="1"/>
    </xf>
    <xf numFmtId="0" fontId="2" fillId="11" borderId="26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1" borderId="17" xfId="0" applyNumberFormat="1" applyFont="1" applyFill="1" applyBorder="1" applyAlignment="1">
      <alignment horizontal="center" wrapText="1"/>
    </xf>
    <xf numFmtId="0" fontId="2" fillId="11" borderId="18" xfId="0" applyFont="1" applyFill="1" applyBorder="1" applyAlignment="1">
      <alignment horizontal="center" wrapText="1"/>
    </xf>
    <xf numFmtId="0" fontId="2" fillId="11" borderId="19" xfId="0" applyFont="1" applyFill="1" applyBorder="1" applyAlignment="1">
      <alignment horizontal="center" wrapText="1"/>
    </xf>
    <xf numFmtId="0" fontId="2" fillId="11" borderId="20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1" borderId="23" xfId="0" applyNumberFormat="1" applyFont="1" applyFill="1" applyBorder="1" applyAlignment="1">
      <alignment horizont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/>
    </xf>
    <xf numFmtId="165" fontId="0" fillId="2" borderId="2" xfId="0" applyNumberFormat="1" applyFill="1" applyBorder="1" applyAlignment="1"/>
    <xf numFmtId="166" fontId="0" fillId="3" borderId="2" xfId="0" applyNumberFormat="1" applyFill="1" applyBorder="1" applyAlignment="1">
      <alignment horizontal="left" indent="1"/>
    </xf>
    <xf numFmtId="165" fontId="0" fillId="3" borderId="1" xfId="0" applyNumberFormat="1" applyFill="1" applyBorder="1" applyAlignment="1">
      <alignment horizontal="left" indent="1"/>
    </xf>
    <xf numFmtId="166" fontId="0" fillId="14" borderId="1" xfId="0" applyNumberFormat="1" applyFill="1" applyBorder="1" applyAlignment="1">
      <alignment horizontal="left" indent="2"/>
    </xf>
    <xf numFmtId="165" fontId="0" fillId="14" borderId="1" xfId="0" applyNumberFormat="1" applyFill="1" applyBorder="1" applyAlignment="1">
      <alignment horizontal="left" indent="2"/>
    </xf>
    <xf numFmtId="166" fontId="0" fillId="6" borderId="1" xfId="0" applyNumberFormat="1" applyFill="1" applyBorder="1" applyAlignment="1">
      <alignment horizontal="left" indent="3"/>
    </xf>
    <xf numFmtId="166" fontId="0" fillId="3" borderId="1" xfId="0" applyNumberFormat="1" applyFill="1" applyBorder="1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  <color rgb="FFD6DCE4"/>
      <color rgb="FFC6E0B4"/>
      <color rgb="FF808080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31"/>
  <ax:ocxPr ax:name="_ExtentY" ax:value="119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0,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593"/>
  <ax:ocxPr ax:name="_ExtentY" ax:value="1058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4,2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0</xdr:rowOff>
        </xdr:from>
        <xdr:to>
          <xdr:col>6</xdr:col>
          <xdr:colOff>276225</xdr:colOff>
          <xdr:row>21</xdr:row>
          <xdr:rowOff>28575</xdr:rowOff>
        </xdr:to>
        <xdr:sp macro="" textlink="">
          <xdr:nvSpPr>
            <xdr:cNvPr id="8193" name="TI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8</xdr:col>
      <xdr:colOff>220981</xdr:colOff>
      <xdr:row>14</xdr:row>
      <xdr:rowOff>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22331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15</xdr:col>
      <xdr:colOff>220981</xdr:colOff>
      <xdr:row>20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69041" cy="91336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23</xdr:row>
          <xdr:rowOff>0</xdr:rowOff>
        </xdr:from>
        <xdr:to>
          <xdr:col>14</xdr:col>
          <xdr:colOff>152400</xdr:colOff>
          <xdr:row>25</xdr:row>
          <xdr:rowOff>0</xdr:rowOff>
        </xdr:to>
        <xdr:sp macro="" textlink="">
          <xdr:nvSpPr>
            <xdr:cNvPr id="10241" name="TIButton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6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</xdr:colOff>
      <xdr:row>9</xdr:row>
      <xdr:rowOff>0</xdr:rowOff>
    </xdr:from>
    <xdr:to>
      <xdr:col>10</xdr:col>
      <xdr:colOff>0</xdr:colOff>
      <xdr:row>14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" y="1714500"/>
          <a:ext cx="11022331" cy="9525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0</xdr:rowOff>
        </xdr:from>
        <xdr:to>
          <xdr:col>8</xdr:col>
          <xdr:colOff>933450</xdr:colOff>
          <xdr:row>19</xdr:row>
          <xdr:rowOff>0</xdr:rowOff>
        </xdr:to>
        <xdr:sp macro="" textlink="">
          <xdr:nvSpPr>
            <xdr:cNvPr id="16385" name="TIButton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3.e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W71"/>
  <sheetViews>
    <sheetView showGridLines="0" tabSelected="1" topLeftCell="B1" zoomScaleNormal="100" workbookViewId="0">
      <pane xSplit="1" ySplit="26" topLeftCell="C27" activePane="bottomRight" state="frozen"/>
      <selection activeCell="B55" sqref="B55"/>
      <selection pane="topRight" activeCell="B55" sqref="B55"/>
      <selection pane="bottomLeft" activeCell="B55" sqref="B55"/>
      <selection pane="bottomRight" activeCell="C20" sqref="C20"/>
    </sheetView>
  </sheetViews>
  <sheetFormatPr defaultColWidth="0" defaultRowHeight="15" zeroHeight="1" x14ac:dyDescent="0.25"/>
  <cols>
    <col min="1" max="1" width="18.7109375" hidden="1" customWidth="1"/>
    <col min="2" max="2" width="65.7109375" customWidth="1"/>
    <col min="3" max="3" width="12.7109375" customWidth="1"/>
    <col min="4" max="4" width="14.7109375" customWidth="1"/>
    <col min="5" max="5" width="20.7109375" customWidth="1"/>
    <col min="6" max="6" width="12.7109375" customWidth="1"/>
    <col min="7" max="7" width="14.7109375" customWidth="1"/>
    <col min="8" max="8" width="20.7109375" customWidth="1"/>
    <col min="9" max="11" width="12.7109375" customWidth="1"/>
    <col min="12" max="12" width="14.7109375" customWidth="1"/>
    <col min="13" max="13" width="20.7109375" customWidth="1"/>
    <col min="14" max="14" width="12.7109375" customWidth="1"/>
    <col min="15" max="15" width="14.7109375" customWidth="1"/>
    <col min="16" max="16" width="20.7109375" customWidth="1"/>
    <col min="17" max="19" width="12.7109375" customWidth="1"/>
    <col min="20" max="20" width="14.7109375" customWidth="1"/>
    <col min="21" max="21" width="20.7109375" customWidth="1"/>
    <col min="22" max="22" width="12.7109375" customWidth="1"/>
    <col min="23" max="23" width="14.7109375" customWidth="1"/>
    <col min="24" max="24" width="20.7109375" customWidth="1"/>
    <col min="25" max="27" width="12.7109375" customWidth="1"/>
    <col min="28" max="28" width="14.7109375" customWidth="1"/>
    <col min="29" max="29" width="20.7109375" customWidth="1"/>
    <col min="30" max="30" width="12.7109375" customWidth="1"/>
    <col min="31" max="31" width="14.7109375" customWidth="1"/>
    <col min="32" max="32" width="20.7109375" customWidth="1"/>
    <col min="33" max="34" width="12.7109375" customWidth="1"/>
    <col min="35" max="1011" width="0" hidden="1" customWidth="1"/>
    <col min="1012" max="16384" width="11.5703125" hidden="1"/>
  </cols>
  <sheetData>
    <row r="1" spans="1:34" ht="15.75" hidden="1" thickBot="1" x14ac:dyDescent="0.3">
      <c r="A1" t="s">
        <v>6</v>
      </c>
    </row>
    <row r="2" spans="1:34" hidden="1" x14ac:dyDescent="0.25">
      <c r="A2">
        <f>0</f>
        <v>0</v>
      </c>
      <c r="B2" s="36"/>
      <c r="C2" s="37"/>
      <c r="D2" s="38"/>
      <c r="E2" s="39"/>
      <c r="F2" s="37"/>
      <c r="G2" s="38"/>
      <c r="H2" s="40"/>
      <c r="I2" s="41"/>
      <c r="J2" s="42"/>
      <c r="K2" s="37"/>
      <c r="L2" s="38"/>
      <c r="M2" s="39"/>
      <c r="N2" s="37"/>
      <c r="O2" s="38"/>
      <c r="P2" s="39"/>
      <c r="Q2" s="41"/>
      <c r="R2" s="41"/>
      <c r="S2" s="37"/>
      <c r="T2" s="38"/>
      <c r="U2" s="39"/>
      <c r="V2" s="37"/>
      <c r="W2" s="38"/>
      <c r="X2" s="39"/>
      <c r="Y2" s="41"/>
      <c r="Z2" s="41"/>
      <c r="AA2" s="37"/>
      <c r="AB2" s="38"/>
      <c r="AC2" s="39"/>
      <c r="AD2" s="37"/>
      <c r="AE2" s="38"/>
      <c r="AF2" s="40"/>
      <c r="AG2" s="41"/>
      <c r="AH2" s="41"/>
    </row>
    <row r="3" spans="1:34" hidden="1" x14ac:dyDescent="0.25">
      <c r="A3">
        <f>1</f>
        <v>1</v>
      </c>
      <c r="B3" s="43"/>
      <c r="C3" s="44"/>
      <c r="D3" s="8"/>
      <c r="E3" s="45"/>
      <c r="F3" s="44"/>
      <c r="G3" s="8"/>
      <c r="H3" s="14"/>
      <c r="I3" s="46"/>
      <c r="J3" s="47"/>
      <c r="K3" s="44"/>
      <c r="L3" s="8"/>
      <c r="M3" s="45"/>
      <c r="N3" s="44"/>
      <c r="O3" s="8"/>
      <c r="P3" s="45"/>
      <c r="Q3" s="46"/>
      <c r="R3" s="46"/>
      <c r="S3" s="44"/>
      <c r="T3" s="8"/>
      <c r="U3" s="45"/>
      <c r="V3" s="44"/>
      <c r="W3" s="8"/>
      <c r="X3" s="45"/>
      <c r="Y3" s="46"/>
      <c r="Z3" s="46"/>
      <c r="AA3" s="44"/>
      <c r="AB3" s="8"/>
      <c r="AC3" s="45"/>
      <c r="AD3" s="44"/>
      <c r="AE3" s="8"/>
      <c r="AF3" s="14"/>
      <c r="AG3" s="46"/>
      <c r="AH3" s="46"/>
    </row>
    <row r="4" spans="1:34" hidden="1" x14ac:dyDescent="0.25">
      <c r="A4">
        <f>2</f>
        <v>2</v>
      </c>
      <c r="B4" s="48"/>
      <c r="C4" s="49"/>
      <c r="D4" s="10"/>
      <c r="E4" s="50"/>
      <c r="F4" s="49"/>
      <c r="G4" s="10"/>
      <c r="H4" s="15"/>
      <c r="I4" s="51"/>
      <c r="J4" s="52"/>
      <c r="K4" s="49"/>
      <c r="L4" s="10"/>
      <c r="M4" s="50"/>
      <c r="N4" s="49"/>
      <c r="O4" s="10"/>
      <c r="P4" s="50"/>
      <c r="Q4" s="51"/>
      <c r="R4" s="51"/>
      <c r="S4" s="49"/>
      <c r="T4" s="10"/>
      <c r="U4" s="50"/>
      <c r="V4" s="49"/>
      <c r="W4" s="10"/>
      <c r="X4" s="50"/>
      <c r="Y4" s="51"/>
      <c r="Z4" s="51"/>
      <c r="AA4" s="49"/>
      <c r="AB4" s="10"/>
      <c r="AC4" s="50"/>
      <c r="AD4" s="49"/>
      <c r="AE4" s="10"/>
      <c r="AF4" s="15"/>
      <c r="AG4" s="51"/>
      <c r="AH4" s="51"/>
    </row>
    <row r="5" spans="1:34" hidden="1" x14ac:dyDescent="0.25">
      <c r="A5">
        <f>3</f>
        <v>3</v>
      </c>
      <c r="B5" s="53"/>
      <c r="C5" s="54"/>
      <c r="D5" s="12"/>
      <c r="E5" s="55"/>
      <c r="F5" s="54"/>
      <c r="G5" s="12"/>
      <c r="H5" s="16"/>
      <c r="I5" s="56"/>
      <c r="J5" s="57"/>
      <c r="K5" s="54"/>
      <c r="L5" s="12"/>
      <c r="M5" s="55"/>
      <c r="N5" s="54"/>
      <c r="O5" s="12"/>
      <c r="P5" s="55"/>
      <c r="Q5" s="56"/>
      <c r="R5" s="56"/>
      <c r="S5" s="54"/>
      <c r="T5" s="12"/>
      <c r="U5" s="55"/>
      <c r="V5" s="54"/>
      <c r="W5" s="12"/>
      <c r="X5" s="55"/>
      <c r="Y5" s="56"/>
      <c r="Z5" s="56"/>
      <c r="AA5" s="54"/>
      <c r="AB5" s="12"/>
      <c r="AC5" s="55"/>
      <c r="AD5" s="54"/>
      <c r="AE5" s="12"/>
      <c r="AF5" s="16"/>
      <c r="AG5" s="56"/>
      <c r="AH5" s="56"/>
    </row>
    <row r="6" spans="1:34" ht="15.75" hidden="1" thickBot="1" x14ac:dyDescent="0.3">
      <c r="A6" t="s">
        <v>4</v>
      </c>
      <c r="B6" s="58"/>
      <c r="C6" s="59"/>
      <c r="D6" s="60"/>
      <c r="E6" s="61"/>
      <c r="F6" s="59"/>
      <c r="G6" s="60"/>
      <c r="H6" s="62"/>
      <c r="I6" s="63"/>
      <c r="J6" s="64"/>
      <c r="K6" s="59"/>
      <c r="L6" s="60"/>
      <c r="M6" s="61"/>
      <c r="N6" s="59"/>
      <c r="O6" s="60"/>
      <c r="P6" s="61"/>
      <c r="Q6" s="63"/>
      <c r="R6" s="63"/>
      <c r="S6" s="59"/>
      <c r="T6" s="60"/>
      <c r="U6" s="61"/>
      <c r="V6" s="59"/>
      <c r="W6" s="60"/>
      <c r="X6" s="61"/>
      <c r="Y6" s="63"/>
      <c r="Z6" s="63"/>
      <c r="AA6" s="59"/>
      <c r="AB6" s="60"/>
      <c r="AC6" s="61"/>
      <c r="AD6" s="59"/>
      <c r="AE6" s="60"/>
      <c r="AF6" s="62"/>
      <c r="AG6" s="63"/>
      <c r="AH6" s="63"/>
    </row>
    <row r="7" spans="1:34" hidden="1" x14ac:dyDescent="0.25">
      <c r="A7" t="s">
        <v>5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</row>
    <row r="8" spans="1:34" hidden="1" x14ac:dyDescent="0.25">
      <c r="A8" t="s">
        <v>7</v>
      </c>
    </row>
    <row r="9" spans="1:34" hidden="1" x14ac:dyDescent="0.25">
      <c r="B9" t="str">
        <f ca="1">_xll.TM1RPTVIEW("CXMD:OTC_DATA_MARKET_ANALYSIS:ARPT1", 0, _xll.TM1RPTTITLE("CXMD:Currency",$C$17), _xll.TM1RPTTITLE("CXMD:DIM_Prev_IC_mapping",$C$18), _xll.TM1RPTTITLE("CXMD:DIM_Origin_Company",$C$20), _xll.TM1RPTTITLE("CXMD:DIM_Country",$C$21),TM1RPTFMTRNG,TM1RPTFMTIDCOL)</f>
        <v>CXMD:OTC_DATA_MARKET_ANALYSIS:ARPT1</v>
      </c>
    </row>
    <row r="10" spans="1:3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idden="1" x14ac:dyDescent="0.25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hidden="1" x14ac:dyDescent="0.25">
      <c r="B17" s="31" t="s">
        <v>0</v>
      </c>
      <c r="C17" s="30" t="str">
        <f ca="1">_xll.SUBNM("CXMD:Currency","Par défaut","CD_LC","Description EN")</f>
        <v>Local currency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hidden="1" x14ac:dyDescent="0.25">
      <c r="B18" s="31" t="s">
        <v>8</v>
      </c>
      <c r="C18" s="30" t="str">
        <f ca="1">_xll.SUBNM("CXMD:DIM_Prev_IC_mapping","","Others")</f>
        <v>Others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ht="26.25" x14ac:dyDescent="0.4">
      <c r="B19" s="87" t="s">
        <v>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x14ac:dyDescent="0.25">
      <c r="B20" s="31" t="s">
        <v>1</v>
      </c>
      <c r="C20" s="32" t="str">
        <f ca="1">_xll.SUBNM("CXMD:DIM_Origin_Company","","D","Name EN")</f>
        <v>KUHN GERMANY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x14ac:dyDescent="0.25">
      <c r="B21" s="31" t="s">
        <v>10</v>
      </c>
      <c r="C21" s="32" t="str">
        <f ca="1">_xll.SUBNM("CXMD:DIM_Country","","C-101","Country Name EN")</f>
        <v>GERMANY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7.15" customHeight="1" thickBot="1" x14ac:dyDescent="0.3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ht="14.45" customHeight="1" x14ac:dyDescent="0.25">
      <c r="B24" s="30"/>
      <c r="C24" s="114" t="str">
        <f ca="1">_xll.SUBNM("CXMD:Actuality","","AC2020","Description EN")</f>
        <v>AC2020</v>
      </c>
      <c r="D24" s="115"/>
      <c r="E24" s="116"/>
      <c r="F24" s="114" t="str">
        <f ca="1">_xll.SUBNM("CXMD:Actuality","","AC2020","Description EN")</f>
        <v>AC2020</v>
      </c>
      <c r="G24" s="115"/>
      <c r="H24" s="117"/>
      <c r="I24" s="106" t="s">
        <v>11</v>
      </c>
      <c r="J24" s="107"/>
      <c r="K24" s="114" t="str">
        <f ca="1">_xll.SUBNM("CXMD:Actuality","","AC2021","Description EN")</f>
        <v>AC2021</v>
      </c>
      <c r="L24" s="115"/>
      <c r="M24" s="116"/>
      <c r="N24" s="114" t="str">
        <f ca="1">_xll.SUBNM("CXMD:Actuality","","AC2021","Description EN")</f>
        <v>AC2021</v>
      </c>
      <c r="O24" s="115"/>
      <c r="P24" s="117"/>
      <c r="Q24" s="106" t="s">
        <v>11</v>
      </c>
      <c r="R24" s="107"/>
      <c r="S24" s="119" t="str">
        <f ca="1">_xll.SUBNM("CXMD:Actuality","","FC3_2022","Description EN")</f>
        <v>FC3_2022</v>
      </c>
      <c r="T24" s="115"/>
      <c r="U24" s="116"/>
      <c r="V24" s="114" t="str">
        <f ca="1">_xll.SUBNM("CXMD:Actuality","","FC3_2022","Description EN")</f>
        <v>FC3_2022</v>
      </c>
      <c r="W24" s="115"/>
      <c r="X24" s="117"/>
      <c r="Y24" s="106" t="s">
        <v>11</v>
      </c>
      <c r="Z24" s="107"/>
      <c r="AA24" s="119" t="str">
        <f ca="1">_xll.SUBNM("CXMD:Actuality","","BU2023draft")</f>
        <v>BU2023draft</v>
      </c>
      <c r="AB24" s="115"/>
      <c r="AC24" s="116"/>
      <c r="AD24" s="114" t="str">
        <f ca="1">_xll.SUBNM("CXMD:Actuality","","BU2023draft")</f>
        <v>BU2023draft</v>
      </c>
      <c r="AE24" s="115"/>
      <c r="AF24" s="117"/>
      <c r="AG24" s="106" t="s">
        <v>11</v>
      </c>
      <c r="AH24" s="107"/>
    </row>
    <row r="25" spans="1:34" x14ac:dyDescent="0.25">
      <c r="B25" s="30"/>
      <c r="C25" s="110" t="s">
        <v>12</v>
      </c>
      <c r="D25" s="111"/>
      <c r="E25" s="112"/>
      <c r="F25" s="110" t="s">
        <v>13</v>
      </c>
      <c r="G25" s="111"/>
      <c r="H25" s="113"/>
      <c r="I25" s="108"/>
      <c r="J25" s="109"/>
      <c r="K25" s="110" t="s">
        <v>12</v>
      </c>
      <c r="L25" s="111"/>
      <c r="M25" s="112"/>
      <c r="N25" s="110" t="s">
        <v>13</v>
      </c>
      <c r="O25" s="111"/>
      <c r="P25" s="113"/>
      <c r="Q25" s="108"/>
      <c r="R25" s="109"/>
      <c r="S25" s="118" t="s">
        <v>12</v>
      </c>
      <c r="T25" s="111"/>
      <c r="U25" s="112"/>
      <c r="V25" s="110" t="s">
        <v>13</v>
      </c>
      <c r="W25" s="111"/>
      <c r="X25" s="113"/>
      <c r="Y25" s="108"/>
      <c r="Z25" s="109"/>
      <c r="AA25" s="118" t="s">
        <v>12</v>
      </c>
      <c r="AB25" s="111"/>
      <c r="AC25" s="112"/>
      <c r="AD25" s="110" t="s">
        <v>13</v>
      </c>
      <c r="AE25" s="111"/>
      <c r="AF25" s="113"/>
      <c r="AG25" s="108"/>
      <c r="AH25" s="109"/>
    </row>
    <row r="26" spans="1:34" ht="15.75" thickBot="1" x14ac:dyDescent="0.3">
      <c r="B26" s="30"/>
      <c r="C26" s="66" t="s">
        <v>2</v>
      </c>
      <c r="D26" s="67" t="s">
        <v>14</v>
      </c>
      <c r="E26" s="68" t="s">
        <v>3</v>
      </c>
      <c r="F26" s="66" t="s">
        <v>2</v>
      </c>
      <c r="G26" s="67" t="s">
        <v>14</v>
      </c>
      <c r="H26" s="69" t="s">
        <v>3</v>
      </c>
      <c r="I26" s="70" t="s">
        <v>2</v>
      </c>
      <c r="J26" s="70" t="s">
        <v>3</v>
      </c>
      <c r="K26" s="66" t="s">
        <v>2</v>
      </c>
      <c r="L26" s="67" t="s">
        <v>14</v>
      </c>
      <c r="M26" s="68" t="s">
        <v>3</v>
      </c>
      <c r="N26" s="66" t="s">
        <v>2</v>
      </c>
      <c r="O26" s="67" t="s">
        <v>14</v>
      </c>
      <c r="P26" s="69" t="s">
        <v>3</v>
      </c>
      <c r="Q26" s="71" t="s">
        <v>2</v>
      </c>
      <c r="R26" s="71" t="s">
        <v>3</v>
      </c>
      <c r="S26" s="72" t="s">
        <v>2</v>
      </c>
      <c r="T26" s="67" t="s">
        <v>14</v>
      </c>
      <c r="U26" s="68" t="s">
        <v>3</v>
      </c>
      <c r="V26" s="66" t="s">
        <v>2</v>
      </c>
      <c r="W26" s="67" t="s">
        <v>14</v>
      </c>
      <c r="X26" s="69" t="s">
        <v>3</v>
      </c>
      <c r="Y26" s="71" t="s">
        <v>2</v>
      </c>
      <c r="Z26" s="70" t="s">
        <v>3</v>
      </c>
      <c r="AA26" s="72" t="s">
        <v>2</v>
      </c>
      <c r="AB26" s="67" t="s">
        <v>14</v>
      </c>
      <c r="AC26" s="68" t="s">
        <v>3</v>
      </c>
      <c r="AD26" s="66" t="s">
        <v>2</v>
      </c>
      <c r="AE26" s="67" t="s">
        <v>14</v>
      </c>
      <c r="AF26" s="69" t="s">
        <v>3</v>
      </c>
      <c r="AG26" s="73" t="s">
        <v>2</v>
      </c>
      <c r="AH26" s="70" t="s">
        <v>3</v>
      </c>
    </row>
    <row r="27" spans="1:34" x14ac:dyDescent="0.25">
      <c r="A27">
        <f ca="1">IF(_xll.TM1RPTELISCONSOLIDATED($B$27,$B27),IF(_xll.TM1RPTELLEV($B$27,$B27)&lt;=3,_xll.TM1RPTELLEV($B$27,$B27),"D"),"N")</f>
        <v>0</v>
      </c>
      <c r="B27" s="131" t="str">
        <f ca="1">_xll.TM1RPTROW($B$9,"CXMD:DIM_Configuration","Par défaut","TOTAL PRODUCT","Description EN",0)</f>
        <v>TOTAL PRODUCT</v>
      </c>
      <c r="C27" s="37">
        <f ca="1">_xll.DBRW($B$9,$C$17,$C$18,C$25,C$24,$C$20,$C$21,$B27,C$26)</f>
        <v>0</v>
      </c>
      <c r="D27" s="38">
        <f ca="1">_xll.DBRW($B$9,$C$17,$C$18,C$25,C$24,$C$20,$C$21,$B27,D$26)</f>
        <v>0</v>
      </c>
      <c r="E27" s="39">
        <f ca="1">_xll.DBRW($B$9,$C$17,$C$18,C$25,C$24,$C$20,$C$21,$B27,E$26)</f>
        <v>0</v>
      </c>
      <c r="F27" s="37">
        <f ca="1">_xll.DBRW($B$9,$C$17,$C$18,F$25,F$24,$C$20,$C$21,$B27,F$26)</f>
        <v>0</v>
      </c>
      <c r="G27" s="38">
        <f ca="1">_xll.DBRW($B$9,$C$17,$C$18,F$25,F$24,$C$20,$C$21,$B27,G$26)</f>
        <v>0</v>
      </c>
      <c r="H27" s="40">
        <f ca="1">_xll.DBRW($B$9,$C$17,$C$18,F$25,F$24,$C$20,$C$21,$B27,H$26)</f>
        <v>0</v>
      </c>
      <c r="I27" s="41">
        <f ca="1">IF(F27&lt;&gt;0,C27/F27,0)</f>
        <v>0</v>
      </c>
      <c r="J27" s="42">
        <f ca="1">IF(H27&lt;&gt;0,E27/H27,0)</f>
        <v>0</v>
      </c>
      <c r="K27" s="37">
        <f ca="1">_xll.DBRW($B$9,$C$17,$C$18,K$25,K$24,$C$20,$C$21,$B27,K$26)</f>
        <v>0</v>
      </c>
      <c r="L27" s="38">
        <f ca="1">_xll.DBRW($B$9,$C$17,$C$18,K$25,K$24,$C$20,$C$21,$B27,L$26)</f>
        <v>0</v>
      </c>
      <c r="M27" s="39">
        <f ca="1">_xll.DBRW($B$9,$C$17,$C$18,K$25,K$24,$C$20,$C$21,$B27,M$26)</f>
        <v>0</v>
      </c>
      <c r="N27" s="37">
        <f ca="1">_xll.DBRW($B$9,$C$17,$C$18,N$25,N$24,$C$20,$C$21,$B27,N$26)</f>
        <v>0</v>
      </c>
      <c r="O27" s="38">
        <f ca="1">_xll.DBRW($B$9,$C$17,$C$18,N$25,N$24,$C$20,$C$21,$B27,O$26)</f>
        <v>0</v>
      </c>
      <c r="P27" s="39">
        <f ca="1">_xll.DBRW($B$9,$C$17,$C$18,N$25,N$24,$C$20,$C$21,$B27,P$26)</f>
        <v>0</v>
      </c>
      <c r="Q27" s="41">
        <f ca="1">IF(N27&lt;&gt;0,K27/N27,0)</f>
        <v>0</v>
      </c>
      <c r="R27" s="41">
        <f ca="1">IF(P27&lt;&gt;0,M27/P27,0)</f>
        <v>0</v>
      </c>
      <c r="S27" s="37">
        <f ca="1">_xll.DBRW($B$9,$C$17,$C$18,S$25,S$24,$C$20,$C$21,$B27,S$26)</f>
        <v>0</v>
      </c>
      <c r="T27" s="38">
        <f ca="1">_xll.DBRW($B$9,$C$17,$C$18,S$25,S$24,$C$20,$C$21,$B27,T$26)</f>
        <v>0</v>
      </c>
      <c r="U27" s="39">
        <f ca="1">_xll.DBRW($B$9,$C$17,$C$18,S$25,S$24,$C$20,$C$21,$B27,U$26)</f>
        <v>0</v>
      </c>
      <c r="V27" s="37">
        <f ca="1">_xll.DBRW($B$9,$C$17,$C$18,V$25,V$24,$C$20,$C$21,$B27,V$26)</f>
        <v>0</v>
      </c>
      <c r="W27" s="38">
        <f ca="1">_xll.DBRW($B$9,$C$17,$C$18,V$25,V$24,$C$20,$C$21,$B27,W$26)</f>
        <v>0</v>
      </c>
      <c r="X27" s="39">
        <f ca="1">_xll.DBRW($B$9,$C$17,$C$18,V$25,V$24,$C$20,$C$21,$B27,X$26)</f>
        <v>0</v>
      </c>
      <c r="Y27" s="41">
        <f ca="1">IF(V27&lt;&gt;0,S27/V27,0)</f>
        <v>0</v>
      </c>
      <c r="Z27" s="41">
        <f ca="1">IF(X27&lt;&gt;0,U27/X27,0)</f>
        <v>0</v>
      </c>
      <c r="AA27" s="37">
        <f ca="1">_xll.DBRW($B$9,$C$17,$C$18,AA$25,AA$24,$C$20,$C$21,$B27,AA$26)</f>
        <v>0</v>
      </c>
      <c r="AB27" s="38">
        <f ca="1">_xll.DBRW($B$9,$C$17,$C$18,AA$25,AA$24,$C$20,$C$21,$B27,AB$26)</f>
        <v>0</v>
      </c>
      <c r="AC27" s="39">
        <f ca="1">_xll.DBRW($B$9,$C$17,$C$18,AA$25,AA$24,$C$20,$C$21,$B27,AC$26)</f>
        <v>0</v>
      </c>
      <c r="AD27" s="37">
        <f ca="1">_xll.DBRW($B$9,$C$17,$C$18,AD$25,AD$24,$C$20,$C$21,$B27,AD$26)</f>
        <v>0</v>
      </c>
      <c r="AE27" s="38">
        <f ca="1">_xll.DBRW($B$9,$C$17,$C$18,AD$25,AD$24,$C$20,$C$21,$B27,AE$26)</f>
        <v>0</v>
      </c>
      <c r="AF27" s="40">
        <f ca="1">_xll.DBRW($B$9,$C$17,$C$18,AD$25,AD$24,$C$20,$C$21,$B27,AF$26)</f>
        <v>0</v>
      </c>
      <c r="AG27" s="41">
        <f ca="1">IF(AD27&lt;&gt;0,AA27/AD27,0)</f>
        <v>0</v>
      </c>
      <c r="AH27" s="41">
        <f ca="1">IF(AF27&lt;&gt;0,AC27/AF27,0)</f>
        <v>0</v>
      </c>
    </row>
    <row r="28" spans="1:34" x14ac:dyDescent="0.25">
      <c r="A28">
        <f ca="1">IF(_xll.TM1RPTELISCONSOLIDATED($B$27,$B28),IF(_xll.TM1RPTELLEV($B$27,$B28)&lt;=3,_xll.TM1RPTELLEV($B$27,$B28),"D"),"N")</f>
        <v>1</v>
      </c>
      <c r="B28" s="132" t="s">
        <v>20</v>
      </c>
      <c r="C28" s="44">
        <f ca="1">_xll.DBRW($B$9,$C$17,$C$18,C$25,C$24,$C$20,$C$21,$B28,C$26)</f>
        <v>0</v>
      </c>
      <c r="D28" s="8">
        <f ca="1">_xll.DBRW($B$9,$C$17,$C$18,C$25,C$24,$C$20,$C$21,$B28,D$26)</f>
        <v>0</v>
      </c>
      <c r="E28" s="45">
        <f ca="1">_xll.DBRW($B$9,$C$17,$C$18,C$25,C$24,$C$20,$C$21,$B28,E$26)</f>
        <v>0</v>
      </c>
      <c r="F28" s="44">
        <f ca="1">_xll.DBRW($B$9,$C$17,$C$18,F$25,F$24,$C$20,$C$21,$B28,F$26)</f>
        <v>0</v>
      </c>
      <c r="G28" s="8">
        <f ca="1">_xll.DBRW($B$9,$C$17,$C$18,F$25,F$24,$C$20,$C$21,$B28,G$26)</f>
        <v>0</v>
      </c>
      <c r="H28" s="14">
        <f ca="1">_xll.DBRW($B$9,$C$17,$C$18,F$25,F$24,$C$20,$C$21,$B28,H$26)</f>
        <v>0</v>
      </c>
      <c r="I28" s="46">
        <f t="shared" ref="I28:I49" ca="1" si="0">IF(F28&lt;&gt;0,C28/F28,0)</f>
        <v>0</v>
      </c>
      <c r="J28" s="47">
        <f t="shared" ref="J28:J49" ca="1" si="1">IF(H28&lt;&gt;0,E28/H28,0)</f>
        <v>0</v>
      </c>
      <c r="K28" s="44">
        <f ca="1">_xll.DBRW($B$9,$C$17,$C$18,K$25,K$24,$C$20,$C$21,$B28,K$26)</f>
        <v>0</v>
      </c>
      <c r="L28" s="8">
        <f ca="1">_xll.DBRW($B$9,$C$17,$C$18,K$25,K$24,$C$20,$C$21,$B28,L$26)</f>
        <v>0</v>
      </c>
      <c r="M28" s="45">
        <f ca="1">_xll.DBRW($B$9,$C$17,$C$18,K$25,K$24,$C$20,$C$21,$B28,M$26)</f>
        <v>0</v>
      </c>
      <c r="N28" s="44">
        <f ca="1">_xll.DBRW($B$9,$C$17,$C$18,N$25,N$24,$C$20,$C$21,$B28,N$26)</f>
        <v>0</v>
      </c>
      <c r="O28" s="8">
        <f ca="1">_xll.DBRW($B$9,$C$17,$C$18,N$25,N$24,$C$20,$C$21,$B28,O$26)</f>
        <v>0</v>
      </c>
      <c r="P28" s="45">
        <f ca="1">_xll.DBRW($B$9,$C$17,$C$18,N$25,N$24,$C$20,$C$21,$B28,P$26)</f>
        <v>0</v>
      </c>
      <c r="Q28" s="46">
        <f t="shared" ref="Q28:Q49" ca="1" si="2">IF(N28&lt;&gt;0,K28/N28,0)</f>
        <v>0</v>
      </c>
      <c r="R28" s="46">
        <f t="shared" ref="R28:R49" ca="1" si="3">IF(P28&lt;&gt;0,M28/P28,0)</f>
        <v>0</v>
      </c>
      <c r="S28" s="44">
        <f ca="1">_xll.DBRW($B$9,$C$17,$C$18,S$25,S$24,$C$20,$C$21,$B28,S$26)</f>
        <v>0</v>
      </c>
      <c r="T28" s="8">
        <f ca="1">_xll.DBRW($B$9,$C$17,$C$18,S$25,S$24,$C$20,$C$21,$B28,T$26)</f>
        <v>0</v>
      </c>
      <c r="U28" s="45">
        <f ca="1">_xll.DBRW($B$9,$C$17,$C$18,S$25,S$24,$C$20,$C$21,$B28,U$26)</f>
        <v>0</v>
      </c>
      <c r="V28" s="44">
        <f ca="1">_xll.DBRW($B$9,$C$17,$C$18,V$25,V$24,$C$20,$C$21,$B28,V$26)</f>
        <v>0</v>
      </c>
      <c r="W28" s="8">
        <f ca="1">_xll.DBRW($B$9,$C$17,$C$18,V$25,V$24,$C$20,$C$21,$B28,W$26)</f>
        <v>0</v>
      </c>
      <c r="X28" s="45">
        <f ca="1">_xll.DBRW($B$9,$C$17,$C$18,V$25,V$24,$C$20,$C$21,$B28,X$26)</f>
        <v>0</v>
      </c>
      <c r="Y28" s="46">
        <f t="shared" ref="Y28:Y49" ca="1" si="4">IF(V28&lt;&gt;0,S28/V28,0)</f>
        <v>0</v>
      </c>
      <c r="Z28" s="46">
        <f t="shared" ref="Z28:Z49" ca="1" si="5">IF(X28&lt;&gt;0,U28/X28,0)</f>
        <v>0</v>
      </c>
      <c r="AA28" s="44">
        <f ca="1">_xll.DBRW($B$9,$C$17,$C$18,AA$25,AA$24,$C$20,$C$21,$B28,AA$26)</f>
        <v>0</v>
      </c>
      <c r="AB28" s="8">
        <f ca="1">_xll.DBRW($B$9,$C$17,$C$18,AA$25,AA$24,$C$20,$C$21,$B28,AB$26)</f>
        <v>0</v>
      </c>
      <c r="AC28" s="45">
        <f ca="1">_xll.DBRW($B$9,$C$17,$C$18,AA$25,AA$24,$C$20,$C$21,$B28,AC$26)</f>
        <v>0</v>
      </c>
      <c r="AD28" s="44">
        <f ca="1">_xll.DBRW($B$9,$C$17,$C$18,AD$25,AD$24,$C$20,$C$21,$B28,AD$26)</f>
        <v>0</v>
      </c>
      <c r="AE28" s="8">
        <f ca="1">_xll.DBRW($B$9,$C$17,$C$18,AD$25,AD$24,$C$20,$C$21,$B28,AE$26)</f>
        <v>0</v>
      </c>
      <c r="AF28" s="14">
        <f ca="1">_xll.DBRW($B$9,$C$17,$C$18,AD$25,AD$24,$C$20,$C$21,$B28,AF$26)</f>
        <v>0</v>
      </c>
      <c r="AG28" s="41">
        <f t="shared" ref="AG28:AG49" ca="1" si="6">IF(AD28&lt;&gt;0,AA28/AD28,0)</f>
        <v>0</v>
      </c>
      <c r="AH28" s="41">
        <f t="shared" ref="AH28:AH49" ca="1" si="7">IF(AF28&lt;&gt;0,AC28/AF28,0)</f>
        <v>0</v>
      </c>
    </row>
    <row r="29" spans="1:34" x14ac:dyDescent="0.25">
      <c r="A29">
        <f ca="1">IF(_xll.TM1RPTELISCONSOLIDATED($B$27,$B29),IF(_xll.TM1RPTELLEV($B$27,$B29)&lt;=3,_xll.TM1RPTELLEV($B$27,$B29),"D"),"N")</f>
        <v>1</v>
      </c>
      <c r="B29" s="132" t="s">
        <v>21</v>
      </c>
      <c r="C29" s="44">
        <f ca="1">_xll.DBRW($B$9,$C$17,$C$18,C$25,C$24,$C$20,$C$21,$B29,C$26)</f>
        <v>0</v>
      </c>
      <c r="D29" s="8">
        <f ca="1">_xll.DBRW($B$9,$C$17,$C$18,C$25,C$24,$C$20,$C$21,$B29,D$26)</f>
        <v>0</v>
      </c>
      <c r="E29" s="45">
        <f ca="1">_xll.DBRW($B$9,$C$17,$C$18,C$25,C$24,$C$20,$C$21,$B29,E$26)</f>
        <v>0</v>
      </c>
      <c r="F29" s="44">
        <f ca="1">_xll.DBRW($B$9,$C$17,$C$18,F$25,F$24,$C$20,$C$21,$B29,F$26)</f>
        <v>0</v>
      </c>
      <c r="G29" s="8">
        <f ca="1">_xll.DBRW($B$9,$C$17,$C$18,F$25,F$24,$C$20,$C$21,$B29,G$26)</f>
        <v>0</v>
      </c>
      <c r="H29" s="14">
        <f ca="1">_xll.DBRW($B$9,$C$17,$C$18,F$25,F$24,$C$20,$C$21,$B29,H$26)</f>
        <v>0</v>
      </c>
      <c r="I29" s="46">
        <f t="shared" ca="1" si="0"/>
        <v>0</v>
      </c>
      <c r="J29" s="47">
        <f t="shared" ca="1" si="1"/>
        <v>0</v>
      </c>
      <c r="K29" s="44">
        <f ca="1">_xll.DBRW($B$9,$C$17,$C$18,K$25,K$24,$C$20,$C$21,$B29,K$26)</f>
        <v>0</v>
      </c>
      <c r="L29" s="8">
        <f ca="1">_xll.DBRW($B$9,$C$17,$C$18,K$25,K$24,$C$20,$C$21,$B29,L$26)</f>
        <v>0</v>
      </c>
      <c r="M29" s="45">
        <f ca="1">_xll.DBRW($B$9,$C$17,$C$18,K$25,K$24,$C$20,$C$21,$B29,M$26)</f>
        <v>0</v>
      </c>
      <c r="N29" s="44">
        <f ca="1">_xll.DBRW($B$9,$C$17,$C$18,N$25,N$24,$C$20,$C$21,$B29,N$26)</f>
        <v>0</v>
      </c>
      <c r="O29" s="8">
        <f ca="1">_xll.DBRW($B$9,$C$17,$C$18,N$25,N$24,$C$20,$C$21,$B29,O$26)</f>
        <v>0</v>
      </c>
      <c r="P29" s="45">
        <f ca="1">_xll.DBRW($B$9,$C$17,$C$18,N$25,N$24,$C$20,$C$21,$B29,P$26)</f>
        <v>0</v>
      </c>
      <c r="Q29" s="46">
        <f t="shared" ca="1" si="2"/>
        <v>0</v>
      </c>
      <c r="R29" s="46">
        <f t="shared" ca="1" si="3"/>
        <v>0</v>
      </c>
      <c r="S29" s="44">
        <f ca="1">_xll.DBRW($B$9,$C$17,$C$18,S$25,S$24,$C$20,$C$21,$B29,S$26)</f>
        <v>0</v>
      </c>
      <c r="T29" s="8">
        <f ca="1">_xll.DBRW($B$9,$C$17,$C$18,S$25,S$24,$C$20,$C$21,$B29,T$26)</f>
        <v>0</v>
      </c>
      <c r="U29" s="45">
        <f ca="1">_xll.DBRW($B$9,$C$17,$C$18,S$25,S$24,$C$20,$C$21,$B29,U$26)</f>
        <v>0</v>
      </c>
      <c r="V29" s="44">
        <f ca="1">_xll.DBRW($B$9,$C$17,$C$18,V$25,V$24,$C$20,$C$21,$B29,V$26)</f>
        <v>0</v>
      </c>
      <c r="W29" s="8">
        <f ca="1">_xll.DBRW($B$9,$C$17,$C$18,V$25,V$24,$C$20,$C$21,$B29,W$26)</f>
        <v>0</v>
      </c>
      <c r="X29" s="45">
        <f ca="1">_xll.DBRW($B$9,$C$17,$C$18,V$25,V$24,$C$20,$C$21,$B29,X$26)</f>
        <v>0</v>
      </c>
      <c r="Y29" s="46">
        <f t="shared" ca="1" si="4"/>
        <v>0</v>
      </c>
      <c r="Z29" s="46">
        <f t="shared" ca="1" si="5"/>
        <v>0</v>
      </c>
      <c r="AA29" s="44">
        <f ca="1">_xll.DBRW($B$9,$C$17,$C$18,AA$25,AA$24,$C$20,$C$21,$B29,AA$26)</f>
        <v>0</v>
      </c>
      <c r="AB29" s="8">
        <f ca="1">_xll.DBRW($B$9,$C$17,$C$18,AA$25,AA$24,$C$20,$C$21,$B29,AB$26)</f>
        <v>0</v>
      </c>
      <c r="AC29" s="45">
        <f ca="1">_xll.DBRW($B$9,$C$17,$C$18,AA$25,AA$24,$C$20,$C$21,$B29,AC$26)</f>
        <v>0</v>
      </c>
      <c r="AD29" s="44">
        <f ca="1">_xll.DBRW($B$9,$C$17,$C$18,AD$25,AD$24,$C$20,$C$21,$B29,AD$26)</f>
        <v>0</v>
      </c>
      <c r="AE29" s="8">
        <f ca="1">_xll.DBRW($B$9,$C$17,$C$18,AD$25,AD$24,$C$20,$C$21,$B29,AE$26)</f>
        <v>0</v>
      </c>
      <c r="AF29" s="14">
        <f ca="1">_xll.DBRW($B$9,$C$17,$C$18,AD$25,AD$24,$C$20,$C$21,$B29,AF$26)</f>
        <v>0</v>
      </c>
      <c r="AG29" s="41">
        <f t="shared" ca="1" si="6"/>
        <v>0</v>
      </c>
      <c r="AH29" s="41">
        <f t="shared" ca="1" si="7"/>
        <v>0</v>
      </c>
    </row>
    <row r="30" spans="1:34" x14ac:dyDescent="0.25">
      <c r="A30">
        <f ca="1">IF(_xll.TM1RPTELISCONSOLIDATED($B$27,$B30),IF(_xll.TM1RPTELLEV($B$27,$B30)&lt;=3,_xll.TM1RPTELLEV($B$27,$B30),"D"),"N")</f>
        <v>1</v>
      </c>
      <c r="B30" s="132" t="s">
        <v>22</v>
      </c>
      <c r="C30" s="44">
        <f ca="1">_xll.DBRW($B$9,$C$17,$C$18,C$25,C$24,$C$20,$C$21,$B30,C$26)</f>
        <v>0</v>
      </c>
      <c r="D30" s="8">
        <f ca="1">_xll.DBRW($B$9,$C$17,$C$18,C$25,C$24,$C$20,$C$21,$B30,D$26)</f>
        <v>0</v>
      </c>
      <c r="E30" s="45">
        <f ca="1">_xll.DBRW($B$9,$C$17,$C$18,C$25,C$24,$C$20,$C$21,$B30,E$26)</f>
        <v>0</v>
      </c>
      <c r="F30" s="44">
        <f ca="1">_xll.DBRW($B$9,$C$17,$C$18,F$25,F$24,$C$20,$C$21,$B30,F$26)</f>
        <v>0</v>
      </c>
      <c r="G30" s="8">
        <f ca="1">_xll.DBRW($B$9,$C$17,$C$18,F$25,F$24,$C$20,$C$21,$B30,G$26)</f>
        <v>0</v>
      </c>
      <c r="H30" s="14">
        <f ca="1">_xll.DBRW($B$9,$C$17,$C$18,F$25,F$24,$C$20,$C$21,$B30,H$26)</f>
        <v>0</v>
      </c>
      <c r="I30" s="46">
        <f t="shared" ca="1" si="0"/>
        <v>0</v>
      </c>
      <c r="J30" s="47">
        <f t="shared" ca="1" si="1"/>
        <v>0</v>
      </c>
      <c r="K30" s="44">
        <f ca="1">_xll.DBRW($B$9,$C$17,$C$18,K$25,K$24,$C$20,$C$21,$B30,K$26)</f>
        <v>0</v>
      </c>
      <c r="L30" s="8">
        <f ca="1">_xll.DBRW($B$9,$C$17,$C$18,K$25,K$24,$C$20,$C$21,$B30,L$26)</f>
        <v>0</v>
      </c>
      <c r="M30" s="45">
        <f ca="1">_xll.DBRW($B$9,$C$17,$C$18,K$25,K$24,$C$20,$C$21,$B30,M$26)</f>
        <v>0</v>
      </c>
      <c r="N30" s="44">
        <f ca="1">_xll.DBRW($B$9,$C$17,$C$18,N$25,N$24,$C$20,$C$21,$B30,N$26)</f>
        <v>0</v>
      </c>
      <c r="O30" s="8">
        <f ca="1">_xll.DBRW($B$9,$C$17,$C$18,N$25,N$24,$C$20,$C$21,$B30,O$26)</f>
        <v>0</v>
      </c>
      <c r="P30" s="45">
        <f ca="1">_xll.DBRW($B$9,$C$17,$C$18,N$25,N$24,$C$20,$C$21,$B30,P$26)</f>
        <v>0</v>
      </c>
      <c r="Q30" s="46">
        <f t="shared" ca="1" si="2"/>
        <v>0</v>
      </c>
      <c r="R30" s="46">
        <f t="shared" ca="1" si="3"/>
        <v>0</v>
      </c>
      <c r="S30" s="44">
        <f ca="1">_xll.DBRW($B$9,$C$17,$C$18,S$25,S$24,$C$20,$C$21,$B30,S$26)</f>
        <v>0</v>
      </c>
      <c r="T30" s="8">
        <f ca="1">_xll.DBRW($B$9,$C$17,$C$18,S$25,S$24,$C$20,$C$21,$B30,T$26)</f>
        <v>0</v>
      </c>
      <c r="U30" s="45">
        <f ca="1">_xll.DBRW($B$9,$C$17,$C$18,S$25,S$24,$C$20,$C$21,$B30,U$26)</f>
        <v>0</v>
      </c>
      <c r="V30" s="44">
        <f ca="1">_xll.DBRW($B$9,$C$17,$C$18,V$25,V$24,$C$20,$C$21,$B30,V$26)</f>
        <v>0</v>
      </c>
      <c r="W30" s="8">
        <f ca="1">_xll.DBRW($B$9,$C$17,$C$18,V$25,V$24,$C$20,$C$21,$B30,W$26)</f>
        <v>0</v>
      </c>
      <c r="X30" s="45">
        <f ca="1">_xll.DBRW($B$9,$C$17,$C$18,V$25,V$24,$C$20,$C$21,$B30,X$26)</f>
        <v>0</v>
      </c>
      <c r="Y30" s="46">
        <f t="shared" ca="1" si="4"/>
        <v>0</v>
      </c>
      <c r="Z30" s="46">
        <f t="shared" ca="1" si="5"/>
        <v>0</v>
      </c>
      <c r="AA30" s="44">
        <f ca="1">_xll.DBRW($B$9,$C$17,$C$18,AA$25,AA$24,$C$20,$C$21,$B30,AA$26)</f>
        <v>0</v>
      </c>
      <c r="AB30" s="8">
        <f ca="1">_xll.DBRW($B$9,$C$17,$C$18,AA$25,AA$24,$C$20,$C$21,$B30,AB$26)</f>
        <v>0</v>
      </c>
      <c r="AC30" s="45">
        <f ca="1">_xll.DBRW($B$9,$C$17,$C$18,AA$25,AA$24,$C$20,$C$21,$B30,AC$26)</f>
        <v>0</v>
      </c>
      <c r="AD30" s="44">
        <f ca="1">_xll.DBRW($B$9,$C$17,$C$18,AD$25,AD$24,$C$20,$C$21,$B30,AD$26)</f>
        <v>0</v>
      </c>
      <c r="AE30" s="8">
        <f ca="1">_xll.DBRW($B$9,$C$17,$C$18,AD$25,AD$24,$C$20,$C$21,$B30,AE$26)</f>
        <v>0</v>
      </c>
      <c r="AF30" s="14">
        <f ca="1">_xll.DBRW($B$9,$C$17,$C$18,AD$25,AD$24,$C$20,$C$21,$B30,AF$26)</f>
        <v>0</v>
      </c>
      <c r="AG30" s="41">
        <f t="shared" ca="1" si="6"/>
        <v>0</v>
      </c>
      <c r="AH30" s="41">
        <f t="shared" ca="1" si="7"/>
        <v>0</v>
      </c>
    </row>
    <row r="31" spans="1:34" x14ac:dyDescent="0.25">
      <c r="A31">
        <f ca="1">IF(_xll.TM1RPTELISCONSOLIDATED($B$27,$B31),IF(_xll.TM1RPTELLEV($B$27,$B31)&lt;=3,_xll.TM1RPTELLEV($B$27,$B31),"D"),"N")</f>
        <v>1</v>
      </c>
      <c r="B31" s="132" t="s">
        <v>23</v>
      </c>
      <c r="C31" s="44">
        <f ca="1">_xll.DBRW($B$9,$C$17,$C$18,C$25,C$24,$C$20,$C$21,$B31,C$26)</f>
        <v>0</v>
      </c>
      <c r="D31" s="8">
        <f ca="1">_xll.DBRW($B$9,$C$17,$C$18,C$25,C$24,$C$20,$C$21,$B31,D$26)</f>
        <v>0</v>
      </c>
      <c r="E31" s="45">
        <f ca="1">_xll.DBRW($B$9,$C$17,$C$18,C$25,C$24,$C$20,$C$21,$B31,E$26)</f>
        <v>0</v>
      </c>
      <c r="F31" s="44">
        <f ca="1">_xll.DBRW($B$9,$C$17,$C$18,F$25,F$24,$C$20,$C$21,$B31,F$26)</f>
        <v>0</v>
      </c>
      <c r="G31" s="8">
        <f ca="1">_xll.DBRW($B$9,$C$17,$C$18,F$25,F$24,$C$20,$C$21,$B31,G$26)</f>
        <v>0</v>
      </c>
      <c r="H31" s="14">
        <f ca="1">_xll.DBRW($B$9,$C$17,$C$18,F$25,F$24,$C$20,$C$21,$B31,H$26)</f>
        <v>0</v>
      </c>
      <c r="I31" s="46">
        <f t="shared" ca="1" si="0"/>
        <v>0</v>
      </c>
      <c r="J31" s="47">
        <f t="shared" ca="1" si="1"/>
        <v>0</v>
      </c>
      <c r="K31" s="44">
        <f ca="1">_xll.DBRW($B$9,$C$17,$C$18,K$25,K$24,$C$20,$C$21,$B31,K$26)</f>
        <v>0</v>
      </c>
      <c r="L31" s="8">
        <f ca="1">_xll.DBRW($B$9,$C$17,$C$18,K$25,K$24,$C$20,$C$21,$B31,L$26)</f>
        <v>0</v>
      </c>
      <c r="M31" s="45">
        <f ca="1">_xll.DBRW($B$9,$C$17,$C$18,K$25,K$24,$C$20,$C$21,$B31,M$26)</f>
        <v>0</v>
      </c>
      <c r="N31" s="44">
        <f ca="1">_xll.DBRW($B$9,$C$17,$C$18,N$25,N$24,$C$20,$C$21,$B31,N$26)</f>
        <v>0</v>
      </c>
      <c r="O31" s="8">
        <f ca="1">_xll.DBRW($B$9,$C$17,$C$18,N$25,N$24,$C$20,$C$21,$B31,O$26)</f>
        <v>0</v>
      </c>
      <c r="P31" s="45">
        <f ca="1">_xll.DBRW($B$9,$C$17,$C$18,N$25,N$24,$C$20,$C$21,$B31,P$26)</f>
        <v>0</v>
      </c>
      <c r="Q31" s="46">
        <f t="shared" ca="1" si="2"/>
        <v>0</v>
      </c>
      <c r="R31" s="46">
        <f t="shared" ca="1" si="3"/>
        <v>0</v>
      </c>
      <c r="S31" s="44">
        <f ca="1">_xll.DBRW($B$9,$C$17,$C$18,S$25,S$24,$C$20,$C$21,$B31,S$26)</f>
        <v>0</v>
      </c>
      <c r="T31" s="8">
        <f ca="1">_xll.DBRW($B$9,$C$17,$C$18,S$25,S$24,$C$20,$C$21,$B31,T$26)</f>
        <v>0</v>
      </c>
      <c r="U31" s="45">
        <f ca="1">_xll.DBRW($B$9,$C$17,$C$18,S$25,S$24,$C$20,$C$21,$B31,U$26)</f>
        <v>0</v>
      </c>
      <c r="V31" s="44">
        <f ca="1">_xll.DBRW($B$9,$C$17,$C$18,V$25,V$24,$C$20,$C$21,$B31,V$26)</f>
        <v>0</v>
      </c>
      <c r="W31" s="8">
        <f ca="1">_xll.DBRW($B$9,$C$17,$C$18,V$25,V$24,$C$20,$C$21,$B31,W$26)</f>
        <v>0</v>
      </c>
      <c r="X31" s="45">
        <f ca="1">_xll.DBRW($B$9,$C$17,$C$18,V$25,V$24,$C$20,$C$21,$B31,X$26)</f>
        <v>0</v>
      </c>
      <c r="Y31" s="46">
        <f t="shared" ca="1" si="4"/>
        <v>0</v>
      </c>
      <c r="Z31" s="46">
        <f t="shared" ca="1" si="5"/>
        <v>0</v>
      </c>
      <c r="AA31" s="44">
        <f ca="1">_xll.DBRW($B$9,$C$17,$C$18,AA$25,AA$24,$C$20,$C$21,$B31,AA$26)</f>
        <v>0</v>
      </c>
      <c r="AB31" s="8">
        <f ca="1">_xll.DBRW($B$9,$C$17,$C$18,AA$25,AA$24,$C$20,$C$21,$B31,AB$26)</f>
        <v>0</v>
      </c>
      <c r="AC31" s="45">
        <f ca="1">_xll.DBRW($B$9,$C$17,$C$18,AA$25,AA$24,$C$20,$C$21,$B31,AC$26)</f>
        <v>0</v>
      </c>
      <c r="AD31" s="44">
        <f ca="1">_xll.DBRW($B$9,$C$17,$C$18,AD$25,AD$24,$C$20,$C$21,$B31,AD$26)</f>
        <v>0</v>
      </c>
      <c r="AE31" s="8">
        <f ca="1">_xll.DBRW($B$9,$C$17,$C$18,AD$25,AD$24,$C$20,$C$21,$B31,AE$26)</f>
        <v>0</v>
      </c>
      <c r="AF31" s="14">
        <f ca="1">_xll.DBRW($B$9,$C$17,$C$18,AD$25,AD$24,$C$20,$C$21,$B31,AF$26)</f>
        <v>0</v>
      </c>
      <c r="AG31" s="41">
        <f t="shared" ca="1" si="6"/>
        <v>0</v>
      </c>
      <c r="AH31" s="41">
        <f t="shared" ca="1" si="7"/>
        <v>0</v>
      </c>
    </row>
    <row r="32" spans="1:34" x14ac:dyDescent="0.25">
      <c r="A32">
        <f ca="1">IF(_xll.TM1RPTELISCONSOLIDATED($B$27,$B32),IF(_xll.TM1RPTELLEV($B$27,$B32)&lt;=3,_xll.TM1RPTELLEV($B$27,$B32),"D"),"N")</f>
        <v>1</v>
      </c>
      <c r="B32" s="132" t="s">
        <v>24</v>
      </c>
      <c r="C32" s="44">
        <f ca="1">_xll.DBRW($B$9,$C$17,$C$18,C$25,C$24,$C$20,$C$21,$B32,C$26)</f>
        <v>0</v>
      </c>
      <c r="D32" s="8">
        <f ca="1">_xll.DBRW($B$9,$C$17,$C$18,C$25,C$24,$C$20,$C$21,$B32,D$26)</f>
        <v>0</v>
      </c>
      <c r="E32" s="45">
        <f ca="1">_xll.DBRW($B$9,$C$17,$C$18,C$25,C$24,$C$20,$C$21,$B32,E$26)</f>
        <v>0</v>
      </c>
      <c r="F32" s="44">
        <f ca="1">_xll.DBRW($B$9,$C$17,$C$18,F$25,F$24,$C$20,$C$21,$B32,F$26)</f>
        <v>0</v>
      </c>
      <c r="G32" s="8">
        <f ca="1">_xll.DBRW($B$9,$C$17,$C$18,F$25,F$24,$C$20,$C$21,$B32,G$26)</f>
        <v>0</v>
      </c>
      <c r="H32" s="14">
        <f ca="1">_xll.DBRW($B$9,$C$17,$C$18,F$25,F$24,$C$20,$C$21,$B32,H$26)</f>
        <v>0</v>
      </c>
      <c r="I32" s="46">
        <f t="shared" ca="1" si="0"/>
        <v>0</v>
      </c>
      <c r="J32" s="47">
        <f t="shared" ca="1" si="1"/>
        <v>0</v>
      </c>
      <c r="K32" s="44">
        <f ca="1">_xll.DBRW($B$9,$C$17,$C$18,K$25,K$24,$C$20,$C$21,$B32,K$26)</f>
        <v>0</v>
      </c>
      <c r="L32" s="8">
        <f ca="1">_xll.DBRW($B$9,$C$17,$C$18,K$25,K$24,$C$20,$C$21,$B32,L$26)</f>
        <v>0</v>
      </c>
      <c r="M32" s="45">
        <f ca="1">_xll.DBRW($B$9,$C$17,$C$18,K$25,K$24,$C$20,$C$21,$B32,M$26)</f>
        <v>0</v>
      </c>
      <c r="N32" s="44">
        <f ca="1">_xll.DBRW($B$9,$C$17,$C$18,N$25,N$24,$C$20,$C$21,$B32,N$26)</f>
        <v>0</v>
      </c>
      <c r="O32" s="8">
        <f ca="1">_xll.DBRW($B$9,$C$17,$C$18,N$25,N$24,$C$20,$C$21,$B32,O$26)</f>
        <v>0</v>
      </c>
      <c r="P32" s="45">
        <f ca="1">_xll.DBRW($B$9,$C$17,$C$18,N$25,N$24,$C$20,$C$21,$B32,P$26)</f>
        <v>0</v>
      </c>
      <c r="Q32" s="46">
        <f t="shared" ca="1" si="2"/>
        <v>0</v>
      </c>
      <c r="R32" s="46">
        <f t="shared" ca="1" si="3"/>
        <v>0</v>
      </c>
      <c r="S32" s="44">
        <f ca="1">_xll.DBRW($B$9,$C$17,$C$18,S$25,S$24,$C$20,$C$21,$B32,S$26)</f>
        <v>0</v>
      </c>
      <c r="T32" s="8">
        <f ca="1">_xll.DBRW($B$9,$C$17,$C$18,S$25,S$24,$C$20,$C$21,$B32,T$26)</f>
        <v>0</v>
      </c>
      <c r="U32" s="45">
        <f ca="1">_xll.DBRW($B$9,$C$17,$C$18,S$25,S$24,$C$20,$C$21,$B32,U$26)</f>
        <v>0</v>
      </c>
      <c r="V32" s="44">
        <f ca="1">_xll.DBRW($B$9,$C$17,$C$18,V$25,V$24,$C$20,$C$21,$B32,V$26)</f>
        <v>0</v>
      </c>
      <c r="W32" s="8">
        <f ca="1">_xll.DBRW($B$9,$C$17,$C$18,V$25,V$24,$C$20,$C$21,$B32,W$26)</f>
        <v>0</v>
      </c>
      <c r="X32" s="45">
        <f ca="1">_xll.DBRW($B$9,$C$17,$C$18,V$25,V$24,$C$20,$C$21,$B32,X$26)</f>
        <v>0</v>
      </c>
      <c r="Y32" s="46">
        <f t="shared" ca="1" si="4"/>
        <v>0</v>
      </c>
      <c r="Z32" s="46">
        <f t="shared" ca="1" si="5"/>
        <v>0</v>
      </c>
      <c r="AA32" s="44">
        <f ca="1">_xll.DBRW($B$9,$C$17,$C$18,AA$25,AA$24,$C$20,$C$21,$B32,AA$26)</f>
        <v>0</v>
      </c>
      <c r="AB32" s="8">
        <f ca="1">_xll.DBRW($B$9,$C$17,$C$18,AA$25,AA$24,$C$20,$C$21,$B32,AB$26)</f>
        <v>0</v>
      </c>
      <c r="AC32" s="45">
        <f ca="1">_xll.DBRW($B$9,$C$17,$C$18,AA$25,AA$24,$C$20,$C$21,$B32,AC$26)</f>
        <v>0</v>
      </c>
      <c r="AD32" s="44">
        <f ca="1">_xll.DBRW($B$9,$C$17,$C$18,AD$25,AD$24,$C$20,$C$21,$B32,AD$26)</f>
        <v>0</v>
      </c>
      <c r="AE32" s="8">
        <f ca="1">_xll.DBRW($B$9,$C$17,$C$18,AD$25,AD$24,$C$20,$C$21,$B32,AE$26)</f>
        <v>0</v>
      </c>
      <c r="AF32" s="14">
        <f ca="1">_xll.DBRW($B$9,$C$17,$C$18,AD$25,AD$24,$C$20,$C$21,$B32,AF$26)</f>
        <v>0</v>
      </c>
      <c r="AG32" s="41">
        <f t="shared" ca="1" si="6"/>
        <v>0</v>
      </c>
      <c r="AH32" s="41">
        <f t="shared" ca="1" si="7"/>
        <v>0</v>
      </c>
    </row>
    <row r="33" spans="1:34" x14ac:dyDescent="0.25">
      <c r="A33">
        <f ca="1">IF(_xll.TM1RPTELISCONSOLIDATED($B$27,$B33),IF(_xll.TM1RPTELLEV($B$27,$B33)&lt;=3,_xll.TM1RPTELLEV($B$27,$B33),"D"),"N")</f>
        <v>1</v>
      </c>
      <c r="B33" s="132" t="s">
        <v>25</v>
      </c>
      <c r="C33" s="44">
        <f ca="1">_xll.DBRW($B$9,$C$17,$C$18,C$25,C$24,$C$20,$C$21,$B33,C$26)</f>
        <v>0</v>
      </c>
      <c r="D33" s="8">
        <f ca="1">_xll.DBRW($B$9,$C$17,$C$18,C$25,C$24,$C$20,$C$21,$B33,D$26)</f>
        <v>0</v>
      </c>
      <c r="E33" s="45">
        <f ca="1">_xll.DBRW($B$9,$C$17,$C$18,C$25,C$24,$C$20,$C$21,$B33,E$26)</f>
        <v>0</v>
      </c>
      <c r="F33" s="44">
        <f ca="1">_xll.DBRW($B$9,$C$17,$C$18,F$25,F$24,$C$20,$C$21,$B33,F$26)</f>
        <v>0</v>
      </c>
      <c r="G33" s="8">
        <f ca="1">_xll.DBRW($B$9,$C$17,$C$18,F$25,F$24,$C$20,$C$21,$B33,G$26)</f>
        <v>0</v>
      </c>
      <c r="H33" s="14">
        <f ca="1">_xll.DBRW($B$9,$C$17,$C$18,F$25,F$24,$C$20,$C$21,$B33,H$26)</f>
        <v>0</v>
      </c>
      <c r="I33" s="46">
        <f t="shared" ca="1" si="0"/>
        <v>0</v>
      </c>
      <c r="J33" s="47">
        <f t="shared" ca="1" si="1"/>
        <v>0</v>
      </c>
      <c r="K33" s="44">
        <f ca="1">_xll.DBRW($B$9,$C$17,$C$18,K$25,K$24,$C$20,$C$21,$B33,K$26)</f>
        <v>0</v>
      </c>
      <c r="L33" s="8">
        <f ca="1">_xll.DBRW($B$9,$C$17,$C$18,K$25,K$24,$C$20,$C$21,$B33,L$26)</f>
        <v>0</v>
      </c>
      <c r="M33" s="45">
        <f ca="1">_xll.DBRW($B$9,$C$17,$C$18,K$25,K$24,$C$20,$C$21,$B33,M$26)</f>
        <v>0</v>
      </c>
      <c r="N33" s="44">
        <f ca="1">_xll.DBRW($B$9,$C$17,$C$18,N$25,N$24,$C$20,$C$21,$B33,N$26)</f>
        <v>0</v>
      </c>
      <c r="O33" s="8">
        <f ca="1">_xll.DBRW($B$9,$C$17,$C$18,N$25,N$24,$C$20,$C$21,$B33,O$26)</f>
        <v>0</v>
      </c>
      <c r="P33" s="45">
        <f ca="1">_xll.DBRW($B$9,$C$17,$C$18,N$25,N$24,$C$20,$C$21,$B33,P$26)</f>
        <v>0</v>
      </c>
      <c r="Q33" s="46">
        <f t="shared" ca="1" si="2"/>
        <v>0</v>
      </c>
      <c r="R33" s="46">
        <f t="shared" ca="1" si="3"/>
        <v>0</v>
      </c>
      <c r="S33" s="44">
        <f ca="1">_xll.DBRW($B$9,$C$17,$C$18,S$25,S$24,$C$20,$C$21,$B33,S$26)</f>
        <v>0</v>
      </c>
      <c r="T33" s="8">
        <f ca="1">_xll.DBRW($B$9,$C$17,$C$18,S$25,S$24,$C$20,$C$21,$B33,T$26)</f>
        <v>0</v>
      </c>
      <c r="U33" s="45">
        <f ca="1">_xll.DBRW($B$9,$C$17,$C$18,S$25,S$24,$C$20,$C$21,$B33,U$26)</f>
        <v>0</v>
      </c>
      <c r="V33" s="44">
        <f ca="1">_xll.DBRW($B$9,$C$17,$C$18,V$25,V$24,$C$20,$C$21,$B33,V$26)</f>
        <v>0</v>
      </c>
      <c r="W33" s="8">
        <f ca="1">_xll.DBRW($B$9,$C$17,$C$18,V$25,V$24,$C$20,$C$21,$B33,W$26)</f>
        <v>0</v>
      </c>
      <c r="X33" s="45">
        <f ca="1">_xll.DBRW($B$9,$C$17,$C$18,V$25,V$24,$C$20,$C$21,$B33,X$26)</f>
        <v>0</v>
      </c>
      <c r="Y33" s="46">
        <f t="shared" ca="1" si="4"/>
        <v>0</v>
      </c>
      <c r="Z33" s="46">
        <f t="shared" ca="1" si="5"/>
        <v>0</v>
      </c>
      <c r="AA33" s="44">
        <f ca="1">_xll.DBRW($B$9,$C$17,$C$18,AA$25,AA$24,$C$20,$C$21,$B33,AA$26)</f>
        <v>0</v>
      </c>
      <c r="AB33" s="8">
        <f ca="1">_xll.DBRW($B$9,$C$17,$C$18,AA$25,AA$24,$C$20,$C$21,$B33,AB$26)</f>
        <v>0</v>
      </c>
      <c r="AC33" s="45">
        <f ca="1">_xll.DBRW($B$9,$C$17,$C$18,AA$25,AA$24,$C$20,$C$21,$B33,AC$26)</f>
        <v>0</v>
      </c>
      <c r="AD33" s="44">
        <f ca="1">_xll.DBRW($B$9,$C$17,$C$18,AD$25,AD$24,$C$20,$C$21,$B33,AD$26)</f>
        <v>0</v>
      </c>
      <c r="AE33" s="8">
        <f ca="1">_xll.DBRW($B$9,$C$17,$C$18,AD$25,AD$24,$C$20,$C$21,$B33,AE$26)</f>
        <v>0</v>
      </c>
      <c r="AF33" s="14">
        <f ca="1">_xll.DBRW($B$9,$C$17,$C$18,AD$25,AD$24,$C$20,$C$21,$B33,AF$26)</f>
        <v>0</v>
      </c>
      <c r="AG33" s="41">
        <f t="shared" ca="1" si="6"/>
        <v>0</v>
      </c>
      <c r="AH33" s="41">
        <f t="shared" ca="1" si="7"/>
        <v>0</v>
      </c>
    </row>
    <row r="34" spans="1:34" x14ac:dyDescent="0.25">
      <c r="A34">
        <f ca="1">IF(_xll.TM1RPTELISCONSOLIDATED($B$27,$B34),IF(_xll.TM1RPTELLEV($B$27,$B34)&lt;=3,_xll.TM1RPTELLEV($B$27,$B34),"D"),"N")</f>
        <v>1</v>
      </c>
      <c r="B34" s="132" t="s">
        <v>26</v>
      </c>
      <c r="C34" s="44">
        <f ca="1">_xll.DBRW($B$9,$C$17,$C$18,C$25,C$24,$C$20,$C$21,$B34,C$26)</f>
        <v>0</v>
      </c>
      <c r="D34" s="8">
        <f ca="1">_xll.DBRW($B$9,$C$17,$C$18,C$25,C$24,$C$20,$C$21,$B34,D$26)</f>
        <v>0</v>
      </c>
      <c r="E34" s="45">
        <f ca="1">_xll.DBRW($B$9,$C$17,$C$18,C$25,C$24,$C$20,$C$21,$B34,E$26)</f>
        <v>0</v>
      </c>
      <c r="F34" s="44">
        <f ca="1">_xll.DBRW($B$9,$C$17,$C$18,F$25,F$24,$C$20,$C$21,$B34,F$26)</f>
        <v>0</v>
      </c>
      <c r="G34" s="8">
        <f ca="1">_xll.DBRW($B$9,$C$17,$C$18,F$25,F$24,$C$20,$C$21,$B34,G$26)</f>
        <v>0</v>
      </c>
      <c r="H34" s="14">
        <f ca="1">_xll.DBRW($B$9,$C$17,$C$18,F$25,F$24,$C$20,$C$21,$B34,H$26)</f>
        <v>0</v>
      </c>
      <c r="I34" s="46">
        <f t="shared" ca="1" si="0"/>
        <v>0</v>
      </c>
      <c r="J34" s="47">
        <f t="shared" ca="1" si="1"/>
        <v>0</v>
      </c>
      <c r="K34" s="44">
        <f ca="1">_xll.DBRW($B$9,$C$17,$C$18,K$25,K$24,$C$20,$C$21,$B34,K$26)</f>
        <v>0</v>
      </c>
      <c r="L34" s="8">
        <f ca="1">_xll.DBRW($B$9,$C$17,$C$18,K$25,K$24,$C$20,$C$21,$B34,L$26)</f>
        <v>0</v>
      </c>
      <c r="M34" s="45">
        <f ca="1">_xll.DBRW($B$9,$C$17,$C$18,K$25,K$24,$C$20,$C$21,$B34,M$26)</f>
        <v>0</v>
      </c>
      <c r="N34" s="44">
        <f ca="1">_xll.DBRW($B$9,$C$17,$C$18,N$25,N$24,$C$20,$C$21,$B34,N$26)</f>
        <v>0</v>
      </c>
      <c r="O34" s="8">
        <f ca="1">_xll.DBRW($B$9,$C$17,$C$18,N$25,N$24,$C$20,$C$21,$B34,O$26)</f>
        <v>0</v>
      </c>
      <c r="P34" s="45">
        <f ca="1">_xll.DBRW($B$9,$C$17,$C$18,N$25,N$24,$C$20,$C$21,$B34,P$26)</f>
        <v>0</v>
      </c>
      <c r="Q34" s="46">
        <f t="shared" ca="1" si="2"/>
        <v>0</v>
      </c>
      <c r="R34" s="46">
        <f t="shared" ca="1" si="3"/>
        <v>0</v>
      </c>
      <c r="S34" s="44">
        <f ca="1">_xll.DBRW($B$9,$C$17,$C$18,S$25,S$24,$C$20,$C$21,$B34,S$26)</f>
        <v>0</v>
      </c>
      <c r="T34" s="8">
        <f ca="1">_xll.DBRW($B$9,$C$17,$C$18,S$25,S$24,$C$20,$C$21,$B34,T$26)</f>
        <v>0</v>
      </c>
      <c r="U34" s="45">
        <f ca="1">_xll.DBRW($B$9,$C$17,$C$18,S$25,S$24,$C$20,$C$21,$B34,U$26)</f>
        <v>0</v>
      </c>
      <c r="V34" s="44">
        <f ca="1">_xll.DBRW($B$9,$C$17,$C$18,V$25,V$24,$C$20,$C$21,$B34,V$26)</f>
        <v>0</v>
      </c>
      <c r="W34" s="8">
        <f ca="1">_xll.DBRW($B$9,$C$17,$C$18,V$25,V$24,$C$20,$C$21,$B34,W$26)</f>
        <v>0</v>
      </c>
      <c r="X34" s="45">
        <f ca="1">_xll.DBRW($B$9,$C$17,$C$18,V$25,V$24,$C$20,$C$21,$B34,X$26)</f>
        <v>0</v>
      </c>
      <c r="Y34" s="46">
        <f t="shared" ca="1" si="4"/>
        <v>0</v>
      </c>
      <c r="Z34" s="46">
        <f t="shared" ca="1" si="5"/>
        <v>0</v>
      </c>
      <c r="AA34" s="44">
        <f ca="1">_xll.DBRW($B$9,$C$17,$C$18,AA$25,AA$24,$C$20,$C$21,$B34,AA$26)</f>
        <v>0</v>
      </c>
      <c r="AB34" s="8">
        <f ca="1">_xll.DBRW($B$9,$C$17,$C$18,AA$25,AA$24,$C$20,$C$21,$B34,AB$26)</f>
        <v>0</v>
      </c>
      <c r="AC34" s="45">
        <f ca="1">_xll.DBRW($B$9,$C$17,$C$18,AA$25,AA$24,$C$20,$C$21,$B34,AC$26)</f>
        <v>0</v>
      </c>
      <c r="AD34" s="44">
        <f ca="1">_xll.DBRW($B$9,$C$17,$C$18,AD$25,AD$24,$C$20,$C$21,$B34,AD$26)</f>
        <v>0</v>
      </c>
      <c r="AE34" s="8">
        <f ca="1">_xll.DBRW($B$9,$C$17,$C$18,AD$25,AD$24,$C$20,$C$21,$B34,AE$26)</f>
        <v>0</v>
      </c>
      <c r="AF34" s="14">
        <f ca="1">_xll.DBRW($B$9,$C$17,$C$18,AD$25,AD$24,$C$20,$C$21,$B34,AF$26)</f>
        <v>0</v>
      </c>
      <c r="AG34" s="41">
        <f t="shared" ca="1" si="6"/>
        <v>0</v>
      </c>
      <c r="AH34" s="41">
        <f t="shared" ca="1" si="7"/>
        <v>0</v>
      </c>
    </row>
    <row r="35" spans="1:34" x14ac:dyDescent="0.25">
      <c r="A35">
        <f ca="1">IF(_xll.TM1RPTELISCONSOLIDATED($B$27,$B35),IF(_xll.TM1RPTELLEV($B$27,$B35)&lt;=3,_xll.TM1RPTELLEV($B$27,$B35),"D"),"N")</f>
        <v>1</v>
      </c>
      <c r="B35" s="132" t="s">
        <v>27</v>
      </c>
      <c r="C35" s="44">
        <f ca="1">_xll.DBRW($B$9,$C$17,$C$18,C$25,C$24,$C$20,$C$21,$B35,C$26)</f>
        <v>0</v>
      </c>
      <c r="D35" s="8">
        <f ca="1">_xll.DBRW($B$9,$C$17,$C$18,C$25,C$24,$C$20,$C$21,$B35,D$26)</f>
        <v>0</v>
      </c>
      <c r="E35" s="45">
        <f ca="1">_xll.DBRW($B$9,$C$17,$C$18,C$25,C$24,$C$20,$C$21,$B35,E$26)</f>
        <v>0</v>
      </c>
      <c r="F35" s="44">
        <f ca="1">_xll.DBRW($B$9,$C$17,$C$18,F$25,F$24,$C$20,$C$21,$B35,F$26)</f>
        <v>0</v>
      </c>
      <c r="G35" s="8">
        <f ca="1">_xll.DBRW($B$9,$C$17,$C$18,F$25,F$24,$C$20,$C$21,$B35,G$26)</f>
        <v>0</v>
      </c>
      <c r="H35" s="14">
        <f ca="1">_xll.DBRW($B$9,$C$17,$C$18,F$25,F$24,$C$20,$C$21,$B35,H$26)</f>
        <v>0</v>
      </c>
      <c r="I35" s="46">
        <f t="shared" ca="1" si="0"/>
        <v>0</v>
      </c>
      <c r="J35" s="47">
        <f t="shared" ca="1" si="1"/>
        <v>0</v>
      </c>
      <c r="K35" s="44">
        <f ca="1">_xll.DBRW($B$9,$C$17,$C$18,K$25,K$24,$C$20,$C$21,$B35,K$26)</f>
        <v>0</v>
      </c>
      <c r="L35" s="8">
        <f ca="1">_xll.DBRW($B$9,$C$17,$C$18,K$25,K$24,$C$20,$C$21,$B35,L$26)</f>
        <v>0</v>
      </c>
      <c r="M35" s="45">
        <f ca="1">_xll.DBRW($B$9,$C$17,$C$18,K$25,K$24,$C$20,$C$21,$B35,M$26)</f>
        <v>0</v>
      </c>
      <c r="N35" s="44">
        <f ca="1">_xll.DBRW($B$9,$C$17,$C$18,N$25,N$24,$C$20,$C$21,$B35,N$26)</f>
        <v>0</v>
      </c>
      <c r="O35" s="8">
        <f ca="1">_xll.DBRW($B$9,$C$17,$C$18,N$25,N$24,$C$20,$C$21,$B35,O$26)</f>
        <v>0</v>
      </c>
      <c r="P35" s="45">
        <f ca="1">_xll.DBRW($B$9,$C$17,$C$18,N$25,N$24,$C$20,$C$21,$B35,P$26)</f>
        <v>0</v>
      </c>
      <c r="Q35" s="46">
        <f t="shared" ca="1" si="2"/>
        <v>0</v>
      </c>
      <c r="R35" s="46">
        <f t="shared" ca="1" si="3"/>
        <v>0</v>
      </c>
      <c r="S35" s="44">
        <f ca="1">_xll.DBRW($B$9,$C$17,$C$18,S$25,S$24,$C$20,$C$21,$B35,S$26)</f>
        <v>0</v>
      </c>
      <c r="T35" s="8">
        <f ca="1">_xll.DBRW($B$9,$C$17,$C$18,S$25,S$24,$C$20,$C$21,$B35,T$26)</f>
        <v>0</v>
      </c>
      <c r="U35" s="45">
        <f ca="1">_xll.DBRW($B$9,$C$17,$C$18,S$25,S$24,$C$20,$C$21,$B35,U$26)</f>
        <v>0</v>
      </c>
      <c r="V35" s="44">
        <f ca="1">_xll.DBRW($B$9,$C$17,$C$18,V$25,V$24,$C$20,$C$21,$B35,V$26)</f>
        <v>0</v>
      </c>
      <c r="W35" s="8">
        <f ca="1">_xll.DBRW($B$9,$C$17,$C$18,V$25,V$24,$C$20,$C$21,$B35,W$26)</f>
        <v>0</v>
      </c>
      <c r="X35" s="45">
        <f ca="1">_xll.DBRW($B$9,$C$17,$C$18,V$25,V$24,$C$20,$C$21,$B35,X$26)</f>
        <v>0</v>
      </c>
      <c r="Y35" s="46">
        <f t="shared" ca="1" si="4"/>
        <v>0</v>
      </c>
      <c r="Z35" s="46">
        <f t="shared" ca="1" si="5"/>
        <v>0</v>
      </c>
      <c r="AA35" s="44">
        <f ca="1">_xll.DBRW($B$9,$C$17,$C$18,AA$25,AA$24,$C$20,$C$21,$B35,AA$26)</f>
        <v>0</v>
      </c>
      <c r="AB35" s="8">
        <f ca="1">_xll.DBRW($B$9,$C$17,$C$18,AA$25,AA$24,$C$20,$C$21,$B35,AB$26)</f>
        <v>0</v>
      </c>
      <c r="AC35" s="45">
        <f ca="1">_xll.DBRW($B$9,$C$17,$C$18,AA$25,AA$24,$C$20,$C$21,$B35,AC$26)</f>
        <v>0</v>
      </c>
      <c r="AD35" s="44">
        <f ca="1">_xll.DBRW($B$9,$C$17,$C$18,AD$25,AD$24,$C$20,$C$21,$B35,AD$26)</f>
        <v>0</v>
      </c>
      <c r="AE35" s="8">
        <f ca="1">_xll.DBRW($B$9,$C$17,$C$18,AD$25,AD$24,$C$20,$C$21,$B35,AE$26)</f>
        <v>0</v>
      </c>
      <c r="AF35" s="14">
        <f ca="1">_xll.DBRW($B$9,$C$17,$C$18,AD$25,AD$24,$C$20,$C$21,$B35,AF$26)</f>
        <v>0</v>
      </c>
      <c r="AG35" s="41">
        <f t="shared" ca="1" si="6"/>
        <v>0</v>
      </c>
      <c r="AH35" s="41">
        <f t="shared" ca="1" si="7"/>
        <v>0</v>
      </c>
    </row>
    <row r="36" spans="1:34" x14ac:dyDescent="0.25">
      <c r="A36">
        <f ca="1">IF(_xll.TM1RPTELISCONSOLIDATED($B$27,$B36),IF(_xll.TM1RPTELLEV($B$27,$B36)&lt;=3,_xll.TM1RPTELLEV($B$27,$B36),"D"),"N")</f>
        <v>1</v>
      </c>
      <c r="B36" s="132" t="s">
        <v>28</v>
      </c>
      <c r="C36" s="44">
        <f ca="1">_xll.DBRW($B$9,$C$17,$C$18,C$25,C$24,$C$20,$C$21,$B36,C$26)</f>
        <v>0</v>
      </c>
      <c r="D36" s="8">
        <f ca="1">_xll.DBRW($B$9,$C$17,$C$18,C$25,C$24,$C$20,$C$21,$B36,D$26)</f>
        <v>0</v>
      </c>
      <c r="E36" s="45">
        <f ca="1">_xll.DBRW($B$9,$C$17,$C$18,C$25,C$24,$C$20,$C$21,$B36,E$26)</f>
        <v>0</v>
      </c>
      <c r="F36" s="44">
        <f ca="1">_xll.DBRW($B$9,$C$17,$C$18,F$25,F$24,$C$20,$C$21,$B36,F$26)</f>
        <v>0</v>
      </c>
      <c r="G36" s="8">
        <f ca="1">_xll.DBRW($B$9,$C$17,$C$18,F$25,F$24,$C$20,$C$21,$B36,G$26)</f>
        <v>0</v>
      </c>
      <c r="H36" s="14">
        <f ca="1">_xll.DBRW($B$9,$C$17,$C$18,F$25,F$24,$C$20,$C$21,$B36,H$26)</f>
        <v>0</v>
      </c>
      <c r="I36" s="46">
        <f t="shared" ca="1" si="0"/>
        <v>0</v>
      </c>
      <c r="J36" s="47">
        <f t="shared" ca="1" si="1"/>
        <v>0</v>
      </c>
      <c r="K36" s="44">
        <f ca="1">_xll.DBRW($B$9,$C$17,$C$18,K$25,K$24,$C$20,$C$21,$B36,K$26)</f>
        <v>0</v>
      </c>
      <c r="L36" s="8">
        <f ca="1">_xll.DBRW($B$9,$C$17,$C$18,K$25,K$24,$C$20,$C$21,$B36,L$26)</f>
        <v>0</v>
      </c>
      <c r="M36" s="45">
        <f ca="1">_xll.DBRW($B$9,$C$17,$C$18,K$25,K$24,$C$20,$C$21,$B36,M$26)</f>
        <v>0</v>
      </c>
      <c r="N36" s="44">
        <f ca="1">_xll.DBRW($B$9,$C$17,$C$18,N$25,N$24,$C$20,$C$21,$B36,N$26)</f>
        <v>0</v>
      </c>
      <c r="O36" s="8">
        <f ca="1">_xll.DBRW($B$9,$C$17,$C$18,N$25,N$24,$C$20,$C$21,$B36,O$26)</f>
        <v>0</v>
      </c>
      <c r="P36" s="45">
        <f ca="1">_xll.DBRW($B$9,$C$17,$C$18,N$25,N$24,$C$20,$C$21,$B36,P$26)</f>
        <v>0</v>
      </c>
      <c r="Q36" s="46">
        <f t="shared" ca="1" si="2"/>
        <v>0</v>
      </c>
      <c r="R36" s="46">
        <f t="shared" ca="1" si="3"/>
        <v>0</v>
      </c>
      <c r="S36" s="44">
        <f ca="1">_xll.DBRW($B$9,$C$17,$C$18,S$25,S$24,$C$20,$C$21,$B36,S$26)</f>
        <v>0</v>
      </c>
      <c r="T36" s="8">
        <f ca="1">_xll.DBRW($B$9,$C$17,$C$18,S$25,S$24,$C$20,$C$21,$B36,T$26)</f>
        <v>0</v>
      </c>
      <c r="U36" s="45">
        <f ca="1">_xll.DBRW($B$9,$C$17,$C$18,S$25,S$24,$C$20,$C$21,$B36,U$26)</f>
        <v>0</v>
      </c>
      <c r="V36" s="44">
        <f ca="1">_xll.DBRW($B$9,$C$17,$C$18,V$25,V$24,$C$20,$C$21,$B36,V$26)</f>
        <v>0</v>
      </c>
      <c r="W36" s="8">
        <f ca="1">_xll.DBRW($B$9,$C$17,$C$18,V$25,V$24,$C$20,$C$21,$B36,W$26)</f>
        <v>0</v>
      </c>
      <c r="X36" s="45">
        <f ca="1">_xll.DBRW($B$9,$C$17,$C$18,V$25,V$24,$C$20,$C$21,$B36,X$26)</f>
        <v>0</v>
      </c>
      <c r="Y36" s="46">
        <f t="shared" ca="1" si="4"/>
        <v>0</v>
      </c>
      <c r="Z36" s="46">
        <f t="shared" ca="1" si="5"/>
        <v>0</v>
      </c>
      <c r="AA36" s="44">
        <f ca="1">_xll.DBRW($B$9,$C$17,$C$18,AA$25,AA$24,$C$20,$C$21,$B36,AA$26)</f>
        <v>0</v>
      </c>
      <c r="AB36" s="8">
        <f ca="1">_xll.DBRW($B$9,$C$17,$C$18,AA$25,AA$24,$C$20,$C$21,$B36,AB$26)</f>
        <v>0</v>
      </c>
      <c r="AC36" s="45">
        <f ca="1">_xll.DBRW($B$9,$C$17,$C$18,AA$25,AA$24,$C$20,$C$21,$B36,AC$26)</f>
        <v>0</v>
      </c>
      <c r="AD36" s="44">
        <f ca="1">_xll.DBRW($B$9,$C$17,$C$18,AD$25,AD$24,$C$20,$C$21,$B36,AD$26)</f>
        <v>0</v>
      </c>
      <c r="AE36" s="8">
        <f ca="1">_xll.DBRW($B$9,$C$17,$C$18,AD$25,AD$24,$C$20,$C$21,$B36,AE$26)</f>
        <v>0</v>
      </c>
      <c r="AF36" s="14">
        <f ca="1">_xll.DBRW($B$9,$C$17,$C$18,AD$25,AD$24,$C$20,$C$21,$B36,AF$26)</f>
        <v>0</v>
      </c>
      <c r="AG36" s="41">
        <f t="shared" ca="1" si="6"/>
        <v>0</v>
      </c>
      <c r="AH36" s="41">
        <f t="shared" ca="1" si="7"/>
        <v>0</v>
      </c>
    </row>
    <row r="37" spans="1:34" x14ac:dyDescent="0.25">
      <c r="A37">
        <f ca="1">IF(_xll.TM1RPTELISCONSOLIDATED($B$27,$B37),IF(_xll.TM1RPTELLEV($B$27,$B37)&lt;=3,_xll.TM1RPTELLEV($B$27,$B37),"D"),"N")</f>
        <v>1</v>
      </c>
      <c r="B37" s="132" t="s">
        <v>29</v>
      </c>
      <c r="C37" s="44">
        <f ca="1">_xll.DBRW($B$9,$C$17,$C$18,C$25,C$24,$C$20,$C$21,$B37,C$26)</f>
        <v>0</v>
      </c>
      <c r="D37" s="8">
        <f ca="1">_xll.DBRW($B$9,$C$17,$C$18,C$25,C$24,$C$20,$C$21,$B37,D$26)</f>
        <v>0</v>
      </c>
      <c r="E37" s="45">
        <f ca="1">_xll.DBRW($B$9,$C$17,$C$18,C$25,C$24,$C$20,$C$21,$B37,E$26)</f>
        <v>0</v>
      </c>
      <c r="F37" s="44">
        <f ca="1">_xll.DBRW($B$9,$C$17,$C$18,F$25,F$24,$C$20,$C$21,$B37,F$26)</f>
        <v>0</v>
      </c>
      <c r="G37" s="8">
        <f ca="1">_xll.DBRW($B$9,$C$17,$C$18,F$25,F$24,$C$20,$C$21,$B37,G$26)</f>
        <v>0</v>
      </c>
      <c r="H37" s="14">
        <f ca="1">_xll.DBRW($B$9,$C$17,$C$18,F$25,F$24,$C$20,$C$21,$B37,H$26)</f>
        <v>0</v>
      </c>
      <c r="I37" s="46">
        <f t="shared" ca="1" si="0"/>
        <v>0</v>
      </c>
      <c r="J37" s="47">
        <f t="shared" ca="1" si="1"/>
        <v>0</v>
      </c>
      <c r="K37" s="44">
        <f ca="1">_xll.DBRW($B$9,$C$17,$C$18,K$25,K$24,$C$20,$C$21,$B37,K$26)</f>
        <v>0</v>
      </c>
      <c r="L37" s="8">
        <f ca="1">_xll.DBRW($B$9,$C$17,$C$18,K$25,K$24,$C$20,$C$21,$B37,L$26)</f>
        <v>0</v>
      </c>
      <c r="M37" s="45">
        <f ca="1">_xll.DBRW($B$9,$C$17,$C$18,K$25,K$24,$C$20,$C$21,$B37,M$26)</f>
        <v>0</v>
      </c>
      <c r="N37" s="44">
        <f ca="1">_xll.DBRW($B$9,$C$17,$C$18,N$25,N$24,$C$20,$C$21,$B37,N$26)</f>
        <v>0</v>
      </c>
      <c r="O37" s="8">
        <f ca="1">_xll.DBRW($B$9,$C$17,$C$18,N$25,N$24,$C$20,$C$21,$B37,O$26)</f>
        <v>0</v>
      </c>
      <c r="P37" s="45">
        <f ca="1">_xll.DBRW($B$9,$C$17,$C$18,N$25,N$24,$C$20,$C$21,$B37,P$26)</f>
        <v>0</v>
      </c>
      <c r="Q37" s="46">
        <f t="shared" ca="1" si="2"/>
        <v>0</v>
      </c>
      <c r="R37" s="46">
        <f t="shared" ca="1" si="3"/>
        <v>0</v>
      </c>
      <c r="S37" s="44">
        <f ca="1">_xll.DBRW($B$9,$C$17,$C$18,S$25,S$24,$C$20,$C$21,$B37,S$26)</f>
        <v>0</v>
      </c>
      <c r="T37" s="8">
        <f ca="1">_xll.DBRW($B$9,$C$17,$C$18,S$25,S$24,$C$20,$C$21,$B37,T$26)</f>
        <v>0</v>
      </c>
      <c r="U37" s="45">
        <f ca="1">_xll.DBRW($B$9,$C$17,$C$18,S$25,S$24,$C$20,$C$21,$B37,U$26)</f>
        <v>0</v>
      </c>
      <c r="V37" s="44">
        <f ca="1">_xll.DBRW($B$9,$C$17,$C$18,V$25,V$24,$C$20,$C$21,$B37,V$26)</f>
        <v>0</v>
      </c>
      <c r="W37" s="8">
        <f ca="1">_xll.DBRW($B$9,$C$17,$C$18,V$25,V$24,$C$20,$C$21,$B37,W$26)</f>
        <v>0</v>
      </c>
      <c r="X37" s="45">
        <f ca="1">_xll.DBRW($B$9,$C$17,$C$18,V$25,V$24,$C$20,$C$21,$B37,X$26)</f>
        <v>0</v>
      </c>
      <c r="Y37" s="46">
        <f t="shared" ca="1" si="4"/>
        <v>0</v>
      </c>
      <c r="Z37" s="46">
        <f t="shared" ca="1" si="5"/>
        <v>0</v>
      </c>
      <c r="AA37" s="44">
        <f ca="1">_xll.DBRW($B$9,$C$17,$C$18,AA$25,AA$24,$C$20,$C$21,$B37,AA$26)</f>
        <v>0</v>
      </c>
      <c r="AB37" s="8">
        <f ca="1">_xll.DBRW($B$9,$C$17,$C$18,AA$25,AA$24,$C$20,$C$21,$B37,AB$26)</f>
        <v>0</v>
      </c>
      <c r="AC37" s="45">
        <f ca="1">_xll.DBRW($B$9,$C$17,$C$18,AA$25,AA$24,$C$20,$C$21,$B37,AC$26)</f>
        <v>0</v>
      </c>
      <c r="AD37" s="44">
        <f ca="1">_xll.DBRW($B$9,$C$17,$C$18,AD$25,AD$24,$C$20,$C$21,$B37,AD$26)</f>
        <v>0</v>
      </c>
      <c r="AE37" s="8">
        <f ca="1">_xll.DBRW($B$9,$C$17,$C$18,AD$25,AD$24,$C$20,$C$21,$B37,AE$26)</f>
        <v>0</v>
      </c>
      <c r="AF37" s="14">
        <f ca="1">_xll.DBRW($B$9,$C$17,$C$18,AD$25,AD$24,$C$20,$C$21,$B37,AF$26)</f>
        <v>0</v>
      </c>
      <c r="AG37" s="41">
        <f t="shared" ca="1" si="6"/>
        <v>0</v>
      </c>
      <c r="AH37" s="41">
        <f t="shared" ca="1" si="7"/>
        <v>0</v>
      </c>
    </row>
    <row r="38" spans="1:34" x14ac:dyDescent="0.25">
      <c r="A38">
        <f ca="1">IF(_xll.TM1RPTELISCONSOLIDATED($B$27,$B38),IF(_xll.TM1RPTELLEV($B$27,$B38)&lt;=3,_xll.TM1RPTELLEV($B$27,$B38),"D"),"N")</f>
        <v>1</v>
      </c>
      <c r="B38" s="132" t="s">
        <v>30</v>
      </c>
      <c r="C38" s="44">
        <f ca="1">_xll.DBRW($B$9,$C$17,$C$18,C$25,C$24,$C$20,$C$21,$B38,C$26)</f>
        <v>0</v>
      </c>
      <c r="D38" s="8">
        <f ca="1">_xll.DBRW($B$9,$C$17,$C$18,C$25,C$24,$C$20,$C$21,$B38,D$26)</f>
        <v>0</v>
      </c>
      <c r="E38" s="45">
        <f ca="1">_xll.DBRW($B$9,$C$17,$C$18,C$25,C$24,$C$20,$C$21,$B38,E$26)</f>
        <v>0</v>
      </c>
      <c r="F38" s="44">
        <f ca="1">_xll.DBRW($B$9,$C$17,$C$18,F$25,F$24,$C$20,$C$21,$B38,F$26)</f>
        <v>0</v>
      </c>
      <c r="G38" s="8">
        <f ca="1">_xll.DBRW($B$9,$C$17,$C$18,F$25,F$24,$C$20,$C$21,$B38,G$26)</f>
        <v>0</v>
      </c>
      <c r="H38" s="14">
        <f ca="1">_xll.DBRW($B$9,$C$17,$C$18,F$25,F$24,$C$20,$C$21,$B38,H$26)</f>
        <v>0</v>
      </c>
      <c r="I38" s="46">
        <f t="shared" ca="1" si="0"/>
        <v>0</v>
      </c>
      <c r="J38" s="47">
        <f t="shared" ca="1" si="1"/>
        <v>0</v>
      </c>
      <c r="K38" s="44">
        <f ca="1">_xll.DBRW($B$9,$C$17,$C$18,K$25,K$24,$C$20,$C$21,$B38,K$26)</f>
        <v>0</v>
      </c>
      <c r="L38" s="8">
        <f ca="1">_xll.DBRW($B$9,$C$17,$C$18,K$25,K$24,$C$20,$C$21,$B38,L$26)</f>
        <v>0</v>
      </c>
      <c r="M38" s="45">
        <f ca="1">_xll.DBRW($B$9,$C$17,$C$18,K$25,K$24,$C$20,$C$21,$B38,M$26)</f>
        <v>0</v>
      </c>
      <c r="N38" s="44">
        <f ca="1">_xll.DBRW($B$9,$C$17,$C$18,N$25,N$24,$C$20,$C$21,$B38,N$26)</f>
        <v>0</v>
      </c>
      <c r="O38" s="8">
        <f ca="1">_xll.DBRW($B$9,$C$17,$C$18,N$25,N$24,$C$20,$C$21,$B38,O$26)</f>
        <v>0</v>
      </c>
      <c r="P38" s="45">
        <f ca="1">_xll.DBRW($B$9,$C$17,$C$18,N$25,N$24,$C$20,$C$21,$B38,P$26)</f>
        <v>0</v>
      </c>
      <c r="Q38" s="46">
        <f t="shared" ca="1" si="2"/>
        <v>0</v>
      </c>
      <c r="R38" s="46">
        <f t="shared" ca="1" si="3"/>
        <v>0</v>
      </c>
      <c r="S38" s="44">
        <f ca="1">_xll.DBRW($B$9,$C$17,$C$18,S$25,S$24,$C$20,$C$21,$B38,S$26)</f>
        <v>0</v>
      </c>
      <c r="T38" s="8">
        <f ca="1">_xll.DBRW($B$9,$C$17,$C$18,S$25,S$24,$C$20,$C$21,$B38,T$26)</f>
        <v>0</v>
      </c>
      <c r="U38" s="45">
        <f ca="1">_xll.DBRW($B$9,$C$17,$C$18,S$25,S$24,$C$20,$C$21,$B38,U$26)</f>
        <v>0</v>
      </c>
      <c r="V38" s="44">
        <f ca="1">_xll.DBRW($B$9,$C$17,$C$18,V$25,V$24,$C$20,$C$21,$B38,V$26)</f>
        <v>0</v>
      </c>
      <c r="W38" s="8">
        <f ca="1">_xll.DBRW($B$9,$C$17,$C$18,V$25,V$24,$C$20,$C$21,$B38,W$26)</f>
        <v>0</v>
      </c>
      <c r="X38" s="45">
        <f ca="1">_xll.DBRW($B$9,$C$17,$C$18,V$25,V$24,$C$20,$C$21,$B38,X$26)</f>
        <v>0</v>
      </c>
      <c r="Y38" s="46">
        <f t="shared" ca="1" si="4"/>
        <v>0</v>
      </c>
      <c r="Z38" s="46">
        <f t="shared" ca="1" si="5"/>
        <v>0</v>
      </c>
      <c r="AA38" s="44">
        <f ca="1">_xll.DBRW($B$9,$C$17,$C$18,AA$25,AA$24,$C$20,$C$21,$B38,AA$26)</f>
        <v>0</v>
      </c>
      <c r="AB38" s="8">
        <f ca="1">_xll.DBRW($B$9,$C$17,$C$18,AA$25,AA$24,$C$20,$C$21,$B38,AB$26)</f>
        <v>0</v>
      </c>
      <c r="AC38" s="45">
        <f ca="1">_xll.DBRW($B$9,$C$17,$C$18,AA$25,AA$24,$C$20,$C$21,$B38,AC$26)</f>
        <v>0</v>
      </c>
      <c r="AD38" s="44">
        <f ca="1">_xll.DBRW($B$9,$C$17,$C$18,AD$25,AD$24,$C$20,$C$21,$B38,AD$26)</f>
        <v>0</v>
      </c>
      <c r="AE38" s="8">
        <f ca="1">_xll.DBRW($B$9,$C$17,$C$18,AD$25,AD$24,$C$20,$C$21,$B38,AE$26)</f>
        <v>0</v>
      </c>
      <c r="AF38" s="14">
        <f ca="1">_xll.DBRW($B$9,$C$17,$C$18,AD$25,AD$24,$C$20,$C$21,$B38,AF$26)</f>
        <v>0</v>
      </c>
      <c r="AG38" s="41">
        <f t="shared" ca="1" si="6"/>
        <v>0</v>
      </c>
      <c r="AH38" s="41">
        <f t="shared" ca="1" si="7"/>
        <v>0</v>
      </c>
    </row>
    <row r="39" spans="1:34" x14ac:dyDescent="0.25">
      <c r="A39">
        <f ca="1">IF(_xll.TM1RPTELISCONSOLIDATED($B$27,$B39),IF(_xll.TM1RPTELLEV($B$27,$B39)&lt;=3,_xll.TM1RPTELLEV($B$27,$B39),"D"),"N")</f>
        <v>1</v>
      </c>
      <c r="B39" s="132" t="s">
        <v>31</v>
      </c>
      <c r="C39" s="44">
        <f ca="1">_xll.DBRW($B$9,$C$17,$C$18,C$25,C$24,$C$20,$C$21,$B39,C$26)</f>
        <v>0</v>
      </c>
      <c r="D39" s="8">
        <f ca="1">_xll.DBRW($B$9,$C$17,$C$18,C$25,C$24,$C$20,$C$21,$B39,D$26)</f>
        <v>0</v>
      </c>
      <c r="E39" s="45">
        <f ca="1">_xll.DBRW($B$9,$C$17,$C$18,C$25,C$24,$C$20,$C$21,$B39,E$26)</f>
        <v>0</v>
      </c>
      <c r="F39" s="44">
        <f ca="1">_xll.DBRW($B$9,$C$17,$C$18,F$25,F$24,$C$20,$C$21,$B39,F$26)</f>
        <v>0</v>
      </c>
      <c r="G39" s="8">
        <f ca="1">_xll.DBRW($B$9,$C$17,$C$18,F$25,F$24,$C$20,$C$21,$B39,G$26)</f>
        <v>0</v>
      </c>
      <c r="H39" s="14">
        <f ca="1">_xll.DBRW($B$9,$C$17,$C$18,F$25,F$24,$C$20,$C$21,$B39,H$26)</f>
        <v>0</v>
      </c>
      <c r="I39" s="46">
        <f t="shared" ca="1" si="0"/>
        <v>0</v>
      </c>
      <c r="J39" s="47">
        <f t="shared" ca="1" si="1"/>
        <v>0</v>
      </c>
      <c r="K39" s="44">
        <f ca="1">_xll.DBRW($B$9,$C$17,$C$18,K$25,K$24,$C$20,$C$21,$B39,K$26)</f>
        <v>0</v>
      </c>
      <c r="L39" s="8">
        <f ca="1">_xll.DBRW($B$9,$C$17,$C$18,K$25,K$24,$C$20,$C$21,$B39,L$26)</f>
        <v>0</v>
      </c>
      <c r="M39" s="45">
        <f ca="1">_xll.DBRW($B$9,$C$17,$C$18,K$25,K$24,$C$20,$C$21,$B39,M$26)</f>
        <v>0</v>
      </c>
      <c r="N39" s="44">
        <f ca="1">_xll.DBRW($B$9,$C$17,$C$18,N$25,N$24,$C$20,$C$21,$B39,N$26)</f>
        <v>0</v>
      </c>
      <c r="O39" s="8">
        <f ca="1">_xll.DBRW($B$9,$C$17,$C$18,N$25,N$24,$C$20,$C$21,$B39,O$26)</f>
        <v>0</v>
      </c>
      <c r="P39" s="45">
        <f ca="1">_xll.DBRW($B$9,$C$17,$C$18,N$25,N$24,$C$20,$C$21,$B39,P$26)</f>
        <v>0</v>
      </c>
      <c r="Q39" s="46">
        <f t="shared" ca="1" si="2"/>
        <v>0</v>
      </c>
      <c r="R39" s="46">
        <f t="shared" ca="1" si="3"/>
        <v>0</v>
      </c>
      <c r="S39" s="44">
        <f ca="1">_xll.DBRW($B$9,$C$17,$C$18,S$25,S$24,$C$20,$C$21,$B39,S$26)</f>
        <v>0</v>
      </c>
      <c r="T39" s="8">
        <f ca="1">_xll.DBRW($B$9,$C$17,$C$18,S$25,S$24,$C$20,$C$21,$B39,T$26)</f>
        <v>0</v>
      </c>
      <c r="U39" s="45">
        <f ca="1">_xll.DBRW($B$9,$C$17,$C$18,S$25,S$24,$C$20,$C$21,$B39,U$26)</f>
        <v>0</v>
      </c>
      <c r="V39" s="44">
        <f ca="1">_xll.DBRW($B$9,$C$17,$C$18,V$25,V$24,$C$20,$C$21,$B39,V$26)</f>
        <v>0</v>
      </c>
      <c r="W39" s="8">
        <f ca="1">_xll.DBRW($B$9,$C$17,$C$18,V$25,V$24,$C$20,$C$21,$B39,W$26)</f>
        <v>0</v>
      </c>
      <c r="X39" s="45">
        <f ca="1">_xll.DBRW($B$9,$C$17,$C$18,V$25,V$24,$C$20,$C$21,$B39,X$26)</f>
        <v>0</v>
      </c>
      <c r="Y39" s="46">
        <f t="shared" ca="1" si="4"/>
        <v>0</v>
      </c>
      <c r="Z39" s="46">
        <f t="shared" ca="1" si="5"/>
        <v>0</v>
      </c>
      <c r="AA39" s="44">
        <f ca="1">_xll.DBRW($B$9,$C$17,$C$18,AA$25,AA$24,$C$20,$C$21,$B39,AA$26)</f>
        <v>0</v>
      </c>
      <c r="AB39" s="8">
        <f ca="1">_xll.DBRW($B$9,$C$17,$C$18,AA$25,AA$24,$C$20,$C$21,$B39,AB$26)</f>
        <v>0</v>
      </c>
      <c r="AC39" s="45">
        <f ca="1">_xll.DBRW($B$9,$C$17,$C$18,AA$25,AA$24,$C$20,$C$21,$B39,AC$26)</f>
        <v>0</v>
      </c>
      <c r="AD39" s="44">
        <f ca="1">_xll.DBRW($B$9,$C$17,$C$18,AD$25,AD$24,$C$20,$C$21,$B39,AD$26)</f>
        <v>0</v>
      </c>
      <c r="AE39" s="8">
        <f ca="1">_xll.DBRW($B$9,$C$17,$C$18,AD$25,AD$24,$C$20,$C$21,$B39,AE$26)</f>
        <v>0</v>
      </c>
      <c r="AF39" s="14">
        <f ca="1">_xll.DBRW($B$9,$C$17,$C$18,AD$25,AD$24,$C$20,$C$21,$B39,AF$26)</f>
        <v>0</v>
      </c>
      <c r="AG39" s="41">
        <f t="shared" ca="1" si="6"/>
        <v>0</v>
      </c>
      <c r="AH39" s="41">
        <f t="shared" ca="1" si="7"/>
        <v>0</v>
      </c>
    </row>
    <row r="40" spans="1:34" x14ac:dyDescent="0.25">
      <c r="A40">
        <f ca="1">IF(_xll.TM1RPTELISCONSOLIDATED($B$27,$B40),IF(_xll.TM1RPTELLEV($B$27,$B40)&lt;=3,_xll.TM1RPTELLEV($B$27,$B40),"D"),"N")</f>
        <v>1</v>
      </c>
      <c r="B40" s="132" t="s">
        <v>32</v>
      </c>
      <c r="C40" s="44">
        <f ca="1">_xll.DBRW($B$9,$C$17,$C$18,C$25,C$24,$C$20,$C$21,$B40,C$26)</f>
        <v>0</v>
      </c>
      <c r="D40" s="8">
        <f ca="1">_xll.DBRW($B$9,$C$17,$C$18,C$25,C$24,$C$20,$C$21,$B40,D$26)</f>
        <v>0</v>
      </c>
      <c r="E40" s="45">
        <f ca="1">_xll.DBRW($B$9,$C$17,$C$18,C$25,C$24,$C$20,$C$21,$B40,E$26)</f>
        <v>0</v>
      </c>
      <c r="F40" s="44">
        <f ca="1">_xll.DBRW($B$9,$C$17,$C$18,F$25,F$24,$C$20,$C$21,$B40,F$26)</f>
        <v>0</v>
      </c>
      <c r="G40" s="8">
        <f ca="1">_xll.DBRW($B$9,$C$17,$C$18,F$25,F$24,$C$20,$C$21,$B40,G$26)</f>
        <v>0</v>
      </c>
      <c r="H40" s="14">
        <f ca="1">_xll.DBRW($B$9,$C$17,$C$18,F$25,F$24,$C$20,$C$21,$B40,H$26)</f>
        <v>0</v>
      </c>
      <c r="I40" s="46">
        <f t="shared" ca="1" si="0"/>
        <v>0</v>
      </c>
      <c r="J40" s="47">
        <f t="shared" ca="1" si="1"/>
        <v>0</v>
      </c>
      <c r="K40" s="44">
        <f ca="1">_xll.DBRW($B$9,$C$17,$C$18,K$25,K$24,$C$20,$C$21,$B40,K$26)</f>
        <v>0</v>
      </c>
      <c r="L40" s="8">
        <f ca="1">_xll.DBRW($B$9,$C$17,$C$18,K$25,K$24,$C$20,$C$21,$B40,L$26)</f>
        <v>0</v>
      </c>
      <c r="M40" s="45">
        <f ca="1">_xll.DBRW($B$9,$C$17,$C$18,K$25,K$24,$C$20,$C$21,$B40,M$26)</f>
        <v>0</v>
      </c>
      <c r="N40" s="44">
        <f ca="1">_xll.DBRW($B$9,$C$17,$C$18,N$25,N$24,$C$20,$C$21,$B40,N$26)</f>
        <v>0</v>
      </c>
      <c r="O40" s="8">
        <f ca="1">_xll.DBRW($B$9,$C$17,$C$18,N$25,N$24,$C$20,$C$21,$B40,O$26)</f>
        <v>0</v>
      </c>
      <c r="P40" s="45">
        <f ca="1">_xll.DBRW($B$9,$C$17,$C$18,N$25,N$24,$C$20,$C$21,$B40,P$26)</f>
        <v>0</v>
      </c>
      <c r="Q40" s="46">
        <f t="shared" ca="1" si="2"/>
        <v>0</v>
      </c>
      <c r="R40" s="46">
        <f t="shared" ca="1" si="3"/>
        <v>0</v>
      </c>
      <c r="S40" s="44">
        <f ca="1">_xll.DBRW($B$9,$C$17,$C$18,S$25,S$24,$C$20,$C$21,$B40,S$26)</f>
        <v>0</v>
      </c>
      <c r="T40" s="8">
        <f ca="1">_xll.DBRW($B$9,$C$17,$C$18,S$25,S$24,$C$20,$C$21,$B40,T$26)</f>
        <v>0</v>
      </c>
      <c r="U40" s="45">
        <f ca="1">_xll.DBRW($B$9,$C$17,$C$18,S$25,S$24,$C$20,$C$21,$B40,U$26)</f>
        <v>0</v>
      </c>
      <c r="V40" s="44">
        <f ca="1">_xll.DBRW($B$9,$C$17,$C$18,V$25,V$24,$C$20,$C$21,$B40,V$26)</f>
        <v>0</v>
      </c>
      <c r="W40" s="8">
        <f ca="1">_xll.DBRW($B$9,$C$17,$C$18,V$25,V$24,$C$20,$C$21,$B40,W$26)</f>
        <v>0</v>
      </c>
      <c r="X40" s="45">
        <f ca="1">_xll.DBRW($B$9,$C$17,$C$18,V$25,V$24,$C$20,$C$21,$B40,X$26)</f>
        <v>0</v>
      </c>
      <c r="Y40" s="46">
        <f t="shared" ca="1" si="4"/>
        <v>0</v>
      </c>
      <c r="Z40" s="46">
        <f t="shared" ca="1" si="5"/>
        <v>0</v>
      </c>
      <c r="AA40" s="44">
        <f ca="1">_xll.DBRW($B$9,$C$17,$C$18,AA$25,AA$24,$C$20,$C$21,$B40,AA$26)</f>
        <v>0</v>
      </c>
      <c r="AB40" s="8">
        <f ca="1">_xll.DBRW($B$9,$C$17,$C$18,AA$25,AA$24,$C$20,$C$21,$B40,AB$26)</f>
        <v>0</v>
      </c>
      <c r="AC40" s="45">
        <f ca="1">_xll.DBRW($B$9,$C$17,$C$18,AA$25,AA$24,$C$20,$C$21,$B40,AC$26)</f>
        <v>0</v>
      </c>
      <c r="AD40" s="44">
        <f ca="1">_xll.DBRW($B$9,$C$17,$C$18,AD$25,AD$24,$C$20,$C$21,$B40,AD$26)</f>
        <v>0</v>
      </c>
      <c r="AE40" s="8">
        <f ca="1">_xll.DBRW($B$9,$C$17,$C$18,AD$25,AD$24,$C$20,$C$21,$B40,AE$26)</f>
        <v>0</v>
      </c>
      <c r="AF40" s="14">
        <f ca="1">_xll.DBRW($B$9,$C$17,$C$18,AD$25,AD$24,$C$20,$C$21,$B40,AF$26)</f>
        <v>0</v>
      </c>
      <c r="AG40" s="41">
        <f t="shared" ca="1" si="6"/>
        <v>0</v>
      </c>
      <c r="AH40" s="41">
        <f t="shared" ca="1" si="7"/>
        <v>0</v>
      </c>
    </row>
    <row r="41" spans="1:34" x14ac:dyDescent="0.25">
      <c r="A41">
        <f ca="1">IF(_xll.TM1RPTELISCONSOLIDATED($B$27,$B41),IF(_xll.TM1RPTELLEV($B$27,$B41)&lt;=3,_xll.TM1RPTELLEV($B$27,$B41),"D"),"N")</f>
        <v>1</v>
      </c>
      <c r="B41" s="132" t="s">
        <v>33</v>
      </c>
      <c r="C41" s="44">
        <f ca="1">_xll.DBRW($B$9,$C$17,$C$18,C$25,C$24,$C$20,$C$21,$B41,C$26)</f>
        <v>0</v>
      </c>
      <c r="D41" s="8">
        <f ca="1">_xll.DBRW($B$9,$C$17,$C$18,C$25,C$24,$C$20,$C$21,$B41,D$26)</f>
        <v>0</v>
      </c>
      <c r="E41" s="45">
        <f ca="1">_xll.DBRW($B$9,$C$17,$C$18,C$25,C$24,$C$20,$C$21,$B41,E$26)</f>
        <v>0</v>
      </c>
      <c r="F41" s="44">
        <f ca="1">_xll.DBRW($B$9,$C$17,$C$18,F$25,F$24,$C$20,$C$21,$B41,F$26)</f>
        <v>0</v>
      </c>
      <c r="G41" s="8">
        <f ca="1">_xll.DBRW($B$9,$C$17,$C$18,F$25,F$24,$C$20,$C$21,$B41,G$26)</f>
        <v>0</v>
      </c>
      <c r="H41" s="14">
        <f ca="1">_xll.DBRW($B$9,$C$17,$C$18,F$25,F$24,$C$20,$C$21,$B41,H$26)</f>
        <v>0</v>
      </c>
      <c r="I41" s="46">
        <f t="shared" ca="1" si="0"/>
        <v>0</v>
      </c>
      <c r="J41" s="47">
        <f t="shared" ca="1" si="1"/>
        <v>0</v>
      </c>
      <c r="K41" s="44">
        <f ca="1">_xll.DBRW($B$9,$C$17,$C$18,K$25,K$24,$C$20,$C$21,$B41,K$26)</f>
        <v>0</v>
      </c>
      <c r="L41" s="8">
        <f ca="1">_xll.DBRW($B$9,$C$17,$C$18,K$25,K$24,$C$20,$C$21,$B41,L$26)</f>
        <v>0</v>
      </c>
      <c r="M41" s="45">
        <f ca="1">_xll.DBRW($B$9,$C$17,$C$18,K$25,K$24,$C$20,$C$21,$B41,M$26)</f>
        <v>0</v>
      </c>
      <c r="N41" s="44">
        <f ca="1">_xll.DBRW($B$9,$C$17,$C$18,N$25,N$24,$C$20,$C$21,$B41,N$26)</f>
        <v>0</v>
      </c>
      <c r="O41" s="8">
        <f ca="1">_xll.DBRW($B$9,$C$17,$C$18,N$25,N$24,$C$20,$C$21,$B41,O$26)</f>
        <v>0</v>
      </c>
      <c r="P41" s="45">
        <f ca="1">_xll.DBRW($B$9,$C$17,$C$18,N$25,N$24,$C$20,$C$21,$B41,P$26)</f>
        <v>0</v>
      </c>
      <c r="Q41" s="46">
        <f t="shared" ca="1" si="2"/>
        <v>0</v>
      </c>
      <c r="R41" s="46">
        <f t="shared" ca="1" si="3"/>
        <v>0</v>
      </c>
      <c r="S41" s="44">
        <f ca="1">_xll.DBRW($B$9,$C$17,$C$18,S$25,S$24,$C$20,$C$21,$B41,S$26)</f>
        <v>0</v>
      </c>
      <c r="T41" s="8">
        <f ca="1">_xll.DBRW($B$9,$C$17,$C$18,S$25,S$24,$C$20,$C$21,$B41,T$26)</f>
        <v>0</v>
      </c>
      <c r="U41" s="45">
        <f ca="1">_xll.DBRW($B$9,$C$17,$C$18,S$25,S$24,$C$20,$C$21,$B41,U$26)</f>
        <v>0</v>
      </c>
      <c r="V41" s="44">
        <f ca="1">_xll.DBRW($B$9,$C$17,$C$18,V$25,V$24,$C$20,$C$21,$B41,V$26)</f>
        <v>0</v>
      </c>
      <c r="W41" s="8">
        <f ca="1">_xll.DBRW($B$9,$C$17,$C$18,V$25,V$24,$C$20,$C$21,$B41,W$26)</f>
        <v>0</v>
      </c>
      <c r="X41" s="45">
        <f ca="1">_xll.DBRW($B$9,$C$17,$C$18,V$25,V$24,$C$20,$C$21,$B41,X$26)</f>
        <v>0</v>
      </c>
      <c r="Y41" s="46">
        <f t="shared" ca="1" si="4"/>
        <v>0</v>
      </c>
      <c r="Z41" s="46">
        <f t="shared" ca="1" si="5"/>
        <v>0</v>
      </c>
      <c r="AA41" s="44">
        <f ca="1">_xll.DBRW($B$9,$C$17,$C$18,AA$25,AA$24,$C$20,$C$21,$B41,AA$26)</f>
        <v>0</v>
      </c>
      <c r="AB41" s="8">
        <f ca="1">_xll.DBRW($B$9,$C$17,$C$18,AA$25,AA$24,$C$20,$C$21,$B41,AB$26)</f>
        <v>0</v>
      </c>
      <c r="AC41" s="45">
        <f ca="1">_xll.DBRW($B$9,$C$17,$C$18,AA$25,AA$24,$C$20,$C$21,$B41,AC$26)</f>
        <v>0</v>
      </c>
      <c r="AD41" s="44">
        <f ca="1">_xll.DBRW($B$9,$C$17,$C$18,AD$25,AD$24,$C$20,$C$21,$B41,AD$26)</f>
        <v>0</v>
      </c>
      <c r="AE41" s="8">
        <f ca="1">_xll.DBRW($B$9,$C$17,$C$18,AD$25,AD$24,$C$20,$C$21,$B41,AE$26)</f>
        <v>0</v>
      </c>
      <c r="AF41" s="14">
        <f ca="1">_xll.DBRW($B$9,$C$17,$C$18,AD$25,AD$24,$C$20,$C$21,$B41,AF$26)</f>
        <v>0</v>
      </c>
      <c r="AG41" s="41">
        <f t="shared" ca="1" si="6"/>
        <v>0</v>
      </c>
      <c r="AH41" s="41">
        <f t="shared" ca="1" si="7"/>
        <v>0</v>
      </c>
    </row>
    <row r="42" spans="1:34" x14ac:dyDescent="0.25">
      <c r="A42">
        <f ca="1">IF(_xll.TM1RPTELISCONSOLIDATED($B$27,$B42),IF(_xll.TM1RPTELLEV($B$27,$B42)&lt;=3,_xll.TM1RPTELLEV($B$27,$B42),"D"),"N")</f>
        <v>1</v>
      </c>
      <c r="B42" s="132" t="s">
        <v>34</v>
      </c>
      <c r="C42" s="44">
        <f ca="1">_xll.DBRW($B$9,$C$17,$C$18,C$25,C$24,$C$20,$C$21,$B42,C$26)</f>
        <v>0</v>
      </c>
      <c r="D42" s="8">
        <f ca="1">_xll.DBRW($B$9,$C$17,$C$18,C$25,C$24,$C$20,$C$21,$B42,D$26)</f>
        <v>0</v>
      </c>
      <c r="E42" s="45">
        <f ca="1">_xll.DBRW($B$9,$C$17,$C$18,C$25,C$24,$C$20,$C$21,$B42,E$26)</f>
        <v>0</v>
      </c>
      <c r="F42" s="44">
        <f ca="1">_xll.DBRW($B$9,$C$17,$C$18,F$25,F$24,$C$20,$C$21,$B42,F$26)</f>
        <v>0</v>
      </c>
      <c r="G42" s="8">
        <f ca="1">_xll.DBRW($B$9,$C$17,$C$18,F$25,F$24,$C$20,$C$21,$B42,G$26)</f>
        <v>0</v>
      </c>
      <c r="H42" s="14">
        <f ca="1">_xll.DBRW($B$9,$C$17,$C$18,F$25,F$24,$C$20,$C$21,$B42,H$26)</f>
        <v>0</v>
      </c>
      <c r="I42" s="46">
        <f t="shared" ca="1" si="0"/>
        <v>0</v>
      </c>
      <c r="J42" s="47">
        <f t="shared" ca="1" si="1"/>
        <v>0</v>
      </c>
      <c r="K42" s="44">
        <f ca="1">_xll.DBRW($B$9,$C$17,$C$18,K$25,K$24,$C$20,$C$21,$B42,K$26)</f>
        <v>0</v>
      </c>
      <c r="L42" s="8">
        <f ca="1">_xll.DBRW($B$9,$C$17,$C$18,K$25,K$24,$C$20,$C$21,$B42,L$26)</f>
        <v>0</v>
      </c>
      <c r="M42" s="45">
        <f ca="1">_xll.DBRW($B$9,$C$17,$C$18,K$25,K$24,$C$20,$C$21,$B42,M$26)</f>
        <v>0</v>
      </c>
      <c r="N42" s="44">
        <f ca="1">_xll.DBRW($B$9,$C$17,$C$18,N$25,N$24,$C$20,$C$21,$B42,N$26)</f>
        <v>0</v>
      </c>
      <c r="O42" s="8">
        <f ca="1">_xll.DBRW($B$9,$C$17,$C$18,N$25,N$24,$C$20,$C$21,$B42,O$26)</f>
        <v>0</v>
      </c>
      <c r="P42" s="45">
        <f ca="1">_xll.DBRW($B$9,$C$17,$C$18,N$25,N$24,$C$20,$C$21,$B42,P$26)</f>
        <v>0</v>
      </c>
      <c r="Q42" s="46">
        <f t="shared" ca="1" si="2"/>
        <v>0</v>
      </c>
      <c r="R42" s="46">
        <f t="shared" ca="1" si="3"/>
        <v>0</v>
      </c>
      <c r="S42" s="44">
        <f ca="1">_xll.DBRW($B$9,$C$17,$C$18,S$25,S$24,$C$20,$C$21,$B42,S$26)</f>
        <v>0</v>
      </c>
      <c r="T42" s="8">
        <f ca="1">_xll.DBRW($B$9,$C$17,$C$18,S$25,S$24,$C$20,$C$21,$B42,T$26)</f>
        <v>0</v>
      </c>
      <c r="U42" s="45">
        <f ca="1">_xll.DBRW($B$9,$C$17,$C$18,S$25,S$24,$C$20,$C$21,$B42,U$26)</f>
        <v>0</v>
      </c>
      <c r="V42" s="44">
        <f ca="1">_xll.DBRW($B$9,$C$17,$C$18,V$25,V$24,$C$20,$C$21,$B42,V$26)</f>
        <v>0</v>
      </c>
      <c r="W42" s="8">
        <f ca="1">_xll.DBRW($B$9,$C$17,$C$18,V$25,V$24,$C$20,$C$21,$B42,W$26)</f>
        <v>0</v>
      </c>
      <c r="X42" s="45">
        <f ca="1">_xll.DBRW($B$9,$C$17,$C$18,V$25,V$24,$C$20,$C$21,$B42,X$26)</f>
        <v>0</v>
      </c>
      <c r="Y42" s="46">
        <f t="shared" ca="1" si="4"/>
        <v>0</v>
      </c>
      <c r="Z42" s="46">
        <f t="shared" ca="1" si="5"/>
        <v>0</v>
      </c>
      <c r="AA42" s="44">
        <f ca="1">_xll.DBRW($B$9,$C$17,$C$18,AA$25,AA$24,$C$20,$C$21,$B42,AA$26)</f>
        <v>0</v>
      </c>
      <c r="AB42" s="8">
        <f ca="1">_xll.DBRW($B$9,$C$17,$C$18,AA$25,AA$24,$C$20,$C$21,$B42,AB$26)</f>
        <v>0</v>
      </c>
      <c r="AC42" s="45">
        <f ca="1">_xll.DBRW($B$9,$C$17,$C$18,AA$25,AA$24,$C$20,$C$21,$B42,AC$26)</f>
        <v>0</v>
      </c>
      <c r="AD42" s="44">
        <f ca="1">_xll.DBRW($B$9,$C$17,$C$18,AD$25,AD$24,$C$20,$C$21,$B42,AD$26)</f>
        <v>0</v>
      </c>
      <c r="AE42" s="8">
        <f ca="1">_xll.DBRW($B$9,$C$17,$C$18,AD$25,AD$24,$C$20,$C$21,$B42,AE$26)</f>
        <v>0</v>
      </c>
      <c r="AF42" s="14">
        <f ca="1">_xll.DBRW($B$9,$C$17,$C$18,AD$25,AD$24,$C$20,$C$21,$B42,AF$26)</f>
        <v>0</v>
      </c>
      <c r="AG42" s="41">
        <f t="shared" ca="1" si="6"/>
        <v>0</v>
      </c>
      <c r="AH42" s="41">
        <f t="shared" ca="1" si="7"/>
        <v>0</v>
      </c>
    </row>
    <row r="43" spans="1:34" x14ac:dyDescent="0.25">
      <c r="A43">
        <f ca="1">IF(_xll.TM1RPTELISCONSOLIDATED($B$27,$B43),IF(_xll.TM1RPTELLEV($B$27,$B43)&lt;=3,_xll.TM1RPTELLEV($B$27,$B43),"D"),"N")</f>
        <v>1</v>
      </c>
      <c r="B43" s="132" t="s">
        <v>35</v>
      </c>
      <c r="C43" s="44">
        <f ca="1">_xll.DBRW($B$9,$C$17,$C$18,C$25,C$24,$C$20,$C$21,$B43,C$26)</f>
        <v>0</v>
      </c>
      <c r="D43" s="8">
        <f ca="1">_xll.DBRW($B$9,$C$17,$C$18,C$25,C$24,$C$20,$C$21,$B43,D$26)</f>
        <v>0</v>
      </c>
      <c r="E43" s="45">
        <f ca="1">_xll.DBRW($B$9,$C$17,$C$18,C$25,C$24,$C$20,$C$21,$B43,E$26)</f>
        <v>0</v>
      </c>
      <c r="F43" s="44">
        <f ca="1">_xll.DBRW($B$9,$C$17,$C$18,F$25,F$24,$C$20,$C$21,$B43,F$26)</f>
        <v>0</v>
      </c>
      <c r="G43" s="8">
        <f ca="1">_xll.DBRW($B$9,$C$17,$C$18,F$25,F$24,$C$20,$C$21,$B43,G$26)</f>
        <v>0</v>
      </c>
      <c r="H43" s="14">
        <f ca="1">_xll.DBRW($B$9,$C$17,$C$18,F$25,F$24,$C$20,$C$21,$B43,H$26)</f>
        <v>0</v>
      </c>
      <c r="I43" s="46">
        <f t="shared" ca="1" si="0"/>
        <v>0</v>
      </c>
      <c r="J43" s="47">
        <f t="shared" ca="1" si="1"/>
        <v>0</v>
      </c>
      <c r="K43" s="44">
        <f ca="1">_xll.DBRW($B$9,$C$17,$C$18,K$25,K$24,$C$20,$C$21,$B43,K$26)</f>
        <v>0</v>
      </c>
      <c r="L43" s="8">
        <f ca="1">_xll.DBRW($B$9,$C$17,$C$18,K$25,K$24,$C$20,$C$21,$B43,L$26)</f>
        <v>0</v>
      </c>
      <c r="M43" s="45">
        <f ca="1">_xll.DBRW($B$9,$C$17,$C$18,K$25,K$24,$C$20,$C$21,$B43,M$26)</f>
        <v>0</v>
      </c>
      <c r="N43" s="44">
        <f ca="1">_xll.DBRW($B$9,$C$17,$C$18,N$25,N$24,$C$20,$C$21,$B43,N$26)</f>
        <v>0</v>
      </c>
      <c r="O43" s="8">
        <f ca="1">_xll.DBRW($B$9,$C$17,$C$18,N$25,N$24,$C$20,$C$21,$B43,O$26)</f>
        <v>0</v>
      </c>
      <c r="P43" s="45">
        <f ca="1">_xll.DBRW($B$9,$C$17,$C$18,N$25,N$24,$C$20,$C$21,$B43,P$26)</f>
        <v>0</v>
      </c>
      <c r="Q43" s="46">
        <f t="shared" ca="1" si="2"/>
        <v>0</v>
      </c>
      <c r="R43" s="46">
        <f t="shared" ca="1" si="3"/>
        <v>0</v>
      </c>
      <c r="S43" s="44">
        <f ca="1">_xll.DBRW($B$9,$C$17,$C$18,S$25,S$24,$C$20,$C$21,$B43,S$26)</f>
        <v>0</v>
      </c>
      <c r="T43" s="8">
        <f ca="1">_xll.DBRW($B$9,$C$17,$C$18,S$25,S$24,$C$20,$C$21,$B43,T$26)</f>
        <v>0</v>
      </c>
      <c r="U43" s="45">
        <f ca="1">_xll.DBRW($B$9,$C$17,$C$18,S$25,S$24,$C$20,$C$21,$B43,U$26)</f>
        <v>0</v>
      </c>
      <c r="V43" s="44">
        <f ca="1">_xll.DBRW($B$9,$C$17,$C$18,V$25,V$24,$C$20,$C$21,$B43,V$26)</f>
        <v>0</v>
      </c>
      <c r="W43" s="8">
        <f ca="1">_xll.DBRW($B$9,$C$17,$C$18,V$25,V$24,$C$20,$C$21,$B43,W$26)</f>
        <v>0</v>
      </c>
      <c r="X43" s="45">
        <f ca="1">_xll.DBRW($B$9,$C$17,$C$18,V$25,V$24,$C$20,$C$21,$B43,X$26)</f>
        <v>0</v>
      </c>
      <c r="Y43" s="46">
        <f t="shared" ca="1" si="4"/>
        <v>0</v>
      </c>
      <c r="Z43" s="46">
        <f t="shared" ca="1" si="5"/>
        <v>0</v>
      </c>
      <c r="AA43" s="44">
        <f ca="1">_xll.DBRW($B$9,$C$17,$C$18,AA$25,AA$24,$C$20,$C$21,$B43,AA$26)</f>
        <v>0</v>
      </c>
      <c r="AB43" s="8">
        <f ca="1">_xll.DBRW($B$9,$C$17,$C$18,AA$25,AA$24,$C$20,$C$21,$B43,AB$26)</f>
        <v>0</v>
      </c>
      <c r="AC43" s="45">
        <f ca="1">_xll.DBRW($B$9,$C$17,$C$18,AA$25,AA$24,$C$20,$C$21,$B43,AC$26)</f>
        <v>0</v>
      </c>
      <c r="AD43" s="44">
        <f ca="1">_xll.DBRW($B$9,$C$17,$C$18,AD$25,AD$24,$C$20,$C$21,$B43,AD$26)</f>
        <v>0</v>
      </c>
      <c r="AE43" s="8">
        <f ca="1">_xll.DBRW($B$9,$C$17,$C$18,AD$25,AD$24,$C$20,$C$21,$B43,AE$26)</f>
        <v>0</v>
      </c>
      <c r="AF43" s="14">
        <f ca="1">_xll.DBRW($B$9,$C$17,$C$18,AD$25,AD$24,$C$20,$C$21,$B43,AF$26)</f>
        <v>0</v>
      </c>
      <c r="AG43" s="41">
        <f t="shared" ca="1" si="6"/>
        <v>0</v>
      </c>
      <c r="AH43" s="41">
        <f t="shared" ca="1" si="7"/>
        <v>0</v>
      </c>
    </row>
    <row r="44" spans="1:34" x14ac:dyDescent="0.25">
      <c r="A44">
        <f ca="1">IF(_xll.TM1RPTELISCONSOLIDATED($B$27,$B44),IF(_xll.TM1RPTELLEV($B$27,$B44)&lt;=3,_xll.TM1RPTELLEV($B$27,$B44),"D"),"N")</f>
        <v>1</v>
      </c>
      <c r="B44" s="132" t="s">
        <v>36</v>
      </c>
      <c r="C44" s="44">
        <f ca="1">_xll.DBRW($B$9,$C$17,$C$18,C$25,C$24,$C$20,$C$21,$B44,C$26)</f>
        <v>0</v>
      </c>
      <c r="D44" s="8">
        <f ca="1">_xll.DBRW($B$9,$C$17,$C$18,C$25,C$24,$C$20,$C$21,$B44,D$26)</f>
        <v>0</v>
      </c>
      <c r="E44" s="45">
        <f ca="1">_xll.DBRW($B$9,$C$17,$C$18,C$25,C$24,$C$20,$C$21,$B44,E$26)</f>
        <v>0</v>
      </c>
      <c r="F44" s="44">
        <f ca="1">_xll.DBRW($B$9,$C$17,$C$18,F$25,F$24,$C$20,$C$21,$B44,F$26)</f>
        <v>0</v>
      </c>
      <c r="G44" s="8">
        <f ca="1">_xll.DBRW($B$9,$C$17,$C$18,F$25,F$24,$C$20,$C$21,$B44,G$26)</f>
        <v>0</v>
      </c>
      <c r="H44" s="14">
        <f ca="1">_xll.DBRW($B$9,$C$17,$C$18,F$25,F$24,$C$20,$C$21,$B44,H$26)</f>
        <v>0</v>
      </c>
      <c r="I44" s="46">
        <f t="shared" ca="1" si="0"/>
        <v>0</v>
      </c>
      <c r="J44" s="47">
        <f t="shared" ca="1" si="1"/>
        <v>0</v>
      </c>
      <c r="K44" s="44">
        <f ca="1">_xll.DBRW($B$9,$C$17,$C$18,K$25,K$24,$C$20,$C$21,$B44,K$26)</f>
        <v>0</v>
      </c>
      <c r="L44" s="8">
        <f ca="1">_xll.DBRW($B$9,$C$17,$C$18,K$25,K$24,$C$20,$C$21,$B44,L$26)</f>
        <v>0</v>
      </c>
      <c r="M44" s="45">
        <f ca="1">_xll.DBRW($B$9,$C$17,$C$18,K$25,K$24,$C$20,$C$21,$B44,M$26)</f>
        <v>0</v>
      </c>
      <c r="N44" s="44">
        <f ca="1">_xll.DBRW($B$9,$C$17,$C$18,N$25,N$24,$C$20,$C$21,$B44,N$26)</f>
        <v>0</v>
      </c>
      <c r="O44" s="8">
        <f ca="1">_xll.DBRW($B$9,$C$17,$C$18,N$25,N$24,$C$20,$C$21,$B44,O$26)</f>
        <v>0</v>
      </c>
      <c r="P44" s="45">
        <f ca="1">_xll.DBRW($B$9,$C$17,$C$18,N$25,N$24,$C$20,$C$21,$B44,P$26)</f>
        <v>0</v>
      </c>
      <c r="Q44" s="46">
        <f t="shared" ca="1" si="2"/>
        <v>0</v>
      </c>
      <c r="R44" s="46">
        <f t="shared" ca="1" si="3"/>
        <v>0</v>
      </c>
      <c r="S44" s="44">
        <f ca="1">_xll.DBRW($B$9,$C$17,$C$18,S$25,S$24,$C$20,$C$21,$B44,S$26)</f>
        <v>0</v>
      </c>
      <c r="T44" s="8">
        <f ca="1">_xll.DBRW($B$9,$C$17,$C$18,S$25,S$24,$C$20,$C$21,$B44,T$26)</f>
        <v>0</v>
      </c>
      <c r="U44" s="45">
        <f ca="1">_xll.DBRW($B$9,$C$17,$C$18,S$25,S$24,$C$20,$C$21,$B44,U$26)</f>
        <v>0</v>
      </c>
      <c r="V44" s="44">
        <f ca="1">_xll.DBRW($B$9,$C$17,$C$18,V$25,V$24,$C$20,$C$21,$B44,V$26)</f>
        <v>0</v>
      </c>
      <c r="W44" s="8">
        <f ca="1">_xll.DBRW($B$9,$C$17,$C$18,V$25,V$24,$C$20,$C$21,$B44,W$26)</f>
        <v>0</v>
      </c>
      <c r="X44" s="45">
        <f ca="1">_xll.DBRW($B$9,$C$17,$C$18,V$25,V$24,$C$20,$C$21,$B44,X$26)</f>
        <v>0</v>
      </c>
      <c r="Y44" s="46">
        <f t="shared" ca="1" si="4"/>
        <v>0</v>
      </c>
      <c r="Z44" s="46">
        <f t="shared" ca="1" si="5"/>
        <v>0</v>
      </c>
      <c r="AA44" s="44">
        <f ca="1">_xll.DBRW($B$9,$C$17,$C$18,AA$25,AA$24,$C$20,$C$21,$B44,AA$26)</f>
        <v>0</v>
      </c>
      <c r="AB44" s="8">
        <f ca="1">_xll.DBRW($B$9,$C$17,$C$18,AA$25,AA$24,$C$20,$C$21,$B44,AB$26)</f>
        <v>0</v>
      </c>
      <c r="AC44" s="45">
        <f ca="1">_xll.DBRW($B$9,$C$17,$C$18,AA$25,AA$24,$C$20,$C$21,$B44,AC$26)</f>
        <v>0</v>
      </c>
      <c r="AD44" s="44">
        <f ca="1">_xll.DBRW($B$9,$C$17,$C$18,AD$25,AD$24,$C$20,$C$21,$B44,AD$26)</f>
        <v>0</v>
      </c>
      <c r="AE44" s="8">
        <f ca="1">_xll.DBRW($B$9,$C$17,$C$18,AD$25,AD$24,$C$20,$C$21,$B44,AE$26)</f>
        <v>0</v>
      </c>
      <c r="AF44" s="14">
        <f ca="1">_xll.DBRW($B$9,$C$17,$C$18,AD$25,AD$24,$C$20,$C$21,$B44,AF$26)</f>
        <v>0</v>
      </c>
      <c r="AG44" s="41">
        <f t="shared" ca="1" si="6"/>
        <v>0</v>
      </c>
      <c r="AH44" s="41">
        <f t="shared" ca="1" si="7"/>
        <v>0</v>
      </c>
    </row>
    <row r="45" spans="1:34" x14ac:dyDescent="0.25">
      <c r="A45">
        <f ca="1">IF(_xll.TM1RPTELISCONSOLIDATED($B$27,$B45),IF(_xll.TM1RPTELLEV($B$27,$B45)&lt;=3,_xll.TM1RPTELLEV($B$27,$B45),"D"),"N")</f>
        <v>1</v>
      </c>
      <c r="B45" s="132" t="s">
        <v>37</v>
      </c>
      <c r="C45" s="44">
        <f ca="1">_xll.DBRW($B$9,$C$17,$C$18,C$25,C$24,$C$20,$C$21,$B45,C$26)</f>
        <v>0</v>
      </c>
      <c r="D45" s="8">
        <f ca="1">_xll.DBRW($B$9,$C$17,$C$18,C$25,C$24,$C$20,$C$21,$B45,D$26)</f>
        <v>0</v>
      </c>
      <c r="E45" s="45">
        <f ca="1">_xll.DBRW($B$9,$C$17,$C$18,C$25,C$24,$C$20,$C$21,$B45,E$26)</f>
        <v>0</v>
      </c>
      <c r="F45" s="44">
        <f ca="1">_xll.DBRW($B$9,$C$17,$C$18,F$25,F$24,$C$20,$C$21,$B45,F$26)</f>
        <v>0</v>
      </c>
      <c r="G45" s="8">
        <f ca="1">_xll.DBRW($B$9,$C$17,$C$18,F$25,F$24,$C$20,$C$21,$B45,G$26)</f>
        <v>0</v>
      </c>
      <c r="H45" s="14">
        <f ca="1">_xll.DBRW($B$9,$C$17,$C$18,F$25,F$24,$C$20,$C$21,$B45,H$26)</f>
        <v>0</v>
      </c>
      <c r="I45" s="46">
        <f t="shared" ca="1" si="0"/>
        <v>0</v>
      </c>
      <c r="J45" s="47">
        <f t="shared" ca="1" si="1"/>
        <v>0</v>
      </c>
      <c r="K45" s="44">
        <f ca="1">_xll.DBRW($B$9,$C$17,$C$18,K$25,K$24,$C$20,$C$21,$B45,K$26)</f>
        <v>0</v>
      </c>
      <c r="L45" s="8">
        <f ca="1">_xll.DBRW($B$9,$C$17,$C$18,K$25,K$24,$C$20,$C$21,$B45,L$26)</f>
        <v>0</v>
      </c>
      <c r="M45" s="45">
        <f ca="1">_xll.DBRW($B$9,$C$17,$C$18,K$25,K$24,$C$20,$C$21,$B45,M$26)</f>
        <v>0</v>
      </c>
      <c r="N45" s="44">
        <f ca="1">_xll.DBRW($B$9,$C$17,$C$18,N$25,N$24,$C$20,$C$21,$B45,N$26)</f>
        <v>0</v>
      </c>
      <c r="O45" s="8">
        <f ca="1">_xll.DBRW($B$9,$C$17,$C$18,N$25,N$24,$C$20,$C$21,$B45,O$26)</f>
        <v>0</v>
      </c>
      <c r="P45" s="45">
        <f ca="1">_xll.DBRW($B$9,$C$17,$C$18,N$25,N$24,$C$20,$C$21,$B45,P$26)</f>
        <v>0</v>
      </c>
      <c r="Q45" s="46">
        <f t="shared" ca="1" si="2"/>
        <v>0</v>
      </c>
      <c r="R45" s="46">
        <f t="shared" ca="1" si="3"/>
        <v>0</v>
      </c>
      <c r="S45" s="44">
        <f ca="1">_xll.DBRW($B$9,$C$17,$C$18,S$25,S$24,$C$20,$C$21,$B45,S$26)</f>
        <v>0</v>
      </c>
      <c r="T45" s="8">
        <f ca="1">_xll.DBRW($B$9,$C$17,$C$18,S$25,S$24,$C$20,$C$21,$B45,T$26)</f>
        <v>0</v>
      </c>
      <c r="U45" s="45">
        <f ca="1">_xll.DBRW($B$9,$C$17,$C$18,S$25,S$24,$C$20,$C$21,$B45,U$26)</f>
        <v>0</v>
      </c>
      <c r="V45" s="44">
        <f ca="1">_xll.DBRW($B$9,$C$17,$C$18,V$25,V$24,$C$20,$C$21,$B45,V$26)</f>
        <v>0</v>
      </c>
      <c r="W45" s="8">
        <f ca="1">_xll.DBRW($B$9,$C$17,$C$18,V$25,V$24,$C$20,$C$21,$B45,W$26)</f>
        <v>0</v>
      </c>
      <c r="X45" s="45">
        <f ca="1">_xll.DBRW($B$9,$C$17,$C$18,V$25,V$24,$C$20,$C$21,$B45,X$26)</f>
        <v>0</v>
      </c>
      <c r="Y45" s="46">
        <f t="shared" ca="1" si="4"/>
        <v>0</v>
      </c>
      <c r="Z45" s="46">
        <f t="shared" ca="1" si="5"/>
        <v>0</v>
      </c>
      <c r="AA45" s="44">
        <f ca="1">_xll.DBRW($B$9,$C$17,$C$18,AA$25,AA$24,$C$20,$C$21,$B45,AA$26)</f>
        <v>0</v>
      </c>
      <c r="AB45" s="8">
        <f ca="1">_xll.DBRW($B$9,$C$17,$C$18,AA$25,AA$24,$C$20,$C$21,$B45,AB$26)</f>
        <v>0</v>
      </c>
      <c r="AC45" s="45">
        <f ca="1">_xll.DBRW($B$9,$C$17,$C$18,AA$25,AA$24,$C$20,$C$21,$B45,AC$26)</f>
        <v>0</v>
      </c>
      <c r="AD45" s="44">
        <f ca="1">_xll.DBRW($B$9,$C$17,$C$18,AD$25,AD$24,$C$20,$C$21,$B45,AD$26)</f>
        <v>0</v>
      </c>
      <c r="AE45" s="8">
        <f ca="1">_xll.DBRW($B$9,$C$17,$C$18,AD$25,AD$24,$C$20,$C$21,$B45,AE$26)</f>
        <v>0</v>
      </c>
      <c r="AF45" s="14">
        <f ca="1">_xll.DBRW($B$9,$C$17,$C$18,AD$25,AD$24,$C$20,$C$21,$B45,AF$26)</f>
        <v>0</v>
      </c>
      <c r="AG45" s="41">
        <f t="shared" ca="1" si="6"/>
        <v>0</v>
      </c>
      <c r="AH45" s="41">
        <f t="shared" ca="1" si="7"/>
        <v>0</v>
      </c>
    </row>
    <row r="46" spans="1:34" x14ac:dyDescent="0.25">
      <c r="A46">
        <f ca="1">IF(_xll.TM1RPTELISCONSOLIDATED($B$27,$B46),IF(_xll.TM1RPTELLEV($B$27,$B46)&lt;=3,_xll.TM1RPTELLEV($B$27,$B46),"D"),"N")</f>
        <v>1</v>
      </c>
      <c r="B46" s="132" t="s">
        <v>38</v>
      </c>
      <c r="C46" s="44">
        <f ca="1">_xll.DBRW($B$9,$C$17,$C$18,C$25,C$24,$C$20,$C$21,$B46,C$26)</f>
        <v>0</v>
      </c>
      <c r="D46" s="8">
        <f ca="1">_xll.DBRW($B$9,$C$17,$C$18,C$25,C$24,$C$20,$C$21,$B46,D$26)</f>
        <v>0</v>
      </c>
      <c r="E46" s="45">
        <f ca="1">_xll.DBRW($B$9,$C$17,$C$18,C$25,C$24,$C$20,$C$21,$B46,E$26)</f>
        <v>0</v>
      </c>
      <c r="F46" s="44">
        <f ca="1">_xll.DBRW($B$9,$C$17,$C$18,F$25,F$24,$C$20,$C$21,$B46,F$26)</f>
        <v>0</v>
      </c>
      <c r="G46" s="8">
        <f ca="1">_xll.DBRW($B$9,$C$17,$C$18,F$25,F$24,$C$20,$C$21,$B46,G$26)</f>
        <v>0</v>
      </c>
      <c r="H46" s="14">
        <f ca="1">_xll.DBRW($B$9,$C$17,$C$18,F$25,F$24,$C$20,$C$21,$B46,H$26)</f>
        <v>0</v>
      </c>
      <c r="I46" s="46">
        <f t="shared" ca="1" si="0"/>
        <v>0</v>
      </c>
      <c r="J46" s="47">
        <f t="shared" ca="1" si="1"/>
        <v>0</v>
      </c>
      <c r="K46" s="44">
        <f ca="1">_xll.DBRW($B$9,$C$17,$C$18,K$25,K$24,$C$20,$C$21,$B46,K$26)</f>
        <v>0</v>
      </c>
      <c r="L46" s="8">
        <f ca="1">_xll.DBRW($B$9,$C$17,$C$18,K$25,K$24,$C$20,$C$21,$B46,L$26)</f>
        <v>0</v>
      </c>
      <c r="M46" s="45">
        <f ca="1">_xll.DBRW($B$9,$C$17,$C$18,K$25,K$24,$C$20,$C$21,$B46,M$26)</f>
        <v>0</v>
      </c>
      <c r="N46" s="44">
        <f ca="1">_xll.DBRW($B$9,$C$17,$C$18,N$25,N$24,$C$20,$C$21,$B46,N$26)</f>
        <v>0</v>
      </c>
      <c r="O46" s="8">
        <f ca="1">_xll.DBRW($B$9,$C$17,$C$18,N$25,N$24,$C$20,$C$21,$B46,O$26)</f>
        <v>0</v>
      </c>
      <c r="P46" s="45">
        <f ca="1">_xll.DBRW($B$9,$C$17,$C$18,N$25,N$24,$C$20,$C$21,$B46,P$26)</f>
        <v>0</v>
      </c>
      <c r="Q46" s="46">
        <f t="shared" ca="1" si="2"/>
        <v>0</v>
      </c>
      <c r="R46" s="46">
        <f t="shared" ca="1" si="3"/>
        <v>0</v>
      </c>
      <c r="S46" s="44">
        <f ca="1">_xll.DBRW($B$9,$C$17,$C$18,S$25,S$24,$C$20,$C$21,$B46,S$26)</f>
        <v>0</v>
      </c>
      <c r="T46" s="8">
        <f ca="1">_xll.DBRW($B$9,$C$17,$C$18,S$25,S$24,$C$20,$C$21,$B46,T$26)</f>
        <v>0</v>
      </c>
      <c r="U46" s="45">
        <f ca="1">_xll.DBRW($B$9,$C$17,$C$18,S$25,S$24,$C$20,$C$21,$B46,U$26)</f>
        <v>0</v>
      </c>
      <c r="V46" s="44">
        <f ca="1">_xll.DBRW($B$9,$C$17,$C$18,V$25,V$24,$C$20,$C$21,$B46,V$26)</f>
        <v>0</v>
      </c>
      <c r="W46" s="8">
        <f ca="1">_xll.DBRW($B$9,$C$17,$C$18,V$25,V$24,$C$20,$C$21,$B46,W$26)</f>
        <v>0</v>
      </c>
      <c r="X46" s="45">
        <f ca="1">_xll.DBRW($B$9,$C$17,$C$18,V$25,V$24,$C$20,$C$21,$B46,X$26)</f>
        <v>0</v>
      </c>
      <c r="Y46" s="46">
        <f t="shared" ca="1" si="4"/>
        <v>0</v>
      </c>
      <c r="Z46" s="46">
        <f t="shared" ca="1" si="5"/>
        <v>0</v>
      </c>
      <c r="AA46" s="44">
        <f ca="1">_xll.DBRW($B$9,$C$17,$C$18,AA$25,AA$24,$C$20,$C$21,$B46,AA$26)</f>
        <v>0</v>
      </c>
      <c r="AB46" s="8">
        <f ca="1">_xll.DBRW($B$9,$C$17,$C$18,AA$25,AA$24,$C$20,$C$21,$B46,AB$26)</f>
        <v>0</v>
      </c>
      <c r="AC46" s="45">
        <f ca="1">_xll.DBRW($B$9,$C$17,$C$18,AA$25,AA$24,$C$20,$C$21,$B46,AC$26)</f>
        <v>0</v>
      </c>
      <c r="AD46" s="44">
        <f ca="1">_xll.DBRW($B$9,$C$17,$C$18,AD$25,AD$24,$C$20,$C$21,$B46,AD$26)</f>
        <v>0</v>
      </c>
      <c r="AE46" s="8">
        <f ca="1">_xll.DBRW($B$9,$C$17,$C$18,AD$25,AD$24,$C$20,$C$21,$B46,AE$26)</f>
        <v>0</v>
      </c>
      <c r="AF46" s="14">
        <f ca="1">_xll.DBRW($B$9,$C$17,$C$18,AD$25,AD$24,$C$20,$C$21,$B46,AF$26)</f>
        <v>0</v>
      </c>
      <c r="AG46" s="41">
        <f t="shared" ca="1" si="6"/>
        <v>0</v>
      </c>
      <c r="AH46" s="41">
        <f t="shared" ca="1" si="7"/>
        <v>0</v>
      </c>
    </row>
    <row r="47" spans="1:34" x14ac:dyDescent="0.25">
      <c r="A47">
        <f ca="1">IF(_xll.TM1RPTELISCONSOLIDATED($B$27,$B47),IF(_xll.TM1RPTELLEV($B$27,$B47)&lt;=3,_xll.TM1RPTELLEV($B$27,$B47),"D"),"N")</f>
        <v>1</v>
      </c>
      <c r="B47" s="132" t="s">
        <v>39</v>
      </c>
      <c r="C47" s="44">
        <f ca="1">_xll.DBRW($B$9,$C$17,$C$18,C$25,C$24,$C$20,$C$21,$B47,C$26)</f>
        <v>0</v>
      </c>
      <c r="D47" s="8">
        <f ca="1">_xll.DBRW($B$9,$C$17,$C$18,C$25,C$24,$C$20,$C$21,$B47,D$26)</f>
        <v>0</v>
      </c>
      <c r="E47" s="45">
        <f ca="1">_xll.DBRW($B$9,$C$17,$C$18,C$25,C$24,$C$20,$C$21,$B47,E$26)</f>
        <v>0</v>
      </c>
      <c r="F47" s="44">
        <f ca="1">_xll.DBRW($B$9,$C$17,$C$18,F$25,F$24,$C$20,$C$21,$B47,F$26)</f>
        <v>0</v>
      </c>
      <c r="G47" s="8">
        <f ca="1">_xll.DBRW($B$9,$C$17,$C$18,F$25,F$24,$C$20,$C$21,$B47,G$26)</f>
        <v>0</v>
      </c>
      <c r="H47" s="14">
        <f ca="1">_xll.DBRW($B$9,$C$17,$C$18,F$25,F$24,$C$20,$C$21,$B47,H$26)</f>
        <v>0</v>
      </c>
      <c r="I47" s="46">
        <f t="shared" ca="1" si="0"/>
        <v>0</v>
      </c>
      <c r="J47" s="47">
        <f t="shared" ca="1" si="1"/>
        <v>0</v>
      </c>
      <c r="K47" s="44">
        <f ca="1">_xll.DBRW($B$9,$C$17,$C$18,K$25,K$24,$C$20,$C$21,$B47,K$26)</f>
        <v>0</v>
      </c>
      <c r="L47" s="8">
        <f ca="1">_xll.DBRW($B$9,$C$17,$C$18,K$25,K$24,$C$20,$C$21,$B47,L$26)</f>
        <v>0</v>
      </c>
      <c r="M47" s="45">
        <f ca="1">_xll.DBRW($B$9,$C$17,$C$18,K$25,K$24,$C$20,$C$21,$B47,M$26)</f>
        <v>0</v>
      </c>
      <c r="N47" s="44">
        <f ca="1">_xll.DBRW($B$9,$C$17,$C$18,N$25,N$24,$C$20,$C$21,$B47,N$26)</f>
        <v>0</v>
      </c>
      <c r="O47" s="8">
        <f ca="1">_xll.DBRW($B$9,$C$17,$C$18,N$25,N$24,$C$20,$C$21,$B47,O$26)</f>
        <v>0</v>
      </c>
      <c r="P47" s="45">
        <f ca="1">_xll.DBRW($B$9,$C$17,$C$18,N$25,N$24,$C$20,$C$21,$B47,P$26)</f>
        <v>0</v>
      </c>
      <c r="Q47" s="46">
        <f t="shared" ca="1" si="2"/>
        <v>0</v>
      </c>
      <c r="R47" s="46">
        <f t="shared" ca="1" si="3"/>
        <v>0</v>
      </c>
      <c r="S47" s="44">
        <f ca="1">_xll.DBRW($B$9,$C$17,$C$18,S$25,S$24,$C$20,$C$21,$B47,S$26)</f>
        <v>0</v>
      </c>
      <c r="T47" s="8">
        <f ca="1">_xll.DBRW($B$9,$C$17,$C$18,S$25,S$24,$C$20,$C$21,$B47,T$26)</f>
        <v>0</v>
      </c>
      <c r="U47" s="45">
        <f ca="1">_xll.DBRW($B$9,$C$17,$C$18,S$25,S$24,$C$20,$C$21,$B47,U$26)</f>
        <v>0</v>
      </c>
      <c r="V47" s="44">
        <f ca="1">_xll.DBRW($B$9,$C$17,$C$18,V$25,V$24,$C$20,$C$21,$B47,V$26)</f>
        <v>0</v>
      </c>
      <c r="W47" s="8">
        <f ca="1">_xll.DBRW($B$9,$C$17,$C$18,V$25,V$24,$C$20,$C$21,$B47,W$26)</f>
        <v>0</v>
      </c>
      <c r="X47" s="45">
        <f ca="1">_xll.DBRW($B$9,$C$17,$C$18,V$25,V$24,$C$20,$C$21,$B47,X$26)</f>
        <v>0</v>
      </c>
      <c r="Y47" s="46">
        <f t="shared" ca="1" si="4"/>
        <v>0</v>
      </c>
      <c r="Z47" s="46">
        <f t="shared" ca="1" si="5"/>
        <v>0</v>
      </c>
      <c r="AA47" s="44">
        <f ca="1">_xll.DBRW($B$9,$C$17,$C$18,AA$25,AA$24,$C$20,$C$21,$B47,AA$26)</f>
        <v>0</v>
      </c>
      <c r="AB47" s="8">
        <f ca="1">_xll.DBRW($B$9,$C$17,$C$18,AA$25,AA$24,$C$20,$C$21,$B47,AB$26)</f>
        <v>0</v>
      </c>
      <c r="AC47" s="45">
        <f ca="1">_xll.DBRW($B$9,$C$17,$C$18,AA$25,AA$24,$C$20,$C$21,$B47,AC$26)</f>
        <v>0</v>
      </c>
      <c r="AD47" s="44">
        <f ca="1">_xll.DBRW($B$9,$C$17,$C$18,AD$25,AD$24,$C$20,$C$21,$B47,AD$26)</f>
        <v>0</v>
      </c>
      <c r="AE47" s="8">
        <f ca="1">_xll.DBRW($B$9,$C$17,$C$18,AD$25,AD$24,$C$20,$C$21,$B47,AE$26)</f>
        <v>0</v>
      </c>
      <c r="AF47" s="14">
        <f ca="1">_xll.DBRW($B$9,$C$17,$C$18,AD$25,AD$24,$C$20,$C$21,$B47,AF$26)</f>
        <v>0</v>
      </c>
      <c r="AG47" s="41">
        <f t="shared" ca="1" si="6"/>
        <v>0</v>
      </c>
      <c r="AH47" s="41">
        <f t="shared" ca="1" si="7"/>
        <v>0</v>
      </c>
    </row>
    <row r="48" spans="1:34" x14ac:dyDescent="0.25">
      <c r="A48">
        <f ca="1">IF(_xll.TM1RPTELISCONSOLIDATED($B$27,$B48),IF(_xll.TM1RPTELLEV($B$27,$B48)&lt;=3,_xll.TM1RPTELLEV($B$27,$B48),"D"),"N")</f>
        <v>1</v>
      </c>
      <c r="B48" s="132" t="s">
        <v>40</v>
      </c>
      <c r="C48" s="44">
        <f ca="1">_xll.DBRW($B$9,$C$17,$C$18,C$25,C$24,$C$20,$C$21,$B48,C$26)</f>
        <v>0</v>
      </c>
      <c r="D48" s="8">
        <f ca="1">_xll.DBRW($B$9,$C$17,$C$18,C$25,C$24,$C$20,$C$21,$B48,D$26)</f>
        <v>0</v>
      </c>
      <c r="E48" s="45">
        <f ca="1">_xll.DBRW($B$9,$C$17,$C$18,C$25,C$24,$C$20,$C$21,$B48,E$26)</f>
        <v>0</v>
      </c>
      <c r="F48" s="44">
        <f ca="1">_xll.DBRW($B$9,$C$17,$C$18,F$25,F$24,$C$20,$C$21,$B48,F$26)</f>
        <v>0</v>
      </c>
      <c r="G48" s="8">
        <f ca="1">_xll.DBRW($B$9,$C$17,$C$18,F$25,F$24,$C$20,$C$21,$B48,G$26)</f>
        <v>0</v>
      </c>
      <c r="H48" s="14">
        <f ca="1">_xll.DBRW($B$9,$C$17,$C$18,F$25,F$24,$C$20,$C$21,$B48,H$26)</f>
        <v>0</v>
      </c>
      <c r="I48" s="46">
        <f t="shared" ca="1" si="0"/>
        <v>0</v>
      </c>
      <c r="J48" s="47">
        <f t="shared" ca="1" si="1"/>
        <v>0</v>
      </c>
      <c r="K48" s="44">
        <f ca="1">_xll.DBRW($B$9,$C$17,$C$18,K$25,K$24,$C$20,$C$21,$B48,K$26)</f>
        <v>0</v>
      </c>
      <c r="L48" s="8">
        <f ca="1">_xll.DBRW($B$9,$C$17,$C$18,K$25,K$24,$C$20,$C$21,$B48,L$26)</f>
        <v>0</v>
      </c>
      <c r="M48" s="45">
        <f ca="1">_xll.DBRW($B$9,$C$17,$C$18,K$25,K$24,$C$20,$C$21,$B48,M$26)</f>
        <v>0</v>
      </c>
      <c r="N48" s="44">
        <f ca="1">_xll.DBRW($B$9,$C$17,$C$18,N$25,N$24,$C$20,$C$21,$B48,N$26)</f>
        <v>0</v>
      </c>
      <c r="O48" s="8">
        <f ca="1">_xll.DBRW($B$9,$C$17,$C$18,N$25,N$24,$C$20,$C$21,$B48,O$26)</f>
        <v>0</v>
      </c>
      <c r="P48" s="45">
        <f ca="1">_xll.DBRW($B$9,$C$17,$C$18,N$25,N$24,$C$20,$C$21,$B48,P$26)</f>
        <v>0</v>
      </c>
      <c r="Q48" s="46">
        <f t="shared" ca="1" si="2"/>
        <v>0</v>
      </c>
      <c r="R48" s="46">
        <f t="shared" ca="1" si="3"/>
        <v>0</v>
      </c>
      <c r="S48" s="44">
        <f ca="1">_xll.DBRW($B$9,$C$17,$C$18,S$25,S$24,$C$20,$C$21,$B48,S$26)</f>
        <v>0</v>
      </c>
      <c r="T48" s="8">
        <f ca="1">_xll.DBRW($B$9,$C$17,$C$18,S$25,S$24,$C$20,$C$21,$B48,T$26)</f>
        <v>0</v>
      </c>
      <c r="U48" s="45">
        <f ca="1">_xll.DBRW($B$9,$C$17,$C$18,S$25,S$24,$C$20,$C$21,$B48,U$26)</f>
        <v>0</v>
      </c>
      <c r="V48" s="44">
        <f ca="1">_xll.DBRW($B$9,$C$17,$C$18,V$25,V$24,$C$20,$C$21,$B48,V$26)</f>
        <v>0</v>
      </c>
      <c r="W48" s="8">
        <f ca="1">_xll.DBRW($B$9,$C$17,$C$18,V$25,V$24,$C$20,$C$21,$B48,W$26)</f>
        <v>0</v>
      </c>
      <c r="X48" s="45">
        <f ca="1">_xll.DBRW($B$9,$C$17,$C$18,V$25,V$24,$C$20,$C$21,$B48,X$26)</f>
        <v>0</v>
      </c>
      <c r="Y48" s="46">
        <f t="shared" ca="1" si="4"/>
        <v>0</v>
      </c>
      <c r="Z48" s="46">
        <f t="shared" ca="1" si="5"/>
        <v>0</v>
      </c>
      <c r="AA48" s="44">
        <f ca="1">_xll.DBRW($B$9,$C$17,$C$18,AA$25,AA$24,$C$20,$C$21,$B48,AA$26)</f>
        <v>0</v>
      </c>
      <c r="AB48" s="8">
        <f ca="1">_xll.DBRW($B$9,$C$17,$C$18,AA$25,AA$24,$C$20,$C$21,$B48,AB$26)</f>
        <v>0</v>
      </c>
      <c r="AC48" s="45">
        <f ca="1">_xll.DBRW($B$9,$C$17,$C$18,AA$25,AA$24,$C$20,$C$21,$B48,AC$26)</f>
        <v>0</v>
      </c>
      <c r="AD48" s="44">
        <f ca="1">_xll.DBRW($B$9,$C$17,$C$18,AD$25,AD$24,$C$20,$C$21,$B48,AD$26)</f>
        <v>0</v>
      </c>
      <c r="AE48" s="8">
        <f ca="1">_xll.DBRW($B$9,$C$17,$C$18,AD$25,AD$24,$C$20,$C$21,$B48,AE$26)</f>
        <v>0</v>
      </c>
      <c r="AF48" s="14">
        <f ca="1">_xll.DBRW($B$9,$C$17,$C$18,AD$25,AD$24,$C$20,$C$21,$B48,AF$26)</f>
        <v>0</v>
      </c>
      <c r="AG48" s="41">
        <f t="shared" ca="1" si="6"/>
        <v>0</v>
      </c>
      <c r="AH48" s="41">
        <f t="shared" ca="1" si="7"/>
        <v>0</v>
      </c>
    </row>
    <row r="49" spans="1:34" x14ac:dyDescent="0.25">
      <c r="A49">
        <f ca="1">IF(_xll.TM1RPTELISCONSOLIDATED($B$27,$B49),IF(_xll.TM1RPTELLEV($B$27,$B49)&lt;=3,_xll.TM1RPTELLEV($B$27,$B49),"D"),"N")</f>
        <v>1</v>
      </c>
      <c r="B49" s="132" t="s">
        <v>41</v>
      </c>
      <c r="C49" s="44">
        <f ca="1">_xll.DBRW($B$9,$C$17,$C$18,C$25,C$24,$C$20,$C$21,$B49,C$26)</f>
        <v>0</v>
      </c>
      <c r="D49" s="8">
        <f ca="1">_xll.DBRW($B$9,$C$17,$C$18,C$25,C$24,$C$20,$C$21,$B49,D$26)</f>
        <v>0</v>
      </c>
      <c r="E49" s="45">
        <f ca="1">_xll.DBRW($B$9,$C$17,$C$18,C$25,C$24,$C$20,$C$21,$B49,E$26)</f>
        <v>0</v>
      </c>
      <c r="F49" s="44">
        <f ca="1">_xll.DBRW($B$9,$C$17,$C$18,F$25,F$24,$C$20,$C$21,$B49,F$26)</f>
        <v>0</v>
      </c>
      <c r="G49" s="8">
        <f ca="1">_xll.DBRW($B$9,$C$17,$C$18,F$25,F$24,$C$20,$C$21,$B49,G$26)</f>
        <v>0</v>
      </c>
      <c r="H49" s="14">
        <f ca="1">_xll.DBRW($B$9,$C$17,$C$18,F$25,F$24,$C$20,$C$21,$B49,H$26)</f>
        <v>0</v>
      </c>
      <c r="I49" s="46">
        <f t="shared" ca="1" si="0"/>
        <v>0</v>
      </c>
      <c r="J49" s="47">
        <f t="shared" ca="1" si="1"/>
        <v>0</v>
      </c>
      <c r="K49" s="44">
        <f ca="1">_xll.DBRW($B$9,$C$17,$C$18,K$25,K$24,$C$20,$C$21,$B49,K$26)</f>
        <v>0</v>
      </c>
      <c r="L49" s="8">
        <f ca="1">_xll.DBRW($B$9,$C$17,$C$18,K$25,K$24,$C$20,$C$21,$B49,L$26)</f>
        <v>0</v>
      </c>
      <c r="M49" s="45">
        <f ca="1">_xll.DBRW($B$9,$C$17,$C$18,K$25,K$24,$C$20,$C$21,$B49,M$26)</f>
        <v>0</v>
      </c>
      <c r="N49" s="44">
        <f ca="1">_xll.DBRW($B$9,$C$17,$C$18,N$25,N$24,$C$20,$C$21,$B49,N$26)</f>
        <v>0</v>
      </c>
      <c r="O49" s="8">
        <f ca="1">_xll.DBRW($B$9,$C$17,$C$18,N$25,N$24,$C$20,$C$21,$B49,O$26)</f>
        <v>0</v>
      </c>
      <c r="P49" s="45">
        <f ca="1">_xll.DBRW($B$9,$C$17,$C$18,N$25,N$24,$C$20,$C$21,$B49,P$26)</f>
        <v>0</v>
      </c>
      <c r="Q49" s="46">
        <f t="shared" ca="1" si="2"/>
        <v>0</v>
      </c>
      <c r="R49" s="46">
        <f t="shared" ca="1" si="3"/>
        <v>0</v>
      </c>
      <c r="S49" s="44">
        <f ca="1">_xll.DBRW($B$9,$C$17,$C$18,S$25,S$24,$C$20,$C$21,$B49,S$26)</f>
        <v>0</v>
      </c>
      <c r="T49" s="8">
        <f ca="1">_xll.DBRW($B$9,$C$17,$C$18,S$25,S$24,$C$20,$C$21,$B49,T$26)</f>
        <v>0</v>
      </c>
      <c r="U49" s="45">
        <f ca="1">_xll.DBRW($B$9,$C$17,$C$18,S$25,S$24,$C$20,$C$21,$B49,U$26)</f>
        <v>0</v>
      </c>
      <c r="V49" s="44">
        <f ca="1">_xll.DBRW($B$9,$C$17,$C$18,V$25,V$24,$C$20,$C$21,$B49,V$26)</f>
        <v>0</v>
      </c>
      <c r="W49" s="8">
        <f ca="1">_xll.DBRW($B$9,$C$17,$C$18,V$25,V$24,$C$20,$C$21,$B49,W$26)</f>
        <v>0</v>
      </c>
      <c r="X49" s="45">
        <f ca="1">_xll.DBRW($B$9,$C$17,$C$18,V$25,V$24,$C$20,$C$21,$B49,X$26)</f>
        <v>0</v>
      </c>
      <c r="Y49" s="46">
        <f t="shared" ca="1" si="4"/>
        <v>0</v>
      </c>
      <c r="Z49" s="46">
        <f t="shared" ca="1" si="5"/>
        <v>0</v>
      </c>
      <c r="AA49" s="44">
        <f ca="1">_xll.DBRW($B$9,$C$17,$C$18,AA$25,AA$24,$C$20,$C$21,$B49,AA$26)</f>
        <v>0</v>
      </c>
      <c r="AB49" s="8">
        <f ca="1">_xll.DBRW($B$9,$C$17,$C$18,AA$25,AA$24,$C$20,$C$21,$B49,AB$26)</f>
        <v>0</v>
      </c>
      <c r="AC49" s="45">
        <f ca="1">_xll.DBRW($B$9,$C$17,$C$18,AA$25,AA$24,$C$20,$C$21,$B49,AC$26)</f>
        <v>0</v>
      </c>
      <c r="AD49" s="44">
        <f ca="1">_xll.DBRW($B$9,$C$17,$C$18,AD$25,AD$24,$C$20,$C$21,$B49,AD$26)</f>
        <v>0</v>
      </c>
      <c r="AE49" s="8">
        <f ca="1">_xll.DBRW($B$9,$C$17,$C$18,AD$25,AD$24,$C$20,$C$21,$B49,AE$26)</f>
        <v>0</v>
      </c>
      <c r="AF49" s="14">
        <f ca="1">_xll.DBRW($B$9,$C$17,$C$18,AD$25,AD$24,$C$20,$C$21,$B49,AF$26)</f>
        <v>0</v>
      </c>
      <c r="AG49" s="41">
        <f t="shared" ca="1" si="6"/>
        <v>0</v>
      </c>
      <c r="AH49" s="41">
        <f t="shared" ca="1" si="7"/>
        <v>0</v>
      </c>
    </row>
    <row r="50" spans="1:34" hidden="1" x14ac:dyDescent="0.25"/>
    <row r="51" spans="1:34" hidden="1" x14ac:dyDescent="0.25"/>
    <row r="52" spans="1:34" hidden="1" x14ac:dyDescent="0.25"/>
    <row r="53" spans="1:34" hidden="1" x14ac:dyDescent="0.25"/>
    <row r="54" spans="1:34" hidden="1" x14ac:dyDescent="0.25"/>
    <row r="55" spans="1:34" hidden="1" x14ac:dyDescent="0.25"/>
    <row r="56" spans="1:34" hidden="1" x14ac:dyDescent="0.25"/>
    <row r="57" spans="1:34" hidden="1" x14ac:dyDescent="0.25"/>
    <row r="58" spans="1:34" hidden="1" x14ac:dyDescent="0.25"/>
    <row r="59" spans="1:34" hidden="1" x14ac:dyDescent="0.25"/>
    <row r="60" spans="1:34" hidden="1" x14ac:dyDescent="0.25"/>
    <row r="61" spans="1:34" hidden="1" x14ac:dyDescent="0.25"/>
    <row r="62" spans="1:34" hidden="1" x14ac:dyDescent="0.25"/>
    <row r="63" spans="1:34" hidden="1" x14ac:dyDescent="0.25"/>
    <row r="64" spans="1:3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</sheetData>
  <mergeCells count="20">
    <mergeCell ref="AG24:AH25"/>
    <mergeCell ref="S25:U25"/>
    <mergeCell ref="V25:X25"/>
    <mergeCell ref="AA25:AC25"/>
    <mergeCell ref="AD25:AF25"/>
    <mergeCell ref="S24:U24"/>
    <mergeCell ref="V24:X24"/>
    <mergeCell ref="Y24:Z25"/>
    <mergeCell ref="AA24:AC24"/>
    <mergeCell ref="AD24:AF24"/>
    <mergeCell ref="Q24:R25"/>
    <mergeCell ref="C25:E25"/>
    <mergeCell ref="F25:H25"/>
    <mergeCell ref="K25:M25"/>
    <mergeCell ref="N25:P25"/>
    <mergeCell ref="C24:E24"/>
    <mergeCell ref="F24:H24"/>
    <mergeCell ref="I24:J25"/>
    <mergeCell ref="K24:M24"/>
    <mergeCell ref="N24:P2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19</xdr:row>
                <xdr:rowOff>0</xdr:rowOff>
              </from>
              <to>
                <xdr:col>6</xdr:col>
                <xdr:colOff>276225</xdr:colOff>
                <xdr:row>21</xdr:row>
                <xdr:rowOff>28575</xdr:rowOff>
              </to>
            </anchor>
          </controlPr>
        </control>
      </mc:Choice>
      <mc:Fallback>
        <control shapeId="8193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ALT53"/>
  <sheetViews>
    <sheetView showGridLines="0" topLeftCell="G1" workbookViewId="0">
      <pane xSplit="1" ySplit="30" topLeftCell="H31" activePane="bottomRight" state="frozen"/>
      <selection activeCell="G16" sqref="G16"/>
      <selection pane="topRight" activeCell="H16" sqref="H16"/>
      <selection pane="bottomLeft" activeCell="G31" sqref="G31"/>
      <selection pane="bottomRight" activeCell="G31" sqref="G31"/>
    </sheetView>
  </sheetViews>
  <sheetFormatPr defaultColWidth="0" defaultRowHeight="15" zeroHeight="1" x14ac:dyDescent="0.25"/>
  <cols>
    <col min="1" max="1" width="18.7109375" hidden="1" customWidth="1"/>
    <col min="2" max="6" width="0" hidden="1" customWidth="1"/>
    <col min="7" max="7" width="52.28515625" customWidth="1"/>
    <col min="8" max="8" width="10.7109375" customWidth="1"/>
    <col min="9" max="9" width="12.7109375" customWidth="1"/>
    <col min="10" max="10" width="20.7109375" customWidth="1"/>
    <col min="11" max="11" width="10.7109375" customWidth="1"/>
    <col min="12" max="12" width="12.7109375" customWidth="1"/>
    <col min="13" max="13" width="20.7109375" customWidth="1"/>
    <col min="14" max="16" width="10.7109375" customWidth="1"/>
    <col min="17" max="17" width="12.7109375" customWidth="1"/>
    <col min="18" max="18" width="20.7109375" customWidth="1"/>
    <col min="19" max="19" width="10.7109375" customWidth="1"/>
    <col min="20" max="20" width="12.7109375" customWidth="1"/>
    <col min="21" max="21" width="20.7109375" customWidth="1"/>
    <col min="22" max="24" width="10.7109375" customWidth="1"/>
    <col min="25" max="25" width="12.7109375" customWidth="1"/>
    <col min="26" max="26" width="20.7109375" customWidth="1"/>
    <col min="27" max="27" width="10.7109375" customWidth="1"/>
    <col min="28" max="28" width="12.7109375" customWidth="1"/>
    <col min="29" max="29" width="20.7109375" customWidth="1"/>
    <col min="30" max="32" width="10.7109375" customWidth="1"/>
    <col min="33" max="33" width="12.7109375" customWidth="1"/>
    <col min="34" max="34" width="20.7109375" customWidth="1"/>
    <col min="35" max="35" width="10.7109375" customWidth="1"/>
    <col min="36" max="36" width="12.7109375" customWidth="1"/>
    <col min="37" max="37" width="20.7109375" customWidth="1"/>
    <col min="38" max="39" width="10.7109375" customWidth="1"/>
    <col min="40" max="40" width="2.140625" style="5" customWidth="1"/>
    <col min="41" max="1008" width="0" hidden="1" customWidth="1"/>
    <col min="1009" max="16384" width="11.5703125" hidden="1"/>
  </cols>
  <sheetData>
    <row r="1" spans="1:40" hidden="1" x14ac:dyDescent="0.25">
      <c r="A1" t="s">
        <v>6</v>
      </c>
    </row>
    <row r="2" spans="1:40" hidden="1" x14ac:dyDescent="0.25">
      <c r="A2">
        <f>0</f>
        <v>0</v>
      </c>
      <c r="G2" s="6"/>
      <c r="H2" s="17"/>
      <c r="I2" s="17"/>
      <c r="J2" s="17"/>
      <c r="K2" s="17"/>
      <c r="L2" s="17"/>
      <c r="M2" s="18"/>
      <c r="N2" s="74"/>
      <c r="O2" s="75"/>
      <c r="P2" s="19"/>
      <c r="Q2" s="17"/>
      <c r="R2" s="17"/>
      <c r="S2" s="17"/>
      <c r="T2" s="17"/>
      <c r="U2" s="18"/>
      <c r="V2" s="74"/>
      <c r="W2" s="75"/>
      <c r="X2" s="19"/>
      <c r="Y2" s="17"/>
      <c r="Z2" s="17"/>
      <c r="AA2" s="17"/>
      <c r="AB2" s="17"/>
      <c r="AC2" s="18"/>
      <c r="AD2" s="74"/>
      <c r="AE2" s="75"/>
      <c r="AF2" s="19"/>
      <c r="AG2" s="17"/>
      <c r="AH2" s="17"/>
      <c r="AI2" s="17"/>
      <c r="AJ2" s="17"/>
      <c r="AK2" s="18"/>
      <c r="AL2" s="74"/>
      <c r="AM2" s="75"/>
    </row>
    <row r="3" spans="1:40" hidden="1" x14ac:dyDescent="0.25">
      <c r="A3">
        <f>1</f>
        <v>1</v>
      </c>
      <c r="G3" s="7"/>
      <c r="H3" s="20"/>
      <c r="I3" s="20"/>
      <c r="J3" s="20"/>
      <c r="K3" s="20"/>
      <c r="L3" s="20"/>
      <c r="M3" s="21"/>
      <c r="N3" s="76"/>
      <c r="O3" s="77"/>
      <c r="P3" s="22"/>
      <c r="Q3" s="20"/>
      <c r="R3" s="20"/>
      <c r="S3" s="20"/>
      <c r="T3" s="20"/>
      <c r="U3" s="21"/>
      <c r="V3" s="76"/>
      <c r="W3" s="77"/>
      <c r="X3" s="22"/>
      <c r="Y3" s="20"/>
      <c r="Z3" s="20"/>
      <c r="AA3" s="20"/>
      <c r="AB3" s="20"/>
      <c r="AC3" s="21"/>
      <c r="AD3" s="76"/>
      <c r="AE3" s="77"/>
      <c r="AF3" s="22"/>
      <c r="AG3" s="20"/>
      <c r="AH3" s="20"/>
      <c r="AI3" s="20"/>
      <c r="AJ3" s="20"/>
      <c r="AK3" s="21"/>
      <c r="AL3" s="76"/>
      <c r="AM3" s="77"/>
    </row>
    <row r="4" spans="1:40" hidden="1" x14ac:dyDescent="0.25">
      <c r="A4">
        <f>2</f>
        <v>2</v>
      </c>
      <c r="G4" s="9"/>
      <c r="H4" s="23"/>
      <c r="I4" s="23"/>
      <c r="J4" s="23"/>
      <c r="K4" s="23"/>
      <c r="L4" s="23"/>
      <c r="M4" s="24"/>
      <c r="N4" s="78"/>
      <c r="O4" s="79"/>
      <c r="P4" s="25"/>
      <c r="Q4" s="23"/>
      <c r="R4" s="23"/>
      <c r="S4" s="23"/>
      <c r="T4" s="23"/>
      <c r="U4" s="24"/>
      <c r="V4" s="78"/>
      <c r="W4" s="79"/>
      <c r="X4" s="25"/>
      <c r="Y4" s="23"/>
      <c r="Z4" s="23"/>
      <c r="AA4" s="23"/>
      <c r="AB4" s="23"/>
      <c r="AC4" s="24"/>
      <c r="AD4" s="78"/>
      <c r="AE4" s="79"/>
      <c r="AF4" s="25"/>
      <c r="AG4" s="23"/>
      <c r="AH4" s="23"/>
      <c r="AI4" s="23"/>
      <c r="AJ4" s="23"/>
      <c r="AK4" s="24"/>
      <c r="AL4" s="78"/>
      <c r="AM4" s="79"/>
    </row>
    <row r="5" spans="1:40" hidden="1" x14ac:dyDescent="0.25">
      <c r="A5">
        <f>3</f>
        <v>3</v>
      </c>
      <c r="G5" s="11"/>
      <c r="H5" s="80"/>
      <c r="I5" s="80"/>
      <c r="J5" s="80"/>
      <c r="K5" s="80"/>
      <c r="L5" s="80"/>
      <c r="M5" s="81"/>
      <c r="N5" s="82"/>
      <c r="O5" s="83"/>
      <c r="P5" s="84"/>
      <c r="Q5" s="80"/>
      <c r="R5" s="80"/>
      <c r="S5" s="80"/>
      <c r="T5" s="80"/>
      <c r="U5" s="81"/>
      <c r="V5" s="82"/>
      <c r="W5" s="83"/>
      <c r="X5" s="84"/>
      <c r="Y5" s="80"/>
      <c r="Z5" s="80"/>
      <c r="AA5" s="80"/>
      <c r="AB5" s="80"/>
      <c r="AC5" s="81"/>
      <c r="AD5" s="82"/>
      <c r="AE5" s="83"/>
      <c r="AF5" s="84"/>
      <c r="AG5" s="80"/>
      <c r="AH5" s="80"/>
      <c r="AI5" s="80"/>
      <c r="AJ5" s="80"/>
      <c r="AK5" s="81"/>
      <c r="AL5" s="82"/>
      <c r="AM5" s="83"/>
    </row>
    <row r="6" spans="1:40" hidden="1" x14ac:dyDescent="0.25">
      <c r="A6" t="s">
        <v>4</v>
      </c>
      <c r="G6" s="13"/>
      <c r="H6" s="26"/>
      <c r="I6" s="26"/>
      <c r="J6" s="26"/>
      <c r="K6" s="26"/>
      <c r="L6" s="26"/>
      <c r="M6" s="27"/>
      <c r="N6" s="85"/>
      <c r="O6" s="86"/>
      <c r="P6" s="28"/>
      <c r="Q6" s="26"/>
      <c r="R6" s="26"/>
      <c r="S6" s="26"/>
      <c r="T6" s="26"/>
      <c r="U6" s="27"/>
      <c r="V6" s="85"/>
      <c r="W6" s="86"/>
      <c r="X6" s="28"/>
      <c r="Y6" s="26"/>
      <c r="Z6" s="26"/>
      <c r="AA6" s="26"/>
      <c r="AB6" s="26"/>
      <c r="AC6" s="27"/>
      <c r="AD6" s="85"/>
      <c r="AE6" s="86"/>
      <c r="AF6" s="28"/>
      <c r="AG6" s="26"/>
      <c r="AH6" s="26"/>
      <c r="AI6" s="26"/>
      <c r="AJ6" s="26"/>
      <c r="AK6" s="27"/>
      <c r="AL6" s="85"/>
      <c r="AM6" s="86"/>
    </row>
    <row r="7" spans="1:40" hidden="1" x14ac:dyDescent="0.25">
      <c r="A7" t="s">
        <v>5</v>
      </c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</row>
    <row r="8" spans="1:40" hidden="1" x14ac:dyDescent="0.25">
      <c r="A8" t="s">
        <v>7</v>
      </c>
    </row>
    <row r="9" spans="1:40" hidden="1" x14ac:dyDescent="0.25"/>
    <row r="10" spans="1:40" hidden="1" x14ac:dyDescent="0.25"/>
    <row r="11" spans="1:40" hidden="1" x14ac:dyDescent="0.25"/>
    <row r="12" spans="1:40" hidden="1" x14ac:dyDescent="0.25"/>
    <row r="13" spans="1:40" hidden="1" x14ac:dyDescent="0.25"/>
    <row r="14" spans="1:40" hidden="1" x14ac:dyDescent="0.25"/>
    <row r="15" spans="1:40" hidden="1" x14ac:dyDescent="0.25">
      <c r="G15" t="str">
        <f ca="1">_xll.TM1RPTVIEW("CXMD:OTC_DATA_MARKET_ANALYSIS:ARPT1", 1, _xll.TM1RPTTITLE("CXMD:Currency",$H$21), _xll.TM1RPTTITLE("CXMD:DIM_Prev_IC_mapping",$H$22), _xll.TM1RPTTITLE("CXMD:DIM_Origin_Company",$H$24), _xll.TM1RPTTITLE("CXMD:DIM_Country",$H$25),TM1RPTFMTRNG,TM1RPTFMTIDCOL)</f>
        <v>CXMD:OTC_DATA_MARKET_ANALYSIS:ARPT1</v>
      </c>
    </row>
    <row r="16" spans="1:40" s="29" customFormat="1" x14ac:dyDescent="0.25">
      <c r="AN16" s="5"/>
    </row>
    <row r="17" spans="1:40" s="29" customFormat="1" x14ac:dyDescent="0.25">
      <c r="AN17" s="5"/>
    </row>
    <row r="18" spans="1:40" s="29" customFormat="1" x14ac:dyDescent="0.25">
      <c r="AN18" s="5"/>
    </row>
    <row r="19" spans="1:40" s="29" customFormat="1" x14ac:dyDescent="0.25">
      <c r="AN19" s="5"/>
    </row>
    <row r="20" spans="1:40" s="29" customFormat="1" x14ac:dyDescent="0.25">
      <c r="AN20" s="5"/>
    </row>
    <row r="21" spans="1:40" s="1" customFormat="1" hidden="1" x14ac:dyDescent="0.25">
      <c r="G21" s="3" t="s">
        <v>0</v>
      </c>
      <c r="H21" s="1" t="str">
        <f ca="1">_xll.SUBNM("CXMD:Currency","Par défaut","CD_LC","Description EN")</f>
        <v>Local currency</v>
      </c>
      <c r="AN21" s="5"/>
    </row>
    <row r="22" spans="1:40" s="1" customFormat="1" hidden="1" x14ac:dyDescent="0.25">
      <c r="G22" s="3" t="s">
        <v>8</v>
      </c>
      <c r="H22" s="1" t="str">
        <f ca="1">_xll.SUBNM("CXMD:DIM_Prev_IC_mapping","","Others")</f>
        <v>Others</v>
      </c>
      <c r="AN22" s="5"/>
    </row>
    <row r="23" spans="1:40" s="1" customFormat="1" ht="25.9" customHeight="1" x14ac:dyDescent="0.4">
      <c r="G23" s="87" t="s">
        <v>15</v>
      </c>
      <c r="AN23" s="5"/>
    </row>
    <row r="24" spans="1:40" s="1" customFormat="1" x14ac:dyDescent="0.25">
      <c r="G24" s="3" t="s">
        <v>1</v>
      </c>
      <c r="H24" s="4" t="str">
        <f ca="1">'SOM Summary_Kuhn Scope'!C20</f>
        <v>KUHN GERMANY</v>
      </c>
      <c r="AN24" s="5"/>
    </row>
    <row r="25" spans="1:40" s="1" customFormat="1" x14ac:dyDescent="0.25">
      <c r="G25" s="3" t="s">
        <v>10</v>
      </c>
      <c r="H25" s="4" t="str">
        <f ca="1">'SOM Summary_Kuhn Scope'!C21</f>
        <v>GERMANY</v>
      </c>
      <c r="AN25" s="5"/>
    </row>
    <row r="26" spans="1:40" s="1" customFormat="1" x14ac:dyDescent="0.25">
      <c r="AN26" s="5"/>
    </row>
    <row r="27" spans="1:40" s="1" customFormat="1" ht="15.75" thickBot="1" x14ac:dyDescent="0.3">
      <c r="AN27" s="5"/>
    </row>
    <row r="28" spans="1:40" s="33" customFormat="1" ht="28.9" customHeight="1" x14ac:dyDescent="0.25">
      <c r="G28" s="88"/>
      <c r="H28" s="120" t="str">
        <f ca="1">'SOM Summary_Kuhn Scope'!C24</f>
        <v>AC2020</v>
      </c>
      <c r="I28" s="121"/>
      <c r="J28" s="121"/>
      <c r="K28" s="121"/>
      <c r="L28" s="121"/>
      <c r="M28" s="122"/>
      <c r="N28" s="123" t="s">
        <v>16</v>
      </c>
      <c r="O28" s="124"/>
      <c r="P28" s="120" t="str">
        <f ca="1">'SOM Summary_Kuhn Scope'!K24</f>
        <v>AC2021</v>
      </c>
      <c r="Q28" s="121"/>
      <c r="R28" s="121"/>
      <c r="S28" s="121"/>
      <c r="T28" s="121"/>
      <c r="U28" s="122"/>
      <c r="V28" s="123" t="s">
        <v>16</v>
      </c>
      <c r="W28" s="124"/>
      <c r="X28" s="120" t="str">
        <f ca="1">'SOM Summary_Kuhn Scope'!S24</f>
        <v>FC3_2022</v>
      </c>
      <c r="Y28" s="121"/>
      <c r="Z28" s="121"/>
      <c r="AA28" s="121"/>
      <c r="AB28" s="121"/>
      <c r="AC28" s="122"/>
      <c r="AD28" s="123" t="s">
        <v>16</v>
      </c>
      <c r="AE28" s="124"/>
      <c r="AF28" s="120" t="str">
        <f ca="1">'SOM Summary_Kuhn Scope'!AD24</f>
        <v>BU2023draft</v>
      </c>
      <c r="AG28" s="121"/>
      <c r="AH28" s="121"/>
      <c r="AI28" s="121"/>
      <c r="AJ28" s="121"/>
      <c r="AK28" s="122"/>
      <c r="AL28" s="123" t="s">
        <v>16</v>
      </c>
      <c r="AM28" s="124"/>
      <c r="AN28" s="89"/>
    </row>
    <row r="29" spans="1:40" x14ac:dyDescent="0.25">
      <c r="G29" s="1"/>
      <c r="H29" s="127" t="s">
        <v>12</v>
      </c>
      <c r="I29" s="125"/>
      <c r="J29" s="125"/>
      <c r="K29" s="125" t="s">
        <v>13</v>
      </c>
      <c r="L29" s="125"/>
      <c r="M29" s="125"/>
      <c r="N29" s="125"/>
      <c r="O29" s="126"/>
      <c r="P29" s="128" t="s">
        <v>12</v>
      </c>
      <c r="Q29" s="129"/>
      <c r="R29" s="129"/>
      <c r="S29" s="129" t="s">
        <v>13</v>
      </c>
      <c r="T29" s="129"/>
      <c r="U29" s="129"/>
      <c r="V29" s="125"/>
      <c r="W29" s="126"/>
      <c r="X29" s="128" t="s">
        <v>12</v>
      </c>
      <c r="Y29" s="129"/>
      <c r="Z29" s="129"/>
      <c r="AA29" s="129" t="s">
        <v>13</v>
      </c>
      <c r="AB29" s="129"/>
      <c r="AC29" s="129"/>
      <c r="AD29" s="125"/>
      <c r="AE29" s="126"/>
      <c r="AF29" s="128" t="s">
        <v>12</v>
      </c>
      <c r="AG29" s="129"/>
      <c r="AH29" s="129"/>
      <c r="AI29" s="129" t="s">
        <v>13</v>
      </c>
      <c r="AJ29" s="129"/>
      <c r="AK29" s="129"/>
      <c r="AL29" s="125"/>
      <c r="AM29" s="126"/>
    </row>
    <row r="30" spans="1:40" ht="15.75" thickBot="1" x14ac:dyDescent="0.3">
      <c r="G30" s="1"/>
      <c r="H30" s="34" t="s">
        <v>2</v>
      </c>
      <c r="I30" s="35" t="s">
        <v>14</v>
      </c>
      <c r="J30" s="35" t="s">
        <v>3</v>
      </c>
      <c r="K30" s="35" t="s">
        <v>2</v>
      </c>
      <c r="L30" s="35" t="s">
        <v>14</v>
      </c>
      <c r="M30" s="35" t="s">
        <v>3</v>
      </c>
      <c r="N30" s="35" t="s">
        <v>2</v>
      </c>
      <c r="O30" s="90" t="s">
        <v>3</v>
      </c>
      <c r="P30" s="34" t="s">
        <v>2</v>
      </c>
      <c r="Q30" s="35" t="s">
        <v>14</v>
      </c>
      <c r="R30" s="35" t="s">
        <v>3</v>
      </c>
      <c r="S30" s="35" t="s">
        <v>2</v>
      </c>
      <c r="T30" s="35" t="s">
        <v>14</v>
      </c>
      <c r="U30" s="35" t="s">
        <v>3</v>
      </c>
      <c r="V30" s="35" t="s">
        <v>2</v>
      </c>
      <c r="W30" s="90" t="s">
        <v>3</v>
      </c>
      <c r="X30" s="34" t="s">
        <v>2</v>
      </c>
      <c r="Y30" s="35" t="s">
        <v>14</v>
      </c>
      <c r="Z30" s="35" t="s">
        <v>3</v>
      </c>
      <c r="AA30" s="35" t="s">
        <v>2</v>
      </c>
      <c r="AB30" s="35" t="s">
        <v>14</v>
      </c>
      <c r="AC30" s="35" t="s">
        <v>3</v>
      </c>
      <c r="AD30" s="35" t="s">
        <v>2</v>
      </c>
      <c r="AE30" s="90" t="s">
        <v>3</v>
      </c>
      <c r="AF30" s="34" t="s">
        <v>2</v>
      </c>
      <c r="AG30" s="35" t="s">
        <v>14</v>
      </c>
      <c r="AH30" s="35" t="s">
        <v>3</v>
      </c>
      <c r="AI30" s="35" t="s">
        <v>2</v>
      </c>
      <c r="AJ30" s="35" t="s">
        <v>14</v>
      </c>
      <c r="AK30" s="35" t="s">
        <v>3</v>
      </c>
      <c r="AL30" s="35" t="s">
        <v>2</v>
      </c>
      <c r="AM30" s="90" t="s">
        <v>3</v>
      </c>
    </row>
    <row r="31" spans="1:40" x14ac:dyDescent="0.25">
      <c r="A31" t="str">
        <f ca="1">IF(_xll.TM1RPTELISCONSOLIDATED($G$31,$G31),IF(_xll.TM1RPTELLEV($G$31,$G31)&lt;=3,_xll.TM1RPTELLEV($G$31,$G31),"D"),"N")</f>
        <v>N</v>
      </c>
      <c r="G31" s="91" t="str">
        <f ca="1">_xll.TM1RPTROW($G$15,"CXMD:DIM_Configuration","Par défaut","TOTAL PRODUCT","Description EN",0)</f>
        <v/>
      </c>
      <c r="H31" s="17" t="str">
        <f ca="1">_xll.DBRW($G$15,$H$21,$H$22,H$29,H$28,$H$24,$H$25,$G31,H$30)</f>
        <v/>
      </c>
      <c r="I31" s="17" t="str">
        <f ca="1">_xll.DBRW($G$15,$H$21,$H$22,H$29,H$28,$H$24,$H$25,$G31,I$30)</f>
        <v/>
      </c>
      <c r="J31" s="17" t="str">
        <f ca="1">_xll.DBRW($G$15,$H$21,$H$22,H$29,H$28,$H$24,$H$25,$G31,J$30)</f>
        <v/>
      </c>
      <c r="K31" s="17" t="str">
        <f ca="1">_xll.DBRW($G$15,$H$21,$H$22,K$29,H$28,$H$24,$H$25,$G31,K$30)</f>
        <v/>
      </c>
      <c r="L31" s="17" t="str">
        <f ca="1">_xll.DBRW($G$15,$H$21,$H$22,K$29,H$28,$H$24,$H$25,$G31,L$30)</f>
        <v/>
      </c>
      <c r="M31" s="18" t="str">
        <f ca="1">_xll.DBRW($G$15,$H$21,$H$22,K$29,H$28,$H$24,$H$25,$G31,M$30)</f>
        <v/>
      </c>
      <c r="N31" s="74" t="e">
        <f t="shared" ref="N31" ca="1" si="0">IF(K31&lt;&gt;0,H31/K31,0)</f>
        <v>#VALUE!</v>
      </c>
      <c r="O31" s="75" t="e">
        <f t="shared" ref="O31" ca="1" si="1">IF(M31&lt;&gt;0,J31/M31,0)</f>
        <v>#VALUE!</v>
      </c>
      <c r="P31" s="19" t="str">
        <f ca="1">_xll.DBRW($G$15,$H$21,$H$22,P$29,P$28,$H$24,$H$25,$G31,P$30)</f>
        <v/>
      </c>
      <c r="Q31" s="17" t="str">
        <f ca="1">_xll.DBRW($G$15,$H$21,$H$22,P$29,P$28,$H$24,$H$25,$G31,Q$30)</f>
        <v/>
      </c>
      <c r="R31" s="17" t="str">
        <f ca="1">_xll.DBRW($G$15,$H$21,$H$22,P$29,P$28,$H$24,$H$25,$G31,R$30)</f>
        <v/>
      </c>
      <c r="S31" s="17" t="str">
        <f ca="1">_xll.DBRW($G$15,$H$21,$H$22,S$29,P$28,$H$24,$H$25,$G31,S$30)</f>
        <v/>
      </c>
      <c r="T31" s="17" t="str">
        <f ca="1">_xll.DBRW($G$15,$H$21,$H$22,S$29,P$28,$H$24,$H$25,$G31,T$30)</f>
        <v/>
      </c>
      <c r="U31" s="18" t="str">
        <f ca="1">_xll.DBRW($G$15,$H$21,$H$22,S$29,P$28,$H$24,$H$25,$G31,U$30)</f>
        <v/>
      </c>
      <c r="V31" s="74" t="e">
        <f t="shared" ref="V31" ca="1" si="2">IF(S31&lt;&gt;0,P31/S31,0)</f>
        <v>#VALUE!</v>
      </c>
      <c r="W31" s="75" t="e">
        <f t="shared" ref="W31" ca="1" si="3">IF(U31&lt;&gt;0,R31/U31,0)</f>
        <v>#VALUE!</v>
      </c>
      <c r="X31" s="19" t="str">
        <f ca="1">_xll.DBRW($G$15,$H$21,$H$22,X$29,X$28,$H$24,$H$25,$G31,X$30)</f>
        <v/>
      </c>
      <c r="Y31" s="17" t="str">
        <f ca="1">_xll.DBRW($G$15,$H$21,$H$22,X$29,X$28,$H$24,$H$25,$G31,Y$30)</f>
        <v/>
      </c>
      <c r="Z31" s="17" t="str">
        <f ca="1">_xll.DBRW($G$15,$H$21,$H$22,X$29,X$28,$H$24,$H$25,$G31,Z$30)</f>
        <v/>
      </c>
      <c r="AA31" s="17" t="str">
        <f ca="1">_xll.DBRW($G$15,$H$21,$H$22,AA$29,X$28,$H$24,$H$25,$G31,AA$30)</f>
        <v/>
      </c>
      <c r="AB31" s="17" t="str">
        <f ca="1">_xll.DBRW($G$15,$H$21,$H$22,AA$29,X$28,$H$24,$H$25,$G31,AB$30)</f>
        <v/>
      </c>
      <c r="AC31" s="18" t="str">
        <f ca="1">_xll.DBRW($G$15,$H$21,$H$22,AA$29,X$28,$H$24,$H$25,$G31,AC$30)</f>
        <v/>
      </c>
      <c r="AD31" s="74" t="e">
        <f t="shared" ref="AD31" ca="1" si="4">IF(AA31&lt;&gt;0,X31/AA31,0)</f>
        <v>#VALUE!</v>
      </c>
      <c r="AE31" s="75" t="e">
        <f t="shared" ref="AE31" ca="1" si="5">IF(AC31&lt;&gt;0,Z31/AC31,0)</f>
        <v>#VALUE!</v>
      </c>
      <c r="AF31" s="19" t="str">
        <f ca="1">_xll.DBRW($G$15,$H$21,$H$22,AF$29,AF$28,$H$24,$H$25,$G31,AF$30)</f>
        <v/>
      </c>
      <c r="AG31" s="17" t="str">
        <f ca="1">_xll.DBRW($G$15,$H$21,$H$22,AF$29,AF$28,$H$24,$H$25,$G31,AG$30)</f>
        <v/>
      </c>
      <c r="AH31" s="17" t="str">
        <f ca="1">_xll.DBRW($G$15,$H$21,$H$22,AF$29,AF$28,$H$24,$H$25,$G31,AH$30)</f>
        <v/>
      </c>
      <c r="AI31" s="17" t="str">
        <f ca="1">_xll.DBRW($G$15,$H$21,$H$22,AI$29,AF$28,$H$24,$H$25,$G31,AI$30)</f>
        <v/>
      </c>
      <c r="AJ31" s="17" t="str">
        <f ca="1">_xll.DBRW($G$15,$H$21,$H$22,AI$29,AF$28,$H$24,$H$25,$G31,AJ$30)</f>
        <v/>
      </c>
      <c r="AK31" s="18" t="str">
        <f ca="1">_xll.DBRW($G$15,$H$21,$H$22,AI$29,AF$28,$H$24,$H$25,$G31,AK$30)</f>
        <v/>
      </c>
      <c r="AL31" s="74" t="e">
        <f t="shared" ref="AL31" ca="1" si="6">IF(AI31&lt;&gt;0,AF31/AI31,0)</f>
        <v>#VALUE!</v>
      </c>
      <c r="AM31" s="75" t="e">
        <f t="shared" ref="AM31" ca="1" si="7">IF(AK31&lt;&gt;0,AH31/AK31,0)</f>
        <v>#VALUE!</v>
      </c>
    </row>
    <row r="32" spans="1:40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</sheetData>
  <mergeCells count="16">
    <mergeCell ref="AF28:AK28"/>
    <mergeCell ref="AL28:AM29"/>
    <mergeCell ref="H29:J29"/>
    <mergeCell ref="K29:M29"/>
    <mergeCell ref="P29:R29"/>
    <mergeCell ref="S29:U29"/>
    <mergeCell ref="X29:Z29"/>
    <mergeCell ref="AA29:AC29"/>
    <mergeCell ref="AF29:AH29"/>
    <mergeCell ref="AI29:AK29"/>
    <mergeCell ref="H28:M28"/>
    <mergeCell ref="N28:O29"/>
    <mergeCell ref="P28:U28"/>
    <mergeCell ref="V28:W29"/>
    <mergeCell ref="X28:AC28"/>
    <mergeCell ref="AD28:AE29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41" r:id="rId3" name="TIButton1">
          <controlPr defaultSize="0" print="0" autoLine="0" autoPict="0" r:id="rId4">
            <anchor moveWithCells="1">
              <from>
                <xdr:col>13</xdr:col>
                <xdr:colOff>0</xdr:colOff>
                <xdr:row>23</xdr:row>
                <xdr:rowOff>0</xdr:rowOff>
              </from>
              <to>
                <xdr:col>14</xdr:col>
                <xdr:colOff>152400</xdr:colOff>
                <xdr:row>25</xdr:row>
                <xdr:rowOff>0</xdr:rowOff>
              </to>
            </anchor>
          </controlPr>
        </control>
      </mc:Choice>
      <mc:Fallback>
        <control shapeId="10241" r:id="rId3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L180"/>
  <sheetViews>
    <sheetView topLeftCell="B10" workbookViewId="0">
      <pane xSplit="1" ySplit="15" topLeftCell="C25" activePane="bottomRight" state="frozen"/>
      <selection activeCell="B10" sqref="B10"/>
      <selection pane="topRight" activeCell="C10" sqref="C10"/>
      <selection pane="bottomLeft" activeCell="B25" sqref="B25"/>
      <selection pane="bottomRight" activeCell="C18" sqref="C18"/>
    </sheetView>
  </sheetViews>
  <sheetFormatPr defaultRowHeight="15" x14ac:dyDescent="0.25"/>
  <cols>
    <col min="1" max="1" width="20.28515625" hidden="1" customWidth="1"/>
    <col min="2" max="2" width="44.5703125" bestFit="1" customWidth="1"/>
    <col min="3" max="3" width="23.85546875" bestFit="1" customWidth="1"/>
    <col min="4" max="4" width="13.7109375" bestFit="1" customWidth="1"/>
    <col min="5" max="5" width="14" bestFit="1" customWidth="1"/>
    <col min="6" max="8" width="13.5703125" bestFit="1" customWidth="1"/>
    <col min="9" max="11" width="14.42578125" bestFit="1" customWidth="1"/>
    <col min="12" max="12" width="11.7109375" bestFit="1" customWidth="1"/>
    <col min="13" max="13" width="13.140625" bestFit="1" customWidth="1"/>
    <col min="14" max="14" width="14" bestFit="1" customWidth="1"/>
    <col min="15" max="17" width="13.5703125" bestFit="1" customWidth="1"/>
    <col min="18" max="20" width="14.42578125" bestFit="1" customWidth="1"/>
    <col min="21" max="21" width="11.7109375" bestFit="1" customWidth="1"/>
    <col min="22" max="22" width="13.7109375" bestFit="1" customWidth="1"/>
    <col min="23" max="23" width="14" bestFit="1" customWidth="1"/>
    <col min="24" max="26" width="13.5703125" bestFit="1" customWidth="1"/>
    <col min="27" max="29" width="14.42578125" bestFit="1" customWidth="1"/>
    <col min="30" max="32" width="11.85546875" bestFit="1" customWidth="1"/>
    <col min="33" max="35" width="13.5703125" bestFit="1" customWidth="1"/>
    <col min="36" max="38" width="14.42578125" bestFit="1" customWidth="1"/>
  </cols>
  <sheetData>
    <row r="1" spans="1:38" hidden="1" x14ac:dyDescent="0.25">
      <c r="A1" t="s">
        <v>6</v>
      </c>
    </row>
    <row r="2" spans="1:38" hidden="1" x14ac:dyDescent="0.25">
      <c r="A2">
        <f>0</f>
        <v>0</v>
      </c>
      <c r="B2" s="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</row>
    <row r="3" spans="1:38" hidden="1" x14ac:dyDescent="0.25">
      <c r="A3">
        <f>1</f>
        <v>1</v>
      </c>
      <c r="B3" s="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 hidden="1" x14ac:dyDescent="0.25">
      <c r="A4">
        <f>2</f>
        <v>2</v>
      </c>
      <c r="B4" s="98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</row>
    <row r="5" spans="1:38" hidden="1" x14ac:dyDescent="0.25">
      <c r="A5">
        <f>3</f>
        <v>3</v>
      </c>
      <c r="B5" s="11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</row>
    <row r="6" spans="1:38" hidden="1" x14ac:dyDescent="0.25">
      <c r="A6" t="s">
        <v>4</v>
      </c>
      <c r="B6" s="101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</row>
    <row r="7" spans="1:38" hidden="1" x14ac:dyDescent="0.25">
      <c r="A7" t="s">
        <v>5</v>
      </c>
      <c r="B7" s="103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</row>
    <row r="8" spans="1:38" hidden="1" x14ac:dyDescent="0.25">
      <c r="A8" t="s">
        <v>7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</row>
    <row r="9" spans="1:38" hidden="1" x14ac:dyDescent="0.25">
      <c r="B9" t="str">
        <f ca="1">_xll.TM1RPTVIEW("CXMD:OTC_DATA_MARKET_ANALYSIS:ARPT1", 0, _xll.TM1RPTTITLE("CXMD:Currency",$C$16), _xll.TM1RPTTITLE("CXMD:DIM_Prev_IC_mapping",$C$17), _xll.TM1RPTTITLE("CXMD:DIM_Origin_Company",$C$18), _xll.TM1RPTTITLE("CXMD:DIM_Country",$C$19),TM1RPTFMTRNG,TM1RPTFMTIDCOL)</f>
        <v>CXMD:OTC_DATA_MARKET_ANALYSIS:ARPT1</v>
      </c>
    </row>
    <row r="10" spans="1:38" x14ac:dyDescent="0.25"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</row>
    <row r="11" spans="1:38" x14ac:dyDescent="0.25"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</row>
    <row r="12" spans="1:38" x14ac:dyDescent="0.25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</row>
    <row r="13" spans="1:38" x14ac:dyDescent="0.25"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</row>
    <row r="14" spans="1:38" x14ac:dyDescent="0.25"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</row>
    <row r="15" spans="1:38" ht="26.25" x14ac:dyDescent="0.4">
      <c r="B15" s="87" t="s">
        <v>15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</row>
    <row r="16" spans="1:38" hidden="1" x14ac:dyDescent="0.25">
      <c r="B16" s="94" t="s">
        <v>0</v>
      </c>
      <c r="C16" s="95" t="str">
        <f ca="1">_xll.SUBNM("CXMD:Currency","Par défaut","CD_LC","Description EN")</f>
        <v>Local currency</v>
      </c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</row>
    <row r="17" spans="1:38" hidden="1" x14ac:dyDescent="0.25">
      <c r="B17" s="94" t="s">
        <v>8</v>
      </c>
      <c r="C17" s="95" t="str">
        <f ca="1">_xll.SUBNM("CXMD:DIM_Prev_IC_mapping","Par défaut","Total_Customer_Supplier")</f>
        <v>Total_Customer_Supplier</v>
      </c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</row>
    <row r="18" spans="1:38" x14ac:dyDescent="0.25">
      <c r="B18" s="94" t="s">
        <v>1</v>
      </c>
      <c r="C18" s="95" t="str">
        <f ca="1">'SOM Summary_Kuhn Scope'!C20</f>
        <v>KUHN GERMANY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</row>
    <row r="19" spans="1:38" x14ac:dyDescent="0.25">
      <c r="B19" s="94" t="s">
        <v>10</v>
      </c>
      <c r="C19" s="95" t="str">
        <f ca="1">'SOM Summary_Kuhn Scope'!C21</f>
        <v>GERMANY</v>
      </c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</row>
    <row r="20" spans="1:38" x14ac:dyDescent="0.25"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</row>
    <row r="21" spans="1:38" x14ac:dyDescent="0.25"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</row>
    <row r="22" spans="1:38" x14ac:dyDescent="0.25">
      <c r="B22" s="93"/>
      <c r="C22" s="130" t="str">
        <f ca="1">'SOM Summary_Kuhn Scope'!C24</f>
        <v>AC2020</v>
      </c>
      <c r="D22" s="130"/>
      <c r="E22" s="130"/>
      <c r="F22" s="130"/>
      <c r="G22" s="130"/>
      <c r="H22" s="130"/>
      <c r="I22" s="130"/>
      <c r="J22" s="130"/>
      <c r="K22" s="130"/>
      <c r="L22" s="130" t="str">
        <f ca="1">'SOM Summary_Kuhn Scope'!K24</f>
        <v>AC2021</v>
      </c>
      <c r="M22" s="130"/>
      <c r="N22" s="130"/>
      <c r="O22" s="130"/>
      <c r="P22" s="130"/>
      <c r="Q22" s="130"/>
      <c r="R22" s="130"/>
      <c r="S22" s="130"/>
      <c r="T22" s="130"/>
      <c r="U22" s="130" t="str">
        <f ca="1">'SOM Summary_Kuhn Scope'!S24</f>
        <v>FC3_2022</v>
      </c>
      <c r="V22" s="130"/>
      <c r="W22" s="130"/>
      <c r="X22" s="130"/>
      <c r="Y22" s="130"/>
      <c r="Z22" s="130"/>
      <c r="AA22" s="130"/>
      <c r="AB22" s="130"/>
      <c r="AC22" s="130"/>
      <c r="AD22" s="130" t="str">
        <f ca="1">'SOM Summary_Kuhn Scope'!AD24</f>
        <v>BU2023draft</v>
      </c>
      <c r="AE22" s="130"/>
      <c r="AF22" s="130"/>
      <c r="AG22" s="130"/>
      <c r="AH22" s="130"/>
      <c r="AI22" s="130"/>
      <c r="AJ22" s="130"/>
      <c r="AK22" s="130"/>
      <c r="AL22" s="130"/>
    </row>
    <row r="23" spans="1:38" x14ac:dyDescent="0.25">
      <c r="B23" s="93"/>
      <c r="C23" s="130" t="s">
        <v>17</v>
      </c>
      <c r="D23" s="130"/>
      <c r="E23" s="130"/>
      <c r="F23" s="130" t="s">
        <v>18</v>
      </c>
      <c r="G23" s="130"/>
      <c r="H23" s="130"/>
      <c r="I23" s="130" t="s">
        <v>19</v>
      </c>
      <c r="J23" s="130"/>
      <c r="K23" s="130"/>
      <c r="L23" s="130" t="s">
        <v>17</v>
      </c>
      <c r="M23" s="130"/>
      <c r="N23" s="130"/>
      <c r="O23" s="130" t="s">
        <v>18</v>
      </c>
      <c r="P23" s="130"/>
      <c r="Q23" s="130"/>
      <c r="R23" s="130" t="s">
        <v>19</v>
      </c>
      <c r="S23" s="130"/>
      <c r="T23" s="130"/>
      <c r="U23" s="130" t="s">
        <v>17</v>
      </c>
      <c r="V23" s="130"/>
      <c r="W23" s="130"/>
      <c r="X23" s="130" t="s">
        <v>18</v>
      </c>
      <c r="Y23" s="130"/>
      <c r="Z23" s="130"/>
      <c r="AA23" s="130" t="s">
        <v>19</v>
      </c>
      <c r="AB23" s="130"/>
      <c r="AC23" s="130"/>
      <c r="AD23" s="130" t="s">
        <v>17</v>
      </c>
      <c r="AE23" s="130"/>
      <c r="AF23" s="130"/>
      <c r="AG23" s="130" t="s">
        <v>18</v>
      </c>
      <c r="AH23" s="130"/>
      <c r="AI23" s="130"/>
      <c r="AJ23" s="130" t="s">
        <v>19</v>
      </c>
      <c r="AK23" s="130"/>
      <c r="AL23" s="130"/>
    </row>
    <row r="24" spans="1:38" x14ac:dyDescent="0.25">
      <c r="B24" s="93"/>
      <c r="C24" s="92" t="s">
        <v>2</v>
      </c>
      <c r="D24" s="92" t="s">
        <v>14</v>
      </c>
      <c r="E24" s="92" t="s">
        <v>3</v>
      </c>
      <c r="F24" s="92" t="s">
        <v>2</v>
      </c>
      <c r="G24" s="92" t="s">
        <v>14</v>
      </c>
      <c r="H24" s="92" t="s">
        <v>3</v>
      </c>
      <c r="I24" s="92" t="s">
        <v>2</v>
      </c>
      <c r="J24" s="92" t="s">
        <v>14</v>
      </c>
      <c r="K24" s="92" t="s">
        <v>3</v>
      </c>
      <c r="L24" s="92" t="s">
        <v>2</v>
      </c>
      <c r="M24" s="92" t="s">
        <v>14</v>
      </c>
      <c r="N24" s="92" t="s">
        <v>3</v>
      </c>
      <c r="O24" s="92" t="s">
        <v>2</v>
      </c>
      <c r="P24" s="92" t="s">
        <v>14</v>
      </c>
      <c r="Q24" s="92" t="s">
        <v>3</v>
      </c>
      <c r="R24" s="92" t="s">
        <v>2</v>
      </c>
      <c r="S24" s="92" t="s">
        <v>14</v>
      </c>
      <c r="T24" s="92" t="s">
        <v>3</v>
      </c>
      <c r="U24" s="92" t="s">
        <v>2</v>
      </c>
      <c r="V24" s="92" t="s">
        <v>14</v>
      </c>
      <c r="W24" s="92" t="s">
        <v>3</v>
      </c>
      <c r="X24" s="92" t="s">
        <v>2</v>
      </c>
      <c r="Y24" s="92" t="s">
        <v>14</v>
      </c>
      <c r="Z24" s="92" t="s">
        <v>3</v>
      </c>
      <c r="AA24" s="92" t="s">
        <v>2</v>
      </c>
      <c r="AB24" s="92" t="s">
        <v>14</v>
      </c>
      <c r="AC24" s="92" t="s">
        <v>3</v>
      </c>
      <c r="AD24" s="92" t="s">
        <v>2</v>
      </c>
      <c r="AE24" s="92" t="s">
        <v>14</v>
      </c>
      <c r="AF24" s="92" t="s">
        <v>3</v>
      </c>
      <c r="AG24" s="92" t="s">
        <v>2</v>
      </c>
      <c r="AH24" s="92" t="s">
        <v>14</v>
      </c>
      <c r="AI24" s="92" t="s">
        <v>3</v>
      </c>
      <c r="AJ24" s="92" t="s">
        <v>2</v>
      </c>
      <c r="AK24" s="92" t="s">
        <v>14</v>
      </c>
      <c r="AL24" s="92" t="s">
        <v>3</v>
      </c>
    </row>
    <row r="25" spans="1:38" x14ac:dyDescent="0.25">
      <c r="A25">
        <f ca="1">IF(_xll.TM1RPTELISCONSOLIDATED($B$25,$B25),IF(_xll.TM1RPTELLEV($B$25,$B25)&lt;=3,_xll.TM1RPTELLEV($B$25,$B25),"D"),"N")</f>
        <v>0</v>
      </c>
      <c r="B25" s="91" t="str">
        <f ca="1">_xll.TM1RPTROW($B$9,"CXMD:DIM_Configuration","OTC_MARKET_ANALYSIS","","Description EN",0)</f>
        <v>TOTAL PRODUCT</v>
      </c>
      <c r="C25" s="96">
        <f ca="1">_xll.DBRW($B$9,$C$16,$C$17,C$23,C$22,$C$18,$C$19,$B25,C$24)</f>
        <v>0</v>
      </c>
      <c r="D25" s="96">
        <f ca="1">_xll.DBRW($B$9,$C$16,$C$17,C$23,C$22,$C$18,$C$19,$B25,D$24)</f>
        <v>0</v>
      </c>
      <c r="E25" s="96">
        <f ca="1">_xll.DBRW($B$9,$C$16,$C$17,C$23,C$22,$C$18,$C$19,$B25,E$24)</f>
        <v>0</v>
      </c>
      <c r="F25" s="96">
        <f ca="1">_xll.DBRW($B$9,$C$16,$C$17,F$23,C$22,$C$18,$C$19,$B25,F$24)</f>
        <v>0</v>
      </c>
      <c r="G25" s="96">
        <f ca="1">_xll.DBRW($B$9,$C$16,$C$17,F$23,C$22,$C$18,$C$19,$B25,G$24)</f>
        <v>0</v>
      </c>
      <c r="H25" s="96">
        <f ca="1">_xll.DBRW($B$9,$C$16,$C$17,F$23,C$22,$C$18,$C$19,$B25,H$24)</f>
        <v>0</v>
      </c>
      <c r="I25" s="96">
        <f ca="1">C25+F25</f>
        <v>0</v>
      </c>
      <c r="J25" s="96">
        <f ca="1">IF(I25=0,0,K25/I25)</f>
        <v>0</v>
      </c>
      <c r="K25" s="96">
        <f ca="1">E25+H25</f>
        <v>0</v>
      </c>
      <c r="L25" s="96">
        <f ca="1">_xll.DBRW($B$9,$C$16,$C$17,L$23,L$22,$C$18,$C$19,$B25,L$24)</f>
        <v>0</v>
      </c>
      <c r="M25" s="96">
        <f ca="1">_xll.DBRW($B$9,$C$16,$C$17,L$23,L$22,$C$18,$C$19,$B25,M$24)</f>
        <v>0</v>
      </c>
      <c r="N25" s="96">
        <f ca="1">_xll.DBRW($B$9,$C$16,$C$17,L$23,L$22,$C$18,$C$19,$B25,N$24)</f>
        <v>0</v>
      </c>
      <c r="O25" s="96">
        <f ca="1">_xll.DBRW($B$9,$C$16,$C$17,O$23,L$22,$C$18,$C$19,$B25,O$24)</f>
        <v>0</v>
      </c>
      <c r="P25" s="96">
        <f ca="1">_xll.DBRW($B$9,$C$16,$C$17,O$23,L$22,$C$18,$C$19,$B25,P$24)</f>
        <v>0</v>
      </c>
      <c r="Q25" s="96">
        <f ca="1">_xll.DBRW($B$9,$C$16,$C$17,O$23,L$22,$C$18,$C$19,$B25,Q$24)</f>
        <v>0</v>
      </c>
      <c r="R25" s="96">
        <f ca="1">L25+O25</f>
        <v>0</v>
      </c>
      <c r="S25" s="96">
        <f ca="1">IF(R25=0,0,T25/R25)</f>
        <v>0</v>
      </c>
      <c r="T25" s="96">
        <f ca="1">N25+Q25</f>
        <v>0</v>
      </c>
      <c r="U25" s="96">
        <f ca="1">_xll.DBRW($B$9,$C$16,$C$17,U$23,U$22,$C$18,$C$19,$B25,U$24)</f>
        <v>0</v>
      </c>
      <c r="V25" s="96">
        <f ca="1">_xll.DBRW($B$9,$C$16,$C$17,U$23,U$22,$C$18,$C$19,$B25,V$24)</f>
        <v>0</v>
      </c>
      <c r="W25" s="96">
        <f ca="1">_xll.DBRW($B$9,$C$16,$C$17,U$23,U$22,$C$18,$C$19,$B25,W$24)</f>
        <v>0</v>
      </c>
      <c r="X25" s="96">
        <f ca="1">_xll.DBRW($B$9,$C$16,$C$17,X$23,U$22,$C$18,$C$19,$B25,X$24)</f>
        <v>0</v>
      </c>
      <c r="Y25" s="96">
        <f ca="1">_xll.DBRW($B$9,$C$16,$C$17,X$23,U$22,$C$18,$C$19,$B25,Y$24)</f>
        <v>0</v>
      </c>
      <c r="Z25" s="96">
        <f ca="1">_xll.DBRW($B$9,$C$16,$C$17,X$23,U$22,$C$18,$C$19,$B25,Z$24)</f>
        <v>0</v>
      </c>
      <c r="AA25" s="96">
        <f ca="1">U25+X25</f>
        <v>0</v>
      </c>
      <c r="AB25" s="96">
        <f ca="1">IF(AA25=0,0,AC25/AA25)</f>
        <v>0</v>
      </c>
      <c r="AC25" s="96">
        <f ca="1">Z25+W25</f>
        <v>0</v>
      </c>
      <c r="AD25" s="96">
        <f ca="1">_xll.DBRW($B$9,$C$16,$C$17,AD$23,AD$22,$C$18,$C$19,$B25,AD$24)</f>
        <v>0</v>
      </c>
      <c r="AE25" s="96">
        <f ca="1">_xll.DBRW($B$9,$C$16,$C$17,AD$23,AD$22,$C$18,$C$19,$B25,AE$24)</f>
        <v>0</v>
      </c>
      <c r="AF25" s="96">
        <f ca="1">_xll.DBRW($B$9,$C$16,$C$17,AD$23,AD$22,$C$18,$C$19,$B25,AF$24)</f>
        <v>0</v>
      </c>
      <c r="AG25" s="96">
        <f ca="1">_xll.DBRW($B$9,$C$16,$C$17,AG$23,AD$22,$C$18,$C$19,$B25,AG$24)</f>
        <v>0</v>
      </c>
      <c r="AH25" s="96">
        <f ca="1">_xll.DBRW($B$9,$C$16,$C$17,AG$23,AD$22,$C$18,$C$19,$B25,AH$24)</f>
        <v>0</v>
      </c>
      <c r="AI25" s="96">
        <f ca="1">_xll.DBRW($B$9,$C$16,$C$17,AG$23,AD$22,$C$18,$C$19,$B25,AI$24)</f>
        <v>0</v>
      </c>
      <c r="AJ25" s="96">
        <f ca="1">AG25+AD25</f>
        <v>0</v>
      </c>
      <c r="AK25" s="96">
        <f ca="1">IF(AJ25=0,0,AL25/AJ25)</f>
        <v>0</v>
      </c>
      <c r="AL25" s="96">
        <f ca="1">AI25+AF25</f>
        <v>0</v>
      </c>
    </row>
    <row r="26" spans="1:38" x14ac:dyDescent="0.25">
      <c r="A26">
        <f ca="1">IF(_xll.TM1RPTELISCONSOLIDATED($B$25,$B26),IF(_xll.TM1RPTELLEV($B$25,$B26)&lt;=3,_xll.TM1RPTELLEV($B$25,$B26),"D"),"N")</f>
        <v>1</v>
      </c>
      <c r="B26" s="133" t="s">
        <v>20</v>
      </c>
      <c r="C26" s="97">
        <f ca="1">_xll.DBRW($B$9,$C$16,$C$17,C$23,C$22,$C$18,$C$19,$B26,C$24)</f>
        <v>0</v>
      </c>
      <c r="D26" s="97">
        <f ca="1">_xll.DBRW($B$9,$C$16,$C$17,C$23,C$22,$C$18,$C$19,$B26,D$24)</f>
        <v>0</v>
      </c>
      <c r="E26" s="97">
        <f ca="1">_xll.DBRW($B$9,$C$16,$C$17,C$23,C$22,$C$18,$C$19,$B26,E$24)</f>
        <v>0</v>
      </c>
      <c r="F26" s="97">
        <f ca="1">_xll.DBRW($B$9,$C$16,$C$17,F$23,C$22,$C$18,$C$19,$B26,F$24)</f>
        <v>0</v>
      </c>
      <c r="G26" s="97">
        <f ca="1">_xll.DBRW($B$9,$C$16,$C$17,F$23,C$22,$C$18,$C$19,$B26,G$24)</f>
        <v>0</v>
      </c>
      <c r="H26" s="97">
        <f ca="1">_xll.DBRW($B$9,$C$16,$C$17,F$23,C$22,$C$18,$C$19,$B26,H$24)</f>
        <v>0</v>
      </c>
      <c r="I26" s="97">
        <f t="shared" ref="I26:I89" ca="1" si="0">C26+F26</f>
        <v>0</v>
      </c>
      <c r="J26" s="97">
        <f t="shared" ref="J26:J89" ca="1" si="1">IF(I26=0,0,K26/I26)</f>
        <v>0</v>
      </c>
      <c r="K26" s="97">
        <f t="shared" ref="K26:K89" ca="1" si="2">E26+H26</f>
        <v>0</v>
      </c>
      <c r="L26" s="97">
        <f ca="1">_xll.DBRW($B$9,$C$16,$C$17,L$23,L$22,$C$18,$C$19,$B26,L$24)</f>
        <v>0</v>
      </c>
      <c r="M26" s="97">
        <f ca="1">_xll.DBRW($B$9,$C$16,$C$17,L$23,L$22,$C$18,$C$19,$B26,M$24)</f>
        <v>0</v>
      </c>
      <c r="N26" s="97">
        <f ca="1">_xll.DBRW($B$9,$C$16,$C$17,L$23,L$22,$C$18,$C$19,$B26,N$24)</f>
        <v>0</v>
      </c>
      <c r="O26" s="97">
        <f ca="1">_xll.DBRW($B$9,$C$16,$C$17,O$23,L$22,$C$18,$C$19,$B26,O$24)</f>
        <v>0</v>
      </c>
      <c r="P26" s="97">
        <f ca="1">_xll.DBRW($B$9,$C$16,$C$17,O$23,L$22,$C$18,$C$19,$B26,P$24)</f>
        <v>0</v>
      </c>
      <c r="Q26" s="97">
        <f ca="1">_xll.DBRW($B$9,$C$16,$C$17,O$23,L$22,$C$18,$C$19,$B26,Q$24)</f>
        <v>0</v>
      </c>
      <c r="R26" s="97">
        <f t="shared" ref="R26:R89" ca="1" si="3">L26+O26</f>
        <v>0</v>
      </c>
      <c r="S26" s="97">
        <f t="shared" ref="S26:S89" ca="1" si="4">IF(R26=0,0,T26/R26)</f>
        <v>0</v>
      </c>
      <c r="T26" s="97">
        <f t="shared" ref="T26:T89" ca="1" si="5">N26+Q26</f>
        <v>0</v>
      </c>
      <c r="U26" s="97">
        <f ca="1">_xll.DBRW($B$9,$C$16,$C$17,U$23,U$22,$C$18,$C$19,$B26,U$24)</f>
        <v>0</v>
      </c>
      <c r="V26" s="97">
        <f ca="1">_xll.DBRW($B$9,$C$16,$C$17,U$23,U$22,$C$18,$C$19,$B26,V$24)</f>
        <v>0</v>
      </c>
      <c r="W26" s="97">
        <f ca="1">_xll.DBRW($B$9,$C$16,$C$17,U$23,U$22,$C$18,$C$19,$B26,W$24)</f>
        <v>0</v>
      </c>
      <c r="X26" s="97">
        <f ca="1">_xll.DBRW($B$9,$C$16,$C$17,X$23,U$22,$C$18,$C$19,$B26,X$24)</f>
        <v>0</v>
      </c>
      <c r="Y26" s="97">
        <f ca="1">_xll.DBRW($B$9,$C$16,$C$17,X$23,U$22,$C$18,$C$19,$B26,Y$24)</f>
        <v>0</v>
      </c>
      <c r="Z26" s="97">
        <f ca="1">_xll.DBRW($B$9,$C$16,$C$17,X$23,U$22,$C$18,$C$19,$B26,Z$24)</f>
        <v>0</v>
      </c>
      <c r="AA26" s="97">
        <f t="shared" ref="AA26:AA89" ca="1" si="6">U26+X26</f>
        <v>0</v>
      </c>
      <c r="AB26" s="97">
        <f t="shared" ref="AB26:AB89" ca="1" si="7">IF(AA26=0,0,AC26/AA26)</f>
        <v>0</v>
      </c>
      <c r="AC26" s="97">
        <f t="shared" ref="AC26:AC89" ca="1" si="8">Z26+W26</f>
        <v>0</v>
      </c>
      <c r="AD26" s="97">
        <f ca="1">_xll.DBRW($B$9,$C$16,$C$17,AD$23,AD$22,$C$18,$C$19,$B26,AD$24)</f>
        <v>0</v>
      </c>
      <c r="AE26" s="97">
        <f ca="1">_xll.DBRW($B$9,$C$16,$C$17,AD$23,AD$22,$C$18,$C$19,$B26,AE$24)</f>
        <v>0</v>
      </c>
      <c r="AF26" s="97">
        <f ca="1">_xll.DBRW($B$9,$C$16,$C$17,AD$23,AD$22,$C$18,$C$19,$B26,AF$24)</f>
        <v>0</v>
      </c>
      <c r="AG26" s="97">
        <f ca="1">_xll.DBRW($B$9,$C$16,$C$17,AG$23,AD$22,$C$18,$C$19,$B26,AG$24)</f>
        <v>0</v>
      </c>
      <c r="AH26" s="97">
        <f ca="1">_xll.DBRW($B$9,$C$16,$C$17,AG$23,AD$22,$C$18,$C$19,$B26,AH$24)</f>
        <v>0</v>
      </c>
      <c r="AI26" s="97">
        <f ca="1">_xll.DBRW($B$9,$C$16,$C$17,AG$23,AD$22,$C$18,$C$19,$B26,AI$24)</f>
        <v>0</v>
      </c>
      <c r="AJ26" s="97">
        <f t="shared" ref="AJ26:AJ89" ca="1" si="9">AG26+AD26</f>
        <v>0</v>
      </c>
      <c r="AK26" s="97">
        <f t="shared" ref="AK26:AK89" ca="1" si="10">IF(AJ26=0,0,AL26/AJ26)</f>
        <v>0</v>
      </c>
      <c r="AL26" s="97">
        <f t="shared" ref="AL26:AL89" ca="1" si="11">AI26+AF26</f>
        <v>0</v>
      </c>
    </row>
    <row r="27" spans="1:38" x14ac:dyDescent="0.25">
      <c r="A27">
        <f ca="1">IF(_xll.TM1RPTELISCONSOLIDATED($B$25,$B27),IF(_xll.TM1RPTELLEV($B$25,$B27)&lt;=3,_xll.TM1RPTELLEV($B$25,$B27),"D"),"N")</f>
        <v>2</v>
      </c>
      <c r="B27" s="134" t="s">
        <v>42</v>
      </c>
      <c r="C27" s="99">
        <f ca="1">_xll.DBRW($B$9,$C$16,$C$17,C$23,C$22,$C$18,$C$19,$B27,C$24)</f>
        <v>0</v>
      </c>
      <c r="D27" s="99">
        <f ca="1">_xll.DBRW($B$9,$C$16,$C$17,C$23,C$22,$C$18,$C$19,$B27,D$24)</f>
        <v>0</v>
      </c>
      <c r="E27" s="99">
        <f ca="1">_xll.DBRW($B$9,$C$16,$C$17,C$23,C$22,$C$18,$C$19,$B27,E$24)</f>
        <v>0</v>
      </c>
      <c r="F27" s="99">
        <f ca="1">_xll.DBRW($B$9,$C$16,$C$17,F$23,C$22,$C$18,$C$19,$B27,F$24)</f>
        <v>0</v>
      </c>
      <c r="G27" s="99">
        <f ca="1">_xll.DBRW($B$9,$C$16,$C$17,F$23,C$22,$C$18,$C$19,$B27,G$24)</f>
        <v>0</v>
      </c>
      <c r="H27" s="99">
        <f ca="1">_xll.DBRW($B$9,$C$16,$C$17,F$23,C$22,$C$18,$C$19,$B27,H$24)</f>
        <v>0</v>
      </c>
      <c r="I27" s="99">
        <f t="shared" ca="1" si="0"/>
        <v>0</v>
      </c>
      <c r="J27" s="99">
        <f t="shared" ca="1" si="1"/>
        <v>0</v>
      </c>
      <c r="K27" s="99">
        <f t="shared" ca="1" si="2"/>
        <v>0</v>
      </c>
      <c r="L27" s="99">
        <f ca="1">_xll.DBRW($B$9,$C$16,$C$17,L$23,L$22,$C$18,$C$19,$B27,L$24)</f>
        <v>0</v>
      </c>
      <c r="M27" s="99">
        <f ca="1">_xll.DBRW($B$9,$C$16,$C$17,L$23,L$22,$C$18,$C$19,$B27,M$24)</f>
        <v>0</v>
      </c>
      <c r="N27" s="99">
        <f ca="1">_xll.DBRW($B$9,$C$16,$C$17,L$23,L$22,$C$18,$C$19,$B27,N$24)</f>
        <v>0</v>
      </c>
      <c r="O27" s="99">
        <f ca="1">_xll.DBRW($B$9,$C$16,$C$17,O$23,L$22,$C$18,$C$19,$B27,O$24)</f>
        <v>0</v>
      </c>
      <c r="P27" s="99">
        <f ca="1">_xll.DBRW($B$9,$C$16,$C$17,O$23,L$22,$C$18,$C$19,$B27,P$24)</f>
        <v>0</v>
      </c>
      <c r="Q27" s="99">
        <f ca="1">_xll.DBRW($B$9,$C$16,$C$17,O$23,L$22,$C$18,$C$19,$B27,Q$24)</f>
        <v>0</v>
      </c>
      <c r="R27" s="99">
        <f t="shared" ca="1" si="3"/>
        <v>0</v>
      </c>
      <c r="S27" s="99">
        <f t="shared" ca="1" si="4"/>
        <v>0</v>
      </c>
      <c r="T27" s="99">
        <f t="shared" ca="1" si="5"/>
        <v>0</v>
      </c>
      <c r="U27" s="99">
        <f ca="1">_xll.DBRW($B$9,$C$16,$C$17,U$23,U$22,$C$18,$C$19,$B27,U$24)</f>
        <v>0</v>
      </c>
      <c r="V27" s="99">
        <f ca="1">_xll.DBRW($B$9,$C$16,$C$17,U$23,U$22,$C$18,$C$19,$B27,V$24)</f>
        <v>0</v>
      </c>
      <c r="W27" s="99">
        <f ca="1">_xll.DBRW($B$9,$C$16,$C$17,U$23,U$22,$C$18,$C$19,$B27,W$24)</f>
        <v>0</v>
      </c>
      <c r="X27" s="99">
        <f ca="1">_xll.DBRW($B$9,$C$16,$C$17,X$23,U$22,$C$18,$C$19,$B27,X$24)</f>
        <v>0</v>
      </c>
      <c r="Y27" s="99">
        <f ca="1">_xll.DBRW($B$9,$C$16,$C$17,X$23,U$22,$C$18,$C$19,$B27,Y$24)</f>
        <v>0</v>
      </c>
      <c r="Z27" s="99">
        <f ca="1">_xll.DBRW($B$9,$C$16,$C$17,X$23,U$22,$C$18,$C$19,$B27,Z$24)</f>
        <v>0</v>
      </c>
      <c r="AA27" s="99">
        <f t="shared" ca="1" si="6"/>
        <v>0</v>
      </c>
      <c r="AB27" s="99">
        <f t="shared" ca="1" si="7"/>
        <v>0</v>
      </c>
      <c r="AC27" s="99">
        <f t="shared" ca="1" si="8"/>
        <v>0</v>
      </c>
      <c r="AD27" s="99">
        <f ca="1">_xll.DBRW($B$9,$C$16,$C$17,AD$23,AD$22,$C$18,$C$19,$B27,AD$24)</f>
        <v>0</v>
      </c>
      <c r="AE27" s="99">
        <f ca="1">_xll.DBRW($B$9,$C$16,$C$17,AD$23,AD$22,$C$18,$C$19,$B27,AE$24)</f>
        <v>0</v>
      </c>
      <c r="AF27" s="99">
        <f ca="1">_xll.DBRW($B$9,$C$16,$C$17,AD$23,AD$22,$C$18,$C$19,$B27,AF$24)</f>
        <v>0</v>
      </c>
      <c r="AG27" s="99">
        <f ca="1">_xll.DBRW($B$9,$C$16,$C$17,AG$23,AD$22,$C$18,$C$19,$B27,AG$24)</f>
        <v>0</v>
      </c>
      <c r="AH27" s="99">
        <f ca="1">_xll.DBRW($B$9,$C$16,$C$17,AG$23,AD$22,$C$18,$C$19,$B27,AH$24)</f>
        <v>0</v>
      </c>
      <c r="AI27" s="99">
        <f ca="1">_xll.DBRW($B$9,$C$16,$C$17,AG$23,AD$22,$C$18,$C$19,$B27,AI$24)</f>
        <v>0</v>
      </c>
      <c r="AJ27" s="99">
        <f t="shared" ca="1" si="9"/>
        <v>0</v>
      </c>
      <c r="AK27" s="99">
        <f t="shared" ca="1" si="10"/>
        <v>0</v>
      </c>
      <c r="AL27" s="99">
        <f t="shared" ca="1" si="11"/>
        <v>0</v>
      </c>
    </row>
    <row r="28" spans="1:38" x14ac:dyDescent="0.25">
      <c r="A28">
        <f ca="1">IF(_xll.TM1RPTELISCONSOLIDATED($B$25,$B28),IF(_xll.TM1RPTELLEV($B$25,$B28)&lt;=3,_xll.TM1RPTELLEV($B$25,$B28),"D"),"N")</f>
        <v>2</v>
      </c>
      <c r="B28" s="134" t="s">
        <v>43</v>
      </c>
      <c r="C28" s="99">
        <f ca="1">_xll.DBRW($B$9,$C$16,$C$17,C$23,C$22,$C$18,$C$19,$B28,C$24)</f>
        <v>0</v>
      </c>
      <c r="D28" s="99">
        <f ca="1">_xll.DBRW($B$9,$C$16,$C$17,C$23,C$22,$C$18,$C$19,$B28,D$24)</f>
        <v>0</v>
      </c>
      <c r="E28" s="99">
        <f ca="1">_xll.DBRW($B$9,$C$16,$C$17,C$23,C$22,$C$18,$C$19,$B28,E$24)</f>
        <v>0</v>
      </c>
      <c r="F28" s="99">
        <f ca="1">_xll.DBRW($B$9,$C$16,$C$17,F$23,C$22,$C$18,$C$19,$B28,F$24)</f>
        <v>0</v>
      </c>
      <c r="G28" s="99">
        <f ca="1">_xll.DBRW($B$9,$C$16,$C$17,F$23,C$22,$C$18,$C$19,$B28,G$24)</f>
        <v>0</v>
      </c>
      <c r="H28" s="99">
        <f ca="1">_xll.DBRW($B$9,$C$16,$C$17,F$23,C$22,$C$18,$C$19,$B28,H$24)</f>
        <v>0</v>
      </c>
      <c r="I28" s="99">
        <f t="shared" ca="1" si="0"/>
        <v>0</v>
      </c>
      <c r="J28" s="99">
        <f t="shared" ca="1" si="1"/>
        <v>0</v>
      </c>
      <c r="K28" s="99">
        <f t="shared" ca="1" si="2"/>
        <v>0</v>
      </c>
      <c r="L28" s="99">
        <f ca="1">_xll.DBRW($B$9,$C$16,$C$17,L$23,L$22,$C$18,$C$19,$B28,L$24)</f>
        <v>0</v>
      </c>
      <c r="M28" s="99">
        <f ca="1">_xll.DBRW($B$9,$C$16,$C$17,L$23,L$22,$C$18,$C$19,$B28,M$24)</f>
        <v>0</v>
      </c>
      <c r="N28" s="99">
        <f ca="1">_xll.DBRW($B$9,$C$16,$C$17,L$23,L$22,$C$18,$C$19,$B28,N$24)</f>
        <v>0</v>
      </c>
      <c r="O28" s="99">
        <f ca="1">_xll.DBRW($B$9,$C$16,$C$17,O$23,L$22,$C$18,$C$19,$B28,O$24)</f>
        <v>0</v>
      </c>
      <c r="P28" s="99">
        <f ca="1">_xll.DBRW($B$9,$C$16,$C$17,O$23,L$22,$C$18,$C$19,$B28,P$24)</f>
        <v>0</v>
      </c>
      <c r="Q28" s="99">
        <f ca="1">_xll.DBRW($B$9,$C$16,$C$17,O$23,L$22,$C$18,$C$19,$B28,Q$24)</f>
        <v>0</v>
      </c>
      <c r="R28" s="99">
        <f t="shared" ca="1" si="3"/>
        <v>0</v>
      </c>
      <c r="S28" s="99">
        <f t="shared" ca="1" si="4"/>
        <v>0</v>
      </c>
      <c r="T28" s="99">
        <f t="shared" ca="1" si="5"/>
        <v>0</v>
      </c>
      <c r="U28" s="99">
        <f ca="1">_xll.DBRW($B$9,$C$16,$C$17,U$23,U$22,$C$18,$C$19,$B28,U$24)</f>
        <v>0</v>
      </c>
      <c r="V28" s="99">
        <f ca="1">_xll.DBRW($B$9,$C$16,$C$17,U$23,U$22,$C$18,$C$19,$B28,V$24)</f>
        <v>0</v>
      </c>
      <c r="W28" s="99">
        <f ca="1">_xll.DBRW($B$9,$C$16,$C$17,U$23,U$22,$C$18,$C$19,$B28,W$24)</f>
        <v>0</v>
      </c>
      <c r="X28" s="99">
        <f ca="1">_xll.DBRW($B$9,$C$16,$C$17,X$23,U$22,$C$18,$C$19,$B28,X$24)</f>
        <v>0</v>
      </c>
      <c r="Y28" s="99">
        <f ca="1">_xll.DBRW($B$9,$C$16,$C$17,X$23,U$22,$C$18,$C$19,$B28,Y$24)</f>
        <v>0</v>
      </c>
      <c r="Z28" s="99">
        <f ca="1">_xll.DBRW($B$9,$C$16,$C$17,X$23,U$22,$C$18,$C$19,$B28,Z$24)</f>
        <v>0</v>
      </c>
      <c r="AA28" s="99">
        <f t="shared" ca="1" si="6"/>
        <v>0</v>
      </c>
      <c r="AB28" s="99">
        <f t="shared" ca="1" si="7"/>
        <v>0</v>
      </c>
      <c r="AC28" s="99">
        <f t="shared" ca="1" si="8"/>
        <v>0</v>
      </c>
      <c r="AD28" s="99">
        <f ca="1">_xll.DBRW($B$9,$C$16,$C$17,AD$23,AD$22,$C$18,$C$19,$B28,AD$24)</f>
        <v>0</v>
      </c>
      <c r="AE28" s="99">
        <f ca="1">_xll.DBRW($B$9,$C$16,$C$17,AD$23,AD$22,$C$18,$C$19,$B28,AE$24)</f>
        <v>0</v>
      </c>
      <c r="AF28" s="99">
        <f ca="1">_xll.DBRW($B$9,$C$16,$C$17,AD$23,AD$22,$C$18,$C$19,$B28,AF$24)</f>
        <v>0</v>
      </c>
      <c r="AG28" s="99">
        <f ca="1">_xll.DBRW($B$9,$C$16,$C$17,AG$23,AD$22,$C$18,$C$19,$B28,AG$24)</f>
        <v>0</v>
      </c>
      <c r="AH28" s="99">
        <f ca="1">_xll.DBRW($B$9,$C$16,$C$17,AG$23,AD$22,$C$18,$C$19,$B28,AH$24)</f>
        <v>0</v>
      </c>
      <c r="AI28" s="99">
        <f ca="1">_xll.DBRW($B$9,$C$16,$C$17,AG$23,AD$22,$C$18,$C$19,$B28,AI$24)</f>
        <v>0</v>
      </c>
      <c r="AJ28" s="99">
        <f t="shared" ca="1" si="9"/>
        <v>0</v>
      </c>
      <c r="AK28" s="99">
        <f t="shared" ca="1" si="10"/>
        <v>0</v>
      </c>
      <c r="AL28" s="99">
        <f t="shared" ca="1" si="11"/>
        <v>0</v>
      </c>
    </row>
    <row r="29" spans="1:38" x14ac:dyDescent="0.25">
      <c r="A29">
        <f ca="1">IF(_xll.TM1RPTELISCONSOLIDATED($B$25,$B29),IF(_xll.TM1RPTELLEV($B$25,$B29)&lt;=3,_xll.TM1RPTELLEV($B$25,$B29),"D"),"N")</f>
        <v>2</v>
      </c>
      <c r="B29" s="134" t="s">
        <v>44</v>
      </c>
      <c r="C29" s="99">
        <f ca="1">_xll.DBRW($B$9,$C$16,$C$17,C$23,C$22,$C$18,$C$19,$B29,C$24)</f>
        <v>0</v>
      </c>
      <c r="D29" s="99">
        <f ca="1">_xll.DBRW($B$9,$C$16,$C$17,C$23,C$22,$C$18,$C$19,$B29,D$24)</f>
        <v>0</v>
      </c>
      <c r="E29" s="99">
        <f ca="1">_xll.DBRW($B$9,$C$16,$C$17,C$23,C$22,$C$18,$C$19,$B29,E$24)</f>
        <v>0</v>
      </c>
      <c r="F29" s="99">
        <f ca="1">_xll.DBRW($B$9,$C$16,$C$17,F$23,C$22,$C$18,$C$19,$B29,F$24)</f>
        <v>0</v>
      </c>
      <c r="G29" s="99">
        <f ca="1">_xll.DBRW($B$9,$C$16,$C$17,F$23,C$22,$C$18,$C$19,$B29,G$24)</f>
        <v>0</v>
      </c>
      <c r="H29" s="99">
        <f ca="1">_xll.DBRW($B$9,$C$16,$C$17,F$23,C$22,$C$18,$C$19,$B29,H$24)</f>
        <v>0</v>
      </c>
      <c r="I29" s="99">
        <f t="shared" ca="1" si="0"/>
        <v>0</v>
      </c>
      <c r="J29" s="99">
        <f t="shared" ca="1" si="1"/>
        <v>0</v>
      </c>
      <c r="K29" s="99">
        <f t="shared" ca="1" si="2"/>
        <v>0</v>
      </c>
      <c r="L29" s="99">
        <f ca="1">_xll.DBRW($B$9,$C$16,$C$17,L$23,L$22,$C$18,$C$19,$B29,L$24)</f>
        <v>0</v>
      </c>
      <c r="M29" s="99">
        <f ca="1">_xll.DBRW($B$9,$C$16,$C$17,L$23,L$22,$C$18,$C$19,$B29,M$24)</f>
        <v>0</v>
      </c>
      <c r="N29" s="99">
        <f ca="1">_xll.DBRW($B$9,$C$16,$C$17,L$23,L$22,$C$18,$C$19,$B29,N$24)</f>
        <v>0</v>
      </c>
      <c r="O29" s="99">
        <f ca="1">_xll.DBRW($B$9,$C$16,$C$17,O$23,L$22,$C$18,$C$19,$B29,O$24)</f>
        <v>0</v>
      </c>
      <c r="P29" s="99">
        <f ca="1">_xll.DBRW($B$9,$C$16,$C$17,O$23,L$22,$C$18,$C$19,$B29,P$24)</f>
        <v>0</v>
      </c>
      <c r="Q29" s="99">
        <f ca="1">_xll.DBRW($B$9,$C$16,$C$17,O$23,L$22,$C$18,$C$19,$B29,Q$24)</f>
        <v>0</v>
      </c>
      <c r="R29" s="99">
        <f t="shared" ca="1" si="3"/>
        <v>0</v>
      </c>
      <c r="S29" s="99">
        <f t="shared" ca="1" si="4"/>
        <v>0</v>
      </c>
      <c r="T29" s="99">
        <f t="shared" ca="1" si="5"/>
        <v>0</v>
      </c>
      <c r="U29" s="99">
        <f ca="1">_xll.DBRW($B$9,$C$16,$C$17,U$23,U$22,$C$18,$C$19,$B29,U$24)</f>
        <v>0</v>
      </c>
      <c r="V29" s="99">
        <f ca="1">_xll.DBRW($B$9,$C$16,$C$17,U$23,U$22,$C$18,$C$19,$B29,V$24)</f>
        <v>0</v>
      </c>
      <c r="W29" s="99">
        <f ca="1">_xll.DBRW($B$9,$C$16,$C$17,U$23,U$22,$C$18,$C$19,$B29,W$24)</f>
        <v>0</v>
      </c>
      <c r="X29" s="99">
        <f ca="1">_xll.DBRW($B$9,$C$16,$C$17,X$23,U$22,$C$18,$C$19,$B29,X$24)</f>
        <v>0</v>
      </c>
      <c r="Y29" s="99">
        <f ca="1">_xll.DBRW($B$9,$C$16,$C$17,X$23,U$22,$C$18,$C$19,$B29,Y$24)</f>
        <v>0</v>
      </c>
      <c r="Z29" s="99">
        <f ca="1">_xll.DBRW($B$9,$C$16,$C$17,X$23,U$22,$C$18,$C$19,$B29,Z$24)</f>
        <v>0</v>
      </c>
      <c r="AA29" s="99">
        <f t="shared" ca="1" si="6"/>
        <v>0</v>
      </c>
      <c r="AB29" s="99">
        <f t="shared" ca="1" si="7"/>
        <v>0</v>
      </c>
      <c r="AC29" s="99">
        <f t="shared" ca="1" si="8"/>
        <v>0</v>
      </c>
      <c r="AD29" s="99">
        <f ca="1">_xll.DBRW($B$9,$C$16,$C$17,AD$23,AD$22,$C$18,$C$19,$B29,AD$24)</f>
        <v>0</v>
      </c>
      <c r="AE29" s="99">
        <f ca="1">_xll.DBRW($B$9,$C$16,$C$17,AD$23,AD$22,$C$18,$C$19,$B29,AE$24)</f>
        <v>0</v>
      </c>
      <c r="AF29" s="99">
        <f ca="1">_xll.DBRW($B$9,$C$16,$C$17,AD$23,AD$22,$C$18,$C$19,$B29,AF$24)</f>
        <v>0</v>
      </c>
      <c r="AG29" s="99">
        <f ca="1">_xll.DBRW($B$9,$C$16,$C$17,AG$23,AD$22,$C$18,$C$19,$B29,AG$24)</f>
        <v>0</v>
      </c>
      <c r="AH29" s="99">
        <f ca="1">_xll.DBRW($B$9,$C$16,$C$17,AG$23,AD$22,$C$18,$C$19,$B29,AH$24)</f>
        <v>0</v>
      </c>
      <c r="AI29" s="99">
        <f ca="1">_xll.DBRW($B$9,$C$16,$C$17,AG$23,AD$22,$C$18,$C$19,$B29,AI$24)</f>
        <v>0</v>
      </c>
      <c r="AJ29" s="99">
        <f t="shared" ca="1" si="9"/>
        <v>0</v>
      </c>
      <c r="AK29" s="99">
        <f t="shared" ca="1" si="10"/>
        <v>0</v>
      </c>
      <c r="AL29" s="99">
        <f t="shared" ca="1" si="11"/>
        <v>0</v>
      </c>
    </row>
    <row r="30" spans="1:38" x14ac:dyDescent="0.25">
      <c r="A30">
        <f ca="1">IF(_xll.TM1RPTELISCONSOLIDATED($B$25,$B30),IF(_xll.TM1RPTELLEV($B$25,$B30)&lt;=3,_xll.TM1RPTELLEV($B$25,$B30),"D"),"N")</f>
        <v>2</v>
      </c>
      <c r="B30" s="134" t="s">
        <v>45</v>
      </c>
      <c r="C30" s="99">
        <f ca="1">_xll.DBRW($B$9,$C$16,$C$17,C$23,C$22,$C$18,$C$19,$B30,C$24)</f>
        <v>0</v>
      </c>
      <c r="D30" s="99">
        <f ca="1">_xll.DBRW($B$9,$C$16,$C$17,C$23,C$22,$C$18,$C$19,$B30,D$24)</f>
        <v>0</v>
      </c>
      <c r="E30" s="99">
        <f ca="1">_xll.DBRW($B$9,$C$16,$C$17,C$23,C$22,$C$18,$C$19,$B30,E$24)</f>
        <v>0</v>
      </c>
      <c r="F30" s="99">
        <f ca="1">_xll.DBRW($B$9,$C$16,$C$17,F$23,C$22,$C$18,$C$19,$B30,F$24)</f>
        <v>0</v>
      </c>
      <c r="G30" s="99">
        <f ca="1">_xll.DBRW($B$9,$C$16,$C$17,F$23,C$22,$C$18,$C$19,$B30,G$24)</f>
        <v>0</v>
      </c>
      <c r="H30" s="99">
        <f ca="1">_xll.DBRW($B$9,$C$16,$C$17,F$23,C$22,$C$18,$C$19,$B30,H$24)</f>
        <v>0</v>
      </c>
      <c r="I30" s="99">
        <f t="shared" ca="1" si="0"/>
        <v>0</v>
      </c>
      <c r="J30" s="99">
        <f t="shared" ca="1" si="1"/>
        <v>0</v>
      </c>
      <c r="K30" s="99">
        <f t="shared" ca="1" si="2"/>
        <v>0</v>
      </c>
      <c r="L30" s="99">
        <f ca="1">_xll.DBRW($B$9,$C$16,$C$17,L$23,L$22,$C$18,$C$19,$B30,L$24)</f>
        <v>0</v>
      </c>
      <c r="M30" s="99">
        <f ca="1">_xll.DBRW($B$9,$C$16,$C$17,L$23,L$22,$C$18,$C$19,$B30,M$24)</f>
        <v>0</v>
      </c>
      <c r="N30" s="99">
        <f ca="1">_xll.DBRW($B$9,$C$16,$C$17,L$23,L$22,$C$18,$C$19,$B30,N$24)</f>
        <v>0</v>
      </c>
      <c r="O30" s="99">
        <f ca="1">_xll.DBRW($B$9,$C$16,$C$17,O$23,L$22,$C$18,$C$19,$B30,O$24)</f>
        <v>0</v>
      </c>
      <c r="P30" s="99">
        <f ca="1">_xll.DBRW($B$9,$C$16,$C$17,O$23,L$22,$C$18,$C$19,$B30,P$24)</f>
        <v>0</v>
      </c>
      <c r="Q30" s="99">
        <f ca="1">_xll.DBRW($B$9,$C$16,$C$17,O$23,L$22,$C$18,$C$19,$B30,Q$24)</f>
        <v>0</v>
      </c>
      <c r="R30" s="99">
        <f t="shared" ca="1" si="3"/>
        <v>0</v>
      </c>
      <c r="S30" s="99">
        <f t="shared" ca="1" si="4"/>
        <v>0</v>
      </c>
      <c r="T30" s="99">
        <f t="shared" ca="1" si="5"/>
        <v>0</v>
      </c>
      <c r="U30" s="99">
        <f ca="1">_xll.DBRW($B$9,$C$16,$C$17,U$23,U$22,$C$18,$C$19,$B30,U$24)</f>
        <v>0</v>
      </c>
      <c r="V30" s="99">
        <f ca="1">_xll.DBRW($B$9,$C$16,$C$17,U$23,U$22,$C$18,$C$19,$B30,V$24)</f>
        <v>0</v>
      </c>
      <c r="W30" s="99">
        <f ca="1">_xll.DBRW($B$9,$C$16,$C$17,U$23,U$22,$C$18,$C$19,$B30,W$24)</f>
        <v>0</v>
      </c>
      <c r="X30" s="99">
        <f ca="1">_xll.DBRW($B$9,$C$16,$C$17,X$23,U$22,$C$18,$C$19,$B30,X$24)</f>
        <v>0</v>
      </c>
      <c r="Y30" s="99">
        <f ca="1">_xll.DBRW($B$9,$C$16,$C$17,X$23,U$22,$C$18,$C$19,$B30,Y$24)</f>
        <v>0</v>
      </c>
      <c r="Z30" s="99">
        <f ca="1">_xll.DBRW($B$9,$C$16,$C$17,X$23,U$22,$C$18,$C$19,$B30,Z$24)</f>
        <v>0</v>
      </c>
      <c r="AA30" s="99">
        <f t="shared" ca="1" si="6"/>
        <v>0</v>
      </c>
      <c r="AB30" s="99">
        <f t="shared" ca="1" si="7"/>
        <v>0</v>
      </c>
      <c r="AC30" s="99">
        <f t="shared" ca="1" si="8"/>
        <v>0</v>
      </c>
      <c r="AD30" s="99">
        <f ca="1">_xll.DBRW($B$9,$C$16,$C$17,AD$23,AD$22,$C$18,$C$19,$B30,AD$24)</f>
        <v>0</v>
      </c>
      <c r="AE30" s="99">
        <f ca="1">_xll.DBRW($B$9,$C$16,$C$17,AD$23,AD$22,$C$18,$C$19,$B30,AE$24)</f>
        <v>0</v>
      </c>
      <c r="AF30" s="99">
        <f ca="1">_xll.DBRW($B$9,$C$16,$C$17,AD$23,AD$22,$C$18,$C$19,$B30,AF$24)</f>
        <v>0</v>
      </c>
      <c r="AG30" s="99">
        <f ca="1">_xll.DBRW($B$9,$C$16,$C$17,AG$23,AD$22,$C$18,$C$19,$B30,AG$24)</f>
        <v>0</v>
      </c>
      <c r="AH30" s="99">
        <f ca="1">_xll.DBRW($B$9,$C$16,$C$17,AG$23,AD$22,$C$18,$C$19,$B30,AH$24)</f>
        <v>0</v>
      </c>
      <c r="AI30" s="99">
        <f ca="1">_xll.DBRW($B$9,$C$16,$C$17,AG$23,AD$22,$C$18,$C$19,$B30,AI$24)</f>
        <v>0</v>
      </c>
      <c r="AJ30" s="99">
        <f t="shared" ca="1" si="9"/>
        <v>0</v>
      </c>
      <c r="AK30" s="99">
        <f t="shared" ca="1" si="10"/>
        <v>0</v>
      </c>
      <c r="AL30" s="99">
        <f t="shared" ca="1" si="11"/>
        <v>0</v>
      </c>
    </row>
    <row r="31" spans="1:38" x14ac:dyDescent="0.25">
      <c r="A31">
        <f ca="1">IF(_xll.TM1RPTELISCONSOLIDATED($B$25,$B31),IF(_xll.TM1RPTELLEV($B$25,$B31)&lt;=3,_xll.TM1RPTELLEV($B$25,$B31),"D"),"N")</f>
        <v>2</v>
      </c>
      <c r="B31" s="134" t="s">
        <v>46</v>
      </c>
      <c r="C31" s="99">
        <f ca="1">_xll.DBRW($B$9,$C$16,$C$17,C$23,C$22,$C$18,$C$19,$B31,C$24)</f>
        <v>0</v>
      </c>
      <c r="D31" s="99">
        <f ca="1">_xll.DBRW($B$9,$C$16,$C$17,C$23,C$22,$C$18,$C$19,$B31,D$24)</f>
        <v>0</v>
      </c>
      <c r="E31" s="99">
        <f ca="1">_xll.DBRW($B$9,$C$16,$C$17,C$23,C$22,$C$18,$C$19,$B31,E$24)</f>
        <v>0</v>
      </c>
      <c r="F31" s="99">
        <f ca="1">_xll.DBRW($B$9,$C$16,$C$17,F$23,C$22,$C$18,$C$19,$B31,F$24)</f>
        <v>0</v>
      </c>
      <c r="G31" s="99">
        <f ca="1">_xll.DBRW($B$9,$C$16,$C$17,F$23,C$22,$C$18,$C$19,$B31,G$24)</f>
        <v>0</v>
      </c>
      <c r="H31" s="99">
        <f ca="1">_xll.DBRW($B$9,$C$16,$C$17,F$23,C$22,$C$18,$C$19,$B31,H$24)</f>
        <v>0</v>
      </c>
      <c r="I31" s="99">
        <f t="shared" ca="1" si="0"/>
        <v>0</v>
      </c>
      <c r="J31" s="99">
        <f t="shared" ca="1" si="1"/>
        <v>0</v>
      </c>
      <c r="K31" s="99">
        <f t="shared" ca="1" si="2"/>
        <v>0</v>
      </c>
      <c r="L31" s="99">
        <f ca="1">_xll.DBRW($B$9,$C$16,$C$17,L$23,L$22,$C$18,$C$19,$B31,L$24)</f>
        <v>0</v>
      </c>
      <c r="M31" s="99">
        <f ca="1">_xll.DBRW($B$9,$C$16,$C$17,L$23,L$22,$C$18,$C$19,$B31,M$24)</f>
        <v>0</v>
      </c>
      <c r="N31" s="99">
        <f ca="1">_xll.DBRW($B$9,$C$16,$C$17,L$23,L$22,$C$18,$C$19,$B31,N$24)</f>
        <v>0</v>
      </c>
      <c r="O31" s="99">
        <f ca="1">_xll.DBRW($B$9,$C$16,$C$17,O$23,L$22,$C$18,$C$19,$B31,O$24)</f>
        <v>0</v>
      </c>
      <c r="P31" s="99">
        <f ca="1">_xll.DBRW($B$9,$C$16,$C$17,O$23,L$22,$C$18,$C$19,$B31,P$24)</f>
        <v>0</v>
      </c>
      <c r="Q31" s="99">
        <f ca="1">_xll.DBRW($B$9,$C$16,$C$17,O$23,L$22,$C$18,$C$19,$B31,Q$24)</f>
        <v>0</v>
      </c>
      <c r="R31" s="99">
        <f t="shared" ca="1" si="3"/>
        <v>0</v>
      </c>
      <c r="S31" s="99">
        <f t="shared" ca="1" si="4"/>
        <v>0</v>
      </c>
      <c r="T31" s="99">
        <f t="shared" ca="1" si="5"/>
        <v>0</v>
      </c>
      <c r="U31" s="99">
        <f ca="1">_xll.DBRW($B$9,$C$16,$C$17,U$23,U$22,$C$18,$C$19,$B31,U$24)</f>
        <v>0</v>
      </c>
      <c r="V31" s="99">
        <f ca="1">_xll.DBRW($B$9,$C$16,$C$17,U$23,U$22,$C$18,$C$19,$B31,V$24)</f>
        <v>0</v>
      </c>
      <c r="W31" s="99">
        <f ca="1">_xll.DBRW($B$9,$C$16,$C$17,U$23,U$22,$C$18,$C$19,$B31,W$24)</f>
        <v>0</v>
      </c>
      <c r="X31" s="99">
        <f ca="1">_xll.DBRW($B$9,$C$16,$C$17,X$23,U$22,$C$18,$C$19,$B31,X$24)</f>
        <v>0</v>
      </c>
      <c r="Y31" s="99">
        <f ca="1">_xll.DBRW($B$9,$C$16,$C$17,X$23,U$22,$C$18,$C$19,$B31,Y$24)</f>
        <v>0</v>
      </c>
      <c r="Z31" s="99">
        <f ca="1">_xll.DBRW($B$9,$C$16,$C$17,X$23,U$22,$C$18,$C$19,$B31,Z$24)</f>
        <v>0</v>
      </c>
      <c r="AA31" s="99">
        <f t="shared" ca="1" si="6"/>
        <v>0</v>
      </c>
      <c r="AB31" s="99">
        <f t="shared" ca="1" si="7"/>
        <v>0</v>
      </c>
      <c r="AC31" s="99">
        <f t="shared" ca="1" si="8"/>
        <v>0</v>
      </c>
      <c r="AD31" s="99">
        <f ca="1">_xll.DBRW($B$9,$C$16,$C$17,AD$23,AD$22,$C$18,$C$19,$B31,AD$24)</f>
        <v>0</v>
      </c>
      <c r="AE31" s="99">
        <f ca="1">_xll.DBRW($B$9,$C$16,$C$17,AD$23,AD$22,$C$18,$C$19,$B31,AE$24)</f>
        <v>0</v>
      </c>
      <c r="AF31" s="99">
        <f ca="1">_xll.DBRW($B$9,$C$16,$C$17,AD$23,AD$22,$C$18,$C$19,$B31,AF$24)</f>
        <v>0</v>
      </c>
      <c r="AG31" s="99">
        <f ca="1">_xll.DBRW($B$9,$C$16,$C$17,AG$23,AD$22,$C$18,$C$19,$B31,AG$24)</f>
        <v>0</v>
      </c>
      <c r="AH31" s="99">
        <f ca="1">_xll.DBRW($B$9,$C$16,$C$17,AG$23,AD$22,$C$18,$C$19,$B31,AH$24)</f>
        <v>0</v>
      </c>
      <c r="AI31" s="99">
        <f ca="1">_xll.DBRW($B$9,$C$16,$C$17,AG$23,AD$22,$C$18,$C$19,$B31,AI$24)</f>
        <v>0</v>
      </c>
      <c r="AJ31" s="99">
        <f t="shared" ca="1" si="9"/>
        <v>0</v>
      </c>
      <c r="AK31" s="99">
        <f t="shared" ca="1" si="10"/>
        <v>0</v>
      </c>
      <c r="AL31" s="99">
        <f t="shared" ca="1" si="11"/>
        <v>0</v>
      </c>
    </row>
    <row r="32" spans="1:38" x14ac:dyDescent="0.25">
      <c r="A32">
        <f ca="1">IF(_xll.TM1RPTELISCONSOLIDATED($B$25,$B32),IF(_xll.TM1RPTELLEV($B$25,$B32)&lt;=3,_xll.TM1RPTELLEV($B$25,$B32),"D"),"N")</f>
        <v>2</v>
      </c>
      <c r="B32" s="134" t="s">
        <v>47</v>
      </c>
      <c r="C32" s="99">
        <f ca="1">_xll.DBRW($B$9,$C$16,$C$17,C$23,C$22,$C$18,$C$19,$B32,C$24)</f>
        <v>0</v>
      </c>
      <c r="D32" s="99">
        <f ca="1">_xll.DBRW($B$9,$C$16,$C$17,C$23,C$22,$C$18,$C$19,$B32,D$24)</f>
        <v>0</v>
      </c>
      <c r="E32" s="99">
        <f ca="1">_xll.DBRW($B$9,$C$16,$C$17,C$23,C$22,$C$18,$C$19,$B32,E$24)</f>
        <v>0</v>
      </c>
      <c r="F32" s="99">
        <f ca="1">_xll.DBRW($B$9,$C$16,$C$17,F$23,C$22,$C$18,$C$19,$B32,F$24)</f>
        <v>0</v>
      </c>
      <c r="G32" s="99">
        <f ca="1">_xll.DBRW($B$9,$C$16,$C$17,F$23,C$22,$C$18,$C$19,$B32,G$24)</f>
        <v>0</v>
      </c>
      <c r="H32" s="99">
        <f ca="1">_xll.DBRW($B$9,$C$16,$C$17,F$23,C$22,$C$18,$C$19,$B32,H$24)</f>
        <v>0</v>
      </c>
      <c r="I32" s="99">
        <f t="shared" ca="1" si="0"/>
        <v>0</v>
      </c>
      <c r="J32" s="99">
        <f t="shared" ca="1" si="1"/>
        <v>0</v>
      </c>
      <c r="K32" s="99">
        <f t="shared" ca="1" si="2"/>
        <v>0</v>
      </c>
      <c r="L32" s="99">
        <f ca="1">_xll.DBRW($B$9,$C$16,$C$17,L$23,L$22,$C$18,$C$19,$B32,L$24)</f>
        <v>0</v>
      </c>
      <c r="M32" s="99">
        <f ca="1">_xll.DBRW($B$9,$C$16,$C$17,L$23,L$22,$C$18,$C$19,$B32,M$24)</f>
        <v>0</v>
      </c>
      <c r="N32" s="99">
        <f ca="1">_xll.DBRW($B$9,$C$16,$C$17,L$23,L$22,$C$18,$C$19,$B32,N$24)</f>
        <v>0</v>
      </c>
      <c r="O32" s="99">
        <f ca="1">_xll.DBRW($B$9,$C$16,$C$17,O$23,L$22,$C$18,$C$19,$B32,O$24)</f>
        <v>0</v>
      </c>
      <c r="P32" s="99">
        <f ca="1">_xll.DBRW($B$9,$C$16,$C$17,O$23,L$22,$C$18,$C$19,$B32,P$24)</f>
        <v>0</v>
      </c>
      <c r="Q32" s="99">
        <f ca="1">_xll.DBRW($B$9,$C$16,$C$17,O$23,L$22,$C$18,$C$19,$B32,Q$24)</f>
        <v>0</v>
      </c>
      <c r="R32" s="99">
        <f t="shared" ca="1" si="3"/>
        <v>0</v>
      </c>
      <c r="S32" s="99">
        <f t="shared" ca="1" si="4"/>
        <v>0</v>
      </c>
      <c r="T32" s="99">
        <f t="shared" ca="1" si="5"/>
        <v>0</v>
      </c>
      <c r="U32" s="99">
        <f ca="1">_xll.DBRW($B$9,$C$16,$C$17,U$23,U$22,$C$18,$C$19,$B32,U$24)</f>
        <v>0</v>
      </c>
      <c r="V32" s="99">
        <f ca="1">_xll.DBRW($B$9,$C$16,$C$17,U$23,U$22,$C$18,$C$19,$B32,V$24)</f>
        <v>0</v>
      </c>
      <c r="W32" s="99">
        <f ca="1">_xll.DBRW($B$9,$C$16,$C$17,U$23,U$22,$C$18,$C$19,$B32,W$24)</f>
        <v>0</v>
      </c>
      <c r="X32" s="99">
        <f ca="1">_xll.DBRW($B$9,$C$16,$C$17,X$23,U$22,$C$18,$C$19,$B32,X$24)</f>
        <v>0</v>
      </c>
      <c r="Y32" s="99">
        <f ca="1">_xll.DBRW($B$9,$C$16,$C$17,X$23,U$22,$C$18,$C$19,$B32,Y$24)</f>
        <v>0</v>
      </c>
      <c r="Z32" s="99">
        <f ca="1">_xll.DBRW($B$9,$C$16,$C$17,X$23,U$22,$C$18,$C$19,$B32,Z$24)</f>
        <v>0</v>
      </c>
      <c r="AA32" s="99">
        <f t="shared" ca="1" si="6"/>
        <v>0</v>
      </c>
      <c r="AB32" s="99">
        <f t="shared" ca="1" si="7"/>
        <v>0</v>
      </c>
      <c r="AC32" s="99">
        <f t="shared" ca="1" si="8"/>
        <v>0</v>
      </c>
      <c r="AD32" s="99">
        <f ca="1">_xll.DBRW($B$9,$C$16,$C$17,AD$23,AD$22,$C$18,$C$19,$B32,AD$24)</f>
        <v>0</v>
      </c>
      <c r="AE32" s="99">
        <f ca="1">_xll.DBRW($B$9,$C$16,$C$17,AD$23,AD$22,$C$18,$C$19,$B32,AE$24)</f>
        <v>0</v>
      </c>
      <c r="AF32" s="99">
        <f ca="1">_xll.DBRW($B$9,$C$16,$C$17,AD$23,AD$22,$C$18,$C$19,$B32,AF$24)</f>
        <v>0</v>
      </c>
      <c r="AG32" s="99">
        <f ca="1">_xll.DBRW($B$9,$C$16,$C$17,AG$23,AD$22,$C$18,$C$19,$B32,AG$24)</f>
        <v>0</v>
      </c>
      <c r="AH32" s="99">
        <f ca="1">_xll.DBRW($B$9,$C$16,$C$17,AG$23,AD$22,$C$18,$C$19,$B32,AH$24)</f>
        <v>0</v>
      </c>
      <c r="AI32" s="99">
        <f ca="1">_xll.DBRW($B$9,$C$16,$C$17,AG$23,AD$22,$C$18,$C$19,$B32,AI$24)</f>
        <v>0</v>
      </c>
      <c r="AJ32" s="99">
        <f t="shared" ca="1" si="9"/>
        <v>0</v>
      </c>
      <c r="AK32" s="99">
        <f t="shared" ca="1" si="10"/>
        <v>0</v>
      </c>
      <c r="AL32" s="99">
        <f t="shared" ca="1" si="11"/>
        <v>0</v>
      </c>
    </row>
    <row r="33" spans="1:38" x14ac:dyDescent="0.25">
      <c r="A33">
        <f ca="1">IF(_xll.TM1RPTELISCONSOLIDATED($B$25,$B33),IF(_xll.TM1RPTELLEV($B$25,$B33)&lt;=3,_xll.TM1RPTELLEV($B$25,$B33),"D"),"N")</f>
        <v>1</v>
      </c>
      <c r="B33" s="133" t="s">
        <v>21</v>
      </c>
      <c r="C33" s="97">
        <f ca="1">_xll.DBRW($B$9,$C$16,$C$17,C$23,C$22,$C$18,$C$19,$B33,C$24)</f>
        <v>0</v>
      </c>
      <c r="D33" s="97">
        <f ca="1">_xll.DBRW($B$9,$C$16,$C$17,C$23,C$22,$C$18,$C$19,$B33,D$24)</f>
        <v>0</v>
      </c>
      <c r="E33" s="97">
        <f ca="1">_xll.DBRW($B$9,$C$16,$C$17,C$23,C$22,$C$18,$C$19,$B33,E$24)</f>
        <v>0</v>
      </c>
      <c r="F33" s="97">
        <f ca="1">_xll.DBRW($B$9,$C$16,$C$17,F$23,C$22,$C$18,$C$19,$B33,F$24)</f>
        <v>0</v>
      </c>
      <c r="G33" s="97">
        <f ca="1">_xll.DBRW($B$9,$C$16,$C$17,F$23,C$22,$C$18,$C$19,$B33,G$24)</f>
        <v>0</v>
      </c>
      <c r="H33" s="97">
        <f ca="1">_xll.DBRW($B$9,$C$16,$C$17,F$23,C$22,$C$18,$C$19,$B33,H$24)</f>
        <v>0</v>
      </c>
      <c r="I33" s="97">
        <f t="shared" ca="1" si="0"/>
        <v>0</v>
      </c>
      <c r="J33" s="97">
        <f t="shared" ca="1" si="1"/>
        <v>0</v>
      </c>
      <c r="K33" s="97">
        <f t="shared" ca="1" si="2"/>
        <v>0</v>
      </c>
      <c r="L33" s="97">
        <f ca="1">_xll.DBRW($B$9,$C$16,$C$17,L$23,L$22,$C$18,$C$19,$B33,L$24)</f>
        <v>0</v>
      </c>
      <c r="M33" s="97">
        <f ca="1">_xll.DBRW($B$9,$C$16,$C$17,L$23,L$22,$C$18,$C$19,$B33,M$24)</f>
        <v>0</v>
      </c>
      <c r="N33" s="97">
        <f ca="1">_xll.DBRW($B$9,$C$16,$C$17,L$23,L$22,$C$18,$C$19,$B33,N$24)</f>
        <v>0</v>
      </c>
      <c r="O33" s="97">
        <f ca="1">_xll.DBRW($B$9,$C$16,$C$17,O$23,L$22,$C$18,$C$19,$B33,O$24)</f>
        <v>0</v>
      </c>
      <c r="P33" s="97">
        <f ca="1">_xll.DBRW($B$9,$C$16,$C$17,O$23,L$22,$C$18,$C$19,$B33,P$24)</f>
        <v>0</v>
      </c>
      <c r="Q33" s="97">
        <f ca="1">_xll.DBRW($B$9,$C$16,$C$17,O$23,L$22,$C$18,$C$19,$B33,Q$24)</f>
        <v>0</v>
      </c>
      <c r="R33" s="97">
        <f t="shared" ca="1" si="3"/>
        <v>0</v>
      </c>
      <c r="S33" s="97">
        <f t="shared" ca="1" si="4"/>
        <v>0</v>
      </c>
      <c r="T33" s="97">
        <f t="shared" ca="1" si="5"/>
        <v>0</v>
      </c>
      <c r="U33" s="97">
        <f ca="1">_xll.DBRW($B$9,$C$16,$C$17,U$23,U$22,$C$18,$C$19,$B33,U$24)</f>
        <v>0</v>
      </c>
      <c r="V33" s="97">
        <f ca="1">_xll.DBRW($B$9,$C$16,$C$17,U$23,U$22,$C$18,$C$19,$B33,V$24)</f>
        <v>0</v>
      </c>
      <c r="W33" s="97">
        <f ca="1">_xll.DBRW($B$9,$C$16,$C$17,U$23,U$22,$C$18,$C$19,$B33,W$24)</f>
        <v>0</v>
      </c>
      <c r="X33" s="97">
        <f ca="1">_xll.DBRW($B$9,$C$16,$C$17,X$23,U$22,$C$18,$C$19,$B33,X$24)</f>
        <v>0</v>
      </c>
      <c r="Y33" s="97">
        <f ca="1">_xll.DBRW($B$9,$C$16,$C$17,X$23,U$22,$C$18,$C$19,$B33,Y$24)</f>
        <v>0</v>
      </c>
      <c r="Z33" s="97">
        <f ca="1">_xll.DBRW($B$9,$C$16,$C$17,X$23,U$22,$C$18,$C$19,$B33,Z$24)</f>
        <v>0</v>
      </c>
      <c r="AA33" s="97">
        <f t="shared" ca="1" si="6"/>
        <v>0</v>
      </c>
      <c r="AB33" s="97">
        <f t="shared" ca="1" si="7"/>
        <v>0</v>
      </c>
      <c r="AC33" s="97">
        <f t="shared" ca="1" si="8"/>
        <v>0</v>
      </c>
      <c r="AD33" s="97">
        <f ca="1">_xll.DBRW($B$9,$C$16,$C$17,AD$23,AD$22,$C$18,$C$19,$B33,AD$24)</f>
        <v>0</v>
      </c>
      <c r="AE33" s="97">
        <f ca="1">_xll.DBRW($B$9,$C$16,$C$17,AD$23,AD$22,$C$18,$C$19,$B33,AE$24)</f>
        <v>0</v>
      </c>
      <c r="AF33" s="97">
        <f ca="1">_xll.DBRW($B$9,$C$16,$C$17,AD$23,AD$22,$C$18,$C$19,$B33,AF$24)</f>
        <v>0</v>
      </c>
      <c r="AG33" s="97">
        <f ca="1">_xll.DBRW($B$9,$C$16,$C$17,AG$23,AD$22,$C$18,$C$19,$B33,AG$24)</f>
        <v>0</v>
      </c>
      <c r="AH33" s="97">
        <f ca="1">_xll.DBRW($B$9,$C$16,$C$17,AG$23,AD$22,$C$18,$C$19,$B33,AH$24)</f>
        <v>0</v>
      </c>
      <c r="AI33" s="97">
        <f ca="1">_xll.DBRW($B$9,$C$16,$C$17,AG$23,AD$22,$C$18,$C$19,$B33,AI$24)</f>
        <v>0</v>
      </c>
      <c r="AJ33" s="97">
        <f t="shared" ca="1" si="9"/>
        <v>0</v>
      </c>
      <c r="AK33" s="97">
        <f t="shared" ca="1" si="10"/>
        <v>0</v>
      </c>
      <c r="AL33" s="97">
        <f t="shared" ca="1" si="11"/>
        <v>0</v>
      </c>
    </row>
    <row r="34" spans="1:38" x14ac:dyDescent="0.25">
      <c r="A34">
        <f ca="1">IF(_xll.TM1RPTELISCONSOLIDATED($B$25,$B34),IF(_xll.TM1RPTELLEV($B$25,$B34)&lt;=3,_xll.TM1RPTELLEV($B$25,$B34),"D"),"N")</f>
        <v>2</v>
      </c>
      <c r="B34" s="135" t="s">
        <v>48</v>
      </c>
      <c r="C34" s="99">
        <f ca="1">_xll.DBRW($B$9,$C$16,$C$17,C$23,C$22,$C$18,$C$19,$B34,C$24)</f>
        <v>0</v>
      </c>
      <c r="D34" s="99">
        <f ca="1">_xll.DBRW($B$9,$C$16,$C$17,C$23,C$22,$C$18,$C$19,$B34,D$24)</f>
        <v>0</v>
      </c>
      <c r="E34" s="99">
        <f ca="1">_xll.DBRW($B$9,$C$16,$C$17,C$23,C$22,$C$18,$C$19,$B34,E$24)</f>
        <v>0</v>
      </c>
      <c r="F34" s="99">
        <f ca="1">_xll.DBRW($B$9,$C$16,$C$17,F$23,C$22,$C$18,$C$19,$B34,F$24)</f>
        <v>0</v>
      </c>
      <c r="G34" s="99">
        <f ca="1">_xll.DBRW($B$9,$C$16,$C$17,F$23,C$22,$C$18,$C$19,$B34,G$24)</f>
        <v>0</v>
      </c>
      <c r="H34" s="99">
        <f ca="1">_xll.DBRW($B$9,$C$16,$C$17,F$23,C$22,$C$18,$C$19,$B34,H$24)</f>
        <v>0</v>
      </c>
      <c r="I34" s="99">
        <f t="shared" ca="1" si="0"/>
        <v>0</v>
      </c>
      <c r="J34" s="99">
        <f t="shared" ca="1" si="1"/>
        <v>0</v>
      </c>
      <c r="K34" s="99">
        <f t="shared" ca="1" si="2"/>
        <v>0</v>
      </c>
      <c r="L34" s="99">
        <f ca="1">_xll.DBRW($B$9,$C$16,$C$17,L$23,L$22,$C$18,$C$19,$B34,L$24)</f>
        <v>0</v>
      </c>
      <c r="M34" s="99">
        <f ca="1">_xll.DBRW($B$9,$C$16,$C$17,L$23,L$22,$C$18,$C$19,$B34,M$24)</f>
        <v>0</v>
      </c>
      <c r="N34" s="99">
        <f ca="1">_xll.DBRW($B$9,$C$16,$C$17,L$23,L$22,$C$18,$C$19,$B34,N$24)</f>
        <v>0</v>
      </c>
      <c r="O34" s="99">
        <f ca="1">_xll.DBRW($B$9,$C$16,$C$17,O$23,L$22,$C$18,$C$19,$B34,O$24)</f>
        <v>0</v>
      </c>
      <c r="P34" s="99">
        <f ca="1">_xll.DBRW($B$9,$C$16,$C$17,O$23,L$22,$C$18,$C$19,$B34,P$24)</f>
        <v>0</v>
      </c>
      <c r="Q34" s="99">
        <f ca="1">_xll.DBRW($B$9,$C$16,$C$17,O$23,L$22,$C$18,$C$19,$B34,Q$24)</f>
        <v>0</v>
      </c>
      <c r="R34" s="99">
        <f t="shared" ca="1" si="3"/>
        <v>0</v>
      </c>
      <c r="S34" s="99">
        <f t="shared" ca="1" si="4"/>
        <v>0</v>
      </c>
      <c r="T34" s="99">
        <f t="shared" ca="1" si="5"/>
        <v>0</v>
      </c>
      <c r="U34" s="99">
        <f ca="1">_xll.DBRW($B$9,$C$16,$C$17,U$23,U$22,$C$18,$C$19,$B34,U$24)</f>
        <v>0</v>
      </c>
      <c r="V34" s="99">
        <f ca="1">_xll.DBRW($B$9,$C$16,$C$17,U$23,U$22,$C$18,$C$19,$B34,V$24)</f>
        <v>0</v>
      </c>
      <c r="W34" s="99">
        <f ca="1">_xll.DBRW($B$9,$C$16,$C$17,U$23,U$22,$C$18,$C$19,$B34,W$24)</f>
        <v>0</v>
      </c>
      <c r="X34" s="99">
        <f ca="1">_xll.DBRW($B$9,$C$16,$C$17,X$23,U$22,$C$18,$C$19,$B34,X$24)</f>
        <v>0</v>
      </c>
      <c r="Y34" s="99">
        <f ca="1">_xll.DBRW($B$9,$C$16,$C$17,X$23,U$22,$C$18,$C$19,$B34,Y$24)</f>
        <v>0</v>
      </c>
      <c r="Z34" s="99">
        <f ca="1">_xll.DBRW($B$9,$C$16,$C$17,X$23,U$22,$C$18,$C$19,$B34,Z$24)</f>
        <v>0</v>
      </c>
      <c r="AA34" s="99">
        <f t="shared" ca="1" si="6"/>
        <v>0</v>
      </c>
      <c r="AB34" s="99">
        <f t="shared" ca="1" si="7"/>
        <v>0</v>
      </c>
      <c r="AC34" s="99">
        <f t="shared" ca="1" si="8"/>
        <v>0</v>
      </c>
      <c r="AD34" s="99">
        <f ca="1">_xll.DBRW($B$9,$C$16,$C$17,AD$23,AD$22,$C$18,$C$19,$B34,AD$24)</f>
        <v>0</v>
      </c>
      <c r="AE34" s="99">
        <f ca="1">_xll.DBRW($B$9,$C$16,$C$17,AD$23,AD$22,$C$18,$C$19,$B34,AE$24)</f>
        <v>0</v>
      </c>
      <c r="AF34" s="99">
        <f ca="1">_xll.DBRW($B$9,$C$16,$C$17,AD$23,AD$22,$C$18,$C$19,$B34,AF$24)</f>
        <v>0</v>
      </c>
      <c r="AG34" s="99">
        <f ca="1">_xll.DBRW($B$9,$C$16,$C$17,AG$23,AD$22,$C$18,$C$19,$B34,AG$24)</f>
        <v>0</v>
      </c>
      <c r="AH34" s="99">
        <f ca="1">_xll.DBRW($B$9,$C$16,$C$17,AG$23,AD$22,$C$18,$C$19,$B34,AH$24)</f>
        <v>0</v>
      </c>
      <c r="AI34" s="99">
        <f ca="1">_xll.DBRW($B$9,$C$16,$C$17,AG$23,AD$22,$C$18,$C$19,$B34,AI$24)</f>
        <v>0</v>
      </c>
      <c r="AJ34" s="99">
        <f t="shared" ca="1" si="9"/>
        <v>0</v>
      </c>
      <c r="AK34" s="99">
        <f t="shared" ca="1" si="10"/>
        <v>0</v>
      </c>
      <c r="AL34" s="99">
        <f t="shared" ca="1" si="11"/>
        <v>0</v>
      </c>
    </row>
    <row r="35" spans="1:38" x14ac:dyDescent="0.25">
      <c r="A35">
        <f ca="1">IF(_xll.TM1RPTELISCONSOLIDATED($B$25,$B35),IF(_xll.TM1RPTELLEV($B$25,$B35)&lt;=3,_xll.TM1RPTELLEV($B$25,$B35),"D"),"N")</f>
        <v>3</v>
      </c>
      <c r="B35" s="136" t="s">
        <v>49</v>
      </c>
      <c r="C35" s="100">
        <f ca="1">_xll.DBRW($B$9,$C$16,$C$17,C$23,C$22,$C$18,$C$19,$B35,C$24)</f>
        <v>0</v>
      </c>
      <c r="D35" s="100">
        <f ca="1">_xll.DBRW($B$9,$C$16,$C$17,C$23,C$22,$C$18,$C$19,$B35,D$24)</f>
        <v>0</v>
      </c>
      <c r="E35" s="100">
        <f ca="1">_xll.DBRW($B$9,$C$16,$C$17,C$23,C$22,$C$18,$C$19,$B35,E$24)</f>
        <v>0</v>
      </c>
      <c r="F35" s="100">
        <f ca="1">_xll.DBRW($B$9,$C$16,$C$17,F$23,C$22,$C$18,$C$19,$B35,F$24)</f>
        <v>0</v>
      </c>
      <c r="G35" s="100">
        <f ca="1">_xll.DBRW($B$9,$C$16,$C$17,F$23,C$22,$C$18,$C$19,$B35,G$24)</f>
        <v>0</v>
      </c>
      <c r="H35" s="100">
        <f ca="1">_xll.DBRW($B$9,$C$16,$C$17,F$23,C$22,$C$18,$C$19,$B35,H$24)</f>
        <v>0</v>
      </c>
      <c r="I35" s="100">
        <f t="shared" ca="1" si="0"/>
        <v>0</v>
      </c>
      <c r="J35" s="100">
        <f t="shared" ca="1" si="1"/>
        <v>0</v>
      </c>
      <c r="K35" s="100">
        <f t="shared" ca="1" si="2"/>
        <v>0</v>
      </c>
      <c r="L35" s="100">
        <f ca="1">_xll.DBRW($B$9,$C$16,$C$17,L$23,L$22,$C$18,$C$19,$B35,L$24)</f>
        <v>0</v>
      </c>
      <c r="M35" s="100">
        <f ca="1">_xll.DBRW($B$9,$C$16,$C$17,L$23,L$22,$C$18,$C$19,$B35,M$24)</f>
        <v>0</v>
      </c>
      <c r="N35" s="100">
        <f ca="1">_xll.DBRW($B$9,$C$16,$C$17,L$23,L$22,$C$18,$C$19,$B35,N$24)</f>
        <v>0</v>
      </c>
      <c r="O35" s="100">
        <f ca="1">_xll.DBRW($B$9,$C$16,$C$17,O$23,L$22,$C$18,$C$19,$B35,O$24)</f>
        <v>0</v>
      </c>
      <c r="P35" s="100">
        <f ca="1">_xll.DBRW($B$9,$C$16,$C$17,O$23,L$22,$C$18,$C$19,$B35,P$24)</f>
        <v>0</v>
      </c>
      <c r="Q35" s="100">
        <f ca="1">_xll.DBRW($B$9,$C$16,$C$17,O$23,L$22,$C$18,$C$19,$B35,Q$24)</f>
        <v>0</v>
      </c>
      <c r="R35" s="100">
        <f t="shared" ca="1" si="3"/>
        <v>0</v>
      </c>
      <c r="S35" s="100">
        <f t="shared" ca="1" si="4"/>
        <v>0</v>
      </c>
      <c r="T35" s="100">
        <f t="shared" ca="1" si="5"/>
        <v>0</v>
      </c>
      <c r="U35" s="100">
        <f ca="1">_xll.DBRW($B$9,$C$16,$C$17,U$23,U$22,$C$18,$C$19,$B35,U$24)</f>
        <v>0</v>
      </c>
      <c r="V35" s="100">
        <f ca="1">_xll.DBRW($B$9,$C$16,$C$17,U$23,U$22,$C$18,$C$19,$B35,V$24)</f>
        <v>0</v>
      </c>
      <c r="W35" s="100">
        <f ca="1">_xll.DBRW($B$9,$C$16,$C$17,U$23,U$22,$C$18,$C$19,$B35,W$24)</f>
        <v>0</v>
      </c>
      <c r="X35" s="100">
        <f ca="1">_xll.DBRW($B$9,$C$16,$C$17,X$23,U$22,$C$18,$C$19,$B35,X$24)</f>
        <v>0</v>
      </c>
      <c r="Y35" s="100">
        <f ca="1">_xll.DBRW($B$9,$C$16,$C$17,X$23,U$22,$C$18,$C$19,$B35,Y$24)</f>
        <v>0</v>
      </c>
      <c r="Z35" s="100">
        <f ca="1">_xll.DBRW($B$9,$C$16,$C$17,X$23,U$22,$C$18,$C$19,$B35,Z$24)</f>
        <v>0</v>
      </c>
      <c r="AA35" s="100">
        <f t="shared" ca="1" si="6"/>
        <v>0</v>
      </c>
      <c r="AB35" s="100">
        <f t="shared" ca="1" si="7"/>
        <v>0</v>
      </c>
      <c r="AC35" s="100">
        <f t="shared" ca="1" si="8"/>
        <v>0</v>
      </c>
      <c r="AD35" s="100">
        <f ca="1">_xll.DBRW($B$9,$C$16,$C$17,AD$23,AD$22,$C$18,$C$19,$B35,AD$24)</f>
        <v>0</v>
      </c>
      <c r="AE35" s="100">
        <f ca="1">_xll.DBRW($B$9,$C$16,$C$17,AD$23,AD$22,$C$18,$C$19,$B35,AE$24)</f>
        <v>0</v>
      </c>
      <c r="AF35" s="100">
        <f ca="1">_xll.DBRW($B$9,$C$16,$C$17,AD$23,AD$22,$C$18,$C$19,$B35,AF$24)</f>
        <v>0</v>
      </c>
      <c r="AG35" s="100">
        <f ca="1">_xll.DBRW($B$9,$C$16,$C$17,AG$23,AD$22,$C$18,$C$19,$B35,AG$24)</f>
        <v>0</v>
      </c>
      <c r="AH35" s="100">
        <f ca="1">_xll.DBRW($B$9,$C$16,$C$17,AG$23,AD$22,$C$18,$C$19,$B35,AH$24)</f>
        <v>0</v>
      </c>
      <c r="AI35" s="100">
        <f ca="1">_xll.DBRW($B$9,$C$16,$C$17,AG$23,AD$22,$C$18,$C$19,$B35,AI$24)</f>
        <v>0</v>
      </c>
      <c r="AJ35" s="100">
        <f t="shared" ca="1" si="9"/>
        <v>0</v>
      </c>
      <c r="AK35" s="100">
        <f t="shared" ca="1" si="10"/>
        <v>0</v>
      </c>
      <c r="AL35" s="100">
        <f t="shared" ca="1" si="11"/>
        <v>0</v>
      </c>
    </row>
    <row r="36" spans="1:38" x14ac:dyDescent="0.25">
      <c r="A36">
        <f ca="1">IF(_xll.TM1RPTELISCONSOLIDATED($B$25,$B36),IF(_xll.TM1RPTELLEV($B$25,$B36)&lt;=3,_xll.TM1RPTELLEV($B$25,$B36),"D"),"N")</f>
        <v>3</v>
      </c>
      <c r="B36" s="136" t="s">
        <v>50</v>
      </c>
      <c r="C36" s="100">
        <f ca="1">_xll.DBRW($B$9,$C$16,$C$17,C$23,C$22,$C$18,$C$19,$B36,C$24)</f>
        <v>0</v>
      </c>
      <c r="D36" s="100">
        <f ca="1">_xll.DBRW($B$9,$C$16,$C$17,C$23,C$22,$C$18,$C$19,$B36,D$24)</f>
        <v>0</v>
      </c>
      <c r="E36" s="100">
        <f ca="1">_xll.DBRW($B$9,$C$16,$C$17,C$23,C$22,$C$18,$C$19,$B36,E$24)</f>
        <v>0</v>
      </c>
      <c r="F36" s="100">
        <f ca="1">_xll.DBRW($B$9,$C$16,$C$17,F$23,C$22,$C$18,$C$19,$B36,F$24)</f>
        <v>0</v>
      </c>
      <c r="G36" s="100">
        <f ca="1">_xll.DBRW($B$9,$C$16,$C$17,F$23,C$22,$C$18,$C$19,$B36,G$24)</f>
        <v>0</v>
      </c>
      <c r="H36" s="100">
        <f ca="1">_xll.DBRW($B$9,$C$16,$C$17,F$23,C$22,$C$18,$C$19,$B36,H$24)</f>
        <v>0</v>
      </c>
      <c r="I36" s="100">
        <f t="shared" ca="1" si="0"/>
        <v>0</v>
      </c>
      <c r="J36" s="100">
        <f t="shared" ca="1" si="1"/>
        <v>0</v>
      </c>
      <c r="K36" s="100">
        <f t="shared" ca="1" si="2"/>
        <v>0</v>
      </c>
      <c r="L36" s="100">
        <f ca="1">_xll.DBRW($B$9,$C$16,$C$17,L$23,L$22,$C$18,$C$19,$B36,L$24)</f>
        <v>0</v>
      </c>
      <c r="M36" s="100">
        <f ca="1">_xll.DBRW($B$9,$C$16,$C$17,L$23,L$22,$C$18,$C$19,$B36,M$24)</f>
        <v>0</v>
      </c>
      <c r="N36" s="100">
        <f ca="1">_xll.DBRW($B$9,$C$16,$C$17,L$23,L$22,$C$18,$C$19,$B36,N$24)</f>
        <v>0</v>
      </c>
      <c r="O36" s="100">
        <f ca="1">_xll.DBRW($B$9,$C$16,$C$17,O$23,L$22,$C$18,$C$19,$B36,O$24)</f>
        <v>0</v>
      </c>
      <c r="P36" s="100">
        <f ca="1">_xll.DBRW($B$9,$C$16,$C$17,O$23,L$22,$C$18,$C$19,$B36,P$24)</f>
        <v>0</v>
      </c>
      <c r="Q36" s="100">
        <f ca="1">_xll.DBRW($B$9,$C$16,$C$17,O$23,L$22,$C$18,$C$19,$B36,Q$24)</f>
        <v>0</v>
      </c>
      <c r="R36" s="100">
        <f t="shared" ca="1" si="3"/>
        <v>0</v>
      </c>
      <c r="S36" s="100">
        <f t="shared" ca="1" si="4"/>
        <v>0</v>
      </c>
      <c r="T36" s="100">
        <f t="shared" ca="1" si="5"/>
        <v>0</v>
      </c>
      <c r="U36" s="100">
        <f ca="1">_xll.DBRW($B$9,$C$16,$C$17,U$23,U$22,$C$18,$C$19,$B36,U$24)</f>
        <v>0</v>
      </c>
      <c r="V36" s="100">
        <f ca="1">_xll.DBRW($B$9,$C$16,$C$17,U$23,U$22,$C$18,$C$19,$B36,V$24)</f>
        <v>0</v>
      </c>
      <c r="W36" s="100">
        <f ca="1">_xll.DBRW($B$9,$C$16,$C$17,U$23,U$22,$C$18,$C$19,$B36,W$24)</f>
        <v>0</v>
      </c>
      <c r="X36" s="100">
        <f ca="1">_xll.DBRW($B$9,$C$16,$C$17,X$23,U$22,$C$18,$C$19,$B36,X$24)</f>
        <v>0</v>
      </c>
      <c r="Y36" s="100">
        <f ca="1">_xll.DBRW($B$9,$C$16,$C$17,X$23,U$22,$C$18,$C$19,$B36,Y$24)</f>
        <v>0</v>
      </c>
      <c r="Z36" s="100">
        <f ca="1">_xll.DBRW($B$9,$C$16,$C$17,X$23,U$22,$C$18,$C$19,$B36,Z$24)</f>
        <v>0</v>
      </c>
      <c r="AA36" s="100">
        <f t="shared" ca="1" si="6"/>
        <v>0</v>
      </c>
      <c r="AB36" s="100">
        <f t="shared" ca="1" si="7"/>
        <v>0</v>
      </c>
      <c r="AC36" s="100">
        <f t="shared" ca="1" si="8"/>
        <v>0</v>
      </c>
      <c r="AD36" s="100">
        <f ca="1">_xll.DBRW($B$9,$C$16,$C$17,AD$23,AD$22,$C$18,$C$19,$B36,AD$24)</f>
        <v>0</v>
      </c>
      <c r="AE36" s="100">
        <f ca="1">_xll.DBRW($B$9,$C$16,$C$17,AD$23,AD$22,$C$18,$C$19,$B36,AE$24)</f>
        <v>0</v>
      </c>
      <c r="AF36" s="100">
        <f ca="1">_xll.DBRW($B$9,$C$16,$C$17,AD$23,AD$22,$C$18,$C$19,$B36,AF$24)</f>
        <v>0</v>
      </c>
      <c r="AG36" s="100">
        <f ca="1">_xll.DBRW($B$9,$C$16,$C$17,AG$23,AD$22,$C$18,$C$19,$B36,AG$24)</f>
        <v>0</v>
      </c>
      <c r="AH36" s="100">
        <f ca="1">_xll.DBRW($B$9,$C$16,$C$17,AG$23,AD$22,$C$18,$C$19,$B36,AH$24)</f>
        <v>0</v>
      </c>
      <c r="AI36" s="100">
        <f ca="1">_xll.DBRW($B$9,$C$16,$C$17,AG$23,AD$22,$C$18,$C$19,$B36,AI$24)</f>
        <v>0</v>
      </c>
      <c r="AJ36" s="100">
        <f t="shared" ca="1" si="9"/>
        <v>0</v>
      </c>
      <c r="AK36" s="100">
        <f t="shared" ca="1" si="10"/>
        <v>0</v>
      </c>
      <c r="AL36" s="100">
        <f t="shared" ca="1" si="11"/>
        <v>0</v>
      </c>
    </row>
    <row r="37" spans="1:38" x14ac:dyDescent="0.25">
      <c r="A37">
        <f ca="1">IF(_xll.TM1RPTELISCONSOLIDATED($B$25,$B37),IF(_xll.TM1RPTELLEV($B$25,$B37)&lt;=3,_xll.TM1RPTELLEV($B$25,$B37),"D"),"N")</f>
        <v>3</v>
      </c>
      <c r="B37" s="136" t="s">
        <v>51</v>
      </c>
      <c r="C37" s="100">
        <f ca="1">_xll.DBRW($B$9,$C$16,$C$17,C$23,C$22,$C$18,$C$19,$B37,C$24)</f>
        <v>0</v>
      </c>
      <c r="D37" s="100">
        <f ca="1">_xll.DBRW($B$9,$C$16,$C$17,C$23,C$22,$C$18,$C$19,$B37,D$24)</f>
        <v>0</v>
      </c>
      <c r="E37" s="100">
        <f ca="1">_xll.DBRW($B$9,$C$16,$C$17,C$23,C$22,$C$18,$C$19,$B37,E$24)</f>
        <v>0</v>
      </c>
      <c r="F37" s="100">
        <f ca="1">_xll.DBRW($B$9,$C$16,$C$17,F$23,C$22,$C$18,$C$19,$B37,F$24)</f>
        <v>0</v>
      </c>
      <c r="G37" s="100">
        <f ca="1">_xll.DBRW($B$9,$C$16,$C$17,F$23,C$22,$C$18,$C$19,$B37,G$24)</f>
        <v>0</v>
      </c>
      <c r="H37" s="100">
        <f ca="1">_xll.DBRW($B$9,$C$16,$C$17,F$23,C$22,$C$18,$C$19,$B37,H$24)</f>
        <v>0</v>
      </c>
      <c r="I37" s="100">
        <f t="shared" ca="1" si="0"/>
        <v>0</v>
      </c>
      <c r="J37" s="100">
        <f t="shared" ca="1" si="1"/>
        <v>0</v>
      </c>
      <c r="K37" s="100">
        <f t="shared" ca="1" si="2"/>
        <v>0</v>
      </c>
      <c r="L37" s="100">
        <f ca="1">_xll.DBRW($B$9,$C$16,$C$17,L$23,L$22,$C$18,$C$19,$B37,L$24)</f>
        <v>0</v>
      </c>
      <c r="M37" s="100">
        <f ca="1">_xll.DBRW($B$9,$C$16,$C$17,L$23,L$22,$C$18,$C$19,$B37,M$24)</f>
        <v>0</v>
      </c>
      <c r="N37" s="100">
        <f ca="1">_xll.DBRW($B$9,$C$16,$C$17,L$23,L$22,$C$18,$C$19,$B37,N$24)</f>
        <v>0</v>
      </c>
      <c r="O37" s="100">
        <f ca="1">_xll.DBRW($B$9,$C$16,$C$17,O$23,L$22,$C$18,$C$19,$B37,O$24)</f>
        <v>0</v>
      </c>
      <c r="P37" s="100">
        <f ca="1">_xll.DBRW($B$9,$C$16,$C$17,O$23,L$22,$C$18,$C$19,$B37,P$24)</f>
        <v>0</v>
      </c>
      <c r="Q37" s="100">
        <f ca="1">_xll.DBRW($B$9,$C$16,$C$17,O$23,L$22,$C$18,$C$19,$B37,Q$24)</f>
        <v>0</v>
      </c>
      <c r="R37" s="100">
        <f t="shared" ca="1" si="3"/>
        <v>0</v>
      </c>
      <c r="S37" s="100">
        <f t="shared" ca="1" si="4"/>
        <v>0</v>
      </c>
      <c r="T37" s="100">
        <f t="shared" ca="1" si="5"/>
        <v>0</v>
      </c>
      <c r="U37" s="100">
        <f ca="1">_xll.DBRW($B$9,$C$16,$C$17,U$23,U$22,$C$18,$C$19,$B37,U$24)</f>
        <v>0</v>
      </c>
      <c r="V37" s="100">
        <f ca="1">_xll.DBRW($B$9,$C$16,$C$17,U$23,U$22,$C$18,$C$19,$B37,V$24)</f>
        <v>0</v>
      </c>
      <c r="W37" s="100">
        <f ca="1">_xll.DBRW($B$9,$C$16,$C$17,U$23,U$22,$C$18,$C$19,$B37,W$24)</f>
        <v>0</v>
      </c>
      <c r="X37" s="100">
        <f ca="1">_xll.DBRW($B$9,$C$16,$C$17,X$23,U$22,$C$18,$C$19,$B37,X$24)</f>
        <v>0</v>
      </c>
      <c r="Y37" s="100">
        <f ca="1">_xll.DBRW($B$9,$C$16,$C$17,X$23,U$22,$C$18,$C$19,$B37,Y$24)</f>
        <v>0</v>
      </c>
      <c r="Z37" s="100">
        <f ca="1">_xll.DBRW($B$9,$C$16,$C$17,X$23,U$22,$C$18,$C$19,$B37,Z$24)</f>
        <v>0</v>
      </c>
      <c r="AA37" s="100">
        <f t="shared" ca="1" si="6"/>
        <v>0</v>
      </c>
      <c r="AB37" s="100">
        <f t="shared" ca="1" si="7"/>
        <v>0</v>
      </c>
      <c r="AC37" s="100">
        <f t="shared" ca="1" si="8"/>
        <v>0</v>
      </c>
      <c r="AD37" s="100">
        <f ca="1">_xll.DBRW($B$9,$C$16,$C$17,AD$23,AD$22,$C$18,$C$19,$B37,AD$24)</f>
        <v>0</v>
      </c>
      <c r="AE37" s="100">
        <f ca="1">_xll.DBRW($B$9,$C$16,$C$17,AD$23,AD$22,$C$18,$C$19,$B37,AE$24)</f>
        <v>0</v>
      </c>
      <c r="AF37" s="100">
        <f ca="1">_xll.DBRW($B$9,$C$16,$C$17,AD$23,AD$22,$C$18,$C$19,$B37,AF$24)</f>
        <v>0</v>
      </c>
      <c r="AG37" s="100">
        <f ca="1">_xll.DBRW($B$9,$C$16,$C$17,AG$23,AD$22,$C$18,$C$19,$B37,AG$24)</f>
        <v>0</v>
      </c>
      <c r="AH37" s="100">
        <f ca="1">_xll.DBRW($B$9,$C$16,$C$17,AG$23,AD$22,$C$18,$C$19,$B37,AH$24)</f>
        <v>0</v>
      </c>
      <c r="AI37" s="100">
        <f ca="1">_xll.DBRW($B$9,$C$16,$C$17,AG$23,AD$22,$C$18,$C$19,$B37,AI$24)</f>
        <v>0</v>
      </c>
      <c r="AJ37" s="100">
        <f t="shared" ca="1" si="9"/>
        <v>0</v>
      </c>
      <c r="AK37" s="100">
        <f t="shared" ca="1" si="10"/>
        <v>0</v>
      </c>
      <c r="AL37" s="100">
        <f t="shared" ca="1" si="11"/>
        <v>0</v>
      </c>
    </row>
    <row r="38" spans="1:38" x14ac:dyDescent="0.25">
      <c r="A38">
        <f ca="1">IF(_xll.TM1RPTELISCONSOLIDATED($B$25,$B38),IF(_xll.TM1RPTELLEV($B$25,$B38)&lt;=3,_xll.TM1RPTELLEV($B$25,$B38),"D"),"N")</f>
        <v>3</v>
      </c>
      <c r="B38" s="136" t="s">
        <v>52</v>
      </c>
      <c r="C38" s="100">
        <f ca="1">_xll.DBRW($B$9,$C$16,$C$17,C$23,C$22,$C$18,$C$19,$B38,C$24)</f>
        <v>0</v>
      </c>
      <c r="D38" s="100">
        <f ca="1">_xll.DBRW($B$9,$C$16,$C$17,C$23,C$22,$C$18,$C$19,$B38,D$24)</f>
        <v>0</v>
      </c>
      <c r="E38" s="100">
        <f ca="1">_xll.DBRW($B$9,$C$16,$C$17,C$23,C$22,$C$18,$C$19,$B38,E$24)</f>
        <v>0</v>
      </c>
      <c r="F38" s="100">
        <f ca="1">_xll.DBRW($B$9,$C$16,$C$17,F$23,C$22,$C$18,$C$19,$B38,F$24)</f>
        <v>0</v>
      </c>
      <c r="G38" s="100">
        <f ca="1">_xll.DBRW($B$9,$C$16,$C$17,F$23,C$22,$C$18,$C$19,$B38,G$24)</f>
        <v>0</v>
      </c>
      <c r="H38" s="100">
        <f ca="1">_xll.DBRW($B$9,$C$16,$C$17,F$23,C$22,$C$18,$C$19,$B38,H$24)</f>
        <v>0</v>
      </c>
      <c r="I38" s="100">
        <f t="shared" ca="1" si="0"/>
        <v>0</v>
      </c>
      <c r="J38" s="100">
        <f t="shared" ca="1" si="1"/>
        <v>0</v>
      </c>
      <c r="K38" s="100">
        <f t="shared" ca="1" si="2"/>
        <v>0</v>
      </c>
      <c r="L38" s="100">
        <f ca="1">_xll.DBRW($B$9,$C$16,$C$17,L$23,L$22,$C$18,$C$19,$B38,L$24)</f>
        <v>0</v>
      </c>
      <c r="M38" s="100">
        <f ca="1">_xll.DBRW($B$9,$C$16,$C$17,L$23,L$22,$C$18,$C$19,$B38,M$24)</f>
        <v>0</v>
      </c>
      <c r="N38" s="100">
        <f ca="1">_xll.DBRW($B$9,$C$16,$C$17,L$23,L$22,$C$18,$C$19,$B38,N$24)</f>
        <v>0</v>
      </c>
      <c r="O38" s="100">
        <f ca="1">_xll.DBRW($B$9,$C$16,$C$17,O$23,L$22,$C$18,$C$19,$B38,O$24)</f>
        <v>0</v>
      </c>
      <c r="P38" s="100">
        <f ca="1">_xll.DBRW($B$9,$C$16,$C$17,O$23,L$22,$C$18,$C$19,$B38,P$24)</f>
        <v>0</v>
      </c>
      <c r="Q38" s="100">
        <f ca="1">_xll.DBRW($B$9,$C$16,$C$17,O$23,L$22,$C$18,$C$19,$B38,Q$24)</f>
        <v>0</v>
      </c>
      <c r="R38" s="100">
        <f t="shared" ca="1" si="3"/>
        <v>0</v>
      </c>
      <c r="S38" s="100">
        <f t="shared" ca="1" si="4"/>
        <v>0</v>
      </c>
      <c r="T38" s="100">
        <f t="shared" ca="1" si="5"/>
        <v>0</v>
      </c>
      <c r="U38" s="100">
        <f ca="1">_xll.DBRW($B$9,$C$16,$C$17,U$23,U$22,$C$18,$C$19,$B38,U$24)</f>
        <v>0</v>
      </c>
      <c r="V38" s="100">
        <f ca="1">_xll.DBRW($B$9,$C$16,$C$17,U$23,U$22,$C$18,$C$19,$B38,V$24)</f>
        <v>0</v>
      </c>
      <c r="W38" s="100">
        <f ca="1">_xll.DBRW($B$9,$C$16,$C$17,U$23,U$22,$C$18,$C$19,$B38,W$24)</f>
        <v>0</v>
      </c>
      <c r="X38" s="100">
        <f ca="1">_xll.DBRW($B$9,$C$16,$C$17,X$23,U$22,$C$18,$C$19,$B38,X$24)</f>
        <v>0</v>
      </c>
      <c r="Y38" s="100">
        <f ca="1">_xll.DBRW($B$9,$C$16,$C$17,X$23,U$22,$C$18,$C$19,$B38,Y$24)</f>
        <v>0</v>
      </c>
      <c r="Z38" s="100">
        <f ca="1">_xll.DBRW($B$9,$C$16,$C$17,X$23,U$22,$C$18,$C$19,$B38,Z$24)</f>
        <v>0</v>
      </c>
      <c r="AA38" s="100">
        <f t="shared" ca="1" si="6"/>
        <v>0</v>
      </c>
      <c r="AB38" s="100">
        <f t="shared" ca="1" si="7"/>
        <v>0</v>
      </c>
      <c r="AC38" s="100">
        <f t="shared" ca="1" si="8"/>
        <v>0</v>
      </c>
      <c r="AD38" s="100">
        <f ca="1">_xll.DBRW($B$9,$C$16,$C$17,AD$23,AD$22,$C$18,$C$19,$B38,AD$24)</f>
        <v>0</v>
      </c>
      <c r="AE38" s="100">
        <f ca="1">_xll.DBRW($B$9,$C$16,$C$17,AD$23,AD$22,$C$18,$C$19,$B38,AE$24)</f>
        <v>0</v>
      </c>
      <c r="AF38" s="100">
        <f ca="1">_xll.DBRW($B$9,$C$16,$C$17,AD$23,AD$22,$C$18,$C$19,$B38,AF$24)</f>
        <v>0</v>
      </c>
      <c r="AG38" s="100">
        <f ca="1">_xll.DBRW($B$9,$C$16,$C$17,AG$23,AD$22,$C$18,$C$19,$B38,AG$24)</f>
        <v>0</v>
      </c>
      <c r="AH38" s="100">
        <f ca="1">_xll.DBRW($B$9,$C$16,$C$17,AG$23,AD$22,$C$18,$C$19,$B38,AH$24)</f>
        <v>0</v>
      </c>
      <c r="AI38" s="100">
        <f ca="1">_xll.DBRW($B$9,$C$16,$C$17,AG$23,AD$22,$C$18,$C$19,$B38,AI$24)</f>
        <v>0</v>
      </c>
      <c r="AJ38" s="100">
        <f t="shared" ca="1" si="9"/>
        <v>0</v>
      </c>
      <c r="AK38" s="100">
        <f t="shared" ca="1" si="10"/>
        <v>0</v>
      </c>
      <c r="AL38" s="100">
        <f t="shared" ca="1" si="11"/>
        <v>0</v>
      </c>
    </row>
    <row r="39" spans="1:38" x14ac:dyDescent="0.25">
      <c r="A39">
        <f ca="1">IF(_xll.TM1RPTELISCONSOLIDATED($B$25,$B39),IF(_xll.TM1RPTELLEV($B$25,$B39)&lt;=3,_xll.TM1RPTELLEV($B$25,$B39),"D"),"N")</f>
        <v>3</v>
      </c>
      <c r="B39" s="136" t="s">
        <v>53</v>
      </c>
      <c r="C39" s="100">
        <f ca="1">_xll.DBRW($B$9,$C$16,$C$17,C$23,C$22,$C$18,$C$19,$B39,C$24)</f>
        <v>0</v>
      </c>
      <c r="D39" s="100">
        <f ca="1">_xll.DBRW($B$9,$C$16,$C$17,C$23,C$22,$C$18,$C$19,$B39,D$24)</f>
        <v>0</v>
      </c>
      <c r="E39" s="100">
        <f ca="1">_xll.DBRW($B$9,$C$16,$C$17,C$23,C$22,$C$18,$C$19,$B39,E$24)</f>
        <v>0</v>
      </c>
      <c r="F39" s="100">
        <f ca="1">_xll.DBRW($B$9,$C$16,$C$17,F$23,C$22,$C$18,$C$19,$B39,F$24)</f>
        <v>0</v>
      </c>
      <c r="G39" s="100">
        <f ca="1">_xll.DBRW($B$9,$C$16,$C$17,F$23,C$22,$C$18,$C$19,$B39,G$24)</f>
        <v>0</v>
      </c>
      <c r="H39" s="100">
        <f ca="1">_xll.DBRW($B$9,$C$16,$C$17,F$23,C$22,$C$18,$C$19,$B39,H$24)</f>
        <v>0</v>
      </c>
      <c r="I39" s="100">
        <f t="shared" ca="1" si="0"/>
        <v>0</v>
      </c>
      <c r="J39" s="100">
        <f t="shared" ca="1" si="1"/>
        <v>0</v>
      </c>
      <c r="K39" s="100">
        <f t="shared" ca="1" si="2"/>
        <v>0</v>
      </c>
      <c r="L39" s="100">
        <f ca="1">_xll.DBRW($B$9,$C$16,$C$17,L$23,L$22,$C$18,$C$19,$B39,L$24)</f>
        <v>0</v>
      </c>
      <c r="M39" s="100">
        <f ca="1">_xll.DBRW($B$9,$C$16,$C$17,L$23,L$22,$C$18,$C$19,$B39,M$24)</f>
        <v>0</v>
      </c>
      <c r="N39" s="100">
        <f ca="1">_xll.DBRW($B$9,$C$16,$C$17,L$23,L$22,$C$18,$C$19,$B39,N$24)</f>
        <v>0</v>
      </c>
      <c r="O39" s="100">
        <f ca="1">_xll.DBRW($B$9,$C$16,$C$17,O$23,L$22,$C$18,$C$19,$B39,O$24)</f>
        <v>0</v>
      </c>
      <c r="P39" s="100">
        <f ca="1">_xll.DBRW($B$9,$C$16,$C$17,O$23,L$22,$C$18,$C$19,$B39,P$24)</f>
        <v>0</v>
      </c>
      <c r="Q39" s="100">
        <f ca="1">_xll.DBRW($B$9,$C$16,$C$17,O$23,L$22,$C$18,$C$19,$B39,Q$24)</f>
        <v>0</v>
      </c>
      <c r="R39" s="100">
        <f t="shared" ca="1" si="3"/>
        <v>0</v>
      </c>
      <c r="S39" s="100">
        <f t="shared" ca="1" si="4"/>
        <v>0</v>
      </c>
      <c r="T39" s="100">
        <f t="shared" ca="1" si="5"/>
        <v>0</v>
      </c>
      <c r="U39" s="100">
        <f ca="1">_xll.DBRW($B$9,$C$16,$C$17,U$23,U$22,$C$18,$C$19,$B39,U$24)</f>
        <v>0</v>
      </c>
      <c r="V39" s="100">
        <f ca="1">_xll.DBRW($B$9,$C$16,$C$17,U$23,U$22,$C$18,$C$19,$B39,V$24)</f>
        <v>0</v>
      </c>
      <c r="W39" s="100">
        <f ca="1">_xll.DBRW($B$9,$C$16,$C$17,U$23,U$22,$C$18,$C$19,$B39,W$24)</f>
        <v>0</v>
      </c>
      <c r="X39" s="100">
        <f ca="1">_xll.DBRW($B$9,$C$16,$C$17,X$23,U$22,$C$18,$C$19,$B39,X$24)</f>
        <v>0</v>
      </c>
      <c r="Y39" s="100">
        <f ca="1">_xll.DBRW($B$9,$C$16,$C$17,X$23,U$22,$C$18,$C$19,$B39,Y$24)</f>
        <v>0</v>
      </c>
      <c r="Z39" s="100">
        <f ca="1">_xll.DBRW($B$9,$C$16,$C$17,X$23,U$22,$C$18,$C$19,$B39,Z$24)</f>
        <v>0</v>
      </c>
      <c r="AA39" s="100">
        <f t="shared" ca="1" si="6"/>
        <v>0</v>
      </c>
      <c r="AB39" s="100">
        <f t="shared" ca="1" si="7"/>
        <v>0</v>
      </c>
      <c r="AC39" s="100">
        <f t="shared" ca="1" si="8"/>
        <v>0</v>
      </c>
      <c r="AD39" s="100">
        <f ca="1">_xll.DBRW($B$9,$C$16,$C$17,AD$23,AD$22,$C$18,$C$19,$B39,AD$24)</f>
        <v>0</v>
      </c>
      <c r="AE39" s="100">
        <f ca="1">_xll.DBRW($B$9,$C$16,$C$17,AD$23,AD$22,$C$18,$C$19,$B39,AE$24)</f>
        <v>0</v>
      </c>
      <c r="AF39" s="100">
        <f ca="1">_xll.DBRW($B$9,$C$16,$C$17,AD$23,AD$22,$C$18,$C$19,$B39,AF$24)</f>
        <v>0</v>
      </c>
      <c r="AG39" s="100">
        <f ca="1">_xll.DBRW($B$9,$C$16,$C$17,AG$23,AD$22,$C$18,$C$19,$B39,AG$24)</f>
        <v>0</v>
      </c>
      <c r="AH39" s="100">
        <f ca="1">_xll.DBRW($B$9,$C$16,$C$17,AG$23,AD$22,$C$18,$C$19,$B39,AH$24)</f>
        <v>0</v>
      </c>
      <c r="AI39" s="100">
        <f ca="1">_xll.DBRW($B$9,$C$16,$C$17,AG$23,AD$22,$C$18,$C$19,$B39,AI$24)</f>
        <v>0</v>
      </c>
      <c r="AJ39" s="100">
        <f t="shared" ca="1" si="9"/>
        <v>0</v>
      </c>
      <c r="AK39" s="100">
        <f t="shared" ca="1" si="10"/>
        <v>0</v>
      </c>
      <c r="AL39" s="100">
        <f t="shared" ca="1" si="11"/>
        <v>0</v>
      </c>
    </row>
    <row r="40" spans="1:38" x14ac:dyDescent="0.25">
      <c r="A40">
        <f ca="1">IF(_xll.TM1RPTELISCONSOLIDATED($B$25,$B40),IF(_xll.TM1RPTELLEV($B$25,$B40)&lt;=3,_xll.TM1RPTELLEV($B$25,$B40),"D"),"N")</f>
        <v>2</v>
      </c>
      <c r="B40" s="135" t="s">
        <v>54</v>
      </c>
      <c r="C40" s="99">
        <f ca="1">_xll.DBRW($B$9,$C$16,$C$17,C$23,C$22,$C$18,$C$19,$B40,C$24)</f>
        <v>0</v>
      </c>
      <c r="D40" s="99">
        <f ca="1">_xll.DBRW($B$9,$C$16,$C$17,C$23,C$22,$C$18,$C$19,$B40,D$24)</f>
        <v>0</v>
      </c>
      <c r="E40" s="99">
        <f ca="1">_xll.DBRW($B$9,$C$16,$C$17,C$23,C$22,$C$18,$C$19,$B40,E$24)</f>
        <v>0</v>
      </c>
      <c r="F40" s="99">
        <f ca="1">_xll.DBRW($B$9,$C$16,$C$17,F$23,C$22,$C$18,$C$19,$B40,F$24)</f>
        <v>0</v>
      </c>
      <c r="G40" s="99">
        <f ca="1">_xll.DBRW($B$9,$C$16,$C$17,F$23,C$22,$C$18,$C$19,$B40,G$24)</f>
        <v>0</v>
      </c>
      <c r="H40" s="99">
        <f ca="1">_xll.DBRW($B$9,$C$16,$C$17,F$23,C$22,$C$18,$C$19,$B40,H$24)</f>
        <v>0</v>
      </c>
      <c r="I40" s="99">
        <f t="shared" ca="1" si="0"/>
        <v>0</v>
      </c>
      <c r="J40" s="99">
        <f t="shared" ca="1" si="1"/>
        <v>0</v>
      </c>
      <c r="K40" s="99">
        <f t="shared" ca="1" si="2"/>
        <v>0</v>
      </c>
      <c r="L40" s="99">
        <f ca="1">_xll.DBRW($B$9,$C$16,$C$17,L$23,L$22,$C$18,$C$19,$B40,L$24)</f>
        <v>0</v>
      </c>
      <c r="M40" s="99">
        <f ca="1">_xll.DBRW($B$9,$C$16,$C$17,L$23,L$22,$C$18,$C$19,$B40,M$24)</f>
        <v>0</v>
      </c>
      <c r="N40" s="99">
        <f ca="1">_xll.DBRW($B$9,$C$16,$C$17,L$23,L$22,$C$18,$C$19,$B40,N$24)</f>
        <v>0</v>
      </c>
      <c r="O40" s="99">
        <f ca="1">_xll.DBRW($B$9,$C$16,$C$17,O$23,L$22,$C$18,$C$19,$B40,O$24)</f>
        <v>0</v>
      </c>
      <c r="P40" s="99">
        <f ca="1">_xll.DBRW($B$9,$C$16,$C$17,O$23,L$22,$C$18,$C$19,$B40,P$24)</f>
        <v>0</v>
      </c>
      <c r="Q40" s="99">
        <f ca="1">_xll.DBRW($B$9,$C$16,$C$17,O$23,L$22,$C$18,$C$19,$B40,Q$24)</f>
        <v>0</v>
      </c>
      <c r="R40" s="99">
        <f t="shared" ca="1" si="3"/>
        <v>0</v>
      </c>
      <c r="S40" s="99">
        <f t="shared" ca="1" si="4"/>
        <v>0</v>
      </c>
      <c r="T40" s="99">
        <f t="shared" ca="1" si="5"/>
        <v>0</v>
      </c>
      <c r="U40" s="99">
        <f ca="1">_xll.DBRW($B$9,$C$16,$C$17,U$23,U$22,$C$18,$C$19,$B40,U$24)</f>
        <v>0</v>
      </c>
      <c r="V40" s="99">
        <f ca="1">_xll.DBRW($B$9,$C$16,$C$17,U$23,U$22,$C$18,$C$19,$B40,V$24)</f>
        <v>0</v>
      </c>
      <c r="W40" s="99">
        <f ca="1">_xll.DBRW($B$9,$C$16,$C$17,U$23,U$22,$C$18,$C$19,$B40,W$24)</f>
        <v>0</v>
      </c>
      <c r="X40" s="99">
        <f ca="1">_xll.DBRW($B$9,$C$16,$C$17,X$23,U$22,$C$18,$C$19,$B40,X$24)</f>
        <v>0</v>
      </c>
      <c r="Y40" s="99">
        <f ca="1">_xll.DBRW($B$9,$C$16,$C$17,X$23,U$22,$C$18,$C$19,$B40,Y$24)</f>
        <v>0</v>
      </c>
      <c r="Z40" s="99">
        <f ca="1">_xll.DBRW($B$9,$C$16,$C$17,X$23,U$22,$C$18,$C$19,$B40,Z$24)</f>
        <v>0</v>
      </c>
      <c r="AA40" s="99">
        <f t="shared" ca="1" si="6"/>
        <v>0</v>
      </c>
      <c r="AB40" s="99">
        <f t="shared" ca="1" si="7"/>
        <v>0</v>
      </c>
      <c r="AC40" s="99">
        <f t="shared" ca="1" si="8"/>
        <v>0</v>
      </c>
      <c r="AD40" s="99">
        <f ca="1">_xll.DBRW($B$9,$C$16,$C$17,AD$23,AD$22,$C$18,$C$19,$B40,AD$24)</f>
        <v>0</v>
      </c>
      <c r="AE40" s="99">
        <f ca="1">_xll.DBRW($B$9,$C$16,$C$17,AD$23,AD$22,$C$18,$C$19,$B40,AE$24)</f>
        <v>0</v>
      </c>
      <c r="AF40" s="99">
        <f ca="1">_xll.DBRW($B$9,$C$16,$C$17,AD$23,AD$22,$C$18,$C$19,$B40,AF$24)</f>
        <v>0</v>
      </c>
      <c r="AG40" s="99">
        <f ca="1">_xll.DBRW($B$9,$C$16,$C$17,AG$23,AD$22,$C$18,$C$19,$B40,AG$24)</f>
        <v>0</v>
      </c>
      <c r="AH40" s="99">
        <f ca="1">_xll.DBRW($B$9,$C$16,$C$17,AG$23,AD$22,$C$18,$C$19,$B40,AH$24)</f>
        <v>0</v>
      </c>
      <c r="AI40" s="99">
        <f ca="1">_xll.DBRW($B$9,$C$16,$C$17,AG$23,AD$22,$C$18,$C$19,$B40,AI$24)</f>
        <v>0</v>
      </c>
      <c r="AJ40" s="99">
        <f t="shared" ca="1" si="9"/>
        <v>0</v>
      </c>
      <c r="AK40" s="99">
        <f t="shared" ca="1" si="10"/>
        <v>0</v>
      </c>
      <c r="AL40" s="99">
        <f t="shared" ca="1" si="11"/>
        <v>0</v>
      </c>
    </row>
    <row r="41" spans="1:38" x14ac:dyDescent="0.25">
      <c r="A41">
        <f ca="1">IF(_xll.TM1RPTELISCONSOLIDATED($B$25,$B41),IF(_xll.TM1RPTELLEV($B$25,$B41)&lt;=3,_xll.TM1RPTELLEV($B$25,$B41),"D"),"N")</f>
        <v>3</v>
      </c>
      <c r="B41" s="136" t="s">
        <v>55</v>
      </c>
      <c r="C41" s="100">
        <f ca="1">_xll.DBRW($B$9,$C$16,$C$17,C$23,C$22,$C$18,$C$19,$B41,C$24)</f>
        <v>0</v>
      </c>
      <c r="D41" s="100">
        <f ca="1">_xll.DBRW($B$9,$C$16,$C$17,C$23,C$22,$C$18,$C$19,$B41,D$24)</f>
        <v>0</v>
      </c>
      <c r="E41" s="100">
        <f ca="1">_xll.DBRW($B$9,$C$16,$C$17,C$23,C$22,$C$18,$C$19,$B41,E$24)</f>
        <v>0</v>
      </c>
      <c r="F41" s="100">
        <f ca="1">_xll.DBRW($B$9,$C$16,$C$17,F$23,C$22,$C$18,$C$19,$B41,F$24)</f>
        <v>0</v>
      </c>
      <c r="G41" s="100">
        <f ca="1">_xll.DBRW($B$9,$C$16,$C$17,F$23,C$22,$C$18,$C$19,$B41,G$24)</f>
        <v>0</v>
      </c>
      <c r="H41" s="100">
        <f ca="1">_xll.DBRW($B$9,$C$16,$C$17,F$23,C$22,$C$18,$C$19,$B41,H$24)</f>
        <v>0</v>
      </c>
      <c r="I41" s="100">
        <f t="shared" ca="1" si="0"/>
        <v>0</v>
      </c>
      <c r="J41" s="100">
        <f t="shared" ca="1" si="1"/>
        <v>0</v>
      </c>
      <c r="K41" s="100">
        <f t="shared" ca="1" si="2"/>
        <v>0</v>
      </c>
      <c r="L41" s="100">
        <f ca="1">_xll.DBRW($B$9,$C$16,$C$17,L$23,L$22,$C$18,$C$19,$B41,L$24)</f>
        <v>0</v>
      </c>
      <c r="M41" s="100">
        <f ca="1">_xll.DBRW($B$9,$C$16,$C$17,L$23,L$22,$C$18,$C$19,$B41,M$24)</f>
        <v>0</v>
      </c>
      <c r="N41" s="100">
        <f ca="1">_xll.DBRW($B$9,$C$16,$C$17,L$23,L$22,$C$18,$C$19,$B41,N$24)</f>
        <v>0</v>
      </c>
      <c r="O41" s="100">
        <f ca="1">_xll.DBRW($B$9,$C$16,$C$17,O$23,L$22,$C$18,$C$19,$B41,O$24)</f>
        <v>0</v>
      </c>
      <c r="P41" s="100">
        <f ca="1">_xll.DBRW($B$9,$C$16,$C$17,O$23,L$22,$C$18,$C$19,$B41,P$24)</f>
        <v>0</v>
      </c>
      <c r="Q41" s="100">
        <f ca="1">_xll.DBRW($B$9,$C$16,$C$17,O$23,L$22,$C$18,$C$19,$B41,Q$24)</f>
        <v>0</v>
      </c>
      <c r="R41" s="100">
        <f t="shared" ca="1" si="3"/>
        <v>0</v>
      </c>
      <c r="S41" s="100">
        <f t="shared" ca="1" si="4"/>
        <v>0</v>
      </c>
      <c r="T41" s="100">
        <f t="shared" ca="1" si="5"/>
        <v>0</v>
      </c>
      <c r="U41" s="100">
        <f ca="1">_xll.DBRW($B$9,$C$16,$C$17,U$23,U$22,$C$18,$C$19,$B41,U$24)</f>
        <v>0</v>
      </c>
      <c r="V41" s="100">
        <f ca="1">_xll.DBRW($B$9,$C$16,$C$17,U$23,U$22,$C$18,$C$19,$B41,V$24)</f>
        <v>0</v>
      </c>
      <c r="W41" s="100">
        <f ca="1">_xll.DBRW($B$9,$C$16,$C$17,U$23,U$22,$C$18,$C$19,$B41,W$24)</f>
        <v>0</v>
      </c>
      <c r="X41" s="100">
        <f ca="1">_xll.DBRW($B$9,$C$16,$C$17,X$23,U$22,$C$18,$C$19,$B41,X$24)</f>
        <v>0</v>
      </c>
      <c r="Y41" s="100">
        <f ca="1">_xll.DBRW($B$9,$C$16,$C$17,X$23,U$22,$C$18,$C$19,$B41,Y$24)</f>
        <v>0</v>
      </c>
      <c r="Z41" s="100">
        <f ca="1">_xll.DBRW($B$9,$C$16,$C$17,X$23,U$22,$C$18,$C$19,$B41,Z$24)</f>
        <v>0</v>
      </c>
      <c r="AA41" s="100">
        <f t="shared" ca="1" si="6"/>
        <v>0</v>
      </c>
      <c r="AB41" s="100">
        <f t="shared" ca="1" si="7"/>
        <v>0</v>
      </c>
      <c r="AC41" s="100">
        <f t="shared" ca="1" si="8"/>
        <v>0</v>
      </c>
      <c r="AD41" s="100">
        <f ca="1">_xll.DBRW($B$9,$C$16,$C$17,AD$23,AD$22,$C$18,$C$19,$B41,AD$24)</f>
        <v>0</v>
      </c>
      <c r="AE41" s="100">
        <f ca="1">_xll.DBRW($B$9,$C$16,$C$17,AD$23,AD$22,$C$18,$C$19,$B41,AE$24)</f>
        <v>0</v>
      </c>
      <c r="AF41" s="100">
        <f ca="1">_xll.DBRW($B$9,$C$16,$C$17,AD$23,AD$22,$C$18,$C$19,$B41,AF$24)</f>
        <v>0</v>
      </c>
      <c r="AG41" s="100">
        <f ca="1">_xll.DBRW($B$9,$C$16,$C$17,AG$23,AD$22,$C$18,$C$19,$B41,AG$24)</f>
        <v>0</v>
      </c>
      <c r="AH41" s="100">
        <f ca="1">_xll.DBRW($B$9,$C$16,$C$17,AG$23,AD$22,$C$18,$C$19,$B41,AH$24)</f>
        <v>0</v>
      </c>
      <c r="AI41" s="100">
        <f ca="1">_xll.DBRW($B$9,$C$16,$C$17,AG$23,AD$22,$C$18,$C$19,$B41,AI$24)</f>
        <v>0</v>
      </c>
      <c r="AJ41" s="100">
        <f t="shared" ca="1" si="9"/>
        <v>0</v>
      </c>
      <c r="AK41" s="100">
        <f t="shared" ca="1" si="10"/>
        <v>0</v>
      </c>
      <c r="AL41" s="100">
        <f t="shared" ca="1" si="11"/>
        <v>0</v>
      </c>
    </row>
    <row r="42" spans="1:38" x14ac:dyDescent="0.25">
      <c r="A42">
        <f ca="1">IF(_xll.TM1RPTELISCONSOLIDATED($B$25,$B42),IF(_xll.TM1RPTELLEV($B$25,$B42)&lt;=3,_xll.TM1RPTELLEV($B$25,$B42),"D"),"N")</f>
        <v>3</v>
      </c>
      <c r="B42" s="136" t="s">
        <v>56</v>
      </c>
      <c r="C42" s="100">
        <f ca="1">_xll.DBRW($B$9,$C$16,$C$17,C$23,C$22,$C$18,$C$19,$B42,C$24)</f>
        <v>0</v>
      </c>
      <c r="D42" s="100">
        <f ca="1">_xll.DBRW($B$9,$C$16,$C$17,C$23,C$22,$C$18,$C$19,$B42,D$24)</f>
        <v>0</v>
      </c>
      <c r="E42" s="100">
        <f ca="1">_xll.DBRW($B$9,$C$16,$C$17,C$23,C$22,$C$18,$C$19,$B42,E$24)</f>
        <v>0</v>
      </c>
      <c r="F42" s="100">
        <f ca="1">_xll.DBRW($B$9,$C$16,$C$17,F$23,C$22,$C$18,$C$19,$B42,F$24)</f>
        <v>0</v>
      </c>
      <c r="G42" s="100">
        <f ca="1">_xll.DBRW($B$9,$C$16,$C$17,F$23,C$22,$C$18,$C$19,$B42,G$24)</f>
        <v>0</v>
      </c>
      <c r="H42" s="100">
        <f ca="1">_xll.DBRW($B$9,$C$16,$C$17,F$23,C$22,$C$18,$C$19,$B42,H$24)</f>
        <v>0</v>
      </c>
      <c r="I42" s="100">
        <f t="shared" ca="1" si="0"/>
        <v>0</v>
      </c>
      <c r="J42" s="100">
        <f t="shared" ca="1" si="1"/>
        <v>0</v>
      </c>
      <c r="K42" s="100">
        <f t="shared" ca="1" si="2"/>
        <v>0</v>
      </c>
      <c r="L42" s="100">
        <f ca="1">_xll.DBRW($B$9,$C$16,$C$17,L$23,L$22,$C$18,$C$19,$B42,L$24)</f>
        <v>0</v>
      </c>
      <c r="M42" s="100">
        <f ca="1">_xll.DBRW($B$9,$C$16,$C$17,L$23,L$22,$C$18,$C$19,$B42,M$24)</f>
        <v>0</v>
      </c>
      <c r="N42" s="100">
        <f ca="1">_xll.DBRW($B$9,$C$16,$C$17,L$23,L$22,$C$18,$C$19,$B42,N$24)</f>
        <v>0</v>
      </c>
      <c r="O42" s="100">
        <f ca="1">_xll.DBRW($B$9,$C$16,$C$17,O$23,L$22,$C$18,$C$19,$B42,O$24)</f>
        <v>0</v>
      </c>
      <c r="P42" s="100">
        <f ca="1">_xll.DBRW($B$9,$C$16,$C$17,O$23,L$22,$C$18,$C$19,$B42,P$24)</f>
        <v>0</v>
      </c>
      <c r="Q42" s="100">
        <f ca="1">_xll.DBRW($B$9,$C$16,$C$17,O$23,L$22,$C$18,$C$19,$B42,Q$24)</f>
        <v>0</v>
      </c>
      <c r="R42" s="100">
        <f t="shared" ca="1" si="3"/>
        <v>0</v>
      </c>
      <c r="S42" s="100">
        <f t="shared" ca="1" si="4"/>
        <v>0</v>
      </c>
      <c r="T42" s="100">
        <f t="shared" ca="1" si="5"/>
        <v>0</v>
      </c>
      <c r="U42" s="100">
        <f ca="1">_xll.DBRW($B$9,$C$16,$C$17,U$23,U$22,$C$18,$C$19,$B42,U$24)</f>
        <v>0</v>
      </c>
      <c r="V42" s="100">
        <f ca="1">_xll.DBRW($B$9,$C$16,$C$17,U$23,U$22,$C$18,$C$19,$B42,V$24)</f>
        <v>0</v>
      </c>
      <c r="W42" s="100">
        <f ca="1">_xll.DBRW($B$9,$C$16,$C$17,U$23,U$22,$C$18,$C$19,$B42,W$24)</f>
        <v>0</v>
      </c>
      <c r="X42" s="100">
        <f ca="1">_xll.DBRW($B$9,$C$16,$C$17,X$23,U$22,$C$18,$C$19,$B42,X$24)</f>
        <v>0</v>
      </c>
      <c r="Y42" s="100">
        <f ca="1">_xll.DBRW($B$9,$C$16,$C$17,X$23,U$22,$C$18,$C$19,$B42,Y$24)</f>
        <v>0</v>
      </c>
      <c r="Z42" s="100">
        <f ca="1">_xll.DBRW($B$9,$C$16,$C$17,X$23,U$22,$C$18,$C$19,$B42,Z$24)</f>
        <v>0</v>
      </c>
      <c r="AA42" s="100">
        <f t="shared" ca="1" si="6"/>
        <v>0</v>
      </c>
      <c r="AB42" s="100">
        <f t="shared" ca="1" si="7"/>
        <v>0</v>
      </c>
      <c r="AC42" s="100">
        <f t="shared" ca="1" si="8"/>
        <v>0</v>
      </c>
      <c r="AD42" s="100">
        <f ca="1">_xll.DBRW($B$9,$C$16,$C$17,AD$23,AD$22,$C$18,$C$19,$B42,AD$24)</f>
        <v>0</v>
      </c>
      <c r="AE42" s="100">
        <f ca="1">_xll.DBRW($B$9,$C$16,$C$17,AD$23,AD$22,$C$18,$C$19,$B42,AE$24)</f>
        <v>0</v>
      </c>
      <c r="AF42" s="100">
        <f ca="1">_xll.DBRW($B$9,$C$16,$C$17,AD$23,AD$22,$C$18,$C$19,$B42,AF$24)</f>
        <v>0</v>
      </c>
      <c r="AG42" s="100">
        <f ca="1">_xll.DBRW($B$9,$C$16,$C$17,AG$23,AD$22,$C$18,$C$19,$B42,AG$24)</f>
        <v>0</v>
      </c>
      <c r="AH42" s="100">
        <f ca="1">_xll.DBRW($B$9,$C$16,$C$17,AG$23,AD$22,$C$18,$C$19,$B42,AH$24)</f>
        <v>0</v>
      </c>
      <c r="AI42" s="100">
        <f ca="1">_xll.DBRW($B$9,$C$16,$C$17,AG$23,AD$22,$C$18,$C$19,$B42,AI$24)</f>
        <v>0</v>
      </c>
      <c r="AJ42" s="100">
        <f t="shared" ca="1" si="9"/>
        <v>0</v>
      </c>
      <c r="AK42" s="100">
        <f t="shared" ca="1" si="10"/>
        <v>0</v>
      </c>
      <c r="AL42" s="100">
        <f t="shared" ca="1" si="11"/>
        <v>0</v>
      </c>
    </row>
    <row r="43" spans="1:38" x14ac:dyDescent="0.25">
      <c r="A43">
        <f ca="1">IF(_xll.TM1RPTELISCONSOLIDATED($B$25,$B43),IF(_xll.TM1RPTELLEV($B$25,$B43)&lt;=3,_xll.TM1RPTELLEV($B$25,$B43),"D"),"N")</f>
        <v>3</v>
      </c>
      <c r="B43" s="136" t="s">
        <v>57</v>
      </c>
      <c r="C43" s="100">
        <f ca="1">_xll.DBRW($B$9,$C$16,$C$17,C$23,C$22,$C$18,$C$19,$B43,C$24)</f>
        <v>0</v>
      </c>
      <c r="D43" s="100">
        <f ca="1">_xll.DBRW($B$9,$C$16,$C$17,C$23,C$22,$C$18,$C$19,$B43,D$24)</f>
        <v>0</v>
      </c>
      <c r="E43" s="100">
        <f ca="1">_xll.DBRW($B$9,$C$16,$C$17,C$23,C$22,$C$18,$C$19,$B43,E$24)</f>
        <v>0</v>
      </c>
      <c r="F43" s="100">
        <f ca="1">_xll.DBRW($B$9,$C$16,$C$17,F$23,C$22,$C$18,$C$19,$B43,F$24)</f>
        <v>0</v>
      </c>
      <c r="G43" s="100">
        <f ca="1">_xll.DBRW($B$9,$C$16,$C$17,F$23,C$22,$C$18,$C$19,$B43,G$24)</f>
        <v>0</v>
      </c>
      <c r="H43" s="100">
        <f ca="1">_xll.DBRW($B$9,$C$16,$C$17,F$23,C$22,$C$18,$C$19,$B43,H$24)</f>
        <v>0</v>
      </c>
      <c r="I43" s="100">
        <f t="shared" ca="1" si="0"/>
        <v>0</v>
      </c>
      <c r="J43" s="100">
        <f t="shared" ca="1" si="1"/>
        <v>0</v>
      </c>
      <c r="K43" s="100">
        <f t="shared" ca="1" si="2"/>
        <v>0</v>
      </c>
      <c r="L43" s="100">
        <f ca="1">_xll.DBRW($B$9,$C$16,$C$17,L$23,L$22,$C$18,$C$19,$B43,L$24)</f>
        <v>0</v>
      </c>
      <c r="M43" s="100">
        <f ca="1">_xll.DBRW($B$9,$C$16,$C$17,L$23,L$22,$C$18,$C$19,$B43,M$24)</f>
        <v>0</v>
      </c>
      <c r="N43" s="100">
        <f ca="1">_xll.DBRW($B$9,$C$16,$C$17,L$23,L$22,$C$18,$C$19,$B43,N$24)</f>
        <v>0</v>
      </c>
      <c r="O43" s="100">
        <f ca="1">_xll.DBRW($B$9,$C$16,$C$17,O$23,L$22,$C$18,$C$19,$B43,O$24)</f>
        <v>0</v>
      </c>
      <c r="P43" s="100">
        <f ca="1">_xll.DBRW($B$9,$C$16,$C$17,O$23,L$22,$C$18,$C$19,$B43,P$24)</f>
        <v>0</v>
      </c>
      <c r="Q43" s="100">
        <f ca="1">_xll.DBRW($B$9,$C$16,$C$17,O$23,L$22,$C$18,$C$19,$B43,Q$24)</f>
        <v>0</v>
      </c>
      <c r="R43" s="100">
        <f t="shared" ca="1" si="3"/>
        <v>0</v>
      </c>
      <c r="S43" s="100">
        <f t="shared" ca="1" si="4"/>
        <v>0</v>
      </c>
      <c r="T43" s="100">
        <f t="shared" ca="1" si="5"/>
        <v>0</v>
      </c>
      <c r="U43" s="100">
        <f ca="1">_xll.DBRW($B$9,$C$16,$C$17,U$23,U$22,$C$18,$C$19,$B43,U$24)</f>
        <v>0</v>
      </c>
      <c r="V43" s="100">
        <f ca="1">_xll.DBRW($B$9,$C$16,$C$17,U$23,U$22,$C$18,$C$19,$B43,V$24)</f>
        <v>0</v>
      </c>
      <c r="W43" s="100">
        <f ca="1">_xll.DBRW($B$9,$C$16,$C$17,U$23,U$22,$C$18,$C$19,$B43,W$24)</f>
        <v>0</v>
      </c>
      <c r="X43" s="100">
        <f ca="1">_xll.DBRW($B$9,$C$16,$C$17,X$23,U$22,$C$18,$C$19,$B43,X$24)</f>
        <v>0</v>
      </c>
      <c r="Y43" s="100">
        <f ca="1">_xll.DBRW($B$9,$C$16,$C$17,X$23,U$22,$C$18,$C$19,$B43,Y$24)</f>
        <v>0</v>
      </c>
      <c r="Z43" s="100">
        <f ca="1">_xll.DBRW($B$9,$C$16,$C$17,X$23,U$22,$C$18,$C$19,$B43,Z$24)</f>
        <v>0</v>
      </c>
      <c r="AA43" s="100">
        <f t="shared" ca="1" si="6"/>
        <v>0</v>
      </c>
      <c r="AB43" s="100">
        <f t="shared" ca="1" si="7"/>
        <v>0</v>
      </c>
      <c r="AC43" s="100">
        <f t="shared" ca="1" si="8"/>
        <v>0</v>
      </c>
      <c r="AD43" s="100">
        <f ca="1">_xll.DBRW($B$9,$C$16,$C$17,AD$23,AD$22,$C$18,$C$19,$B43,AD$24)</f>
        <v>0</v>
      </c>
      <c r="AE43" s="100">
        <f ca="1">_xll.DBRW($B$9,$C$16,$C$17,AD$23,AD$22,$C$18,$C$19,$B43,AE$24)</f>
        <v>0</v>
      </c>
      <c r="AF43" s="100">
        <f ca="1">_xll.DBRW($B$9,$C$16,$C$17,AD$23,AD$22,$C$18,$C$19,$B43,AF$24)</f>
        <v>0</v>
      </c>
      <c r="AG43" s="100">
        <f ca="1">_xll.DBRW($B$9,$C$16,$C$17,AG$23,AD$22,$C$18,$C$19,$B43,AG$24)</f>
        <v>0</v>
      </c>
      <c r="AH43" s="100">
        <f ca="1">_xll.DBRW($B$9,$C$16,$C$17,AG$23,AD$22,$C$18,$C$19,$B43,AH$24)</f>
        <v>0</v>
      </c>
      <c r="AI43" s="100">
        <f ca="1">_xll.DBRW($B$9,$C$16,$C$17,AG$23,AD$22,$C$18,$C$19,$B43,AI$24)</f>
        <v>0</v>
      </c>
      <c r="AJ43" s="100">
        <f t="shared" ca="1" si="9"/>
        <v>0</v>
      </c>
      <c r="AK43" s="100">
        <f t="shared" ca="1" si="10"/>
        <v>0</v>
      </c>
      <c r="AL43" s="100">
        <f t="shared" ca="1" si="11"/>
        <v>0</v>
      </c>
    </row>
    <row r="44" spans="1:38" x14ac:dyDescent="0.25">
      <c r="A44">
        <f ca="1">IF(_xll.TM1RPTELISCONSOLIDATED($B$25,$B44),IF(_xll.TM1RPTELLEV($B$25,$B44)&lt;=3,_xll.TM1RPTELLEV($B$25,$B44),"D"),"N")</f>
        <v>2</v>
      </c>
      <c r="B44" s="135" t="s">
        <v>58</v>
      </c>
      <c r="C44" s="99">
        <f ca="1">_xll.DBRW($B$9,$C$16,$C$17,C$23,C$22,$C$18,$C$19,$B44,C$24)</f>
        <v>0</v>
      </c>
      <c r="D44" s="99">
        <f ca="1">_xll.DBRW($B$9,$C$16,$C$17,C$23,C$22,$C$18,$C$19,$B44,D$24)</f>
        <v>0</v>
      </c>
      <c r="E44" s="99">
        <f ca="1">_xll.DBRW($B$9,$C$16,$C$17,C$23,C$22,$C$18,$C$19,$B44,E$24)</f>
        <v>0</v>
      </c>
      <c r="F44" s="99">
        <f ca="1">_xll.DBRW($B$9,$C$16,$C$17,F$23,C$22,$C$18,$C$19,$B44,F$24)</f>
        <v>0</v>
      </c>
      <c r="G44" s="99">
        <f ca="1">_xll.DBRW($B$9,$C$16,$C$17,F$23,C$22,$C$18,$C$19,$B44,G$24)</f>
        <v>0</v>
      </c>
      <c r="H44" s="99">
        <f ca="1">_xll.DBRW($B$9,$C$16,$C$17,F$23,C$22,$C$18,$C$19,$B44,H$24)</f>
        <v>0</v>
      </c>
      <c r="I44" s="99">
        <f t="shared" ca="1" si="0"/>
        <v>0</v>
      </c>
      <c r="J44" s="99">
        <f t="shared" ca="1" si="1"/>
        <v>0</v>
      </c>
      <c r="K44" s="99">
        <f t="shared" ca="1" si="2"/>
        <v>0</v>
      </c>
      <c r="L44" s="99">
        <f ca="1">_xll.DBRW($B$9,$C$16,$C$17,L$23,L$22,$C$18,$C$19,$B44,L$24)</f>
        <v>0</v>
      </c>
      <c r="M44" s="99">
        <f ca="1">_xll.DBRW($B$9,$C$16,$C$17,L$23,L$22,$C$18,$C$19,$B44,M$24)</f>
        <v>0</v>
      </c>
      <c r="N44" s="99">
        <f ca="1">_xll.DBRW($B$9,$C$16,$C$17,L$23,L$22,$C$18,$C$19,$B44,N$24)</f>
        <v>0</v>
      </c>
      <c r="O44" s="99">
        <f ca="1">_xll.DBRW($B$9,$C$16,$C$17,O$23,L$22,$C$18,$C$19,$B44,O$24)</f>
        <v>0</v>
      </c>
      <c r="P44" s="99">
        <f ca="1">_xll.DBRW($B$9,$C$16,$C$17,O$23,L$22,$C$18,$C$19,$B44,P$24)</f>
        <v>0</v>
      </c>
      <c r="Q44" s="99">
        <f ca="1">_xll.DBRW($B$9,$C$16,$C$17,O$23,L$22,$C$18,$C$19,$B44,Q$24)</f>
        <v>0</v>
      </c>
      <c r="R44" s="99">
        <f t="shared" ca="1" si="3"/>
        <v>0</v>
      </c>
      <c r="S44" s="99">
        <f t="shared" ca="1" si="4"/>
        <v>0</v>
      </c>
      <c r="T44" s="99">
        <f t="shared" ca="1" si="5"/>
        <v>0</v>
      </c>
      <c r="U44" s="99">
        <f ca="1">_xll.DBRW($B$9,$C$16,$C$17,U$23,U$22,$C$18,$C$19,$B44,U$24)</f>
        <v>0</v>
      </c>
      <c r="V44" s="99">
        <f ca="1">_xll.DBRW($B$9,$C$16,$C$17,U$23,U$22,$C$18,$C$19,$B44,V$24)</f>
        <v>0</v>
      </c>
      <c r="W44" s="99">
        <f ca="1">_xll.DBRW($B$9,$C$16,$C$17,U$23,U$22,$C$18,$C$19,$B44,W$24)</f>
        <v>0</v>
      </c>
      <c r="X44" s="99">
        <f ca="1">_xll.DBRW($B$9,$C$16,$C$17,X$23,U$22,$C$18,$C$19,$B44,X$24)</f>
        <v>0</v>
      </c>
      <c r="Y44" s="99">
        <f ca="1">_xll.DBRW($B$9,$C$16,$C$17,X$23,U$22,$C$18,$C$19,$B44,Y$24)</f>
        <v>0</v>
      </c>
      <c r="Z44" s="99">
        <f ca="1">_xll.DBRW($B$9,$C$16,$C$17,X$23,U$22,$C$18,$C$19,$B44,Z$24)</f>
        <v>0</v>
      </c>
      <c r="AA44" s="99">
        <f t="shared" ca="1" si="6"/>
        <v>0</v>
      </c>
      <c r="AB44" s="99">
        <f t="shared" ca="1" si="7"/>
        <v>0</v>
      </c>
      <c r="AC44" s="99">
        <f t="shared" ca="1" si="8"/>
        <v>0</v>
      </c>
      <c r="AD44" s="99">
        <f ca="1">_xll.DBRW($B$9,$C$16,$C$17,AD$23,AD$22,$C$18,$C$19,$B44,AD$24)</f>
        <v>0</v>
      </c>
      <c r="AE44" s="99">
        <f ca="1">_xll.DBRW($B$9,$C$16,$C$17,AD$23,AD$22,$C$18,$C$19,$B44,AE$24)</f>
        <v>0</v>
      </c>
      <c r="AF44" s="99">
        <f ca="1">_xll.DBRW($B$9,$C$16,$C$17,AD$23,AD$22,$C$18,$C$19,$B44,AF$24)</f>
        <v>0</v>
      </c>
      <c r="AG44" s="99">
        <f ca="1">_xll.DBRW($B$9,$C$16,$C$17,AG$23,AD$22,$C$18,$C$19,$B44,AG$24)</f>
        <v>0</v>
      </c>
      <c r="AH44" s="99">
        <f ca="1">_xll.DBRW($B$9,$C$16,$C$17,AG$23,AD$22,$C$18,$C$19,$B44,AH$24)</f>
        <v>0</v>
      </c>
      <c r="AI44" s="99">
        <f ca="1">_xll.DBRW($B$9,$C$16,$C$17,AG$23,AD$22,$C$18,$C$19,$B44,AI$24)</f>
        <v>0</v>
      </c>
      <c r="AJ44" s="99">
        <f t="shared" ca="1" si="9"/>
        <v>0</v>
      </c>
      <c r="AK44" s="99">
        <f t="shared" ca="1" si="10"/>
        <v>0</v>
      </c>
      <c r="AL44" s="99">
        <f t="shared" ca="1" si="11"/>
        <v>0</v>
      </c>
    </row>
    <row r="45" spans="1:38" x14ac:dyDescent="0.25">
      <c r="A45">
        <f ca="1">IF(_xll.TM1RPTELISCONSOLIDATED($B$25,$B45),IF(_xll.TM1RPTELLEV($B$25,$B45)&lt;=3,_xll.TM1RPTELLEV($B$25,$B45),"D"),"N")</f>
        <v>3</v>
      </c>
      <c r="B45" s="136" t="s">
        <v>59</v>
      </c>
      <c r="C45" s="100">
        <f ca="1">_xll.DBRW($B$9,$C$16,$C$17,C$23,C$22,$C$18,$C$19,$B45,C$24)</f>
        <v>0</v>
      </c>
      <c r="D45" s="100">
        <f ca="1">_xll.DBRW($B$9,$C$16,$C$17,C$23,C$22,$C$18,$C$19,$B45,D$24)</f>
        <v>0</v>
      </c>
      <c r="E45" s="100">
        <f ca="1">_xll.DBRW($B$9,$C$16,$C$17,C$23,C$22,$C$18,$C$19,$B45,E$24)</f>
        <v>0</v>
      </c>
      <c r="F45" s="100">
        <f ca="1">_xll.DBRW($B$9,$C$16,$C$17,F$23,C$22,$C$18,$C$19,$B45,F$24)</f>
        <v>0</v>
      </c>
      <c r="G45" s="100">
        <f ca="1">_xll.DBRW($B$9,$C$16,$C$17,F$23,C$22,$C$18,$C$19,$B45,G$24)</f>
        <v>0</v>
      </c>
      <c r="H45" s="100">
        <f ca="1">_xll.DBRW($B$9,$C$16,$C$17,F$23,C$22,$C$18,$C$19,$B45,H$24)</f>
        <v>0</v>
      </c>
      <c r="I45" s="100">
        <f t="shared" ca="1" si="0"/>
        <v>0</v>
      </c>
      <c r="J45" s="100">
        <f t="shared" ca="1" si="1"/>
        <v>0</v>
      </c>
      <c r="K45" s="100">
        <f t="shared" ca="1" si="2"/>
        <v>0</v>
      </c>
      <c r="L45" s="100">
        <f ca="1">_xll.DBRW($B$9,$C$16,$C$17,L$23,L$22,$C$18,$C$19,$B45,L$24)</f>
        <v>0</v>
      </c>
      <c r="M45" s="100">
        <f ca="1">_xll.DBRW($B$9,$C$16,$C$17,L$23,L$22,$C$18,$C$19,$B45,M$24)</f>
        <v>0</v>
      </c>
      <c r="N45" s="100">
        <f ca="1">_xll.DBRW($B$9,$C$16,$C$17,L$23,L$22,$C$18,$C$19,$B45,N$24)</f>
        <v>0</v>
      </c>
      <c r="O45" s="100">
        <f ca="1">_xll.DBRW($B$9,$C$16,$C$17,O$23,L$22,$C$18,$C$19,$B45,O$24)</f>
        <v>0</v>
      </c>
      <c r="P45" s="100">
        <f ca="1">_xll.DBRW($B$9,$C$16,$C$17,O$23,L$22,$C$18,$C$19,$B45,P$24)</f>
        <v>0</v>
      </c>
      <c r="Q45" s="100">
        <f ca="1">_xll.DBRW($B$9,$C$16,$C$17,O$23,L$22,$C$18,$C$19,$B45,Q$24)</f>
        <v>0</v>
      </c>
      <c r="R45" s="100">
        <f t="shared" ca="1" si="3"/>
        <v>0</v>
      </c>
      <c r="S45" s="100">
        <f t="shared" ca="1" si="4"/>
        <v>0</v>
      </c>
      <c r="T45" s="100">
        <f t="shared" ca="1" si="5"/>
        <v>0</v>
      </c>
      <c r="U45" s="100">
        <f ca="1">_xll.DBRW($B$9,$C$16,$C$17,U$23,U$22,$C$18,$C$19,$B45,U$24)</f>
        <v>0</v>
      </c>
      <c r="V45" s="100">
        <f ca="1">_xll.DBRW($B$9,$C$16,$C$17,U$23,U$22,$C$18,$C$19,$B45,V$24)</f>
        <v>0</v>
      </c>
      <c r="W45" s="100">
        <f ca="1">_xll.DBRW($B$9,$C$16,$C$17,U$23,U$22,$C$18,$C$19,$B45,W$24)</f>
        <v>0</v>
      </c>
      <c r="X45" s="100">
        <f ca="1">_xll.DBRW($B$9,$C$16,$C$17,X$23,U$22,$C$18,$C$19,$B45,X$24)</f>
        <v>0</v>
      </c>
      <c r="Y45" s="100">
        <f ca="1">_xll.DBRW($B$9,$C$16,$C$17,X$23,U$22,$C$18,$C$19,$B45,Y$24)</f>
        <v>0</v>
      </c>
      <c r="Z45" s="100">
        <f ca="1">_xll.DBRW($B$9,$C$16,$C$17,X$23,U$22,$C$18,$C$19,$B45,Z$24)</f>
        <v>0</v>
      </c>
      <c r="AA45" s="100">
        <f t="shared" ca="1" si="6"/>
        <v>0</v>
      </c>
      <c r="AB45" s="100">
        <f t="shared" ca="1" si="7"/>
        <v>0</v>
      </c>
      <c r="AC45" s="100">
        <f t="shared" ca="1" si="8"/>
        <v>0</v>
      </c>
      <c r="AD45" s="100">
        <f ca="1">_xll.DBRW($B$9,$C$16,$C$17,AD$23,AD$22,$C$18,$C$19,$B45,AD$24)</f>
        <v>0</v>
      </c>
      <c r="AE45" s="100">
        <f ca="1">_xll.DBRW($B$9,$C$16,$C$17,AD$23,AD$22,$C$18,$C$19,$B45,AE$24)</f>
        <v>0</v>
      </c>
      <c r="AF45" s="100">
        <f ca="1">_xll.DBRW($B$9,$C$16,$C$17,AD$23,AD$22,$C$18,$C$19,$B45,AF$24)</f>
        <v>0</v>
      </c>
      <c r="AG45" s="100">
        <f ca="1">_xll.DBRW($B$9,$C$16,$C$17,AG$23,AD$22,$C$18,$C$19,$B45,AG$24)</f>
        <v>0</v>
      </c>
      <c r="AH45" s="100">
        <f ca="1">_xll.DBRW($B$9,$C$16,$C$17,AG$23,AD$22,$C$18,$C$19,$B45,AH$24)</f>
        <v>0</v>
      </c>
      <c r="AI45" s="100">
        <f ca="1">_xll.DBRW($B$9,$C$16,$C$17,AG$23,AD$22,$C$18,$C$19,$B45,AI$24)</f>
        <v>0</v>
      </c>
      <c r="AJ45" s="100">
        <f t="shared" ca="1" si="9"/>
        <v>0</v>
      </c>
      <c r="AK45" s="100">
        <f t="shared" ca="1" si="10"/>
        <v>0</v>
      </c>
      <c r="AL45" s="100">
        <f t="shared" ca="1" si="11"/>
        <v>0</v>
      </c>
    </row>
    <row r="46" spans="1:38" x14ac:dyDescent="0.25">
      <c r="A46">
        <f ca="1">IF(_xll.TM1RPTELISCONSOLIDATED($B$25,$B46),IF(_xll.TM1RPTELLEV($B$25,$B46)&lt;=3,_xll.TM1RPTELLEV($B$25,$B46),"D"),"N")</f>
        <v>3</v>
      </c>
      <c r="B46" s="136" t="s">
        <v>60</v>
      </c>
      <c r="C46" s="100">
        <f ca="1">_xll.DBRW($B$9,$C$16,$C$17,C$23,C$22,$C$18,$C$19,$B46,C$24)</f>
        <v>0</v>
      </c>
      <c r="D46" s="100">
        <f ca="1">_xll.DBRW($B$9,$C$16,$C$17,C$23,C$22,$C$18,$C$19,$B46,D$24)</f>
        <v>0</v>
      </c>
      <c r="E46" s="100">
        <f ca="1">_xll.DBRW($B$9,$C$16,$C$17,C$23,C$22,$C$18,$C$19,$B46,E$24)</f>
        <v>0</v>
      </c>
      <c r="F46" s="100">
        <f ca="1">_xll.DBRW($B$9,$C$16,$C$17,F$23,C$22,$C$18,$C$19,$B46,F$24)</f>
        <v>0</v>
      </c>
      <c r="G46" s="100">
        <f ca="1">_xll.DBRW($B$9,$C$16,$C$17,F$23,C$22,$C$18,$C$19,$B46,G$24)</f>
        <v>0</v>
      </c>
      <c r="H46" s="100">
        <f ca="1">_xll.DBRW($B$9,$C$16,$C$17,F$23,C$22,$C$18,$C$19,$B46,H$24)</f>
        <v>0</v>
      </c>
      <c r="I46" s="100">
        <f t="shared" ca="1" si="0"/>
        <v>0</v>
      </c>
      <c r="J46" s="100">
        <f t="shared" ca="1" si="1"/>
        <v>0</v>
      </c>
      <c r="K46" s="100">
        <f t="shared" ca="1" si="2"/>
        <v>0</v>
      </c>
      <c r="L46" s="100">
        <f ca="1">_xll.DBRW($B$9,$C$16,$C$17,L$23,L$22,$C$18,$C$19,$B46,L$24)</f>
        <v>0</v>
      </c>
      <c r="M46" s="100">
        <f ca="1">_xll.DBRW($B$9,$C$16,$C$17,L$23,L$22,$C$18,$C$19,$B46,M$24)</f>
        <v>0</v>
      </c>
      <c r="N46" s="100">
        <f ca="1">_xll.DBRW($B$9,$C$16,$C$17,L$23,L$22,$C$18,$C$19,$B46,N$24)</f>
        <v>0</v>
      </c>
      <c r="O46" s="100">
        <f ca="1">_xll.DBRW($B$9,$C$16,$C$17,O$23,L$22,$C$18,$C$19,$B46,O$24)</f>
        <v>0</v>
      </c>
      <c r="P46" s="100">
        <f ca="1">_xll.DBRW($B$9,$C$16,$C$17,O$23,L$22,$C$18,$C$19,$B46,P$24)</f>
        <v>0</v>
      </c>
      <c r="Q46" s="100">
        <f ca="1">_xll.DBRW($B$9,$C$16,$C$17,O$23,L$22,$C$18,$C$19,$B46,Q$24)</f>
        <v>0</v>
      </c>
      <c r="R46" s="100">
        <f t="shared" ca="1" si="3"/>
        <v>0</v>
      </c>
      <c r="S46" s="100">
        <f t="shared" ca="1" si="4"/>
        <v>0</v>
      </c>
      <c r="T46" s="100">
        <f t="shared" ca="1" si="5"/>
        <v>0</v>
      </c>
      <c r="U46" s="100">
        <f ca="1">_xll.DBRW($B$9,$C$16,$C$17,U$23,U$22,$C$18,$C$19,$B46,U$24)</f>
        <v>0</v>
      </c>
      <c r="V46" s="100">
        <f ca="1">_xll.DBRW($B$9,$C$16,$C$17,U$23,U$22,$C$18,$C$19,$B46,V$24)</f>
        <v>0</v>
      </c>
      <c r="W46" s="100">
        <f ca="1">_xll.DBRW($B$9,$C$16,$C$17,U$23,U$22,$C$18,$C$19,$B46,W$24)</f>
        <v>0</v>
      </c>
      <c r="X46" s="100">
        <f ca="1">_xll.DBRW($B$9,$C$16,$C$17,X$23,U$22,$C$18,$C$19,$B46,X$24)</f>
        <v>0</v>
      </c>
      <c r="Y46" s="100">
        <f ca="1">_xll.DBRW($B$9,$C$16,$C$17,X$23,U$22,$C$18,$C$19,$B46,Y$24)</f>
        <v>0</v>
      </c>
      <c r="Z46" s="100">
        <f ca="1">_xll.DBRW($B$9,$C$16,$C$17,X$23,U$22,$C$18,$C$19,$B46,Z$24)</f>
        <v>0</v>
      </c>
      <c r="AA46" s="100">
        <f t="shared" ca="1" si="6"/>
        <v>0</v>
      </c>
      <c r="AB46" s="100">
        <f t="shared" ca="1" si="7"/>
        <v>0</v>
      </c>
      <c r="AC46" s="100">
        <f t="shared" ca="1" si="8"/>
        <v>0</v>
      </c>
      <c r="AD46" s="100">
        <f ca="1">_xll.DBRW($B$9,$C$16,$C$17,AD$23,AD$22,$C$18,$C$19,$B46,AD$24)</f>
        <v>0</v>
      </c>
      <c r="AE46" s="100">
        <f ca="1">_xll.DBRW($B$9,$C$16,$C$17,AD$23,AD$22,$C$18,$C$19,$B46,AE$24)</f>
        <v>0</v>
      </c>
      <c r="AF46" s="100">
        <f ca="1">_xll.DBRW($B$9,$C$16,$C$17,AD$23,AD$22,$C$18,$C$19,$B46,AF$24)</f>
        <v>0</v>
      </c>
      <c r="AG46" s="100">
        <f ca="1">_xll.DBRW($B$9,$C$16,$C$17,AG$23,AD$22,$C$18,$C$19,$B46,AG$24)</f>
        <v>0</v>
      </c>
      <c r="AH46" s="100">
        <f ca="1">_xll.DBRW($B$9,$C$16,$C$17,AG$23,AD$22,$C$18,$C$19,$B46,AH$24)</f>
        <v>0</v>
      </c>
      <c r="AI46" s="100">
        <f ca="1">_xll.DBRW($B$9,$C$16,$C$17,AG$23,AD$22,$C$18,$C$19,$B46,AI$24)</f>
        <v>0</v>
      </c>
      <c r="AJ46" s="100">
        <f t="shared" ca="1" si="9"/>
        <v>0</v>
      </c>
      <c r="AK46" s="100">
        <f t="shared" ca="1" si="10"/>
        <v>0</v>
      </c>
      <c r="AL46" s="100">
        <f t="shared" ca="1" si="11"/>
        <v>0</v>
      </c>
    </row>
    <row r="47" spans="1:38" x14ac:dyDescent="0.25">
      <c r="A47">
        <f ca="1">IF(_xll.TM1RPTELISCONSOLIDATED($B$25,$B47),IF(_xll.TM1RPTELLEV($B$25,$B47)&lt;=3,_xll.TM1RPTELLEV($B$25,$B47),"D"),"N")</f>
        <v>3</v>
      </c>
      <c r="B47" s="136" t="s">
        <v>61</v>
      </c>
      <c r="C47" s="100">
        <f ca="1">_xll.DBRW($B$9,$C$16,$C$17,C$23,C$22,$C$18,$C$19,$B47,C$24)</f>
        <v>0</v>
      </c>
      <c r="D47" s="100">
        <f ca="1">_xll.DBRW($B$9,$C$16,$C$17,C$23,C$22,$C$18,$C$19,$B47,D$24)</f>
        <v>0</v>
      </c>
      <c r="E47" s="100">
        <f ca="1">_xll.DBRW($B$9,$C$16,$C$17,C$23,C$22,$C$18,$C$19,$B47,E$24)</f>
        <v>0</v>
      </c>
      <c r="F47" s="100">
        <f ca="1">_xll.DBRW($B$9,$C$16,$C$17,F$23,C$22,$C$18,$C$19,$B47,F$24)</f>
        <v>0</v>
      </c>
      <c r="G47" s="100">
        <f ca="1">_xll.DBRW($B$9,$C$16,$C$17,F$23,C$22,$C$18,$C$19,$B47,G$24)</f>
        <v>0</v>
      </c>
      <c r="H47" s="100">
        <f ca="1">_xll.DBRW($B$9,$C$16,$C$17,F$23,C$22,$C$18,$C$19,$B47,H$24)</f>
        <v>0</v>
      </c>
      <c r="I47" s="100">
        <f t="shared" ca="1" si="0"/>
        <v>0</v>
      </c>
      <c r="J47" s="100">
        <f t="shared" ca="1" si="1"/>
        <v>0</v>
      </c>
      <c r="K47" s="100">
        <f t="shared" ca="1" si="2"/>
        <v>0</v>
      </c>
      <c r="L47" s="100">
        <f ca="1">_xll.DBRW($B$9,$C$16,$C$17,L$23,L$22,$C$18,$C$19,$B47,L$24)</f>
        <v>0</v>
      </c>
      <c r="M47" s="100">
        <f ca="1">_xll.DBRW($B$9,$C$16,$C$17,L$23,L$22,$C$18,$C$19,$B47,M$24)</f>
        <v>0</v>
      </c>
      <c r="N47" s="100">
        <f ca="1">_xll.DBRW($B$9,$C$16,$C$17,L$23,L$22,$C$18,$C$19,$B47,N$24)</f>
        <v>0</v>
      </c>
      <c r="O47" s="100">
        <f ca="1">_xll.DBRW($B$9,$C$16,$C$17,O$23,L$22,$C$18,$C$19,$B47,O$24)</f>
        <v>0</v>
      </c>
      <c r="P47" s="100">
        <f ca="1">_xll.DBRW($B$9,$C$16,$C$17,O$23,L$22,$C$18,$C$19,$B47,P$24)</f>
        <v>0</v>
      </c>
      <c r="Q47" s="100">
        <f ca="1">_xll.DBRW($B$9,$C$16,$C$17,O$23,L$22,$C$18,$C$19,$B47,Q$24)</f>
        <v>0</v>
      </c>
      <c r="R47" s="100">
        <f t="shared" ca="1" si="3"/>
        <v>0</v>
      </c>
      <c r="S47" s="100">
        <f t="shared" ca="1" si="4"/>
        <v>0</v>
      </c>
      <c r="T47" s="100">
        <f t="shared" ca="1" si="5"/>
        <v>0</v>
      </c>
      <c r="U47" s="100">
        <f ca="1">_xll.DBRW($B$9,$C$16,$C$17,U$23,U$22,$C$18,$C$19,$B47,U$24)</f>
        <v>0</v>
      </c>
      <c r="V47" s="100">
        <f ca="1">_xll.DBRW($B$9,$C$16,$C$17,U$23,U$22,$C$18,$C$19,$B47,V$24)</f>
        <v>0</v>
      </c>
      <c r="W47" s="100">
        <f ca="1">_xll.DBRW($B$9,$C$16,$C$17,U$23,U$22,$C$18,$C$19,$B47,W$24)</f>
        <v>0</v>
      </c>
      <c r="X47" s="100">
        <f ca="1">_xll.DBRW($B$9,$C$16,$C$17,X$23,U$22,$C$18,$C$19,$B47,X$24)</f>
        <v>0</v>
      </c>
      <c r="Y47" s="100">
        <f ca="1">_xll.DBRW($B$9,$C$16,$C$17,X$23,U$22,$C$18,$C$19,$B47,Y$24)</f>
        <v>0</v>
      </c>
      <c r="Z47" s="100">
        <f ca="1">_xll.DBRW($B$9,$C$16,$C$17,X$23,U$22,$C$18,$C$19,$B47,Z$24)</f>
        <v>0</v>
      </c>
      <c r="AA47" s="100">
        <f t="shared" ca="1" si="6"/>
        <v>0</v>
      </c>
      <c r="AB47" s="100">
        <f t="shared" ca="1" si="7"/>
        <v>0</v>
      </c>
      <c r="AC47" s="100">
        <f t="shared" ca="1" si="8"/>
        <v>0</v>
      </c>
      <c r="AD47" s="100">
        <f ca="1">_xll.DBRW($B$9,$C$16,$C$17,AD$23,AD$22,$C$18,$C$19,$B47,AD$24)</f>
        <v>0</v>
      </c>
      <c r="AE47" s="100">
        <f ca="1">_xll.DBRW($B$9,$C$16,$C$17,AD$23,AD$22,$C$18,$C$19,$B47,AE$24)</f>
        <v>0</v>
      </c>
      <c r="AF47" s="100">
        <f ca="1">_xll.DBRW($B$9,$C$16,$C$17,AD$23,AD$22,$C$18,$C$19,$B47,AF$24)</f>
        <v>0</v>
      </c>
      <c r="AG47" s="100">
        <f ca="1">_xll.DBRW($B$9,$C$16,$C$17,AG$23,AD$22,$C$18,$C$19,$B47,AG$24)</f>
        <v>0</v>
      </c>
      <c r="AH47" s="100">
        <f ca="1">_xll.DBRW($B$9,$C$16,$C$17,AG$23,AD$22,$C$18,$C$19,$B47,AH$24)</f>
        <v>0</v>
      </c>
      <c r="AI47" s="100">
        <f ca="1">_xll.DBRW($B$9,$C$16,$C$17,AG$23,AD$22,$C$18,$C$19,$B47,AI$24)</f>
        <v>0</v>
      </c>
      <c r="AJ47" s="100">
        <f t="shared" ca="1" si="9"/>
        <v>0</v>
      </c>
      <c r="AK47" s="100">
        <f t="shared" ca="1" si="10"/>
        <v>0</v>
      </c>
      <c r="AL47" s="100">
        <f t="shared" ca="1" si="11"/>
        <v>0</v>
      </c>
    </row>
    <row r="48" spans="1:38" x14ac:dyDescent="0.25">
      <c r="A48">
        <f ca="1">IF(_xll.TM1RPTELISCONSOLIDATED($B$25,$B48),IF(_xll.TM1RPTELLEV($B$25,$B48)&lt;=3,_xll.TM1RPTELLEV($B$25,$B48),"D"),"N")</f>
        <v>3</v>
      </c>
      <c r="B48" s="136" t="s">
        <v>62</v>
      </c>
      <c r="C48" s="100">
        <f ca="1">_xll.DBRW($B$9,$C$16,$C$17,C$23,C$22,$C$18,$C$19,$B48,C$24)</f>
        <v>0</v>
      </c>
      <c r="D48" s="100">
        <f ca="1">_xll.DBRW($B$9,$C$16,$C$17,C$23,C$22,$C$18,$C$19,$B48,D$24)</f>
        <v>0</v>
      </c>
      <c r="E48" s="100">
        <f ca="1">_xll.DBRW($B$9,$C$16,$C$17,C$23,C$22,$C$18,$C$19,$B48,E$24)</f>
        <v>0</v>
      </c>
      <c r="F48" s="100">
        <f ca="1">_xll.DBRW($B$9,$C$16,$C$17,F$23,C$22,$C$18,$C$19,$B48,F$24)</f>
        <v>0</v>
      </c>
      <c r="G48" s="100">
        <f ca="1">_xll.DBRW($B$9,$C$16,$C$17,F$23,C$22,$C$18,$C$19,$B48,G$24)</f>
        <v>0</v>
      </c>
      <c r="H48" s="100">
        <f ca="1">_xll.DBRW($B$9,$C$16,$C$17,F$23,C$22,$C$18,$C$19,$B48,H$24)</f>
        <v>0</v>
      </c>
      <c r="I48" s="100">
        <f t="shared" ca="1" si="0"/>
        <v>0</v>
      </c>
      <c r="J48" s="100">
        <f t="shared" ca="1" si="1"/>
        <v>0</v>
      </c>
      <c r="K48" s="100">
        <f t="shared" ca="1" si="2"/>
        <v>0</v>
      </c>
      <c r="L48" s="100">
        <f ca="1">_xll.DBRW($B$9,$C$16,$C$17,L$23,L$22,$C$18,$C$19,$B48,L$24)</f>
        <v>0</v>
      </c>
      <c r="M48" s="100">
        <f ca="1">_xll.DBRW($B$9,$C$16,$C$17,L$23,L$22,$C$18,$C$19,$B48,M$24)</f>
        <v>0</v>
      </c>
      <c r="N48" s="100">
        <f ca="1">_xll.DBRW($B$9,$C$16,$C$17,L$23,L$22,$C$18,$C$19,$B48,N$24)</f>
        <v>0</v>
      </c>
      <c r="O48" s="100">
        <f ca="1">_xll.DBRW($B$9,$C$16,$C$17,O$23,L$22,$C$18,$C$19,$B48,O$24)</f>
        <v>0</v>
      </c>
      <c r="P48" s="100">
        <f ca="1">_xll.DBRW($B$9,$C$16,$C$17,O$23,L$22,$C$18,$C$19,$B48,P$24)</f>
        <v>0</v>
      </c>
      <c r="Q48" s="100">
        <f ca="1">_xll.DBRW($B$9,$C$16,$C$17,O$23,L$22,$C$18,$C$19,$B48,Q$24)</f>
        <v>0</v>
      </c>
      <c r="R48" s="100">
        <f t="shared" ca="1" si="3"/>
        <v>0</v>
      </c>
      <c r="S48" s="100">
        <f t="shared" ca="1" si="4"/>
        <v>0</v>
      </c>
      <c r="T48" s="100">
        <f t="shared" ca="1" si="5"/>
        <v>0</v>
      </c>
      <c r="U48" s="100">
        <f ca="1">_xll.DBRW($B$9,$C$16,$C$17,U$23,U$22,$C$18,$C$19,$B48,U$24)</f>
        <v>0</v>
      </c>
      <c r="V48" s="100">
        <f ca="1">_xll.DBRW($B$9,$C$16,$C$17,U$23,U$22,$C$18,$C$19,$B48,V$24)</f>
        <v>0</v>
      </c>
      <c r="W48" s="100">
        <f ca="1">_xll.DBRW($B$9,$C$16,$C$17,U$23,U$22,$C$18,$C$19,$B48,W$24)</f>
        <v>0</v>
      </c>
      <c r="X48" s="100">
        <f ca="1">_xll.DBRW($B$9,$C$16,$C$17,X$23,U$22,$C$18,$C$19,$B48,X$24)</f>
        <v>0</v>
      </c>
      <c r="Y48" s="100">
        <f ca="1">_xll.DBRW($B$9,$C$16,$C$17,X$23,U$22,$C$18,$C$19,$B48,Y$24)</f>
        <v>0</v>
      </c>
      <c r="Z48" s="100">
        <f ca="1">_xll.DBRW($B$9,$C$16,$C$17,X$23,U$22,$C$18,$C$19,$B48,Z$24)</f>
        <v>0</v>
      </c>
      <c r="AA48" s="100">
        <f t="shared" ca="1" si="6"/>
        <v>0</v>
      </c>
      <c r="AB48" s="100">
        <f t="shared" ca="1" si="7"/>
        <v>0</v>
      </c>
      <c r="AC48" s="100">
        <f t="shared" ca="1" si="8"/>
        <v>0</v>
      </c>
      <c r="AD48" s="100">
        <f ca="1">_xll.DBRW($B$9,$C$16,$C$17,AD$23,AD$22,$C$18,$C$19,$B48,AD$24)</f>
        <v>0</v>
      </c>
      <c r="AE48" s="100">
        <f ca="1">_xll.DBRW($B$9,$C$16,$C$17,AD$23,AD$22,$C$18,$C$19,$B48,AE$24)</f>
        <v>0</v>
      </c>
      <c r="AF48" s="100">
        <f ca="1">_xll.DBRW($B$9,$C$16,$C$17,AD$23,AD$22,$C$18,$C$19,$B48,AF$24)</f>
        <v>0</v>
      </c>
      <c r="AG48" s="100">
        <f ca="1">_xll.DBRW($B$9,$C$16,$C$17,AG$23,AD$22,$C$18,$C$19,$B48,AG$24)</f>
        <v>0</v>
      </c>
      <c r="AH48" s="100">
        <f ca="1">_xll.DBRW($B$9,$C$16,$C$17,AG$23,AD$22,$C$18,$C$19,$B48,AH$24)</f>
        <v>0</v>
      </c>
      <c r="AI48" s="100">
        <f ca="1">_xll.DBRW($B$9,$C$16,$C$17,AG$23,AD$22,$C$18,$C$19,$B48,AI$24)</f>
        <v>0</v>
      </c>
      <c r="AJ48" s="100">
        <f t="shared" ca="1" si="9"/>
        <v>0</v>
      </c>
      <c r="AK48" s="100">
        <f t="shared" ca="1" si="10"/>
        <v>0</v>
      </c>
      <c r="AL48" s="100">
        <f t="shared" ca="1" si="11"/>
        <v>0</v>
      </c>
    </row>
    <row r="49" spans="1:38" x14ac:dyDescent="0.25">
      <c r="A49">
        <f ca="1">IF(_xll.TM1RPTELISCONSOLIDATED($B$25,$B49),IF(_xll.TM1RPTELLEV($B$25,$B49)&lt;=3,_xll.TM1RPTELLEV($B$25,$B49),"D"),"N")</f>
        <v>3</v>
      </c>
      <c r="B49" s="136" t="s">
        <v>63</v>
      </c>
      <c r="C49" s="100">
        <f ca="1">_xll.DBRW($B$9,$C$16,$C$17,C$23,C$22,$C$18,$C$19,$B49,C$24)</f>
        <v>0</v>
      </c>
      <c r="D49" s="100">
        <f ca="1">_xll.DBRW($B$9,$C$16,$C$17,C$23,C$22,$C$18,$C$19,$B49,D$24)</f>
        <v>0</v>
      </c>
      <c r="E49" s="100">
        <f ca="1">_xll.DBRW($B$9,$C$16,$C$17,C$23,C$22,$C$18,$C$19,$B49,E$24)</f>
        <v>0</v>
      </c>
      <c r="F49" s="100">
        <f ca="1">_xll.DBRW($B$9,$C$16,$C$17,F$23,C$22,$C$18,$C$19,$B49,F$24)</f>
        <v>0</v>
      </c>
      <c r="G49" s="100">
        <f ca="1">_xll.DBRW($B$9,$C$16,$C$17,F$23,C$22,$C$18,$C$19,$B49,G$24)</f>
        <v>0</v>
      </c>
      <c r="H49" s="100">
        <f ca="1">_xll.DBRW($B$9,$C$16,$C$17,F$23,C$22,$C$18,$C$19,$B49,H$24)</f>
        <v>0</v>
      </c>
      <c r="I49" s="100">
        <f t="shared" ca="1" si="0"/>
        <v>0</v>
      </c>
      <c r="J49" s="100">
        <f t="shared" ca="1" si="1"/>
        <v>0</v>
      </c>
      <c r="K49" s="100">
        <f t="shared" ca="1" si="2"/>
        <v>0</v>
      </c>
      <c r="L49" s="100">
        <f ca="1">_xll.DBRW($B$9,$C$16,$C$17,L$23,L$22,$C$18,$C$19,$B49,L$24)</f>
        <v>0</v>
      </c>
      <c r="M49" s="100">
        <f ca="1">_xll.DBRW($B$9,$C$16,$C$17,L$23,L$22,$C$18,$C$19,$B49,M$24)</f>
        <v>0</v>
      </c>
      <c r="N49" s="100">
        <f ca="1">_xll.DBRW($B$9,$C$16,$C$17,L$23,L$22,$C$18,$C$19,$B49,N$24)</f>
        <v>0</v>
      </c>
      <c r="O49" s="100">
        <f ca="1">_xll.DBRW($B$9,$C$16,$C$17,O$23,L$22,$C$18,$C$19,$B49,O$24)</f>
        <v>0</v>
      </c>
      <c r="P49" s="100">
        <f ca="1">_xll.DBRW($B$9,$C$16,$C$17,O$23,L$22,$C$18,$C$19,$B49,P$24)</f>
        <v>0</v>
      </c>
      <c r="Q49" s="100">
        <f ca="1">_xll.DBRW($B$9,$C$16,$C$17,O$23,L$22,$C$18,$C$19,$B49,Q$24)</f>
        <v>0</v>
      </c>
      <c r="R49" s="100">
        <f t="shared" ca="1" si="3"/>
        <v>0</v>
      </c>
      <c r="S49" s="100">
        <f t="shared" ca="1" si="4"/>
        <v>0</v>
      </c>
      <c r="T49" s="100">
        <f t="shared" ca="1" si="5"/>
        <v>0</v>
      </c>
      <c r="U49" s="100">
        <f ca="1">_xll.DBRW($B$9,$C$16,$C$17,U$23,U$22,$C$18,$C$19,$B49,U$24)</f>
        <v>0</v>
      </c>
      <c r="V49" s="100">
        <f ca="1">_xll.DBRW($B$9,$C$16,$C$17,U$23,U$22,$C$18,$C$19,$B49,V$24)</f>
        <v>0</v>
      </c>
      <c r="W49" s="100">
        <f ca="1">_xll.DBRW($B$9,$C$16,$C$17,U$23,U$22,$C$18,$C$19,$B49,W$24)</f>
        <v>0</v>
      </c>
      <c r="X49" s="100">
        <f ca="1">_xll.DBRW($B$9,$C$16,$C$17,X$23,U$22,$C$18,$C$19,$B49,X$24)</f>
        <v>0</v>
      </c>
      <c r="Y49" s="100">
        <f ca="1">_xll.DBRW($B$9,$C$16,$C$17,X$23,U$22,$C$18,$C$19,$B49,Y$24)</f>
        <v>0</v>
      </c>
      <c r="Z49" s="100">
        <f ca="1">_xll.DBRW($B$9,$C$16,$C$17,X$23,U$22,$C$18,$C$19,$B49,Z$24)</f>
        <v>0</v>
      </c>
      <c r="AA49" s="100">
        <f t="shared" ca="1" si="6"/>
        <v>0</v>
      </c>
      <c r="AB49" s="100">
        <f t="shared" ca="1" si="7"/>
        <v>0</v>
      </c>
      <c r="AC49" s="100">
        <f t="shared" ca="1" si="8"/>
        <v>0</v>
      </c>
      <c r="AD49" s="100">
        <f ca="1">_xll.DBRW($B$9,$C$16,$C$17,AD$23,AD$22,$C$18,$C$19,$B49,AD$24)</f>
        <v>0</v>
      </c>
      <c r="AE49" s="100">
        <f ca="1">_xll.DBRW($B$9,$C$16,$C$17,AD$23,AD$22,$C$18,$C$19,$B49,AE$24)</f>
        <v>0</v>
      </c>
      <c r="AF49" s="100">
        <f ca="1">_xll.DBRW($B$9,$C$16,$C$17,AD$23,AD$22,$C$18,$C$19,$B49,AF$24)</f>
        <v>0</v>
      </c>
      <c r="AG49" s="100">
        <f ca="1">_xll.DBRW($B$9,$C$16,$C$17,AG$23,AD$22,$C$18,$C$19,$B49,AG$24)</f>
        <v>0</v>
      </c>
      <c r="AH49" s="100">
        <f ca="1">_xll.DBRW($B$9,$C$16,$C$17,AG$23,AD$22,$C$18,$C$19,$B49,AH$24)</f>
        <v>0</v>
      </c>
      <c r="AI49" s="100">
        <f ca="1">_xll.DBRW($B$9,$C$16,$C$17,AG$23,AD$22,$C$18,$C$19,$B49,AI$24)</f>
        <v>0</v>
      </c>
      <c r="AJ49" s="100">
        <f t="shared" ca="1" si="9"/>
        <v>0</v>
      </c>
      <c r="AK49" s="100">
        <f t="shared" ca="1" si="10"/>
        <v>0</v>
      </c>
      <c r="AL49" s="100">
        <f t="shared" ca="1" si="11"/>
        <v>0</v>
      </c>
    </row>
    <row r="50" spans="1:38" x14ac:dyDescent="0.25">
      <c r="A50">
        <f ca="1">IF(_xll.TM1RPTELISCONSOLIDATED($B$25,$B50),IF(_xll.TM1RPTELLEV($B$25,$B50)&lt;=3,_xll.TM1RPTELLEV($B$25,$B50),"D"),"N")</f>
        <v>2</v>
      </c>
      <c r="B50" s="134" t="s">
        <v>64</v>
      </c>
      <c r="C50" s="99">
        <f ca="1">_xll.DBRW($B$9,$C$16,$C$17,C$23,C$22,$C$18,$C$19,$B50,C$24)</f>
        <v>0</v>
      </c>
      <c r="D50" s="99">
        <f ca="1">_xll.DBRW($B$9,$C$16,$C$17,C$23,C$22,$C$18,$C$19,$B50,D$24)</f>
        <v>0</v>
      </c>
      <c r="E50" s="99">
        <f ca="1">_xll.DBRW($B$9,$C$16,$C$17,C$23,C$22,$C$18,$C$19,$B50,E$24)</f>
        <v>0</v>
      </c>
      <c r="F50" s="99">
        <f ca="1">_xll.DBRW($B$9,$C$16,$C$17,F$23,C$22,$C$18,$C$19,$B50,F$24)</f>
        <v>0</v>
      </c>
      <c r="G50" s="99">
        <f ca="1">_xll.DBRW($B$9,$C$16,$C$17,F$23,C$22,$C$18,$C$19,$B50,G$24)</f>
        <v>0</v>
      </c>
      <c r="H50" s="99">
        <f ca="1">_xll.DBRW($B$9,$C$16,$C$17,F$23,C$22,$C$18,$C$19,$B50,H$24)</f>
        <v>0</v>
      </c>
      <c r="I50" s="99">
        <f t="shared" ca="1" si="0"/>
        <v>0</v>
      </c>
      <c r="J50" s="99">
        <f t="shared" ca="1" si="1"/>
        <v>0</v>
      </c>
      <c r="K50" s="99">
        <f t="shared" ca="1" si="2"/>
        <v>0</v>
      </c>
      <c r="L50" s="99">
        <f ca="1">_xll.DBRW($B$9,$C$16,$C$17,L$23,L$22,$C$18,$C$19,$B50,L$24)</f>
        <v>0</v>
      </c>
      <c r="M50" s="99">
        <f ca="1">_xll.DBRW($B$9,$C$16,$C$17,L$23,L$22,$C$18,$C$19,$B50,M$24)</f>
        <v>0</v>
      </c>
      <c r="N50" s="99">
        <f ca="1">_xll.DBRW($B$9,$C$16,$C$17,L$23,L$22,$C$18,$C$19,$B50,N$24)</f>
        <v>0</v>
      </c>
      <c r="O50" s="99">
        <f ca="1">_xll.DBRW($B$9,$C$16,$C$17,O$23,L$22,$C$18,$C$19,$B50,O$24)</f>
        <v>0</v>
      </c>
      <c r="P50" s="99">
        <f ca="1">_xll.DBRW($B$9,$C$16,$C$17,O$23,L$22,$C$18,$C$19,$B50,P$24)</f>
        <v>0</v>
      </c>
      <c r="Q50" s="99">
        <f ca="1">_xll.DBRW($B$9,$C$16,$C$17,O$23,L$22,$C$18,$C$19,$B50,Q$24)</f>
        <v>0</v>
      </c>
      <c r="R50" s="99">
        <f t="shared" ca="1" si="3"/>
        <v>0</v>
      </c>
      <c r="S50" s="99">
        <f t="shared" ca="1" si="4"/>
        <v>0</v>
      </c>
      <c r="T50" s="99">
        <f t="shared" ca="1" si="5"/>
        <v>0</v>
      </c>
      <c r="U50" s="99">
        <f ca="1">_xll.DBRW($B$9,$C$16,$C$17,U$23,U$22,$C$18,$C$19,$B50,U$24)</f>
        <v>0</v>
      </c>
      <c r="V50" s="99">
        <f ca="1">_xll.DBRW($B$9,$C$16,$C$17,U$23,U$22,$C$18,$C$19,$B50,V$24)</f>
        <v>0</v>
      </c>
      <c r="W50" s="99">
        <f ca="1">_xll.DBRW($B$9,$C$16,$C$17,U$23,U$22,$C$18,$C$19,$B50,W$24)</f>
        <v>0</v>
      </c>
      <c r="X50" s="99">
        <f ca="1">_xll.DBRW($B$9,$C$16,$C$17,X$23,U$22,$C$18,$C$19,$B50,X$24)</f>
        <v>0</v>
      </c>
      <c r="Y50" s="99">
        <f ca="1">_xll.DBRW($B$9,$C$16,$C$17,X$23,U$22,$C$18,$C$19,$B50,Y$24)</f>
        <v>0</v>
      </c>
      <c r="Z50" s="99">
        <f ca="1">_xll.DBRW($B$9,$C$16,$C$17,X$23,U$22,$C$18,$C$19,$B50,Z$24)</f>
        <v>0</v>
      </c>
      <c r="AA50" s="99">
        <f t="shared" ca="1" si="6"/>
        <v>0</v>
      </c>
      <c r="AB50" s="99">
        <f t="shared" ca="1" si="7"/>
        <v>0</v>
      </c>
      <c r="AC50" s="99">
        <f t="shared" ca="1" si="8"/>
        <v>0</v>
      </c>
      <c r="AD50" s="99">
        <f ca="1">_xll.DBRW($B$9,$C$16,$C$17,AD$23,AD$22,$C$18,$C$19,$B50,AD$24)</f>
        <v>0</v>
      </c>
      <c r="AE50" s="99">
        <f ca="1">_xll.DBRW($B$9,$C$16,$C$17,AD$23,AD$22,$C$18,$C$19,$B50,AE$24)</f>
        <v>0</v>
      </c>
      <c r="AF50" s="99">
        <f ca="1">_xll.DBRW($B$9,$C$16,$C$17,AD$23,AD$22,$C$18,$C$19,$B50,AF$24)</f>
        <v>0</v>
      </c>
      <c r="AG50" s="99">
        <f ca="1">_xll.DBRW($B$9,$C$16,$C$17,AG$23,AD$22,$C$18,$C$19,$B50,AG$24)</f>
        <v>0</v>
      </c>
      <c r="AH50" s="99">
        <f ca="1">_xll.DBRW($B$9,$C$16,$C$17,AG$23,AD$22,$C$18,$C$19,$B50,AH$24)</f>
        <v>0</v>
      </c>
      <c r="AI50" s="99">
        <f ca="1">_xll.DBRW($B$9,$C$16,$C$17,AG$23,AD$22,$C$18,$C$19,$B50,AI$24)</f>
        <v>0</v>
      </c>
      <c r="AJ50" s="99">
        <f t="shared" ca="1" si="9"/>
        <v>0</v>
      </c>
      <c r="AK50" s="99">
        <f t="shared" ca="1" si="10"/>
        <v>0</v>
      </c>
      <c r="AL50" s="99">
        <f t="shared" ca="1" si="11"/>
        <v>0</v>
      </c>
    </row>
    <row r="51" spans="1:38" x14ac:dyDescent="0.25">
      <c r="A51">
        <f ca="1">IF(_xll.TM1RPTELISCONSOLIDATED($B$25,$B51),IF(_xll.TM1RPTELLEV($B$25,$B51)&lt;=3,_xll.TM1RPTELLEV($B$25,$B51),"D"),"N")</f>
        <v>2</v>
      </c>
      <c r="B51" s="134" t="s">
        <v>65</v>
      </c>
      <c r="C51" s="99">
        <f ca="1">_xll.DBRW($B$9,$C$16,$C$17,C$23,C$22,$C$18,$C$19,$B51,C$24)</f>
        <v>0</v>
      </c>
      <c r="D51" s="99">
        <f ca="1">_xll.DBRW($B$9,$C$16,$C$17,C$23,C$22,$C$18,$C$19,$B51,D$24)</f>
        <v>0</v>
      </c>
      <c r="E51" s="99">
        <f ca="1">_xll.DBRW($B$9,$C$16,$C$17,C$23,C$22,$C$18,$C$19,$B51,E$24)</f>
        <v>0</v>
      </c>
      <c r="F51" s="99">
        <f ca="1">_xll.DBRW($B$9,$C$16,$C$17,F$23,C$22,$C$18,$C$19,$B51,F$24)</f>
        <v>0</v>
      </c>
      <c r="G51" s="99">
        <f ca="1">_xll.DBRW($B$9,$C$16,$C$17,F$23,C$22,$C$18,$C$19,$B51,G$24)</f>
        <v>0</v>
      </c>
      <c r="H51" s="99">
        <f ca="1">_xll.DBRW($B$9,$C$16,$C$17,F$23,C$22,$C$18,$C$19,$B51,H$24)</f>
        <v>0</v>
      </c>
      <c r="I51" s="99">
        <f t="shared" ca="1" si="0"/>
        <v>0</v>
      </c>
      <c r="J51" s="99">
        <f t="shared" ca="1" si="1"/>
        <v>0</v>
      </c>
      <c r="K51" s="99">
        <f t="shared" ca="1" si="2"/>
        <v>0</v>
      </c>
      <c r="L51" s="99">
        <f ca="1">_xll.DBRW($B$9,$C$16,$C$17,L$23,L$22,$C$18,$C$19,$B51,L$24)</f>
        <v>0</v>
      </c>
      <c r="M51" s="99">
        <f ca="1">_xll.DBRW($B$9,$C$16,$C$17,L$23,L$22,$C$18,$C$19,$B51,M$24)</f>
        <v>0</v>
      </c>
      <c r="N51" s="99">
        <f ca="1">_xll.DBRW($B$9,$C$16,$C$17,L$23,L$22,$C$18,$C$19,$B51,N$24)</f>
        <v>0</v>
      </c>
      <c r="O51" s="99">
        <f ca="1">_xll.DBRW($B$9,$C$16,$C$17,O$23,L$22,$C$18,$C$19,$B51,O$24)</f>
        <v>0</v>
      </c>
      <c r="P51" s="99">
        <f ca="1">_xll.DBRW($B$9,$C$16,$C$17,O$23,L$22,$C$18,$C$19,$B51,P$24)</f>
        <v>0</v>
      </c>
      <c r="Q51" s="99">
        <f ca="1">_xll.DBRW($B$9,$C$16,$C$17,O$23,L$22,$C$18,$C$19,$B51,Q$24)</f>
        <v>0</v>
      </c>
      <c r="R51" s="99">
        <f t="shared" ca="1" si="3"/>
        <v>0</v>
      </c>
      <c r="S51" s="99">
        <f t="shared" ca="1" si="4"/>
        <v>0</v>
      </c>
      <c r="T51" s="99">
        <f t="shared" ca="1" si="5"/>
        <v>0</v>
      </c>
      <c r="U51" s="99">
        <f ca="1">_xll.DBRW($B$9,$C$16,$C$17,U$23,U$22,$C$18,$C$19,$B51,U$24)</f>
        <v>0</v>
      </c>
      <c r="V51" s="99">
        <f ca="1">_xll.DBRW($B$9,$C$16,$C$17,U$23,U$22,$C$18,$C$19,$B51,V$24)</f>
        <v>0</v>
      </c>
      <c r="W51" s="99">
        <f ca="1">_xll.DBRW($B$9,$C$16,$C$17,U$23,U$22,$C$18,$C$19,$B51,W$24)</f>
        <v>0</v>
      </c>
      <c r="X51" s="99">
        <f ca="1">_xll.DBRW($B$9,$C$16,$C$17,X$23,U$22,$C$18,$C$19,$B51,X$24)</f>
        <v>0</v>
      </c>
      <c r="Y51" s="99">
        <f ca="1">_xll.DBRW($B$9,$C$16,$C$17,X$23,U$22,$C$18,$C$19,$B51,Y$24)</f>
        <v>0</v>
      </c>
      <c r="Z51" s="99">
        <f ca="1">_xll.DBRW($B$9,$C$16,$C$17,X$23,U$22,$C$18,$C$19,$B51,Z$24)</f>
        <v>0</v>
      </c>
      <c r="AA51" s="99">
        <f t="shared" ca="1" si="6"/>
        <v>0</v>
      </c>
      <c r="AB51" s="99">
        <f t="shared" ca="1" si="7"/>
        <v>0</v>
      </c>
      <c r="AC51" s="99">
        <f t="shared" ca="1" si="8"/>
        <v>0</v>
      </c>
      <c r="AD51" s="99">
        <f ca="1">_xll.DBRW($B$9,$C$16,$C$17,AD$23,AD$22,$C$18,$C$19,$B51,AD$24)</f>
        <v>0</v>
      </c>
      <c r="AE51" s="99">
        <f ca="1">_xll.DBRW($B$9,$C$16,$C$17,AD$23,AD$22,$C$18,$C$19,$B51,AE$24)</f>
        <v>0</v>
      </c>
      <c r="AF51" s="99">
        <f ca="1">_xll.DBRW($B$9,$C$16,$C$17,AD$23,AD$22,$C$18,$C$19,$B51,AF$24)</f>
        <v>0</v>
      </c>
      <c r="AG51" s="99">
        <f ca="1">_xll.DBRW($B$9,$C$16,$C$17,AG$23,AD$22,$C$18,$C$19,$B51,AG$24)</f>
        <v>0</v>
      </c>
      <c r="AH51" s="99">
        <f ca="1">_xll.DBRW($B$9,$C$16,$C$17,AG$23,AD$22,$C$18,$C$19,$B51,AH$24)</f>
        <v>0</v>
      </c>
      <c r="AI51" s="99">
        <f ca="1">_xll.DBRW($B$9,$C$16,$C$17,AG$23,AD$22,$C$18,$C$19,$B51,AI$24)</f>
        <v>0</v>
      </c>
      <c r="AJ51" s="99">
        <f t="shared" ca="1" si="9"/>
        <v>0</v>
      </c>
      <c r="AK51" s="99">
        <f t="shared" ca="1" si="10"/>
        <v>0</v>
      </c>
      <c r="AL51" s="99">
        <f t="shared" ca="1" si="11"/>
        <v>0</v>
      </c>
    </row>
    <row r="52" spans="1:38" x14ac:dyDescent="0.25">
      <c r="A52">
        <f ca="1">IF(_xll.TM1RPTELISCONSOLIDATED($B$25,$B52),IF(_xll.TM1RPTELLEV($B$25,$B52)&lt;=3,_xll.TM1RPTELLEV($B$25,$B52),"D"),"N")</f>
        <v>2</v>
      </c>
      <c r="B52" s="135" t="s">
        <v>66</v>
      </c>
      <c r="C52" s="99">
        <f ca="1">_xll.DBRW($B$9,$C$16,$C$17,C$23,C$22,$C$18,$C$19,$B52,C$24)</f>
        <v>0</v>
      </c>
      <c r="D52" s="99">
        <f ca="1">_xll.DBRW($B$9,$C$16,$C$17,C$23,C$22,$C$18,$C$19,$B52,D$24)</f>
        <v>0</v>
      </c>
      <c r="E52" s="99">
        <f ca="1">_xll.DBRW($B$9,$C$16,$C$17,C$23,C$22,$C$18,$C$19,$B52,E$24)</f>
        <v>0</v>
      </c>
      <c r="F52" s="99">
        <f ca="1">_xll.DBRW($B$9,$C$16,$C$17,F$23,C$22,$C$18,$C$19,$B52,F$24)</f>
        <v>0</v>
      </c>
      <c r="G52" s="99">
        <f ca="1">_xll.DBRW($B$9,$C$16,$C$17,F$23,C$22,$C$18,$C$19,$B52,G$24)</f>
        <v>0</v>
      </c>
      <c r="H52" s="99">
        <f ca="1">_xll.DBRW($B$9,$C$16,$C$17,F$23,C$22,$C$18,$C$19,$B52,H$24)</f>
        <v>0</v>
      </c>
      <c r="I52" s="99">
        <f t="shared" ca="1" si="0"/>
        <v>0</v>
      </c>
      <c r="J52" s="99">
        <f t="shared" ca="1" si="1"/>
        <v>0</v>
      </c>
      <c r="K52" s="99">
        <f t="shared" ca="1" si="2"/>
        <v>0</v>
      </c>
      <c r="L52" s="99">
        <f ca="1">_xll.DBRW($B$9,$C$16,$C$17,L$23,L$22,$C$18,$C$19,$B52,L$24)</f>
        <v>0</v>
      </c>
      <c r="M52" s="99">
        <f ca="1">_xll.DBRW($B$9,$C$16,$C$17,L$23,L$22,$C$18,$C$19,$B52,M$24)</f>
        <v>0</v>
      </c>
      <c r="N52" s="99">
        <f ca="1">_xll.DBRW($B$9,$C$16,$C$17,L$23,L$22,$C$18,$C$19,$B52,N$24)</f>
        <v>0</v>
      </c>
      <c r="O52" s="99">
        <f ca="1">_xll.DBRW($B$9,$C$16,$C$17,O$23,L$22,$C$18,$C$19,$B52,O$24)</f>
        <v>0</v>
      </c>
      <c r="P52" s="99">
        <f ca="1">_xll.DBRW($B$9,$C$16,$C$17,O$23,L$22,$C$18,$C$19,$B52,P$24)</f>
        <v>0</v>
      </c>
      <c r="Q52" s="99">
        <f ca="1">_xll.DBRW($B$9,$C$16,$C$17,O$23,L$22,$C$18,$C$19,$B52,Q$24)</f>
        <v>0</v>
      </c>
      <c r="R52" s="99">
        <f t="shared" ca="1" si="3"/>
        <v>0</v>
      </c>
      <c r="S52" s="99">
        <f t="shared" ca="1" si="4"/>
        <v>0</v>
      </c>
      <c r="T52" s="99">
        <f t="shared" ca="1" si="5"/>
        <v>0</v>
      </c>
      <c r="U52" s="99">
        <f ca="1">_xll.DBRW($B$9,$C$16,$C$17,U$23,U$22,$C$18,$C$19,$B52,U$24)</f>
        <v>0</v>
      </c>
      <c r="V52" s="99">
        <f ca="1">_xll.DBRW($B$9,$C$16,$C$17,U$23,U$22,$C$18,$C$19,$B52,V$24)</f>
        <v>0</v>
      </c>
      <c r="W52" s="99">
        <f ca="1">_xll.DBRW($B$9,$C$16,$C$17,U$23,U$22,$C$18,$C$19,$B52,W$24)</f>
        <v>0</v>
      </c>
      <c r="X52" s="99">
        <f ca="1">_xll.DBRW($B$9,$C$16,$C$17,X$23,U$22,$C$18,$C$19,$B52,X$24)</f>
        <v>0</v>
      </c>
      <c r="Y52" s="99">
        <f ca="1">_xll.DBRW($B$9,$C$16,$C$17,X$23,U$22,$C$18,$C$19,$B52,Y$24)</f>
        <v>0</v>
      </c>
      <c r="Z52" s="99">
        <f ca="1">_xll.DBRW($B$9,$C$16,$C$17,X$23,U$22,$C$18,$C$19,$B52,Z$24)</f>
        <v>0</v>
      </c>
      <c r="AA52" s="99">
        <f t="shared" ca="1" si="6"/>
        <v>0</v>
      </c>
      <c r="AB52" s="99">
        <f t="shared" ca="1" si="7"/>
        <v>0</v>
      </c>
      <c r="AC52" s="99">
        <f t="shared" ca="1" si="8"/>
        <v>0</v>
      </c>
      <c r="AD52" s="99">
        <f ca="1">_xll.DBRW($B$9,$C$16,$C$17,AD$23,AD$22,$C$18,$C$19,$B52,AD$24)</f>
        <v>0</v>
      </c>
      <c r="AE52" s="99">
        <f ca="1">_xll.DBRW($B$9,$C$16,$C$17,AD$23,AD$22,$C$18,$C$19,$B52,AE$24)</f>
        <v>0</v>
      </c>
      <c r="AF52" s="99">
        <f ca="1">_xll.DBRW($B$9,$C$16,$C$17,AD$23,AD$22,$C$18,$C$19,$B52,AF$24)</f>
        <v>0</v>
      </c>
      <c r="AG52" s="99">
        <f ca="1">_xll.DBRW($B$9,$C$16,$C$17,AG$23,AD$22,$C$18,$C$19,$B52,AG$24)</f>
        <v>0</v>
      </c>
      <c r="AH52" s="99">
        <f ca="1">_xll.DBRW($B$9,$C$16,$C$17,AG$23,AD$22,$C$18,$C$19,$B52,AH$24)</f>
        <v>0</v>
      </c>
      <c r="AI52" s="99">
        <f ca="1">_xll.DBRW($B$9,$C$16,$C$17,AG$23,AD$22,$C$18,$C$19,$B52,AI$24)</f>
        <v>0</v>
      </c>
      <c r="AJ52" s="99">
        <f t="shared" ca="1" si="9"/>
        <v>0</v>
      </c>
      <c r="AK52" s="99">
        <f t="shared" ca="1" si="10"/>
        <v>0</v>
      </c>
      <c r="AL52" s="99">
        <f t="shared" ca="1" si="11"/>
        <v>0</v>
      </c>
    </row>
    <row r="53" spans="1:38" x14ac:dyDescent="0.25">
      <c r="A53">
        <f ca="1">IF(_xll.TM1RPTELISCONSOLIDATED($B$25,$B53),IF(_xll.TM1RPTELLEV($B$25,$B53)&lt;=3,_xll.TM1RPTELLEV($B$25,$B53),"D"),"N")</f>
        <v>3</v>
      </c>
      <c r="B53" s="136" t="s">
        <v>67</v>
      </c>
      <c r="C53" s="100">
        <f ca="1">_xll.DBRW($B$9,$C$16,$C$17,C$23,C$22,$C$18,$C$19,$B53,C$24)</f>
        <v>0</v>
      </c>
      <c r="D53" s="100">
        <f ca="1">_xll.DBRW($B$9,$C$16,$C$17,C$23,C$22,$C$18,$C$19,$B53,D$24)</f>
        <v>0</v>
      </c>
      <c r="E53" s="100">
        <f ca="1">_xll.DBRW($B$9,$C$16,$C$17,C$23,C$22,$C$18,$C$19,$B53,E$24)</f>
        <v>0</v>
      </c>
      <c r="F53" s="100">
        <f ca="1">_xll.DBRW($B$9,$C$16,$C$17,F$23,C$22,$C$18,$C$19,$B53,F$24)</f>
        <v>0</v>
      </c>
      <c r="G53" s="100">
        <f ca="1">_xll.DBRW($B$9,$C$16,$C$17,F$23,C$22,$C$18,$C$19,$B53,G$24)</f>
        <v>0</v>
      </c>
      <c r="H53" s="100">
        <f ca="1">_xll.DBRW($B$9,$C$16,$C$17,F$23,C$22,$C$18,$C$19,$B53,H$24)</f>
        <v>0</v>
      </c>
      <c r="I53" s="100">
        <f t="shared" ca="1" si="0"/>
        <v>0</v>
      </c>
      <c r="J53" s="100">
        <f t="shared" ca="1" si="1"/>
        <v>0</v>
      </c>
      <c r="K53" s="100">
        <f t="shared" ca="1" si="2"/>
        <v>0</v>
      </c>
      <c r="L53" s="100">
        <f ca="1">_xll.DBRW($B$9,$C$16,$C$17,L$23,L$22,$C$18,$C$19,$B53,L$24)</f>
        <v>0</v>
      </c>
      <c r="M53" s="100">
        <f ca="1">_xll.DBRW($B$9,$C$16,$C$17,L$23,L$22,$C$18,$C$19,$B53,M$24)</f>
        <v>0</v>
      </c>
      <c r="N53" s="100">
        <f ca="1">_xll.DBRW($B$9,$C$16,$C$17,L$23,L$22,$C$18,$C$19,$B53,N$24)</f>
        <v>0</v>
      </c>
      <c r="O53" s="100">
        <f ca="1">_xll.DBRW($B$9,$C$16,$C$17,O$23,L$22,$C$18,$C$19,$B53,O$24)</f>
        <v>0</v>
      </c>
      <c r="P53" s="100">
        <f ca="1">_xll.DBRW($B$9,$C$16,$C$17,O$23,L$22,$C$18,$C$19,$B53,P$24)</f>
        <v>0</v>
      </c>
      <c r="Q53" s="100">
        <f ca="1">_xll.DBRW($B$9,$C$16,$C$17,O$23,L$22,$C$18,$C$19,$B53,Q$24)</f>
        <v>0</v>
      </c>
      <c r="R53" s="100">
        <f t="shared" ca="1" si="3"/>
        <v>0</v>
      </c>
      <c r="S53" s="100">
        <f t="shared" ca="1" si="4"/>
        <v>0</v>
      </c>
      <c r="T53" s="100">
        <f t="shared" ca="1" si="5"/>
        <v>0</v>
      </c>
      <c r="U53" s="100">
        <f ca="1">_xll.DBRW($B$9,$C$16,$C$17,U$23,U$22,$C$18,$C$19,$B53,U$24)</f>
        <v>0</v>
      </c>
      <c r="V53" s="100">
        <f ca="1">_xll.DBRW($B$9,$C$16,$C$17,U$23,U$22,$C$18,$C$19,$B53,V$24)</f>
        <v>0</v>
      </c>
      <c r="W53" s="100">
        <f ca="1">_xll.DBRW($B$9,$C$16,$C$17,U$23,U$22,$C$18,$C$19,$B53,W$24)</f>
        <v>0</v>
      </c>
      <c r="X53" s="100">
        <f ca="1">_xll.DBRW($B$9,$C$16,$C$17,X$23,U$22,$C$18,$C$19,$B53,X$24)</f>
        <v>0</v>
      </c>
      <c r="Y53" s="100">
        <f ca="1">_xll.DBRW($B$9,$C$16,$C$17,X$23,U$22,$C$18,$C$19,$B53,Y$24)</f>
        <v>0</v>
      </c>
      <c r="Z53" s="100">
        <f ca="1">_xll.DBRW($B$9,$C$16,$C$17,X$23,U$22,$C$18,$C$19,$B53,Z$24)</f>
        <v>0</v>
      </c>
      <c r="AA53" s="100">
        <f t="shared" ca="1" si="6"/>
        <v>0</v>
      </c>
      <c r="AB53" s="100">
        <f t="shared" ca="1" si="7"/>
        <v>0</v>
      </c>
      <c r="AC53" s="100">
        <f t="shared" ca="1" si="8"/>
        <v>0</v>
      </c>
      <c r="AD53" s="100">
        <f ca="1">_xll.DBRW($B$9,$C$16,$C$17,AD$23,AD$22,$C$18,$C$19,$B53,AD$24)</f>
        <v>0</v>
      </c>
      <c r="AE53" s="100">
        <f ca="1">_xll.DBRW($B$9,$C$16,$C$17,AD$23,AD$22,$C$18,$C$19,$B53,AE$24)</f>
        <v>0</v>
      </c>
      <c r="AF53" s="100">
        <f ca="1">_xll.DBRW($B$9,$C$16,$C$17,AD$23,AD$22,$C$18,$C$19,$B53,AF$24)</f>
        <v>0</v>
      </c>
      <c r="AG53" s="100">
        <f ca="1">_xll.DBRW($B$9,$C$16,$C$17,AG$23,AD$22,$C$18,$C$19,$B53,AG$24)</f>
        <v>0</v>
      </c>
      <c r="AH53" s="100">
        <f ca="1">_xll.DBRW($B$9,$C$16,$C$17,AG$23,AD$22,$C$18,$C$19,$B53,AH$24)</f>
        <v>0</v>
      </c>
      <c r="AI53" s="100">
        <f ca="1">_xll.DBRW($B$9,$C$16,$C$17,AG$23,AD$22,$C$18,$C$19,$B53,AI$24)</f>
        <v>0</v>
      </c>
      <c r="AJ53" s="100">
        <f t="shared" ca="1" si="9"/>
        <v>0</v>
      </c>
      <c r="AK53" s="100">
        <f t="shared" ca="1" si="10"/>
        <v>0</v>
      </c>
      <c r="AL53" s="100">
        <f t="shared" ca="1" si="11"/>
        <v>0</v>
      </c>
    </row>
    <row r="54" spans="1:38" x14ac:dyDescent="0.25">
      <c r="A54">
        <f ca="1">IF(_xll.TM1RPTELISCONSOLIDATED($B$25,$B54),IF(_xll.TM1RPTELLEV($B$25,$B54)&lt;=3,_xll.TM1RPTELLEV($B$25,$B54),"D"),"N")</f>
        <v>3</v>
      </c>
      <c r="B54" s="136" t="s">
        <v>68</v>
      </c>
      <c r="C54" s="100">
        <f ca="1">_xll.DBRW($B$9,$C$16,$C$17,C$23,C$22,$C$18,$C$19,$B54,C$24)</f>
        <v>0</v>
      </c>
      <c r="D54" s="100">
        <f ca="1">_xll.DBRW($B$9,$C$16,$C$17,C$23,C$22,$C$18,$C$19,$B54,D$24)</f>
        <v>0</v>
      </c>
      <c r="E54" s="100">
        <f ca="1">_xll.DBRW($B$9,$C$16,$C$17,C$23,C$22,$C$18,$C$19,$B54,E$24)</f>
        <v>0</v>
      </c>
      <c r="F54" s="100">
        <f ca="1">_xll.DBRW($B$9,$C$16,$C$17,F$23,C$22,$C$18,$C$19,$B54,F$24)</f>
        <v>0</v>
      </c>
      <c r="G54" s="100">
        <f ca="1">_xll.DBRW($B$9,$C$16,$C$17,F$23,C$22,$C$18,$C$19,$B54,G$24)</f>
        <v>0</v>
      </c>
      <c r="H54" s="100">
        <f ca="1">_xll.DBRW($B$9,$C$16,$C$17,F$23,C$22,$C$18,$C$19,$B54,H$24)</f>
        <v>0</v>
      </c>
      <c r="I54" s="100">
        <f t="shared" ca="1" si="0"/>
        <v>0</v>
      </c>
      <c r="J54" s="100">
        <f t="shared" ca="1" si="1"/>
        <v>0</v>
      </c>
      <c r="K54" s="100">
        <f t="shared" ca="1" si="2"/>
        <v>0</v>
      </c>
      <c r="L54" s="100">
        <f ca="1">_xll.DBRW($B$9,$C$16,$C$17,L$23,L$22,$C$18,$C$19,$B54,L$24)</f>
        <v>0</v>
      </c>
      <c r="M54" s="100">
        <f ca="1">_xll.DBRW($B$9,$C$16,$C$17,L$23,L$22,$C$18,$C$19,$B54,M$24)</f>
        <v>0</v>
      </c>
      <c r="N54" s="100">
        <f ca="1">_xll.DBRW($B$9,$C$16,$C$17,L$23,L$22,$C$18,$C$19,$B54,N$24)</f>
        <v>0</v>
      </c>
      <c r="O54" s="100">
        <f ca="1">_xll.DBRW($B$9,$C$16,$C$17,O$23,L$22,$C$18,$C$19,$B54,O$24)</f>
        <v>0</v>
      </c>
      <c r="P54" s="100">
        <f ca="1">_xll.DBRW($B$9,$C$16,$C$17,O$23,L$22,$C$18,$C$19,$B54,P$24)</f>
        <v>0</v>
      </c>
      <c r="Q54" s="100">
        <f ca="1">_xll.DBRW($B$9,$C$16,$C$17,O$23,L$22,$C$18,$C$19,$B54,Q$24)</f>
        <v>0</v>
      </c>
      <c r="R54" s="100">
        <f t="shared" ca="1" si="3"/>
        <v>0</v>
      </c>
      <c r="S54" s="100">
        <f t="shared" ca="1" si="4"/>
        <v>0</v>
      </c>
      <c r="T54" s="100">
        <f t="shared" ca="1" si="5"/>
        <v>0</v>
      </c>
      <c r="U54" s="100">
        <f ca="1">_xll.DBRW($B$9,$C$16,$C$17,U$23,U$22,$C$18,$C$19,$B54,U$24)</f>
        <v>0</v>
      </c>
      <c r="V54" s="100">
        <f ca="1">_xll.DBRW($B$9,$C$16,$C$17,U$23,U$22,$C$18,$C$19,$B54,V$24)</f>
        <v>0</v>
      </c>
      <c r="W54" s="100">
        <f ca="1">_xll.DBRW($B$9,$C$16,$C$17,U$23,U$22,$C$18,$C$19,$B54,W$24)</f>
        <v>0</v>
      </c>
      <c r="X54" s="100">
        <f ca="1">_xll.DBRW($B$9,$C$16,$C$17,X$23,U$22,$C$18,$C$19,$B54,X$24)</f>
        <v>0</v>
      </c>
      <c r="Y54" s="100">
        <f ca="1">_xll.DBRW($B$9,$C$16,$C$17,X$23,U$22,$C$18,$C$19,$B54,Y$24)</f>
        <v>0</v>
      </c>
      <c r="Z54" s="100">
        <f ca="1">_xll.DBRW($B$9,$C$16,$C$17,X$23,U$22,$C$18,$C$19,$B54,Z$24)</f>
        <v>0</v>
      </c>
      <c r="AA54" s="100">
        <f t="shared" ca="1" si="6"/>
        <v>0</v>
      </c>
      <c r="AB54" s="100">
        <f t="shared" ca="1" si="7"/>
        <v>0</v>
      </c>
      <c r="AC54" s="100">
        <f t="shared" ca="1" si="8"/>
        <v>0</v>
      </c>
      <c r="AD54" s="100">
        <f ca="1">_xll.DBRW($B$9,$C$16,$C$17,AD$23,AD$22,$C$18,$C$19,$B54,AD$24)</f>
        <v>0</v>
      </c>
      <c r="AE54" s="100">
        <f ca="1">_xll.DBRW($B$9,$C$16,$C$17,AD$23,AD$22,$C$18,$C$19,$B54,AE$24)</f>
        <v>0</v>
      </c>
      <c r="AF54" s="100">
        <f ca="1">_xll.DBRW($B$9,$C$16,$C$17,AD$23,AD$22,$C$18,$C$19,$B54,AF$24)</f>
        <v>0</v>
      </c>
      <c r="AG54" s="100">
        <f ca="1">_xll.DBRW($B$9,$C$16,$C$17,AG$23,AD$22,$C$18,$C$19,$B54,AG$24)</f>
        <v>0</v>
      </c>
      <c r="AH54" s="100">
        <f ca="1">_xll.DBRW($B$9,$C$16,$C$17,AG$23,AD$22,$C$18,$C$19,$B54,AH$24)</f>
        <v>0</v>
      </c>
      <c r="AI54" s="100">
        <f ca="1">_xll.DBRW($B$9,$C$16,$C$17,AG$23,AD$22,$C$18,$C$19,$B54,AI$24)</f>
        <v>0</v>
      </c>
      <c r="AJ54" s="100">
        <f t="shared" ca="1" si="9"/>
        <v>0</v>
      </c>
      <c r="AK54" s="100">
        <f t="shared" ca="1" si="10"/>
        <v>0</v>
      </c>
      <c r="AL54" s="100">
        <f t="shared" ca="1" si="11"/>
        <v>0</v>
      </c>
    </row>
    <row r="55" spans="1:38" x14ac:dyDescent="0.25">
      <c r="A55">
        <f ca="1">IF(_xll.TM1RPTELISCONSOLIDATED($B$25,$B55),IF(_xll.TM1RPTELLEV($B$25,$B55)&lt;=3,_xll.TM1RPTELLEV($B$25,$B55),"D"),"N")</f>
        <v>3</v>
      </c>
      <c r="B55" s="136" t="s">
        <v>69</v>
      </c>
      <c r="C55" s="100">
        <f ca="1">_xll.DBRW($B$9,$C$16,$C$17,C$23,C$22,$C$18,$C$19,$B55,C$24)</f>
        <v>0</v>
      </c>
      <c r="D55" s="100">
        <f ca="1">_xll.DBRW($B$9,$C$16,$C$17,C$23,C$22,$C$18,$C$19,$B55,D$24)</f>
        <v>0</v>
      </c>
      <c r="E55" s="100">
        <f ca="1">_xll.DBRW($B$9,$C$16,$C$17,C$23,C$22,$C$18,$C$19,$B55,E$24)</f>
        <v>0</v>
      </c>
      <c r="F55" s="100">
        <f ca="1">_xll.DBRW($B$9,$C$16,$C$17,F$23,C$22,$C$18,$C$19,$B55,F$24)</f>
        <v>0</v>
      </c>
      <c r="G55" s="100">
        <f ca="1">_xll.DBRW($B$9,$C$16,$C$17,F$23,C$22,$C$18,$C$19,$B55,G$24)</f>
        <v>0</v>
      </c>
      <c r="H55" s="100">
        <f ca="1">_xll.DBRW($B$9,$C$16,$C$17,F$23,C$22,$C$18,$C$19,$B55,H$24)</f>
        <v>0</v>
      </c>
      <c r="I55" s="100">
        <f t="shared" ca="1" si="0"/>
        <v>0</v>
      </c>
      <c r="J55" s="100">
        <f t="shared" ca="1" si="1"/>
        <v>0</v>
      </c>
      <c r="K55" s="100">
        <f t="shared" ca="1" si="2"/>
        <v>0</v>
      </c>
      <c r="L55" s="100">
        <f ca="1">_xll.DBRW($B$9,$C$16,$C$17,L$23,L$22,$C$18,$C$19,$B55,L$24)</f>
        <v>0</v>
      </c>
      <c r="M55" s="100">
        <f ca="1">_xll.DBRW($B$9,$C$16,$C$17,L$23,L$22,$C$18,$C$19,$B55,M$24)</f>
        <v>0</v>
      </c>
      <c r="N55" s="100">
        <f ca="1">_xll.DBRW($B$9,$C$16,$C$17,L$23,L$22,$C$18,$C$19,$B55,N$24)</f>
        <v>0</v>
      </c>
      <c r="O55" s="100">
        <f ca="1">_xll.DBRW($B$9,$C$16,$C$17,O$23,L$22,$C$18,$C$19,$B55,O$24)</f>
        <v>0</v>
      </c>
      <c r="P55" s="100">
        <f ca="1">_xll.DBRW($B$9,$C$16,$C$17,O$23,L$22,$C$18,$C$19,$B55,P$24)</f>
        <v>0</v>
      </c>
      <c r="Q55" s="100">
        <f ca="1">_xll.DBRW($B$9,$C$16,$C$17,O$23,L$22,$C$18,$C$19,$B55,Q$24)</f>
        <v>0</v>
      </c>
      <c r="R55" s="100">
        <f t="shared" ca="1" si="3"/>
        <v>0</v>
      </c>
      <c r="S55" s="100">
        <f t="shared" ca="1" si="4"/>
        <v>0</v>
      </c>
      <c r="T55" s="100">
        <f t="shared" ca="1" si="5"/>
        <v>0</v>
      </c>
      <c r="U55" s="100">
        <f ca="1">_xll.DBRW($B$9,$C$16,$C$17,U$23,U$22,$C$18,$C$19,$B55,U$24)</f>
        <v>0</v>
      </c>
      <c r="V55" s="100">
        <f ca="1">_xll.DBRW($B$9,$C$16,$C$17,U$23,U$22,$C$18,$C$19,$B55,V$24)</f>
        <v>0</v>
      </c>
      <c r="W55" s="100">
        <f ca="1">_xll.DBRW($B$9,$C$16,$C$17,U$23,U$22,$C$18,$C$19,$B55,W$24)</f>
        <v>0</v>
      </c>
      <c r="X55" s="100">
        <f ca="1">_xll.DBRW($B$9,$C$16,$C$17,X$23,U$22,$C$18,$C$19,$B55,X$24)</f>
        <v>0</v>
      </c>
      <c r="Y55" s="100">
        <f ca="1">_xll.DBRW($B$9,$C$16,$C$17,X$23,U$22,$C$18,$C$19,$B55,Y$24)</f>
        <v>0</v>
      </c>
      <c r="Z55" s="100">
        <f ca="1">_xll.DBRW($B$9,$C$16,$C$17,X$23,U$22,$C$18,$C$19,$B55,Z$24)</f>
        <v>0</v>
      </c>
      <c r="AA55" s="100">
        <f t="shared" ca="1" si="6"/>
        <v>0</v>
      </c>
      <c r="AB55" s="100">
        <f t="shared" ca="1" si="7"/>
        <v>0</v>
      </c>
      <c r="AC55" s="100">
        <f t="shared" ca="1" si="8"/>
        <v>0</v>
      </c>
      <c r="AD55" s="100">
        <f ca="1">_xll.DBRW($B$9,$C$16,$C$17,AD$23,AD$22,$C$18,$C$19,$B55,AD$24)</f>
        <v>0</v>
      </c>
      <c r="AE55" s="100">
        <f ca="1">_xll.DBRW($B$9,$C$16,$C$17,AD$23,AD$22,$C$18,$C$19,$B55,AE$24)</f>
        <v>0</v>
      </c>
      <c r="AF55" s="100">
        <f ca="1">_xll.DBRW($B$9,$C$16,$C$17,AD$23,AD$22,$C$18,$C$19,$B55,AF$24)</f>
        <v>0</v>
      </c>
      <c r="AG55" s="100">
        <f ca="1">_xll.DBRW($B$9,$C$16,$C$17,AG$23,AD$22,$C$18,$C$19,$B55,AG$24)</f>
        <v>0</v>
      </c>
      <c r="AH55" s="100">
        <f ca="1">_xll.DBRW($B$9,$C$16,$C$17,AG$23,AD$22,$C$18,$C$19,$B55,AH$24)</f>
        <v>0</v>
      </c>
      <c r="AI55" s="100">
        <f ca="1">_xll.DBRW($B$9,$C$16,$C$17,AG$23,AD$22,$C$18,$C$19,$B55,AI$24)</f>
        <v>0</v>
      </c>
      <c r="AJ55" s="100">
        <f t="shared" ca="1" si="9"/>
        <v>0</v>
      </c>
      <c r="AK55" s="100">
        <f t="shared" ca="1" si="10"/>
        <v>0</v>
      </c>
      <c r="AL55" s="100">
        <f t="shared" ca="1" si="11"/>
        <v>0</v>
      </c>
    </row>
    <row r="56" spans="1:38" x14ac:dyDescent="0.25">
      <c r="A56">
        <f ca="1">IF(_xll.TM1RPTELISCONSOLIDATED($B$25,$B56),IF(_xll.TM1RPTELLEV($B$25,$B56)&lt;=3,_xll.TM1RPTELLEV($B$25,$B56),"D"),"N")</f>
        <v>3</v>
      </c>
      <c r="B56" s="136" t="s">
        <v>70</v>
      </c>
      <c r="C56" s="100">
        <f ca="1">_xll.DBRW($B$9,$C$16,$C$17,C$23,C$22,$C$18,$C$19,$B56,C$24)</f>
        <v>0</v>
      </c>
      <c r="D56" s="100">
        <f ca="1">_xll.DBRW($B$9,$C$16,$C$17,C$23,C$22,$C$18,$C$19,$B56,D$24)</f>
        <v>0</v>
      </c>
      <c r="E56" s="100">
        <f ca="1">_xll.DBRW($B$9,$C$16,$C$17,C$23,C$22,$C$18,$C$19,$B56,E$24)</f>
        <v>0</v>
      </c>
      <c r="F56" s="100">
        <f ca="1">_xll.DBRW($B$9,$C$16,$C$17,F$23,C$22,$C$18,$C$19,$B56,F$24)</f>
        <v>0</v>
      </c>
      <c r="G56" s="100">
        <f ca="1">_xll.DBRW($B$9,$C$16,$C$17,F$23,C$22,$C$18,$C$19,$B56,G$24)</f>
        <v>0</v>
      </c>
      <c r="H56" s="100">
        <f ca="1">_xll.DBRW($B$9,$C$16,$C$17,F$23,C$22,$C$18,$C$19,$B56,H$24)</f>
        <v>0</v>
      </c>
      <c r="I56" s="100">
        <f t="shared" ca="1" si="0"/>
        <v>0</v>
      </c>
      <c r="J56" s="100">
        <f t="shared" ca="1" si="1"/>
        <v>0</v>
      </c>
      <c r="K56" s="100">
        <f t="shared" ca="1" si="2"/>
        <v>0</v>
      </c>
      <c r="L56" s="100">
        <f ca="1">_xll.DBRW($B$9,$C$16,$C$17,L$23,L$22,$C$18,$C$19,$B56,L$24)</f>
        <v>0</v>
      </c>
      <c r="M56" s="100">
        <f ca="1">_xll.DBRW($B$9,$C$16,$C$17,L$23,L$22,$C$18,$C$19,$B56,M$24)</f>
        <v>0</v>
      </c>
      <c r="N56" s="100">
        <f ca="1">_xll.DBRW($B$9,$C$16,$C$17,L$23,L$22,$C$18,$C$19,$B56,N$24)</f>
        <v>0</v>
      </c>
      <c r="O56" s="100">
        <f ca="1">_xll.DBRW($B$9,$C$16,$C$17,O$23,L$22,$C$18,$C$19,$B56,O$24)</f>
        <v>0</v>
      </c>
      <c r="P56" s="100">
        <f ca="1">_xll.DBRW($B$9,$C$16,$C$17,O$23,L$22,$C$18,$C$19,$B56,P$24)</f>
        <v>0</v>
      </c>
      <c r="Q56" s="100">
        <f ca="1">_xll.DBRW($B$9,$C$16,$C$17,O$23,L$22,$C$18,$C$19,$B56,Q$24)</f>
        <v>0</v>
      </c>
      <c r="R56" s="100">
        <f t="shared" ca="1" si="3"/>
        <v>0</v>
      </c>
      <c r="S56" s="100">
        <f t="shared" ca="1" si="4"/>
        <v>0</v>
      </c>
      <c r="T56" s="100">
        <f t="shared" ca="1" si="5"/>
        <v>0</v>
      </c>
      <c r="U56" s="100">
        <f ca="1">_xll.DBRW($B$9,$C$16,$C$17,U$23,U$22,$C$18,$C$19,$B56,U$24)</f>
        <v>0</v>
      </c>
      <c r="V56" s="100">
        <f ca="1">_xll.DBRW($B$9,$C$16,$C$17,U$23,U$22,$C$18,$C$19,$B56,V$24)</f>
        <v>0</v>
      </c>
      <c r="W56" s="100">
        <f ca="1">_xll.DBRW($B$9,$C$16,$C$17,U$23,U$22,$C$18,$C$19,$B56,W$24)</f>
        <v>0</v>
      </c>
      <c r="X56" s="100">
        <f ca="1">_xll.DBRW($B$9,$C$16,$C$17,X$23,U$22,$C$18,$C$19,$B56,X$24)</f>
        <v>0</v>
      </c>
      <c r="Y56" s="100">
        <f ca="1">_xll.DBRW($B$9,$C$16,$C$17,X$23,U$22,$C$18,$C$19,$B56,Y$24)</f>
        <v>0</v>
      </c>
      <c r="Z56" s="100">
        <f ca="1">_xll.DBRW($B$9,$C$16,$C$17,X$23,U$22,$C$18,$C$19,$B56,Z$24)</f>
        <v>0</v>
      </c>
      <c r="AA56" s="100">
        <f t="shared" ca="1" si="6"/>
        <v>0</v>
      </c>
      <c r="AB56" s="100">
        <f t="shared" ca="1" si="7"/>
        <v>0</v>
      </c>
      <c r="AC56" s="100">
        <f t="shared" ca="1" si="8"/>
        <v>0</v>
      </c>
      <c r="AD56" s="100">
        <f ca="1">_xll.DBRW($B$9,$C$16,$C$17,AD$23,AD$22,$C$18,$C$19,$B56,AD$24)</f>
        <v>0</v>
      </c>
      <c r="AE56" s="100">
        <f ca="1">_xll.DBRW($B$9,$C$16,$C$17,AD$23,AD$22,$C$18,$C$19,$B56,AE$24)</f>
        <v>0</v>
      </c>
      <c r="AF56" s="100">
        <f ca="1">_xll.DBRW($B$9,$C$16,$C$17,AD$23,AD$22,$C$18,$C$19,$B56,AF$24)</f>
        <v>0</v>
      </c>
      <c r="AG56" s="100">
        <f ca="1">_xll.DBRW($B$9,$C$16,$C$17,AG$23,AD$22,$C$18,$C$19,$B56,AG$24)</f>
        <v>0</v>
      </c>
      <c r="AH56" s="100">
        <f ca="1">_xll.DBRW($B$9,$C$16,$C$17,AG$23,AD$22,$C$18,$C$19,$B56,AH$24)</f>
        <v>0</v>
      </c>
      <c r="AI56" s="100">
        <f ca="1">_xll.DBRW($B$9,$C$16,$C$17,AG$23,AD$22,$C$18,$C$19,$B56,AI$24)</f>
        <v>0</v>
      </c>
      <c r="AJ56" s="100">
        <f t="shared" ca="1" si="9"/>
        <v>0</v>
      </c>
      <c r="AK56" s="100">
        <f t="shared" ca="1" si="10"/>
        <v>0</v>
      </c>
      <c r="AL56" s="100">
        <f t="shared" ca="1" si="11"/>
        <v>0</v>
      </c>
    </row>
    <row r="57" spans="1:38" x14ac:dyDescent="0.25">
      <c r="A57">
        <f ca="1">IF(_xll.TM1RPTELISCONSOLIDATED($B$25,$B57),IF(_xll.TM1RPTELLEV($B$25,$B57)&lt;=3,_xll.TM1RPTELLEV($B$25,$B57),"D"),"N")</f>
        <v>3</v>
      </c>
      <c r="B57" s="136" t="s">
        <v>71</v>
      </c>
      <c r="C57" s="100">
        <f ca="1">_xll.DBRW($B$9,$C$16,$C$17,C$23,C$22,$C$18,$C$19,$B57,C$24)</f>
        <v>0</v>
      </c>
      <c r="D57" s="100">
        <f ca="1">_xll.DBRW($B$9,$C$16,$C$17,C$23,C$22,$C$18,$C$19,$B57,D$24)</f>
        <v>0</v>
      </c>
      <c r="E57" s="100">
        <f ca="1">_xll.DBRW($B$9,$C$16,$C$17,C$23,C$22,$C$18,$C$19,$B57,E$24)</f>
        <v>0</v>
      </c>
      <c r="F57" s="100">
        <f ca="1">_xll.DBRW($B$9,$C$16,$C$17,F$23,C$22,$C$18,$C$19,$B57,F$24)</f>
        <v>0</v>
      </c>
      <c r="G57" s="100">
        <f ca="1">_xll.DBRW($B$9,$C$16,$C$17,F$23,C$22,$C$18,$C$19,$B57,G$24)</f>
        <v>0</v>
      </c>
      <c r="H57" s="100">
        <f ca="1">_xll.DBRW($B$9,$C$16,$C$17,F$23,C$22,$C$18,$C$19,$B57,H$24)</f>
        <v>0</v>
      </c>
      <c r="I57" s="100">
        <f t="shared" ca="1" si="0"/>
        <v>0</v>
      </c>
      <c r="J57" s="100">
        <f t="shared" ca="1" si="1"/>
        <v>0</v>
      </c>
      <c r="K57" s="100">
        <f t="shared" ca="1" si="2"/>
        <v>0</v>
      </c>
      <c r="L57" s="100">
        <f ca="1">_xll.DBRW($B$9,$C$16,$C$17,L$23,L$22,$C$18,$C$19,$B57,L$24)</f>
        <v>0</v>
      </c>
      <c r="M57" s="100">
        <f ca="1">_xll.DBRW($B$9,$C$16,$C$17,L$23,L$22,$C$18,$C$19,$B57,M$24)</f>
        <v>0</v>
      </c>
      <c r="N57" s="100">
        <f ca="1">_xll.DBRW($B$9,$C$16,$C$17,L$23,L$22,$C$18,$C$19,$B57,N$24)</f>
        <v>0</v>
      </c>
      <c r="O57" s="100">
        <f ca="1">_xll.DBRW($B$9,$C$16,$C$17,O$23,L$22,$C$18,$C$19,$B57,O$24)</f>
        <v>0</v>
      </c>
      <c r="P57" s="100">
        <f ca="1">_xll.DBRW($B$9,$C$16,$C$17,O$23,L$22,$C$18,$C$19,$B57,P$24)</f>
        <v>0</v>
      </c>
      <c r="Q57" s="100">
        <f ca="1">_xll.DBRW($B$9,$C$16,$C$17,O$23,L$22,$C$18,$C$19,$B57,Q$24)</f>
        <v>0</v>
      </c>
      <c r="R57" s="100">
        <f t="shared" ca="1" si="3"/>
        <v>0</v>
      </c>
      <c r="S57" s="100">
        <f t="shared" ca="1" si="4"/>
        <v>0</v>
      </c>
      <c r="T57" s="100">
        <f t="shared" ca="1" si="5"/>
        <v>0</v>
      </c>
      <c r="U57" s="100">
        <f ca="1">_xll.DBRW($B$9,$C$16,$C$17,U$23,U$22,$C$18,$C$19,$B57,U$24)</f>
        <v>0</v>
      </c>
      <c r="V57" s="100">
        <f ca="1">_xll.DBRW($B$9,$C$16,$C$17,U$23,U$22,$C$18,$C$19,$B57,V$24)</f>
        <v>0</v>
      </c>
      <c r="W57" s="100">
        <f ca="1">_xll.DBRW($B$9,$C$16,$C$17,U$23,U$22,$C$18,$C$19,$B57,W$24)</f>
        <v>0</v>
      </c>
      <c r="X57" s="100">
        <f ca="1">_xll.DBRW($B$9,$C$16,$C$17,X$23,U$22,$C$18,$C$19,$B57,X$24)</f>
        <v>0</v>
      </c>
      <c r="Y57" s="100">
        <f ca="1">_xll.DBRW($B$9,$C$16,$C$17,X$23,U$22,$C$18,$C$19,$B57,Y$24)</f>
        <v>0</v>
      </c>
      <c r="Z57" s="100">
        <f ca="1">_xll.DBRW($B$9,$C$16,$C$17,X$23,U$22,$C$18,$C$19,$B57,Z$24)</f>
        <v>0</v>
      </c>
      <c r="AA57" s="100">
        <f t="shared" ca="1" si="6"/>
        <v>0</v>
      </c>
      <c r="AB57" s="100">
        <f t="shared" ca="1" si="7"/>
        <v>0</v>
      </c>
      <c r="AC57" s="100">
        <f t="shared" ca="1" si="8"/>
        <v>0</v>
      </c>
      <c r="AD57" s="100">
        <f ca="1">_xll.DBRW($B$9,$C$16,$C$17,AD$23,AD$22,$C$18,$C$19,$B57,AD$24)</f>
        <v>0</v>
      </c>
      <c r="AE57" s="100">
        <f ca="1">_xll.DBRW($B$9,$C$16,$C$17,AD$23,AD$22,$C$18,$C$19,$B57,AE$24)</f>
        <v>0</v>
      </c>
      <c r="AF57" s="100">
        <f ca="1">_xll.DBRW($B$9,$C$16,$C$17,AD$23,AD$22,$C$18,$C$19,$B57,AF$24)</f>
        <v>0</v>
      </c>
      <c r="AG57" s="100">
        <f ca="1">_xll.DBRW($B$9,$C$16,$C$17,AG$23,AD$22,$C$18,$C$19,$B57,AG$24)</f>
        <v>0</v>
      </c>
      <c r="AH57" s="100">
        <f ca="1">_xll.DBRW($B$9,$C$16,$C$17,AG$23,AD$22,$C$18,$C$19,$B57,AH$24)</f>
        <v>0</v>
      </c>
      <c r="AI57" s="100">
        <f ca="1">_xll.DBRW($B$9,$C$16,$C$17,AG$23,AD$22,$C$18,$C$19,$B57,AI$24)</f>
        <v>0</v>
      </c>
      <c r="AJ57" s="100">
        <f t="shared" ca="1" si="9"/>
        <v>0</v>
      </c>
      <c r="AK57" s="100">
        <f t="shared" ca="1" si="10"/>
        <v>0</v>
      </c>
      <c r="AL57" s="100">
        <f t="shared" ca="1" si="11"/>
        <v>0</v>
      </c>
    </row>
    <row r="58" spans="1:38" x14ac:dyDescent="0.25">
      <c r="A58">
        <f ca="1">IF(_xll.TM1RPTELISCONSOLIDATED($B$25,$B58),IF(_xll.TM1RPTELLEV($B$25,$B58)&lt;=3,_xll.TM1RPTELLEV($B$25,$B58),"D"),"N")</f>
        <v>3</v>
      </c>
      <c r="B58" s="136" t="s">
        <v>72</v>
      </c>
      <c r="C58" s="100">
        <f ca="1">_xll.DBRW($B$9,$C$16,$C$17,C$23,C$22,$C$18,$C$19,$B58,C$24)</f>
        <v>0</v>
      </c>
      <c r="D58" s="100">
        <f ca="1">_xll.DBRW($B$9,$C$16,$C$17,C$23,C$22,$C$18,$C$19,$B58,D$24)</f>
        <v>0</v>
      </c>
      <c r="E58" s="100">
        <f ca="1">_xll.DBRW($B$9,$C$16,$C$17,C$23,C$22,$C$18,$C$19,$B58,E$24)</f>
        <v>0</v>
      </c>
      <c r="F58" s="100">
        <f ca="1">_xll.DBRW($B$9,$C$16,$C$17,F$23,C$22,$C$18,$C$19,$B58,F$24)</f>
        <v>0</v>
      </c>
      <c r="G58" s="100">
        <f ca="1">_xll.DBRW($B$9,$C$16,$C$17,F$23,C$22,$C$18,$C$19,$B58,G$24)</f>
        <v>0</v>
      </c>
      <c r="H58" s="100">
        <f ca="1">_xll.DBRW($B$9,$C$16,$C$17,F$23,C$22,$C$18,$C$19,$B58,H$24)</f>
        <v>0</v>
      </c>
      <c r="I58" s="100">
        <f t="shared" ca="1" si="0"/>
        <v>0</v>
      </c>
      <c r="J58" s="100">
        <f t="shared" ca="1" si="1"/>
        <v>0</v>
      </c>
      <c r="K58" s="100">
        <f t="shared" ca="1" si="2"/>
        <v>0</v>
      </c>
      <c r="L58" s="100">
        <f ca="1">_xll.DBRW($B$9,$C$16,$C$17,L$23,L$22,$C$18,$C$19,$B58,L$24)</f>
        <v>0</v>
      </c>
      <c r="M58" s="100">
        <f ca="1">_xll.DBRW($B$9,$C$16,$C$17,L$23,L$22,$C$18,$C$19,$B58,M$24)</f>
        <v>0</v>
      </c>
      <c r="N58" s="100">
        <f ca="1">_xll.DBRW($B$9,$C$16,$C$17,L$23,L$22,$C$18,$C$19,$B58,N$24)</f>
        <v>0</v>
      </c>
      <c r="O58" s="100">
        <f ca="1">_xll.DBRW($B$9,$C$16,$C$17,O$23,L$22,$C$18,$C$19,$B58,O$24)</f>
        <v>0</v>
      </c>
      <c r="P58" s="100">
        <f ca="1">_xll.DBRW($B$9,$C$16,$C$17,O$23,L$22,$C$18,$C$19,$B58,P$24)</f>
        <v>0</v>
      </c>
      <c r="Q58" s="100">
        <f ca="1">_xll.DBRW($B$9,$C$16,$C$17,O$23,L$22,$C$18,$C$19,$B58,Q$24)</f>
        <v>0</v>
      </c>
      <c r="R58" s="100">
        <f t="shared" ca="1" si="3"/>
        <v>0</v>
      </c>
      <c r="S58" s="100">
        <f t="shared" ca="1" si="4"/>
        <v>0</v>
      </c>
      <c r="T58" s="100">
        <f t="shared" ca="1" si="5"/>
        <v>0</v>
      </c>
      <c r="U58" s="100">
        <f ca="1">_xll.DBRW($B$9,$C$16,$C$17,U$23,U$22,$C$18,$C$19,$B58,U$24)</f>
        <v>0</v>
      </c>
      <c r="V58" s="100">
        <f ca="1">_xll.DBRW($B$9,$C$16,$C$17,U$23,U$22,$C$18,$C$19,$B58,V$24)</f>
        <v>0</v>
      </c>
      <c r="W58" s="100">
        <f ca="1">_xll.DBRW($B$9,$C$16,$C$17,U$23,U$22,$C$18,$C$19,$B58,W$24)</f>
        <v>0</v>
      </c>
      <c r="X58" s="100">
        <f ca="1">_xll.DBRW($B$9,$C$16,$C$17,X$23,U$22,$C$18,$C$19,$B58,X$24)</f>
        <v>0</v>
      </c>
      <c r="Y58" s="100">
        <f ca="1">_xll.DBRW($B$9,$C$16,$C$17,X$23,U$22,$C$18,$C$19,$B58,Y$24)</f>
        <v>0</v>
      </c>
      <c r="Z58" s="100">
        <f ca="1">_xll.DBRW($B$9,$C$16,$C$17,X$23,U$22,$C$18,$C$19,$B58,Z$24)</f>
        <v>0</v>
      </c>
      <c r="AA58" s="100">
        <f t="shared" ca="1" si="6"/>
        <v>0</v>
      </c>
      <c r="AB58" s="100">
        <f t="shared" ca="1" si="7"/>
        <v>0</v>
      </c>
      <c r="AC58" s="100">
        <f t="shared" ca="1" si="8"/>
        <v>0</v>
      </c>
      <c r="AD58" s="100">
        <f ca="1">_xll.DBRW($B$9,$C$16,$C$17,AD$23,AD$22,$C$18,$C$19,$B58,AD$24)</f>
        <v>0</v>
      </c>
      <c r="AE58" s="100">
        <f ca="1">_xll.DBRW($B$9,$C$16,$C$17,AD$23,AD$22,$C$18,$C$19,$B58,AE$24)</f>
        <v>0</v>
      </c>
      <c r="AF58" s="100">
        <f ca="1">_xll.DBRW($B$9,$C$16,$C$17,AD$23,AD$22,$C$18,$C$19,$B58,AF$24)</f>
        <v>0</v>
      </c>
      <c r="AG58" s="100">
        <f ca="1">_xll.DBRW($B$9,$C$16,$C$17,AG$23,AD$22,$C$18,$C$19,$B58,AG$24)</f>
        <v>0</v>
      </c>
      <c r="AH58" s="100">
        <f ca="1">_xll.DBRW($B$9,$C$16,$C$17,AG$23,AD$22,$C$18,$C$19,$B58,AH$24)</f>
        <v>0</v>
      </c>
      <c r="AI58" s="100">
        <f ca="1">_xll.DBRW($B$9,$C$16,$C$17,AG$23,AD$22,$C$18,$C$19,$B58,AI$24)</f>
        <v>0</v>
      </c>
      <c r="AJ58" s="100">
        <f t="shared" ca="1" si="9"/>
        <v>0</v>
      </c>
      <c r="AK58" s="100">
        <f t="shared" ca="1" si="10"/>
        <v>0</v>
      </c>
      <c r="AL58" s="100">
        <f t="shared" ca="1" si="11"/>
        <v>0</v>
      </c>
    </row>
    <row r="59" spans="1:38" x14ac:dyDescent="0.25">
      <c r="A59">
        <f ca="1">IF(_xll.TM1RPTELISCONSOLIDATED($B$25,$B59),IF(_xll.TM1RPTELLEV($B$25,$B59)&lt;=3,_xll.TM1RPTELLEV($B$25,$B59),"D"),"N")</f>
        <v>3</v>
      </c>
      <c r="B59" s="136" t="s">
        <v>73</v>
      </c>
      <c r="C59" s="100">
        <f ca="1">_xll.DBRW($B$9,$C$16,$C$17,C$23,C$22,$C$18,$C$19,$B59,C$24)</f>
        <v>0</v>
      </c>
      <c r="D59" s="100">
        <f ca="1">_xll.DBRW($B$9,$C$16,$C$17,C$23,C$22,$C$18,$C$19,$B59,D$24)</f>
        <v>0</v>
      </c>
      <c r="E59" s="100">
        <f ca="1">_xll.DBRW($B$9,$C$16,$C$17,C$23,C$22,$C$18,$C$19,$B59,E$24)</f>
        <v>0</v>
      </c>
      <c r="F59" s="100">
        <f ca="1">_xll.DBRW($B$9,$C$16,$C$17,F$23,C$22,$C$18,$C$19,$B59,F$24)</f>
        <v>0</v>
      </c>
      <c r="G59" s="100">
        <f ca="1">_xll.DBRW($B$9,$C$16,$C$17,F$23,C$22,$C$18,$C$19,$B59,G$24)</f>
        <v>0</v>
      </c>
      <c r="H59" s="100">
        <f ca="1">_xll.DBRW($B$9,$C$16,$C$17,F$23,C$22,$C$18,$C$19,$B59,H$24)</f>
        <v>0</v>
      </c>
      <c r="I59" s="100">
        <f t="shared" ca="1" si="0"/>
        <v>0</v>
      </c>
      <c r="J59" s="100">
        <f t="shared" ca="1" si="1"/>
        <v>0</v>
      </c>
      <c r="K59" s="100">
        <f t="shared" ca="1" si="2"/>
        <v>0</v>
      </c>
      <c r="L59" s="100">
        <f ca="1">_xll.DBRW($B$9,$C$16,$C$17,L$23,L$22,$C$18,$C$19,$B59,L$24)</f>
        <v>0</v>
      </c>
      <c r="M59" s="100">
        <f ca="1">_xll.DBRW($B$9,$C$16,$C$17,L$23,L$22,$C$18,$C$19,$B59,M$24)</f>
        <v>0</v>
      </c>
      <c r="N59" s="100">
        <f ca="1">_xll.DBRW($B$9,$C$16,$C$17,L$23,L$22,$C$18,$C$19,$B59,N$24)</f>
        <v>0</v>
      </c>
      <c r="O59" s="100">
        <f ca="1">_xll.DBRW($B$9,$C$16,$C$17,O$23,L$22,$C$18,$C$19,$B59,O$24)</f>
        <v>0</v>
      </c>
      <c r="P59" s="100">
        <f ca="1">_xll.DBRW($B$9,$C$16,$C$17,O$23,L$22,$C$18,$C$19,$B59,P$24)</f>
        <v>0</v>
      </c>
      <c r="Q59" s="100">
        <f ca="1">_xll.DBRW($B$9,$C$16,$C$17,O$23,L$22,$C$18,$C$19,$B59,Q$24)</f>
        <v>0</v>
      </c>
      <c r="R59" s="100">
        <f t="shared" ca="1" si="3"/>
        <v>0</v>
      </c>
      <c r="S59" s="100">
        <f t="shared" ca="1" si="4"/>
        <v>0</v>
      </c>
      <c r="T59" s="100">
        <f t="shared" ca="1" si="5"/>
        <v>0</v>
      </c>
      <c r="U59" s="100">
        <f ca="1">_xll.DBRW($B$9,$C$16,$C$17,U$23,U$22,$C$18,$C$19,$B59,U$24)</f>
        <v>0</v>
      </c>
      <c r="V59" s="100">
        <f ca="1">_xll.DBRW($B$9,$C$16,$C$17,U$23,U$22,$C$18,$C$19,$B59,V$24)</f>
        <v>0</v>
      </c>
      <c r="W59" s="100">
        <f ca="1">_xll.DBRW($B$9,$C$16,$C$17,U$23,U$22,$C$18,$C$19,$B59,W$24)</f>
        <v>0</v>
      </c>
      <c r="X59" s="100">
        <f ca="1">_xll.DBRW($B$9,$C$16,$C$17,X$23,U$22,$C$18,$C$19,$B59,X$24)</f>
        <v>0</v>
      </c>
      <c r="Y59" s="100">
        <f ca="1">_xll.DBRW($B$9,$C$16,$C$17,X$23,U$22,$C$18,$C$19,$B59,Y$24)</f>
        <v>0</v>
      </c>
      <c r="Z59" s="100">
        <f ca="1">_xll.DBRW($B$9,$C$16,$C$17,X$23,U$22,$C$18,$C$19,$B59,Z$24)</f>
        <v>0</v>
      </c>
      <c r="AA59" s="100">
        <f t="shared" ca="1" si="6"/>
        <v>0</v>
      </c>
      <c r="AB59" s="100">
        <f t="shared" ca="1" si="7"/>
        <v>0</v>
      </c>
      <c r="AC59" s="100">
        <f t="shared" ca="1" si="8"/>
        <v>0</v>
      </c>
      <c r="AD59" s="100">
        <f ca="1">_xll.DBRW($B$9,$C$16,$C$17,AD$23,AD$22,$C$18,$C$19,$B59,AD$24)</f>
        <v>0</v>
      </c>
      <c r="AE59" s="100">
        <f ca="1">_xll.DBRW($B$9,$C$16,$C$17,AD$23,AD$22,$C$18,$C$19,$B59,AE$24)</f>
        <v>0</v>
      </c>
      <c r="AF59" s="100">
        <f ca="1">_xll.DBRW($B$9,$C$16,$C$17,AD$23,AD$22,$C$18,$C$19,$B59,AF$24)</f>
        <v>0</v>
      </c>
      <c r="AG59" s="100">
        <f ca="1">_xll.DBRW($B$9,$C$16,$C$17,AG$23,AD$22,$C$18,$C$19,$B59,AG$24)</f>
        <v>0</v>
      </c>
      <c r="AH59" s="100">
        <f ca="1">_xll.DBRW($B$9,$C$16,$C$17,AG$23,AD$22,$C$18,$C$19,$B59,AH$24)</f>
        <v>0</v>
      </c>
      <c r="AI59" s="100">
        <f ca="1">_xll.DBRW($B$9,$C$16,$C$17,AG$23,AD$22,$C$18,$C$19,$B59,AI$24)</f>
        <v>0</v>
      </c>
      <c r="AJ59" s="100">
        <f t="shared" ca="1" si="9"/>
        <v>0</v>
      </c>
      <c r="AK59" s="100">
        <f t="shared" ca="1" si="10"/>
        <v>0</v>
      </c>
      <c r="AL59" s="100">
        <f t="shared" ca="1" si="11"/>
        <v>0</v>
      </c>
    </row>
    <row r="60" spans="1:38" x14ac:dyDescent="0.25">
      <c r="A60">
        <f ca="1">IF(_xll.TM1RPTELISCONSOLIDATED($B$25,$B60),IF(_xll.TM1RPTELLEV($B$25,$B60)&lt;=3,_xll.TM1RPTELLEV($B$25,$B60),"D"),"N")</f>
        <v>2</v>
      </c>
      <c r="B60" s="134" t="s">
        <v>74</v>
      </c>
      <c r="C60" s="99">
        <f ca="1">_xll.DBRW($B$9,$C$16,$C$17,C$23,C$22,$C$18,$C$19,$B60,C$24)</f>
        <v>0</v>
      </c>
      <c r="D60" s="99">
        <f ca="1">_xll.DBRW($B$9,$C$16,$C$17,C$23,C$22,$C$18,$C$19,$B60,D$24)</f>
        <v>0</v>
      </c>
      <c r="E60" s="99">
        <f ca="1">_xll.DBRW($B$9,$C$16,$C$17,C$23,C$22,$C$18,$C$19,$B60,E$24)</f>
        <v>0</v>
      </c>
      <c r="F60" s="99">
        <f ca="1">_xll.DBRW($B$9,$C$16,$C$17,F$23,C$22,$C$18,$C$19,$B60,F$24)</f>
        <v>0</v>
      </c>
      <c r="G60" s="99">
        <f ca="1">_xll.DBRW($B$9,$C$16,$C$17,F$23,C$22,$C$18,$C$19,$B60,G$24)</f>
        <v>0</v>
      </c>
      <c r="H60" s="99">
        <f ca="1">_xll.DBRW($B$9,$C$16,$C$17,F$23,C$22,$C$18,$C$19,$B60,H$24)</f>
        <v>0</v>
      </c>
      <c r="I60" s="99">
        <f t="shared" ca="1" si="0"/>
        <v>0</v>
      </c>
      <c r="J60" s="99">
        <f t="shared" ca="1" si="1"/>
        <v>0</v>
      </c>
      <c r="K60" s="99">
        <f t="shared" ca="1" si="2"/>
        <v>0</v>
      </c>
      <c r="L60" s="99">
        <f ca="1">_xll.DBRW($B$9,$C$16,$C$17,L$23,L$22,$C$18,$C$19,$B60,L$24)</f>
        <v>0</v>
      </c>
      <c r="M60" s="99">
        <f ca="1">_xll.DBRW($B$9,$C$16,$C$17,L$23,L$22,$C$18,$C$19,$B60,M$24)</f>
        <v>0</v>
      </c>
      <c r="N60" s="99">
        <f ca="1">_xll.DBRW($B$9,$C$16,$C$17,L$23,L$22,$C$18,$C$19,$B60,N$24)</f>
        <v>0</v>
      </c>
      <c r="O60" s="99">
        <f ca="1">_xll.DBRW($B$9,$C$16,$C$17,O$23,L$22,$C$18,$C$19,$B60,O$24)</f>
        <v>0</v>
      </c>
      <c r="P60" s="99">
        <f ca="1">_xll.DBRW($B$9,$C$16,$C$17,O$23,L$22,$C$18,$C$19,$B60,P$24)</f>
        <v>0</v>
      </c>
      <c r="Q60" s="99">
        <f ca="1">_xll.DBRW($B$9,$C$16,$C$17,O$23,L$22,$C$18,$C$19,$B60,Q$24)</f>
        <v>0</v>
      </c>
      <c r="R60" s="99">
        <f t="shared" ca="1" si="3"/>
        <v>0</v>
      </c>
      <c r="S60" s="99">
        <f t="shared" ca="1" si="4"/>
        <v>0</v>
      </c>
      <c r="T60" s="99">
        <f t="shared" ca="1" si="5"/>
        <v>0</v>
      </c>
      <c r="U60" s="99">
        <f ca="1">_xll.DBRW($B$9,$C$16,$C$17,U$23,U$22,$C$18,$C$19,$B60,U$24)</f>
        <v>0</v>
      </c>
      <c r="V60" s="99">
        <f ca="1">_xll.DBRW($B$9,$C$16,$C$17,U$23,U$22,$C$18,$C$19,$B60,V$24)</f>
        <v>0</v>
      </c>
      <c r="W60" s="99">
        <f ca="1">_xll.DBRW($B$9,$C$16,$C$17,U$23,U$22,$C$18,$C$19,$B60,W$24)</f>
        <v>0</v>
      </c>
      <c r="X60" s="99">
        <f ca="1">_xll.DBRW($B$9,$C$16,$C$17,X$23,U$22,$C$18,$C$19,$B60,X$24)</f>
        <v>0</v>
      </c>
      <c r="Y60" s="99">
        <f ca="1">_xll.DBRW($B$9,$C$16,$C$17,X$23,U$22,$C$18,$C$19,$B60,Y$24)</f>
        <v>0</v>
      </c>
      <c r="Z60" s="99">
        <f ca="1">_xll.DBRW($B$9,$C$16,$C$17,X$23,U$22,$C$18,$C$19,$B60,Z$24)</f>
        <v>0</v>
      </c>
      <c r="AA60" s="99">
        <f t="shared" ca="1" si="6"/>
        <v>0</v>
      </c>
      <c r="AB60" s="99">
        <f t="shared" ca="1" si="7"/>
        <v>0</v>
      </c>
      <c r="AC60" s="99">
        <f t="shared" ca="1" si="8"/>
        <v>0</v>
      </c>
      <c r="AD60" s="99">
        <f ca="1">_xll.DBRW($B$9,$C$16,$C$17,AD$23,AD$22,$C$18,$C$19,$B60,AD$24)</f>
        <v>0</v>
      </c>
      <c r="AE60" s="99">
        <f ca="1">_xll.DBRW($B$9,$C$16,$C$17,AD$23,AD$22,$C$18,$C$19,$B60,AE$24)</f>
        <v>0</v>
      </c>
      <c r="AF60" s="99">
        <f ca="1">_xll.DBRW($B$9,$C$16,$C$17,AD$23,AD$22,$C$18,$C$19,$B60,AF$24)</f>
        <v>0</v>
      </c>
      <c r="AG60" s="99">
        <f ca="1">_xll.DBRW($B$9,$C$16,$C$17,AG$23,AD$22,$C$18,$C$19,$B60,AG$24)</f>
        <v>0</v>
      </c>
      <c r="AH60" s="99">
        <f ca="1">_xll.DBRW($B$9,$C$16,$C$17,AG$23,AD$22,$C$18,$C$19,$B60,AH$24)</f>
        <v>0</v>
      </c>
      <c r="AI60" s="99">
        <f ca="1">_xll.DBRW($B$9,$C$16,$C$17,AG$23,AD$22,$C$18,$C$19,$B60,AI$24)</f>
        <v>0</v>
      </c>
      <c r="AJ60" s="99">
        <f t="shared" ca="1" si="9"/>
        <v>0</v>
      </c>
      <c r="AK60" s="99">
        <f t="shared" ca="1" si="10"/>
        <v>0</v>
      </c>
      <c r="AL60" s="99">
        <f t="shared" ca="1" si="11"/>
        <v>0</v>
      </c>
    </row>
    <row r="61" spans="1:38" x14ac:dyDescent="0.25">
      <c r="A61">
        <f ca="1">IF(_xll.TM1RPTELISCONSOLIDATED($B$25,$B61),IF(_xll.TM1RPTELLEV($B$25,$B61)&lt;=3,_xll.TM1RPTELLEV($B$25,$B61),"D"),"N")</f>
        <v>2</v>
      </c>
      <c r="B61" s="134" t="s">
        <v>75</v>
      </c>
      <c r="C61" s="99">
        <f ca="1">_xll.DBRW($B$9,$C$16,$C$17,C$23,C$22,$C$18,$C$19,$B61,C$24)</f>
        <v>0</v>
      </c>
      <c r="D61" s="99">
        <f ca="1">_xll.DBRW($B$9,$C$16,$C$17,C$23,C$22,$C$18,$C$19,$B61,D$24)</f>
        <v>0</v>
      </c>
      <c r="E61" s="99">
        <f ca="1">_xll.DBRW($B$9,$C$16,$C$17,C$23,C$22,$C$18,$C$19,$B61,E$24)</f>
        <v>0</v>
      </c>
      <c r="F61" s="99">
        <f ca="1">_xll.DBRW($B$9,$C$16,$C$17,F$23,C$22,$C$18,$C$19,$B61,F$24)</f>
        <v>0</v>
      </c>
      <c r="G61" s="99">
        <f ca="1">_xll.DBRW($B$9,$C$16,$C$17,F$23,C$22,$C$18,$C$19,$B61,G$24)</f>
        <v>0</v>
      </c>
      <c r="H61" s="99">
        <f ca="1">_xll.DBRW($B$9,$C$16,$C$17,F$23,C$22,$C$18,$C$19,$B61,H$24)</f>
        <v>0</v>
      </c>
      <c r="I61" s="99">
        <f t="shared" ca="1" si="0"/>
        <v>0</v>
      </c>
      <c r="J61" s="99">
        <f t="shared" ca="1" si="1"/>
        <v>0</v>
      </c>
      <c r="K61" s="99">
        <f t="shared" ca="1" si="2"/>
        <v>0</v>
      </c>
      <c r="L61" s="99">
        <f ca="1">_xll.DBRW($B$9,$C$16,$C$17,L$23,L$22,$C$18,$C$19,$B61,L$24)</f>
        <v>0</v>
      </c>
      <c r="M61" s="99">
        <f ca="1">_xll.DBRW($B$9,$C$16,$C$17,L$23,L$22,$C$18,$C$19,$B61,M$24)</f>
        <v>0</v>
      </c>
      <c r="N61" s="99">
        <f ca="1">_xll.DBRW($B$9,$C$16,$C$17,L$23,L$22,$C$18,$C$19,$B61,N$24)</f>
        <v>0</v>
      </c>
      <c r="O61" s="99">
        <f ca="1">_xll.DBRW($B$9,$C$16,$C$17,O$23,L$22,$C$18,$C$19,$B61,O$24)</f>
        <v>0</v>
      </c>
      <c r="P61" s="99">
        <f ca="1">_xll.DBRW($B$9,$C$16,$C$17,O$23,L$22,$C$18,$C$19,$B61,P$24)</f>
        <v>0</v>
      </c>
      <c r="Q61" s="99">
        <f ca="1">_xll.DBRW($B$9,$C$16,$C$17,O$23,L$22,$C$18,$C$19,$B61,Q$24)</f>
        <v>0</v>
      </c>
      <c r="R61" s="99">
        <f t="shared" ca="1" si="3"/>
        <v>0</v>
      </c>
      <c r="S61" s="99">
        <f t="shared" ca="1" si="4"/>
        <v>0</v>
      </c>
      <c r="T61" s="99">
        <f t="shared" ca="1" si="5"/>
        <v>0</v>
      </c>
      <c r="U61" s="99">
        <f ca="1">_xll.DBRW($B$9,$C$16,$C$17,U$23,U$22,$C$18,$C$19,$B61,U$24)</f>
        <v>0</v>
      </c>
      <c r="V61" s="99">
        <f ca="1">_xll.DBRW($B$9,$C$16,$C$17,U$23,U$22,$C$18,$C$19,$B61,V$24)</f>
        <v>0</v>
      </c>
      <c r="W61" s="99">
        <f ca="1">_xll.DBRW($B$9,$C$16,$C$17,U$23,U$22,$C$18,$C$19,$B61,W$24)</f>
        <v>0</v>
      </c>
      <c r="X61" s="99">
        <f ca="1">_xll.DBRW($B$9,$C$16,$C$17,X$23,U$22,$C$18,$C$19,$B61,X$24)</f>
        <v>0</v>
      </c>
      <c r="Y61" s="99">
        <f ca="1">_xll.DBRW($B$9,$C$16,$C$17,X$23,U$22,$C$18,$C$19,$B61,Y$24)</f>
        <v>0</v>
      </c>
      <c r="Z61" s="99">
        <f ca="1">_xll.DBRW($B$9,$C$16,$C$17,X$23,U$22,$C$18,$C$19,$B61,Z$24)</f>
        <v>0</v>
      </c>
      <c r="AA61" s="99">
        <f t="shared" ca="1" si="6"/>
        <v>0</v>
      </c>
      <c r="AB61" s="99">
        <f t="shared" ca="1" si="7"/>
        <v>0</v>
      </c>
      <c r="AC61" s="99">
        <f t="shared" ca="1" si="8"/>
        <v>0</v>
      </c>
      <c r="AD61" s="99">
        <f ca="1">_xll.DBRW($B$9,$C$16,$C$17,AD$23,AD$22,$C$18,$C$19,$B61,AD$24)</f>
        <v>0</v>
      </c>
      <c r="AE61" s="99">
        <f ca="1">_xll.DBRW($B$9,$C$16,$C$17,AD$23,AD$22,$C$18,$C$19,$B61,AE$24)</f>
        <v>0</v>
      </c>
      <c r="AF61" s="99">
        <f ca="1">_xll.DBRW($B$9,$C$16,$C$17,AD$23,AD$22,$C$18,$C$19,$B61,AF$24)</f>
        <v>0</v>
      </c>
      <c r="AG61" s="99">
        <f ca="1">_xll.DBRW($B$9,$C$16,$C$17,AG$23,AD$22,$C$18,$C$19,$B61,AG$24)</f>
        <v>0</v>
      </c>
      <c r="AH61" s="99">
        <f ca="1">_xll.DBRW($B$9,$C$16,$C$17,AG$23,AD$22,$C$18,$C$19,$B61,AH$24)</f>
        <v>0</v>
      </c>
      <c r="AI61" s="99">
        <f ca="1">_xll.DBRW($B$9,$C$16,$C$17,AG$23,AD$22,$C$18,$C$19,$B61,AI$24)</f>
        <v>0</v>
      </c>
      <c r="AJ61" s="99">
        <f t="shared" ca="1" si="9"/>
        <v>0</v>
      </c>
      <c r="AK61" s="99">
        <f t="shared" ca="1" si="10"/>
        <v>0</v>
      </c>
      <c r="AL61" s="99">
        <f t="shared" ca="1" si="11"/>
        <v>0</v>
      </c>
    </row>
    <row r="62" spans="1:38" x14ac:dyDescent="0.25">
      <c r="A62">
        <f ca="1">IF(_xll.TM1RPTELISCONSOLIDATED($B$25,$B62),IF(_xll.TM1RPTELLEV($B$25,$B62)&lt;=3,_xll.TM1RPTELLEV($B$25,$B62),"D"),"N")</f>
        <v>2</v>
      </c>
      <c r="B62" s="134" t="s">
        <v>76</v>
      </c>
      <c r="C62" s="99">
        <f ca="1">_xll.DBRW($B$9,$C$16,$C$17,C$23,C$22,$C$18,$C$19,$B62,C$24)</f>
        <v>0</v>
      </c>
      <c r="D62" s="99">
        <f ca="1">_xll.DBRW($B$9,$C$16,$C$17,C$23,C$22,$C$18,$C$19,$B62,D$24)</f>
        <v>0</v>
      </c>
      <c r="E62" s="99">
        <f ca="1">_xll.DBRW($B$9,$C$16,$C$17,C$23,C$22,$C$18,$C$19,$B62,E$24)</f>
        <v>0</v>
      </c>
      <c r="F62" s="99">
        <f ca="1">_xll.DBRW($B$9,$C$16,$C$17,F$23,C$22,$C$18,$C$19,$B62,F$24)</f>
        <v>0</v>
      </c>
      <c r="G62" s="99">
        <f ca="1">_xll.DBRW($B$9,$C$16,$C$17,F$23,C$22,$C$18,$C$19,$B62,G$24)</f>
        <v>0</v>
      </c>
      <c r="H62" s="99">
        <f ca="1">_xll.DBRW($B$9,$C$16,$C$17,F$23,C$22,$C$18,$C$19,$B62,H$24)</f>
        <v>0</v>
      </c>
      <c r="I62" s="99">
        <f t="shared" ca="1" si="0"/>
        <v>0</v>
      </c>
      <c r="J62" s="99">
        <f t="shared" ca="1" si="1"/>
        <v>0</v>
      </c>
      <c r="K62" s="99">
        <f t="shared" ca="1" si="2"/>
        <v>0</v>
      </c>
      <c r="L62" s="99">
        <f ca="1">_xll.DBRW($B$9,$C$16,$C$17,L$23,L$22,$C$18,$C$19,$B62,L$24)</f>
        <v>0</v>
      </c>
      <c r="M62" s="99">
        <f ca="1">_xll.DBRW($B$9,$C$16,$C$17,L$23,L$22,$C$18,$C$19,$B62,M$24)</f>
        <v>0</v>
      </c>
      <c r="N62" s="99">
        <f ca="1">_xll.DBRW($B$9,$C$16,$C$17,L$23,L$22,$C$18,$C$19,$B62,N$24)</f>
        <v>0</v>
      </c>
      <c r="O62" s="99">
        <f ca="1">_xll.DBRW($B$9,$C$16,$C$17,O$23,L$22,$C$18,$C$19,$B62,O$24)</f>
        <v>0</v>
      </c>
      <c r="P62" s="99">
        <f ca="1">_xll.DBRW($B$9,$C$16,$C$17,O$23,L$22,$C$18,$C$19,$B62,P$24)</f>
        <v>0</v>
      </c>
      <c r="Q62" s="99">
        <f ca="1">_xll.DBRW($B$9,$C$16,$C$17,O$23,L$22,$C$18,$C$19,$B62,Q$24)</f>
        <v>0</v>
      </c>
      <c r="R62" s="99">
        <f t="shared" ca="1" si="3"/>
        <v>0</v>
      </c>
      <c r="S62" s="99">
        <f t="shared" ca="1" si="4"/>
        <v>0</v>
      </c>
      <c r="T62" s="99">
        <f t="shared" ca="1" si="5"/>
        <v>0</v>
      </c>
      <c r="U62" s="99">
        <f ca="1">_xll.DBRW($B$9,$C$16,$C$17,U$23,U$22,$C$18,$C$19,$B62,U$24)</f>
        <v>0</v>
      </c>
      <c r="V62" s="99">
        <f ca="1">_xll.DBRW($B$9,$C$16,$C$17,U$23,U$22,$C$18,$C$19,$B62,V$24)</f>
        <v>0</v>
      </c>
      <c r="W62" s="99">
        <f ca="1">_xll.DBRW($B$9,$C$16,$C$17,U$23,U$22,$C$18,$C$19,$B62,W$24)</f>
        <v>0</v>
      </c>
      <c r="X62" s="99">
        <f ca="1">_xll.DBRW($B$9,$C$16,$C$17,X$23,U$22,$C$18,$C$19,$B62,X$24)</f>
        <v>0</v>
      </c>
      <c r="Y62" s="99">
        <f ca="1">_xll.DBRW($B$9,$C$16,$C$17,X$23,U$22,$C$18,$C$19,$B62,Y$24)</f>
        <v>0</v>
      </c>
      <c r="Z62" s="99">
        <f ca="1">_xll.DBRW($B$9,$C$16,$C$17,X$23,U$22,$C$18,$C$19,$B62,Z$24)</f>
        <v>0</v>
      </c>
      <c r="AA62" s="99">
        <f t="shared" ca="1" si="6"/>
        <v>0</v>
      </c>
      <c r="AB62" s="99">
        <f t="shared" ca="1" si="7"/>
        <v>0</v>
      </c>
      <c r="AC62" s="99">
        <f t="shared" ca="1" si="8"/>
        <v>0</v>
      </c>
      <c r="AD62" s="99">
        <f ca="1">_xll.DBRW($B$9,$C$16,$C$17,AD$23,AD$22,$C$18,$C$19,$B62,AD$24)</f>
        <v>0</v>
      </c>
      <c r="AE62" s="99">
        <f ca="1">_xll.DBRW($B$9,$C$16,$C$17,AD$23,AD$22,$C$18,$C$19,$B62,AE$24)</f>
        <v>0</v>
      </c>
      <c r="AF62" s="99">
        <f ca="1">_xll.DBRW($B$9,$C$16,$C$17,AD$23,AD$22,$C$18,$C$19,$B62,AF$24)</f>
        <v>0</v>
      </c>
      <c r="AG62" s="99">
        <f ca="1">_xll.DBRW($B$9,$C$16,$C$17,AG$23,AD$22,$C$18,$C$19,$B62,AG$24)</f>
        <v>0</v>
      </c>
      <c r="AH62" s="99">
        <f ca="1">_xll.DBRW($B$9,$C$16,$C$17,AG$23,AD$22,$C$18,$C$19,$B62,AH$24)</f>
        <v>0</v>
      </c>
      <c r="AI62" s="99">
        <f ca="1">_xll.DBRW($B$9,$C$16,$C$17,AG$23,AD$22,$C$18,$C$19,$B62,AI$24)</f>
        <v>0</v>
      </c>
      <c r="AJ62" s="99">
        <f t="shared" ca="1" si="9"/>
        <v>0</v>
      </c>
      <c r="AK62" s="99">
        <f t="shared" ca="1" si="10"/>
        <v>0</v>
      </c>
      <c r="AL62" s="99">
        <f t="shared" ca="1" si="11"/>
        <v>0</v>
      </c>
    </row>
    <row r="63" spans="1:38" x14ac:dyDescent="0.25">
      <c r="A63">
        <f ca="1">IF(_xll.TM1RPTELISCONSOLIDATED($B$25,$B63),IF(_xll.TM1RPTELLEV($B$25,$B63)&lt;=3,_xll.TM1RPTELLEV($B$25,$B63),"D"),"N")</f>
        <v>2</v>
      </c>
      <c r="B63" s="134" t="s">
        <v>77</v>
      </c>
      <c r="C63" s="99">
        <f ca="1">_xll.DBRW($B$9,$C$16,$C$17,C$23,C$22,$C$18,$C$19,$B63,C$24)</f>
        <v>0</v>
      </c>
      <c r="D63" s="99">
        <f ca="1">_xll.DBRW($B$9,$C$16,$C$17,C$23,C$22,$C$18,$C$19,$B63,D$24)</f>
        <v>0</v>
      </c>
      <c r="E63" s="99">
        <f ca="1">_xll.DBRW($B$9,$C$16,$C$17,C$23,C$22,$C$18,$C$19,$B63,E$24)</f>
        <v>0</v>
      </c>
      <c r="F63" s="99">
        <f ca="1">_xll.DBRW($B$9,$C$16,$C$17,F$23,C$22,$C$18,$C$19,$B63,F$24)</f>
        <v>0</v>
      </c>
      <c r="G63" s="99">
        <f ca="1">_xll.DBRW($B$9,$C$16,$C$17,F$23,C$22,$C$18,$C$19,$B63,G$24)</f>
        <v>0</v>
      </c>
      <c r="H63" s="99">
        <f ca="1">_xll.DBRW($B$9,$C$16,$C$17,F$23,C$22,$C$18,$C$19,$B63,H$24)</f>
        <v>0</v>
      </c>
      <c r="I63" s="99">
        <f t="shared" ca="1" si="0"/>
        <v>0</v>
      </c>
      <c r="J63" s="99">
        <f t="shared" ca="1" si="1"/>
        <v>0</v>
      </c>
      <c r="K63" s="99">
        <f t="shared" ca="1" si="2"/>
        <v>0</v>
      </c>
      <c r="L63" s="99">
        <f ca="1">_xll.DBRW($B$9,$C$16,$C$17,L$23,L$22,$C$18,$C$19,$B63,L$24)</f>
        <v>0</v>
      </c>
      <c r="M63" s="99">
        <f ca="1">_xll.DBRW($B$9,$C$16,$C$17,L$23,L$22,$C$18,$C$19,$B63,M$24)</f>
        <v>0</v>
      </c>
      <c r="N63" s="99">
        <f ca="1">_xll.DBRW($B$9,$C$16,$C$17,L$23,L$22,$C$18,$C$19,$B63,N$24)</f>
        <v>0</v>
      </c>
      <c r="O63" s="99">
        <f ca="1">_xll.DBRW($B$9,$C$16,$C$17,O$23,L$22,$C$18,$C$19,$B63,O$24)</f>
        <v>0</v>
      </c>
      <c r="P63" s="99">
        <f ca="1">_xll.DBRW($B$9,$C$16,$C$17,O$23,L$22,$C$18,$C$19,$B63,P$24)</f>
        <v>0</v>
      </c>
      <c r="Q63" s="99">
        <f ca="1">_xll.DBRW($B$9,$C$16,$C$17,O$23,L$22,$C$18,$C$19,$B63,Q$24)</f>
        <v>0</v>
      </c>
      <c r="R63" s="99">
        <f t="shared" ca="1" si="3"/>
        <v>0</v>
      </c>
      <c r="S63" s="99">
        <f t="shared" ca="1" si="4"/>
        <v>0</v>
      </c>
      <c r="T63" s="99">
        <f t="shared" ca="1" si="5"/>
        <v>0</v>
      </c>
      <c r="U63" s="99">
        <f ca="1">_xll.DBRW($B$9,$C$16,$C$17,U$23,U$22,$C$18,$C$19,$B63,U$24)</f>
        <v>0</v>
      </c>
      <c r="V63" s="99">
        <f ca="1">_xll.DBRW($B$9,$C$16,$C$17,U$23,U$22,$C$18,$C$19,$B63,V$24)</f>
        <v>0</v>
      </c>
      <c r="W63" s="99">
        <f ca="1">_xll.DBRW($B$9,$C$16,$C$17,U$23,U$22,$C$18,$C$19,$B63,W$24)</f>
        <v>0</v>
      </c>
      <c r="X63" s="99">
        <f ca="1">_xll.DBRW($B$9,$C$16,$C$17,X$23,U$22,$C$18,$C$19,$B63,X$24)</f>
        <v>0</v>
      </c>
      <c r="Y63" s="99">
        <f ca="1">_xll.DBRW($B$9,$C$16,$C$17,X$23,U$22,$C$18,$C$19,$B63,Y$24)</f>
        <v>0</v>
      </c>
      <c r="Z63" s="99">
        <f ca="1">_xll.DBRW($B$9,$C$16,$C$17,X$23,U$22,$C$18,$C$19,$B63,Z$24)</f>
        <v>0</v>
      </c>
      <c r="AA63" s="99">
        <f t="shared" ca="1" si="6"/>
        <v>0</v>
      </c>
      <c r="AB63" s="99">
        <f t="shared" ca="1" si="7"/>
        <v>0</v>
      </c>
      <c r="AC63" s="99">
        <f t="shared" ca="1" si="8"/>
        <v>0</v>
      </c>
      <c r="AD63" s="99">
        <f ca="1">_xll.DBRW($B$9,$C$16,$C$17,AD$23,AD$22,$C$18,$C$19,$B63,AD$24)</f>
        <v>0</v>
      </c>
      <c r="AE63" s="99">
        <f ca="1">_xll.DBRW($B$9,$C$16,$C$17,AD$23,AD$22,$C$18,$C$19,$B63,AE$24)</f>
        <v>0</v>
      </c>
      <c r="AF63" s="99">
        <f ca="1">_xll.DBRW($B$9,$C$16,$C$17,AD$23,AD$22,$C$18,$C$19,$B63,AF$24)</f>
        <v>0</v>
      </c>
      <c r="AG63" s="99">
        <f ca="1">_xll.DBRW($B$9,$C$16,$C$17,AG$23,AD$22,$C$18,$C$19,$B63,AG$24)</f>
        <v>0</v>
      </c>
      <c r="AH63" s="99">
        <f ca="1">_xll.DBRW($B$9,$C$16,$C$17,AG$23,AD$22,$C$18,$C$19,$B63,AH$24)</f>
        <v>0</v>
      </c>
      <c r="AI63" s="99">
        <f ca="1">_xll.DBRW($B$9,$C$16,$C$17,AG$23,AD$22,$C$18,$C$19,$B63,AI$24)</f>
        <v>0</v>
      </c>
      <c r="AJ63" s="99">
        <f t="shared" ca="1" si="9"/>
        <v>0</v>
      </c>
      <c r="AK63" s="99">
        <f t="shared" ca="1" si="10"/>
        <v>0</v>
      </c>
      <c r="AL63" s="99">
        <f t="shared" ca="1" si="11"/>
        <v>0</v>
      </c>
    </row>
    <row r="64" spans="1:38" x14ac:dyDescent="0.25">
      <c r="A64">
        <f ca="1">IF(_xll.TM1RPTELISCONSOLIDATED($B$25,$B64),IF(_xll.TM1RPTELLEV($B$25,$B64)&lt;=3,_xll.TM1RPTELLEV($B$25,$B64),"D"),"N")</f>
        <v>1</v>
      </c>
      <c r="B64" s="133" t="s">
        <v>22</v>
      </c>
      <c r="C64" s="97">
        <f ca="1">_xll.DBRW($B$9,$C$16,$C$17,C$23,C$22,$C$18,$C$19,$B64,C$24)</f>
        <v>0</v>
      </c>
      <c r="D64" s="97">
        <f ca="1">_xll.DBRW($B$9,$C$16,$C$17,C$23,C$22,$C$18,$C$19,$B64,D$24)</f>
        <v>0</v>
      </c>
      <c r="E64" s="97">
        <f ca="1">_xll.DBRW($B$9,$C$16,$C$17,C$23,C$22,$C$18,$C$19,$B64,E$24)</f>
        <v>0</v>
      </c>
      <c r="F64" s="97">
        <f ca="1">_xll.DBRW($B$9,$C$16,$C$17,F$23,C$22,$C$18,$C$19,$B64,F$24)</f>
        <v>0</v>
      </c>
      <c r="G64" s="97">
        <f ca="1">_xll.DBRW($B$9,$C$16,$C$17,F$23,C$22,$C$18,$C$19,$B64,G$24)</f>
        <v>0</v>
      </c>
      <c r="H64" s="97">
        <f ca="1">_xll.DBRW($B$9,$C$16,$C$17,F$23,C$22,$C$18,$C$19,$B64,H$24)</f>
        <v>0</v>
      </c>
      <c r="I64" s="97">
        <f t="shared" ca="1" si="0"/>
        <v>0</v>
      </c>
      <c r="J64" s="97">
        <f t="shared" ca="1" si="1"/>
        <v>0</v>
      </c>
      <c r="K64" s="97">
        <f t="shared" ca="1" si="2"/>
        <v>0</v>
      </c>
      <c r="L64" s="97">
        <f ca="1">_xll.DBRW($B$9,$C$16,$C$17,L$23,L$22,$C$18,$C$19,$B64,L$24)</f>
        <v>0</v>
      </c>
      <c r="M64" s="97">
        <f ca="1">_xll.DBRW($B$9,$C$16,$C$17,L$23,L$22,$C$18,$C$19,$B64,M$24)</f>
        <v>0</v>
      </c>
      <c r="N64" s="97">
        <f ca="1">_xll.DBRW($B$9,$C$16,$C$17,L$23,L$22,$C$18,$C$19,$B64,N$24)</f>
        <v>0</v>
      </c>
      <c r="O64" s="97">
        <f ca="1">_xll.DBRW($B$9,$C$16,$C$17,O$23,L$22,$C$18,$C$19,$B64,O$24)</f>
        <v>0</v>
      </c>
      <c r="P64" s="97">
        <f ca="1">_xll.DBRW($B$9,$C$16,$C$17,O$23,L$22,$C$18,$C$19,$B64,P$24)</f>
        <v>0</v>
      </c>
      <c r="Q64" s="97">
        <f ca="1">_xll.DBRW($B$9,$C$16,$C$17,O$23,L$22,$C$18,$C$19,$B64,Q$24)</f>
        <v>0</v>
      </c>
      <c r="R64" s="97">
        <f t="shared" ca="1" si="3"/>
        <v>0</v>
      </c>
      <c r="S64" s="97">
        <f t="shared" ca="1" si="4"/>
        <v>0</v>
      </c>
      <c r="T64" s="97">
        <f t="shared" ca="1" si="5"/>
        <v>0</v>
      </c>
      <c r="U64" s="97">
        <f ca="1">_xll.DBRW($B$9,$C$16,$C$17,U$23,U$22,$C$18,$C$19,$B64,U$24)</f>
        <v>0</v>
      </c>
      <c r="V64" s="97">
        <f ca="1">_xll.DBRW($B$9,$C$16,$C$17,U$23,U$22,$C$18,$C$19,$B64,V$24)</f>
        <v>0</v>
      </c>
      <c r="W64" s="97">
        <f ca="1">_xll.DBRW($B$9,$C$16,$C$17,U$23,U$22,$C$18,$C$19,$B64,W$24)</f>
        <v>0</v>
      </c>
      <c r="X64" s="97">
        <f ca="1">_xll.DBRW($B$9,$C$16,$C$17,X$23,U$22,$C$18,$C$19,$B64,X$24)</f>
        <v>0</v>
      </c>
      <c r="Y64" s="97">
        <f ca="1">_xll.DBRW($B$9,$C$16,$C$17,X$23,U$22,$C$18,$C$19,$B64,Y$24)</f>
        <v>0</v>
      </c>
      <c r="Z64" s="97">
        <f ca="1">_xll.DBRW($B$9,$C$16,$C$17,X$23,U$22,$C$18,$C$19,$B64,Z$24)</f>
        <v>0</v>
      </c>
      <c r="AA64" s="97">
        <f t="shared" ca="1" si="6"/>
        <v>0</v>
      </c>
      <c r="AB64" s="97">
        <f t="shared" ca="1" si="7"/>
        <v>0</v>
      </c>
      <c r="AC64" s="97">
        <f t="shared" ca="1" si="8"/>
        <v>0</v>
      </c>
      <c r="AD64" s="97">
        <f ca="1">_xll.DBRW($B$9,$C$16,$C$17,AD$23,AD$22,$C$18,$C$19,$B64,AD$24)</f>
        <v>0</v>
      </c>
      <c r="AE64" s="97">
        <f ca="1">_xll.DBRW($B$9,$C$16,$C$17,AD$23,AD$22,$C$18,$C$19,$B64,AE$24)</f>
        <v>0</v>
      </c>
      <c r="AF64" s="97">
        <f ca="1">_xll.DBRW($B$9,$C$16,$C$17,AD$23,AD$22,$C$18,$C$19,$B64,AF$24)</f>
        <v>0</v>
      </c>
      <c r="AG64" s="97">
        <f ca="1">_xll.DBRW($B$9,$C$16,$C$17,AG$23,AD$22,$C$18,$C$19,$B64,AG$24)</f>
        <v>0</v>
      </c>
      <c r="AH64" s="97">
        <f ca="1">_xll.DBRW($B$9,$C$16,$C$17,AG$23,AD$22,$C$18,$C$19,$B64,AH$24)</f>
        <v>0</v>
      </c>
      <c r="AI64" s="97">
        <f ca="1">_xll.DBRW($B$9,$C$16,$C$17,AG$23,AD$22,$C$18,$C$19,$B64,AI$24)</f>
        <v>0</v>
      </c>
      <c r="AJ64" s="97">
        <f t="shared" ca="1" si="9"/>
        <v>0</v>
      </c>
      <c r="AK64" s="97">
        <f t="shared" ca="1" si="10"/>
        <v>0</v>
      </c>
      <c r="AL64" s="97">
        <f t="shared" ca="1" si="11"/>
        <v>0</v>
      </c>
    </row>
    <row r="65" spans="1:38" x14ac:dyDescent="0.25">
      <c r="A65">
        <f ca="1">IF(_xll.TM1RPTELISCONSOLIDATED($B$25,$B65),IF(_xll.TM1RPTELLEV($B$25,$B65)&lt;=3,_xll.TM1RPTELLEV($B$25,$B65),"D"),"N")</f>
        <v>2</v>
      </c>
      <c r="B65" s="134" t="s">
        <v>78</v>
      </c>
      <c r="C65" s="99">
        <f ca="1">_xll.DBRW($B$9,$C$16,$C$17,C$23,C$22,$C$18,$C$19,$B65,C$24)</f>
        <v>0</v>
      </c>
      <c r="D65" s="99">
        <f ca="1">_xll.DBRW($B$9,$C$16,$C$17,C$23,C$22,$C$18,$C$19,$B65,D$24)</f>
        <v>0</v>
      </c>
      <c r="E65" s="99">
        <f ca="1">_xll.DBRW($B$9,$C$16,$C$17,C$23,C$22,$C$18,$C$19,$B65,E$24)</f>
        <v>0</v>
      </c>
      <c r="F65" s="99">
        <f ca="1">_xll.DBRW($B$9,$C$16,$C$17,F$23,C$22,$C$18,$C$19,$B65,F$24)</f>
        <v>0</v>
      </c>
      <c r="G65" s="99">
        <f ca="1">_xll.DBRW($B$9,$C$16,$C$17,F$23,C$22,$C$18,$C$19,$B65,G$24)</f>
        <v>0</v>
      </c>
      <c r="H65" s="99">
        <f ca="1">_xll.DBRW($B$9,$C$16,$C$17,F$23,C$22,$C$18,$C$19,$B65,H$24)</f>
        <v>0</v>
      </c>
      <c r="I65" s="99">
        <f t="shared" ca="1" si="0"/>
        <v>0</v>
      </c>
      <c r="J65" s="99">
        <f t="shared" ca="1" si="1"/>
        <v>0</v>
      </c>
      <c r="K65" s="99">
        <f t="shared" ca="1" si="2"/>
        <v>0</v>
      </c>
      <c r="L65" s="99">
        <f ca="1">_xll.DBRW($B$9,$C$16,$C$17,L$23,L$22,$C$18,$C$19,$B65,L$24)</f>
        <v>0</v>
      </c>
      <c r="M65" s="99">
        <f ca="1">_xll.DBRW($B$9,$C$16,$C$17,L$23,L$22,$C$18,$C$19,$B65,M$24)</f>
        <v>0</v>
      </c>
      <c r="N65" s="99">
        <f ca="1">_xll.DBRW($B$9,$C$16,$C$17,L$23,L$22,$C$18,$C$19,$B65,N$24)</f>
        <v>0</v>
      </c>
      <c r="O65" s="99">
        <f ca="1">_xll.DBRW($B$9,$C$16,$C$17,O$23,L$22,$C$18,$C$19,$B65,O$24)</f>
        <v>0</v>
      </c>
      <c r="P65" s="99">
        <f ca="1">_xll.DBRW($B$9,$C$16,$C$17,O$23,L$22,$C$18,$C$19,$B65,P$24)</f>
        <v>0</v>
      </c>
      <c r="Q65" s="99">
        <f ca="1">_xll.DBRW($B$9,$C$16,$C$17,O$23,L$22,$C$18,$C$19,$B65,Q$24)</f>
        <v>0</v>
      </c>
      <c r="R65" s="99">
        <f t="shared" ca="1" si="3"/>
        <v>0</v>
      </c>
      <c r="S65" s="99">
        <f t="shared" ca="1" si="4"/>
        <v>0</v>
      </c>
      <c r="T65" s="99">
        <f t="shared" ca="1" si="5"/>
        <v>0</v>
      </c>
      <c r="U65" s="99">
        <f ca="1">_xll.DBRW($B$9,$C$16,$C$17,U$23,U$22,$C$18,$C$19,$B65,U$24)</f>
        <v>0</v>
      </c>
      <c r="V65" s="99">
        <f ca="1">_xll.DBRW($B$9,$C$16,$C$17,U$23,U$22,$C$18,$C$19,$B65,V$24)</f>
        <v>0</v>
      </c>
      <c r="W65" s="99">
        <f ca="1">_xll.DBRW($B$9,$C$16,$C$17,U$23,U$22,$C$18,$C$19,$B65,W$24)</f>
        <v>0</v>
      </c>
      <c r="X65" s="99">
        <f ca="1">_xll.DBRW($B$9,$C$16,$C$17,X$23,U$22,$C$18,$C$19,$B65,X$24)</f>
        <v>0</v>
      </c>
      <c r="Y65" s="99">
        <f ca="1">_xll.DBRW($B$9,$C$16,$C$17,X$23,U$22,$C$18,$C$19,$B65,Y$24)</f>
        <v>0</v>
      </c>
      <c r="Z65" s="99">
        <f ca="1">_xll.DBRW($B$9,$C$16,$C$17,X$23,U$22,$C$18,$C$19,$B65,Z$24)</f>
        <v>0</v>
      </c>
      <c r="AA65" s="99">
        <f t="shared" ca="1" si="6"/>
        <v>0</v>
      </c>
      <c r="AB65" s="99">
        <f t="shared" ca="1" si="7"/>
        <v>0</v>
      </c>
      <c r="AC65" s="99">
        <f t="shared" ca="1" si="8"/>
        <v>0</v>
      </c>
      <c r="AD65" s="99">
        <f ca="1">_xll.DBRW($B$9,$C$16,$C$17,AD$23,AD$22,$C$18,$C$19,$B65,AD$24)</f>
        <v>0</v>
      </c>
      <c r="AE65" s="99">
        <f ca="1">_xll.DBRW($B$9,$C$16,$C$17,AD$23,AD$22,$C$18,$C$19,$B65,AE$24)</f>
        <v>0</v>
      </c>
      <c r="AF65" s="99">
        <f ca="1">_xll.DBRW($B$9,$C$16,$C$17,AD$23,AD$22,$C$18,$C$19,$B65,AF$24)</f>
        <v>0</v>
      </c>
      <c r="AG65" s="99">
        <f ca="1">_xll.DBRW($B$9,$C$16,$C$17,AG$23,AD$22,$C$18,$C$19,$B65,AG$24)</f>
        <v>0</v>
      </c>
      <c r="AH65" s="99">
        <f ca="1">_xll.DBRW($B$9,$C$16,$C$17,AG$23,AD$22,$C$18,$C$19,$B65,AH$24)</f>
        <v>0</v>
      </c>
      <c r="AI65" s="99">
        <f ca="1">_xll.DBRW($B$9,$C$16,$C$17,AG$23,AD$22,$C$18,$C$19,$B65,AI$24)</f>
        <v>0</v>
      </c>
      <c r="AJ65" s="99">
        <f t="shared" ca="1" si="9"/>
        <v>0</v>
      </c>
      <c r="AK65" s="99">
        <f t="shared" ca="1" si="10"/>
        <v>0</v>
      </c>
      <c r="AL65" s="99">
        <f t="shared" ca="1" si="11"/>
        <v>0</v>
      </c>
    </row>
    <row r="66" spans="1:38" x14ac:dyDescent="0.25">
      <c r="A66">
        <f ca="1">IF(_xll.TM1RPTELISCONSOLIDATED($B$25,$B66),IF(_xll.TM1RPTELLEV($B$25,$B66)&lt;=3,_xll.TM1RPTELLEV($B$25,$B66),"D"),"N")</f>
        <v>2</v>
      </c>
      <c r="B66" s="135" t="s">
        <v>79</v>
      </c>
      <c r="C66" s="99">
        <f ca="1">_xll.DBRW($B$9,$C$16,$C$17,C$23,C$22,$C$18,$C$19,$B66,C$24)</f>
        <v>0</v>
      </c>
      <c r="D66" s="99">
        <f ca="1">_xll.DBRW($B$9,$C$16,$C$17,C$23,C$22,$C$18,$C$19,$B66,D$24)</f>
        <v>0</v>
      </c>
      <c r="E66" s="99">
        <f ca="1">_xll.DBRW($B$9,$C$16,$C$17,C$23,C$22,$C$18,$C$19,$B66,E$24)</f>
        <v>0</v>
      </c>
      <c r="F66" s="99">
        <f ca="1">_xll.DBRW($B$9,$C$16,$C$17,F$23,C$22,$C$18,$C$19,$B66,F$24)</f>
        <v>0</v>
      </c>
      <c r="G66" s="99">
        <f ca="1">_xll.DBRW($B$9,$C$16,$C$17,F$23,C$22,$C$18,$C$19,$B66,G$24)</f>
        <v>0</v>
      </c>
      <c r="H66" s="99">
        <f ca="1">_xll.DBRW($B$9,$C$16,$C$17,F$23,C$22,$C$18,$C$19,$B66,H$24)</f>
        <v>0</v>
      </c>
      <c r="I66" s="99">
        <f t="shared" ca="1" si="0"/>
        <v>0</v>
      </c>
      <c r="J66" s="99">
        <f t="shared" ca="1" si="1"/>
        <v>0</v>
      </c>
      <c r="K66" s="99">
        <f t="shared" ca="1" si="2"/>
        <v>0</v>
      </c>
      <c r="L66" s="99">
        <f ca="1">_xll.DBRW($B$9,$C$16,$C$17,L$23,L$22,$C$18,$C$19,$B66,L$24)</f>
        <v>0</v>
      </c>
      <c r="M66" s="99">
        <f ca="1">_xll.DBRW($B$9,$C$16,$C$17,L$23,L$22,$C$18,$C$19,$B66,M$24)</f>
        <v>0</v>
      </c>
      <c r="N66" s="99">
        <f ca="1">_xll.DBRW($B$9,$C$16,$C$17,L$23,L$22,$C$18,$C$19,$B66,N$24)</f>
        <v>0</v>
      </c>
      <c r="O66" s="99">
        <f ca="1">_xll.DBRW($B$9,$C$16,$C$17,O$23,L$22,$C$18,$C$19,$B66,O$24)</f>
        <v>0</v>
      </c>
      <c r="P66" s="99">
        <f ca="1">_xll.DBRW($B$9,$C$16,$C$17,O$23,L$22,$C$18,$C$19,$B66,P$24)</f>
        <v>0</v>
      </c>
      <c r="Q66" s="99">
        <f ca="1">_xll.DBRW($B$9,$C$16,$C$17,O$23,L$22,$C$18,$C$19,$B66,Q$24)</f>
        <v>0</v>
      </c>
      <c r="R66" s="99">
        <f t="shared" ca="1" si="3"/>
        <v>0</v>
      </c>
      <c r="S66" s="99">
        <f t="shared" ca="1" si="4"/>
        <v>0</v>
      </c>
      <c r="T66" s="99">
        <f t="shared" ca="1" si="5"/>
        <v>0</v>
      </c>
      <c r="U66" s="99">
        <f ca="1">_xll.DBRW($B$9,$C$16,$C$17,U$23,U$22,$C$18,$C$19,$B66,U$24)</f>
        <v>0</v>
      </c>
      <c r="V66" s="99">
        <f ca="1">_xll.DBRW($B$9,$C$16,$C$17,U$23,U$22,$C$18,$C$19,$B66,V$24)</f>
        <v>0</v>
      </c>
      <c r="W66" s="99">
        <f ca="1">_xll.DBRW($B$9,$C$16,$C$17,U$23,U$22,$C$18,$C$19,$B66,W$24)</f>
        <v>0</v>
      </c>
      <c r="X66" s="99">
        <f ca="1">_xll.DBRW($B$9,$C$16,$C$17,X$23,U$22,$C$18,$C$19,$B66,X$24)</f>
        <v>0</v>
      </c>
      <c r="Y66" s="99">
        <f ca="1">_xll.DBRW($B$9,$C$16,$C$17,X$23,U$22,$C$18,$C$19,$B66,Y$24)</f>
        <v>0</v>
      </c>
      <c r="Z66" s="99">
        <f ca="1">_xll.DBRW($B$9,$C$16,$C$17,X$23,U$22,$C$18,$C$19,$B66,Z$24)</f>
        <v>0</v>
      </c>
      <c r="AA66" s="99">
        <f t="shared" ca="1" si="6"/>
        <v>0</v>
      </c>
      <c r="AB66" s="99">
        <f t="shared" ca="1" si="7"/>
        <v>0</v>
      </c>
      <c r="AC66" s="99">
        <f t="shared" ca="1" si="8"/>
        <v>0</v>
      </c>
      <c r="AD66" s="99">
        <f ca="1">_xll.DBRW($B$9,$C$16,$C$17,AD$23,AD$22,$C$18,$C$19,$B66,AD$24)</f>
        <v>0</v>
      </c>
      <c r="AE66" s="99">
        <f ca="1">_xll.DBRW($B$9,$C$16,$C$17,AD$23,AD$22,$C$18,$C$19,$B66,AE$24)</f>
        <v>0</v>
      </c>
      <c r="AF66" s="99">
        <f ca="1">_xll.DBRW($B$9,$C$16,$C$17,AD$23,AD$22,$C$18,$C$19,$B66,AF$24)</f>
        <v>0</v>
      </c>
      <c r="AG66" s="99">
        <f ca="1">_xll.DBRW($B$9,$C$16,$C$17,AG$23,AD$22,$C$18,$C$19,$B66,AG$24)</f>
        <v>0</v>
      </c>
      <c r="AH66" s="99">
        <f ca="1">_xll.DBRW($B$9,$C$16,$C$17,AG$23,AD$22,$C$18,$C$19,$B66,AH$24)</f>
        <v>0</v>
      </c>
      <c r="AI66" s="99">
        <f ca="1">_xll.DBRW($B$9,$C$16,$C$17,AG$23,AD$22,$C$18,$C$19,$B66,AI$24)</f>
        <v>0</v>
      </c>
      <c r="AJ66" s="99">
        <f t="shared" ca="1" si="9"/>
        <v>0</v>
      </c>
      <c r="AK66" s="99">
        <f t="shared" ca="1" si="10"/>
        <v>0</v>
      </c>
      <c r="AL66" s="99">
        <f t="shared" ca="1" si="11"/>
        <v>0</v>
      </c>
    </row>
    <row r="67" spans="1:38" x14ac:dyDescent="0.25">
      <c r="A67">
        <f ca="1">IF(_xll.TM1RPTELISCONSOLIDATED($B$25,$B67),IF(_xll.TM1RPTELLEV($B$25,$B67)&lt;=3,_xll.TM1RPTELLEV($B$25,$B67),"D"),"N")</f>
        <v>3</v>
      </c>
      <c r="B67" s="136" t="s">
        <v>80</v>
      </c>
      <c r="C67" s="100">
        <f ca="1">_xll.DBRW($B$9,$C$16,$C$17,C$23,C$22,$C$18,$C$19,$B67,C$24)</f>
        <v>0</v>
      </c>
      <c r="D67" s="100">
        <f ca="1">_xll.DBRW($B$9,$C$16,$C$17,C$23,C$22,$C$18,$C$19,$B67,D$24)</f>
        <v>0</v>
      </c>
      <c r="E67" s="100">
        <f ca="1">_xll.DBRW($B$9,$C$16,$C$17,C$23,C$22,$C$18,$C$19,$B67,E$24)</f>
        <v>0</v>
      </c>
      <c r="F67" s="100">
        <f ca="1">_xll.DBRW($B$9,$C$16,$C$17,F$23,C$22,$C$18,$C$19,$B67,F$24)</f>
        <v>0</v>
      </c>
      <c r="G67" s="100">
        <f ca="1">_xll.DBRW($B$9,$C$16,$C$17,F$23,C$22,$C$18,$C$19,$B67,G$24)</f>
        <v>0</v>
      </c>
      <c r="H67" s="100">
        <f ca="1">_xll.DBRW($B$9,$C$16,$C$17,F$23,C$22,$C$18,$C$19,$B67,H$24)</f>
        <v>0</v>
      </c>
      <c r="I67" s="100">
        <f t="shared" ca="1" si="0"/>
        <v>0</v>
      </c>
      <c r="J67" s="100">
        <f t="shared" ca="1" si="1"/>
        <v>0</v>
      </c>
      <c r="K67" s="100">
        <f t="shared" ca="1" si="2"/>
        <v>0</v>
      </c>
      <c r="L67" s="100">
        <f ca="1">_xll.DBRW($B$9,$C$16,$C$17,L$23,L$22,$C$18,$C$19,$B67,L$24)</f>
        <v>0</v>
      </c>
      <c r="M67" s="100">
        <f ca="1">_xll.DBRW($B$9,$C$16,$C$17,L$23,L$22,$C$18,$C$19,$B67,M$24)</f>
        <v>0</v>
      </c>
      <c r="N67" s="100">
        <f ca="1">_xll.DBRW($B$9,$C$16,$C$17,L$23,L$22,$C$18,$C$19,$B67,N$24)</f>
        <v>0</v>
      </c>
      <c r="O67" s="100">
        <f ca="1">_xll.DBRW($B$9,$C$16,$C$17,O$23,L$22,$C$18,$C$19,$B67,O$24)</f>
        <v>0</v>
      </c>
      <c r="P67" s="100">
        <f ca="1">_xll.DBRW($B$9,$C$16,$C$17,O$23,L$22,$C$18,$C$19,$B67,P$24)</f>
        <v>0</v>
      </c>
      <c r="Q67" s="100">
        <f ca="1">_xll.DBRW($B$9,$C$16,$C$17,O$23,L$22,$C$18,$C$19,$B67,Q$24)</f>
        <v>0</v>
      </c>
      <c r="R67" s="100">
        <f t="shared" ca="1" si="3"/>
        <v>0</v>
      </c>
      <c r="S67" s="100">
        <f t="shared" ca="1" si="4"/>
        <v>0</v>
      </c>
      <c r="T67" s="100">
        <f t="shared" ca="1" si="5"/>
        <v>0</v>
      </c>
      <c r="U67" s="100">
        <f ca="1">_xll.DBRW($B$9,$C$16,$C$17,U$23,U$22,$C$18,$C$19,$B67,U$24)</f>
        <v>0</v>
      </c>
      <c r="V67" s="100">
        <f ca="1">_xll.DBRW($B$9,$C$16,$C$17,U$23,U$22,$C$18,$C$19,$B67,V$24)</f>
        <v>0</v>
      </c>
      <c r="W67" s="100">
        <f ca="1">_xll.DBRW($B$9,$C$16,$C$17,U$23,U$22,$C$18,$C$19,$B67,W$24)</f>
        <v>0</v>
      </c>
      <c r="X67" s="100">
        <f ca="1">_xll.DBRW($B$9,$C$16,$C$17,X$23,U$22,$C$18,$C$19,$B67,X$24)</f>
        <v>0</v>
      </c>
      <c r="Y67" s="100">
        <f ca="1">_xll.DBRW($B$9,$C$16,$C$17,X$23,U$22,$C$18,$C$19,$B67,Y$24)</f>
        <v>0</v>
      </c>
      <c r="Z67" s="100">
        <f ca="1">_xll.DBRW($B$9,$C$16,$C$17,X$23,U$22,$C$18,$C$19,$B67,Z$24)</f>
        <v>0</v>
      </c>
      <c r="AA67" s="100">
        <f t="shared" ca="1" si="6"/>
        <v>0</v>
      </c>
      <c r="AB67" s="100">
        <f t="shared" ca="1" si="7"/>
        <v>0</v>
      </c>
      <c r="AC67" s="100">
        <f t="shared" ca="1" si="8"/>
        <v>0</v>
      </c>
      <c r="AD67" s="100">
        <f ca="1">_xll.DBRW($B$9,$C$16,$C$17,AD$23,AD$22,$C$18,$C$19,$B67,AD$24)</f>
        <v>0</v>
      </c>
      <c r="AE67" s="100">
        <f ca="1">_xll.DBRW($B$9,$C$16,$C$17,AD$23,AD$22,$C$18,$C$19,$B67,AE$24)</f>
        <v>0</v>
      </c>
      <c r="AF67" s="100">
        <f ca="1">_xll.DBRW($B$9,$C$16,$C$17,AD$23,AD$22,$C$18,$C$19,$B67,AF$24)</f>
        <v>0</v>
      </c>
      <c r="AG67" s="100">
        <f ca="1">_xll.DBRW($B$9,$C$16,$C$17,AG$23,AD$22,$C$18,$C$19,$B67,AG$24)</f>
        <v>0</v>
      </c>
      <c r="AH67" s="100">
        <f ca="1">_xll.DBRW($B$9,$C$16,$C$17,AG$23,AD$22,$C$18,$C$19,$B67,AH$24)</f>
        <v>0</v>
      </c>
      <c r="AI67" s="100">
        <f ca="1">_xll.DBRW($B$9,$C$16,$C$17,AG$23,AD$22,$C$18,$C$19,$B67,AI$24)</f>
        <v>0</v>
      </c>
      <c r="AJ67" s="100">
        <f t="shared" ca="1" si="9"/>
        <v>0</v>
      </c>
      <c r="AK67" s="100">
        <f t="shared" ca="1" si="10"/>
        <v>0</v>
      </c>
      <c r="AL67" s="100">
        <f t="shared" ca="1" si="11"/>
        <v>0</v>
      </c>
    </row>
    <row r="68" spans="1:38" x14ac:dyDescent="0.25">
      <c r="A68">
        <f ca="1">IF(_xll.TM1RPTELISCONSOLIDATED($B$25,$B68),IF(_xll.TM1RPTELLEV($B$25,$B68)&lt;=3,_xll.TM1RPTELLEV($B$25,$B68),"D"),"N")</f>
        <v>3</v>
      </c>
      <c r="B68" s="136" t="s">
        <v>81</v>
      </c>
      <c r="C68" s="100">
        <f ca="1">_xll.DBRW($B$9,$C$16,$C$17,C$23,C$22,$C$18,$C$19,$B68,C$24)</f>
        <v>0</v>
      </c>
      <c r="D68" s="100">
        <f ca="1">_xll.DBRW($B$9,$C$16,$C$17,C$23,C$22,$C$18,$C$19,$B68,D$24)</f>
        <v>0</v>
      </c>
      <c r="E68" s="100">
        <f ca="1">_xll.DBRW($B$9,$C$16,$C$17,C$23,C$22,$C$18,$C$19,$B68,E$24)</f>
        <v>0</v>
      </c>
      <c r="F68" s="100">
        <f ca="1">_xll.DBRW($B$9,$C$16,$C$17,F$23,C$22,$C$18,$C$19,$B68,F$24)</f>
        <v>0</v>
      </c>
      <c r="G68" s="100">
        <f ca="1">_xll.DBRW($B$9,$C$16,$C$17,F$23,C$22,$C$18,$C$19,$B68,G$24)</f>
        <v>0</v>
      </c>
      <c r="H68" s="100">
        <f ca="1">_xll.DBRW($B$9,$C$16,$C$17,F$23,C$22,$C$18,$C$19,$B68,H$24)</f>
        <v>0</v>
      </c>
      <c r="I68" s="100">
        <f t="shared" ca="1" si="0"/>
        <v>0</v>
      </c>
      <c r="J68" s="100">
        <f t="shared" ca="1" si="1"/>
        <v>0</v>
      </c>
      <c r="K68" s="100">
        <f t="shared" ca="1" si="2"/>
        <v>0</v>
      </c>
      <c r="L68" s="100">
        <f ca="1">_xll.DBRW($B$9,$C$16,$C$17,L$23,L$22,$C$18,$C$19,$B68,L$24)</f>
        <v>0</v>
      </c>
      <c r="M68" s="100">
        <f ca="1">_xll.DBRW($B$9,$C$16,$C$17,L$23,L$22,$C$18,$C$19,$B68,M$24)</f>
        <v>0</v>
      </c>
      <c r="N68" s="100">
        <f ca="1">_xll.DBRW($B$9,$C$16,$C$17,L$23,L$22,$C$18,$C$19,$B68,N$24)</f>
        <v>0</v>
      </c>
      <c r="O68" s="100">
        <f ca="1">_xll.DBRW($B$9,$C$16,$C$17,O$23,L$22,$C$18,$C$19,$B68,O$24)</f>
        <v>0</v>
      </c>
      <c r="P68" s="100">
        <f ca="1">_xll.DBRW($B$9,$C$16,$C$17,O$23,L$22,$C$18,$C$19,$B68,P$24)</f>
        <v>0</v>
      </c>
      <c r="Q68" s="100">
        <f ca="1">_xll.DBRW($B$9,$C$16,$C$17,O$23,L$22,$C$18,$C$19,$B68,Q$24)</f>
        <v>0</v>
      </c>
      <c r="R68" s="100">
        <f t="shared" ca="1" si="3"/>
        <v>0</v>
      </c>
      <c r="S68" s="100">
        <f t="shared" ca="1" si="4"/>
        <v>0</v>
      </c>
      <c r="T68" s="100">
        <f t="shared" ca="1" si="5"/>
        <v>0</v>
      </c>
      <c r="U68" s="100">
        <f ca="1">_xll.DBRW($B$9,$C$16,$C$17,U$23,U$22,$C$18,$C$19,$B68,U$24)</f>
        <v>0</v>
      </c>
      <c r="V68" s="100">
        <f ca="1">_xll.DBRW($B$9,$C$16,$C$17,U$23,U$22,$C$18,$C$19,$B68,V$24)</f>
        <v>0</v>
      </c>
      <c r="W68" s="100">
        <f ca="1">_xll.DBRW($B$9,$C$16,$C$17,U$23,U$22,$C$18,$C$19,$B68,W$24)</f>
        <v>0</v>
      </c>
      <c r="X68" s="100">
        <f ca="1">_xll.DBRW($B$9,$C$16,$C$17,X$23,U$22,$C$18,$C$19,$B68,X$24)</f>
        <v>0</v>
      </c>
      <c r="Y68" s="100">
        <f ca="1">_xll.DBRW($B$9,$C$16,$C$17,X$23,U$22,$C$18,$C$19,$B68,Y$24)</f>
        <v>0</v>
      </c>
      <c r="Z68" s="100">
        <f ca="1">_xll.DBRW($B$9,$C$16,$C$17,X$23,U$22,$C$18,$C$19,$B68,Z$24)</f>
        <v>0</v>
      </c>
      <c r="AA68" s="100">
        <f t="shared" ca="1" si="6"/>
        <v>0</v>
      </c>
      <c r="AB68" s="100">
        <f t="shared" ca="1" si="7"/>
        <v>0</v>
      </c>
      <c r="AC68" s="100">
        <f t="shared" ca="1" si="8"/>
        <v>0</v>
      </c>
      <c r="AD68" s="100">
        <f ca="1">_xll.DBRW($B$9,$C$16,$C$17,AD$23,AD$22,$C$18,$C$19,$B68,AD$24)</f>
        <v>0</v>
      </c>
      <c r="AE68" s="100">
        <f ca="1">_xll.DBRW($B$9,$C$16,$C$17,AD$23,AD$22,$C$18,$C$19,$B68,AE$24)</f>
        <v>0</v>
      </c>
      <c r="AF68" s="100">
        <f ca="1">_xll.DBRW($B$9,$C$16,$C$17,AD$23,AD$22,$C$18,$C$19,$B68,AF$24)</f>
        <v>0</v>
      </c>
      <c r="AG68" s="100">
        <f ca="1">_xll.DBRW($B$9,$C$16,$C$17,AG$23,AD$22,$C$18,$C$19,$B68,AG$24)</f>
        <v>0</v>
      </c>
      <c r="AH68" s="100">
        <f ca="1">_xll.DBRW($B$9,$C$16,$C$17,AG$23,AD$22,$C$18,$C$19,$B68,AH$24)</f>
        <v>0</v>
      </c>
      <c r="AI68" s="100">
        <f ca="1">_xll.DBRW($B$9,$C$16,$C$17,AG$23,AD$22,$C$18,$C$19,$B68,AI$24)</f>
        <v>0</v>
      </c>
      <c r="AJ68" s="100">
        <f t="shared" ca="1" si="9"/>
        <v>0</v>
      </c>
      <c r="AK68" s="100">
        <f t="shared" ca="1" si="10"/>
        <v>0</v>
      </c>
      <c r="AL68" s="100">
        <f t="shared" ca="1" si="11"/>
        <v>0</v>
      </c>
    </row>
    <row r="69" spans="1:38" x14ac:dyDescent="0.25">
      <c r="A69">
        <f ca="1">IF(_xll.TM1RPTELISCONSOLIDATED($B$25,$B69),IF(_xll.TM1RPTELLEV($B$25,$B69)&lt;=3,_xll.TM1RPTELLEV($B$25,$B69),"D"),"N")</f>
        <v>3</v>
      </c>
      <c r="B69" s="136" t="s">
        <v>82</v>
      </c>
      <c r="C69" s="100">
        <f ca="1">_xll.DBRW($B$9,$C$16,$C$17,C$23,C$22,$C$18,$C$19,$B69,C$24)</f>
        <v>0</v>
      </c>
      <c r="D69" s="100">
        <f ca="1">_xll.DBRW($B$9,$C$16,$C$17,C$23,C$22,$C$18,$C$19,$B69,D$24)</f>
        <v>0</v>
      </c>
      <c r="E69" s="100">
        <f ca="1">_xll.DBRW($B$9,$C$16,$C$17,C$23,C$22,$C$18,$C$19,$B69,E$24)</f>
        <v>0</v>
      </c>
      <c r="F69" s="100">
        <f ca="1">_xll.DBRW($B$9,$C$16,$C$17,F$23,C$22,$C$18,$C$19,$B69,F$24)</f>
        <v>0</v>
      </c>
      <c r="G69" s="100">
        <f ca="1">_xll.DBRW($B$9,$C$16,$C$17,F$23,C$22,$C$18,$C$19,$B69,G$24)</f>
        <v>0</v>
      </c>
      <c r="H69" s="100">
        <f ca="1">_xll.DBRW($B$9,$C$16,$C$17,F$23,C$22,$C$18,$C$19,$B69,H$24)</f>
        <v>0</v>
      </c>
      <c r="I69" s="100">
        <f t="shared" ca="1" si="0"/>
        <v>0</v>
      </c>
      <c r="J69" s="100">
        <f t="shared" ca="1" si="1"/>
        <v>0</v>
      </c>
      <c r="K69" s="100">
        <f t="shared" ca="1" si="2"/>
        <v>0</v>
      </c>
      <c r="L69" s="100">
        <f ca="1">_xll.DBRW($B$9,$C$16,$C$17,L$23,L$22,$C$18,$C$19,$B69,L$24)</f>
        <v>0</v>
      </c>
      <c r="M69" s="100">
        <f ca="1">_xll.DBRW($B$9,$C$16,$C$17,L$23,L$22,$C$18,$C$19,$B69,M$24)</f>
        <v>0</v>
      </c>
      <c r="N69" s="100">
        <f ca="1">_xll.DBRW($B$9,$C$16,$C$17,L$23,L$22,$C$18,$C$19,$B69,N$24)</f>
        <v>0</v>
      </c>
      <c r="O69" s="100">
        <f ca="1">_xll.DBRW($B$9,$C$16,$C$17,O$23,L$22,$C$18,$C$19,$B69,O$24)</f>
        <v>0</v>
      </c>
      <c r="P69" s="100">
        <f ca="1">_xll.DBRW($B$9,$C$16,$C$17,O$23,L$22,$C$18,$C$19,$B69,P$24)</f>
        <v>0</v>
      </c>
      <c r="Q69" s="100">
        <f ca="1">_xll.DBRW($B$9,$C$16,$C$17,O$23,L$22,$C$18,$C$19,$B69,Q$24)</f>
        <v>0</v>
      </c>
      <c r="R69" s="100">
        <f t="shared" ca="1" si="3"/>
        <v>0</v>
      </c>
      <c r="S69" s="100">
        <f t="shared" ca="1" si="4"/>
        <v>0</v>
      </c>
      <c r="T69" s="100">
        <f t="shared" ca="1" si="5"/>
        <v>0</v>
      </c>
      <c r="U69" s="100">
        <f ca="1">_xll.DBRW($B$9,$C$16,$C$17,U$23,U$22,$C$18,$C$19,$B69,U$24)</f>
        <v>0</v>
      </c>
      <c r="V69" s="100">
        <f ca="1">_xll.DBRW($B$9,$C$16,$C$17,U$23,U$22,$C$18,$C$19,$B69,V$24)</f>
        <v>0</v>
      </c>
      <c r="W69" s="100">
        <f ca="1">_xll.DBRW($B$9,$C$16,$C$17,U$23,U$22,$C$18,$C$19,$B69,W$24)</f>
        <v>0</v>
      </c>
      <c r="X69" s="100">
        <f ca="1">_xll.DBRW($B$9,$C$16,$C$17,X$23,U$22,$C$18,$C$19,$B69,X$24)</f>
        <v>0</v>
      </c>
      <c r="Y69" s="100">
        <f ca="1">_xll.DBRW($B$9,$C$16,$C$17,X$23,U$22,$C$18,$C$19,$B69,Y$24)</f>
        <v>0</v>
      </c>
      <c r="Z69" s="100">
        <f ca="1">_xll.DBRW($B$9,$C$16,$C$17,X$23,U$22,$C$18,$C$19,$B69,Z$24)</f>
        <v>0</v>
      </c>
      <c r="AA69" s="100">
        <f t="shared" ca="1" si="6"/>
        <v>0</v>
      </c>
      <c r="AB69" s="100">
        <f t="shared" ca="1" si="7"/>
        <v>0</v>
      </c>
      <c r="AC69" s="100">
        <f t="shared" ca="1" si="8"/>
        <v>0</v>
      </c>
      <c r="AD69" s="100">
        <f ca="1">_xll.DBRW($B$9,$C$16,$C$17,AD$23,AD$22,$C$18,$C$19,$B69,AD$24)</f>
        <v>0</v>
      </c>
      <c r="AE69" s="100">
        <f ca="1">_xll.DBRW($B$9,$C$16,$C$17,AD$23,AD$22,$C$18,$C$19,$B69,AE$24)</f>
        <v>0</v>
      </c>
      <c r="AF69" s="100">
        <f ca="1">_xll.DBRW($B$9,$C$16,$C$17,AD$23,AD$22,$C$18,$C$19,$B69,AF$24)</f>
        <v>0</v>
      </c>
      <c r="AG69" s="100">
        <f ca="1">_xll.DBRW($B$9,$C$16,$C$17,AG$23,AD$22,$C$18,$C$19,$B69,AG$24)</f>
        <v>0</v>
      </c>
      <c r="AH69" s="100">
        <f ca="1">_xll.DBRW($B$9,$C$16,$C$17,AG$23,AD$22,$C$18,$C$19,$B69,AH$24)</f>
        <v>0</v>
      </c>
      <c r="AI69" s="100">
        <f ca="1">_xll.DBRW($B$9,$C$16,$C$17,AG$23,AD$22,$C$18,$C$19,$B69,AI$24)</f>
        <v>0</v>
      </c>
      <c r="AJ69" s="100">
        <f t="shared" ca="1" si="9"/>
        <v>0</v>
      </c>
      <c r="AK69" s="100">
        <f t="shared" ca="1" si="10"/>
        <v>0</v>
      </c>
      <c r="AL69" s="100">
        <f t="shared" ca="1" si="11"/>
        <v>0</v>
      </c>
    </row>
    <row r="70" spans="1:38" x14ac:dyDescent="0.25">
      <c r="A70">
        <f ca="1">IF(_xll.TM1RPTELISCONSOLIDATED($B$25,$B70),IF(_xll.TM1RPTELLEV($B$25,$B70)&lt;=3,_xll.TM1RPTELLEV($B$25,$B70),"D"),"N")</f>
        <v>3</v>
      </c>
      <c r="B70" s="136" t="s">
        <v>83</v>
      </c>
      <c r="C70" s="100">
        <f ca="1">_xll.DBRW($B$9,$C$16,$C$17,C$23,C$22,$C$18,$C$19,$B70,C$24)</f>
        <v>0</v>
      </c>
      <c r="D70" s="100">
        <f ca="1">_xll.DBRW($B$9,$C$16,$C$17,C$23,C$22,$C$18,$C$19,$B70,D$24)</f>
        <v>0</v>
      </c>
      <c r="E70" s="100">
        <f ca="1">_xll.DBRW($B$9,$C$16,$C$17,C$23,C$22,$C$18,$C$19,$B70,E$24)</f>
        <v>0</v>
      </c>
      <c r="F70" s="100">
        <f ca="1">_xll.DBRW($B$9,$C$16,$C$17,F$23,C$22,$C$18,$C$19,$B70,F$24)</f>
        <v>0</v>
      </c>
      <c r="G70" s="100">
        <f ca="1">_xll.DBRW($B$9,$C$16,$C$17,F$23,C$22,$C$18,$C$19,$B70,G$24)</f>
        <v>0</v>
      </c>
      <c r="H70" s="100">
        <f ca="1">_xll.DBRW($B$9,$C$16,$C$17,F$23,C$22,$C$18,$C$19,$B70,H$24)</f>
        <v>0</v>
      </c>
      <c r="I70" s="100">
        <f t="shared" ca="1" si="0"/>
        <v>0</v>
      </c>
      <c r="J70" s="100">
        <f t="shared" ca="1" si="1"/>
        <v>0</v>
      </c>
      <c r="K70" s="100">
        <f t="shared" ca="1" si="2"/>
        <v>0</v>
      </c>
      <c r="L70" s="100">
        <f ca="1">_xll.DBRW($B$9,$C$16,$C$17,L$23,L$22,$C$18,$C$19,$B70,L$24)</f>
        <v>0</v>
      </c>
      <c r="M70" s="100">
        <f ca="1">_xll.DBRW($B$9,$C$16,$C$17,L$23,L$22,$C$18,$C$19,$B70,M$24)</f>
        <v>0</v>
      </c>
      <c r="N70" s="100">
        <f ca="1">_xll.DBRW($B$9,$C$16,$C$17,L$23,L$22,$C$18,$C$19,$B70,N$24)</f>
        <v>0</v>
      </c>
      <c r="O70" s="100">
        <f ca="1">_xll.DBRW($B$9,$C$16,$C$17,O$23,L$22,$C$18,$C$19,$B70,O$24)</f>
        <v>0</v>
      </c>
      <c r="P70" s="100">
        <f ca="1">_xll.DBRW($B$9,$C$16,$C$17,O$23,L$22,$C$18,$C$19,$B70,P$24)</f>
        <v>0</v>
      </c>
      <c r="Q70" s="100">
        <f ca="1">_xll.DBRW($B$9,$C$16,$C$17,O$23,L$22,$C$18,$C$19,$B70,Q$24)</f>
        <v>0</v>
      </c>
      <c r="R70" s="100">
        <f t="shared" ca="1" si="3"/>
        <v>0</v>
      </c>
      <c r="S70" s="100">
        <f t="shared" ca="1" si="4"/>
        <v>0</v>
      </c>
      <c r="T70" s="100">
        <f t="shared" ca="1" si="5"/>
        <v>0</v>
      </c>
      <c r="U70" s="100">
        <f ca="1">_xll.DBRW($B$9,$C$16,$C$17,U$23,U$22,$C$18,$C$19,$B70,U$24)</f>
        <v>0</v>
      </c>
      <c r="V70" s="100">
        <f ca="1">_xll.DBRW($B$9,$C$16,$C$17,U$23,U$22,$C$18,$C$19,$B70,V$24)</f>
        <v>0</v>
      </c>
      <c r="W70" s="100">
        <f ca="1">_xll.DBRW($B$9,$C$16,$C$17,U$23,U$22,$C$18,$C$19,$B70,W$24)</f>
        <v>0</v>
      </c>
      <c r="X70" s="100">
        <f ca="1">_xll.DBRW($B$9,$C$16,$C$17,X$23,U$22,$C$18,$C$19,$B70,X$24)</f>
        <v>0</v>
      </c>
      <c r="Y70" s="100">
        <f ca="1">_xll.DBRW($B$9,$C$16,$C$17,X$23,U$22,$C$18,$C$19,$B70,Y$24)</f>
        <v>0</v>
      </c>
      <c r="Z70" s="100">
        <f ca="1">_xll.DBRW($B$9,$C$16,$C$17,X$23,U$22,$C$18,$C$19,$B70,Z$24)</f>
        <v>0</v>
      </c>
      <c r="AA70" s="100">
        <f t="shared" ca="1" si="6"/>
        <v>0</v>
      </c>
      <c r="AB70" s="100">
        <f t="shared" ca="1" si="7"/>
        <v>0</v>
      </c>
      <c r="AC70" s="100">
        <f t="shared" ca="1" si="8"/>
        <v>0</v>
      </c>
      <c r="AD70" s="100">
        <f ca="1">_xll.DBRW($B$9,$C$16,$C$17,AD$23,AD$22,$C$18,$C$19,$B70,AD$24)</f>
        <v>0</v>
      </c>
      <c r="AE70" s="100">
        <f ca="1">_xll.DBRW($B$9,$C$16,$C$17,AD$23,AD$22,$C$18,$C$19,$B70,AE$24)</f>
        <v>0</v>
      </c>
      <c r="AF70" s="100">
        <f ca="1">_xll.DBRW($B$9,$C$16,$C$17,AD$23,AD$22,$C$18,$C$19,$B70,AF$24)</f>
        <v>0</v>
      </c>
      <c r="AG70" s="100">
        <f ca="1">_xll.DBRW($B$9,$C$16,$C$17,AG$23,AD$22,$C$18,$C$19,$B70,AG$24)</f>
        <v>0</v>
      </c>
      <c r="AH70" s="100">
        <f ca="1">_xll.DBRW($B$9,$C$16,$C$17,AG$23,AD$22,$C$18,$C$19,$B70,AH$24)</f>
        <v>0</v>
      </c>
      <c r="AI70" s="100">
        <f ca="1">_xll.DBRW($B$9,$C$16,$C$17,AG$23,AD$22,$C$18,$C$19,$B70,AI$24)</f>
        <v>0</v>
      </c>
      <c r="AJ70" s="100">
        <f t="shared" ca="1" si="9"/>
        <v>0</v>
      </c>
      <c r="AK70" s="100">
        <f t="shared" ca="1" si="10"/>
        <v>0</v>
      </c>
      <c r="AL70" s="100">
        <f t="shared" ca="1" si="11"/>
        <v>0</v>
      </c>
    </row>
    <row r="71" spans="1:38" x14ac:dyDescent="0.25">
      <c r="A71">
        <f ca="1">IF(_xll.TM1RPTELISCONSOLIDATED($B$25,$B71),IF(_xll.TM1RPTELLEV($B$25,$B71)&lt;=3,_xll.TM1RPTELLEV($B$25,$B71),"D"),"N")</f>
        <v>3</v>
      </c>
      <c r="B71" s="136" t="s">
        <v>84</v>
      </c>
      <c r="C71" s="100">
        <f ca="1">_xll.DBRW($B$9,$C$16,$C$17,C$23,C$22,$C$18,$C$19,$B71,C$24)</f>
        <v>0</v>
      </c>
      <c r="D71" s="100">
        <f ca="1">_xll.DBRW($B$9,$C$16,$C$17,C$23,C$22,$C$18,$C$19,$B71,D$24)</f>
        <v>0</v>
      </c>
      <c r="E71" s="100">
        <f ca="1">_xll.DBRW($B$9,$C$16,$C$17,C$23,C$22,$C$18,$C$19,$B71,E$24)</f>
        <v>0</v>
      </c>
      <c r="F71" s="100">
        <f ca="1">_xll.DBRW($B$9,$C$16,$C$17,F$23,C$22,$C$18,$C$19,$B71,F$24)</f>
        <v>0</v>
      </c>
      <c r="G71" s="100">
        <f ca="1">_xll.DBRW($B$9,$C$16,$C$17,F$23,C$22,$C$18,$C$19,$B71,G$24)</f>
        <v>0</v>
      </c>
      <c r="H71" s="100">
        <f ca="1">_xll.DBRW($B$9,$C$16,$C$17,F$23,C$22,$C$18,$C$19,$B71,H$24)</f>
        <v>0</v>
      </c>
      <c r="I71" s="100">
        <f t="shared" ca="1" si="0"/>
        <v>0</v>
      </c>
      <c r="J71" s="100">
        <f t="shared" ca="1" si="1"/>
        <v>0</v>
      </c>
      <c r="K71" s="100">
        <f t="shared" ca="1" si="2"/>
        <v>0</v>
      </c>
      <c r="L71" s="100">
        <f ca="1">_xll.DBRW($B$9,$C$16,$C$17,L$23,L$22,$C$18,$C$19,$B71,L$24)</f>
        <v>0</v>
      </c>
      <c r="M71" s="100">
        <f ca="1">_xll.DBRW($B$9,$C$16,$C$17,L$23,L$22,$C$18,$C$19,$B71,M$24)</f>
        <v>0</v>
      </c>
      <c r="N71" s="100">
        <f ca="1">_xll.DBRW($B$9,$C$16,$C$17,L$23,L$22,$C$18,$C$19,$B71,N$24)</f>
        <v>0</v>
      </c>
      <c r="O71" s="100">
        <f ca="1">_xll.DBRW($B$9,$C$16,$C$17,O$23,L$22,$C$18,$C$19,$B71,O$24)</f>
        <v>0</v>
      </c>
      <c r="P71" s="100">
        <f ca="1">_xll.DBRW($B$9,$C$16,$C$17,O$23,L$22,$C$18,$C$19,$B71,P$24)</f>
        <v>0</v>
      </c>
      <c r="Q71" s="100">
        <f ca="1">_xll.DBRW($B$9,$C$16,$C$17,O$23,L$22,$C$18,$C$19,$B71,Q$24)</f>
        <v>0</v>
      </c>
      <c r="R71" s="100">
        <f t="shared" ca="1" si="3"/>
        <v>0</v>
      </c>
      <c r="S71" s="100">
        <f t="shared" ca="1" si="4"/>
        <v>0</v>
      </c>
      <c r="T71" s="100">
        <f t="shared" ca="1" si="5"/>
        <v>0</v>
      </c>
      <c r="U71" s="100">
        <f ca="1">_xll.DBRW($B$9,$C$16,$C$17,U$23,U$22,$C$18,$C$19,$B71,U$24)</f>
        <v>0</v>
      </c>
      <c r="V71" s="100">
        <f ca="1">_xll.DBRW($B$9,$C$16,$C$17,U$23,U$22,$C$18,$C$19,$B71,V$24)</f>
        <v>0</v>
      </c>
      <c r="W71" s="100">
        <f ca="1">_xll.DBRW($B$9,$C$16,$C$17,U$23,U$22,$C$18,$C$19,$B71,W$24)</f>
        <v>0</v>
      </c>
      <c r="X71" s="100">
        <f ca="1">_xll.DBRW($B$9,$C$16,$C$17,X$23,U$22,$C$18,$C$19,$B71,X$24)</f>
        <v>0</v>
      </c>
      <c r="Y71" s="100">
        <f ca="1">_xll.DBRW($B$9,$C$16,$C$17,X$23,U$22,$C$18,$C$19,$B71,Y$24)</f>
        <v>0</v>
      </c>
      <c r="Z71" s="100">
        <f ca="1">_xll.DBRW($B$9,$C$16,$C$17,X$23,U$22,$C$18,$C$19,$B71,Z$24)</f>
        <v>0</v>
      </c>
      <c r="AA71" s="100">
        <f t="shared" ca="1" si="6"/>
        <v>0</v>
      </c>
      <c r="AB71" s="100">
        <f t="shared" ca="1" si="7"/>
        <v>0</v>
      </c>
      <c r="AC71" s="100">
        <f t="shared" ca="1" si="8"/>
        <v>0</v>
      </c>
      <c r="AD71" s="100">
        <f ca="1">_xll.DBRW($B$9,$C$16,$C$17,AD$23,AD$22,$C$18,$C$19,$B71,AD$24)</f>
        <v>0</v>
      </c>
      <c r="AE71" s="100">
        <f ca="1">_xll.DBRW($B$9,$C$16,$C$17,AD$23,AD$22,$C$18,$C$19,$B71,AE$24)</f>
        <v>0</v>
      </c>
      <c r="AF71" s="100">
        <f ca="1">_xll.DBRW($B$9,$C$16,$C$17,AD$23,AD$22,$C$18,$C$19,$B71,AF$24)</f>
        <v>0</v>
      </c>
      <c r="AG71" s="100">
        <f ca="1">_xll.DBRW($B$9,$C$16,$C$17,AG$23,AD$22,$C$18,$C$19,$B71,AG$24)</f>
        <v>0</v>
      </c>
      <c r="AH71" s="100">
        <f ca="1">_xll.DBRW($B$9,$C$16,$C$17,AG$23,AD$22,$C$18,$C$19,$B71,AH$24)</f>
        <v>0</v>
      </c>
      <c r="AI71" s="100">
        <f ca="1">_xll.DBRW($B$9,$C$16,$C$17,AG$23,AD$22,$C$18,$C$19,$B71,AI$24)</f>
        <v>0</v>
      </c>
      <c r="AJ71" s="100">
        <f t="shared" ca="1" si="9"/>
        <v>0</v>
      </c>
      <c r="AK71" s="100">
        <f t="shared" ca="1" si="10"/>
        <v>0</v>
      </c>
      <c r="AL71" s="100">
        <f t="shared" ca="1" si="11"/>
        <v>0</v>
      </c>
    </row>
    <row r="72" spans="1:38" x14ac:dyDescent="0.25">
      <c r="A72">
        <f ca="1">IF(_xll.TM1RPTELISCONSOLIDATED($B$25,$B72),IF(_xll.TM1RPTELLEV($B$25,$B72)&lt;=3,_xll.TM1RPTELLEV($B$25,$B72),"D"),"N")</f>
        <v>2</v>
      </c>
      <c r="B72" s="135" t="s">
        <v>85</v>
      </c>
      <c r="C72" s="99">
        <f ca="1">_xll.DBRW($B$9,$C$16,$C$17,C$23,C$22,$C$18,$C$19,$B72,C$24)</f>
        <v>0</v>
      </c>
      <c r="D72" s="99">
        <f ca="1">_xll.DBRW($B$9,$C$16,$C$17,C$23,C$22,$C$18,$C$19,$B72,D$24)</f>
        <v>0</v>
      </c>
      <c r="E72" s="99">
        <f ca="1">_xll.DBRW($B$9,$C$16,$C$17,C$23,C$22,$C$18,$C$19,$B72,E$24)</f>
        <v>0</v>
      </c>
      <c r="F72" s="99">
        <f ca="1">_xll.DBRW($B$9,$C$16,$C$17,F$23,C$22,$C$18,$C$19,$B72,F$24)</f>
        <v>0</v>
      </c>
      <c r="G72" s="99">
        <f ca="1">_xll.DBRW($B$9,$C$16,$C$17,F$23,C$22,$C$18,$C$19,$B72,G$24)</f>
        <v>0</v>
      </c>
      <c r="H72" s="99">
        <f ca="1">_xll.DBRW($B$9,$C$16,$C$17,F$23,C$22,$C$18,$C$19,$B72,H$24)</f>
        <v>0</v>
      </c>
      <c r="I72" s="99">
        <f t="shared" ca="1" si="0"/>
        <v>0</v>
      </c>
      <c r="J72" s="99">
        <f t="shared" ca="1" si="1"/>
        <v>0</v>
      </c>
      <c r="K72" s="99">
        <f t="shared" ca="1" si="2"/>
        <v>0</v>
      </c>
      <c r="L72" s="99">
        <f ca="1">_xll.DBRW($B$9,$C$16,$C$17,L$23,L$22,$C$18,$C$19,$B72,L$24)</f>
        <v>0</v>
      </c>
      <c r="M72" s="99">
        <f ca="1">_xll.DBRW($B$9,$C$16,$C$17,L$23,L$22,$C$18,$C$19,$B72,M$24)</f>
        <v>0</v>
      </c>
      <c r="N72" s="99">
        <f ca="1">_xll.DBRW($B$9,$C$16,$C$17,L$23,L$22,$C$18,$C$19,$B72,N$24)</f>
        <v>0</v>
      </c>
      <c r="O72" s="99">
        <f ca="1">_xll.DBRW($B$9,$C$16,$C$17,O$23,L$22,$C$18,$C$19,$B72,O$24)</f>
        <v>0</v>
      </c>
      <c r="P72" s="99">
        <f ca="1">_xll.DBRW($B$9,$C$16,$C$17,O$23,L$22,$C$18,$C$19,$B72,P$24)</f>
        <v>0</v>
      </c>
      <c r="Q72" s="99">
        <f ca="1">_xll.DBRW($B$9,$C$16,$C$17,O$23,L$22,$C$18,$C$19,$B72,Q$24)</f>
        <v>0</v>
      </c>
      <c r="R72" s="99">
        <f t="shared" ca="1" si="3"/>
        <v>0</v>
      </c>
      <c r="S72" s="99">
        <f t="shared" ca="1" si="4"/>
        <v>0</v>
      </c>
      <c r="T72" s="99">
        <f t="shared" ca="1" si="5"/>
        <v>0</v>
      </c>
      <c r="U72" s="99">
        <f ca="1">_xll.DBRW($B$9,$C$16,$C$17,U$23,U$22,$C$18,$C$19,$B72,U$24)</f>
        <v>0</v>
      </c>
      <c r="V72" s="99">
        <f ca="1">_xll.DBRW($B$9,$C$16,$C$17,U$23,U$22,$C$18,$C$19,$B72,V$24)</f>
        <v>0</v>
      </c>
      <c r="W72" s="99">
        <f ca="1">_xll.DBRW($B$9,$C$16,$C$17,U$23,U$22,$C$18,$C$19,$B72,W$24)</f>
        <v>0</v>
      </c>
      <c r="X72" s="99">
        <f ca="1">_xll.DBRW($B$9,$C$16,$C$17,X$23,U$22,$C$18,$C$19,$B72,X$24)</f>
        <v>0</v>
      </c>
      <c r="Y72" s="99">
        <f ca="1">_xll.DBRW($B$9,$C$16,$C$17,X$23,U$22,$C$18,$C$19,$B72,Y$24)</f>
        <v>0</v>
      </c>
      <c r="Z72" s="99">
        <f ca="1">_xll.DBRW($B$9,$C$16,$C$17,X$23,U$22,$C$18,$C$19,$B72,Z$24)</f>
        <v>0</v>
      </c>
      <c r="AA72" s="99">
        <f t="shared" ca="1" si="6"/>
        <v>0</v>
      </c>
      <c r="AB72" s="99">
        <f t="shared" ca="1" si="7"/>
        <v>0</v>
      </c>
      <c r="AC72" s="99">
        <f t="shared" ca="1" si="8"/>
        <v>0</v>
      </c>
      <c r="AD72" s="99">
        <f ca="1">_xll.DBRW($B$9,$C$16,$C$17,AD$23,AD$22,$C$18,$C$19,$B72,AD$24)</f>
        <v>0</v>
      </c>
      <c r="AE72" s="99">
        <f ca="1">_xll.DBRW($B$9,$C$16,$C$17,AD$23,AD$22,$C$18,$C$19,$B72,AE$24)</f>
        <v>0</v>
      </c>
      <c r="AF72" s="99">
        <f ca="1">_xll.DBRW($B$9,$C$16,$C$17,AD$23,AD$22,$C$18,$C$19,$B72,AF$24)</f>
        <v>0</v>
      </c>
      <c r="AG72" s="99">
        <f ca="1">_xll.DBRW($B$9,$C$16,$C$17,AG$23,AD$22,$C$18,$C$19,$B72,AG$24)</f>
        <v>0</v>
      </c>
      <c r="AH72" s="99">
        <f ca="1">_xll.DBRW($B$9,$C$16,$C$17,AG$23,AD$22,$C$18,$C$19,$B72,AH$24)</f>
        <v>0</v>
      </c>
      <c r="AI72" s="99">
        <f ca="1">_xll.DBRW($B$9,$C$16,$C$17,AG$23,AD$22,$C$18,$C$19,$B72,AI$24)</f>
        <v>0</v>
      </c>
      <c r="AJ72" s="99">
        <f t="shared" ca="1" si="9"/>
        <v>0</v>
      </c>
      <c r="AK72" s="99">
        <f t="shared" ca="1" si="10"/>
        <v>0</v>
      </c>
      <c r="AL72" s="99">
        <f t="shared" ca="1" si="11"/>
        <v>0</v>
      </c>
    </row>
    <row r="73" spans="1:38" x14ac:dyDescent="0.25">
      <c r="A73">
        <f ca="1">IF(_xll.TM1RPTELISCONSOLIDATED($B$25,$B73),IF(_xll.TM1RPTELLEV($B$25,$B73)&lt;=3,_xll.TM1RPTELLEV($B$25,$B73),"D"),"N")</f>
        <v>3</v>
      </c>
      <c r="B73" s="136" t="s">
        <v>86</v>
      </c>
      <c r="C73" s="100">
        <f ca="1">_xll.DBRW($B$9,$C$16,$C$17,C$23,C$22,$C$18,$C$19,$B73,C$24)</f>
        <v>0</v>
      </c>
      <c r="D73" s="100">
        <f ca="1">_xll.DBRW($B$9,$C$16,$C$17,C$23,C$22,$C$18,$C$19,$B73,D$24)</f>
        <v>0</v>
      </c>
      <c r="E73" s="100">
        <f ca="1">_xll.DBRW($B$9,$C$16,$C$17,C$23,C$22,$C$18,$C$19,$B73,E$24)</f>
        <v>0</v>
      </c>
      <c r="F73" s="100">
        <f ca="1">_xll.DBRW($B$9,$C$16,$C$17,F$23,C$22,$C$18,$C$19,$B73,F$24)</f>
        <v>0</v>
      </c>
      <c r="G73" s="100">
        <f ca="1">_xll.DBRW($B$9,$C$16,$C$17,F$23,C$22,$C$18,$C$19,$B73,G$24)</f>
        <v>0</v>
      </c>
      <c r="H73" s="100">
        <f ca="1">_xll.DBRW($B$9,$C$16,$C$17,F$23,C$22,$C$18,$C$19,$B73,H$24)</f>
        <v>0</v>
      </c>
      <c r="I73" s="100">
        <f t="shared" ca="1" si="0"/>
        <v>0</v>
      </c>
      <c r="J73" s="100">
        <f t="shared" ca="1" si="1"/>
        <v>0</v>
      </c>
      <c r="K73" s="100">
        <f t="shared" ca="1" si="2"/>
        <v>0</v>
      </c>
      <c r="L73" s="100">
        <f ca="1">_xll.DBRW($B$9,$C$16,$C$17,L$23,L$22,$C$18,$C$19,$B73,L$24)</f>
        <v>0</v>
      </c>
      <c r="M73" s="100">
        <f ca="1">_xll.DBRW($B$9,$C$16,$C$17,L$23,L$22,$C$18,$C$19,$B73,M$24)</f>
        <v>0</v>
      </c>
      <c r="N73" s="100">
        <f ca="1">_xll.DBRW($B$9,$C$16,$C$17,L$23,L$22,$C$18,$C$19,$B73,N$24)</f>
        <v>0</v>
      </c>
      <c r="O73" s="100">
        <f ca="1">_xll.DBRW($B$9,$C$16,$C$17,O$23,L$22,$C$18,$C$19,$B73,O$24)</f>
        <v>0</v>
      </c>
      <c r="P73" s="100">
        <f ca="1">_xll.DBRW($B$9,$C$16,$C$17,O$23,L$22,$C$18,$C$19,$B73,P$24)</f>
        <v>0</v>
      </c>
      <c r="Q73" s="100">
        <f ca="1">_xll.DBRW($B$9,$C$16,$C$17,O$23,L$22,$C$18,$C$19,$B73,Q$24)</f>
        <v>0</v>
      </c>
      <c r="R73" s="100">
        <f t="shared" ca="1" si="3"/>
        <v>0</v>
      </c>
      <c r="S73" s="100">
        <f t="shared" ca="1" si="4"/>
        <v>0</v>
      </c>
      <c r="T73" s="100">
        <f t="shared" ca="1" si="5"/>
        <v>0</v>
      </c>
      <c r="U73" s="100">
        <f ca="1">_xll.DBRW($B$9,$C$16,$C$17,U$23,U$22,$C$18,$C$19,$B73,U$24)</f>
        <v>0</v>
      </c>
      <c r="V73" s="100">
        <f ca="1">_xll.DBRW($B$9,$C$16,$C$17,U$23,U$22,$C$18,$C$19,$B73,V$24)</f>
        <v>0</v>
      </c>
      <c r="W73" s="100">
        <f ca="1">_xll.DBRW($B$9,$C$16,$C$17,U$23,U$22,$C$18,$C$19,$B73,W$24)</f>
        <v>0</v>
      </c>
      <c r="X73" s="100">
        <f ca="1">_xll.DBRW($B$9,$C$16,$C$17,X$23,U$22,$C$18,$C$19,$B73,X$24)</f>
        <v>0</v>
      </c>
      <c r="Y73" s="100">
        <f ca="1">_xll.DBRW($B$9,$C$16,$C$17,X$23,U$22,$C$18,$C$19,$B73,Y$24)</f>
        <v>0</v>
      </c>
      <c r="Z73" s="100">
        <f ca="1">_xll.DBRW($B$9,$C$16,$C$17,X$23,U$22,$C$18,$C$19,$B73,Z$24)</f>
        <v>0</v>
      </c>
      <c r="AA73" s="100">
        <f t="shared" ca="1" si="6"/>
        <v>0</v>
      </c>
      <c r="AB73" s="100">
        <f t="shared" ca="1" si="7"/>
        <v>0</v>
      </c>
      <c r="AC73" s="100">
        <f t="shared" ca="1" si="8"/>
        <v>0</v>
      </c>
      <c r="AD73" s="100">
        <f ca="1">_xll.DBRW($B$9,$C$16,$C$17,AD$23,AD$22,$C$18,$C$19,$B73,AD$24)</f>
        <v>0</v>
      </c>
      <c r="AE73" s="100">
        <f ca="1">_xll.DBRW($B$9,$C$16,$C$17,AD$23,AD$22,$C$18,$C$19,$B73,AE$24)</f>
        <v>0</v>
      </c>
      <c r="AF73" s="100">
        <f ca="1">_xll.DBRW($B$9,$C$16,$C$17,AD$23,AD$22,$C$18,$C$19,$B73,AF$24)</f>
        <v>0</v>
      </c>
      <c r="AG73" s="100">
        <f ca="1">_xll.DBRW($B$9,$C$16,$C$17,AG$23,AD$22,$C$18,$C$19,$B73,AG$24)</f>
        <v>0</v>
      </c>
      <c r="AH73" s="100">
        <f ca="1">_xll.DBRW($B$9,$C$16,$C$17,AG$23,AD$22,$C$18,$C$19,$B73,AH$24)</f>
        <v>0</v>
      </c>
      <c r="AI73" s="100">
        <f ca="1">_xll.DBRW($B$9,$C$16,$C$17,AG$23,AD$22,$C$18,$C$19,$B73,AI$24)</f>
        <v>0</v>
      </c>
      <c r="AJ73" s="100">
        <f t="shared" ca="1" si="9"/>
        <v>0</v>
      </c>
      <c r="AK73" s="100">
        <f t="shared" ca="1" si="10"/>
        <v>0</v>
      </c>
      <c r="AL73" s="100">
        <f t="shared" ca="1" si="11"/>
        <v>0</v>
      </c>
    </row>
    <row r="74" spans="1:38" x14ac:dyDescent="0.25">
      <c r="A74">
        <f ca="1">IF(_xll.TM1RPTELISCONSOLIDATED($B$25,$B74),IF(_xll.TM1RPTELLEV($B$25,$B74)&lt;=3,_xll.TM1RPTELLEV($B$25,$B74),"D"),"N")</f>
        <v>3</v>
      </c>
      <c r="B74" s="136" t="s">
        <v>87</v>
      </c>
      <c r="C74" s="100">
        <f ca="1">_xll.DBRW($B$9,$C$16,$C$17,C$23,C$22,$C$18,$C$19,$B74,C$24)</f>
        <v>0</v>
      </c>
      <c r="D74" s="100">
        <f ca="1">_xll.DBRW($B$9,$C$16,$C$17,C$23,C$22,$C$18,$C$19,$B74,D$24)</f>
        <v>0</v>
      </c>
      <c r="E74" s="100">
        <f ca="1">_xll.DBRW($B$9,$C$16,$C$17,C$23,C$22,$C$18,$C$19,$B74,E$24)</f>
        <v>0</v>
      </c>
      <c r="F74" s="100">
        <f ca="1">_xll.DBRW($B$9,$C$16,$C$17,F$23,C$22,$C$18,$C$19,$B74,F$24)</f>
        <v>0</v>
      </c>
      <c r="G74" s="100">
        <f ca="1">_xll.DBRW($B$9,$C$16,$C$17,F$23,C$22,$C$18,$C$19,$B74,G$24)</f>
        <v>0</v>
      </c>
      <c r="H74" s="100">
        <f ca="1">_xll.DBRW($B$9,$C$16,$C$17,F$23,C$22,$C$18,$C$19,$B74,H$24)</f>
        <v>0</v>
      </c>
      <c r="I74" s="100">
        <f t="shared" ca="1" si="0"/>
        <v>0</v>
      </c>
      <c r="J74" s="100">
        <f t="shared" ca="1" si="1"/>
        <v>0</v>
      </c>
      <c r="K74" s="100">
        <f t="shared" ca="1" si="2"/>
        <v>0</v>
      </c>
      <c r="L74" s="100">
        <f ca="1">_xll.DBRW($B$9,$C$16,$C$17,L$23,L$22,$C$18,$C$19,$B74,L$24)</f>
        <v>0</v>
      </c>
      <c r="M74" s="100">
        <f ca="1">_xll.DBRW($B$9,$C$16,$C$17,L$23,L$22,$C$18,$C$19,$B74,M$24)</f>
        <v>0</v>
      </c>
      <c r="N74" s="100">
        <f ca="1">_xll.DBRW($B$9,$C$16,$C$17,L$23,L$22,$C$18,$C$19,$B74,N$24)</f>
        <v>0</v>
      </c>
      <c r="O74" s="100">
        <f ca="1">_xll.DBRW($B$9,$C$16,$C$17,O$23,L$22,$C$18,$C$19,$B74,O$24)</f>
        <v>0</v>
      </c>
      <c r="P74" s="100">
        <f ca="1">_xll.DBRW($B$9,$C$16,$C$17,O$23,L$22,$C$18,$C$19,$B74,P$24)</f>
        <v>0</v>
      </c>
      <c r="Q74" s="100">
        <f ca="1">_xll.DBRW($B$9,$C$16,$C$17,O$23,L$22,$C$18,$C$19,$B74,Q$24)</f>
        <v>0</v>
      </c>
      <c r="R74" s="100">
        <f t="shared" ca="1" si="3"/>
        <v>0</v>
      </c>
      <c r="S74" s="100">
        <f t="shared" ca="1" si="4"/>
        <v>0</v>
      </c>
      <c r="T74" s="100">
        <f t="shared" ca="1" si="5"/>
        <v>0</v>
      </c>
      <c r="U74" s="100">
        <f ca="1">_xll.DBRW($B$9,$C$16,$C$17,U$23,U$22,$C$18,$C$19,$B74,U$24)</f>
        <v>0</v>
      </c>
      <c r="V74" s="100">
        <f ca="1">_xll.DBRW($B$9,$C$16,$C$17,U$23,U$22,$C$18,$C$19,$B74,V$24)</f>
        <v>0</v>
      </c>
      <c r="W74" s="100">
        <f ca="1">_xll.DBRW($B$9,$C$16,$C$17,U$23,U$22,$C$18,$C$19,$B74,W$24)</f>
        <v>0</v>
      </c>
      <c r="X74" s="100">
        <f ca="1">_xll.DBRW($B$9,$C$16,$C$17,X$23,U$22,$C$18,$C$19,$B74,X$24)</f>
        <v>0</v>
      </c>
      <c r="Y74" s="100">
        <f ca="1">_xll.DBRW($B$9,$C$16,$C$17,X$23,U$22,$C$18,$C$19,$B74,Y$24)</f>
        <v>0</v>
      </c>
      <c r="Z74" s="100">
        <f ca="1">_xll.DBRW($B$9,$C$16,$C$17,X$23,U$22,$C$18,$C$19,$B74,Z$24)</f>
        <v>0</v>
      </c>
      <c r="AA74" s="100">
        <f t="shared" ca="1" si="6"/>
        <v>0</v>
      </c>
      <c r="AB74" s="100">
        <f t="shared" ca="1" si="7"/>
        <v>0</v>
      </c>
      <c r="AC74" s="100">
        <f t="shared" ca="1" si="8"/>
        <v>0</v>
      </c>
      <c r="AD74" s="100">
        <f ca="1">_xll.DBRW($B$9,$C$16,$C$17,AD$23,AD$22,$C$18,$C$19,$B74,AD$24)</f>
        <v>0</v>
      </c>
      <c r="AE74" s="100">
        <f ca="1">_xll.DBRW($B$9,$C$16,$C$17,AD$23,AD$22,$C$18,$C$19,$B74,AE$24)</f>
        <v>0</v>
      </c>
      <c r="AF74" s="100">
        <f ca="1">_xll.DBRW($B$9,$C$16,$C$17,AD$23,AD$22,$C$18,$C$19,$B74,AF$24)</f>
        <v>0</v>
      </c>
      <c r="AG74" s="100">
        <f ca="1">_xll.DBRW($B$9,$C$16,$C$17,AG$23,AD$22,$C$18,$C$19,$B74,AG$24)</f>
        <v>0</v>
      </c>
      <c r="AH74" s="100">
        <f ca="1">_xll.DBRW($B$9,$C$16,$C$17,AG$23,AD$22,$C$18,$C$19,$B74,AH$24)</f>
        <v>0</v>
      </c>
      <c r="AI74" s="100">
        <f ca="1">_xll.DBRW($B$9,$C$16,$C$17,AG$23,AD$22,$C$18,$C$19,$B74,AI$24)</f>
        <v>0</v>
      </c>
      <c r="AJ74" s="100">
        <f t="shared" ca="1" si="9"/>
        <v>0</v>
      </c>
      <c r="AK74" s="100">
        <f t="shared" ca="1" si="10"/>
        <v>0</v>
      </c>
      <c r="AL74" s="100">
        <f t="shared" ca="1" si="11"/>
        <v>0</v>
      </c>
    </row>
    <row r="75" spans="1:38" x14ac:dyDescent="0.25">
      <c r="A75">
        <f ca="1">IF(_xll.TM1RPTELISCONSOLIDATED($B$25,$B75),IF(_xll.TM1RPTELLEV($B$25,$B75)&lt;=3,_xll.TM1RPTELLEV($B$25,$B75),"D"),"N")</f>
        <v>3</v>
      </c>
      <c r="B75" s="136" t="s">
        <v>88</v>
      </c>
      <c r="C75" s="100">
        <f ca="1">_xll.DBRW($B$9,$C$16,$C$17,C$23,C$22,$C$18,$C$19,$B75,C$24)</f>
        <v>0</v>
      </c>
      <c r="D75" s="100">
        <f ca="1">_xll.DBRW($B$9,$C$16,$C$17,C$23,C$22,$C$18,$C$19,$B75,D$24)</f>
        <v>0</v>
      </c>
      <c r="E75" s="100">
        <f ca="1">_xll.DBRW($B$9,$C$16,$C$17,C$23,C$22,$C$18,$C$19,$B75,E$24)</f>
        <v>0</v>
      </c>
      <c r="F75" s="100">
        <f ca="1">_xll.DBRW($B$9,$C$16,$C$17,F$23,C$22,$C$18,$C$19,$B75,F$24)</f>
        <v>0</v>
      </c>
      <c r="G75" s="100">
        <f ca="1">_xll.DBRW($B$9,$C$16,$C$17,F$23,C$22,$C$18,$C$19,$B75,G$24)</f>
        <v>0</v>
      </c>
      <c r="H75" s="100">
        <f ca="1">_xll.DBRW($B$9,$C$16,$C$17,F$23,C$22,$C$18,$C$19,$B75,H$24)</f>
        <v>0</v>
      </c>
      <c r="I75" s="100">
        <f t="shared" ca="1" si="0"/>
        <v>0</v>
      </c>
      <c r="J75" s="100">
        <f t="shared" ca="1" si="1"/>
        <v>0</v>
      </c>
      <c r="K75" s="100">
        <f t="shared" ca="1" si="2"/>
        <v>0</v>
      </c>
      <c r="L75" s="100">
        <f ca="1">_xll.DBRW($B$9,$C$16,$C$17,L$23,L$22,$C$18,$C$19,$B75,L$24)</f>
        <v>0</v>
      </c>
      <c r="M75" s="100">
        <f ca="1">_xll.DBRW($B$9,$C$16,$C$17,L$23,L$22,$C$18,$C$19,$B75,M$24)</f>
        <v>0</v>
      </c>
      <c r="N75" s="100">
        <f ca="1">_xll.DBRW($B$9,$C$16,$C$17,L$23,L$22,$C$18,$C$19,$B75,N$24)</f>
        <v>0</v>
      </c>
      <c r="O75" s="100">
        <f ca="1">_xll.DBRW($B$9,$C$16,$C$17,O$23,L$22,$C$18,$C$19,$B75,O$24)</f>
        <v>0</v>
      </c>
      <c r="P75" s="100">
        <f ca="1">_xll.DBRW($B$9,$C$16,$C$17,O$23,L$22,$C$18,$C$19,$B75,P$24)</f>
        <v>0</v>
      </c>
      <c r="Q75" s="100">
        <f ca="1">_xll.DBRW($B$9,$C$16,$C$17,O$23,L$22,$C$18,$C$19,$B75,Q$24)</f>
        <v>0</v>
      </c>
      <c r="R75" s="100">
        <f t="shared" ca="1" si="3"/>
        <v>0</v>
      </c>
      <c r="S75" s="100">
        <f t="shared" ca="1" si="4"/>
        <v>0</v>
      </c>
      <c r="T75" s="100">
        <f t="shared" ca="1" si="5"/>
        <v>0</v>
      </c>
      <c r="U75" s="100">
        <f ca="1">_xll.DBRW($B$9,$C$16,$C$17,U$23,U$22,$C$18,$C$19,$B75,U$24)</f>
        <v>0</v>
      </c>
      <c r="V75" s="100">
        <f ca="1">_xll.DBRW($B$9,$C$16,$C$17,U$23,U$22,$C$18,$C$19,$B75,V$24)</f>
        <v>0</v>
      </c>
      <c r="W75" s="100">
        <f ca="1">_xll.DBRW($B$9,$C$16,$C$17,U$23,U$22,$C$18,$C$19,$B75,W$24)</f>
        <v>0</v>
      </c>
      <c r="X75" s="100">
        <f ca="1">_xll.DBRW($B$9,$C$16,$C$17,X$23,U$22,$C$18,$C$19,$B75,X$24)</f>
        <v>0</v>
      </c>
      <c r="Y75" s="100">
        <f ca="1">_xll.DBRW($B$9,$C$16,$C$17,X$23,U$22,$C$18,$C$19,$B75,Y$24)</f>
        <v>0</v>
      </c>
      <c r="Z75" s="100">
        <f ca="1">_xll.DBRW($B$9,$C$16,$C$17,X$23,U$22,$C$18,$C$19,$B75,Z$24)</f>
        <v>0</v>
      </c>
      <c r="AA75" s="100">
        <f t="shared" ca="1" si="6"/>
        <v>0</v>
      </c>
      <c r="AB75" s="100">
        <f t="shared" ca="1" si="7"/>
        <v>0</v>
      </c>
      <c r="AC75" s="100">
        <f t="shared" ca="1" si="8"/>
        <v>0</v>
      </c>
      <c r="AD75" s="100">
        <f ca="1">_xll.DBRW($B$9,$C$16,$C$17,AD$23,AD$22,$C$18,$C$19,$B75,AD$24)</f>
        <v>0</v>
      </c>
      <c r="AE75" s="100">
        <f ca="1">_xll.DBRW($B$9,$C$16,$C$17,AD$23,AD$22,$C$18,$C$19,$B75,AE$24)</f>
        <v>0</v>
      </c>
      <c r="AF75" s="100">
        <f ca="1">_xll.DBRW($B$9,$C$16,$C$17,AD$23,AD$22,$C$18,$C$19,$B75,AF$24)</f>
        <v>0</v>
      </c>
      <c r="AG75" s="100">
        <f ca="1">_xll.DBRW($B$9,$C$16,$C$17,AG$23,AD$22,$C$18,$C$19,$B75,AG$24)</f>
        <v>0</v>
      </c>
      <c r="AH75" s="100">
        <f ca="1">_xll.DBRW($B$9,$C$16,$C$17,AG$23,AD$22,$C$18,$C$19,$B75,AH$24)</f>
        <v>0</v>
      </c>
      <c r="AI75" s="100">
        <f ca="1">_xll.DBRW($B$9,$C$16,$C$17,AG$23,AD$22,$C$18,$C$19,$B75,AI$24)</f>
        <v>0</v>
      </c>
      <c r="AJ75" s="100">
        <f t="shared" ca="1" si="9"/>
        <v>0</v>
      </c>
      <c r="AK75" s="100">
        <f t="shared" ca="1" si="10"/>
        <v>0</v>
      </c>
      <c r="AL75" s="100">
        <f t="shared" ca="1" si="11"/>
        <v>0</v>
      </c>
    </row>
    <row r="76" spans="1:38" x14ac:dyDescent="0.25">
      <c r="A76">
        <f ca="1">IF(_xll.TM1RPTELISCONSOLIDATED($B$25,$B76),IF(_xll.TM1RPTELLEV($B$25,$B76)&lt;=3,_xll.TM1RPTELLEV($B$25,$B76),"D"),"N")</f>
        <v>3</v>
      </c>
      <c r="B76" s="136" t="s">
        <v>89</v>
      </c>
      <c r="C76" s="100">
        <f ca="1">_xll.DBRW($B$9,$C$16,$C$17,C$23,C$22,$C$18,$C$19,$B76,C$24)</f>
        <v>0</v>
      </c>
      <c r="D76" s="100">
        <f ca="1">_xll.DBRW($B$9,$C$16,$C$17,C$23,C$22,$C$18,$C$19,$B76,D$24)</f>
        <v>0</v>
      </c>
      <c r="E76" s="100">
        <f ca="1">_xll.DBRW($B$9,$C$16,$C$17,C$23,C$22,$C$18,$C$19,$B76,E$24)</f>
        <v>0</v>
      </c>
      <c r="F76" s="100">
        <f ca="1">_xll.DBRW($B$9,$C$16,$C$17,F$23,C$22,$C$18,$C$19,$B76,F$24)</f>
        <v>0</v>
      </c>
      <c r="G76" s="100">
        <f ca="1">_xll.DBRW($B$9,$C$16,$C$17,F$23,C$22,$C$18,$C$19,$B76,G$24)</f>
        <v>0</v>
      </c>
      <c r="H76" s="100">
        <f ca="1">_xll.DBRW($B$9,$C$16,$C$17,F$23,C$22,$C$18,$C$19,$B76,H$24)</f>
        <v>0</v>
      </c>
      <c r="I76" s="100">
        <f t="shared" ca="1" si="0"/>
        <v>0</v>
      </c>
      <c r="J76" s="100">
        <f t="shared" ca="1" si="1"/>
        <v>0</v>
      </c>
      <c r="K76" s="100">
        <f t="shared" ca="1" si="2"/>
        <v>0</v>
      </c>
      <c r="L76" s="100">
        <f ca="1">_xll.DBRW($B$9,$C$16,$C$17,L$23,L$22,$C$18,$C$19,$B76,L$24)</f>
        <v>0</v>
      </c>
      <c r="M76" s="100">
        <f ca="1">_xll.DBRW($B$9,$C$16,$C$17,L$23,L$22,$C$18,$C$19,$B76,M$24)</f>
        <v>0</v>
      </c>
      <c r="N76" s="100">
        <f ca="1">_xll.DBRW($B$9,$C$16,$C$17,L$23,L$22,$C$18,$C$19,$B76,N$24)</f>
        <v>0</v>
      </c>
      <c r="O76" s="100">
        <f ca="1">_xll.DBRW($B$9,$C$16,$C$17,O$23,L$22,$C$18,$C$19,$B76,O$24)</f>
        <v>0</v>
      </c>
      <c r="P76" s="100">
        <f ca="1">_xll.DBRW($B$9,$C$16,$C$17,O$23,L$22,$C$18,$C$19,$B76,P$24)</f>
        <v>0</v>
      </c>
      <c r="Q76" s="100">
        <f ca="1">_xll.DBRW($B$9,$C$16,$C$17,O$23,L$22,$C$18,$C$19,$B76,Q$24)</f>
        <v>0</v>
      </c>
      <c r="R76" s="100">
        <f t="shared" ca="1" si="3"/>
        <v>0</v>
      </c>
      <c r="S76" s="100">
        <f t="shared" ca="1" si="4"/>
        <v>0</v>
      </c>
      <c r="T76" s="100">
        <f t="shared" ca="1" si="5"/>
        <v>0</v>
      </c>
      <c r="U76" s="100">
        <f ca="1">_xll.DBRW($B$9,$C$16,$C$17,U$23,U$22,$C$18,$C$19,$B76,U$24)</f>
        <v>0</v>
      </c>
      <c r="V76" s="100">
        <f ca="1">_xll.DBRW($B$9,$C$16,$C$17,U$23,U$22,$C$18,$C$19,$B76,V$24)</f>
        <v>0</v>
      </c>
      <c r="W76" s="100">
        <f ca="1">_xll.DBRW($B$9,$C$16,$C$17,U$23,U$22,$C$18,$C$19,$B76,W$24)</f>
        <v>0</v>
      </c>
      <c r="X76" s="100">
        <f ca="1">_xll.DBRW($B$9,$C$16,$C$17,X$23,U$22,$C$18,$C$19,$B76,X$24)</f>
        <v>0</v>
      </c>
      <c r="Y76" s="100">
        <f ca="1">_xll.DBRW($B$9,$C$16,$C$17,X$23,U$22,$C$18,$C$19,$B76,Y$24)</f>
        <v>0</v>
      </c>
      <c r="Z76" s="100">
        <f ca="1">_xll.DBRW($B$9,$C$16,$C$17,X$23,U$22,$C$18,$C$19,$B76,Z$24)</f>
        <v>0</v>
      </c>
      <c r="AA76" s="100">
        <f t="shared" ca="1" si="6"/>
        <v>0</v>
      </c>
      <c r="AB76" s="100">
        <f t="shared" ca="1" si="7"/>
        <v>0</v>
      </c>
      <c r="AC76" s="100">
        <f t="shared" ca="1" si="8"/>
        <v>0</v>
      </c>
      <c r="AD76" s="100">
        <f ca="1">_xll.DBRW($B$9,$C$16,$C$17,AD$23,AD$22,$C$18,$C$19,$B76,AD$24)</f>
        <v>0</v>
      </c>
      <c r="AE76" s="100">
        <f ca="1">_xll.DBRW($B$9,$C$16,$C$17,AD$23,AD$22,$C$18,$C$19,$B76,AE$24)</f>
        <v>0</v>
      </c>
      <c r="AF76" s="100">
        <f ca="1">_xll.DBRW($B$9,$C$16,$C$17,AD$23,AD$22,$C$18,$C$19,$B76,AF$24)</f>
        <v>0</v>
      </c>
      <c r="AG76" s="100">
        <f ca="1">_xll.DBRW($B$9,$C$16,$C$17,AG$23,AD$22,$C$18,$C$19,$B76,AG$24)</f>
        <v>0</v>
      </c>
      <c r="AH76" s="100">
        <f ca="1">_xll.DBRW($B$9,$C$16,$C$17,AG$23,AD$22,$C$18,$C$19,$B76,AH$24)</f>
        <v>0</v>
      </c>
      <c r="AI76" s="100">
        <f ca="1">_xll.DBRW($B$9,$C$16,$C$17,AG$23,AD$22,$C$18,$C$19,$B76,AI$24)</f>
        <v>0</v>
      </c>
      <c r="AJ76" s="100">
        <f t="shared" ca="1" si="9"/>
        <v>0</v>
      </c>
      <c r="AK76" s="100">
        <f t="shared" ca="1" si="10"/>
        <v>0</v>
      </c>
      <c r="AL76" s="100">
        <f t="shared" ca="1" si="11"/>
        <v>0</v>
      </c>
    </row>
    <row r="77" spans="1:38" x14ac:dyDescent="0.25">
      <c r="A77">
        <f ca="1">IF(_xll.TM1RPTELISCONSOLIDATED($B$25,$B77),IF(_xll.TM1RPTELLEV($B$25,$B77)&lt;=3,_xll.TM1RPTELLEV($B$25,$B77),"D"),"N")</f>
        <v>3</v>
      </c>
      <c r="B77" s="136" t="s">
        <v>90</v>
      </c>
      <c r="C77" s="100">
        <f ca="1">_xll.DBRW($B$9,$C$16,$C$17,C$23,C$22,$C$18,$C$19,$B77,C$24)</f>
        <v>0</v>
      </c>
      <c r="D77" s="100">
        <f ca="1">_xll.DBRW($B$9,$C$16,$C$17,C$23,C$22,$C$18,$C$19,$B77,D$24)</f>
        <v>0</v>
      </c>
      <c r="E77" s="100">
        <f ca="1">_xll.DBRW($B$9,$C$16,$C$17,C$23,C$22,$C$18,$C$19,$B77,E$24)</f>
        <v>0</v>
      </c>
      <c r="F77" s="100">
        <f ca="1">_xll.DBRW($B$9,$C$16,$C$17,F$23,C$22,$C$18,$C$19,$B77,F$24)</f>
        <v>0</v>
      </c>
      <c r="G77" s="100">
        <f ca="1">_xll.DBRW($B$9,$C$16,$C$17,F$23,C$22,$C$18,$C$19,$B77,G$24)</f>
        <v>0</v>
      </c>
      <c r="H77" s="100">
        <f ca="1">_xll.DBRW($B$9,$C$16,$C$17,F$23,C$22,$C$18,$C$19,$B77,H$24)</f>
        <v>0</v>
      </c>
      <c r="I77" s="100">
        <f t="shared" ca="1" si="0"/>
        <v>0</v>
      </c>
      <c r="J77" s="100">
        <f t="shared" ca="1" si="1"/>
        <v>0</v>
      </c>
      <c r="K77" s="100">
        <f t="shared" ca="1" si="2"/>
        <v>0</v>
      </c>
      <c r="L77" s="100">
        <f ca="1">_xll.DBRW($B$9,$C$16,$C$17,L$23,L$22,$C$18,$C$19,$B77,L$24)</f>
        <v>0</v>
      </c>
      <c r="M77" s="100">
        <f ca="1">_xll.DBRW($B$9,$C$16,$C$17,L$23,L$22,$C$18,$C$19,$B77,M$24)</f>
        <v>0</v>
      </c>
      <c r="N77" s="100">
        <f ca="1">_xll.DBRW($B$9,$C$16,$C$17,L$23,L$22,$C$18,$C$19,$B77,N$24)</f>
        <v>0</v>
      </c>
      <c r="O77" s="100">
        <f ca="1">_xll.DBRW($B$9,$C$16,$C$17,O$23,L$22,$C$18,$C$19,$B77,O$24)</f>
        <v>0</v>
      </c>
      <c r="P77" s="100">
        <f ca="1">_xll.DBRW($B$9,$C$16,$C$17,O$23,L$22,$C$18,$C$19,$B77,P$24)</f>
        <v>0</v>
      </c>
      <c r="Q77" s="100">
        <f ca="1">_xll.DBRW($B$9,$C$16,$C$17,O$23,L$22,$C$18,$C$19,$B77,Q$24)</f>
        <v>0</v>
      </c>
      <c r="R77" s="100">
        <f t="shared" ca="1" si="3"/>
        <v>0</v>
      </c>
      <c r="S77" s="100">
        <f t="shared" ca="1" si="4"/>
        <v>0</v>
      </c>
      <c r="T77" s="100">
        <f t="shared" ca="1" si="5"/>
        <v>0</v>
      </c>
      <c r="U77" s="100">
        <f ca="1">_xll.DBRW($B$9,$C$16,$C$17,U$23,U$22,$C$18,$C$19,$B77,U$24)</f>
        <v>0</v>
      </c>
      <c r="V77" s="100">
        <f ca="1">_xll.DBRW($B$9,$C$16,$C$17,U$23,U$22,$C$18,$C$19,$B77,V$24)</f>
        <v>0</v>
      </c>
      <c r="W77" s="100">
        <f ca="1">_xll.DBRW($B$9,$C$16,$C$17,U$23,U$22,$C$18,$C$19,$B77,W$24)</f>
        <v>0</v>
      </c>
      <c r="X77" s="100">
        <f ca="1">_xll.DBRW($B$9,$C$16,$C$17,X$23,U$22,$C$18,$C$19,$B77,X$24)</f>
        <v>0</v>
      </c>
      <c r="Y77" s="100">
        <f ca="1">_xll.DBRW($B$9,$C$16,$C$17,X$23,U$22,$C$18,$C$19,$B77,Y$24)</f>
        <v>0</v>
      </c>
      <c r="Z77" s="100">
        <f ca="1">_xll.DBRW($B$9,$C$16,$C$17,X$23,U$22,$C$18,$C$19,$B77,Z$24)</f>
        <v>0</v>
      </c>
      <c r="AA77" s="100">
        <f t="shared" ca="1" si="6"/>
        <v>0</v>
      </c>
      <c r="AB77" s="100">
        <f t="shared" ca="1" si="7"/>
        <v>0</v>
      </c>
      <c r="AC77" s="100">
        <f t="shared" ca="1" si="8"/>
        <v>0</v>
      </c>
      <c r="AD77" s="100">
        <f ca="1">_xll.DBRW($B$9,$C$16,$C$17,AD$23,AD$22,$C$18,$C$19,$B77,AD$24)</f>
        <v>0</v>
      </c>
      <c r="AE77" s="100">
        <f ca="1">_xll.DBRW($B$9,$C$16,$C$17,AD$23,AD$22,$C$18,$C$19,$B77,AE$24)</f>
        <v>0</v>
      </c>
      <c r="AF77" s="100">
        <f ca="1">_xll.DBRW($B$9,$C$16,$C$17,AD$23,AD$22,$C$18,$C$19,$B77,AF$24)</f>
        <v>0</v>
      </c>
      <c r="AG77" s="100">
        <f ca="1">_xll.DBRW($B$9,$C$16,$C$17,AG$23,AD$22,$C$18,$C$19,$B77,AG$24)</f>
        <v>0</v>
      </c>
      <c r="AH77" s="100">
        <f ca="1">_xll.DBRW($B$9,$C$16,$C$17,AG$23,AD$22,$C$18,$C$19,$B77,AH$24)</f>
        <v>0</v>
      </c>
      <c r="AI77" s="100">
        <f ca="1">_xll.DBRW($B$9,$C$16,$C$17,AG$23,AD$22,$C$18,$C$19,$B77,AI$24)</f>
        <v>0</v>
      </c>
      <c r="AJ77" s="100">
        <f t="shared" ca="1" si="9"/>
        <v>0</v>
      </c>
      <c r="AK77" s="100">
        <f t="shared" ca="1" si="10"/>
        <v>0</v>
      </c>
      <c r="AL77" s="100">
        <f t="shared" ca="1" si="11"/>
        <v>0</v>
      </c>
    </row>
    <row r="78" spans="1:38" x14ac:dyDescent="0.25">
      <c r="A78">
        <f ca="1">IF(_xll.TM1RPTELISCONSOLIDATED($B$25,$B78),IF(_xll.TM1RPTELLEV($B$25,$B78)&lt;=3,_xll.TM1RPTELLEV($B$25,$B78),"D"),"N")</f>
        <v>3</v>
      </c>
      <c r="B78" s="136" t="s">
        <v>91</v>
      </c>
      <c r="C78" s="100">
        <f ca="1">_xll.DBRW($B$9,$C$16,$C$17,C$23,C$22,$C$18,$C$19,$B78,C$24)</f>
        <v>0</v>
      </c>
      <c r="D78" s="100">
        <f ca="1">_xll.DBRW($B$9,$C$16,$C$17,C$23,C$22,$C$18,$C$19,$B78,D$24)</f>
        <v>0</v>
      </c>
      <c r="E78" s="100">
        <f ca="1">_xll.DBRW($B$9,$C$16,$C$17,C$23,C$22,$C$18,$C$19,$B78,E$24)</f>
        <v>0</v>
      </c>
      <c r="F78" s="100">
        <f ca="1">_xll.DBRW($B$9,$C$16,$C$17,F$23,C$22,$C$18,$C$19,$B78,F$24)</f>
        <v>0</v>
      </c>
      <c r="G78" s="100">
        <f ca="1">_xll.DBRW($B$9,$C$16,$C$17,F$23,C$22,$C$18,$C$19,$B78,G$24)</f>
        <v>0</v>
      </c>
      <c r="H78" s="100">
        <f ca="1">_xll.DBRW($B$9,$C$16,$C$17,F$23,C$22,$C$18,$C$19,$B78,H$24)</f>
        <v>0</v>
      </c>
      <c r="I78" s="100">
        <f t="shared" ca="1" si="0"/>
        <v>0</v>
      </c>
      <c r="J78" s="100">
        <f t="shared" ca="1" si="1"/>
        <v>0</v>
      </c>
      <c r="K78" s="100">
        <f t="shared" ca="1" si="2"/>
        <v>0</v>
      </c>
      <c r="L78" s="100">
        <f ca="1">_xll.DBRW($B$9,$C$16,$C$17,L$23,L$22,$C$18,$C$19,$B78,L$24)</f>
        <v>0</v>
      </c>
      <c r="M78" s="100">
        <f ca="1">_xll.DBRW($B$9,$C$16,$C$17,L$23,L$22,$C$18,$C$19,$B78,M$24)</f>
        <v>0</v>
      </c>
      <c r="N78" s="100">
        <f ca="1">_xll.DBRW($B$9,$C$16,$C$17,L$23,L$22,$C$18,$C$19,$B78,N$24)</f>
        <v>0</v>
      </c>
      <c r="O78" s="100">
        <f ca="1">_xll.DBRW($B$9,$C$16,$C$17,O$23,L$22,$C$18,$C$19,$B78,O$24)</f>
        <v>0</v>
      </c>
      <c r="P78" s="100">
        <f ca="1">_xll.DBRW($B$9,$C$16,$C$17,O$23,L$22,$C$18,$C$19,$B78,P$24)</f>
        <v>0</v>
      </c>
      <c r="Q78" s="100">
        <f ca="1">_xll.DBRW($B$9,$C$16,$C$17,O$23,L$22,$C$18,$C$19,$B78,Q$24)</f>
        <v>0</v>
      </c>
      <c r="R78" s="100">
        <f t="shared" ca="1" si="3"/>
        <v>0</v>
      </c>
      <c r="S78" s="100">
        <f t="shared" ca="1" si="4"/>
        <v>0</v>
      </c>
      <c r="T78" s="100">
        <f t="shared" ca="1" si="5"/>
        <v>0</v>
      </c>
      <c r="U78" s="100">
        <f ca="1">_xll.DBRW($B$9,$C$16,$C$17,U$23,U$22,$C$18,$C$19,$B78,U$24)</f>
        <v>0</v>
      </c>
      <c r="V78" s="100">
        <f ca="1">_xll.DBRW($B$9,$C$16,$C$17,U$23,U$22,$C$18,$C$19,$B78,V$24)</f>
        <v>0</v>
      </c>
      <c r="W78" s="100">
        <f ca="1">_xll.DBRW($B$9,$C$16,$C$17,U$23,U$22,$C$18,$C$19,$B78,W$24)</f>
        <v>0</v>
      </c>
      <c r="X78" s="100">
        <f ca="1">_xll.DBRW($B$9,$C$16,$C$17,X$23,U$22,$C$18,$C$19,$B78,X$24)</f>
        <v>0</v>
      </c>
      <c r="Y78" s="100">
        <f ca="1">_xll.DBRW($B$9,$C$16,$C$17,X$23,U$22,$C$18,$C$19,$B78,Y$24)</f>
        <v>0</v>
      </c>
      <c r="Z78" s="100">
        <f ca="1">_xll.DBRW($B$9,$C$16,$C$17,X$23,U$22,$C$18,$C$19,$B78,Z$24)</f>
        <v>0</v>
      </c>
      <c r="AA78" s="100">
        <f t="shared" ca="1" si="6"/>
        <v>0</v>
      </c>
      <c r="AB78" s="100">
        <f t="shared" ca="1" si="7"/>
        <v>0</v>
      </c>
      <c r="AC78" s="100">
        <f t="shared" ca="1" si="8"/>
        <v>0</v>
      </c>
      <c r="AD78" s="100">
        <f ca="1">_xll.DBRW($B$9,$C$16,$C$17,AD$23,AD$22,$C$18,$C$19,$B78,AD$24)</f>
        <v>0</v>
      </c>
      <c r="AE78" s="100">
        <f ca="1">_xll.DBRW($B$9,$C$16,$C$17,AD$23,AD$22,$C$18,$C$19,$B78,AE$24)</f>
        <v>0</v>
      </c>
      <c r="AF78" s="100">
        <f ca="1">_xll.DBRW($B$9,$C$16,$C$17,AD$23,AD$22,$C$18,$C$19,$B78,AF$24)</f>
        <v>0</v>
      </c>
      <c r="AG78" s="100">
        <f ca="1">_xll.DBRW($B$9,$C$16,$C$17,AG$23,AD$22,$C$18,$C$19,$B78,AG$24)</f>
        <v>0</v>
      </c>
      <c r="AH78" s="100">
        <f ca="1">_xll.DBRW($B$9,$C$16,$C$17,AG$23,AD$22,$C$18,$C$19,$B78,AH$24)</f>
        <v>0</v>
      </c>
      <c r="AI78" s="100">
        <f ca="1">_xll.DBRW($B$9,$C$16,$C$17,AG$23,AD$22,$C$18,$C$19,$B78,AI$24)</f>
        <v>0</v>
      </c>
      <c r="AJ78" s="100">
        <f t="shared" ca="1" si="9"/>
        <v>0</v>
      </c>
      <c r="AK78" s="100">
        <f t="shared" ca="1" si="10"/>
        <v>0</v>
      </c>
      <c r="AL78" s="100">
        <f t="shared" ca="1" si="11"/>
        <v>0</v>
      </c>
    </row>
    <row r="79" spans="1:38" x14ac:dyDescent="0.25">
      <c r="A79">
        <f ca="1">IF(_xll.TM1RPTELISCONSOLIDATED($B$25,$B79),IF(_xll.TM1RPTELLEV($B$25,$B79)&lt;=3,_xll.TM1RPTELLEV($B$25,$B79),"D"),"N")</f>
        <v>3</v>
      </c>
      <c r="B79" s="136" t="s">
        <v>92</v>
      </c>
      <c r="C79" s="100">
        <f ca="1">_xll.DBRW($B$9,$C$16,$C$17,C$23,C$22,$C$18,$C$19,$B79,C$24)</f>
        <v>0</v>
      </c>
      <c r="D79" s="100">
        <f ca="1">_xll.DBRW($B$9,$C$16,$C$17,C$23,C$22,$C$18,$C$19,$B79,D$24)</f>
        <v>0</v>
      </c>
      <c r="E79" s="100">
        <f ca="1">_xll.DBRW($B$9,$C$16,$C$17,C$23,C$22,$C$18,$C$19,$B79,E$24)</f>
        <v>0</v>
      </c>
      <c r="F79" s="100">
        <f ca="1">_xll.DBRW($B$9,$C$16,$C$17,F$23,C$22,$C$18,$C$19,$B79,F$24)</f>
        <v>0</v>
      </c>
      <c r="G79" s="100">
        <f ca="1">_xll.DBRW($B$9,$C$16,$C$17,F$23,C$22,$C$18,$C$19,$B79,G$24)</f>
        <v>0</v>
      </c>
      <c r="H79" s="100">
        <f ca="1">_xll.DBRW($B$9,$C$16,$C$17,F$23,C$22,$C$18,$C$19,$B79,H$24)</f>
        <v>0</v>
      </c>
      <c r="I79" s="100">
        <f t="shared" ca="1" si="0"/>
        <v>0</v>
      </c>
      <c r="J79" s="100">
        <f t="shared" ca="1" si="1"/>
        <v>0</v>
      </c>
      <c r="K79" s="100">
        <f t="shared" ca="1" si="2"/>
        <v>0</v>
      </c>
      <c r="L79" s="100">
        <f ca="1">_xll.DBRW($B$9,$C$16,$C$17,L$23,L$22,$C$18,$C$19,$B79,L$24)</f>
        <v>0</v>
      </c>
      <c r="M79" s="100">
        <f ca="1">_xll.DBRW($B$9,$C$16,$C$17,L$23,L$22,$C$18,$C$19,$B79,M$24)</f>
        <v>0</v>
      </c>
      <c r="N79" s="100">
        <f ca="1">_xll.DBRW($B$9,$C$16,$C$17,L$23,L$22,$C$18,$C$19,$B79,N$24)</f>
        <v>0</v>
      </c>
      <c r="O79" s="100">
        <f ca="1">_xll.DBRW($B$9,$C$16,$C$17,O$23,L$22,$C$18,$C$19,$B79,O$24)</f>
        <v>0</v>
      </c>
      <c r="P79" s="100">
        <f ca="1">_xll.DBRW($B$9,$C$16,$C$17,O$23,L$22,$C$18,$C$19,$B79,P$24)</f>
        <v>0</v>
      </c>
      <c r="Q79" s="100">
        <f ca="1">_xll.DBRW($B$9,$C$16,$C$17,O$23,L$22,$C$18,$C$19,$B79,Q$24)</f>
        <v>0</v>
      </c>
      <c r="R79" s="100">
        <f t="shared" ca="1" si="3"/>
        <v>0</v>
      </c>
      <c r="S79" s="100">
        <f t="shared" ca="1" si="4"/>
        <v>0</v>
      </c>
      <c r="T79" s="100">
        <f t="shared" ca="1" si="5"/>
        <v>0</v>
      </c>
      <c r="U79" s="100">
        <f ca="1">_xll.DBRW($B$9,$C$16,$C$17,U$23,U$22,$C$18,$C$19,$B79,U$24)</f>
        <v>0</v>
      </c>
      <c r="V79" s="100">
        <f ca="1">_xll.DBRW($B$9,$C$16,$C$17,U$23,U$22,$C$18,$C$19,$B79,V$24)</f>
        <v>0</v>
      </c>
      <c r="W79" s="100">
        <f ca="1">_xll.DBRW($B$9,$C$16,$C$17,U$23,U$22,$C$18,$C$19,$B79,W$24)</f>
        <v>0</v>
      </c>
      <c r="X79" s="100">
        <f ca="1">_xll.DBRW($B$9,$C$16,$C$17,X$23,U$22,$C$18,$C$19,$B79,X$24)</f>
        <v>0</v>
      </c>
      <c r="Y79" s="100">
        <f ca="1">_xll.DBRW($B$9,$C$16,$C$17,X$23,U$22,$C$18,$C$19,$B79,Y$24)</f>
        <v>0</v>
      </c>
      <c r="Z79" s="100">
        <f ca="1">_xll.DBRW($B$9,$C$16,$C$17,X$23,U$22,$C$18,$C$19,$B79,Z$24)</f>
        <v>0</v>
      </c>
      <c r="AA79" s="100">
        <f t="shared" ca="1" si="6"/>
        <v>0</v>
      </c>
      <c r="AB79" s="100">
        <f t="shared" ca="1" si="7"/>
        <v>0</v>
      </c>
      <c r="AC79" s="100">
        <f t="shared" ca="1" si="8"/>
        <v>0</v>
      </c>
      <c r="AD79" s="100">
        <f ca="1">_xll.DBRW($B$9,$C$16,$C$17,AD$23,AD$22,$C$18,$C$19,$B79,AD$24)</f>
        <v>0</v>
      </c>
      <c r="AE79" s="100">
        <f ca="1">_xll.DBRW($B$9,$C$16,$C$17,AD$23,AD$22,$C$18,$C$19,$B79,AE$24)</f>
        <v>0</v>
      </c>
      <c r="AF79" s="100">
        <f ca="1">_xll.DBRW($B$9,$C$16,$C$17,AD$23,AD$22,$C$18,$C$19,$B79,AF$24)</f>
        <v>0</v>
      </c>
      <c r="AG79" s="100">
        <f ca="1">_xll.DBRW($B$9,$C$16,$C$17,AG$23,AD$22,$C$18,$C$19,$B79,AG$24)</f>
        <v>0</v>
      </c>
      <c r="AH79" s="100">
        <f ca="1">_xll.DBRW($B$9,$C$16,$C$17,AG$23,AD$22,$C$18,$C$19,$B79,AH$24)</f>
        <v>0</v>
      </c>
      <c r="AI79" s="100">
        <f ca="1">_xll.DBRW($B$9,$C$16,$C$17,AG$23,AD$22,$C$18,$C$19,$B79,AI$24)</f>
        <v>0</v>
      </c>
      <c r="AJ79" s="100">
        <f t="shared" ca="1" si="9"/>
        <v>0</v>
      </c>
      <c r="AK79" s="100">
        <f t="shared" ca="1" si="10"/>
        <v>0</v>
      </c>
      <c r="AL79" s="100">
        <f t="shared" ca="1" si="11"/>
        <v>0</v>
      </c>
    </row>
    <row r="80" spans="1:38" x14ac:dyDescent="0.25">
      <c r="A80">
        <f ca="1">IF(_xll.TM1RPTELISCONSOLIDATED($B$25,$B80),IF(_xll.TM1RPTELLEV($B$25,$B80)&lt;=3,_xll.TM1RPTELLEV($B$25,$B80),"D"),"N")</f>
        <v>3</v>
      </c>
      <c r="B80" s="136" t="s">
        <v>93</v>
      </c>
      <c r="C80" s="100">
        <f ca="1">_xll.DBRW($B$9,$C$16,$C$17,C$23,C$22,$C$18,$C$19,$B80,C$24)</f>
        <v>0</v>
      </c>
      <c r="D80" s="100">
        <f ca="1">_xll.DBRW($B$9,$C$16,$C$17,C$23,C$22,$C$18,$C$19,$B80,D$24)</f>
        <v>0</v>
      </c>
      <c r="E80" s="100">
        <f ca="1">_xll.DBRW($B$9,$C$16,$C$17,C$23,C$22,$C$18,$C$19,$B80,E$24)</f>
        <v>0</v>
      </c>
      <c r="F80" s="100">
        <f ca="1">_xll.DBRW($B$9,$C$16,$C$17,F$23,C$22,$C$18,$C$19,$B80,F$24)</f>
        <v>0</v>
      </c>
      <c r="G80" s="100">
        <f ca="1">_xll.DBRW($B$9,$C$16,$C$17,F$23,C$22,$C$18,$C$19,$B80,G$24)</f>
        <v>0</v>
      </c>
      <c r="H80" s="100">
        <f ca="1">_xll.DBRW($B$9,$C$16,$C$17,F$23,C$22,$C$18,$C$19,$B80,H$24)</f>
        <v>0</v>
      </c>
      <c r="I80" s="100">
        <f t="shared" ca="1" si="0"/>
        <v>0</v>
      </c>
      <c r="J80" s="100">
        <f t="shared" ca="1" si="1"/>
        <v>0</v>
      </c>
      <c r="K80" s="100">
        <f t="shared" ca="1" si="2"/>
        <v>0</v>
      </c>
      <c r="L80" s="100">
        <f ca="1">_xll.DBRW($B$9,$C$16,$C$17,L$23,L$22,$C$18,$C$19,$B80,L$24)</f>
        <v>0</v>
      </c>
      <c r="M80" s="100">
        <f ca="1">_xll.DBRW($B$9,$C$16,$C$17,L$23,L$22,$C$18,$C$19,$B80,M$24)</f>
        <v>0</v>
      </c>
      <c r="N80" s="100">
        <f ca="1">_xll.DBRW($B$9,$C$16,$C$17,L$23,L$22,$C$18,$C$19,$B80,N$24)</f>
        <v>0</v>
      </c>
      <c r="O80" s="100">
        <f ca="1">_xll.DBRW($B$9,$C$16,$C$17,O$23,L$22,$C$18,$C$19,$B80,O$24)</f>
        <v>0</v>
      </c>
      <c r="P80" s="100">
        <f ca="1">_xll.DBRW($B$9,$C$16,$C$17,O$23,L$22,$C$18,$C$19,$B80,P$24)</f>
        <v>0</v>
      </c>
      <c r="Q80" s="100">
        <f ca="1">_xll.DBRW($B$9,$C$16,$C$17,O$23,L$22,$C$18,$C$19,$B80,Q$24)</f>
        <v>0</v>
      </c>
      <c r="R80" s="100">
        <f t="shared" ca="1" si="3"/>
        <v>0</v>
      </c>
      <c r="S80" s="100">
        <f t="shared" ca="1" si="4"/>
        <v>0</v>
      </c>
      <c r="T80" s="100">
        <f t="shared" ca="1" si="5"/>
        <v>0</v>
      </c>
      <c r="U80" s="100">
        <f ca="1">_xll.DBRW($B$9,$C$16,$C$17,U$23,U$22,$C$18,$C$19,$B80,U$24)</f>
        <v>0</v>
      </c>
      <c r="V80" s="100">
        <f ca="1">_xll.DBRW($B$9,$C$16,$C$17,U$23,U$22,$C$18,$C$19,$B80,V$24)</f>
        <v>0</v>
      </c>
      <c r="W80" s="100">
        <f ca="1">_xll.DBRW($B$9,$C$16,$C$17,U$23,U$22,$C$18,$C$19,$B80,W$24)</f>
        <v>0</v>
      </c>
      <c r="X80" s="100">
        <f ca="1">_xll.DBRW($B$9,$C$16,$C$17,X$23,U$22,$C$18,$C$19,$B80,X$24)</f>
        <v>0</v>
      </c>
      <c r="Y80" s="100">
        <f ca="1">_xll.DBRW($B$9,$C$16,$C$17,X$23,U$22,$C$18,$C$19,$B80,Y$24)</f>
        <v>0</v>
      </c>
      <c r="Z80" s="100">
        <f ca="1">_xll.DBRW($B$9,$C$16,$C$17,X$23,U$22,$C$18,$C$19,$B80,Z$24)</f>
        <v>0</v>
      </c>
      <c r="AA80" s="100">
        <f t="shared" ca="1" si="6"/>
        <v>0</v>
      </c>
      <c r="AB80" s="100">
        <f t="shared" ca="1" si="7"/>
        <v>0</v>
      </c>
      <c r="AC80" s="100">
        <f t="shared" ca="1" si="8"/>
        <v>0</v>
      </c>
      <c r="AD80" s="100">
        <f ca="1">_xll.DBRW($B$9,$C$16,$C$17,AD$23,AD$22,$C$18,$C$19,$B80,AD$24)</f>
        <v>0</v>
      </c>
      <c r="AE80" s="100">
        <f ca="1">_xll.DBRW($B$9,$C$16,$C$17,AD$23,AD$22,$C$18,$C$19,$B80,AE$24)</f>
        <v>0</v>
      </c>
      <c r="AF80" s="100">
        <f ca="1">_xll.DBRW($B$9,$C$16,$C$17,AD$23,AD$22,$C$18,$C$19,$B80,AF$24)</f>
        <v>0</v>
      </c>
      <c r="AG80" s="100">
        <f ca="1">_xll.DBRW($B$9,$C$16,$C$17,AG$23,AD$22,$C$18,$C$19,$B80,AG$24)</f>
        <v>0</v>
      </c>
      <c r="AH80" s="100">
        <f ca="1">_xll.DBRW($B$9,$C$16,$C$17,AG$23,AD$22,$C$18,$C$19,$B80,AH$24)</f>
        <v>0</v>
      </c>
      <c r="AI80" s="100">
        <f ca="1">_xll.DBRW($B$9,$C$16,$C$17,AG$23,AD$22,$C$18,$C$19,$B80,AI$24)</f>
        <v>0</v>
      </c>
      <c r="AJ80" s="100">
        <f t="shared" ca="1" si="9"/>
        <v>0</v>
      </c>
      <c r="AK80" s="100">
        <f t="shared" ca="1" si="10"/>
        <v>0</v>
      </c>
      <c r="AL80" s="100">
        <f t="shared" ca="1" si="11"/>
        <v>0</v>
      </c>
    </row>
    <row r="81" spans="1:38" x14ac:dyDescent="0.25">
      <c r="A81">
        <f ca="1">IF(_xll.TM1RPTELISCONSOLIDATED($B$25,$B81),IF(_xll.TM1RPTELLEV($B$25,$B81)&lt;=3,_xll.TM1RPTELLEV($B$25,$B81),"D"),"N")</f>
        <v>2</v>
      </c>
      <c r="B81" s="134" t="s">
        <v>94</v>
      </c>
      <c r="C81" s="99">
        <f ca="1">_xll.DBRW($B$9,$C$16,$C$17,C$23,C$22,$C$18,$C$19,$B81,C$24)</f>
        <v>0</v>
      </c>
      <c r="D81" s="99">
        <f ca="1">_xll.DBRW($B$9,$C$16,$C$17,C$23,C$22,$C$18,$C$19,$B81,D$24)</f>
        <v>0</v>
      </c>
      <c r="E81" s="99">
        <f ca="1">_xll.DBRW($B$9,$C$16,$C$17,C$23,C$22,$C$18,$C$19,$B81,E$24)</f>
        <v>0</v>
      </c>
      <c r="F81" s="99">
        <f ca="1">_xll.DBRW($B$9,$C$16,$C$17,F$23,C$22,$C$18,$C$19,$B81,F$24)</f>
        <v>0</v>
      </c>
      <c r="G81" s="99">
        <f ca="1">_xll.DBRW($B$9,$C$16,$C$17,F$23,C$22,$C$18,$C$19,$B81,G$24)</f>
        <v>0</v>
      </c>
      <c r="H81" s="99">
        <f ca="1">_xll.DBRW($B$9,$C$16,$C$17,F$23,C$22,$C$18,$C$19,$B81,H$24)</f>
        <v>0</v>
      </c>
      <c r="I81" s="99">
        <f t="shared" ca="1" si="0"/>
        <v>0</v>
      </c>
      <c r="J81" s="99">
        <f t="shared" ca="1" si="1"/>
        <v>0</v>
      </c>
      <c r="K81" s="99">
        <f t="shared" ca="1" si="2"/>
        <v>0</v>
      </c>
      <c r="L81" s="99">
        <f ca="1">_xll.DBRW($B$9,$C$16,$C$17,L$23,L$22,$C$18,$C$19,$B81,L$24)</f>
        <v>0</v>
      </c>
      <c r="M81" s="99">
        <f ca="1">_xll.DBRW($B$9,$C$16,$C$17,L$23,L$22,$C$18,$C$19,$B81,M$24)</f>
        <v>0</v>
      </c>
      <c r="N81" s="99">
        <f ca="1">_xll.DBRW($B$9,$C$16,$C$17,L$23,L$22,$C$18,$C$19,$B81,N$24)</f>
        <v>0</v>
      </c>
      <c r="O81" s="99">
        <f ca="1">_xll.DBRW($B$9,$C$16,$C$17,O$23,L$22,$C$18,$C$19,$B81,O$24)</f>
        <v>0</v>
      </c>
      <c r="P81" s="99">
        <f ca="1">_xll.DBRW($B$9,$C$16,$C$17,O$23,L$22,$C$18,$C$19,$B81,P$24)</f>
        <v>0</v>
      </c>
      <c r="Q81" s="99">
        <f ca="1">_xll.DBRW($B$9,$C$16,$C$17,O$23,L$22,$C$18,$C$19,$B81,Q$24)</f>
        <v>0</v>
      </c>
      <c r="R81" s="99">
        <f t="shared" ca="1" si="3"/>
        <v>0</v>
      </c>
      <c r="S81" s="99">
        <f t="shared" ca="1" si="4"/>
        <v>0</v>
      </c>
      <c r="T81" s="99">
        <f t="shared" ca="1" si="5"/>
        <v>0</v>
      </c>
      <c r="U81" s="99">
        <f ca="1">_xll.DBRW($B$9,$C$16,$C$17,U$23,U$22,$C$18,$C$19,$B81,U$24)</f>
        <v>0</v>
      </c>
      <c r="V81" s="99">
        <f ca="1">_xll.DBRW($B$9,$C$16,$C$17,U$23,U$22,$C$18,$C$19,$B81,V$24)</f>
        <v>0</v>
      </c>
      <c r="W81" s="99">
        <f ca="1">_xll.DBRW($B$9,$C$16,$C$17,U$23,U$22,$C$18,$C$19,$B81,W$24)</f>
        <v>0</v>
      </c>
      <c r="X81" s="99">
        <f ca="1">_xll.DBRW($B$9,$C$16,$C$17,X$23,U$22,$C$18,$C$19,$B81,X$24)</f>
        <v>0</v>
      </c>
      <c r="Y81" s="99">
        <f ca="1">_xll.DBRW($B$9,$C$16,$C$17,X$23,U$22,$C$18,$C$19,$B81,Y$24)</f>
        <v>0</v>
      </c>
      <c r="Z81" s="99">
        <f ca="1">_xll.DBRW($B$9,$C$16,$C$17,X$23,U$22,$C$18,$C$19,$B81,Z$24)</f>
        <v>0</v>
      </c>
      <c r="AA81" s="99">
        <f t="shared" ca="1" si="6"/>
        <v>0</v>
      </c>
      <c r="AB81" s="99">
        <f t="shared" ca="1" si="7"/>
        <v>0</v>
      </c>
      <c r="AC81" s="99">
        <f t="shared" ca="1" si="8"/>
        <v>0</v>
      </c>
      <c r="AD81" s="99">
        <f ca="1">_xll.DBRW($B$9,$C$16,$C$17,AD$23,AD$22,$C$18,$C$19,$B81,AD$24)</f>
        <v>0</v>
      </c>
      <c r="AE81" s="99">
        <f ca="1">_xll.DBRW($B$9,$C$16,$C$17,AD$23,AD$22,$C$18,$C$19,$B81,AE$24)</f>
        <v>0</v>
      </c>
      <c r="AF81" s="99">
        <f ca="1">_xll.DBRW($B$9,$C$16,$C$17,AD$23,AD$22,$C$18,$C$19,$B81,AF$24)</f>
        <v>0</v>
      </c>
      <c r="AG81" s="99">
        <f ca="1">_xll.DBRW($B$9,$C$16,$C$17,AG$23,AD$22,$C$18,$C$19,$B81,AG$24)</f>
        <v>0</v>
      </c>
      <c r="AH81" s="99">
        <f ca="1">_xll.DBRW($B$9,$C$16,$C$17,AG$23,AD$22,$C$18,$C$19,$B81,AH$24)</f>
        <v>0</v>
      </c>
      <c r="AI81" s="99">
        <f ca="1">_xll.DBRW($B$9,$C$16,$C$17,AG$23,AD$22,$C$18,$C$19,$B81,AI$24)</f>
        <v>0</v>
      </c>
      <c r="AJ81" s="99">
        <f t="shared" ca="1" si="9"/>
        <v>0</v>
      </c>
      <c r="AK81" s="99">
        <f t="shared" ca="1" si="10"/>
        <v>0</v>
      </c>
      <c r="AL81" s="99">
        <f t="shared" ca="1" si="11"/>
        <v>0</v>
      </c>
    </row>
    <row r="82" spans="1:38" x14ac:dyDescent="0.25">
      <c r="A82">
        <f ca="1">IF(_xll.TM1RPTELISCONSOLIDATED($B$25,$B82),IF(_xll.TM1RPTELLEV($B$25,$B82)&lt;=3,_xll.TM1RPTELLEV($B$25,$B82),"D"),"N")</f>
        <v>2</v>
      </c>
      <c r="B82" s="134" t="s">
        <v>95</v>
      </c>
      <c r="C82" s="99">
        <f ca="1">_xll.DBRW($B$9,$C$16,$C$17,C$23,C$22,$C$18,$C$19,$B82,C$24)</f>
        <v>0</v>
      </c>
      <c r="D82" s="99">
        <f ca="1">_xll.DBRW($B$9,$C$16,$C$17,C$23,C$22,$C$18,$C$19,$B82,D$24)</f>
        <v>0</v>
      </c>
      <c r="E82" s="99">
        <f ca="1">_xll.DBRW($B$9,$C$16,$C$17,C$23,C$22,$C$18,$C$19,$B82,E$24)</f>
        <v>0</v>
      </c>
      <c r="F82" s="99">
        <f ca="1">_xll.DBRW($B$9,$C$16,$C$17,F$23,C$22,$C$18,$C$19,$B82,F$24)</f>
        <v>0</v>
      </c>
      <c r="G82" s="99">
        <f ca="1">_xll.DBRW($B$9,$C$16,$C$17,F$23,C$22,$C$18,$C$19,$B82,G$24)</f>
        <v>0</v>
      </c>
      <c r="H82" s="99">
        <f ca="1">_xll.DBRW($B$9,$C$16,$C$17,F$23,C$22,$C$18,$C$19,$B82,H$24)</f>
        <v>0</v>
      </c>
      <c r="I82" s="99">
        <f t="shared" ca="1" si="0"/>
        <v>0</v>
      </c>
      <c r="J82" s="99">
        <f t="shared" ca="1" si="1"/>
        <v>0</v>
      </c>
      <c r="K82" s="99">
        <f t="shared" ca="1" si="2"/>
        <v>0</v>
      </c>
      <c r="L82" s="99">
        <f ca="1">_xll.DBRW($B$9,$C$16,$C$17,L$23,L$22,$C$18,$C$19,$B82,L$24)</f>
        <v>0</v>
      </c>
      <c r="M82" s="99">
        <f ca="1">_xll.DBRW($B$9,$C$16,$C$17,L$23,L$22,$C$18,$C$19,$B82,M$24)</f>
        <v>0</v>
      </c>
      <c r="N82" s="99">
        <f ca="1">_xll.DBRW($B$9,$C$16,$C$17,L$23,L$22,$C$18,$C$19,$B82,N$24)</f>
        <v>0</v>
      </c>
      <c r="O82" s="99">
        <f ca="1">_xll.DBRW($B$9,$C$16,$C$17,O$23,L$22,$C$18,$C$19,$B82,O$24)</f>
        <v>0</v>
      </c>
      <c r="P82" s="99">
        <f ca="1">_xll.DBRW($B$9,$C$16,$C$17,O$23,L$22,$C$18,$C$19,$B82,P$24)</f>
        <v>0</v>
      </c>
      <c r="Q82" s="99">
        <f ca="1">_xll.DBRW($B$9,$C$16,$C$17,O$23,L$22,$C$18,$C$19,$B82,Q$24)</f>
        <v>0</v>
      </c>
      <c r="R82" s="99">
        <f t="shared" ca="1" si="3"/>
        <v>0</v>
      </c>
      <c r="S82" s="99">
        <f t="shared" ca="1" si="4"/>
        <v>0</v>
      </c>
      <c r="T82" s="99">
        <f t="shared" ca="1" si="5"/>
        <v>0</v>
      </c>
      <c r="U82" s="99">
        <f ca="1">_xll.DBRW($B$9,$C$16,$C$17,U$23,U$22,$C$18,$C$19,$B82,U$24)</f>
        <v>0</v>
      </c>
      <c r="V82" s="99">
        <f ca="1">_xll.DBRW($B$9,$C$16,$C$17,U$23,U$22,$C$18,$C$19,$B82,V$24)</f>
        <v>0</v>
      </c>
      <c r="W82" s="99">
        <f ca="1">_xll.DBRW($B$9,$C$16,$C$17,U$23,U$22,$C$18,$C$19,$B82,W$24)</f>
        <v>0</v>
      </c>
      <c r="X82" s="99">
        <f ca="1">_xll.DBRW($B$9,$C$16,$C$17,X$23,U$22,$C$18,$C$19,$B82,X$24)</f>
        <v>0</v>
      </c>
      <c r="Y82" s="99">
        <f ca="1">_xll.DBRW($B$9,$C$16,$C$17,X$23,U$22,$C$18,$C$19,$B82,Y$24)</f>
        <v>0</v>
      </c>
      <c r="Z82" s="99">
        <f ca="1">_xll.DBRW($B$9,$C$16,$C$17,X$23,U$22,$C$18,$C$19,$B82,Z$24)</f>
        <v>0</v>
      </c>
      <c r="AA82" s="99">
        <f t="shared" ca="1" si="6"/>
        <v>0</v>
      </c>
      <c r="AB82" s="99">
        <f t="shared" ca="1" si="7"/>
        <v>0</v>
      </c>
      <c r="AC82" s="99">
        <f t="shared" ca="1" si="8"/>
        <v>0</v>
      </c>
      <c r="AD82" s="99">
        <f ca="1">_xll.DBRW($B$9,$C$16,$C$17,AD$23,AD$22,$C$18,$C$19,$B82,AD$24)</f>
        <v>0</v>
      </c>
      <c r="AE82" s="99">
        <f ca="1">_xll.DBRW($B$9,$C$16,$C$17,AD$23,AD$22,$C$18,$C$19,$B82,AE$24)</f>
        <v>0</v>
      </c>
      <c r="AF82" s="99">
        <f ca="1">_xll.DBRW($B$9,$C$16,$C$17,AD$23,AD$22,$C$18,$C$19,$B82,AF$24)</f>
        <v>0</v>
      </c>
      <c r="AG82" s="99">
        <f ca="1">_xll.DBRW($B$9,$C$16,$C$17,AG$23,AD$22,$C$18,$C$19,$B82,AG$24)</f>
        <v>0</v>
      </c>
      <c r="AH82" s="99">
        <f ca="1">_xll.DBRW($B$9,$C$16,$C$17,AG$23,AD$22,$C$18,$C$19,$B82,AH$24)</f>
        <v>0</v>
      </c>
      <c r="AI82" s="99">
        <f ca="1">_xll.DBRW($B$9,$C$16,$C$17,AG$23,AD$22,$C$18,$C$19,$B82,AI$24)</f>
        <v>0</v>
      </c>
      <c r="AJ82" s="99">
        <f t="shared" ca="1" si="9"/>
        <v>0</v>
      </c>
      <c r="AK82" s="99">
        <f t="shared" ca="1" si="10"/>
        <v>0</v>
      </c>
      <c r="AL82" s="99">
        <f t="shared" ca="1" si="11"/>
        <v>0</v>
      </c>
    </row>
    <row r="83" spans="1:38" x14ac:dyDescent="0.25">
      <c r="A83">
        <f ca="1">IF(_xll.TM1RPTELISCONSOLIDATED($B$25,$B83),IF(_xll.TM1RPTELLEV($B$25,$B83)&lt;=3,_xll.TM1RPTELLEV($B$25,$B83),"D"),"N")</f>
        <v>2</v>
      </c>
      <c r="B83" s="134" t="s">
        <v>96</v>
      </c>
      <c r="C83" s="99">
        <f ca="1">_xll.DBRW($B$9,$C$16,$C$17,C$23,C$22,$C$18,$C$19,$B83,C$24)</f>
        <v>0</v>
      </c>
      <c r="D83" s="99">
        <f ca="1">_xll.DBRW($B$9,$C$16,$C$17,C$23,C$22,$C$18,$C$19,$B83,D$24)</f>
        <v>0</v>
      </c>
      <c r="E83" s="99">
        <f ca="1">_xll.DBRW($B$9,$C$16,$C$17,C$23,C$22,$C$18,$C$19,$B83,E$24)</f>
        <v>0</v>
      </c>
      <c r="F83" s="99">
        <f ca="1">_xll.DBRW($B$9,$C$16,$C$17,F$23,C$22,$C$18,$C$19,$B83,F$24)</f>
        <v>0</v>
      </c>
      <c r="G83" s="99">
        <f ca="1">_xll.DBRW($B$9,$C$16,$C$17,F$23,C$22,$C$18,$C$19,$B83,G$24)</f>
        <v>0</v>
      </c>
      <c r="H83" s="99">
        <f ca="1">_xll.DBRW($B$9,$C$16,$C$17,F$23,C$22,$C$18,$C$19,$B83,H$24)</f>
        <v>0</v>
      </c>
      <c r="I83" s="99">
        <f t="shared" ca="1" si="0"/>
        <v>0</v>
      </c>
      <c r="J83" s="99">
        <f t="shared" ca="1" si="1"/>
        <v>0</v>
      </c>
      <c r="K83" s="99">
        <f t="shared" ca="1" si="2"/>
        <v>0</v>
      </c>
      <c r="L83" s="99">
        <f ca="1">_xll.DBRW($B$9,$C$16,$C$17,L$23,L$22,$C$18,$C$19,$B83,L$24)</f>
        <v>0</v>
      </c>
      <c r="M83" s="99">
        <f ca="1">_xll.DBRW($B$9,$C$16,$C$17,L$23,L$22,$C$18,$C$19,$B83,M$24)</f>
        <v>0</v>
      </c>
      <c r="N83" s="99">
        <f ca="1">_xll.DBRW($B$9,$C$16,$C$17,L$23,L$22,$C$18,$C$19,$B83,N$24)</f>
        <v>0</v>
      </c>
      <c r="O83" s="99">
        <f ca="1">_xll.DBRW($B$9,$C$16,$C$17,O$23,L$22,$C$18,$C$19,$B83,O$24)</f>
        <v>0</v>
      </c>
      <c r="P83" s="99">
        <f ca="1">_xll.DBRW($B$9,$C$16,$C$17,O$23,L$22,$C$18,$C$19,$B83,P$24)</f>
        <v>0</v>
      </c>
      <c r="Q83" s="99">
        <f ca="1">_xll.DBRW($B$9,$C$16,$C$17,O$23,L$22,$C$18,$C$19,$B83,Q$24)</f>
        <v>0</v>
      </c>
      <c r="R83" s="99">
        <f t="shared" ca="1" si="3"/>
        <v>0</v>
      </c>
      <c r="S83" s="99">
        <f t="shared" ca="1" si="4"/>
        <v>0</v>
      </c>
      <c r="T83" s="99">
        <f t="shared" ca="1" si="5"/>
        <v>0</v>
      </c>
      <c r="U83" s="99">
        <f ca="1">_xll.DBRW($B$9,$C$16,$C$17,U$23,U$22,$C$18,$C$19,$B83,U$24)</f>
        <v>0</v>
      </c>
      <c r="V83" s="99">
        <f ca="1">_xll.DBRW($B$9,$C$16,$C$17,U$23,U$22,$C$18,$C$19,$B83,V$24)</f>
        <v>0</v>
      </c>
      <c r="W83" s="99">
        <f ca="1">_xll.DBRW($B$9,$C$16,$C$17,U$23,U$22,$C$18,$C$19,$B83,W$24)</f>
        <v>0</v>
      </c>
      <c r="X83" s="99">
        <f ca="1">_xll.DBRW($B$9,$C$16,$C$17,X$23,U$22,$C$18,$C$19,$B83,X$24)</f>
        <v>0</v>
      </c>
      <c r="Y83" s="99">
        <f ca="1">_xll.DBRW($B$9,$C$16,$C$17,X$23,U$22,$C$18,$C$19,$B83,Y$24)</f>
        <v>0</v>
      </c>
      <c r="Z83" s="99">
        <f ca="1">_xll.DBRW($B$9,$C$16,$C$17,X$23,U$22,$C$18,$C$19,$B83,Z$24)</f>
        <v>0</v>
      </c>
      <c r="AA83" s="99">
        <f t="shared" ca="1" si="6"/>
        <v>0</v>
      </c>
      <c r="AB83" s="99">
        <f t="shared" ca="1" si="7"/>
        <v>0</v>
      </c>
      <c r="AC83" s="99">
        <f t="shared" ca="1" si="8"/>
        <v>0</v>
      </c>
      <c r="AD83" s="99">
        <f ca="1">_xll.DBRW($B$9,$C$16,$C$17,AD$23,AD$22,$C$18,$C$19,$B83,AD$24)</f>
        <v>0</v>
      </c>
      <c r="AE83" s="99">
        <f ca="1">_xll.DBRW($B$9,$C$16,$C$17,AD$23,AD$22,$C$18,$C$19,$B83,AE$24)</f>
        <v>0</v>
      </c>
      <c r="AF83" s="99">
        <f ca="1">_xll.DBRW($B$9,$C$16,$C$17,AD$23,AD$22,$C$18,$C$19,$B83,AF$24)</f>
        <v>0</v>
      </c>
      <c r="AG83" s="99">
        <f ca="1">_xll.DBRW($B$9,$C$16,$C$17,AG$23,AD$22,$C$18,$C$19,$B83,AG$24)</f>
        <v>0</v>
      </c>
      <c r="AH83" s="99">
        <f ca="1">_xll.DBRW($B$9,$C$16,$C$17,AG$23,AD$22,$C$18,$C$19,$B83,AH$24)</f>
        <v>0</v>
      </c>
      <c r="AI83" s="99">
        <f ca="1">_xll.DBRW($B$9,$C$16,$C$17,AG$23,AD$22,$C$18,$C$19,$B83,AI$24)</f>
        <v>0</v>
      </c>
      <c r="AJ83" s="99">
        <f t="shared" ca="1" si="9"/>
        <v>0</v>
      </c>
      <c r="AK83" s="99">
        <f t="shared" ca="1" si="10"/>
        <v>0</v>
      </c>
      <c r="AL83" s="99">
        <f t="shared" ca="1" si="11"/>
        <v>0</v>
      </c>
    </row>
    <row r="84" spans="1:38" x14ac:dyDescent="0.25">
      <c r="A84">
        <f ca="1">IF(_xll.TM1RPTELISCONSOLIDATED($B$25,$B84),IF(_xll.TM1RPTELLEV($B$25,$B84)&lt;=3,_xll.TM1RPTELLEV($B$25,$B84),"D"),"N")</f>
        <v>2</v>
      </c>
      <c r="B84" s="134" t="s">
        <v>97</v>
      </c>
      <c r="C84" s="99">
        <f ca="1">_xll.DBRW($B$9,$C$16,$C$17,C$23,C$22,$C$18,$C$19,$B84,C$24)</f>
        <v>0</v>
      </c>
      <c r="D84" s="99">
        <f ca="1">_xll.DBRW($B$9,$C$16,$C$17,C$23,C$22,$C$18,$C$19,$B84,D$24)</f>
        <v>0</v>
      </c>
      <c r="E84" s="99">
        <f ca="1">_xll.DBRW($B$9,$C$16,$C$17,C$23,C$22,$C$18,$C$19,$B84,E$24)</f>
        <v>0</v>
      </c>
      <c r="F84" s="99">
        <f ca="1">_xll.DBRW($B$9,$C$16,$C$17,F$23,C$22,$C$18,$C$19,$B84,F$24)</f>
        <v>0</v>
      </c>
      <c r="G84" s="99">
        <f ca="1">_xll.DBRW($B$9,$C$16,$C$17,F$23,C$22,$C$18,$C$19,$B84,G$24)</f>
        <v>0</v>
      </c>
      <c r="H84" s="99">
        <f ca="1">_xll.DBRW($B$9,$C$16,$C$17,F$23,C$22,$C$18,$C$19,$B84,H$24)</f>
        <v>0</v>
      </c>
      <c r="I84" s="99">
        <f t="shared" ca="1" si="0"/>
        <v>0</v>
      </c>
      <c r="J84" s="99">
        <f t="shared" ca="1" si="1"/>
        <v>0</v>
      </c>
      <c r="K84" s="99">
        <f t="shared" ca="1" si="2"/>
        <v>0</v>
      </c>
      <c r="L84" s="99">
        <f ca="1">_xll.DBRW($B$9,$C$16,$C$17,L$23,L$22,$C$18,$C$19,$B84,L$24)</f>
        <v>0</v>
      </c>
      <c r="M84" s="99">
        <f ca="1">_xll.DBRW($B$9,$C$16,$C$17,L$23,L$22,$C$18,$C$19,$B84,M$24)</f>
        <v>0</v>
      </c>
      <c r="N84" s="99">
        <f ca="1">_xll.DBRW($B$9,$C$16,$C$17,L$23,L$22,$C$18,$C$19,$B84,N$24)</f>
        <v>0</v>
      </c>
      <c r="O84" s="99">
        <f ca="1">_xll.DBRW($B$9,$C$16,$C$17,O$23,L$22,$C$18,$C$19,$B84,O$24)</f>
        <v>0</v>
      </c>
      <c r="P84" s="99">
        <f ca="1">_xll.DBRW($B$9,$C$16,$C$17,O$23,L$22,$C$18,$C$19,$B84,P$24)</f>
        <v>0</v>
      </c>
      <c r="Q84" s="99">
        <f ca="1">_xll.DBRW($B$9,$C$16,$C$17,O$23,L$22,$C$18,$C$19,$B84,Q$24)</f>
        <v>0</v>
      </c>
      <c r="R84" s="99">
        <f t="shared" ca="1" si="3"/>
        <v>0</v>
      </c>
      <c r="S84" s="99">
        <f t="shared" ca="1" si="4"/>
        <v>0</v>
      </c>
      <c r="T84" s="99">
        <f t="shared" ca="1" si="5"/>
        <v>0</v>
      </c>
      <c r="U84" s="99">
        <f ca="1">_xll.DBRW($B$9,$C$16,$C$17,U$23,U$22,$C$18,$C$19,$B84,U$24)</f>
        <v>0</v>
      </c>
      <c r="V84" s="99">
        <f ca="1">_xll.DBRW($B$9,$C$16,$C$17,U$23,U$22,$C$18,$C$19,$B84,V$24)</f>
        <v>0</v>
      </c>
      <c r="W84" s="99">
        <f ca="1">_xll.DBRW($B$9,$C$16,$C$17,U$23,U$22,$C$18,$C$19,$B84,W$24)</f>
        <v>0</v>
      </c>
      <c r="X84" s="99">
        <f ca="1">_xll.DBRW($B$9,$C$16,$C$17,X$23,U$22,$C$18,$C$19,$B84,X$24)</f>
        <v>0</v>
      </c>
      <c r="Y84" s="99">
        <f ca="1">_xll.DBRW($B$9,$C$16,$C$17,X$23,U$22,$C$18,$C$19,$B84,Y$24)</f>
        <v>0</v>
      </c>
      <c r="Z84" s="99">
        <f ca="1">_xll.DBRW($B$9,$C$16,$C$17,X$23,U$22,$C$18,$C$19,$B84,Z$24)</f>
        <v>0</v>
      </c>
      <c r="AA84" s="99">
        <f t="shared" ca="1" si="6"/>
        <v>0</v>
      </c>
      <c r="AB84" s="99">
        <f t="shared" ca="1" si="7"/>
        <v>0</v>
      </c>
      <c r="AC84" s="99">
        <f t="shared" ca="1" si="8"/>
        <v>0</v>
      </c>
      <c r="AD84" s="99">
        <f ca="1">_xll.DBRW($B$9,$C$16,$C$17,AD$23,AD$22,$C$18,$C$19,$B84,AD$24)</f>
        <v>0</v>
      </c>
      <c r="AE84" s="99">
        <f ca="1">_xll.DBRW($B$9,$C$16,$C$17,AD$23,AD$22,$C$18,$C$19,$B84,AE$24)</f>
        <v>0</v>
      </c>
      <c r="AF84" s="99">
        <f ca="1">_xll.DBRW($B$9,$C$16,$C$17,AD$23,AD$22,$C$18,$C$19,$B84,AF$24)</f>
        <v>0</v>
      </c>
      <c r="AG84" s="99">
        <f ca="1">_xll.DBRW($B$9,$C$16,$C$17,AG$23,AD$22,$C$18,$C$19,$B84,AG$24)</f>
        <v>0</v>
      </c>
      <c r="AH84" s="99">
        <f ca="1">_xll.DBRW($B$9,$C$16,$C$17,AG$23,AD$22,$C$18,$C$19,$B84,AH$24)</f>
        <v>0</v>
      </c>
      <c r="AI84" s="99">
        <f ca="1">_xll.DBRW($B$9,$C$16,$C$17,AG$23,AD$22,$C$18,$C$19,$B84,AI$24)</f>
        <v>0</v>
      </c>
      <c r="AJ84" s="99">
        <f t="shared" ca="1" si="9"/>
        <v>0</v>
      </c>
      <c r="AK84" s="99">
        <f t="shared" ca="1" si="10"/>
        <v>0</v>
      </c>
      <c r="AL84" s="99">
        <f t="shared" ca="1" si="11"/>
        <v>0</v>
      </c>
    </row>
    <row r="85" spans="1:38" x14ac:dyDescent="0.25">
      <c r="A85">
        <f ca="1">IF(_xll.TM1RPTELISCONSOLIDATED($B$25,$B85),IF(_xll.TM1RPTELLEV($B$25,$B85)&lt;=3,_xll.TM1RPTELLEV($B$25,$B85),"D"),"N")</f>
        <v>2</v>
      </c>
      <c r="B85" s="134" t="s">
        <v>98</v>
      </c>
      <c r="C85" s="99">
        <f ca="1">_xll.DBRW($B$9,$C$16,$C$17,C$23,C$22,$C$18,$C$19,$B85,C$24)</f>
        <v>0</v>
      </c>
      <c r="D85" s="99">
        <f ca="1">_xll.DBRW($B$9,$C$16,$C$17,C$23,C$22,$C$18,$C$19,$B85,D$24)</f>
        <v>0</v>
      </c>
      <c r="E85" s="99">
        <f ca="1">_xll.DBRW($B$9,$C$16,$C$17,C$23,C$22,$C$18,$C$19,$B85,E$24)</f>
        <v>0</v>
      </c>
      <c r="F85" s="99">
        <f ca="1">_xll.DBRW($B$9,$C$16,$C$17,F$23,C$22,$C$18,$C$19,$B85,F$24)</f>
        <v>0</v>
      </c>
      <c r="G85" s="99">
        <f ca="1">_xll.DBRW($B$9,$C$16,$C$17,F$23,C$22,$C$18,$C$19,$B85,G$24)</f>
        <v>0</v>
      </c>
      <c r="H85" s="99">
        <f ca="1">_xll.DBRW($B$9,$C$16,$C$17,F$23,C$22,$C$18,$C$19,$B85,H$24)</f>
        <v>0</v>
      </c>
      <c r="I85" s="99">
        <f t="shared" ca="1" si="0"/>
        <v>0</v>
      </c>
      <c r="J85" s="99">
        <f t="shared" ca="1" si="1"/>
        <v>0</v>
      </c>
      <c r="K85" s="99">
        <f t="shared" ca="1" si="2"/>
        <v>0</v>
      </c>
      <c r="L85" s="99">
        <f ca="1">_xll.DBRW($B$9,$C$16,$C$17,L$23,L$22,$C$18,$C$19,$B85,L$24)</f>
        <v>0</v>
      </c>
      <c r="M85" s="99">
        <f ca="1">_xll.DBRW($B$9,$C$16,$C$17,L$23,L$22,$C$18,$C$19,$B85,M$24)</f>
        <v>0</v>
      </c>
      <c r="N85" s="99">
        <f ca="1">_xll.DBRW($B$9,$C$16,$C$17,L$23,L$22,$C$18,$C$19,$B85,N$24)</f>
        <v>0</v>
      </c>
      <c r="O85" s="99">
        <f ca="1">_xll.DBRW($B$9,$C$16,$C$17,O$23,L$22,$C$18,$C$19,$B85,O$24)</f>
        <v>0</v>
      </c>
      <c r="P85" s="99">
        <f ca="1">_xll.DBRW($B$9,$C$16,$C$17,O$23,L$22,$C$18,$C$19,$B85,P$24)</f>
        <v>0</v>
      </c>
      <c r="Q85" s="99">
        <f ca="1">_xll.DBRW($B$9,$C$16,$C$17,O$23,L$22,$C$18,$C$19,$B85,Q$24)</f>
        <v>0</v>
      </c>
      <c r="R85" s="99">
        <f t="shared" ca="1" si="3"/>
        <v>0</v>
      </c>
      <c r="S85" s="99">
        <f t="shared" ca="1" si="4"/>
        <v>0</v>
      </c>
      <c r="T85" s="99">
        <f t="shared" ca="1" si="5"/>
        <v>0</v>
      </c>
      <c r="U85" s="99">
        <f ca="1">_xll.DBRW($B$9,$C$16,$C$17,U$23,U$22,$C$18,$C$19,$B85,U$24)</f>
        <v>0</v>
      </c>
      <c r="V85" s="99">
        <f ca="1">_xll.DBRW($B$9,$C$16,$C$17,U$23,U$22,$C$18,$C$19,$B85,V$24)</f>
        <v>0</v>
      </c>
      <c r="W85" s="99">
        <f ca="1">_xll.DBRW($B$9,$C$16,$C$17,U$23,U$22,$C$18,$C$19,$B85,W$24)</f>
        <v>0</v>
      </c>
      <c r="X85" s="99">
        <f ca="1">_xll.DBRW($B$9,$C$16,$C$17,X$23,U$22,$C$18,$C$19,$B85,X$24)</f>
        <v>0</v>
      </c>
      <c r="Y85" s="99">
        <f ca="1">_xll.DBRW($B$9,$C$16,$C$17,X$23,U$22,$C$18,$C$19,$B85,Y$24)</f>
        <v>0</v>
      </c>
      <c r="Z85" s="99">
        <f ca="1">_xll.DBRW($B$9,$C$16,$C$17,X$23,U$22,$C$18,$C$19,$B85,Z$24)</f>
        <v>0</v>
      </c>
      <c r="AA85" s="99">
        <f t="shared" ca="1" si="6"/>
        <v>0</v>
      </c>
      <c r="AB85" s="99">
        <f t="shared" ca="1" si="7"/>
        <v>0</v>
      </c>
      <c r="AC85" s="99">
        <f t="shared" ca="1" si="8"/>
        <v>0</v>
      </c>
      <c r="AD85" s="99">
        <f ca="1">_xll.DBRW($B$9,$C$16,$C$17,AD$23,AD$22,$C$18,$C$19,$B85,AD$24)</f>
        <v>0</v>
      </c>
      <c r="AE85" s="99">
        <f ca="1">_xll.DBRW($B$9,$C$16,$C$17,AD$23,AD$22,$C$18,$C$19,$B85,AE$24)</f>
        <v>0</v>
      </c>
      <c r="AF85" s="99">
        <f ca="1">_xll.DBRW($B$9,$C$16,$C$17,AD$23,AD$22,$C$18,$C$19,$B85,AF$24)</f>
        <v>0</v>
      </c>
      <c r="AG85" s="99">
        <f ca="1">_xll.DBRW($B$9,$C$16,$C$17,AG$23,AD$22,$C$18,$C$19,$B85,AG$24)</f>
        <v>0</v>
      </c>
      <c r="AH85" s="99">
        <f ca="1">_xll.DBRW($B$9,$C$16,$C$17,AG$23,AD$22,$C$18,$C$19,$B85,AH$24)</f>
        <v>0</v>
      </c>
      <c r="AI85" s="99">
        <f ca="1">_xll.DBRW($B$9,$C$16,$C$17,AG$23,AD$22,$C$18,$C$19,$B85,AI$24)</f>
        <v>0</v>
      </c>
      <c r="AJ85" s="99">
        <f t="shared" ca="1" si="9"/>
        <v>0</v>
      </c>
      <c r="AK85" s="99">
        <f t="shared" ca="1" si="10"/>
        <v>0</v>
      </c>
      <c r="AL85" s="99">
        <f t="shared" ca="1" si="11"/>
        <v>0</v>
      </c>
    </row>
    <row r="86" spans="1:38" x14ac:dyDescent="0.25">
      <c r="A86">
        <f ca="1">IF(_xll.TM1RPTELISCONSOLIDATED($B$25,$B86),IF(_xll.TM1RPTELLEV($B$25,$B86)&lt;=3,_xll.TM1RPTELLEV($B$25,$B86),"D"),"N")</f>
        <v>2</v>
      </c>
      <c r="B86" s="134" t="s">
        <v>99</v>
      </c>
      <c r="C86" s="99">
        <f ca="1">_xll.DBRW($B$9,$C$16,$C$17,C$23,C$22,$C$18,$C$19,$B86,C$24)</f>
        <v>0</v>
      </c>
      <c r="D86" s="99">
        <f ca="1">_xll.DBRW($B$9,$C$16,$C$17,C$23,C$22,$C$18,$C$19,$B86,D$24)</f>
        <v>0</v>
      </c>
      <c r="E86" s="99">
        <f ca="1">_xll.DBRW($B$9,$C$16,$C$17,C$23,C$22,$C$18,$C$19,$B86,E$24)</f>
        <v>0</v>
      </c>
      <c r="F86" s="99">
        <f ca="1">_xll.DBRW($B$9,$C$16,$C$17,F$23,C$22,$C$18,$C$19,$B86,F$24)</f>
        <v>0</v>
      </c>
      <c r="G86" s="99">
        <f ca="1">_xll.DBRW($B$9,$C$16,$C$17,F$23,C$22,$C$18,$C$19,$B86,G$24)</f>
        <v>0</v>
      </c>
      <c r="H86" s="99">
        <f ca="1">_xll.DBRW($B$9,$C$16,$C$17,F$23,C$22,$C$18,$C$19,$B86,H$24)</f>
        <v>0</v>
      </c>
      <c r="I86" s="99">
        <f t="shared" ca="1" si="0"/>
        <v>0</v>
      </c>
      <c r="J86" s="99">
        <f t="shared" ca="1" si="1"/>
        <v>0</v>
      </c>
      <c r="K86" s="99">
        <f t="shared" ca="1" si="2"/>
        <v>0</v>
      </c>
      <c r="L86" s="99">
        <f ca="1">_xll.DBRW($B$9,$C$16,$C$17,L$23,L$22,$C$18,$C$19,$B86,L$24)</f>
        <v>0</v>
      </c>
      <c r="M86" s="99">
        <f ca="1">_xll.DBRW($B$9,$C$16,$C$17,L$23,L$22,$C$18,$C$19,$B86,M$24)</f>
        <v>0</v>
      </c>
      <c r="N86" s="99">
        <f ca="1">_xll.DBRW($B$9,$C$16,$C$17,L$23,L$22,$C$18,$C$19,$B86,N$24)</f>
        <v>0</v>
      </c>
      <c r="O86" s="99">
        <f ca="1">_xll.DBRW($B$9,$C$16,$C$17,O$23,L$22,$C$18,$C$19,$B86,O$24)</f>
        <v>0</v>
      </c>
      <c r="P86" s="99">
        <f ca="1">_xll.DBRW($B$9,$C$16,$C$17,O$23,L$22,$C$18,$C$19,$B86,P$24)</f>
        <v>0</v>
      </c>
      <c r="Q86" s="99">
        <f ca="1">_xll.DBRW($B$9,$C$16,$C$17,O$23,L$22,$C$18,$C$19,$B86,Q$24)</f>
        <v>0</v>
      </c>
      <c r="R86" s="99">
        <f t="shared" ca="1" si="3"/>
        <v>0</v>
      </c>
      <c r="S86" s="99">
        <f t="shared" ca="1" si="4"/>
        <v>0</v>
      </c>
      <c r="T86" s="99">
        <f t="shared" ca="1" si="5"/>
        <v>0</v>
      </c>
      <c r="U86" s="99">
        <f ca="1">_xll.DBRW($B$9,$C$16,$C$17,U$23,U$22,$C$18,$C$19,$B86,U$24)</f>
        <v>0</v>
      </c>
      <c r="V86" s="99">
        <f ca="1">_xll.DBRW($B$9,$C$16,$C$17,U$23,U$22,$C$18,$C$19,$B86,V$24)</f>
        <v>0</v>
      </c>
      <c r="W86" s="99">
        <f ca="1">_xll.DBRW($B$9,$C$16,$C$17,U$23,U$22,$C$18,$C$19,$B86,W$24)</f>
        <v>0</v>
      </c>
      <c r="X86" s="99">
        <f ca="1">_xll.DBRW($B$9,$C$16,$C$17,X$23,U$22,$C$18,$C$19,$B86,X$24)</f>
        <v>0</v>
      </c>
      <c r="Y86" s="99">
        <f ca="1">_xll.DBRW($B$9,$C$16,$C$17,X$23,U$22,$C$18,$C$19,$B86,Y$24)</f>
        <v>0</v>
      </c>
      <c r="Z86" s="99">
        <f ca="1">_xll.DBRW($B$9,$C$16,$C$17,X$23,U$22,$C$18,$C$19,$B86,Z$24)</f>
        <v>0</v>
      </c>
      <c r="AA86" s="99">
        <f t="shared" ca="1" si="6"/>
        <v>0</v>
      </c>
      <c r="AB86" s="99">
        <f t="shared" ca="1" si="7"/>
        <v>0</v>
      </c>
      <c r="AC86" s="99">
        <f t="shared" ca="1" si="8"/>
        <v>0</v>
      </c>
      <c r="AD86" s="99">
        <f ca="1">_xll.DBRW($B$9,$C$16,$C$17,AD$23,AD$22,$C$18,$C$19,$B86,AD$24)</f>
        <v>0</v>
      </c>
      <c r="AE86" s="99">
        <f ca="1">_xll.DBRW($B$9,$C$16,$C$17,AD$23,AD$22,$C$18,$C$19,$B86,AE$24)</f>
        <v>0</v>
      </c>
      <c r="AF86" s="99">
        <f ca="1">_xll.DBRW($B$9,$C$16,$C$17,AD$23,AD$22,$C$18,$C$19,$B86,AF$24)</f>
        <v>0</v>
      </c>
      <c r="AG86" s="99">
        <f ca="1">_xll.DBRW($B$9,$C$16,$C$17,AG$23,AD$22,$C$18,$C$19,$B86,AG$24)</f>
        <v>0</v>
      </c>
      <c r="AH86" s="99">
        <f ca="1">_xll.DBRW($B$9,$C$16,$C$17,AG$23,AD$22,$C$18,$C$19,$B86,AH$24)</f>
        <v>0</v>
      </c>
      <c r="AI86" s="99">
        <f ca="1">_xll.DBRW($B$9,$C$16,$C$17,AG$23,AD$22,$C$18,$C$19,$B86,AI$24)</f>
        <v>0</v>
      </c>
      <c r="AJ86" s="99">
        <f t="shared" ca="1" si="9"/>
        <v>0</v>
      </c>
      <c r="AK86" s="99">
        <f t="shared" ca="1" si="10"/>
        <v>0</v>
      </c>
      <c r="AL86" s="99">
        <f t="shared" ca="1" si="11"/>
        <v>0</v>
      </c>
    </row>
    <row r="87" spans="1:38" x14ac:dyDescent="0.25">
      <c r="A87">
        <f ca="1">IF(_xll.TM1RPTELISCONSOLIDATED($B$25,$B87),IF(_xll.TM1RPTELLEV($B$25,$B87)&lt;=3,_xll.TM1RPTELLEV($B$25,$B87),"D"),"N")</f>
        <v>1</v>
      </c>
      <c r="B87" s="133" t="s">
        <v>23</v>
      </c>
      <c r="C87" s="97">
        <f ca="1">_xll.DBRW($B$9,$C$16,$C$17,C$23,C$22,$C$18,$C$19,$B87,C$24)</f>
        <v>0</v>
      </c>
      <c r="D87" s="97">
        <f ca="1">_xll.DBRW($B$9,$C$16,$C$17,C$23,C$22,$C$18,$C$19,$B87,D$24)</f>
        <v>0</v>
      </c>
      <c r="E87" s="97">
        <f ca="1">_xll.DBRW($B$9,$C$16,$C$17,C$23,C$22,$C$18,$C$19,$B87,E$24)</f>
        <v>0</v>
      </c>
      <c r="F87" s="97">
        <f ca="1">_xll.DBRW($B$9,$C$16,$C$17,F$23,C$22,$C$18,$C$19,$B87,F$24)</f>
        <v>0</v>
      </c>
      <c r="G87" s="97">
        <f ca="1">_xll.DBRW($B$9,$C$16,$C$17,F$23,C$22,$C$18,$C$19,$B87,G$24)</f>
        <v>0</v>
      </c>
      <c r="H87" s="97">
        <f ca="1">_xll.DBRW($B$9,$C$16,$C$17,F$23,C$22,$C$18,$C$19,$B87,H$24)</f>
        <v>0</v>
      </c>
      <c r="I87" s="97">
        <f t="shared" ca="1" si="0"/>
        <v>0</v>
      </c>
      <c r="J87" s="97">
        <f t="shared" ca="1" si="1"/>
        <v>0</v>
      </c>
      <c r="K87" s="97">
        <f t="shared" ca="1" si="2"/>
        <v>0</v>
      </c>
      <c r="L87" s="97">
        <f ca="1">_xll.DBRW($B$9,$C$16,$C$17,L$23,L$22,$C$18,$C$19,$B87,L$24)</f>
        <v>0</v>
      </c>
      <c r="M87" s="97">
        <f ca="1">_xll.DBRW($B$9,$C$16,$C$17,L$23,L$22,$C$18,$C$19,$B87,M$24)</f>
        <v>0</v>
      </c>
      <c r="N87" s="97">
        <f ca="1">_xll.DBRW($B$9,$C$16,$C$17,L$23,L$22,$C$18,$C$19,$B87,N$24)</f>
        <v>0</v>
      </c>
      <c r="O87" s="97">
        <f ca="1">_xll.DBRW($B$9,$C$16,$C$17,O$23,L$22,$C$18,$C$19,$B87,O$24)</f>
        <v>0</v>
      </c>
      <c r="P87" s="97">
        <f ca="1">_xll.DBRW($B$9,$C$16,$C$17,O$23,L$22,$C$18,$C$19,$B87,P$24)</f>
        <v>0</v>
      </c>
      <c r="Q87" s="97">
        <f ca="1">_xll.DBRW($B$9,$C$16,$C$17,O$23,L$22,$C$18,$C$19,$B87,Q$24)</f>
        <v>0</v>
      </c>
      <c r="R87" s="97">
        <f t="shared" ca="1" si="3"/>
        <v>0</v>
      </c>
      <c r="S87" s="97">
        <f t="shared" ca="1" si="4"/>
        <v>0</v>
      </c>
      <c r="T87" s="97">
        <f t="shared" ca="1" si="5"/>
        <v>0</v>
      </c>
      <c r="U87" s="97">
        <f ca="1">_xll.DBRW($B$9,$C$16,$C$17,U$23,U$22,$C$18,$C$19,$B87,U$24)</f>
        <v>0</v>
      </c>
      <c r="V87" s="97">
        <f ca="1">_xll.DBRW($B$9,$C$16,$C$17,U$23,U$22,$C$18,$C$19,$B87,V$24)</f>
        <v>0</v>
      </c>
      <c r="W87" s="97">
        <f ca="1">_xll.DBRW($B$9,$C$16,$C$17,U$23,U$22,$C$18,$C$19,$B87,W$24)</f>
        <v>0</v>
      </c>
      <c r="X87" s="97">
        <f ca="1">_xll.DBRW($B$9,$C$16,$C$17,X$23,U$22,$C$18,$C$19,$B87,X$24)</f>
        <v>0</v>
      </c>
      <c r="Y87" s="97">
        <f ca="1">_xll.DBRW($B$9,$C$16,$C$17,X$23,U$22,$C$18,$C$19,$B87,Y$24)</f>
        <v>0</v>
      </c>
      <c r="Z87" s="97">
        <f ca="1">_xll.DBRW($B$9,$C$16,$C$17,X$23,U$22,$C$18,$C$19,$B87,Z$24)</f>
        <v>0</v>
      </c>
      <c r="AA87" s="97">
        <f t="shared" ca="1" si="6"/>
        <v>0</v>
      </c>
      <c r="AB87" s="97">
        <f t="shared" ca="1" si="7"/>
        <v>0</v>
      </c>
      <c r="AC87" s="97">
        <f t="shared" ca="1" si="8"/>
        <v>0</v>
      </c>
      <c r="AD87" s="97">
        <f ca="1">_xll.DBRW($B$9,$C$16,$C$17,AD$23,AD$22,$C$18,$C$19,$B87,AD$24)</f>
        <v>0</v>
      </c>
      <c r="AE87" s="97">
        <f ca="1">_xll.DBRW($B$9,$C$16,$C$17,AD$23,AD$22,$C$18,$C$19,$B87,AE$24)</f>
        <v>0</v>
      </c>
      <c r="AF87" s="97">
        <f ca="1">_xll.DBRW($B$9,$C$16,$C$17,AD$23,AD$22,$C$18,$C$19,$B87,AF$24)</f>
        <v>0</v>
      </c>
      <c r="AG87" s="97">
        <f ca="1">_xll.DBRW($B$9,$C$16,$C$17,AG$23,AD$22,$C$18,$C$19,$B87,AG$24)</f>
        <v>0</v>
      </c>
      <c r="AH87" s="97">
        <f ca="1">_xll.DBRW($B$9,$C$16,$C$17,AG$23,AD$22,$C$18,$C$19,$B87,AH$24)</f>
        <v>0</v>
      </c>
      <c r="AI87" s="97">
        <f ca="1">_xll.DBRW($B$9,$C$16,$C$17,AG$23,AD$22,$C$18,$C$19,$B87,AI$24)</f>
        <v>0</v>
      </c>
      <c r="AJ87" s="97">
        <f t="shared" ca="1" si="9"/>
        <v>0</v>
      </c>
      <c r="AK87" s="97">
        <f t="shared" ca="1" si="10"/>
        <v>0</v>
      </c>
      <c r="AL87" s="97">
        <f t="shared" ca="1" si="11"/>
        <v>0</v>
      </c>
    </row>
    <row r="88" spans="1:38" x14ac:dyDescent="0.25">
      <c r="A88">
        <f ca="1">IF(_xll.TM1RPTELISCONSOLIDATED($B$25,$B88),IF(_xll.TM1RPTELLEV($B$25,$B88)&lt;=3,_xll.TM1RPTELLEV($B$25,$B88),"D"),"N")</f>
        <v>2</v>
      </c>
      <c r="B88" s="134" t="s">
        <v>100</v>
      </c>
      <c r="C88" s="99">
        <f ca="1">_xll.DBRW($B$9,$C$16,$C$17,C$23,C$22,$C$18,$C$19,$B88,C$24)</f>
        <v>0</v>
      </c>
      <c r="D88" s="99">
        <f ca="1">_xll.DBRW($B$9,$C$16,$C$17,C$23,C$22,$C$18,$C$19,$B88,D$24)</f>
        <v>0</v>
      </c>
      <c r="E88" s="99">
        <f ca="1">_xll.DBRW($B$9,$C$16,$C$17,C$23,C$22,$C$18,$C$19,$B88,E$24)</f>
        <v>0</v>
      </c>
      <c r="F88" s="99">
        <f ca="1">_xll.DBRW($B$9,$C$16,$C$17,F$23,C$22,$C$18,$C$19,$B88,F$24)</f>
        <v>0</v>
      </c>
      <c r="G88" s="99">
        <f ca="1">_xll.DBRW($B$9,$C$16,$C$17,F$23,C$22,$C$18,$C$19,$B88,G$24)</f>
        <v>0</v>
      </c>
      <c r="H88" s="99">
        <f ca="1">_xll.DBRW($B$9,$C$16,$C$17,F$23,C$22,$C$18,$C$19,$B88,H$24)</f>
        <v>0</v>
      </c>
      <c r="I88" s="99">
        <f t="shared" ca="1" si="0"/>
        <v>0</v>
      </c>
      <c r="J88" s="99">
        <f t="shared" ca="1" si="1"/>
        <v>0</v>
      </c>
      <c r="K88" s="99">
        <f t="shared" ca="1" si="2"/>
        <v>0</v>
      </c>
      <c r="L88" s="99">
        <f ca="1">_xll.DBRW($B$9,$C$16,$C$17,L$23,L$22,$C$18,$C$19,$B88,L$24)</f>
        <v>0</v>
      </c>
      <c r="M88" s="99">
        <f ca="1">_xll.DBRW($B$9,$C$16,$C$17,L$23,L$22,$C$18,$C$19,$B88,M$24)</f>
        <v>0</v>
      </c>
      <c r="N88" s="99">
        <f ca="1">_xll.DBRW($B$9,$C$16,$C$17,L$23,L$22,$C$18,$C$19,$B88,N$24)</f>
        <v>0</v>
      </c>
      <c r="O88" s="99">
        <f ca="1">_xll.DBRW($B$9,$C$16,$C$17,O$23,L$22,$C$18,$C$19,$B88,O$24)</f>
        <v>0</v>
      </c>
      <c r="P88" s="99">
        <f ca="1">_xll.DBRW($B$9,$C$16,$C$17,O$23,L$22,$C$18,$C$19,$B88,P$24)</f>
        <v>0</v>
      </c>
      <c r="Q88" s="99">
        <f ca="1">_xll.DBRW($B$9,$C$16,$C$17,O$23,L$22,$C$18,$C$19,$B88,Q$24)</f>
        <v>0</v>
      </c>
      <c r="R88" s="99">
        <f t="shared" ca="1" si="3"/>
        <v>0</v>
      </c>
      <c r="S88" s="99">
        <f t="shared" ca="1" si="4"/>
        <v>0</v>
      </c>
      <c r="T88" s="99">
        <f t="shared" ca="1" si="5"/>
        <v>0</v>
      </c>
      <c r="U88" s="99">
        <f ca="1">_xll.DBRW($B$9,$C$16,$C$17,U$23,U$22,$C$18,$C$19,$B88,U$24)</f>
        <v>0</v>
      </c>
      <c r="V88" s="99">
        <f ca="1">_xll.DBRW($B$9,$C$16,$C$17,U$23,U$22,$C$18,$C$19,$B88,V$24)</f>
        <v>0</v>
      </c>
      <c r="W88" s="99">
        <f ca="1">_xll.DBRW($B$9,$C$16,$C$17,U$23,U$22,$C$18,$C$19,$B88,W$24)</f>
        <v>0</v>
      </c>
      <c r="X88" s="99">
        <f ca="1">_xll.DBRW($B$9,$C$16,$C$17,X$23,U$22,$C$18,$C$19,$B88,X$24)</f>
        <v>0</v>
      </c>
      <c r="Y88" s="99">
        <f ca="1">_xll.DBRW($B$9,$C$16,$C$17,X$23,U$22,$C$18,$C$19,$B88,Y$24)</f>
        <v>0</v>
      </c>
      <c r="Z88" s="99">
        <f ca="1">_xll.DBRW($B$9,$C$16,$C$17,X$23,U$22,$C$18,$C$19,$B88,Z$24)</f>
        <v>0</v>
      </c>
      <c r="AA88" s="99">
        <f t="shared" ca="1" si="6"/>
        <v>0</v>
      </c>
      <c r="AB88" s="99">
        <f t="shared" ca="1" si="7"/>
        <v>0</v>
      </c>
      <c r="AC88" s="99">
        <f t="shared" ca="1" si="8"/>
        <v>0</v>
      </c>
      <c r="AD88" s="99">
        <f ca="1">_xll.DBRW($B$9,$C$16,$C$17,AD$23,AD$22,$C$18,$C$19,$B88,AD$24)</f>
        <v>0</v>
      </c>
      <c r="AE88" s="99">
        <f ca="1">_xll.DBRW($B$9,$C$16,$C$17,AD$23,AD$22,$C$18,$C$19,$B88,AE$24)</f>
        <v>0</v>
      </c>
      <c r="AF88" s="99">
        <f ca="1">_xll.DBRW($B$9,$C$16,$C$17,AD$23,AD$22,$C$18,$C$19,$B88,AF$24)</f>
        <v>0</v>
      </c>
      <c r="AG88" s="99">
        <f ca="1">_xll.DBRW($B$9,$C$16,$C$17,AG$23,AD$22,$C$18,$C$19,$B88,AG$24)</f>
        <v>0</v>
      </c>
      <c r="AH88" s="99">
        <f ca="1">_xll.DBRW($B$9,$C$16,$C$17,AG$23,AD$22,$C$18,$C$19,$B88,AH$24)</f>
        <v>0</v>
      </c>
      <c r="AI88" s="99">
        <f ca="1">_xll.DBRW($B$9,$C$16,$C$17,AG$23,AD$22,$C$18,$C$19,$B88,AI$24)</f>
        <v>0</v>
      </c>
      <c r="AJ88" s="99">
        <f t="shared" ca="1" si="9"/>
        <v>0</v>
      </c>
      <c r="AK88" s="99">
        <f t="shared" ca="1" si="10"/>
        <v>0</v>
      </c>
      <c r="AL88" s="99">
        <f t="shared" ca="1" si="11"/>
        <v>0</v>
      </c>
    </row>
    <row r="89" spans="1:38" x14ac:dyDescent="0.25">
      <c r="A89">
        <f ca="1">IF(_xll.TM1RPTELISCONSOLIDATED($B$25,$B89),IF(_xll.TM1RPTELLEV($B$25,$B89)&lt;=3,_xll.TM1RPTELLEV($B$25,$B89),"D"),"N")</f>
        <v>2</v>
      </c>
      <c r="B89" s="134" t="s">
        <v>101</v>
      </c>
      <c r="C89" s="99">
        <f ca="1">_xll.DBRW($B$9,$C$16,$C$17,C$23,C$22,$C$18,$C$19,$B89,C$24)</f>
        <v>0</v>
      </c>
      <c r="D89" s="99">
        <f ca="1">_xll.DBRW($B$9,$C$16,$C$17,C$23,C$22,$C$18,$C$19,$B89,D$24)</f>
        <v>0</v>
      </c>
      <c r="E89" s="99">
        <f ca="1">_xll.DBRW($B$9,$C$16,$C$17,C$23,C$22,$C$18,$C$19,$B89,E$24)</f>
        <v>0</v>
      </c>
      <c r="F89" s="99">
        <f ca="1">_xll.DBRW($B$9,$C$16,$C$17,F$23,C$22,$C$18,$C$19,$B89,F$24)</f>
        <v>0</v>
      </c>
      <c r="G89" s="99">
        <f ca="1">_xll.DBRW($B$9,$C$16,$C$17,F$23,C$22,$C$18,$C$19,$B89,G$24)</f>
        <v>0</v>
      </c>
      <c r="H89" s="99">
        <f ca="1">_xll.DBRW($B$9,$C$16,$C$17,F$23,C$22,$C$18,$C$19,$B89,H$24)</f>
        <v>0</v>
      </c>
      <c r="I89" s="99">
        <f t="shared" ca="1" si="0"/>
        <v>0</v>
      </c>
      <c r="J89" s="99">
        <f t="shared" ca="1" si="1"/>
        <v>0</v>
      </c>
      <c r="K89" s="99">
        <f t="shared" ca="1" si="2"/>
        <v>0</v>
      </c>
      <c r="L89" s="99">
        <f ca="1">_xll.DBRW($B$9,$C$16,$C$17,L$23,L$22,$C$18,$C$19,$B89,L$24)</f>
        <v>0</v>
      </c>
      <c r="M89" s="99">
        <f ca="1">_xll.DBRW($B$9,$C$16,$C$17,L$23,L$22,$C$18,$C$19,$B89,M$24)</f>
        <v>0</v>
      </c>
      <c r="N89" s="99">
        <f ca="1">_xll.DBRW($B$9,$C$16,$C$17,L$23,L$22,$C$18,$C$19,$B89,N$24)</f>
        <v>0</v>
      </c>
      <c r="O89" s="99">
        <f ca="1">_xll.DBRW($B$9,$C$16,$C$17,O$23,L$22,$C$18,$C$19,$B89,O$24)</f>
        <v>0</v>
      </c>
      <c r="P89" s="99">
        <f ca="1">_xll.DBRW($B$9,$C$16,$C$17,O$23,L$22,$C$18,$C$19,$B89,P$24)</f>
        <v>0</v>
      </c>
      <c r="Q89" s="99">
        <f ca="1">_xll.DBRW($B$9,$C$16,$C$17,O$23,L$22,$C$18,$C$19,$B89,Q$24)</f>
        <v>0</v>
      </c>
      <c r="R89" s="99">
        <f t="shared" ca="1" si="3"/>
        <v>0</v>
      </c>
      <c r="S89" s="99">
        <f t="shared" ca="1" si="4"/>
        <v>0</v>
      </c>
      <c r="T89" s="99">
        <f t="shared" ca="1" si="5"/>
        <v>0</v>
      </c>
      <c r="U89" s="99">
        <f ca="1">_xll.DBRW($B$9,$C$16,$C$17,U$23,U$22,$C$18,$C$19,$B89,U$24)</f>
        <v>0</v>
      </c>
      <c r="V89" s="99">
        <f ca="1">_xll.DBRW($B$9,$C$16,$C$17,U$23,U$22,$C$18,$C$19,$B89,V$24)</f>
        <v>0</v>
      </c>
      <c r="W89" s="99">
        <f ca="1">_xll.DBRW($B$9,$C$16,$C$17,U$23,U$22,$C$18,$C$19,$B89,W$24)</f>
        <v>0</v>
      </c>
      <c r="X89" s="99">
        <f ca="1">_xll.DBRW($B$9,$C$16,$C$17,X$23,U$22,$C$18,$C$19,$B89,X$24)</f>
        <v>0</v>
      </c>
      <c r="Y89" s="99">
        <f ca="1">_xll.DBRW($B$9,$C$16,$C$17,X$23,U$22,$C$18,$C$19,$B89,Y$24)</f>
        <v>0</v>
      </c>
      <c r="Z89" s="99">
        <f ca="1">_xll.DBRW($B$9,$C$16,$C$17,X$23,U$22,$C$18,$C$19,$B89,Z$24)</f>
        <v>0</v>
      </c>
      <c r="AA89" s="99">
        <f t="shared" ca="1" si="6"/>
        <v>0</v>
      </c>
      <c r="AB89" s="99">
        <f t="shared" ca="1" si="7"/>
        <v>0</v>
      </c>
      <c r="AC89" s="99">
        <f t="shared" ca="1" si="8"/>
        <v>0</v>
      </c>
      <c r="AD89" s="99">
        <f ca="1">_xll.DBRW($B$9,$C$16,$C$17,AD$23,AD$22,$C$18,$C$19,$B89,AD$24)</f>
        <v>0</v>
      </c>
      <c r="AE89" s="99">
        <f ca="1">_xll.DBRW($B$9,$C$16,$C$17,AD$23,AD$22,$C$18,$C$19,$B89,AE$24)</f>
        <v>0</v>
      </c>
      <c r="AF89" s="99">
        <f ca="1">_xll.DBRW($B$9,$C$16,$C$17,AD$23,AD$22,$C$18,$C$19,$B89,AF$24)</f>
        <v>0</v>
      </c>
      <c r="AG89" s="99">
        <f ca="1">_xll.DBRW($B$9,$C$16,$C$17,AG$23,AD$22,$C$18,$C$19,$B89,AG$24)</f>
        <v>0</v>
      </c>
      <c r="AH89" s="99">
        <f ca="1">_xll.DBRW($B$9,$C$16,$C$17,AG$23,AD$22,$C$18,$C$19,$B89,AH$24)</f>
        <v>0</v>
      </c>
      <c r="AI89" s="99">
        <f ca="1">_xll.DBRW($B$9,$C$16,$C$17,AG$23,AD$22,$C$18,$C$19,$B89,AI$24)</f>
        <v>0</v>
      </c>
      <c r="AJ89" s="99">
        <f t="shared" ca="1" si="9"/>
        <v>0</v>
      </c>
      <c r="AK89" s="99">
        <f t="shared" ca="1" si="10"/>
        <v>0</v>
      </c>
      <c r="AL89" s="99">
        <f t="shared" ca="1" si="11"/>
        <v>0</v>
      </c>
    </row>
    <row r="90" spans="1:38" x14ac:dyDescent="0.25">
      <c r="A90">
        <f ca="1">IF(_xll.TM1RPTELISCONSOLIDATED($B$25,$B90),IF(_xll.TM1RPTELLEV($B$25,$B90)&lt;=3,_xll.TM1RPTELLEV($B$25,$B90),"D"),"N")</f>
        <v>2</v>
      </c>
      <c r="B90" s="134" t="s">
        <v>102</v>
      </c>
      <c r="C90" s="99">
        <f ca="1">_xll.DBRW($B$9,$C$16,$C$17,C$23,C$22,$C$18,$C$19,$B90,C$24)</f>
        <v>0</v>
      </c>
      <c r="D90" s="99">
        <f ca="1">_xll.DBRW($B$9,$C$16,$C$17,C$23,C$22,$C$18,$C$19,$B90,D$24)</f>
        <v>0</v>
      </c>
      <c r="E90" s="99">
        <f ca="1">_xll.DBRW($B$9,$C$16,$C$17,C$23,C$22,$C$18,$C$19,$B90,E$24)</f>
        <v>0</v>
      </c>
      <c r="F90" s="99">
        <f ca="1">_xll.DBRW($B$9,$C$16,$C$17,F$23,C$22,$C$18,$C$19,$B90,F$24)</f>
        <v>0</v>
      </c>
      <c r="G90" s="99">
        <f ca="1">_xll.DBRW($B$9,$C$16,$C$17,F$23,C$22,$C$18,$C$19,$B90,G$24)</f>
        <v>0</v>
      </c>
      <c r="H90" s="99">
        <f ca="1">_xll.DBRW($B$9,$C$16,$C$17,F$23,C$22,$C$18,$C$19,$B90,H$24)</f>
        <v>0</v>
      </c>
      <c r="I90" s="99">
        <f t="shared" ref="I90:I153" ca="1" si="12">C90+F90</f>
        <v>0</v>
      </c>
      <c r="J90" s="99">
        <f t="shared" ref="J90:J153" ca="1" si="13">IF(I90=0,0,K90/I90)</f>
        <v>0</v>
      </c>
      <c r="K90" s="99">
        <f t="shared" ref="K90:K153" ca="1" si="14">E90+H90</f>
        <v>0</v>
      </c>
      <c r="L90" s="99">
        <f ca="1">_xll.DBRW($B$9,$C$16,$C$17,L$23,L$22,$C$18,$C$19,$B90,L$24)</f>
        <v>0</v>
      </c>
      <c r="M90" s="99">
        <f ca="1">_xll.DBRW($B$9,$C$16,$C$17,L$23,L$22,$C$18,$C$19,$B90,M$24)</f>
        <v>0</v>
      </c>
      <c r="N90" s="99">
        <f ca="1">_xll.DBRW($B$9,$C$16,$C$17,L$23,L$22,$C$18,$C$19,$B90,N$24)</f>
        <v>0</v>
      </c>
      <c r="O90" s="99">
        <f ca="1">_xll.DBRW($B$9,$C$16,$C$17,O$23,L$22,$C$18,$C$19,$B90,O$24)</f>
        <v>0</v>
      </c>
      <c r="P90" s="99">
        <f ca="1">_xll.DBRW($B$9,$C$16,$C$17,O$23,L$22,$C$18,$C$19,$B90,P$24)</f>
        <v>0</v>
      </c>
      <c r="Q90" s="99">
        <f ca="1">_xll.DBRW($B$9,$C$16,$C$17,O$23,L$22,$C$18,$C$19,$B90,Q$24)</f>
        <v>0</v>
      </c>
      <c r="R90" s="99">
        <f t="shared" ref="R90:R153" ca="1" si="15">L90+O90</f>
        <v>0</v>
      </c>
      <c r="S90" s="99">
        <f t="shared" ref="S90:S153" ca="1" si="16">IF(R90=0,0,T90/R90)</f>
        <v>0</v>
      </c>
      <c r="T90" s="99">
        <f t="shared" ref="T90:T153" ca="1" si="17">N90+Q90</f>
        <v>0</v>
      </c>
      <c r="U90" s="99">
        <f ca="1">_xll.DBRW($B$9,$C$16,$C$17,U$23,U$22,$C$18,$C$19,$B90,U$24)</f>
        <v>0</v>
      </c>
      <c r="V90" s="99">
        <f ca="1">_xll.DBRW($B$9,$C$16,$C$17,U$23,U$22,$C$18,$C$19,$B90,V$24)</f>
        <v>0</v>
      </c>
      <c r="W90" s="99">
        <f ca="1">_xll.DBRW($B$9,$C$16,$C$17,U$23,U$22,$C$18,$C$19,$B90,W$24)</f>
        <v>0</v>
      </c>
      <c r="X90" s="99">
        <f ca="1">_xll.DBRW($B$9,$C$16,$C$17,X$23,U$22,$C$18,$C$19,$B90,X$24)</f>
        <v>0</v>
      </c>
      <c r="Y90" s="99">
        <f ca="1">_xll.DBRW($B$9,$C$16,$C$17,X$23,U$22,$C$18,$C$19,$B90,Y$24)</f>
        <v>0</v>
      </c>
      <c r="Z90" s="99">
        <f ca="1">_xll.DBRW($B$9,$C$16,$C$17,X$23,U$22,$C$18,$C$19,$B90,Z$24)</f>
        <v>0</v>
      </c>
      <c r="AA90" s="99">
        <f t="shared" ref="AA90:AA153" ca="1" si="18">U90+X90</f>
        <v>0</v>
      </c>
      <c r="AB90" s="99">
        <f t="shared" ref="AB90:AB153" ca="1" si="19">IF(AA90=0,0,AC90/AA90)</f>
        <v>0</v>
      </c>
      <c r="AC90" s="99">
        <f t="shared" ref="AC90:AC153" ca="1" si="20">Z90+W90</f>
        <v>0</v>
      </c>
      <c r="AD90" s="99">
        <f ca="1">_xll.DBRW($B$9,$C$16,$C$17,AD$23,AD$22,$C$18,$C$19,$B90,AD$24)</f>
        <v>0</v>
      </c>
      <c r="AE90" s="99">
        <f ca="1">_xll.DBRW($B$9,$C$16,$C$17,AD$23,AD$22,$C$18,$C$19,$B90,AE$24)</f>
        <v>0</v>
      </c>
      <c r="AF90" s="99">
        <f ca="1">_xll.DBRW($B$9,$C$16,$C$17,AD$23,AD$22,$C$18,$C$19,$B90,AF$24)</f>
        <v>0</v>
      </c>
      <c r="AG90" s="99">
        <f ca="1">_xll.DBRW($B$9,$C$16,$C$17,AG$23,AD$22,$C$18,$C$19,$B90,AG$24)</f>
        <v>0</v>
      </c>
      <c r="AH90" s="99">
        <f ca="1">_xll.DBRW($B$9,$C$16,$C$17,AG$23,AD$22,$C$18,$C$19,$B90,AH$24)</f>
        <v>0</v>
      </c>
      <c r="AI90" s="99">
        <f ca="1">_xll.DBRW($B$9,$C$16,$C$17,AG$23,AD$22,$C$18,$C$19,$B90,AI$24)</f>
        <v>0</v>
      </c>
      <c r="AJ90" s="99">
        <f t="shared" ref="AJ90:AJ153" ca="1" si="21">AG90+AD90</f>
        <v>0</v>
      </c>
      <c r="AK90" s="99">
        <f t="shared" ref="AK90:AK153" ca="1" si="22">IF(AJ90=0,0,AL90/AJ90)</f>
        <v>0</v>
      </c>
      <c r="AL90" s="99">
        <f t="shared" ref="AL90:AL153" ca="1" si="23">AI90+AF90</f>
        <v>0</v>
      </c>
    </row>
    <row r="91" spans="1:38" x14ac:dyDescent="0.25">
      <c r="A91">
        <f ca="1">IF(_xll.TM1RPTELISCONSOLIDATED($B$25,$B91),IF(_xll.TM1RPTELLEV($B$25,$B91)&lt;=3,_xll.TM1RPTELLEV($B$25,$B91),"D"),"N")</f>
        <v>2</v>
      </c>
      <c r="B91" s="134" t="s">
        <v>103</v>
      </c>
      <c r="C91" s="99">
        <f ca="1">_xll.DBRW($B$9,$C$16,$C$17,C$23,C$22,$C$18,$C$19,$B91,C$24)</f>
        <v>0</v>
      </c>
      <c r="D91" s="99">
        <f ca="1">_xll.DBRW($B$9,$C$16,$C$17,C$23,C$22,$C$18,$C$19,$B91,D$24)</f>
        <v>0</v>
      </c>
      <c r="E91" s="99">
        <f ca="1">_xll.DBRW($B$9,$C$16,$C$17,C$23,C$22,$C$18,$C$19,$B91,E$24)</f>
        <v>0</v>
      </c>
      <c r="F91" s="99">
        <f ca="1">_xll.DBRW($B$9,$C$16,$C$17,F$23,C$22,$C$18,$C$19,$B91,F$24)</f>
        <v>0</v>
      </c>
      <c r="G91" s="99">
        <f ca="1">_xll.DBRW($B$9,$C$16,$C$17,F$23,C$22,$C$18,$C$19,$B91,G$24)</f>
        <v>0</v>
      </c>
      <c r="H91" s="99">
        <f ca="1">_xll.DBRW($B$9,$C$16,$C$17,F$23,C$22,$C$18,$C$19,$B91,H$24)</f>
        <v>0</v>
      </c>
      <c r="I91" s="99">
        <f t="shared" ca="1" si="12"/>
        <v>0</v>
      </c>
      <c r="J91" s="99">
        <f t="shared" ca="1" si="13"/>
        <v>0</v>
      </c>
      <c r="K91" s="99">
        <f t="shared" ca="1" si="14"/>
        <v>0</v>
      </c>
      <c r="L91" s="99">
        <f ca="1">_xll.DBRW($B$9,$C$16,$C$17,L$23,L$22,$C$18,$C$19,$B91,L$24)</f>
        <v>0</v>
      </c>
      <c r="M91" s="99">
        <f ca="1">_xll.DBRW($B$9,$C$16,$C$17,L$23,L$22,$C$18,$C$19,$B91,M$24)</f>
        <v>0</v>
      </c>
      <c r="N91" s="99">
        <f ca="1">_xll.DBRW($B$9,$C$16,$C$17,L$23,L$22,$C$18,$C$19,$B91,N$24)</f>
        <v>0</v>
      </c>
      <c r="O91" s="99">
        <f ca="1">_xll.DBRW($B$9,$C$16,$C$17,O$23,L$22,$C$18,$C$19,$B91,O$24)</f>
        <v>0</v>
      </c>
      <c r="P91" s="99">
        <f ca="1">_xll.DBRW($B$9,$C$16,$C$17,O$23,L$22,$C$18,$C$19,$B91,P$24)</f>
        <v>0</v>
      </c>
      <c r="Q91" s="99">
        <f ca="1">_xll.DBRW($B$9,$C$16,$C$17,O$23,L$22,$C$18,$C$19,$B91,Q$24)</f>
        <v>0</v>
      </c>
      <c r="R91" s="99">
        <f t="shared" ca="1" si="15"/>
        <v>0</v>
      </c>
      <c r="S91" s="99">
        <f t="shared" ca="1" si="16"/>
        <v>0</v>
      </c>
      <c r="T91" s="99">
        <f t="shared" ca="1" si="17"/>
        <v>0</v>
      </c>
      <c r="U91" s="99">
        <f ca="1">_xll.DBRW($B$9,$C$16,$C$17,U$23,U$22,$C$18,$C$19,$B91,U$24)</f>
        <v>0</v>
      </c>
      <c r="V91" s="99">
        <f ca="1">_xll.DBRW($B$9,$C$16,$C$17,U$23,U$22,$C$18,$C$19,$B91,V$24)</f>
        <v>0</v>
      </c>
      <c r="W91" s="99">
        <f ca="1">_xll.DBRW($B$9,$C$16,$C$17,U$23,U$22,$C$18,$C$19,$B91,W$24)</f>
        <v>0</v>
      </c>
      <c r="X91" s="99">
        <f ca="1">_xll.DBRW($B$9,$C$16,$C$17,X$23,U$22,$C$18,$C$19,$B91,X$24)</f>
        <v>0</v>
      </c>
      <c r="Y91" s="99">
        <f ca="1">_xll.DBRW($B$9,$C$16,$C$17,X$23,U$22,$C$18,$C$19,$B91,Y$24)</f>
        <v>0</v>
      </c>
      <c r="Z91" s="99">
        <f ca="1">_xll.DBRW($B$9,$C$16,$C$17,X$23,U$22,$C$18,$C$19,$B91,Z$24)</f>
        <v>0</v>
      </c>
      <c r="AA91" s="99">
        <f t="shared" ca="1" si="18"/>
        <v>0</v>
      </c>
      <c r="AB91" s="99">
        <f t="shared" ca="1" si="19"/>
        <v>0</v>
      </c>
      <c r="AC91" s="99">
        <f t="shared" ca="1" si="20"/>
        <v>0</v>
      </c>
      <c r="AD91" s="99">
        <f ca="1">_xll.DBRW($B$9,$C$16,$C$17,AD$23,AD$22,$C$18,$C$19,$B91,AD$24)</f>
        <v>0</v>
      </c>
      <c r="AE91" s="99">
        <f ca="1">_xll.DBRW($B$9,$C$16,$C$17,AD$23,AD$22,$C$18,$C$19,$B91,AE$24)</f>
        <v>0</v>
      </c>
      <c r="AF91" s="99">
        <f ca="1">_xll.DBRW($B$9,$C$16,$C$17,AD$23,AD$22,$C$18,$C$19,$B91,AF$24)</f>
        <v>0</v>
      </c>
      <c r="AG91" s="99">
        <f ca="1">_xll.DBRW($B$9,$C$16,$C$17,AG$23,AD$22,$C$18,$C$19,$B91,AG$24)</f>
        <v>0</v>
      </c>
      <c r="AH91" s="99">
        <f ca="1">_xll.DBRW($B$9,$C$16,$C$17,AG$23,AD$22,$C$18,$C$19,$B91,AH$24)</f>
        <v>0</v>
      </c>
      <c r="AI91" s="99">
        <f ca="1">_xll.DBRW($B$9,$C$16,$C$17,AG$23,AD$22,$C$18,$C$19,$B91,AI$24)</f>
        <v>0</v>
      </c>
      <c r="AJ91" s="99">
        <f t="shared" ca="1" si="21"/>
        <v>0</v>
      </c>
      <c r="AK91" s="99">
        <f t="shared" ca="1" si="22"/>
        <v>0</v>
      </c>
      <c r="AL91" s="99">
        <f t="shared" ca="1" si="23"/>
        <v>0</v>
      </c>
    </row>
    <row r="92" spans="1:38" x14ac:dyDescent="0.25">
      <c r="A92">
        <f ca="1">IF(_xll.TM1RPTELISCONSOLIDATED($B$25,$B92),IF(_xll.TM1RPTELLEV($B$25,$B92)&lt;=3,_xll.TM1RPTELLEV($B$25,$B92),"D"),"N")</f>
        <v>2</v>
      </c>
      <c r="B92" s="134" t="s">
        <v>104</v>
      </c>
      <c r="C92" s="99">
        <f ca="1">_xll.DBRW($B$9,$C$16,$C$17,C$23,C$22,$C$18,$C$19,$B92,C$24)</f>
        <v>0</v>
      </c>
      <c r="D92" s="99">
        <f ca="1">_xll.DBRW($B$9,$C$16,$C$17,C$23,C$22,$C$18,$C$19,$B92,D$24)</f>
        <v>0</v>
      </c>
      <c r="E92" s="99">
        <f ca="1">_xll.DBRW($B$9,$C$16,$C$17,C$23,C$22,$C$18,$C$19,$B92,E$24)</f>
        <v>0</v>
      </c>
      <c r="F92" s="99">
        <f ca="1">_xll.DBRW($B$9,$C$16,$C$17,F$23,C$22,$C$18,$C$19,$B92,F$24)</f>
        <v>0</v>
      </c>
      <c r="G92" s="99">
        <f ca="1">_xll.DBRW($B$9,$C$16,$C$17,F$23,C$22,$C$18,$C$19,$B92,G$24)</f>
        <v>0</v>
      </c>
      <c r="H92" s="99">
        <f ca="1">_xll.DBRW($B$9,$C$16,$C$17,F$23,C$22,$C$18,$C$19,$B92,H$24)</f>
        <v>0</v>
      </c>
      <c r="I92" s="99">
        <f t="shared" ca="1" si="12"/>
        <v>0</v>
      </c>
      <c r="J92" s="99">
        <f t="shared" ca="1" si="13"/>
        <v>0</v>
      </c>
      <c r="K92" s="99">
        <f t="shared" ca="1" si="14"/>
        <v>0</v>
      </c>
      <c r="L92" s="99">
        <f ca="1">_xll.DBRW($B$9,$C$16,$C$17,L$23,L$22,$C$18,$C$19,$B92,L$24)</f>
        <v>0</v>
      </c>
      <c r="M92" s="99">
        <f ca="1">_xll.DBRW($B$9,$C$16,$C$17,L$23,L$22,$C$18,$C$19,$B92,M$24)</f>
        <v>0</v>
      </c>
      <c r="N92" s="99">
        <f ca="1">_xll.DBRW($B$9,$C$16,$C$17,L$23,L$22,$C$18,$C$19,$B92,N$24)</f>
        <v>0</v>
      </c>
      <c r="O92" s="99">
        <f ca="1">_xll.DBRW($B$9,$C$16,$C$17,O$23,L$22,$C$18,$C$19,$B92,O$24)</f>
        <v>0</v>
      </c>
      <c r="P92" s="99">
        <f ca="1">_xll.DBRW($B$9,$C$16,$C$17,O$23,L$22,$C$18,$C$19,$B92,P$24)</f>
        <v>0</v>
      </c>
      <c r="Q92" s="99">
        <f ca="1">_xll.DBRW($B$9,$C$16,$C$17,O$23,L$22,$C$18,$C$19,$B92,Q$24)</f>
        <v>0</v>
      </c>
      <c r="R92" s="99">
        <f t="shared" ca="1" si="15"/>
        <v>0</v>
      </c>
      <c r="S92" s="99">
        <f t="shared" ca="1" si="16"/>
        <v>0</v>
      </c>
      <c r="T92" s="99">
        <f t="shared" ca="1" si="17"/>
        <v>0</v>
      </c>
      <c r="U92" s="99">
        <f ca="1">_xll.DBRW($B$9,$C$16,$C$17,U$23,U$22,$C$18,$C$19,$B92,U$24)</f>
        <v>0</v>
      </c>
      <c r="V92" s="99">
        <f ca="1">_xll.DBRW($B$9,$C$16,$C$17,U$23,U$22,$C$18,$C$19,$B92,V$24)</f>
        <v>0</v>
      </c>
      <c r="W92" s="99">
        <f ca="1">_xll.DBRW($B$9,$C$16,$C$17,U$23,U$22,$C$18,$C$19,$B92,W$24)</f>
        <v>0</v>
      </c>
      <c r="X92" s="99">
        <f ca="1">_xll.DBRW($B$9,$C$16,$C$17,X$23,U$22,$C$18,$C$19,$B92,X$24)</f>
        <v>0</v>
      </c>
      <c r="Y92" s="99">
        <f ca="1">_xll.DBRW($B$9,$C$16,$C$17,X$23,U$22,$C$18,$C$19,$B92,Y$24)</f>
        <v>0</v>
      </c>
      <c r="Z92" s="99">
        <f ca="1">_xll.DBRW($B$9,$C$16,$C$17,X$23,U$22,$C$18,$C$19,$B92,Z$24)</f>
        <v>0</v>
      </c>
      <c r="AA92" s="99">
        <f t="shared" ca="1" si="18"/>
        <v>0</v>
      </c>
      <c r="AB92" s="99">
        <f t="shared" ca="1" si="19"/>
        <v>0</v>
      </c>
      <c r="AC92" s="99">
        <f t="shared" ca="1" si="20"/>
        <v>0</v>
      </c>
      <c r="AD92" s="99">
        <f ca="1">_xll.DBRW($B$9,$C$16,$C$17,AD$23,AD$22,$C$18,$C$19,$B92,AD$24)</f>
        <v>0</v>
      </c>
      <c r="AE92" s="99">
        <f ca="1">_xll.DBRW($B$9,$C$16,$C$17,AD$23,AD$22,$C$18,$C$19,$B92,AE$24)</f>
        <v>0</v>
      </c>
      <c r="AF92" s="99">
        <f ca="1">_xll.DBRW($B$9,$C$16,$C$17,AD$23,AD$22,$C$18,$C$19,$B92,AF$24)</f>
        <v>0</v>
      </c>
      <c r="AG92" s="99">
        <f ca="1">_xll.DBRW($B$9,$C$16,$C$17,AG$23,AD$22,$C$18,$C$19,$B92,AG$24)</f>
        <v>0</v>
      </c>
      <c r="AH92" s="99">
        <f ca="1">_xll.DBRW($B$9,$C$16,$C$17,AG$23,AD$22,$C$18,$C$19,$B92,AH$24)</f>
        <v>0</v>
      </c>
      <c r="AI92" s="99">
        <f ca="1">_xll.DBRW($B$9,$C$16,$C$17,AG$23,AD$22,$C$18,$C$19,$B92,AI$24)</f>
        <v>0</v>
      </c>
      <c r="AJ92" s="99">
        <f t="shared" ca="1" si="21"/>
        <v>0</v>
      </c>
      <c r="AK92" s="99">
        <f t="shared" ca="1" si="22"/>
        <v>0</v>
      </c>
      <c r="AL92" s="99">
        <f t="shared" ca="1" si="23"/>
        <v>0</v>
      </c>
    </row>
    <row r="93" spans="1:38" x14ac:dyDescent="0.25">
      <c r="A93">
        <f ca="1">IF(_xll.TM1RPTELISCONSOLIDATED($B$25,$B93),IF(_xll.TM1RPTELLEV($B$25,$B93)&lt;=3,_xll.TM1RPTELLEV($B$25,$B93),"D"),"N")</f>
        <v>1</v>
      </c>
      <c r="B93" s="133" t="s">
        <v>24</v>
      </c>
      <c r="C93" s="97">
        <f ca="1">_xll.DBRW($B$9,$C$16,$C$17,C$23,C$22,$C$18,$C$19,$B93,C$24)</f>
        <v>0</v>
      </c>
      <c r="D93" s="97">
        <f ca="1">_xll.DBRW($B$9,$C$16,$C$17,C$23,C$22,$C$18,$C$19,$B93,D$24)</f>
        <v>0</v>
      </c>
      <c r="E93" s="97">
        <f ca="1">_xll.DBRW($B$9,$C$16,$C$17,C$23,C$22,$C$18,$C$19,$B93,E$24)</f>
        <v>0</v>
      </c>
      <c r="F93" s="97">
        <f ca="1">_xll.DBRW($B$9,$C$16,$C$17,F$23,C$22,$C$18,$C$19,$B93,F$24)</f>
        <v>0</v>
      </c>
      <c r="G93" s="97">
        <f ca="1">_xll.DBRW($B$9,$C$16,$C$17,F$23,C$22,$C$18,$C$19,$B93,G$24)</f>
        <v>0</v>
      </c>
      <c r="H93" s="97">
        <f ca="1">_xll.DBRW($B$9,$C$16,$C$17,F$23,C$22,$C$18,$C$19,$B93,H$24)</f>
        <v>0</v>
      </c>
      <c r="I93" s="97">
        <f t="shared" ca="1" si="12"/>
        <v>0</v>
      </c>
      <c r="J93" s="97">
        <f t="shared" ca="1" si="13"/>
        <v>0</v>
      </c>
      <c r="K93" s="97">
        <f t="shared" ca="1" si="14"/>
        <v>0</v>
      </c>
      <c r="L93" s="97">
        <f ca="1">_xll.DBRW($B$9,$C$16,$C$17,L$23,L$22,$C$18,$C$19,$B93,L$24)</f>
        <v>0</v>
      </c>
      <c r="M93" s="97">
        <f ca="1">_xll.DBRW($B$9,$C$16,$C$17,L$23,L$22,$C$18,$C$19,$B93,M$24)</f>
        <v>0</v>
      </c>
      <c r="N93" s="97">
        <f ca="1">_xll.DBRW($B$9,$C$16,$C$17,L$23,L$22,$C$18,$C$19,$B93,N$24)</f>
        <v>0</v>
      </c>
      <c r="O93" s="97">
        <f ca="1">_xll.DBRW($B$9,$C$16,$C$17,O$23,L$22,$C$18,$C$19,$B93,O$24)</f>
        <v>0</v>
      </c>
      <c r="P93" s="97">
        <f ca="1">_xll.DBRW($B$9,$C$16,$C$17,O$23,L$22,$C$18,$C$19,$B93,P$24)</f>
        <v>0</v>
      </c>
      <c r="Q93" s="97">
        <f ca="1">_xll.DBRW($B$9,$C$16,$C$17,O$23,L$22,$C$18,$C$19,$B93,Q$24)</f>
        <v>0</v>
      </c>
      <c r="R93" s="97">
        <f t="shared" ca="1" si="15"/>
        <v>0</v>
      </c>
      <c r="S93" s="97">
        <f t="shared" ca="1" si="16"/>
        <v>0</v>
      </c>
      <c r="T93" s="97">
        <f t="shared" ca="1" si="17"/>
        <v>0</v>
      </c>
      <c r="U93" s="97">
        <f ca="1">_xll.DBRW($B$9,$C$16,$C$17,U$23,U$22,$C$18,$C$19,$B93,U$24)</f>
        <v>0</v>
      </c>
      <c r="V93" s="97">
        <f ca="1">_xll.DBRW($B$9,$C$16,$C$17,U$23,U$22,$C$18,$C$19,$B93,V$24)</f>
        <v>0</v>
      </c>
      <c r="W93" s="97">
        <f ca="1">_xll.DBRW($B$9,$C$16,$C$17,U$23,U$22,$C$18,$C$19,$B93,W$24)</f>
        <v>0</v>
      </c>
      <c r="X93" s="97">
        <f ca="1">_xll.DBRW($B$9,$C$16,$C$17,X$23,U$22,$C$18,$C$19,$B93,X$24)</f>
        <v>0</v>
      </c>
      <c r="Y93" s="97">
        <f ca="1">_xll.DBRW($B$9,$C$16,$C$17,X$23,U$22,$C$18,$C$19,$B93,Y$24)</f>
        <v>0</v>
      </c>
      <c r="Z93" s="97">
        <f ca="1">_xll.DBRW($B$9,$C$16,$C$17,X$23,U$22,$C$18,$C$19,$B93,Z$24)</f>
        <v>0</v>
      </c>
      <c r="AA93" s="97">
        <f t="shared" ca="1" si="18"/>
        <v>0</v>
      </c>
      <c r="AB93" s="97">
        <f t="shared" ca="1" si="19"/>
        <v>0</v>
      </c>
      <c r="AC93" s="97">
        <f t="shared" ca="1" si="20"/>
        <v>0</v>
      </c>
      <c r="AD93" s="97">
        <f ca="1">_xll.DBRW($B$9,$C$16,$C$17,AD$23,AD$22,$C$18,$C$19,$B93,AD$24)</f>
        <v>0</v>
      </c>
      <c r="AE93" s="97">
        <f ca="1">_xll.DBRW($B$9,$C$16,$C$17,AD$23,AD$22,$C$18,$C$19,$B93,AE$24)</f>
        <v>0</v>
      </c>
      <c r="AF93" s="97">
        <f ca="1">_xll.DBRW($B$9,$C$16,$C$17,AD$23,AD$22,$C$18,$C$19,$B93,AF$24)</f>
        <v>0</v>
      </c>
      <c r="AG93" s="97">
        <f ca="1">_xll.DBRW($B$9,$C$16,$C$17,AG$23,AD$22,$C$18,$C$19,$B93,AG$24)</f>
        <v>0</v>
      </c>
      <c r="AH93" s="97">
        <f ca="1">_xll.DBRW($B$9,$C$16,$C$17,AG$23,AD$22,$C$18,$C$19,$B93,AH$24)</f>
        <v>0</v>
      </c>
      <c r="AI93" s="97">
        <f ca="1">_xll.DBRW($B$9,$C$16,$C$17,AG$23,AD$22,$C$18,$C$19,$B93,AI$24)</f>
        <v>0</v>
      </c>
      <c r="AJ93" s="97">
        <f t="shared" ca="1" si="21"/>
        <v>0</v>
      </c>
      <c r="AK93" s="97">
        <f t="shared" ca="1" si="22"/>
        <v>0</v>
      </c>
      <c r="AL93" s="97">
        <f t="shared" ca="1" si="23"/>
        <v>0</v>
      </c>
    </row>
    <row r="94" spans="1:38" x14ac:dyDescent="0.25">
      <c r="A94">
        <f ca="1">IF(_xll.TM1RPTELISCONSOLIDATED($B$25,$B94),IF(_xll.TM1RPTELLEV($B$25,$B94)&lt;=3,_xll.TM1RPTELLEV($B$25,$B94),"D"),"N")</f>
        <v>2</v>
      </c>
      <c r="B94" s="134" t="s">
        <v>105</v>
      </c>
      <c r="C94" s="99">
        <f ca="1">_xll.DBRW($B$9,$C$16,$C$17,C$23,C$22,$C$18,$C$19,$B94,C$24)</f>
        <v>0</v>
      </c>
      <c r="D94" s="99">
        <f ca="1">_xll.DBRW($B$9,$C$16,$C$17,C$23,C$22,$C$18,$C$19,$B94,D$24)</f>
        <v>0</v>
      </c>
      <c r="E94" s="99">
        <f ca="1">_xll.DBRW($B$9,$C$16,$C$17,C$23,C$22,$C$18,$C$19,$B94,E$24)</f>
        <v>0</v>
      </c>
      <c r="F94" s="99">
        <f ca="1">_xll.DBRW($B$9,$C$16,$C$17,F$23,C$22,$C$18,$C$19,$B94,F$24)</f>
        <v>0</v>
      </c>
      <c r="G94" s="99">
        <f ca="1">_xll.DBRW($B$9,$C$16,$C$17,F$23,C$22,$C$18,$C$19,$B94,G$24)</f>
        <v>0</v>
      </c>
      <c r="H94" s="99">
        <f ca="1">_xll.DBRW($B$9,$C$16,$C$17,F$23,C$22,$C$18,$C$19,$B94,H$24)</f>
        <v>0</v>
      </c>
      <c r="I94" s="99">
        <f t="shared" ca="1" si="12"/>
        <v>0</v>
      </c>
      <c r="J94" s="99">
        <f t="shared" ca="1" si="13"/>
        <v>0</v>
      </c>
      <c r="K94" s="99">
        <f t="shared" ca="1" si="14"/>
        <v>0</v>
      </c>
      <c r="L94" s="99">
        <f ca="1">_xll.DBRW($B$9,$C$16,$C$17,L$23,L$22,$C$18,$C$19,$B94,L$24)</f>
        <v>0</v>
      </c>
      <c r="M94" s="99">
        <f ca="1">_xll.DBRW($B$9,$C$16,$C$17,L$23,L$22,$C$18,$C$19,$B94,M$24)</f>
        <v>0</v>
      </c>
      <c r="N94" s="99">
        <f ca="1">_xll.DBRW($B$9,$C$16,$C$17,L$23,L$22,$C$18,$C$19,$B94,N$24)</f>
        <v>0</v>
      </c>
      <c r="O94" s="99">
        <f ca="1">_xll.DBRW($B$9,$C$16,$C$17,O$23,L$22,$C$18,$C$19,$B94,O$24)</f>
        <v>0</v>
      </c>
      <c r="P94" s="99">
        <f ca="1">_xll.DBRW($B$9,$C$16,$C$17,O$23,L$22,$C$18,$C$19,$B94,P$24)</f>
        <v>0</v>
      </c>
      <c r="Q94" s="99">
        <f ca="1">_xll.DBRW($B$9,$C$16,$C$17,O$23,L$22,$C$18,$C$19,$B94,Q$24)</f>
        <v>0</v>
      </c>
      <c r="R94" s="99">
        <f t="shared" ca="1" si="15"/>
        <v>0</v>
      </c>
      <c r="S94" s="99">
        <f t="shared" ca="1" si="16"/>
        <v>0</v>
      </c>
      <c r="T94" s="99">
        <f t="shared" ca="1" si="17"/>
        <v>0</v>
      </c>
      <c r="U94" s="99">
        <f ca="1">_xll.DBRW($B$9,$C$16,$C$17,U$23,U$22,$C$18,$C$19,$B94,U$24)</f>
        <v>0</v>
      </c>
      <c r="V94" s="99">
        <f ca="1">_xll.DBRW($B$9,$C$16,$C$17,U$23,U$22,$C$18,$C$19,$B94,V$24)</f>
        <v>0</v>
      </c>
      <c r="W94" s="99">
        <f ca="1">_xll.DBRW($B$9,$C$16,$C$17,U$23,U$22,$C$18,$C$19,$B94,W$24)</f>
        <v>0</v>
      </c>
      <c r="X94" s="99">
        <f ca="1">_xll.DBRW($B$9,$C$16,$C$17,X$23,U$22,$C$18,$C$19,$B94,X$24)</f>
        <v>0</v>
      </c>
      <c r="Y94" s="99">
        <f ca="1">_xll.DBRW($B$9,$C$16,$C$17,X$23,U$22,$C$18,$C$19,$B94,Y$24)</f>
        <v>0</v>
      </c>
      <c r="Z94" s="99">
        <f ca="1">_xll.DBRW($B$9,$C$16,$C$17,X$23,U$22,$C$18,$C$19,$B94,Z$24)</f>
        <v>0</v>
      </c>
      <c r="AA94" s="99">
        <f t="shared" ca="1" si="18"/>
        <v>0</v>
      </c>
      <c r="AB94" s="99">
        <f t="shared" ca="1" si="19"/>
        <v>0</v>
      </c>
      <c r="AC94" s="99">
        <f t="shared" ca="1" si="20"/>
        <v>0</v>
      </c>
      <c r="AD94" s="99">
        <f ca="1">_xll.DBRW($B$9,$C$16,$C$17,AD$23,AD$22,$C$18,$C$19,$B94,AD$24)</f>
        <v>0</v>
      </c>
      <c r="AE94" s="99">
        <f ca="1">_xll.DBRW($B$9,$C$16,$C$17,AD$23,AD$22,$C$18,$C$19,$B94,AE$24)</f>
        <v>0</v>
      </c>
      <c r="AF94" s="99">
        <f ca="1">_xll.DBRW($B$9,$C$16,$C$17,AD$23,AD$22,$C$18,$C$19,$B94,AF$24)</f>
        <v>0</v>
      </c>
      <c r="AG94" s="99">
        <f ca="1">_xll.DBRW($B$9,$C$16,$C$17,AG$23,AD$22,$C$18,$C$19,$B94,AG$24)</f>
        <v>0</v>
      </c>
      <c r="AH94" s="99">
        <f ca="1">_xll.DBRW($B$9,$C$16,$C$17,AG$23,AD$22,$C$18,$C$19,$B94,AH$24)</f>
        <v>0</v>
      </c>
      <c r="AI94" s="99">
        <f ca="1">_xll.DBRW($B$9,$C$16,$C$17,AG$23,AD$22,$C$18,$C$19,$B94,AI$24)</f>
        <v>0</v>
      </c>
      <c r="AJ94" s="99">
        <f t="shared" ca="1" si="21"/>
        <v>0</v>
      </c>
      <c r="AK94" s="99">
        <f t="shared" ca="1" si="22"/>
        <v>0</v>
      </c>
      <c r="AL94" s="99">
        <f t="shared" ca="1" si="23"/>
        <v>0</v>
      </c>
    </row>
    <row r="95" spans="1:38" x14ac:dyDescent="0.25">
      <c r="A95">
        <f ca="1">IF(_xll.TM1RPTELISCONSOLIDATED($B$25,$B95),IF(_xll.TM1RPTELLEV($B$25,$B95)&lt;=3,_xll.TM1RPTELLEV($B$25,$B95),"D"),"N")</f>
        <v>2</v>
      </c>
      <c r="B95" s="134" t="s">
        <v>106</v>
      </c>
      <c r="C95" s="99">
        <f ca="1">_xll.DBRW($B$9,$C$16,$C$17,C$23,C$22,$C$18,$C$19,$B95,C$24)</f>
        <v>0</v>
      </c>
      <c r="D95" s="99">
        <f ca="1">_xll.DBRW($B$9,$C$16,$C$17,C$23,C$22,$C$18,$C$19,$B95,D$24)</f>
        <v>0</v>
      </c>
      <c r="E95" s="99">
        <f ca="1">_xll.DBRW($B$9,$C$16,$C$17,C$23,C$22,$C$18,$C$19,$B95,E$24)</f>
        <v>0</v>
      </c>
      <c r="F95" s="99">
        <f ca="1">_xll.DBRW($B$9,$C$16,$C$17,F$23,C$22,$C$18,$C$19,$B95,F$24)</f>
        <v>0</v>
      </c>
      <c r="G95" s="99">
        <f ca="1">_xll.DBRW($B$9,$C$16,$C$17,F$23,C$22,$C$18,$C$19,$B95,G$24)</f>
        <v>0</v>
      </c>
      <c r="H95" s="99">
        <f ca="1">_xll.DBRW($B$9,$C$16,$C$17,F$23,C$22,$C$18,$C$19,$B95,H$24)</f>
        <v>0</v>
      </c>
      <c r="I95" s="99">
        <f t="shared" ca="1" si="12"/>
        <v>0</v>
      </c>
      <c r="J95" s="99">
        <f t="shared" ca="1" si="13"/>
        <v>0</v>
      </c>
      <c r="K95" s="99">
        <f t="shared" ca="1" si="14"/>
        <v>0</v>
      </c>
      <c r="L95" s="99">
        <f ca="1">_xll.DBRW($B$9,$C$16,$C$17,L$23,L$22,$C$18,$C$19,$B95,L$24)</f>
        <v>0</v>
      </c>
      <c r="M95" s="99">
        <f ca="1">_xll.DBRW($B$9,$C$16,$C$17,L$23,L$22,$C$18,$C$19,$B95,M$24)</f>
        <v>0</v>
      </c>
      <c r="N95" s="99">
        <f ca="1">_xll.DBRW($B$9,$C$16,$C$17,L$23,L$22,$C$18,$C$19,$B95,N$24)</f>
        <v>0</v>
      </c>
      <c r="O95" s="99">
        <f ca="1">_xll.DBRW($B$9,$C$16,$C$17,O$23,L$22,$C$18,$C$19,$B95,O$24)</f>
        <v>0</v>
      </c>
      <c r="P95" s="99">
        <f ca="1">_xll.DBRW($B$9,$C$16,$C$17,O$23,L$22,$C$18,$C$19,$B95,P$24)</f>
        <v>0</v>
      </c>
      <c r="Q95" s="99">
        <f ca="1">_xll.DBRW($B$9,$C$16,$C$17,O$23,L$22,$C$18,$C$19,$B95,Q$24)</f>
        <v>0</v>
      </c>
      <c r="R95" s="99">
        <f t="shared" ca="1" si="15"/>
        <v>0</v>
      </c>
      <c r="S95" s="99">
        <f t="shared" ca="1" si="16"/>
        <v>0</v>
      </c>
      <c r="T95" s="99">
        <f t="shared" ca="1" si="17"/>
        <v>0</v>
      </c>
      <c r="U95" s="99">
        <f ca="1">_xll.DBRW($B$9,$C$16,$C$17,U$23,U$22,$C$18,$C$19,$B95,U$24)</f>
        <v>0</v>
      </c>
      <c r="V95" s="99">
        <f ca="1">_xll.DBRW($B$9,$C$16,$C$17,U$23,U$22,$C$18,$C$19,$B95,V$24)</f>
        <v>0</v>
      </c>
      <c r="W95" s="99">
        <f ca="1">_xll.DBRW($B$9,$C$16,$C$17,U$23,U$22,$C$18,$C$19,$B95,W$24)</f>
        <v>0</v>
      </c>
      <c r="X95" s="99">
        <f ca="1">_xll.DBRW($B$9,$C$16,$C$17,X$23,U$22,$C$18,$C$19,$B95,X$24)</f>
        <v>0</v>
      </c>
      <c r="Y95" s="99">
        <f ca="1">_xll.DBRW($B$9,$C$16,$C$17,X$23,U$22,$C$18,$C$19,$B95,Y$24)</f>
        <v>0</v>
      </c>
      <c r="Z95" s="99">
        <f ca="1">_xll.DBRW($B$9,$C$16,$C$17,X$23,U$22,$C$18,$C$19,$B95,Z$24)</f>
        <v>0</v>
      </c>
      <c r="AA95" s="99">
        <f t="shared" ca="1" si="18"/>
        <v>0</v>
      </c>
      <c r="AB95" s="99">
        <f t="shared" ca="1" si="19"/>
        <v>0</v>
      </c>
      <c r="AC95" s="99">
        <f t="shared" ca="1" si="20"/>
        <v>0</v>
      </c>
      <c r="AD95" s="99">
        <f ca="1">_xll.DBRW($B$9,$C$16,$C$17,AD$23,AD$22,$C$18,$C$19,$B95,AD$24)</f>
        <v>0</v>
      </c>
      <c r="AE95" s="99">
        <f ca="1">_xll.DBRW($B$9,$C$16,$C$17,AD$23,AD$22,$C$18,$C$19,$B95,AE$24)</f>
        <v>0</v>
      </c>
      <c r="AF95" s="99">
        <f ca="1">_xll.DBRW($B$9,$C$16,$C$17,AD$23,AD$22,$C$18,$C$19,$B95,AF$24)</f>
        <v>0</v>
      </c>
      <c r="AG95" s="99">
        <f ca="1">_xll.DBRW($B$9,$C$16,$C$17,AG$23,AD$22,$C$18,$C$19,$B95,AG$24)</f>
        <v>0</v>
      </c>
      <c r="AH95" s="99">
        <f ca="1">_xll.DBRW($B$9,$C$16,$C$17,AG$23,AD$22,$C$18,$C$19,$B95,AH$24)</f>
        <v>0</v>
      </c>
      <c r="AI95" s="99">
        <f ca="1">_xll.DBRW($B$9,$C$16,$C$17,AG$23,AD$22,$C$18,$C$19,$B95,AI$24)</f>
        <v>0</v>
      </c>
      <c r="AJ95" s="99">
        <f t="shared" ca="1" si="21"/>
        <v>0</v>
      </c>
      <c r="AK95" s="99">
        <f t="shared" ca="1" si="22"/>
        <v>0</v>
      </c>
      <c r="AL95" s="99">
        <f t="shared" ca="1" si="23"/>
        <v>0</v>
      </c>
    </row>
    <row r="96" spans="1:38" x14ac:dyDescent="0.25">
      <c r="A96">
        <f ca="1">IF(_xll.TM1RPTELISCONSOLIDATED($B$25,$B96),IF(_xll.TM1RPTELLEV($B$25,$B96)&lt;=3,_xll.TM1RPTELLEV($B$25,$B96),"D"),"N")</f>
        <v>2</v>
      </c>
      <c r="B96" s="134" t="s">
        <v>107</v>
      </c>
      <c r="C96" s="99">
        <f ca="1">_xll.DBRW($B$9,$C$16,$C$17,C$23,C$22,$C$18,$C$19,$B96,C$24)</f>
        <v>0</v>
      </c>
      <c r="D96" s="99">
        <f ca="1">_xll.DBRW($B$9,$C$16,$C$17,C$23,C$22,$C$18,$C$19,$B96,D$24)</f>
        <v>0</v>
      </c>
      <c r="E96" s="99">
        <f ca="1">_xll.DBRW($B$9,$C$16,$C$17,C$23,C$22,$C$18,$C$19,$B96,E$24)</f>
        <v>0</v>
      </c>
      <c r="F96" s="99">
        <f ca="1">_xll.DBRW($B$9,$C$16,$C$17,F$23,C$22,$C$18,$C$19,$B96,F$24)</f>
        <v>0</v>
      </c>
      <c r="G96" s="99">
        <f ca="1">_xll.DBRW($B$9,$C$16,$C$17,F$23,C$22,$C$18,$C$19,$B96,G$24)</f>
        <v>0</v>
      </c>
      <c r="H96" s="99">
        <f ca="1">_xll.DBRW($B$9,$C$16,$C$17,F$23,C$22,$C$18,$C$19,$B96,H$24)</f>
        <v>0</v>
      </c>
      <c r="I96" s="99">
        <f t="shared" ca="1" si="12"/>
        <v>0</v>
      </c>
      <c r="J96" s="99">
        <f t="shared" ca="1" si="13"/>
        <v>0</v>
      </c>
      <c r="K96" s="99">
        <f t="shared" ca="1" si="14"/>
        <v>0</v>
      </c>
      <c r="L96" s="99">
        <f ca="1">_xll.DBRW($B$9,$C$16,$C$17,L$23,L$22,$C$18,$C$19,$B96,L$24)</f>
        <v>0</v>
      </c>
      <c r="M96" s="99">
        <f ca="1">_xll.DBRW($B$9,$C$16,$C$17,L$23,L$22,$C$18,$C$19,$B96,M$24)</f>
        <v>0</v>
      </c>
      <c r="N96" s="99">
        <f ca="1">_xll.DBRW($B$9,$C$16,$C$17,L$23,L$22,$C$18,$C$19,$B96,N$24)</f>
        <v>0</v>
      </c>
      <c r="O96" s="99">
        <f ca="1">_xll.DBRW($B$9,$C$16,$C$17,O$23,L$22,$C$18,$C$19,$B96,O$24)</f>
        <v>0</v>
      </c>
      <c r="P96" s="99">
        <f ca="1">_xll.DBRW($B$9,$C$16,$C$17,O$23,L$22,$C$18,$C$19,$B96,P$24)</f>
        <v>0</v>
      </c>
      <c r="Q96" s="99">
        <f ca="1">_xll.DBRW($B$9,$C$16,$C$17,O$23,L$22,$C$18,$C$19,$B96,Q$24)</f>
        <v>0</v>
      </c>
      <c r="R96" s="99">
        <f t="shared" ca="1" si="15"/>
        <v>0</v>
      </c>
      <c r="S96" s="99">
        <f t="shared" ca="1" si="16"/>
        <v>0</v>
      </c>
      <c r="T96" s="99">
        <f t="shared" ca="1" si="17"/>
        <v>0</v>
      </c>
      <c r="U96" s="99">
        <f ca="1">_xll.DBRW($B$9,$C$16,$C$17,U$23,U$22,$C$18,$C$19,$B96,U$24)</f>
        <v>0</v>
      </c>
      <c r="V96" s="99">
        <f ca="1">_xll.DBRW($B$9,$C$16,$C$17,U$23,U$22,$C$18,$C$19,$B96,V$24)</f>
        <v>0</v>
      </c>
      <c r="W96" s="99">
        <f ca="1">_xll.DBRW($B$9,$C$16,$C$17,U$23,U$22,$C$18,$C$19,$B96,W$24)</f>
        <v>0</v>
      </c>
      <c r="X96" s="99">
        <f ca="1">_xll.DBRW($B$9,$C$16,$C$17,X$23,U$22,$C$18,$C$19,$B96,X$24)</f>
        <v>0</v>
      </c>
      <c r="Y96" s="99">
        <f ca="1">_xll.DBRW($B$9,$C$16,$C$17,X$23,U$22,$C$18,$C$19,$B96,Y$24)</f>
        <v>0</v>
      </c>
      <c r="Z96" s="99">
        <f ca="1">_xll.DBRW($B$9,$C$16,$C$17,X$23,U$22,$C$18,$C$19,$B96,Z$24)</f>
        <v>0</v>
      </c>
      <c r="AA96" s="99">
        <f t="shared" ca="1" si="18"/>
        <v>0</v>
      </c>
      <c r="AB96" s="99">
        <f t="shared" ca="1" si="19"/>
        <v>0</v>
      </c>
      <c r="AC96" s="99">
        <f t="shared" ca="1" si="20"/>
        <v>0</v>
      </c>
      <c r="AD96" s="99">
        <f ca="1">_xll.DBRW($B$9,$C$16,$C$17,AD$23,AD$22,$C$18,$C$19,$B96,AD$24)</f>
        <v>0</v>
      </c>
      <c r="AE96" s="99">
        <f ca="1">_xll.DBRW($B$9,$C$16,$C$17,AD$23,AD$22,$C$18,$C$19,$B96,AE$24)</f>
        <v>0</v>
      </c>
      <c r="AF96" s="99">
        <f ca="1">_xll.DBRW($B$9,$C$16,$C$17,AD$23,AD$22,$C$18,$C$19,$B96,AF$24)</f>
        <v>0</v>
      </c>
      <c r="AG96" s="99">
        <f ca="1">_xll.DBRW($B$9,$C$16,$C$17,AG$23,AD$22,$C$18,$C$19,$B96,AG$24)</f>
        <v>0</v>
      </c>
      <c r="AH96" s="99">
        <f ca="1">_xll.DBRW($B$9,$C$16,$C$17,AG$23,AD$22,$C$18,$C$19,$B96,AH$24)</f>
        <v>0</v>
      </c>
      <c r="AI96" s="99">
        <f ca="1">_xll.DBRW($B$9,$C$16,$C$17,AG$23,AD$22,$C$18,$C$19,$B96,AI$24)</f>
        <v>0</v>
      </c>
      <c r="AJ96" s="99">
        <f t="shared" ca="1" si="21"/>
        <v>0</v>
      </c>
      <c r="AK96" s="99">
        <f t="shared" ca="1" si="22"/>
        <v>0</v>
      </c>
      <c r="AL96" s="99">
        <f t="shared" ca="1" si="23"/>
        <v>0</v>
      </c>
    </row>
    <row r="97" spans="1:38" x14ac:dyDescent="0.25">
      <c r="A97">
        <f ca="1">IF(_xll.TM1RPTELISCONSOLIDATED($B$25,$B97),IF(_xll.TM1RPTELLEV($B$25,$B97)&lt;=3,_xll.TM1RPTELLEV($B$25,$B97),"D"),"N")</f>
        <v>2</v>
      </c>
      <c r="B97" s="134" t="s">
        <v>108</v>
      </c>
      <c r="C97" s="99">
        <f ca="1">_xll.DBRW($B$9,$C$16,$C$17,C$23,C$22,$C$18,$C$19,$B97,C$24)</f>
        <v>0</v>
      </c>
      <c r="D97" s="99">
        <f ca="1">_xll.DBRW($B$9,$C$16,$C$17,C$23,C$22,$C$18,$C$19,$B97,D$24)</f>
        <v>0</v>
      </c>
      <c r="E97" s="99">
        <f ca="1">_xll.DBRW($B$9,$C$16,$C$17,C$23,C$22,$C$18,$C$19,$B97,E$24)</f>
        <v>0</v>
      </c>
      <c r="F97" s="99">
        <f ca="1">_xll.DBRW($B$9,$C$16,$C$17,F$23,C$22,$C$18,$C$19,$B97,F$24)</f>
        <v>0</v>
      </c>
      <c r="G97" s="99">
        <f ca="1">_xll.DBRW($B$9,$C$16,$C$17,F$23,C$22,$C$18,$C$19,$B97,G$24)</f>
        <v>0</v>
      </c>
      <c r="H97" s="99">
        <f ca="1">_xll.DBRW($B$9,$C$16,$C$17,F$23,C$22,$C$18,$C$19,$B97,H$24)</f>
        <v>0</v>
      </c>
      <c r="I97" s="99">
        <f t="shared" ca="1" si="12"/>
        <v>0</v>
      </c>
      <c r="J97" s="99">
        <f t="shared" ca="1" si="13"/>
        <v>0</v>
      </c>
      <c r="K97" s="99">
        <f t="shared" ca="1" si="14"/>
        <v>0</v>
      </c>
      <c r="L97" s="99">
        <f ca="1">_xll.DBRW($B$9,$C$16,$C$17,L$23,L$22,$C$18,$C$19,$B97,L$24)</f>
        <v>0</v>
      </c>
      <c r="M97" s="99">
        <f ca="1">_xll.DBRW($B$9,$C$16,$C$17,L$23,L$22,$C$18,$C$19,$B97,M$24)</f>
        <v>0</v>
      </c>
      <c r="N97" s="99">
        <f ca="1">_xll.DBRW($B$9,$C$16,$C$17,L$23,L$22,$C$18,$C$19,$B97,N$24)</f>
        <v>0</v>
      </c>
      <c r="O97" s="99">
        <f ca="1">_xll.DBRW($B$9,$C$16,$C$17,O$23,L$22,$C$18,$C$19,$B97,O$24)</f>
        <v>0</v>
      </c>
      <c r="P97" s="99">
        <f ca="1">_xll.DBRW($B$9,$C$16,$C$17,O$23,L$22,$C$18,$C$19,$B97,P$24)</f>
        <v>0</v>
      </c>
      <c r="Q97" s="99">
        <f ca="1">_xll.DBRW($B$9,$C$16,$C$17,O$23,L$22,$C$18,$C$19,$B97,Q$24)</f>
        <v>0</v>
      </c>
      <c r="R97" s="99">
        <f t="shared" ca="1" si="15"/>
        <v>0</v>
      </c>
      <c r="S97" s="99">
        <f t="shared" ca="1" si="16"/>
        <v>0</v>
      </c>
      <c r="T97" s="99">
        <f t="shared" ca="1" si="17"/>
        <v>0</v>
      </c>
      <c r="U97" s="99">
        <f ca="1">_xll.DBRW($B$9,$C$16,$C$17,U$23,U$22,$C$18,$C$19,$B97,U$24)</f>
        <v>0</v>
      </c>
      <c r="V97" s="99">
        <f ca="1">_xll.DBRW($B$9,$C$16,$C$17,U$23,U$22,$C$18,$C$19,$B97,V$24)</f>
        <v>0</v>
      </c>
      <c r="W97" s="99">
        <f ca="1">_xll.DBRW($B$9,$C$16,$C$17,U$23,U$22,$C$18,$C$19,$B97,W$24)</f>
        <v>0</v>
      </c>
      <c r="X97" s="99">
        <f ca="1">_xll.DBRW($B$9,$C$16,$C$17,X$23,U$22,$C$18,$C$19,$B97,X$24)</f>
        <v>0</v>
      </c>
      <c r="Y97" s="99">
        <f ca="1">_xll.DBRW($B$9,$C$16,$C$17,X$23,U$22,$C$18,$C$19,$B97,Y$24)</f>
        <v>0</v>
      </c>
      <c r="Z97" s="99">
        <f ca="1">_xll.DBRW($B$9,$C$16,$C$17,X$23,U$22,$C$18,$C$19,$B97,Z$24)</f>
        <v>0</v>
      </c>
      <c r="AA97" s="99">
        <f t="shared" ca="1" si="18"/>
        <v>0</v>
      </c>
      <c r="AB97" s="99">
        <f t="shared" ca="1" si="19"/>
        <v>0</v>
      </c>
      <c r="AC97" s="99">
        <f t="shared" ca="1" si="20"/>
        <v>0</v>
      </c>
      <c r="AD97" s="99">
        <f ca="1">_xll.DBRW($B$9,$C$16,$C$17,AD$23,AD$22,$C$18,$C$19,$B97,AD$24)</f>
        <v>0</v>
      </c>
      <c r="AE97" s="99">
        <f ca="1">_xll.DBRW($B$9,$C$16,$C$17,AD$23,AD$22,$C$18,$C$19,$B97,AE$24)</f>
        <v>0</v>
      </c>
      <c r="AF97" s="99">
        <f ca="1">_xll.DBRW($B$9,$C$16,$C$17,AD$23,AD$22,$C$18,$C$19,$B97,AF$24)</f>
        <v>0</v>
      </c>
      <c r="AG97" s="99">
        <f ca="1">_xll.DBRW($B$9,$C$16,$C$17,AG$23,AD$22,$C$18,$C$19,$B97,AG$24)</f>
        <v>0</v>
      </c>
      <c r="AH97" s="99">
        <f ca="1">_xll.DBRW($B$9,$C$16,$C$17,AG$23,AD$22,$C$18,$C$19,$B97,AH$24)</f>
        <v>0</v>
      </c>
      <c r="AI97" s="99">
        <f ca="1">_xll.DBRW($B$9,$C$16,$C$17,AG$23,AD$22,$C$18,$C$19,$B97,AI$24)</f>
        <v>0</v>
      </c>
      <c r="AJ97" s="99">
        <f t="shared" ca="1" si="21"/>
        <v>0</v>
      </c>
      <c r="AK97" s="99">
        <f t="shared" ca="1" si="22"/>
        <v>0</v>
      </c>
      <c r="AL97" s="99">
        <f t="shared" ca="1" si="23"/>
        <v>0</v>
      </c>
    </row>
    <row r="98" spans="1:38" x14ac:dyDescent="0.25">
      <c r="A98">
        <f ca="1">IF(_xll.TM1RPTELISCONSOLIDATED($B$25,$B98),IF(_xll.TM1RPTELLEV($B$25,$B98)&lt;=3,_xll.TM1RPTELLEV($B$25,$B98),"D"),"N")</f>
        <v>2</v>
      </c>
      <c r="B98" s="134" t="s">
        <v>109</v>
      </c>
      <c r="C98" s="99">
        <f ca="1">_xll.DBRW($B$9,$C$16,$C$17,C$23,C$22,$C$18,$C$19,$B98,C$24)</f>
        <v>0</v>
      </c>
      <c r="D98" s="99">
        <f ca="1">_xll.DBRW($B$9,$C$16,$C$17,C$23,C$22,$C$18,$C$19,$B98,D$24)</f>
        <v>0</v>
      </c>
      <c r="E98" s="99">
        <f ca="1">_xll.DBRW($B$9,$C$16,$C$17,C$23,C$22,$C$18,$C$19,$B98,E$24)</f>
        <v>0</v>
      </c>
      <c r="F98" s="99">
        <f ca="1">_xll.DBRW($B$9,$C$16,$C$17,F$23,C$22,$C$18,$C$19,$B98,F$24)</f>
        <v>0</v>
      </c>
      <c r="G98" s="99">
        <f ca="1">_xll.DBRW($B$9,$C$16,$C$17,F$23,C$22,$C$18,$C$19,$B98,G$24)</f>
        <v>0</v>
      </c>
      <c r="H98" s="99">
        <f ca="1">_xll.DBRW($B$9,$C$16,$C$17,F$23,C$22,$C$18,$C$19,$B98,H$24)</f>
        <v>0</v>
      </c>
      <c r="I98" s="99">
        <f t="shared" ca="1" si="12"/>
        <v>0</v>
      </c>
      <c r="J98" s="99">
        <f t="shared" ca="1" si="13"/>
        <v>0</v>
      </c>
      <c r="K98" s="99">
        <f t="shared" ca="1" si="14"/>
        <v>0</v>
      </c>
      <c r="L98" s="99">
        <f ca="1">_xll.DBRW($B$9,$C$16,$C$17,L$23,L$22,$C$18,$C$19,$B98,L$24)</f>
        <v>0</v>
      </c>
      <c r="M98" s="99">
        <f ca="1">_xll.DBRW($B$9,$C$16,$C$17,L$23,L$22,$C$18,$C$19,$B98,M$24)</f>
        <v>0</v>
      </c>
      <c r="N98" s="99">
        <f ca="1">_xll.DBRW($B$9,$C$16,$C$17,L$23,L$22,$C$18,$C$19,$B98,N$24)</f>
        <v>0</v>
      </c>
      <c r="O98" s="99">
        <f ca="1">_xll.DBRW($B$9,$C$16,$C$17,O$23,L$22,$C$18,$C$19,$B98,O$24)</f>
        <v>0</v>
      </c>
      <c r="P98" s="99">
        <f ca="1">_xll.DBRW($B$9,$C$16,$C$17,O$23,L$22,$C$18,$C$19,$B98,P$24)</f>
        <v>0</v>
      </c>
      <c r="Q98" s="99">
        <f ca="1">_xll.DBRW($B$9,$C$16,$C$17,O$23,L$22,$C$18,$C$19,$B98,Q$24)</f>
        <v>0</v>
      </c>
      <c r="R98" s="99">
        <f t="shared" ca="1" si="15"/>
        <v>0</v>
      </c>
      <c r="S98" s="99">
        <f t="shared" ca="1" si="16"/>
        <v>0</v>
      </c>
      <c r="T98" s="99">
        <f t="shared" ca="1" si="17"/>
        <v>0</v>
      </c>
      <c r="U98" s="99">
        <f ca="1">_xll.DBRW($B$9,$C$16,$C$17,U$23,U$22,$C$18,$C$19,$B98,U$24)</f>
        <v>0</v>
      </c>
      <c r="V98" s="99">
        <f ca="1">_xll.DBRW($B$9,$C$16,$C$17,U$23,U$22,$C$18,$C$19,$B98,V$24)</f>
        <v>0</v>
      </c>
      <c r="W98" s="99">
        <f ca="1">_xll.DBRW($B$9,$C$16,$C$17,U$23,U$22,$C$18,$C$19,$B98,W$24)</f>
        <v>0</v>
      </c>
      <c r="X98" s="99">
        <f ca="1">_xll.DBRW($B$9,$C$16,$C$17,X$23,U$22,$C$18,$C$19,$B98,X$24)</f>
        <v>0</v>
      </c>
      <c r="Y98" s="99">
        <f ca="1">_xll.DBRW($B$9,$C$16,$C$17,X$23,U$22,$C$18,$C$19,$B98,Y$24)</f>
        <v>0</v>
      </c>
      <c r="Z98" s="99">
        <f ca="1">_xll.DBRW($B$9,$C$16,$C$17,X$23,U$22,$C$18,$C$19,$B98,Z$24)</f>
        <v>0</v>
      </c>
      <c r="AA98" s="99">
        <f t="shared" ca="1" si="18"/>
        <v>0</v>
      </c>
      <c r="AB98" s="99">
        <f t="shared" ca="1" si="19"/>
        <v>0</v>
      </c>
      <c r="AC98" s="99">
        <f t="shared" ca="1" si="20"/>
        <v>0</v>
      </c>
      <c r="AD98" s="99">
        <f ca="1">_xll.DBRW($B$9,$C$16,$C$17,AD$23,AD$22,$C$18,$C$19,$B98,AD$24)</f>
        <v>0</v>
      </c>
      <c r="AE98" s="99">
        <f ca="1">_xll.DBRW($B$9,$C$16,$C$17,AD$23,AD$22,$C$18,$C$19,$B98,AE$24)</f>
        <v>0</v>
      </c>
      <c r="AF98" s="99">
        <f ca="1">_xll.DBRW($B$9,$C$16,$C$17,AD$23,AD$22,$C$18,$C$19,$B98,AF$24)</f>
        <v>0</v>
      </c>
      <c r="AG98" s="99">
        <f ca="1">_xll.DBRW($B$9,$C$16,$C$17,AG$23,AD$22,$C$18,$C$19,$B98,AG$24)</f>
        <v>0</v>
      </c>
      <c r="AH98" s="99">
        <f ca="1">_xll.DBRW($B$9,$C$16,$C$17,AG$23,AD$22,$C$18,$C$19,$B98,AH$24)</f>
        <v>0</v>
      </c>
      <c r="AI98" s="99">
        <f ca="1">_xll.DBRW($B$9,$C$16,$C$17,AG$23,AD$22,$C$18,$C$19,$B98,AI$24)</f>
        <v>0</v>
      </c>
      <c r="AJ98" s="99">
        <f t="shared" ca="1" si="21"/>
        <v>0</v>
      </c>
      <c r="AK98" s="99">
        <f t="shared" ca="1" si="22"/>
        <v>0</v>
      </c>
      <c r="AL98" s="99">
        <f t="shared" ca="1" si="23"/>
        <v>0</v>
      </c>
    </row>
    <row r="99" spans="1:38" x14ac:dyDescent="0.25">
      <c r="A99">
        <f ca="1">IF(_xll.TM1RPTELISCONSOLIDATED($B$25,$B99),IF(_xll.TM1RPTELLEV($B$25,$B99)&lt;=3,_xll.TM1RPTELLEV($B$25,$B99),"D"),"N")</f>
        <v>2</v>
      </c>
      <c r="B99" s="134" t="s">
        <v>110</v>
      </c>
      <c r="C99" s="99">
        <f ca="1">_xll.DBRW($B$9,$C$16,$C$17,C$23,C$22,$C$18,$C$19,$B99,C$24)</f>
        <v>0</v>
      </c>
      <c r="D99" s="99">
        <f ca="1">_xll.DBRW($B$9,$C$16,$C$17,C$23,C$22,$C$18,$C$19,$B99,D$24)</f>
        <v>0</v>
      </c>
      <c r="E99" s="99">
        <f ca="1">_xll.DBRW($B$9,$C$16,$C$17,C$23,C$22,$C$18,$C$19,$B99,E$24)</f>
        <v>0</v>
      </c>
      <c r="F99" s="99">
        <f ca="1">_xll.DBRW($B$9,$C$16,$C$17,F$23,C$22,$C$18,$C$19,$B99,F$24)</f>
        <v>0</v>
      </c>
      <c r="G99" s="99">
        <f ca="1">_xll.DBRW($B$9,$C$16,$C$17,F$23,C$22,$C$18,$C$19,$B99,G$24)</f>
        <v>0</v>
      </c>
      <c r="H99" s="99">
        <f ca="1">_xll.DBRW($B$9,$C$16,$C$17,F$23,C$22,$C$18,$C$19,$B99,H$24)</f>
        <v>0</v>
      </c>
      <c r="I99" s="99">
        <f t="shared" ca="1" si="12"/>
        <v>0</v>
      </c>
      <c r="J99" s="99">
        <f t="shared" ca="1" si="13"/>
        <v>0</v>
      </c>
      <c r="K99" s="99">
        <f t="shared" ca="1" si="14"/>
        <v>0</v>
      </c>
      <c r="L99" s="99">
        <f ca="1">_xll.DBRW($B$9,$C$16,$C$17,L$23,L$22,$C$18,$C$19,$B99,L$24)</f>
        <v>0</v>
      </c>
      <c r="M99" s="99">
        <f ca="1">_xll.DBRW($B$9,$C$16,$C$17,L$23,L$22,$C$18,$C$19,$B99,M$24)</f>
        <v>0</v>
      </c>
      <c r="N99" s="99">
        <f ca="1">_xll.DBRW($B$9,$C$16,$C$17,L$23,L$22,$C$18,$C$19,$B99,N$24)</f>
        <v>0</v>
      </c>
      <c r="O99" s="99">
        <f ca="1">_xll.DBRW($B$9,$C$16,$C$17,O$23,L$22,$C$18,$C$19,$B99,O$24)</f>
        <v>0</v>
      </c>
      <c r="P99" s="99">
        <f ca="1">_xll.DBRW($B$9,$C$16,$C$17,O$23,L$22,$C$18,$C$19,$B99,P$24)</f>
        <v>0</v>
      </c>
      <c r="Q99" s="99">
        <f ca="1">_xll.DBRW($B$9,$C$16,$C$17,O$23,L$22,$C$18,$C$19,$B99,Q$24)</f>
        <v>0</v>
      </c>
      <c r="R99" s="99">
        <f t="shared" ca="1" si="15"/>
        <v>0</v>
      </c>
      <c r="S99" s="99">
        <f t="shared" ca="1" si="16"/>
        <v>0</v>
      </c>
      <c r="T99" s="99">
        <f t="shared" ca="1" si="17"/>
        <v>0</v>
      </c>
      <c r="U99" s="99">
        <f ca="1">_xll.DBRW($B$9,$C$16,$C$17,U$23,U$22,$C$18,$C$19,$B99,U$24)</f>
        <v>0</v>
      </c>
      <c r="V99" s="99">
        <f ca="1">_xll.DBRW($B$9,$C$16,$C$17,U$23,U$22,$C$18,$C$19,$B99,V$24)</f>
        <v>0</v>
      </c>
      <c r="W99" s="99">
        <f ca="1">_xll.DBRW($B$9,$C$16,$C$17,U$23,U$22,$C$18,$C$19,$B99,W$24)</f>
        <v>0</v>
      </c>
      <c r="X99" s="99">
        <f ca="1">_xll.DBRW($B$9,$C$16,$C$17,X$23,U$22,$C$18,$C$19,$B99,X$24)</f>
        <v>0</v>
      </c>
      <c r="Y99" s="99">
        <f ca="1">_xll.DBRW($B$9,$C$16,$C$17,X$23,U$22,$C$18,$C$19,$B99,Y$24)</f>
        <v>0</v>
      </c>
      <c r="Z99" s="99">
        <f ca="1">_xll.DBRW($B$9,$C$16,$C$17,X$23,U$22,$C$18,$C$19,$B99,Z$24)</f>
        <v>0</v>
      </c>
      <c r="AA99" s="99">
        <f t="shared" ca="1" si="18"/>
        <v>0</v>
      </c>
      <c r="AB99" s="99">
        <f t="shared" ca="1" si="19"/>
        <v>0</v>
      </c>
      <c r="AC99" s="99">
        <f t="shared" ca="1" si="20"/>
        <v>0</v>
      </c>
      <c r="AD99" s="99">
        <f ca="1">_xll.DBRW($B$9,$C$16,$C$17,AD$23,AD$22,$C$18,$C$19,$B99,AD$24)</f>
        <v>0</v>
      </c>
      <c r="AE99" s="99">
        <f ca="1">_xll.DBRW($B$9,$C$16,$C$17,AD$23,AD$22,$C$18,$C$19,$B99,AE$24)</f>
        <v>0</v>
      </c>
      <c r="AF99" s="99">
        <f ca="1">_xll.DBRW($B$9,$C$16,$C$17,AD$23,AD$22,$C$18,$C$19,$B99,AF$24)</f>
        <v>0</v>
      </c>
      <c r="AG99" s="99">
        <f ca="1">_xll.DBRW($B$9,$C$16,$C$17,AG$23,AD$22,$C$18,$C$19,$B99,AG$24)</f>
        <v>0</v>
      </c>
      <c r="AH99" s="99">
        <f ca="1">_xll.DBRW($B$9,$C$16,$C$17,AG$23,AD$22,$C$18,$C$19,$B99,AH$24)</f>
        <v>0</v>
      </c>
      <c r="AI99" s="99">
        <f ca="1">_xll.DBRW($B$9,$C$16,$C$17,AG$23,AD$22,$C$18,$C$19,$B99,AI$24)</f>
        <v>0</v>
      </c>
      <c r="AJ99" s="99">
        <f t="shared" ca="1" si="21"/>
        <v>0</v>
      </c>
      <c r="AK99" s="99">
        <f t="shared" ca="1" si="22"/>
        <v>0</v>
      </c>
      <c r="AL99" s="99">
        <f t="shared" ca="1" si="23"/>
        <v>0</v>
      </c>
    </row>
    <row r="100" spans="1:38" x14ac:dyDescent="0.25">
      <c r="A100">
        <f ca="1">IF(_xll.TM1RPTELISCONSOLIDATED($B$25,$B100),IF(_xll.TM1RPTELLEV($B$25,$B100)&lt;=3,_xll.TM1RPTELLEV($B$25,$B100),"D"),"N")</f>
        <v>2</v>
      </c>
      <c r="B100" s="134" t="s">
        <v>111</v>
      </c>
      <c r="C100" s="99">
        <f ca="1">_xll.DBRW($B$9,$C$16,$C$17,C$23,C$22,$C$18,$C$19,$B100,C$24)</f>
        <v>0</v>
      </c>
      <c r="D100" s="99">
        <f ca="1">_xll.DBRW($B$9,$C$16,$C$17,C$23,C$22,$C$18,$C$19,$B100,D$24)</f>
        <v>0</v>
      </c>
      <c r="E100" s="99">
        <f ca="1">_xll.DBRW($B$9,$C$16,$C$17,C$23,C$22,$C$18,$C$19,$B100,E$24)</f>
        <v>0</v>
      </c>
      <c r="F100" s="99">
        <f ca="1">_xll.DBRW($B$9,$C$16,$C$17,F$23,C$22,$C$18,$C$19,$B100,F$24)</f>
        <v>0</v>
      </c>
      <c r="G100" s="99">
        <f ca="1">_xll.DBRW($B$9,$C$16,$C$17,F$23,C$22,$C$18,$C$19,$B100,G$24)</f>
        <v>0</v>
      </c>
      <c r="H100" s="99">
        <f ca="1">_xll.DBRW($B$9,$C$16,$C$17,F$23,C$22,$C$18,$C$19,$B100,H$24)</f>
        <v>0</v>
      </c>
      <c r="I100" s="99">
        <f t="shared" ca="1" si="12"/>
        <v>0</v>
      </c>
      <c r="J100" s="99">
        <f t="shared" ca="1" si="13"/>
        <v>0</v>
      </c>
      <c r="K100" s="99">
        <f t="shared" ca="1" si="14"/>
        <v>0</v>
      </c>
      <c r="L100" s="99">
        <f ca="1">_xll.DBRW($B$9,$C$16,$C$17,L$23,L$22,$C$18,$C$19,$B100,L$24)</f>
        <v>0</v>
      </c>
      <c r="M100" s="99">
        <f ca="1">_xll.DBRW($B$9,$C$16,$C$17,L$23,L$22,$C$18,$C$19,$B100,M$24)</f>
        <v>0</v>
      </c>
      <c r="N100" s="99">
        <f ca="1">_xll.DBRW($B$9,$C$16,$C$17,L$23,L$22,$C$18,$C$19,$B100,N$24)</f>
        <v>0</v>
      </c>
      <c r="O100" s="99">
        <f ca="1">_xll.DBRW($B$9,$C$16,$C$17,O$23,L$22,$C$18,$C$19,$B100,O$24)</f>
        <v>0</v>
      </c>
      <c r="P100" s="99">
        <f ca="1">_xll.DBRW($B$9,$C$16,$C$17,O$23,L$22,$C$18,$C$19,$B100,P$24)</f>
        <v>0</v>
      </c>
      <c r="Q100" s="99">
        <f ca="1">_xll.DBRW($B$9,$C$16,$C$17,O$23,L$22,$C$18,$C$19,$B100,Q$24)</f>
        <v>0</v>
      </c>
      <c r="R100" s="99">
        <f t="shared" ca="1" si="15"/>
        <v>0</v>
      </c>
      <c r="S100" s="99">
        <f t="shared" ca="1" si="16"/>
        <v>0</v>
      </c>
      <c r="T100" s="99">
        <f t="shared" ca="1" si="17"/>
        <v>0</v>
      </c>
      <c r="U100" s="99">
        <f ca="1">_xll.DBRW($B$9,$C$16,$C$17,U$23,U$22,$C$18,$C$19,$B100,U$24)</f>
        <v>0</v>
      </c>
      <c r="V100" s="99">
        <f ca="1">_xll.DBRW($B$9,$C$16,$C$17,U$23,U$22,$C$18,$C$19,$B100,V$24)</f>
        <v>0</v>
      </c>
      <c r="W100" s="99">
        <f ca="1">_xll.DBRW($B$9,$C$16,$C$17,U$23,U$22,$C$18,$C$19,$B100,W$24)</f>
        <v>0</v>
      </c>
      <c r="X100" s="99">
        <f ca="1">_xll.DBRW($B$9,$C$16,$C$17,X$23,U$22,$C$18,$C$19,$B100,X$24)</f>
        <v>0</v>
      </c>
      <c r="Y100" s="99">
        <f ca="1">_xll.DBRW($B$9,$C$16,$C$17,X$23,U$22,$C$18,$C$19,$B100,Y$24)</f>
        <v>0</v>
      </c>
      <c r="Z100" s="99">
        <f ca="1">_xll.DBRW($B$9,$C$16,$C$17,X$23,U$22,$C$18,$C$19,$B100,Z$24)</f>
        <v>0</v>
      </c>
      <c r="AA100" s="99">
        <f t="shared" ca="1" si="18"/>
        <v>0</v>
      </c>
      <c r="AB100" s="99">
        <f t="shared" ca="1" si="19"/>
        <v>0</v>
      </c>
      <c r="AC100" s="99">
        <f t="shared" ca="1" si="20"/>
        <v>0</v>
      </c>
      <c r="AD100" s="99">
        <f ca="1">_xll.DBRW($B$9,$C$16,$C$17,AD$23,AD$22,$C$18,$C$19,$B100,AD$24)</f>
        <v>0</v>
      </c>
      <c r="AE100" s="99">
        <f ca="1">_xll.DBRW($B$9,$C$16,$C$17,AD$23,AD$22,$C$18,$C$19,$B100,AE$24)</f>
        <v>0</v>
      </c>
      <c r="AF100" s="99">
        <f ca="1">_xll.DBRW($B$9,$C$16,$C$17,AD$23,AD$22,$C$18,$C$19,$B100,AF$24)</f>
        <v>0</v>
      </c>
      <c r="AG100" s="99">
        <f ca="1">_xll.DBRW($B$9,$C$16,$C$17,AG$23,AD$22,$C$18,$C$19,$B100,AG$24)</f>
        <v>0</v>
      </c>
      <c r="AH100" s="99">
        <f ca="1">_xll.DBRW($B$9,$C$16,$C$17,AG$23,AD$22,$C$18,$C$19,$B100,AH$24)</f>
        <v>0</v>
      </c>
      <c r="AI100" s="99">
        <f ca="1">_xll.DBRW($B$9,$C$16,$C$17,AG$23,AD$22,$C$18,$C$19,$B100,AI$24)</f>
        <v>0</v>
      </c>
      <c r="AJ100" s="99">
        <f t="shared" ca="1" si="21"/>
        <v>0</v>
      </c>
      <c r="AK100" s="99">
        <f t="shared" ca="1" si="22"/>
        <v>0</v>
      </c>
      <c r="AL100" s="99">
        <f t="shared" ca="1" si="23"/>
        <v>0</v>
      </c>
    </row>
    <row r="101" spans="1:38" x14ac:dyDescent="0.25">
      <c r="A101">
        <f ca="1">IF(_xll.TM1RPTELISCONSOLIDATED($B$25,$B101),IF(_xll.TM1RPTELLEV($B$25,$B101)&lt;=3,_xll.TM1RPTELLEV($B$25,$B101),"D"),"N")</f>
        <v>2</v>
      </c>
      <c r="B101" s="134" t="s">
        <v>112</v>
      </c>
      <c r="C101" s="99">
        <f ca="1">_xll.DBRW($B$9,$C$16,$C$17,C$23,C$22,$C$18,$C$19,$B101,C$24)</f>
        <v>0</v>
      </c>
      <c r="D101" s="99">
        <f ca="1">_xll.DBRW($B$9,$C$16,$C$17,C$23,C$22,$C$18,$C$19,$B101,D$24)</f>
        <v>0</v>
      </c>
      <c r="E101" s="99">
        <f ca="1">_xll.DBRW($B$9,$C$16,$C$17,C$23,C$22,$C$18,$C$19,$B101,E$24)</f>
        <v>0</v>
      </c>
      <c r="F101" s="99">
        <f ca="1">_xll.DBRW($B$9,$C$16,$C$17,F$23,C$22,$C$18,$C$19,$B101,F$24)</f>
        <v>0</v>
      </c>
      <c r="G101" s="99">
        <f ca="1">_xll.DBRW($B$9,$C$16,$C$17,F$23,C$22,$C$18,$C$19,$B101,G$24)</f>
        <v>0</v>
      </c>
      <c r="H101" s="99">
        <f ca="1">_xll.DBRW($B$9,$C$16,$C$17,F$23,C$22,$C$18,$C$19,$B101,H$24)</f>
        <v>0</v>
      </c>
      <c r="I101" s="99">
        <f t="shared" ca="1" si="12"/>
        <v>0</v>
      </c>
      <c r="J101" s="99">
        <f t="shared" ca="1" si="13"/>
        <v>0</v>
      </c>
      <c r="K101" s="99">
        <f t="shared" ca="1" si="14"/>
        <v>0</v>
      </c>
      <c r="L101" s="99">
        <f ca="1">_xll.DBRW($B$9,$C$16,$C$17,L$23,L$22,$C$18,$C$19,$B101,L$24)</f>
        <v>0</v>
      </c>
      <c r="M101" s="99">
        <f ca="1">_xll.DBRW($B$9,$C$16,$C$17,L$23,L$22,$C$18,$C$19,$B101,M$24)</f>
        <v>0</v>
      </c>
      <c r="N101" s="99">
        <f ca="1">_xll.DBRW($B$9,$C$16,$C$17,L$23,L$22,$C$18,$C$19,$B101,N$24)</f>
        <v>0</v>
      </c>
      <c r="O101" s="99">
        <f ca="1">_xll.DBRW($B$9,$C$16,$C$17,O$23,L$22,$C$18,$C$19,$B101,O$24)</f>
        <v>0</v>
      </c>
      <c r="P101" s="99">
        <f ca="1">_xll.DBRW($B$9,$C$16,$C$17,O$23,L$22,$C$18,$C$19,$B101,P$24)</f>
        <v>0</v>
      </c>
      <c r="Q101" s="99">
        <f ca="1">_xll.DBRW($B$9,$C$16,$C$17,O$23,L$22,$C$18,$C$19,$B101,Q$24)</f>
        <v>0</v>
      </c>
      <c r="R101" s="99">
        <f t="shared" ca="1" si="15"/>
        <v>0</v>
      </c>
      <c r="S101" s="99">
        <f t="shared" ca="1" si="16"/>
        <v>0</v>
      </c>
      <c r="T101" s="99">
        <f t="shared" ca="1" si="17"/>
        <v>0</v>
      </c>
      <c r="U101" s="99">
        <f ca="1">_xll.DBRW($B$9,$C$16,$C$17,U$23,U$22,$C$18,$C$19,$B101,U$24)</f>
        <v>0</v>
      </c>
      <c r="V101" s="99">
        <f ca="1">_xll.DBRW($B$9,$C$16,$C$17,U$23,U$22,$C$18,$C$19,$B101,V$24)</f>
        <v>0</v>
      </c>
      <c r="W101" s="99">
        <f ca="1">_xll.DBRW($B$9,$C$16,$C$17,U$23,U$22,$C$18,$C$19,$B101,W$24)</f>
        <v>0</v>
      </c>
      <c r="X101" s="99">
        <f ca="1">_xll.DBRW($B$9,$C$16,$C$17,X$23,U$22,$C$18,$C$19,$B101,X$24)</f>
        <v>0</v>
      </c>
      <c r="Y101" s="99">
        <f ca="1">_xll.DBRW($B$9,$C$16,$C$17,X$23,U$22,$C$18,$C$19,$B101,Y$24)</f>
        <v>0</v>
      </c>
      <c r="Z101" s="99">
        <f ca="1">_xll.DBRW($B$9,$C$16,$C$17,X$23,U$22,$C$18,$C$19,$B101,Z$24)</f>
        <v>0</v>
      </c>
      <c r="AA101" s="99">
        <f t="shared" ca="1" si="18"/>
        <v>0</v>
      </c>
      <c r="AB101" s="99">
        <f t="shared" ca="1" si="19"/>
        <v>0</v>
      </c>
      <c r="AC101" s="99">
        <f t="shared" ca="1" si="20"/>
        <v>0</v>
      </c>
      <c r="AD101" s="99">
        <f ca="1">_xll.DBRW($B$9,$C$16,$C$17,AD$23,AD$22,$C$18,$C$19,$B101,AD$24)</f>
        <v>0</v>
      </c>
      <c r="AE101" s="99">
        <f ca="1">_xll.DBRW($B$9,$C$16,$C$17,AD$23,AD$22,$C$18,$C$19,$B101,AE$24)</f>
        <v>0</v>
      </c>
      <c r="AF101" s="99">
        <f ca="1">_xll.DBRW($B$9,$C$16,$C$17,AD$23,AD$22,$C$18,$C$19,$B101,AF$24)</f>
        <v>0</v>
      </c>
      <c r="AG101" s="99">
        <f ca="1">_xll.DBRW($B$9,$C$16,$C$17,AG$23,AD$22,$C$18,$C$19,$B101,AG$24)</f>
        <v>0</v>
      </c>
      <c r="AH101" s="99">
        <f ca="1">_xll.DBRW($B$9,$C$16,$C$17,AG$23,AD$22,$C$18,$C$19,$B101,AH$24)</f>
        <v>0</v>
      </c>
      <c r="AI101" s="99">
        <f ca="1">_xll.DBRW($B$9,$C$16,$C$17,AG$23,AD$22,$C$18,$C$19,$B101,AI$24)</f>
        <v>0</v>
      </c>
      <c r="AJ101" s="99">
        <f t="shared" ca="1" si="21"/>
        <v>0</v>
      </c>
      <c r="AK101" s="99">
        <f t="shared" ca="1" si="22"/>
        <v>0</v>
      </c>
      <c r="AL101" s="99">
        <f t="shared" ca="1" si="23"/>
        <v>0</v>
      </c>
    </row>
    <row r="102" spans="1:38" x14ac:dyDescent="0.25">
      <c r="A102">
        <f ca="1">IF(_xll.TM1RPTELISCONSOLIDATED($B$25,$B102),IF(_xll.TM1RPTELLEV($B$25,$B102)&lt;=3,_xll.TM1RPTELLEV($B$25,$B102),"D"),"N")</f>
        <v>2</v>
      </c>
      <c r="B102" s="134" t="s">
        <v>113</v>
      </c>
      <c r="C102" s="99">
        <f ca="1">_xll.DBRW($B$9,$C$16,$C$17,C$23,C$22,$C$18,$C$19,$B102,C$24)</f>
        <v>0</v>
      </c>
      <c r="D102" s="99">
        <f ca="1">_xll.DBRW($B$9,$C$16,$C$17,C$23,C$22,$C$18,$C$19,$B102,D$24)</f>
        <v>0</v>
      </c>
      <c r="E102" s="99">
        <f ca="1">_xll.DBRW($B$9,$C$16,$C$17,C$23,C$22,$C$18,$C$19,$B102,E$24)</f>
        <v>0</v>
      </c>
      <c r="F102" s="99">
        <f ca="1">_xll.DBRW($B$9,$C$16,$C$17,F$23,C$22,$C$18,$C$19,$B102,F$24)</f>
        <v>0</v>
      </c>
      <c r="G102" s="99">
        <f ca="1">_xll.DBRW($B$9,$C$16,$C$17,F$23,C$22,$C$18,$C$19,$B102,G$24)</f>
        <v>0</v>
      </c>
      <c r="H102" s="99">
        <f ca="1">_xll.DBRW($B$9,$C$16,$C$17,F$23,C$22,$C$18,$C$19,$B102,H$24)</f>
        <v>0</v>
      </c>
      <c r="I102" s="99">
        <f t="shared" ca="1" si="12"/>
        <v>0</v>
      </c>
      <c r="J102" s="99">
        <f t="shared" ca="1" si="13"/>
        <v>0</v>
      </c>
      <c r="K102" s="99">
        <f t="shared" ca="1" si="14"/>
        <v>0</v>
      </c>
      <c r="L102" s="99">
        <f ca="1">_xll.DBRW($B$9,$C$16,$C$17,L$23,L$22,$C$18,$C$19,$B102,L$24)</f>
        <v>0</v>
      </c>
      <c r="M102" s="99">
        <f ca="1">_xll.DBRW($B$9,$C$16,$C$17,L$23,L$22,$C$18,$C$19,$B102,M$24)</f>
        <v>0</v>
      </c>
      <c r="N102" s="99">
        <f ca="1">_xll.DBRW($B$9,$C$16,$C$17,L$23,L$22,$C$18,$C$19,$B102,N$24)</f>
        <v>0</v>
      </c>
      <c r="O102" s="99">
        <f ca="1">_xll.DBRW($B$9,$C$16,$C$17,O$23,L$22,$C$18,$C$19,$B102,O$24)</f>
        <v>0</v>
      </c>
      <c r="P102" s="99">
        <f ca="1">_xll.DBRW($B$9,$C$16,$C$17,O$23,L$22,$C$18,$C$19,$B102,P$24)</f>
        <v>0</v>
      </c>
      <c r="Q102" s="99">
        <f ca="1">_xll.DBRW($B$9,$C$16,$C$17,O$23,L$22,$C$18,$C$19,$B102,Q$24)</f>
        <v>0</v>
      </c>
      <c r="R102" s="99">
        <f t="shared" ca="1" si="15"/>
        <v>0</v>
      </c>
      <c r="S102" s="99">
        <f t="shared" ca="1" si="16"/>
        <v>0</v>
      </c>
      <c r="T102" s="99">
        <f t="shared" ca="1" si="17"/>
        <v>0</v>
      </c>
      <c r="U102" s="99">
        <f ca="1">_xll.DBRW($B$9,$C$16,$C$17,U$23,U$22,$C$18,$C$19,$B102,U$24)</f>
        <v>0</v>
      </c>
      <c r="V102" s="99">
        <f ca="1">_xll.DBRW($B$9,$C$16,$C$17,U$23,U$22,$C$18,$C$19,$B102,V$24)</f>
        <v>0</v>
      </c>
      <c r="W102" s="99">
        <f ca="1">_xll.DBRW($B$9,$C$16,$C$17,U$23,U$22,$C$18,$C$19,$B102,W$24)</f>
        <v>0</v>
      </c>
      <c r="X102" s="99">
        <f ca="1">_xll.DBRW($B$9,$C$16,$C$17,X$23,U$22,$C$18,$C$19,$B102,X$24)</f>
        <v>0</v>
      </c>
      <c r="Y102" s="99">
        <f ca="1">_xll.DBRW($B$9,$C$16,$C$17,X$23,U$22,$C$18,$C$19,$B102,Y$24)</f>
        <v>0</v>
      </c>
      <c r="Z102" s="99">
        <f ca="1">_xll.DBRW($B$9,$C$16,$C$17,X$23,U$22,$C$18,$C$19,$B102,Z$24)</f>
        <v>0</v>
      </c>
      <c r="AA102" s="99">
        <f t="shared" ca="1" si="18"/>
        <v>0</v>
      </c>
      <c r="AB102" s="99">
        <f t="shared" ca="1" si="19"/>
        <v>0</v>
      </c>
      <c r="AC102" s="99">
        <f t="shared" ca="1" si="20"/>
        <v>0</v>
      </c>
      <c r="AD102" s="99">
        <f ca="1">_xll.DBRW($B$9,$C$16,$C$17,AD$23,AD$22,$C$18,$C$19,$B102,AD$24)</f>
        <v>0</v>
      </c>
      <c r="AE102" s="99">
        <f ca="1">_xll.DBRW($B$9,$C$16,$C$17,AD$23,AD$22,$C$18,$C$19,$B102,AE$24)</f>
        <v>0</v>
      </c>
      <c r="AF102" s="99">
        <f ca="1">_xll.DBRW($B$9,$C$16,$C$17,AD$23,AD$22,$C$18,$C$19,$B102,AF$24)</f>
        <v>0</v>
      </c>
      <c r="AG102" s="99">
        <f ca="1">_xll.DBRW($B$9,$C$16,$C$17,AG$23,AD$22,$C$18,$C$19,$B102,AG$24)</f>
        <v>0</v>
      </c>
      <c r="AH102" s="99">
        <f ca="1">_xll.DBRW($B$9,$C$16,$C$17,AG$23,AD$22,$C$18,$C$19,$B102,AH$24)</f>
        <v>0</v>
      </c>
      <c r="AI102" s="99">
        <f ca="1">_xll.DBRW($B$9,$C$16,$C$17,AG$23,AD$22,$C$18,$C$19,$B102,AI$24)</f>
        <v>0</v>
      </c>
      <c r="AJ102" s="99">
        <f t="shared" ca="1" si="21"/>
        <v>0</v>
      </c>
      <c r="AK102" s="99">
        <f t="shared" ca="1" si="22"/>
        <v>0</v>
      </c>
      <c r="AL102" s="99">
        <f t="shared" ca="1" si="23"/>
        <v>0</v>
      </c>
    </row>
    <row r="103" spans="1:38" x14ac:dyDescent="0.25">
      <c r="A103">
        <f ca="1">IF(_xll.TM1RPTELISCONSOLIDATED($B$25,$B103),IF(_xll.TM1RPTELLEV($B$25,$B103)&lt;=3,_xll.TM1RPTELLEV($B$25,$B103),"D"),"N")</f>
        <v>2</v>
      </c>
      <c r="B103" s="134" t="s">
        <v>114</v>
      </c>
      <c r="C103" s="99">
        <f ca="1">_xll.DBRW($B$9,$C$16,$C$17,C$23,C$22,$C$18,$C$19,$B103,C$24)</f>
        <v>0</v>
      </c>
      <c r="D103" s="99">
        <f ca="1">_xll.DBRW($B$9,$C$16,$C$17,C$23,C$22,$C$18,$C$19,$B103,D$24)</f>
        <v>0</v>
      </c>
      <c r="E103" s="99">
        <f ca="1">_xll.DBRW($B$9,$C$16,$C$17,C$23,C$22,$C$18,$C$19,$B103,E$24)</f>
        <v>0</v>
      </c>
      <c r="F103" s="99">
        <f ca="1">_xll.DBRW($B$9,$C$16,$C$17,F$23,C$22,$C$18,$C$19,$B103,F$24)</f>
        <v>0</v>
      </c>
      <c r="G103" s="99">
        <f ca="1">_xll.DBRW($B$9,$C$16,$C$17,F$23,C$22,$C$18,$C$19,$B103,G$24)</f>
        <v>0</v>
      </c>
      <c r="H103" s="99">
        <f ca="1">_xll.DBRW($B$9,$C$16,$C$17,F$23,C$22,$C$18,$C$19,$B103,H$24)</f>
        <v>0</v>
      </c>
      <c r="I103" s="99">
        <f t="shared" ca="1" si="12"/>
        <v>0</v>
      </c>
      <c r="J103" s="99">
        <f t="shared" ca="1" si="13"/>
        <v>0</v>
      </c>
      <c r="K103" s="99">
        <f t="shared" ca="1" si="14"/>
        <v>0</v>
      </c>
      <c r="L103" s="99">
        <f ca="1">_xll.DBRW($B$9,$C$16,$C$17,L$23,L$22,$C$18,$C$19,$B103,L$24)</f>
        <v>0</v>
      </c>
      <c r="M103" s="99">
        <f ca="1">_xll.DBRW($B$9,$C$16,$C$17,L$23,L$22,$C$18,$C$19,$B103,M$24)</f>
        <v>0</v>
      </c>
      <c r="N103" s="99">
        <f ca="1">_xll.DBRW($B$9,$C$16,$C$17,L$23,L$22,$C$18,$C$19,$B103,N$24)</f>
        <v>0</v>
      </c>
      <c r="O103" s="99">
        <f ca="1">_xll.DBRW($B$9,$C$16,$C$17,O$23,L$22,$C$18,$C$19,$B103,O$24)</f>
        <v>0</v>
      </c>
      <c r="P103" s="99">
        <f ca="1">_xll.DBRW($B$9,$C$16,$C$17,O$23,L$22,$C$18,$C$19,$B103,P$24)</f>
        <v>0</v>
      </c>
      <c r="Q103" s="99">
        <f ca="1">_xll.DBRW($B$9,$C$16,$C$17,O$23,L$22,$C$18,$C$19,$B103,Q$24)</f>
        <v>0</v>
      </c>
      <c r="R103" s="99">
        <f t="shared" ca="1" si="15"/>
        <v>0</v>
      </c>
      <c r="S103" s="99">
        <f t="shared" ca="1" si="16"/>
        <v>0</v>
      </c>
      <c r="T103" s="99">
        <f t="shared" ca="1" si="17"/>
        <v>0</v>
      </c>
      <c r="U103" s="99">
        <f ca="1">_xll.DBRW($B$9,$C$16,$C$17,U$23,U$22,$C$18,$C$19,$B103,U$24)</f>
        <v>0</v>
      </c>
      <c r="V103" s="99">
        <f ca="1">_xll.DBRW($B$9,$C$16,$C$17,U$23,U$22,$C$18,$C$19,$B103,V$24)</f>
        <v>0</v>
      </c>
      <c r="W103" s="99">
        <f ca="1">_xll.DBRW($B$9,$C$16,$C$17,U$23,U$22,$C$18,$C$19,$B103,W$24)</f>
        <v>0</v>
      </c>
      <c r="X103" s="99">
        <f ca="1">_xll.DBRW($B$9,$C$16,$C$17,X$23,U$22,$C$18,$C$19,$B103,X$24)</f>
        <v>0</v>
      </c>
      <c r="Y103" s="99">
        <f ca="1">_xll.DBRW($B$9,$C$16,$C$17,X$23,U$22,$C$18,$C$19,$B103,Y$24)</f>
        <v>0</v>
      </c>
      <c r="Z103" s="99">
        <f ca="1">_xll.DBRW($B$9,$C$16,$C$17,X$23,U$22,$C$18,$C$19,$B103,Z$24)</f>
        <v>0</v>
      </c>
      <c r="AA103" s="99">
        <f t="shared" ca="1" si="18"/>
        <v>0</v>
      </c>
      <c r="AB103" s="99">
        <f t="shared" ca="1" si="19"/>
        <v>0</v>
      </c>
      <c r="AC103" s="99">
        <f t="shared" ca="1" si="20"/>
        <v>0</v>
      </c>
      <c r="AD103" s="99">
        <f ca="1">_xll.DBRW($B$9,$C$16,$C$17,AD$23,AD$22,$C$18,$C$19,$B103,AD$24)</f>
        <v>0</v>
      </c>
      <c r="AE103" s="99">
        <f ca="1">_xll.DBRW($B$9,$C$16,$C$17,AD$23,AD$22,$C$18,$C$19,$B103,AE$24)</f>
        <v>0</v>
      </c>
      <c r="AF103" s="99">
        <f ca="1">_xll.DBRW($B$9,$C$16,$C$17,AD$23,AD$22,$C$18,$C$19,$B103,AF$24)</f>
        <v>0</v>
      </c>
      <c r="AG103" s="99">
        <f ca="1">_xll.DBRW($B$9,$C$16,$C$17,AG$23,AD$22,$C$18,$C$19,$B103,AG$24)</f>
        <v>0</v>
      </c>
      <c r="AH103" s="99">
        <f ca="1">_xll.DBRW($B$9,$C$16,$C$17,AG$23,AD$22,$C$18,$C$19,$B103,AH$24)</f>
        <v>0</v>
      </c>
      <c r="AI103" s="99">
        <f ca="1">_xll.DBRW($B$9,$C$16,$C$17,AG$23,AD$22,$C$18,$C$19,$B103,AI$24)</f>
        <v>0</v>
      </c>
      <c r="AJ103" s="99">
        <f t="shared" ca="1" si="21"/>
        <v>0</v>
      </c>
      <c r="AK103" s="99">
        <f t="shared" ca="1" si="22"/>
        <v>0</v>
      </c>
      <c r="AL103" s="99">
        <f t="shared" ca="1" si="23"/>
        <v>0</v>
      </c>
    </row>
    <row r="104" spans="1:38" x14ac:dyDescent="0.25">
      <c r="A104">
        <f ca="1">IF(_xll.TM1RPTELISCONSOLIDATED($B$25,$B104),IF(_xll.TM1RPTELLEV($B$25,$B104)&lt;=3,_xll.TM1RPTELLEV($B$25,$B104),"D"),"N")</f>
        <v>2</v>
      </c>
      <c r="B104" s="134" t="s">
        <v>115</v>
      </c>
      <c r="C104" s="99">
        <f ca="1">_xll.DBRW($B$9,$C$16,$C$17,C$23,C$22,$C$18,$C$19,$B104,C$24)</f>
        <v>0</v>
      </c>
      <c r="D104" s="99">
        <f ca="1">_xll.DBRW($B$9,$C$16,$C$17,C$23,C$22,$C$18,$C$19,$B104,D$24)</f>
        <v>0</v>
      </c>
      <c r="E104" s="99">
        <f ca="1">_xll.DBRW($B$9,$C$16,$C$17,C$23,C$22,$C$18,$C$19,$B104,E$24)</f>
        <v>0</v>
      </c>
      <c r="F104" s="99">
        <f ca="1">_xll.DBRW($B$9,$C$16,$C$17,F$23,C$22,$C$18,$C$19,$B104,F$24)</f>
        <v>0</v>
      </c>
      <c r="G104" s="99">
        <f ca="1">_xll.DBRW($B$9,$C$16,$C$17,F$23,C$22,$C$18,$C$19,$B104,G$24)</f>
        <v>0</v>
      </c>
      <c r="H104" s="99">
        <f ca="1">_xll.DBRW($B$9,$C$16,$C$17,F$23,C$22,$C$18,$C$19,$B104,H$24)</f>
        <v>0</v>
      </c>
      <c r="I104" s="99">
        <f t="shared" ca="1" si="12"/>
        <v>0</v>
      </c>
      <c r="J104" s="99">
        <f t="shared" ca="1" si="13"/>
        <v>0</v>
      </c>
      <c r="K104" s="99">
        <f t="shared" ca="1" si="14"/>
        <v>0</v>
      </c>
      <c r="L104" s="99">
        <f ca="1">_xll.DBRW($B$9,$C$16,$C$17,L$23,L$22,$C$18,$C$19,$B104,L$24)</f>
        <v>0</v>
      </c>
      <c r="M104" s="99">
        <f ca="1">_xll.DBRW($B$9,$C$16,$C$17,L$23,L$22,$C$18,$C$19,$B104,M$24)</f>
        <v>0</v>
      </c>
      <c r="N104" s="99">
        <f ca="1">_xll.DBRW($B$9,$C$16,$C$17,L$23,L$22,$C$18,$C$19,$B104,N$24)</f>
        <v>0</v>
      </c>
      <c r="O104" s="99">
        <f ca="1">_xll.DBRW($B$9,$C$16,$C$17,O$23,L$22,$C$18,$C$19,$B104,O$24)</f>
        <v>0</v>
      </c>
      <c r="P104" s="99">
        <f ca="1">_xll.DBRW($B$9,$C$16,$C$17,O$23,L$22,$C$18,$C$19,$B104,P$24)</f>
        <v>0</v>
      </c>
      <c r="Q104" s="99">
        <f ca="1">_xll.DBRW($B$9,$C$16,$C$17,O$23,L$22,$C$18,$C$19,$B104,Q$24)</f>
        <v>0</v>
      </c>
      <c r="R104" s="99">
        <f t="shared" ca="1" si="15"/>
        <v>0</v>
      </c>
      <c r="S104" s="99">
        <f t="shared" ca="1" si="16"/>
        <v>0</v>
      </c>
      <c r="T104" s="99">
        <f t="shared" ca="1" si="17"/>
        <v>0</v>
      </c>
      <c r="U104" s="99">
        <f ca="1">_xll.DBRW($B$9,$C$16,$C$17,U$23,U$22,$C$18,$C$19,$B104,U$24)</f>
        <v>0</v>
      </c>
      <c r="V104" s="99">
        <f ca="1">_xll.DBRW($B$9,$C$16,$C$17,U$23,U$22,$C$18,$C$19,$B104,V$24)</f>
        <v>0</v>
      </c>
      <c r="W104" s="99">
        <f ca="1">_xll.DBRW($B$9,$C$16,$C$17,U$23,U$22,$C$18,$C$19,$B104,W$24)</f>
        <v>0</v>
      </c>
      <c r="X104" s="99">
        <f ca="1">_xll.DBRW($B$9,$C$16,$C$17,X$23,U$22,$C$18,$C$19,$B104,X$24)</f>
        <v>0</v>
      </c>
      <c r="Y104" s="99">
        <f ca="1">_xll.DBRW($B$9,$C$16,$C$17,X$23,U$22,$C$18,$C$19,$B104,Y$24)</f>
        <v>0</v>
      </c>
      <c r="Z104" s="99">
        <f ca="1">_xll.DBRW($B$9,$C$16,$C$17,X$23,U$22,$C$18,$C$19,$B104,Z$24)</f>
        <v>0</v>
      </c>
      <c r="AA104" s="99">
        <f t="shared" ca="1" si="18"/>
        <v>0</v>
      </c>
      <c r="AB104" s="99">
        <f t="shared" ca="1" si="19"/>
        <v>0</v>
      </c>
      <c r="AC104" s="99">
        <f t="shared" ca="1" si="20"/>
        <v>0</v>
      </c>
      <c r="AD104" s="99">
        <f ca="1">_xll.DBRW($B$9,$C$16,$C$17,AD$23,AD$22,$C$18,$C$19,$B104,AD$24)</f>
        <v>0</v>
      </c>
      <c r="AE104" s="99">
        <f ca="1">_xll.DBRW($B$9,$C$16,$C$17,AD$23,AD$22,$C$18,$C$19,$B104,AE$24)</f>
        <v>0</v>
      </c>
      <c r="AF104" s="99">
        <f ca="1">_xll.DBRW($B$9,$C$16,$C$17,AD$23,AD$22,$C$18,$C$19,$B104,AF$24)</f>
        <v>0</v>
      </c>
      <c r="AG104" s="99">
        <f ca="1">_xll.DBRW($B$9,$C$16,$C$17,AG$23,AD$22,$C$18,$C$19,$B104,AG$24)</f>
        <v>0</v>
      </c>
      <c r="AH104" s="99">
        <f ca="1">_xll.DBRW($B$9,$C$16,$C$17,AG$23,AD$22,$C$18,$C$19,$B104,AH$24)</f>
        <v>0</v>
      </c>
      <c r="AI104" s="99">
        <f ca="1">_xll.DBRW($B$9,$C$16,$C$17,AG$23,AD$22,$C$18,$C$19,$B104,AI$24)</f>
        <v>0</v>
      </c>
      <c r="AJ104" s="99">
        <f t="shared" ca="1" si="21"/>
        <v>0</v>
      </c>
      <c r="AK104" s="99">
        <f t="shared" ca="1" si="22"/>
        <v>0</v>
      </c>
      <c r="AL104" s="99">
        <f t="shared" ca="1" si="23"/>
        <v>0</v>
      </c>
    </row>
    <row r="105" spans="1:38" x14ac:dyDescent="0.25">
      <c r="A105">
        <f ca="1">IF(_xll.TM1RPTELISCONSOLIDATED($B$25,$B105),IF(_xll.TM1RPTELLEV($B$25,$B105)&lt;=3,_xll.TM1RPTELLEV($B$25,$B105),"D"),"N")</f>
        <v>1</v>
      </c>
      <c r="B105" s="133" t="s">
        <v>25</v>
      </c>
      <c r="C105" s="97">
        <f ca="1">_xll.DBRW($B$9,$C$16,$C$17,C$23,C$22,$C$18,$C$19,$B105,C$24)</f>
        <v>0</v>
      </c>
      <c r="D105" s="97">
        <f ca="1">_xll.DBRW($B$9,$C$16,$C$17,C$23,C$22,$C$18,$C$19,$B105,D$24)</f>
        <v>0</v>
      </c>
      <c r="E105" s="97">
        <f ca="1">_xll.DBRW($B$9,$C$16,$C$17,C$23,C$22,$C$18,$C$19,$B105,E$24)</f>
        <v>0</v>
      </c>
      <c r="F105" s="97">
        <f ca="1">_xll.DBRW($B$9,$C$16,$C$17,F$23,C$22,$C$18,$C$19,$B105,F$24)</f>
        <v>0</v>
      </c>
      <c r="G105" s="97">
        <f ca="1">_xll.DBRW($B$9,$C$16,$C$17,F$23,C$22,$C$18,$C$19,$B105,G$24)</f>
        <v>0</v>
      </c>
      <c r="H105" s="97">
        <f ca="1">_xll.DBRW($B$9,$C$16,$C$17,F$23,C$22,$C$18,$C$19,$B105,H$24)</f>
        <v>0</v>
      </c>
      <c r="I105" s="97">
        <f t="shared" ca="1" si="12"/>
        <v>0</v>
      </c>
      <c r="J105" s="97">
        <f t="shared" ca="1" si="13"/>
        <v>0</v>
      </c>
      <c r="K105" s="97">
        <f t="shared" ca="1" si="14"/>
        <v>0</v>
      </c>
      <c r="L105" s="97">
        <f ca="1">_xll.DBRW($B$9,$C$16,$C$17,L$23,L$22,$C$18,$C$19,$B105,L$24)</f>
        <v>0</v>
      </c>
      <c r="M105" s="97">
        <f ca="1">_xll.DBRW($B$9,$C$16,$C$17,L$23,L$22,$C$18,$C$19,$B105,M$24)</f>
        <v>0</v>
      </c>
      <c r="N105" s="97">
        <f ca="1">_xll.DBRW($B$9,$C$16,$C$17,L$23,L$22,$C$18,$C$19,$B105,N$24)</f>
        <v>0</v>
      </c>
      <c r="O105" s="97">
        <f ca="1">_xll.DBRW($B$9,$C$16,$C$17,O$23,L$22,$C$18,$C$19,$B105,O$24)</f>
        <v>0</v>
      </c>
      <c r="P105" s="97">
        <f ca="1">_xll.DBRW($B$9,$C$16,$C$17,O$23,L$22,$C$18,$C$19,$B105,P$24)</f>
        <v>0</v>
      </c>
      <c r="Q105" s="97">
        <f ca="1">_xll.DBRW($B$9,$C$16,$C$17,O$23,L$22,$C$18,$C$19,$B105,Q$24)</f>
        <v>0</v>
      </c>
      <c r="R105" s="97">
        <f t="shared" ca="1" si="15"/>
        <v>0</v>
      </c>
      <c r="S105" s="97">
        <f t="shared" ca="1" si="16"/>
        <v>0</v>
      </c>
      <c r="T105" s="97">
        <f t="shared" ca="1" si="17"/>
        <v>0</v>
      </c>
      <c r="U105" s="97">
        <f ca="1">_xll.DBRW($B$9,$C$16,$C$17,U$23,U$22,$C$18,$C$19,$B105,U$24)</f>
        <v>0</v>
      </c>
      <c r="V105" s="97">
        <f ca="1">_xll.DBRW($B$9,$C$16,$C$17,U$23,U$22,$C$18,$C$19,$B105,V$24)</f>
        <v>0</v>
      </c>
      <c r="W105" s="97">
        <f ca="1">_xll.DBRW($B$9,$C$16,$C$17,U$23,U$22,$C$18,$C$19,$B105,W$24)</f>
        <v>0</v>
      </c>
      <c r="X105" s="97">
        <f ca="1">_xll.DBRW($B$9,$C$16,$C$17,X$23,U$22,$C$18,$C$19,$B105,X$24)</f>
        <v>0</v>
      </c>
      <c r="Y105" s="97">
        <f ca="1">_xll.DBRW($B$9,$C$16,$C$17,X$23,U$22,$C$18,$C$19,$B105,Y$24)</f>
        <v>0</v>
      </c>
      <c r="Z105" s="97">
        <f ca="1">_xll.DBRW($B$9,$C$16,$C$17,X$23,U$22,$C$18,$C$19,$B105,Z$24)</f>
        <v>0</v>
      </c>
      <c r="AA105" s="97">
        <f t="shared" ca="1" si="18"/>
        <v>0</v>
      </c>
      <c r="AB105" s="97">
        <f t="shared" ca="1" si="19"/>
        <v>0</v>
      </c>
      <c r="AC105" s="97">
        <f t="shared" ca="1" si="20"/>
        <v>0</v>
      </c>
      <c r="AD105" s="97">
        <f ca="1">_xll.DBRW($B$9,$C$16,$C$17,AD$23,AD$22,$C$18,$C$19,$B105,AD$24)</f>
        <v>0</v>
      </c>
      <c r="AE105" s="97">
        <f ca="1">_xll.DBRW($B$9,$C$16,$C$17,AD$23,AD$22,$C$18,$C$19,$B105,AE$24)</f>
        <v>0</v>
      </c>
      <c r="AF105" s="97">
        <f ca="1">_xll.DBRW($B$9,$C$16,$C$17,AD$23,AD$22,$C$18,$C$19,$B105,AF$24)</f>
        <v>0</v>
      </c>
      <c r="AG105" s="97">
        <f ca="1">_xll.DBRW($B$9,$C$16,$C$17,AG$23,AD$22,$C$18,$C$19,$B105,AG$24)</f>
        <v>0</v>
      </c>
      <c r="AH105" s="97">
        <f ca="1">_xll.DBRW($B$9,$C$16,$C$17,AG$23,AD$22,$C$18,$C$19,$B105,AH$24)</f>
        <v>0</v>
      </c>
      <c r="AI105" s="97">
        <f ca="1">_xll.DBRW($B$9,$C$16,$C$17,AG$23,AD$22,$C$18,$C$19,$B105,AI$24)</f>
        <v>0</v>
      </c>
      <c r="AJ105" s="97">
        <f t="shared" ca="1" si="21"/>
        <v>0</v>
      </c>
      <c r="AK105" s="97">
        <f t="shared" ca="1" si="22"/>
        <v>0</v>
      </c>
      <c r="AL105" s="97">
        <f t="shared" ca="1" si="23"/>
        <v>0</v>
      </c>
    </row>
    <row r="106" spans="1:38" x14ac:dyDescent="0.25">
      <c r="A106">
        <f ca="1">IF(_xll.TM1RPTELISCONSOLIDATED($B$25,$B106),IF(_xll.TM1RPTELLEV($B$25,$B106)&lt;=3,_xll.TM1RPTELLEV($B$25,$B106),"D"),"N")</f>
        <v>2</v>
      </c>
      <c r="B106" s="134" t="s">
        <v>116</v>
      </c>
      <c r="C106" s="99">
        <f ca="1">_xll.DBRW($B$9,$C$16,$C$17,C$23,C$22,$C$18,$C$19,$B106,C$24)</f>
        <v>0</v>
      </c>
      <c r="D106" s="99">
        <f ca="1">_xll.DBRW($B$9,$C$16,$C$17,C$23,C$22,$C$18,$C$19,$B106,D$24)</f>
        <v>0</v>
      </c>
      <c r="E106" s="99">
        <f ca="1">_xll.DBRW($B$9,$C$16,$C$17,C$23,C$22,$C$18,$C$19,$B106,E$24)</f>
        <v>0</v>
      </c>
      <c r="F106" s="99">
        <f ca="1">_xll.DBRW($B$9,$C$16,$C$17,F$23,C$22,$C$18,$C$19,$B106,F$24)</f>
        <v>0</v>
      </c>
      <c r="G106" s="99">
        <f ca="1">_xll.DBRW($B$9,$C$16,$C$17,F$23,C$22,$C$18,$C$19,$B106,G$24)</f>
        <v>0</v>
      </c>
      <c r="H106" s="99">
        <f ca="1">_xll.DBRW($B$9,$C$16,$C$17,F$23,C$22,$C$18,$C$19,$B106,H$24)</f>
        <v>0</v>
      </c>
      <c r="I106" s="99">
        <f t="shared" ca="1" si="12"/>
        <v>0</v>
      </c>
      <c r="J106" s="99">
        <f t="shared" ca="1" si="13"/>
        <v>0</v>
      </c>
      <c r="K106" s="99">
        <f t="shared" ca="1" si="14"/>
        <v>0</v>
      </c>
      <c r="L106" s="99">
        <f ca="1">_xll.DBRW($B$9,$C$16,$C$17,L$23,L$22,$C$18,$C$19,$B106,L$24)</f>
        <v>0</v>
      </c>
      <c r="M106" s="99">
        <f ca="1">_xll.DBRW($B$9,$C$16,$C$17,L$23,L$22,$C$18,$C$19,$B106,M$24)</f>
        <v>0</v>
      </c>
      <c r="N106" s="99">
        <f ca="1">_xll.DBRW($B$9,$C$16,$C$17,L$23,L$22,$C$18,$C$19,$B106,N$24)</f>
        <v>0</v>
      </c>
      <c r="O106" s="99">
        <f ca="1">_xll.DBRW($B$9,$C$16,$C$17,O$23,L$22,$C$18,$C$19,$B106,O$24)</f>
        <v>0</v>
      </c>
      <c r="P106" s="99">
        <f ca="1">_xll.DBRW($B$9,$C$16,$C$17,O$23,L$22,$C$18,$C$19,$B106,P$24)</f>
        <v>0</v>
      </c>
      <c r="Q106" s="99">
        <f ca="1">_xll.DBRW($B$9,$C$16,$C$17,O$23,L$22,$C$18,$C$19,$B106,Q$24)</f>
        <v>0</v>
      </c>
      <c r="R106" s="99">
        <f t="shared" ca="1" si="15"/>
        <v>0</v>
      </c>
      <c r="S106" s="99">
        <f t="shared" ca="1" si="16"/>
        <v>0</v>
      </c>
      <c r="T106" s="99">
        <f t="shared" ca="1" si="17"/>
        <v>0</v>
      </c>
      <c r="U106" s="99">
        <f ca="1">_xll.DBRW($B$9,$C$16,$C$17,U$23,U$22,$C$18,$C$19,$B106,U$24)</f>
        <v>0</v>
      </c>
      <c r="V106" s="99">
        <f ca="1">_xll.DBRW($B$9,$C$16,$C$17,U$23,U$22,$C$18,$C$19,$B106,V$24)</f>
        <v>0</v>
      </c>
      <c r="W106" s="99">
        <f ca="1">_xll.DBRW($B$9,$C$16,$C$17,U$23,U$22,$C$18,$C$19,$B106,W$24)</f>
        <v>0</v>
      </c>
      <c r="X106" s="99">
        <f ca="1">_xll.DBRW($B$9,$C$16,$C$17,X$23,U$22,$C$18,$C$19,$B106,X$24)</f>
        <v>0</v>
      </c>
      <c r="Y106" s="99">
        <f ca="1">_xll.DBRW($B$9,$C$16,$C$17,X$23,U$22,$C$18,$C$19,$B106,Y$24)</f>
        <v>0</v>
      </c>
      <c r="Z106" s="99">
        <f ca="1">_xll.DBRW($B$9,$C$16,$C$17,X$23,U$22,$C$18,$C$19,$B106,Z$24)</f>
        <v>0</v>
      </c>
      <c r="AA106" s="99">
        <f t="shared" ca="1" si="18"/>
        <v>0</v>
      </c>
      <c r="AB106" s="99">
        <f t="shared" ca="1" si="19"/>
        <v>0</v>
      </c>
      <c r="AC106" s="99">
        <f t="shared" ca="1" si="20"/>
        <v>0</v>
      </c>
      <c r="AD106" s="99">
        <f ca="1">_xll.DBRW($B$9,$C$16,$C$17,AD$23,AD$22,$C$18,$C$19,$B106,AD$24)</f>
        <v>0</v>
      </c>
      <c r="AE106" s="99">
        <f ca="1">_xll.DBRW($B$9,$C$16,$C$17,AD$23,AD$22,$C$18,$C$19,$B106,AE$24)</f>
        <v>0</v>
      </c>
      <c r="AF106" s="99">
        <f ca="1">_xll.DBRW($B$9,$C$16,$C$17,AD$23,AD$22,$C$18,$C$19,$B106,AF$24)</f>
        <v>0</v>
      </c>
      <c r="AG106" s="99">
        <f ca="1">_xll.DBRW($B$9,$C$16,$C$17,AG$23,AD$22,$C$18,$C$19,$B106,AG$24)</f>
        <v>0</v>
      </c>
      <c r="AH106" s="99">
        <f ca="1">_xll.DBRW($B$9,$C$16,$C$17,AG$23,AD$22,$C$18,$C$19,$B106,AH$24)</f>
        <v>0</v>
      </c>
      <c r="AI106" s="99">
        <f ca="1">_xll.DBRW($B$9,$C$16,$C$17,AG$23,AD$22,$C$18,$C$19,$B106,AI$24)</f>
        <v>0</v>
      </c>
      <c r="AJ106" s="99">
        <f t="shared" ca="1" si="21"/>
        <v>0</v>
      </c>
      <c r="AK106" s="99">
        <f t="shared" ca="1" si="22"/>
        <v>0</v>
      </c>
      <c r="AL106" s="99">
        <f t="shared" ca="1" si="23"/>
        <v>0</v>
      </c>
    </row>
    <row r="107" spans="1:38" x14ac:dyDescent="0.25">
      <c r="A107">
        <f ca="1">IF(_xll.TM1RPTELISCONSOLIDATED($B$25,$B107),IF(_xll.TM1RPTELLEV($B$25,$B107)&lt;=3,_xll.TM1RPTELLEV($B$25,$B107),"D"),"N")</f>
        <v>2</v>
      </c>
      <c r="B107" s="135" t="s">
        <v>117</v>
      </c>
      <c r="C107" s="99">
        <f ca="1">_xll.DBRW($B$9,$C$16,$C$17,C$23,C$22,$C$18,$C$19,$B107,C$24)</f>
        <v>0</v>
      </c>
      <c r="D107" s="99">
        <f ca="1">_xll.DBRW($B$9,$C$16,$C$17,C$23,C$22,$C$18,$C$19,$B107,D$24)</f>
        <v>0</v>
      </c>
      <c r="E107" s="99">
        <f ca="1">_xll.DBRW($B$9,$C$16,$C$17,C$23,C$22,$C$18,$C$19,$B107,E$24)</f>
        <v>0</v>
      </c>
      <c r="F107" s="99">
        <f ca="1">_xll.DBRW($B$9,$C$16,$C$17,F$23,C$22,$C$18,$C$19,$B107,F$24)</f>
        <v>0</v>
      </c>
      <c r="G107" s="99">
        <f ca="1">_xll.DBRW($B$9,$C$16,$C$17,F$23,C$22,$C$18,$C$19,$B107,G$24)</f>
        <v>0</v>
      </c>
      <c r="H107" s="99">
        <f ca="1">_xll.DBRW($B$9,$C$16,$C$17,F$23,C$22,$C$18,$C$19,$B107,H$24)</f>
        <v>0</v>
      </c>
      <c r="I107" s="99">
        <f t="shared" ca="1" si="12"/>
        <v>0</v>
      </c>
      <c r="J107" s="99">
        <f t="shared" ca="1" si="13"/>
        <v>0</v>
      </c>
      <c r="K107" s="99">
        <f t="shared" ca="1" si="14"/>
        <v>0</v>
      </c>
      <c r="L107" s="99">
        <f ca="1">_xll.DBRW($B$9,$C$16,$C$17,L$23,L$22,$C$18,$C$19,$B107,L$24)</f>
        <v>0</v>
      </c>
      <c r="M107" s="99">
        <f ca="1">_xll.DBRW($B$9,$C$16,$C$17,L$23,L$22,$C$18,$C$19,$B107,M$24)</f>
        <v>0</v>
      </c>
      <c r="N107" s="99">
        <f ca="1">_xll.DBRW($B$9,$C$16,$C$17,L$23,L$22,$C$18,$C$19,$B107,N$24)</f>
        <v>0</v>
      </c>
      <c r="O107" s="99">
        <f ca="1">_xll.DBRW($B$9,$C$16,$C$17,O$23,L$22,$C$18,$C$19,$B107,O$24)</f>
        <v>0</v>
      </c>
      <c r="P107" s="99">
        <f ca="1">_xll.DBRW($B$9,$C$16,$C$17,O$23,L$22,$C$18,$C$19,$B107,P$24)</f>
        <v>0</v>
      </c>
      <c r="Q107" s="99">
        <f ca="1">_xll.DBRW($B$9,$C$16,$C$17,O$23,L$22,$C$18,$C$19,$B107,Q$24)</f>
        <v>0</v>
      </c>
      <c r="R107" s="99">
        <f t="shared" ca="1" si="15"/>
        <v>0</v>
      </c>
      <c r="S107" s="99">
        <f t="shared" ca="1" si="16"/>
        <v>0</v>
      </c>
      <c r="T107" s="99">
        <f t="shared" ca="1" si="17"/>
        <v>0</v>
      </c>
      <c r="U107" s="99">
        <f ca="1">_xll.DBRW($B$9,$C$16,$C$17,U$23,U$22,$C$18,$C$19,$B107,U$24)</f>
        <v>0</v>
      </c>
      <c r="V107" s="99">
        <f ca="1">_xll.DBRW($B$9,$C$16,$C$17,U$23,U$22,$C$18,$C$19,$B107,V$24)</f>
        <v>0</v>
      </c>
      <c r="W107" s="99">
        <f ca="1">_xll.DBRW($B$9,$C$16,$C$17,U$23,U$22,$C$18,$C$19,$B107,W$24)</f>
        <v>0</v>
      </c>
      <c r="X107" s="99">
        <f ca="1">_xll.DBRW($B$9,$C$16,$C$17,X$23,U$22,$C$18,$C$19,$B107,X$24)</f>
        <v>0</v>
      </c>
      <c r="Y107" s="99">
        <f ca="1">_xll.DBRW($B$9,$C$16,$C$17,X$23,U$22,$C$18,$C$19,$B107,Y$24)</f>
        <v>0</v>
      </c>
      <c r="Z107" s="99">
        <f ca="1">_xll.DBRW($B$9,$C$16,$C$17,X$23,U$22,$C$18,$C$19,$B107,Z$24)</f>
        <v>0</v>
      </c>
      <c r="AA107" s="99">
        <f t="shared" ca="1" si="18"/>
        <v>0</v>
      </c>
      <c r="AB107" s="99">
        <f t="shared" ca="1" si="19"/>
        <v>0</v>
      </c>
      <c r="AC107" s="99">
        <f t="shared" ca="1" si="20"/>
        <v>0</v>
      </c>
      <c r="AD107" s="99">
        <f ca="1">_xll.DBRW($B$9,$C$16,$C$17,AD$23,AD$22,$C$18,$C$19,$B107,AD$24)</f>
        <v>0</v>
      </c>
      <c r="AE107" s="99">
        <f ca="1">_xll.DBRW($B$9,$C$16,$C$17,AD$23,AD$22,$C$18,$C$19,$B107,AE$24)</f>
        <v>0</v>
      </c>
      <c r="AF107" s="99">
        <f ca="1">_xll.DBRW($B$9,$C$16,$C$17,AD$23,AD$22,$C$18,$C$19,$B107,AF$24)</f>
        <v>0</v>
      </c>
      <c r="AG107" s="99">
        <f ca="1">_xll.DBRW($B$9,$C$16,$C$17,AG$23,AD$22,$C$18,$C$19,$B107,AG$24)</f>
        <v>0</v>
      </c>
      <c r="AH107" s="99">
        <f ca="1">_xll.DBRW($B$9,$C$16,$C$17,AG$23,AD$22,$C$18,$C$19,$B107,AH$24)</f>
        <v>0</v>
      </c>
      <c r="AI107" s="99">
        <f ca="1">_xll.DBRW($B$9,$C$16,$C$17,AG$23,AD$22,$C$18,$C$19,$B107,AI$24)</f>
        <v>0</v>
      </c>
      <c r="AJ107" s="99">
        <f t="shared" ca="1" si="21"/>
        <v>0</v>
      </c>
      <c r="AK107" s="99">
        <f t="shared" ca="1" si="22"/>
        <v>0</v>
      </c>
      <c r="AL107" s="99">
        <f t="shared" ca="1" si="23"/>
        <v>0</v>
      </c>
    </row>
    <row r="108" spans="1:38" x14ac:dyDescent="0.25">
      <c r="A108">
        <f ca="1">IF(_xll.TM1RPTELISCONSOLIDATED($B$25,$B108),IF(_xll.TM1RPTELLEV($B$25,$B108)&lt;=3,_xll.TM1RPTELLEV($B$25,$B108),"D"),"N")</f>
        <v>3</v>
      </c>
      <c r="B108" s="136" t="s">
        <v>118</v>
      </c>
      <c r="C108" s="100">
        <f ca="1">_xll.DBRW($B$9,$C$16,$C$17,C$23,C$22,$C$18,$C$19,$B108,C$24)</f>
        <v>0</v>
      </c>
      <c r="D108" s="100">
        <f ca="1">_xll.DBRW($B$9,$C$16,$C$17,C$23,C$22,$C$18,$C$19,$B108,D$24)</f>
        <v>0</v>
      </c>
      <c r="E108" s="100">
        <f ca="1">_xll.DBRW($B$9,$C$16,$C$17,C$23,C$22,$C$18,$C$19,$B108,E$24)</f>
        <v>0</v>
      </c>
      <c r="F108" s="100">
        <f ca="1">_xll.DBRW($B$9,$C$16,$C$17,F$23,C$22,$C$18,$C$19,$B108,F$24)</f>
        <v>0</v>
      </c>
      <c r="G108" s="100">
        <f ca="1">_xll.DBRW($B$9,$C$16,$C$17,F$23,C$22,$C$18,$C$19,$B108,G$24)</f>
        <v>0</v>
      </c>
      <c r="H108" s="100">
        <f ca="1">_xll.DBRW($B$9,$C$16,$C$17,F$23,C$22,$C$18,$C$19,$B108,H$24)</f>
        <v>0</v>
      </c>
      <c r="I108" s="100">
        <f t="shared" ca="1" si="12"/>
        <v>0</v>
      </c>
      <c r="J108" s="100">
        <f t="shared" ca="1" si="13"/>
        <v>0</v>
      </c>
      <c r="K108" s="100">
        <f t="shared" ca="1" si="14"/>
        <v>0</v>
      </c>
      <c r="L108" s="100">
        <f ca="1">_xll.DBRW($B$9,$C$16,$C$17,L$23,L$22,$C$18,$C$19,$B108,L$24)</f>
        <v>0</v>
      </c>
      <c r="M108" s="100">
        <f ca="1">_xll.DBRW($B$9,$C$16,$C$17,L$23,L$22,$C$18,$C$19,$B108,M$24)</f>
        <v>0</v>
      </c>
      <c r="N108" s="100">
        <f ca="1">_xll.DBRW($B$9,$C$16,$C$17,L$23,L$22,$C$18,$C$19,$B108,N$24)</f>
        <v>0</v>
      </c>
      <c r="O108" s="100">
        <f ca="1">_xll.DBRW($B$9,$C$16,$C$17,O$23,L$22,$C$18,$C$19,$B108,O$24)</f>
        <v>0</v>
      </c>
      <c r="P108" s="100">
        <f ca="1">_xll.DBRW($B$9,$C$16,$C$17,O$23,L$22,$C$18,$C$19,$B108,P$24)</f>
        <v>0</v>
      </c>
      <c r="Q108" s="100">
        <f ca="1">_xll.DBRW($B$9,$C$16,$C$17,O$23,L$22,$C$18,$C$19,$B108,Q$24)</f>
        <v>0</v>
      </c>
      <c r="R108" s="100">
        <f t="shared" ca="1" si="15"/>
        <v>0</v>
      </c>
      <c r="S108" s="100">
        <f t="shared" ca="1" si="16"/>
        <v>0</v>
      </c>
      <c r="T108" s="100">
        <f t="shared" ca="1" si="17"/>
        <v>0</v>
      </c>
      <c r="U108" s="100">
        <f ca="1">_xll.DBRW($B$9,$C$16,$C$17,U$23,U$22,$C$18,$C$19,$B108,U$24)</f>
        <v>0</v>
      </c>
      <c r="V108" s="100">
        <f ca="1">_xll.DBRW($B$9,$C$16,$C$17,U$23,U$22,$C$18,$C$19,$B108,V$24)</f>
        <v>0</v>
      </c>
      <c r="W108" s="100">
        <f ca="1">_xll.DBRW($B$9,$C$16,$C$17,U$23,U$22,$C$18,$C$19,$B108,W$24)</f>
        <v>0</v>
      </c>
      <c r="X108" s="100">
        <f ca="1">_xll.DBRW($B$9,$C$16,$C$17,X$23,U$22,$C$18,$C$19,$B108,X$24)</f>
        <v>0</v>
      </c>
      <c r="Y108" s="100">
        <f ca="1">_xll.DBRW($B$9,$C$16,$C$17,X$23,U$22,$C$18,$C$19,$B108,Y$24)</f>
        <v>0</v>
      </c>
      <c r="Z108" s="100">
        <f ca="1">_xll.DBRW($B$9,$C$16,$C$17,X$23,U$22,$C$18,$C$19,$B108,Z$24)</f>
        <v>0</v>
      </c>
      <c r="AA108" s="100">
        <f t="shared" ca="1" si="18"/>
        <v>0</v>
      </c>
      <c r="AB108" s="100">
        <f t="shared" ca="1" si="19"/>
        <v>0</v>
      </c>
      <c r="AC108" s="100">
        <f t="shared" ca="1" si="20"/>
        <v>0</v>
      </c>
      <c r="AD108" s="100">
        <f ca="1">_xll.DBRW($B$9,$C$16,$C$17,AD$23,AD$22,$C$18,$C$19,$B108,AD$24)</f>
        <v>0</v>
      </c>
      <c r="AE108" s="100">
        <f ca="1">_xll.DBRW($B$9,$C$16,$C$17,AD$23,AD$22,$C$18,$C$19,$B108,AE$24)</f>
        <v>0</v>
      </c>
      <c r="AF108" s="100">
        <f ca="1">_xll.DBRW($B$9,$C$16,$C$17,AD$23,AD$22,$C$18,$C$19,$B108,AF$24)</f>
        <v>0</v>
      </c>
      <c r="AG108" s="100">
        <f ca="1">_xll.DBRW($B$9,$C$16,$C$17,AG$23,AD$22,$C$18,$C$19,$B108,AG$24)</f>
        <v>0</v>
      </c>
      <c r="AH108" s="100">
        <f ca="1">_xll.DBRW($B$9,$C$16,$C$17,AG$23,AD$22,$C$18,$C$19,$B108,AH$24)</f>
        <v>0</v>
      </c>
      <c r="AI108" s="100">
        <f ca="1">_xll.DBRW($B$9,$C$16,$C$17,AG$23,AD$22,$C$18,$C$19,$B108,AI$24)</f>
        <v>0</v>
      </c>
      <c r="AJ108" s="100">
        <f t="shared" ca="1" si="21"/>
        <v>0</v>
      </c>
      <c r="AK108" s="100">
        <f t="shared" ca="1" si="22"/>
        <v>0</v>
      </c>
      <c r="AL108" s="100">
        <f t="shared" ca="1" si="23"/>
        <v>0</v>
      </c>
    </row>
    <row r="109" spans="1:38" x14ac:dyDescent="0.25">
      <c r="A109">
        <f ca="1">IF(_xll.TM1RPTELISCONSOLIDATED($B$25,$B109),IF(_xll.TM1RPTELLEV($B$25,$B109)&lt;=3,_xll.TM1RPTELLEV($B$25,$B109),"D"),"N")</f>
        <v>3</v>
      </c>
      <c r="B109" s="136" t="s">
        <v>119</v>
      </c>
      <c r="C109" s="100">
        <f ca="1">_xll.DBRW($B$9,$C$16,$C$17,C$23,C$22,$C$18,$C$19,$B109,C$24)</f>
        <v>0</v>
      </c>
      <c r="D109" s="100">
        <f ca="1">_xll.DBRW($B$9,$C$16,$C$17,C$23,C$22,$C$18,$C$19,$B109,D$24)</f>
        <v>0</v>
      </c>
      <c r="E109" s="100">
        <f ca="1">_xll.DBRW($B$9,$C$16,$C$17,C$23,C$22,$C$18,$C$19,$B109,E$24)</f>
        <v>0</v>
      </c>
      <c r="F109" s="100">
        <f ca="1">_xll.DBRW($B$9,$C$16,$C$17,F$23,C$22,$C$18,$C$19,$B109,F$24)</f>
        <v>0</v>
      </c>
      <c r="G109" s="100">
        <f ca="1">_xll.DBRW($B$9,$C$16,$C$17,F$23,C$22,$C$18,$C$19,$B109,G$24)</f>
        <v>0</v>
      </c>
      <c r="H109" s="100">
        <f ca="1">_xll.DBRW($B$9,$C$16,$C$17,F$23,C$22,$C$18,$C$19,$B109,H$24)</f>
        <v>0</v>
      </c>
      <c r="I109" s="100">
        <f t="shared" ca="1" si="12"/>
        <v>0</v>
      </c>
      <c r="J109" s="100">
        <f t="shared" ca="1" si="13"/>
        <v>0</v>
      </c>
      <c r="K109" s="100">
        <f t="shared" ca="1" si="14"/>
        <v>0</v>
      </c>
      <c r="L109" s="100">
        <f ca="1">_xll.DBRW($B$9,$C$16,$C$17,L$23,L$22,$C$18,$C$19,$B109,L$24)</f>
        <v>0</v>
      </c>
      <c r="M109" s="100">
        <f ca="1">_xll.DBRW($B$9,$C$16,$C$17,L$23,L$22,$C$18,$C$19,$B109,M$24)</f>
        <v>0</v>
      </c>
      <c r="N109" s="100">
        <f ca="1">_xll.DBRW($B$9,$C$16,$C$17,L$23,L$22,$C$18,$C$19,$B109,N$24)</f>
        <v>0</v>
      </c>
      <c r="O109" s="100">
        <f ca="1">_xll.DBRW($B$9,$C$16,$C$17,O$23,L$22,$C$18,$C$19,$B109,O$24)</f>
        <v>0</v>
      </c>
      <c r="P109" s="100">
        <f ca="1">_xll.DBRW($B$9,$C$16,$C$17,O$23,L$22,$C$18,$C$19,$B109,P$24)</f>
        <v>0</v>
      </c>
      <c r="Q109" s="100">
        <f ca="1">_xll.DBRW($B$9,$C$16,$C$17,O$23,L$22,$C$18,$C$19,$B109,Q$24)</f>
        <v>0</v>
      </c>
      <c r="R109" s="100">
        <f t="shared" ca="1" si="15"/>
        <v>0</v>
      </c>
      <c r="S109" s="100">
        <f t="shared" ca="1" si="16"/>
        <v>0</v>
      </c>
      <c r="T109" s="100">
        <f t="shared" ca="1" si="17"/>
        <v>0</v>
      </c>
      <c r="U109" s="100">
        <f ca="1">_xll.DBRW($B$9,$C$16,$C$17,U$23,U$22,$C$18,$C$19,$B109,U$24)</f>
        <v>0</v>
      </c>
      <c r="V109" s="100">
        <f ca="1">_xll.DBRW($B$9,$C$16,$C$17,U$23,U$22,$C$18,$C$19,$B109,V$24)</f>
        <v>0</v>
      </c>
      <c r="W109" s="100">
        <f ca="1">_xll.DBRW($B$9,$C$16,$C$17,U$23,U$22,$C$18,$C$19,$B109,W$24)</f>
        <v>0</v>
      </c>
      <c r="X109" s="100">
        <f ca="1">_xll.DBRW($B$9,$C$16,$C$17,X$23,U$22,$C$18,$C$19,$B109,X$24)</f>
        <v>0</v>
      </c>
      <c r="Y109" s="100">
        <f ca="1">_xll.DBRW($B$9,$C$16,$C$17,X$23,U$22,$C$18,$C$19,$B109,Y$24)</f>
        <v>0</v>
      </c>
      <c r="Z109" s="100">
        <f ca="1">_xll.DBRW($B$9,$C$16,$C$17,X$23,U$22,$C$18,$C$19,$B109,Z$24)</f>
        <v>0</v>
      </c>
      <c r="AA109" s="100">
        <f t="shared" ca="1" si="18"/>
        <v>0</v>
      </c>
      <c r="AB109" s="100">
        <f t="shared" ca="1" si="19"/>
        <v>0</v>
      </c>
      <c r="AC109" s="100">
        <f t="shared" ca="1" si="20"/>
        <v>0</v>
      </c>
      <c r="AD109" s="100">
        <f ca="1">_xll.DBRW($B$9,$C$16,$C$17,AD$23,AD$22,$C$18,$C$19,$B109,AD$24)</f>
        <v>0</v>
      </c>
      <c r="AE109" s="100">
        <f ca="1">_xll.DBRW($B$9,$C$16,$C$17,AD$23,AD$22,$C$18,$C$19,$B109,AE$24)</f>
        <v>0</v>
      </c>
      <c r="AF109" s="100">
        <f ca="1">_xll.DBRW($B$9,$C$16,$C$17,AD$23,AD$22,$C$18,$C$19,$B109,AF$24)</f>
        <v>0</v>
      </c>
      <c r="AG109" s="100">
        <f ca="1">_xll.DBRW($B$9,$C$16,$C$17,AG$23,AD$22,$C$18,$C$19,$B109,AG$24)</f>
        <v>0</v>
      </c>
      <c r="AH109" s="100">
        <f ca="1">_xll.DBRW($B$9,$C$16,$C$17,AG$23,AD$22,$C$18,$C$19,$B109,AH$24)</f>
        <v>0</v>
      </c>
      <c r="AI109" s="100">
        <f ca="1">_xll.DBRW($B$9,$C$16,$C$17,AG$23,AD$22,$C$18,$C$19,$B109,AI$24)</f>
        <v>0</v>
      </c>
      <c r="AJ109" s="100">
        <f t="shared" ca="1" si="21"/>
        <v>0</v>
      </c>
      <c r="AK109" s="100">
        <f t="shared" ca="1" si="22"/>
        <v>0</v>
      </c>
      <c r="AL109" s="100">
        <f t="shared" ca="1" si="23"/>
        <v>0</v>
      </c>
    </row>
    <row r="110" spans="1:38" x14ac:dyDescent="0.25">
      <c r="A110">
        <f ca="1">IF(_xll.TM1RPTELISCONSOLIDATED($B$25,$B110),IF(_xll.TM1RPTELLEV($B$25,$B110)&lt;=3,_xll.TM1RPTELLEV($B$25,$B110),"D"),"N")</f>
        <v>3</v>
      </c>
      <c r="B110" s="136" t="s">
        <v>120</v>
      </c>
      <c r="C110" s="100">
        <f ca="1">_xll.DBRW($B$9,$C$16,$C$17,C$23,C$22,$C$18,$C$19,$B110,C$24)</f>
        <v>0</v>
      </c>
      <c r="D110" s="100">
        <f ca="1">_xll.DBRW($B$9,$C$16,$C$17,C$23,C$22,$C$18,$C$19,$B110,D$24)</f>
        <v>0</v>
      </c>
      <c r="E110" s="100">
        <f ca="1">_xll.DBRW($B$9,$C$16,$C$17,C$23,C$22,$C$18,$C$19,$B110,E$24)</f>
        <v>0</v>
      </c>
      <c r="F110" s="100">
        <f ca="1">_xll.DBRW($B$9,$C$16,$C$17,F$23,C$22,$C$18,$C$19,$B110,F$24)</f>
        <v>0</v>
      </c>
      <c r="G110" s="100">
        <f ca="1">_xll.DBRW($B$9,$C$16,$C$17,F$23,C$22,$C$18,$C$19,$B110,G$24)</f>
        <v>0</v>
      </c>
      <c r="H110" s="100">
        <f ca="1">_xll.DBRW($B$9,$C$16,$C$17,F$23,C$22,$C$18,$C$19,$B110,H$24)</f>
        <v>0</v>
      </c>
      <c r="I110" s="100">
        <f t="shared" ca="1" si="12"/>
        <v>0</v>
      </c>
      <c r="J110" s="100">
        <f t="shared" ca="1" si="13"/>
        <v>0</v>
      </c>
      <c r="K110" s="100">
        <f t="shared" ca="1" si="14"/>
        <v>0</v>
      </c>
      <c r="L110" s="100">
        <f ca="1">_xll.DBRW($B$9,$C$16,$C$17,L$23,L$22,$C$18,$C$19,$B110,L$24)</f>
        <v>0</v>
      </c>
      <c r="M110" s="100">
        <f ca="1">_xll.DBRW($B$9,$C$16,$C$17,L$23,L$22,$C$18,$C$19,$B110,M$24)</f>
        <v>0</v>
      </c>
      <c r="N110" s="100">
        <f ca="1">_xll.DBRW($B$9,$C$16,$C$17,L$23,L$22,$C$18,$C$19,$B110,N$24)</f>
        <v>0</v>
      </c>
      <c r="O110" s="100">
        <f ca="1">_xll.DBRW($B$9,$C$16,$C$17,O$23,L$22,$C$18,$C$19,$B110,O$24)</f>
        <v>0</v>
      </c>
      <c r="P110" s="100">
        <f ca="1">_xll.DBRW($B$9,$C$16,$C$17,O$23,L$22,$C$18,$C$19,$B110,P$24)</f>
        <v>0</v>
      </c>
      <c r="Q110" s="100">
        <f ca="1">_xll.DBRW($B$9,$C$16,$C$17,O$23,L$22,$C$18,$C$19,$B110,Q$24)</f>
        <v>0</v>
      </c>
      <c r="R110" s="100">
        <f t="shared" ca="1" si="15"/>
        <v>0</v>
      </c>
      <c r="S110" s="100">
        <f t="shared" ca="1" si="16"/>
        <v>0</v>
      </c>
      <c r="T110" s="100">
        <f t="shared" ca="1" si="17"/>
        <v>0</v>
      </c>
      <c r="U110" s="100">
        <f ca="1">_xll.DBRW($B$9,$C$16,$C$17,U$23,U$22,$C$18,$C$19,$B110,U$24)</f>
        <v>0</v>
      </c>
      <c r="V110" s="100">
        <f ca="1">_xll.DBRW($B$9,$C$16,$C$17,U$23,U$22,$C$18,$C$19,$B110,V$24)</f>
        <v>0</v>
      </c>
      <c r="W110" s="100">
        <f ca="1">_xll.DBRW($B$9,$C$16,$C$17,U$23,U$22,$C$18,$C$19,$B110,W$24)</f>
        <v>0</v>
      </c>
      <c r="X110" s="100">
        <f ca="1">_xll.DBRW($B$9,$C$16,$C$17,X$23,U$22,$C$18,$C$19,$B110,X$24)</f>
        <v>0</v>
      </c>
      <c r="Y110" s="100">
        <f ca="1">_xll.DBRW($B$9,$C$16,$C$17,X$23,U$22,$C$18,$C$19,$B110,Y$24)</f>
        <v>0</v>
      </c>
      <c r="Z110" s="100">
        <f ca="1">_xll.DBRW($B$9,$C$16,$C$17,X$23,U$22,$C$18,$C$19,$B110,Z$24)</f>
        <v>0</v>
      </c>
      <c r="AA110" s="100">
        <f t="shared" ca="1" si="18"/>
        <v>0</v>
      </c>
      <c r="AB110" s="100">
        <f t="shared" ca="1" si="19"/>
        <v>0</v>
      </c>
      <c r="AC110" s="100">
        <f t="shared" ca="1" si="20"/>
        <v>0</v>
      </c>
      <c r="AD110" s="100">
        <f ca="1">_xll.DBRW($B$9,$C$16,$C$17,AD$23,AD$22,$C$18,$C$19,$B110,AD$24)</f>
        <v>0</v>
      </c>
      <c r="AE110" s="100">
        <f ca="1">_xll.DBRW($B$9,$C$16,$C$17,AD$23,AD$22,$C$18,$C$19,$B110,AE$24)</f>
        <v>0</v>
      </c>
      <c r="AF110" s="100">
        <f ca="1">_xll.DBRW($B$9,$C$16,$C$17,AD$23,AD$22,$C$18,$C$19,$B110,AF$24)</f>
        <v>0</v>
      </c>
      <c r="AG110" s="100">
        <f ca="1">_xll.DBRW($B$9,$C$16,$C$17,AG$23,AD$22,$C$18,$C$19,$B110,AG$24)</f>
        <v>0</v>
      </c>
      <c r="AH110" s="100">
        <f ca="1">_xll.DBRW($B$9,$C$16,$C$17,AG$23,AD$22,$C$18,$C$19,$B110,AH$24)</f>
        <v>0</v>
      </c>
      <c r="AI110" s="100">
        <f ca="1">_xll.DBRW($B$9,$C$16,$C$17,AG$23,AD$22,$C$18,$C$19,$B110,AI$24)</f>
        <v>0</v>
      </c>
      <c r="AJ110" s="100">
        <f t="shared" ca="1" si="21"/>
        <v>0</v>
      </c>
      <c r="AK110" s="100">
        <f t="shared" ca="1" si="22"/>
        <v>0</v>
      </c>
      <c r="AL110" s="100">
        <f t="shared" ca="1" si="23"/>
        <v>0</v>
      </c>
    </row>
    <row r="111" spans="1:38" x14ac:dyDescent="0.25">
      <c r="A111">
        <f ca="1">IF(_xll.TM1RPTELISCONSOLIDATED($B$25,$B111),IF(_xll.TM1RPTELLEV($B$25,$B111)&lt;=3,_xll.TM1RPTELLEV($B$25,$B111),"D"),"N")</f>
        <v>3</v>
      </c>
      <c r="B111" s="136" t="s">
        <v>121</v>
      </c>
      <c r="C111" s="100">
        <f ca="1">_xll.DBRW($B$9,$C$16,$C$17,C$23,C$22,$C$18,$C$19,$B111,C$24)</f>
        <v>0</v>
      </c>
      <c r="D111" s="100">
        <f ca="1">_xll.DBRW($B$9,$C$16,$C$17,C$23,C$22,$C$18,$C$19,$B111,D$24)</f>
        <v>0</v>
      </c>
      <c r="E111" s="100">
        <f ca="1">_xll.DBRW($B$9,$C$16,$C$17,C$23,C$22,$C$18,$C$19,$B111,E$24)</f>
        <v>0</v>
      </c>
      <c r="F111" s="100">
        <f ca="1">_xll.DBRW($B$9,$C$16,$C$17,F$23,C$22,$C$18,$C$19,$B111,F$24)</f>
        <v>0</v>
      </c>
      <c r="G111" s="100">
        <f ca="1">_xll.DBRW($B$9,$C$16,$C$17,F$23,C$22,$C$18,$C$19,$B111,G$24)</f>
        <v>0</v>
      </c>
      <c r="H111" s="100">
        <f ca="1">_xll.DBRW($B$9,$C$16,$C$17,F$23,C$22,$C$18,$C$19,$B111,H$24)</f>
        <v>0</v>
      </c>
      <c r="I111" s="100">
        <f t="shared" ca="1" si="12"/>
        <v>0</v>
      </c>
      <c r="J111" s="100">
        <f t="shared" ca="1" si="13"/>
        <v>0</v>
      </c>
      <c r="K111" s="100">
        <f t="shared" ca="1" si="14"/>
        <v>0</v>
      </c>
      <c r="L111" s="100">
        <f ca="1">_xll.DBRW($B$9,$C$16,$C$17,L$23,L$22,$C$18,$C$19,$B111,L$24)</f>
        <v>0</v>
      </c>
      <c r="M111" s="100">
        <f ca="1">_xll.DBRW($B$9,$C$16,$C$17,L$23,L$22,$C$18,$C$19,$B111,M$24)</f>
        <v>0</v>
      </c>
      <c r="N111" s="100">
        <f ca="1">_xll.DBRW($B$9,$C$16,$C$17,L$23,L$22,$C$18,$C$19,$B111,N$24)</f>
        <v>0</v>
      </c>
      <c r="O111" s="100">
        <f ca="1">_xll.DBRW($B$9,$C$16,$C$17,O$23,L$22,$C$18,$C$19,$B111,O$24)</f>
        <v>0</v>
      </c>
      <c r="P111" s="100">
        <f ca="1">_xll.DBRW($B$9,$C$16,$C$17,O$23,L$22,$C$18,$C$19,$B111,P$24)</f>
        <v>0</v>
      </c>
      <c r="Q111" s="100">
        <f ca="1">_xll.DBRW($B$9,$C$16,$C$17,O$23,L$22,$C$18,$C$19,$B111,Q$24)</f>
        <v>0</v>
      </c>
      <c r="R111" s="100">
        <f t="shared" ca="1" si="15"/>
        <v>0</v>
      </c>
      <c r="S111" s="100">
        <f t="shared" ca="1" si="16"/>
        <v>0</v>
      </c>
      <c r="T111" s="100">
        <f t="shared" ca="1" si="17"/>
        <v>0</v>
      </c>
      <c r="U111" s="100">
        <f ca="1">_xll.DBRW($B$9,$C$16,$C$17,U$23,U$22,$C$18,$C$19,$B111,U$24)</f>
        <v>0</v>
      </c>
      <c r="V111" s="100">
        <f ca="1">_xll.DBRW($B$9,$C$16,$C$17,U$23,U$22,$C$18,$C$19,$B111,V$24)</f>
        <v>0</v>
      </c>
      <c r="W111" s="100">
        <f ca="1">_xll.DBRW($B$9,$C$16,$C$17,U$23,U$22,$C$18,$C$19,$B111,W$24)</f>
        <v>0</v>
      </c>
      <c r="X111" s="100">
        <f ca="1">_xll.DBRW($B$9,$C$16,$C$17,X$23,U$22,$C$18,$C$19,$B111,X$24)</f>
        <v>0</v>
      </c>
      <c r="Y111" s="100">
        <f ca="1">_xll.DBRW($B$9,$C$16,$C$17,X$23,U$22,$C$18,$C$19,$B111,Y$24)</f>
        <v>0</v>
      </c>
      <c r="Z111" s="100">
        <f ca="1">_xll.DBRW($B$9,$C$16,$C$17,X$23,U$22,$C$18,$C$19,$B111,Z$24)</f>
        <v>0</v>
      </c>
      <c r="AA111" s="100">
        <f t="shared" ca="1" si="18"/>
        <v>0</v>
      </c>
      <c r="AB111" s="100">
        <f t="shared" ca="1" si="19"/>
        <v>0</v>
      </c>
      <c r="AC111" s="100">
        <f t="shared" ca="1" si="20"/>
        <v>0</v>
      </c>
      <c r="AD111" s="100">
        <f ca="1">_xll.DBRW($B$9,$C$16,$C$17,AD$23,AD$22,$C$18,$C$19,$B111,AD$24)</f>
        <v>0</v>
      </c>
      <c r="AE111" s="100">
        <f ca="1">_xll.DBRW($B$9,$C$16,$C$17,AD$23,AD$22,$C$18,$C$19,$B111,AE$24)</f>
        <v>0</v>
      </c>
      <c r="AF111" s="100">
        <f ca="1">_xll.DBRW($B$9,$C$16,$C$17,AD$23,AD$22,$C$18,$C$19,$B111,AF$24)</f>
        <v>0</v>
      </c>
      <c r="AG111" s="100">
        <f ca="1">_xll.DBRW($B$9,$C$16,$C$17,AG$23,AD$22,$C$18,$C$19,$B111,AG$24)</f>
        <v>0</v>
      </c>
      <c r="AH111" s="100">
        <f ca="1">_xll.DBRW($B$9,$C$16,$C$17,AG$23,AD$22,$C$18,$C$19,$B111,AH$24)</f>
        <v>0</v>
      </c>
      <c r="AI111" s="100">
        <f ca="1">_xll.DBRW($B$9,$C$16,$C$17,AG$23,AD$22,$C$18,$C$19,$B111,AI$24)</f>
        <v>0</v>
      </c>
      <c r="AJ111" s="100">
        <f t="shared" ca="1" si="21"/>
        <v>0</v>
      </c>
      <c r="AK111" s="100">
        <f t="shared" ca="1" si="22"/>
        <v>0</v>
      </c>
      <c r="AL111" s="100">
        <f t="shared" ca="1" si="23"/>
        <v>0</v>
      </c>
    </row>
    <row r="112" spans="1:38" x14ac:dyDescent="0.25">
      <c r="A112">
        <f ca="1">IF(_xll.TM1RPTELISCONSOLIDATED($B$25,$B112),IF(_xll.TM1RPTELLEV($B$25,$B112)&lt;=3,_xll.TM1RPTELLEV($B$25,$B112),"D"),"N")</f>
        <v>3</v>
      </c>
      <c r="B112" s="136" t="s">
        <v>122</v>
      </c>
      <c r="C112" s="100">
        <f ca="1">_xll.DBRW($B$9,$C$16,$C$17,C$23,C$22,$C$18,$C$19,$B112,C$24)</f>
        <v>0</v>
      </c>
      <c r="D112" s="100">
        <f ca="1">_xll.DBRW($B$9,$C$16,$C$17,C$23,C$22,$C$18,$C$19,$B112,D$24)</f>
        <v>0</v>
      </c>
      <c r="E112" s="100">
        <f ca="1">_xll.DBRW($B$9,$C$16,$C$17,C$23,C$22,$C$18,$C$19,$B112,E$24)</f>
        <v>0</v>
      </c>
      <c r="F112" s="100">
        <f ca="1">_xll.DBRW($B$9,$C$16,$C$17,F$23,C$22,$C$18,$C$19,$B112,F$24)</f>
        <v>0</v>
      </c>
      <c r="G112" s="100">
        <f ca="1">_xll.DBRW($B$9,$C$16,$C$17,F$23,C$22,$C$18,$C$19,$B112,G$24)</f>
        <v>0</v>
      </c>
      <c r="H112" s="100">
        <f ca="1">_xll.DBRW($B$9,$C$16,$C$17,F$23,C$22,$C$18,$C$19,$B112,H$24)</f>
        <v>0</v>
      </c>
      <c r="I112" s="100">
        <f t="shared" ca="1" si="12"/>
        <v>0</v>
      </c>
      <c r="J112" s="100">
        <f t="shared" ca="1" si="13"/>
        <v>0</v>
      </c>
      <c r="K112" s="100">
        <f t="shared" ca="1" si="14"/>
        <v>0</v>
      </c>
      <c r="L112" s="100">
        <f ca="1">_xll.DBRW($B$9,$C$16,$C$17,L$23,L$22,$C$18,$C$19,$B112,L$24)</f>
        <v>0</v>
      </c>
      <c r="M112" s="100">
        <f ca="1">_xll.DBRW($B$9,$C$16,$C$17,L$23,L$22,$C$18,$C$19,$B112,M$24)</f>
        <v>0</v>
      </c>
      <c r="N112" s="100">
        <f ca="1">_xll.DBRW($B$9,$C$16,$C$17,L$23,L$22,$C$18,$C$19,$B112,N$24)</f>
        <v>0</v>
      </c>
      <c r="O112" s="100">
        <f ca="1">_xll.DBRW($B$9,$C$16,$C$17,O$23,L$22,$C$18,$C$19,$B112,O$24)</f>
        <v>0</v>
      </c>
      <c r="P112" s="100">
        <f ca="1">_xll.DBRW($B$9,$C$16,$C$17,O$23,L$22,$C$18,$C$19,$B112,P$24)</f>
        <v>0</v>
      </c>
      <c r="Q112" s="100">
        <f ca="1">_xll.DBRW($B$9,$C$16,$C$17,O$23,L$22,$C$18,$C$19,$B112,Q$24)</f>
        <v>0</v>
      </c>
      <c r="R112" s="100">
        <f t="shared" ca="1" si="15"/>
        <v>0</v>
      </c>
      <c r="S112" s="100">
        <f t="shared" ca="1" si="16"/>
        <v>0</v>
      </c>
      <c r="T112" s="100">
        <f t="shared" ca="1" si="17"/>
        <v>0</v>
      </c>
      <c r="U112" s="100">
        <f ca="1">_xll.DBRW($B$9,$C$16,$C$17,U$23,U$22,$C$18,$C$19,$B112,U$24)</f>
        <v>0</v>
      </c>
      <c r="V112" s="100">
        <f ca="1">_xll.DBRW($B$9,$C$16,$C$17,U$23,U$22,$C$18,$C$19,$B112,V$24)</f>
        <v>0</v>
      </c>
      <c r="W112" s="100">
        <f ca="1">_xll.DBRW($B$9,$C$16,$C$17,U$23,U$22,$C$18,$C$19,$B112,W$24)</f>
        <v>0</v>
      </c>
      <c r="X112" s="100">
        <f ca="1">_xll.DBRW($B$9,$C$16,$C$17,X$23,U$22,$C$18,$C$19,$B112,X$24)</f>
        <v>0</v>
      </c>
      <c r="Y112" s="100">
        <f ca="1">_xll.DBRW($B$9,$C$16,$C$17,X$23,U$22,$C$18,$C$19,$B112,Y$24)</f>
        <v>0</v>
      </c>
      <c r="Z112" s="100">
        <f ca="1">_xll.DBRW($B$9,$C$16,$C$17,X$23,U$22,$C$18,$C$19,$B112,Z$24)</f>
        <v>0</v>
      </c>
      <c r="AA112" s="100">
        <f t="shared" ca="1" si="18"/>
        <v>0</v>
      </c>
      <c r="AB112" s="100">
        <f t="shared" ca="1" si="19"/>
        <v>0</v>
      </c>
      <c r="AC112" s="100">
        <f t="shared" ca="1" si="20"/>
        <v>0</v>
      </c>
      <c r="AD112" s="100">
        <f ca="1">_xll.DBRW($B$9,$C$16,$C$17,AD$23,AD$22,$C$18,$C$19,$B112,AD$24)</f>
        <v>0</v>
      </c>
      <c r="AE112" s="100">
        <f ca="1">_xll.DBRW($B$9,$C$16,$C$17,AD$23,AD$22,$C$18,$C$19,$B112,AE$24)</f>
        <v>0</v>
      </c>
      <c r="AF112" s="100">
        <f ca="1">_xll.DBRW($B$9,$C$16,$C$17,AD$23,AD$22,$C$18,$C$19,$B112,AF$24)</f>
        <v>0</v>
      </c>
      <c r="AG112" s="100">
        <f ca="1">_xll.DBRW($B$9,$C$16,$C$17,AG$23,AD$22,$C$18,$C$19,$B112,AG$24)</f>
        <v>0</v>
      </c>
      <c r="AH112" s="100">
        <f ca="1">_xll.DBRW($B$9,$C$16,$C$17,AG$23,AD$22,$C$18,$C$19,$B112,AH$24)</f>
        <v>0</v>
      </c>
      <c r="AI112" s="100">
        <f ca="1">_xll.DBRW($B$9,$C$16,$C$17,AG$23,AD$22,$C$18,$C$19,$B112,AI$24)</f>
        <v>0</v>
      </c>
      <c r="AJ112" s="100">
        <f t="shared" ca="1" si="21"/>
        <v>0</v>
      </c>
      <c r="AK112" s="100">
        <f t="shared" ca="1" si="22"/>
        <v>0</v>
      </c>
      <c r="AL112" s="100">
        <f t="shared" ca="1" si="23"/>
        <v>0</v>
      </c>
    </row>
    <row r="113" spans="1:38" x14ac:dyDescent="0.25">
      <c r="A113">
        <f ca="1">IF(_xll.TM1RPTELISCONSOLIDATED($B$25,$B113),IF(_xll.TM1RPTELLEV($B$25,$B113)&lt;=3,_xll.TM1RPTELLEV($B$25,$B113),"D"),"N")</f>
        <v>3</v>
      </c>
      <c r="B113" s="136" t="s">
        <v>123</v>
      </c>
      <c r="C113" s="100">
        <f ca="1">_xll.DBRW($B$9,$C$16,$C$17,C$23,C$22,$C$18,$C$19,$B113,C$24)</f>
        <v>0</v>
      </c>
      <c r="D113" s="100">
        <f ca="1">_xll.DBRW($B$9,$C$16,$C$17,C$23,C$22,$C$18,$C$19,$B113,D$24)</f>
        <v>0</v>
      </c>
      <c r="E113" s="100">
        <f ca="1">_xll.DBRW($B$9,$C$16,$C$17,C$23,C$22,$C$18,$C$19,$B113,E$24)</f>
        <v>0</v>
      </c>
      <c r="F113" s="100">
        <f ca="1">_xll.DBRW($B$9,$C$16,$C$17,F$23,C$22,$C$18,$C$19,$B113,F$24)</f>
        <v>0</v>
      </c>
      <c r="G113" s="100">
        <f ca="1">_xll.DBRW($B$9,$C$16,$C$17,F$23,C$22,$C$18,$C$19,$B113,G$24)</f>
        <v>0</v>
      </c>
      <c r="H113" s="100">
        <f ca="1">_xll.DBRW($B$9,$C$16,$C$17,F$23,C$22,$C$18,$C$19,$B113,H$24)</f>
        <v>0</v>
      </c>
      <c r="I113" s="100">
        <f t="shared" ca="1" si="12"/>
        <v>0</v>
      </c>
      <c r="J113" s="100">
        <f t="shared" ca="1" si="13"/>
        <v>0</v>
      </c>
      <c r="K113" s="100">
        <f t="shared" ca="1" si="14"/>
        <v>0</v>
      </c>
      <c r="L113" s="100">
        <f ca="1">_xll.DBRW($B$9,$C$16,$C$17,L$23,L$22,$C$18,$C$19,$B113,L$24)</f>
        <v>0</v>
      </c>
      <c r="M113" s="100">
        <f ca="1">_xll.DBRW($B$9,$C$16,$C$17,L$23,L$22,$C$18,$C$19,$B113,M$24)</f>
        <v>0</v>
      </c>
      <c r="N113" s="100">
        <f ca="1">_xll.DBRW($B$9,$C$16,$C$17,L$23,L$22,$C$18,$C$19,$B113,N$24)</f>
        <v>0</v>
      </c>
      <c r="O113" s="100">
        <f ca="1">_xll.DBRW($B$9,$C$16,$C$17,O$23,L$22,$C$18,$C$19,$B113,O$24)</f>
        <v>0</v>
      </c>
      <c r="P113" s="100">
        <f ca="1">_xll.DBRW($B$9,$C$16,$C$17,O$23,L$22,$C$18,$C$19,$B113,P$24)</f>
        <v>0</v>
      </c>
      <c r="Q113" s="100">
        <f ca="1">_xll.DBRW($B$9,$C$16,$C$17,O$23,L$22,$C$18,$C$19,$B113,Q$24)</f>
        <v>0</v>
      </c>
      <c r="R113" s="100">
        <f t="shared" ca="1" si="15"/>
        <v>0</v>
      </c>
      <c r="S113" s="100">
        <f t="shared" ca="1" si="16"/>
        <v>0</v>
      </c>
      <c r="T113" s="100">
        <f t="shared" ca="1" si="17"/>
        <v>0</v>
      </c>
      <c r="U113" s="100">
        <f ca="1">_xll.DBRW($B$9,$C$16,$C$17,U$23,U$22,$C$18,$C$19,$B113,U$24)</f>
        <v>0</v>
      </c>
      <c r="V113" s="100">
        <f ca="1">_xll.DBRW($B$9,$C$16,$C$17,U$23,U$22,$C$18,$C$19,$B113,V$24)</f>
        <v>0</v>
      </c>
      <c r="W113" s="100">
        <f ca="1">_xll.DBRW($B$9,$C$16,$C$17,U$23,U$22,$C$18,$C$19,$B113,W$24)</f>
        <v>0</v>
      </c>
      <c r="X113" s="100">
        <f ca="1">_xll.DBRW($B$9,$C$16,$C$17,X$23,U$22,$C$18,$C$19,$B113,X$24)</f>
        <v>0</v>
      </c>
      <c r="Y113" s="100">
        <f ca="1">_xll.DBRW($B$9,$C$16,$C$17,X$23,U$22,$C$18,$C$19,$B113,Y$24)</f>
        <v>0</v>
      </c>
      <c r="Z113" s="100">
        <f ca="1">_xll.DBRW($B$9,$C$16,$C$17,X$23,U$22,$C$18,$C$19,$B113,Z$24)</f>
        <v>0</v>
      </c>
      <c r="AA113" s="100">
        <f t="shared" ca="1" si="18"/>
        <v>0</v>
      </c>
      <c r="AB113" s="100">
        <f t="shared" ca="1" si="19"/>
        <v>0</v>
      </c>
      <c r="AC113" s="100">
        <f t="shared" ca="1" si="20"/>
        <v>0</v>
      </c>
      <c r="AD113" s="100">
        <f ca="1">_xll.DBRW($B$9,$C$16,$C$17,AD$23,AD$22,$C$18,$C$19,$B113,AD$24)</f>
        <v>0</v>
      </c>
      <c r="AE113" s="100">
        <f ca="1">_xll.DBRW($B$9,$C$16,$C$17,AD$23,AD$22,$C$18,$C$19,$B113,AE$24)</f>
        <v>0</v>
      </c>
      <c r="AF113" s="100">
        <f ca="1">_xll.DBRW($B$9,$C$16,$C$17,AD$23,AD$22,$C$18,$C$19,$B113,AF$24)</f>
        <v>0</v>
      </c>
      <c r="AG113" s="100">
        <f ca="1">_xll.DBRW($B$9,$C$16,$C$17,AG$23,AD$22,$C$18,$C$19,$B113,AG$24)</f>
        <v>0</v>
      </c>
      <c r="AH113" s="100">
        <f ca="1">_xll.DBRW($B$9,$C$16,$C$17,AG$23,AD$22,$C$18,$C$19,$B113,AH$24)</f>
        <v>0</v>
      </c>
      <c r="AI113" s="100">
        <f ca="1">_xll.DBRW($B$9,$C$16,$C$17,AG$23,AD$22,$C$18,$C$19,$B113,AI$24)</f>
        <v>0</v>
      </c>
      <c r="AJ113" s="100">
        <f t="shared" ca="1" si="21"/>
        <v>0</v>
      </c>
      <c r="AK113" s="100">
        <f t="shared" ca="1" si="22"/>
        <v>0</v>
      </c>
      <c r="AL113" s="100">
        <f t="shared" ca="1" si="23"/>
        <v>0</v>
      </c>
    </row>
    <row r="114" spans="1:38" x14ac:dyDescent="0.25">
      <c r="A114">
        <f ca="1">IF(_xll.TM1RPTELISCONSOLIDATED($B$25,$B114),IF(_xll.TM1RPTELLEV($B$25,$B114)&lt;=3,_xll.TM1RPTELLEV($B$25,$B114),"D"),"N")</f>
        <v>3</v>
      </c>
      <c r="B114" s="136" t="s">
        <v>124</v>
      </c>
      <c r="C114" s="100">
        <f ca="1">_xll.DBRW($B$9,$C$16,$C$17,C$23,C$22,$C$18,$C$19,$B114,C$24)</f>
        <v>0</v>
      </c>
      <c r="D114" s="100">
        <f ca="1">_xll.DBRW($B$9,$C$16,$C$17,C$23,C$22,$C$18,$C$19,$B114,D$24)</f>
        <v>0</v>
      </c>
      <c r="E114" s="100">
        <f ca="1">_xll.DBRW($B$9,$C$16,$C$17,C$23,C$22,$C$18,$C$19,$B114,E$24)</f>
        <v>0</v>
      </c>
      <c r="F114" s="100">
        <f ca="1">_xll.DBRW($B$9,$C$16,$C$17,F$23,C$22,$C$18,$C$19,$B114,F$24)</f>
        <v>0</v>
      </c>
      <c r="G114" s="100">
        <f ca="1">_xll.DBRW($B$9,$C$16,$C$17,F$23,C$22,$C$18,$C$19,$B114,G$24)</f>
        <v>0</v>
      </c>
      <c r="H114" s="100">
        <f ca="1">_xll.DBRW($B$9,$C$16,$C$17,F$23,C$22,$C$18,$C$19,$B114,H$24)</f>
        <v>0</v>
      </c>
      <c r="I114" s="100">
        <f t="shared" ca="1" si="12"/>
        <v>0</v>
      </c>
      <c r="J114" s="100">
        <f t="shared" ca="1" si="13"/>
        <v>0</v>
      </c>
      <c r="K114" s="100">
        <f t="shared" ca="1" si="14"/>
        <v>0</v>
      </c>
      <c r="L114" s="100">
        <f ca="1">_xll.DBRW($B$9,$C$16,$C$17,L$23,L$22,$C$18,$C$19,$B114,L$24)</f>
        <v>0</v>
      </c>
      <c r="M114" s="100">
        <f ca="1">_xll.DBRW($B$9,$C$16,$C$17,L$23,L$22,$C$18,$C$19,$B114,M$24)</f>
        <v>0</v>
      </c>
      <c r="N114" s="100">
        <f ca="1">_xll.DBRW($B$9,$C$16,$C$17,L$23,L$22,$C$18,$C$19,$B114,N$24)</f>
        <v>0</v>
      </c>
      <c r="O114" s="100">
        <f ca="1">_xll.DBRW($B$9,$C$16,$C$17,O$23,L$22,$C$18,$C$19,$B114,O$24)</f>
        <v>0</v>
      </c>
      <c r="P114" s="100">
        <f ca="1">_xll.DBRW($B$9,$C$16,$C$17,O$23,L$22,$C$18,$C$19,$B114,P$24)</f>
        <v>0</v>
      </c>
      <c r="Q114" s="100">
        <f ca="1">_xll.DBRW($B$9,$C$16,$C$17,O$23,L$22,$C$18,$C$19,$B114,Q$24)</f>
        <v>0</v>
      </c>
      <c r="R114" s="100">
        <f t="shared" ca="1" si="15"/>
        <v>0</v>
      </c>
      <c r="S114" s="100">
        <f t="shared" ca="1" si="16"/>
        <v>0</v>
      </c>
      <c r="T114" s="100">
        <f t="shared" ca="1" si="17"/>
        <v>0</v>
      </c>
      <c r="U114" s="100">
        <f ca="1">_xll.DBRW($B$9,$C$16,$C$17,U$23,U$22,$C$18,$C$19,$B114,U$24)</f>
        <v>0</v>
      </c>
      <c r="V114" s="100">
        <f ca="1">_xll.DBRW($B$9,$C$16,$C$17,U$23,U$22,$C$18,$C$19,$B114,V$24)</f>
        <v>0</v>
      </c>
      <c r="W114" s="100">
        <f ca="1">_xll.DBRW($B$9,$C$16,$C$17,U$23,U$22,$C$18,$C$19,$B114,W$24)</f>
        <v>0</v>
      </c>
      <c r="X114" s="100">
        <f ca="1">_xll.DBRW($B$9,$C$16,$C$17,X$23,U$22,$C$18,$C$19,$B114,X$24)</f>
        <v>0</v>
      </c>
      <c r="Y114" s="100">
        <f ca="1">_xll.DBRW($B$9,$C$16,$C$17,X$23,U$22,$C$18,$C$19,$B114,Y$24)</f>
        <v>0</v>
      </c>
      <c r="Z114" s="100">
        <f ca="1">_xll.DBRW($B$9,$C$16,$C$17,X$23,U$22,$C$18,$C$19,$B114,Z$24)</f>
        <v>0</v>
      </c>
      <c r="AA114" s="100">
        <f t="shared" ca="1" si="18"/>
        <v>0</v>
      </c>
      <c r="AB114" s="100">
        <f t="shared" ca="1" si="19"/>
        <v>0</v>
      </c>
      <c r="AC114" s="100">
        <f t="shared" ca="1" si="20"/>
        <v>0</v>
      </c>
      <c r="AD114" s="100">
        <f ca="1">_xll.DBRW($B$9,$C$16,$C$17,AD$23,AD$22,$C$18,$C$19,$B114,AD$24)</f>
        <v>0</v>
      </c>
      <c r="AE114" s="100">
        <f ca="1">_xll.DBRW($B$9,$C$16,$C$17,AD$23,AD$22,$C$18,$C$19,$B114,AE$24)</f>
        <v>0</v>
      </c>
      <c r="AF114" s="100">
        <f ca="1">_xll.DBRW($B$9,$C$16,$C$17,AD$23,AD$22,$C$18,$C$19,$B114,AF$24)</f>
        <v>0</v>
      </c>
      <c r="AG114" s="100">
        <f ca="1">_xll.DBRW($B$9,$C$16,$C$17,AG$23,AD$22,$C$18,$C$19,$B114,AG$24)</f>
        <v>0</v>
      </c>
      <c r="AH114" s="100">
        <f ca="1">_xll.DBRW($B$9,$C$16,$C$17,AG$23,AD$22,$C$18,$C$19,$B114,AH$24)</f>
        <v>0</v>
      </c>
      <c r="AI114" s="100">
        <f ca="1">_xll.DBRW($B$9,$C$16,$C$17,AG$23,AD$22,$C$18,$C$19,$B114,AI$24)</f>
        <v>0</v>
      </c>
      <c r="AJ114" s="100">
        <f t="shared" ca="1" si="21"/>
        <v>0</v>
      </c>
      <c r="AK114" s="100">
        <f t="shared" ca="1" si="22"/>
        <v>0</v>
      </c>
      <c r="AL114" s="100">
        <f t="shared" ca="1" si="23"/>
        <v>0</v>
      </c>
    </row>
    <row r="115" spans="1:38" x14ac:dyDescent="0.25">
      <c r="A115">
        <f ca="1">IF(_xll.TM1RPTELISCONSOLIDATED($B$25,$B115),IF(_xll.TM1RPTELLEV($B$25,$B115)&lt;=3,_xll.TM1RPTELLEV($B$25,$B115),"D"),"N")</f>
        <v>2</v>
      </c>
      <c r="B115" s="134" t="s">
        <v>125</v>
      </c>
      <c r="C115" s="99">
        <f ca="1">_xll.DBRW($B$9,$C$16,$C$17,C$23,C$22,$C$18,$C$19,$B115,C$24)</f>
        <v>0</v>
      </c>
      <c r="D115" s="99">
        <f ca="1">_xll.DBRW($B$9,$C$16,$C$17,C$23,C$22,$C$18,$C$19,$B115,D$24)</f>
        <v>0</v>
      </c>
      <c r="E115" s="99">
        <f ca="1">_xll.DBRW($B$9,$C$16,$C$17,C$23,C$22,$C$18,$C$19,$B115,E$24)</f>
        <v>0</v>
      </c>
      <c r="F115" s="99">
        <f ca="1">_xll.DBRW($B$9,$C$16,$C$17,F$23,C$22,$C$18,$C$19,$B115,F$24)</f>
        <v>0</v>
      </c>
      <c r="G115" s="99">
        <f ca="1">_xll.DBRW($B$9,$C$16,$C$17,F$23,C$22,$C$18,$C$19,$B115,G$24)</f>
        <v>0</v>
      </c>
      <c r="H115" s="99">
        <f ca="1">_xll.DBRW($B$9,$C$16,$C$17,F$23,C$22,$C$18,$C$19,$B115,H$24)</f>
        <v>0</v>
      </c>
      <c r="I115" s="99">
        <f t="shared" ca="1" si="12"/>
        <v>0</v>
      </c>
      <c r="J115" s="99">
        <f t="shared" ca="1" si="13"/>
        <v>0</v>
      </c>
      <c r="K115" s="99">
        <f t="shared" ca="1" si="14"/>
        <v>0</v>
      </c>
      <c r="L115" s="99">
        <f ca="1">_xll.DBRW($B$9,$C$16,$C$17,L$23,L$22,$C$18,$C$19,$B115,L$24)</f>
        <v>0</v>
      </c>
      <c r="M115" s="99">
        <f ca="1">_xll.DBRW($B$9,$C$16,$C$17,L$23,L$22,$C$18,$C$19,$B115,M$24)</f>
        <v>0</v>
      </c>
      <c r="N115" s="99">
        <f ca="1">_xll.DBRW($B$9,$C$16,$C$17,L$23,L$22,$C$18,$C$19,$B115,N$24)</f>
        <v>0</v>
      </c>
      <c r="O115" s="99">
        <f ca="1">_xll.DBRW($B$9,$C$16,$C$17,O$23,L$22,$C$18,$C$19,$B115,O$24)</f>
        <v>0</v>
      </c>
      <c r="P115" s="99">
        <f ca="1">_xll.DBRW($B$9,$C$16,$C$17,O$23,L$22,$C$18,$C$19,$B115,P$24)</f>
        <v>0</v>
      </c>
      <c r="Q115" s="99">
        <f ca="1">_xll.DBRW($B$9,$C$16,$C$17,O$23,L$22,$C$18,$C$19,$B115,Q$24)</f>
        <v>0</v>
      </c>
      <c r="R115" s="99">
        <f t="shared" ca="1" si="15"/>
        <v>0</v>
      </c>
      <c r="S115" s="99">
        <f t="shared" ca="1" si="16"/>
        <v>0</v>
      </c>
      <c r="T115" s="99">
        <f t="shared" ca="1" si="17"/>
        <v>0</v>
      </c>
      <c r="U115" s="99">
        <f ca="1">_xll.DBRW($B$9,$C$16,$C$17,U$23,U$22,$C$18,$C$19,$B115,U$24)</f>
        <v>0</v>
      </c>
      <c r="V115" s="99">
        <f ca="1">_xll.DBRW($B$9,$C$16,$C$17,U$23,U$22,$C$18,$C$19,$B115,V$24)</f>
        <v>0</v>
      </c>
      <c r="W115" s="99">
        <f ca="1">_xll.DBRW($B$9,$C$16,$C$17,U$23,U$22,$C$18,$C$19,$B115,W$24)</f>
        <v>0</v>
      </c>
      <c r="X115" s="99">
        <f ca="1">_xll.DBRW($B$9,$C$16,$C$17,X$23,U$22,$C$18,$C$19,$B115,X$24)</f>
        <v>0</v>
      </c>
      <c r="Y115" s="99">
        <f ca="1">_xll.DBRW($B$9,$C$16,$C$17,X$23,U$22,$C$18,$C$19,$B115,Y$24)</f>
        <v>0</v>
      </c>
      <c r="Z115" s="99">
        <f ca="1">_xll.DBRW($B$9,$C$16,$C$17,X$23,U$22,$C$18,$C$19,$B115,Z$24)</f>
        <v>0</v>
      </c>
      <c r="AA115" s="99">
        <f t="shared" ca="1" si="18"/>
        <v>0</v>
      </c>
      <c r="AB115" s="99">
        <f t="shared" ca="1" si="19"/>
        <v>0</v>
      </c>
      <c r="AC115" s="99">
        <f t="shared" ca="1" si="20"/>
        <v>0</v>
      </c>
      <c r="AD115" s="99">
        <f ca="1">_xll.DBRW($B$9,$C$16,$C$17,AD$23,AD$22,$C$18,$C$19,$B115,AD$24)</f>
        <v>0</v>
      </c>
      <c r="AE115" s="99">
        <f ca="1">_xll.DBRW($B$9,$C$16,$C$17,AD$23,AD$22,$C$18,$C$19,$B115,AE$24)</f>
        <v>0</v>
      </c>
      <c r="AF115" s="99">
        <f ca="1">_xll.DBRW($B$9,$C$16,$C$17,AD$23,AD$22,$C$18,$C$19,$B115,AF$24)</f>
        <v>0</v>
      </c>
      <c r="AG115" s="99">
        <f ca="1">_xll.DBRW($B$9,$C$16,$C$17,AG$23,AD$22,$C$18,$C$19,$B115,AG$24)</f>
        <v>0</v>
      </c>
      <c r="AH115" s="99">
        <f ca="1">_xll.DBRW($B$9,$C$16,$C$17,AG$23,AD$22,$C$18,$C$19,$B115,AH$24)</f>
        <v>0</v>
      </c>
      <c r="AI115" s="99">
        <f ca="1">_xll.DBRW($B$9,$C$16,$C$17,AG$23,AD$22,$C$18,$C$19,$B115,AI$24)</f>
        <v>0</v>
      </c>
      <c r="AJ115" s="99">
        <f t="shared" ca="1" si="21"/>
        <v>0</v>
      </c>
      <c r="AK115" s="99">
        <f t="shared" ca="1" si="22"/>
        <v>0</v>
      </c>
      <c r="AL115" s="99">
        <f t="shared" ca="1" si="23"/>
        <v>0</v>
      </c>
    </row>
    <row r="116" spans="1:38" x14ac:dyDescent="0.25">
      <c r="A116">
        <f ca="1">IF(_xll.TM1RPTELISCONSOLIDATED($B$25,$B116),IF(_xll.TM1RPTELLEV($B$25,$B116)&lt;=3,_xll.TM1RPTELLEV($B$25,$B116),"D"),"N")</f>
        <v>2</v>
      </c>
      <c r="B116" s="134" t="s">
        <v>126</v>
      </c>
      <c r="C116" s="99">
        <f ca="1">_xll.DBRW($B$9,$C$16,$C$17,C$23,C$22,$C$18,$C$19,$B116,C$24)</f>
        <v>0</v>
      </c>
      <c r="D116" s="99">
        <f ca="1">_xll.DBRW($B$9,$C$16,$C$17,C$23,C$22,$C$18,$C$19,$B116,D$24)</f>
        <v>0</v>
      </c>
      <c r="E116" s="99">
        <f ca="1">_xll.DBRW($B$9,$C$16,$C$17,C$23,C$22,$C$18,$C$19,$B116,E$24)</f>
        <v>0</v>
      </c>
      <c r="F116" s="99">
        <f ca="1">_xll.DBRW($B$9,$C$16,$C$17,F$23,C$22,$C$18,$C$19,$B116,F$24)</f>
        <v>0</v>
      </c>
      <c r="G116" s="99">
        <f ca="1">_xll.DBRW($B$9,$C$16,$C$17,F$23,C$22,$C$18,$C$19,$B116,G$24)</f>
        <v>0</v>
      </c>
      <c r="H116" s="99">
        <f ca="1">_xll.DBRW($B$9,$C$16,$C$17,F$23,C$22,$C$18,$C$19,$B116,H$24)</f>
        <v>0</v>
      </c>
      <c r="I116" s="99">
        <f t="shared" ca="1" si="12"/>
        <v>0</v>
      </c>
      <c r="J116" s="99">
        <f t="shared" ca="1" si="13"/>
        <v>0</v>
      </c>
      <c r="K116" s="99">
        <f t="shared" ca="1" si="14"/>
        <v>0</v>
      </c>
      <c r="L116" s="99">
        <f ca="1">_xll.DBRW($B$9,$C$16,$C$17,L$23,L$22,$C$18,$C$19,$B116,L$24)</f>
        <v>0</v>
      </c>
      <c r="M116" s="99">
        <f ca="1">_xll.DBRW($B$9,$C$16,$C$17,L$23,L$22,$C$18,$C$19,$B116,M$24)</f>
        <v>0</v>
      </c>
      <c r="N116" s="99">
        <f ca="1">_xll.DBRW($B$9,$C$16,$C$17,L$23,L$22,$C$18,$C$19,$B116,N$24)</f>
        <v>0</v>
      </c>
      <c r="O116" s="99">
        <f ca="1">_xll.DBRW($B$9,$C$16,$C$17,O$23,L$22,$C$18,$C$19,$B116,O$24)</f>
        <v>0</v>
      </c>
      <c r="P116" s="99">
        <f ca="1">_xll.DBRW($B$9,$C$16,$C$17,O$23,L$22,$C$18,$C$19,$B116,P$24)</f>
        <v>0</v>
      </c>
      <c r="Q116" s="99">
        <f ca="1">_xll.DBRW($B$9,$C$16,$C$17,O$23,L$22,$C$18,$C$19,$B116,Q$24)</f>
        <v>0</v>
      </c>
      <c r="R116" s="99">
        <f t="shared" ca="1" si="15"/>
        <v>0</v>
      </c>
      <c r="S116" s="99">
        <f t="shared" ca="1" si="16"/>
        <v>0</v>
      </c>
      <c r="T116" s="99">
        <f t="shared" ca="1" si="17"/>
        <v>0</v>
      </c>
      <c r="U116" s="99">
        <f ca="1">_xll.DBRW($B$9,$C$16,$C$17,U$23,U$22,$C$18,$C$19,$B116,U$24)</f>
        <v>0</v>
      </c>
      <c r="V116" s="99">
        <f ca="1">_xll.DBRW($B$9,$C$16,$C$17,U$23,U$22,$C$18,$C$19,$B116,V$24)</f>
        <v>0</v>
      </c>
      <c r="W116" s="99">
        <f ca="1">_xll.DBRW($B$9,$C$16,$C$17,U$23,U$22,$C$18,$C$19,$B116,W$24)</f>
        <v>0</v>
      </c>
      <c r="X116" s="99">
        <f ca="1">_xll.DBRW($B$9,$C$16,$C$17,X$23,U$22,$C$18,$C$19,$B116,X$24)</f>
        <v>0</v>
      </c>
      <c r="Y116" s="99">
        <f ca="1">_xll.DBRW($B$9,$C$16,$C$17,X$23,U$22,$C$18,$C$19,$B116,Y$24)</f>
        <v>0</v>
      </c>
      <c r="Z116" s="99">
        <f ca="1">_xll.DBRW($B$9,$C$16,$C$17,X$23,U$22,$C$18,$C$19,$B116,Z$24)</f>
        <v>0</v>
      </c>
      <c r="AA116" s="99">
        <f t="shared" ca="1" si="18"/>
        <v>0</v>
      </c>
      <c r="AB116" s="99">
        <f t="shared" ca="1" si="19"/>
        <v>0</v>
      </c>
      <c r="AC116" s="99">
        <f t="shared" ca="1" si="20"/>
        <v>0</v>
      </c>
      <c r="AD116" s="99">
        <f ca="1">_xll.DBRW($B$9,$C$16,$C$17,AD$23,AD$22,$C$18,$C$19,$B116,AD$24)</f>
        <v>0</v>
      </c>
      <c r="AE116" s="99">
        <f ca="1">_xll.DBRW($B$9,$C$16,$C$17,AD$23,AD$22,$C$18,$C$19,$B116,AE$24)</f>
        <v>0</v>
      </c>
      <c r="AF116" s="99">
        <f ca="1">_xll.DBRW($B$9,$C$16,$C$17,AD$23,AD$22,$C$18,$C$19,$B116,AF$24)</f>
        <v>0</v>
      </c>
      <c r="AG116" s="99">
        <f ca="1">_xll.DBRW($B$9,$C$16,$C$17,AG$23,AD$22,$C$18,$C$19,$B116,AG$24)</f>
        <v>0</v>
      </c>
      <c r="AH116" s="99">
        <f ca="1">_xll.DBRW($B$9,$C$16,$C$17,AG$23,AD$22,$C$18,$C$19,$B116,AH$24)</f>
        <v>0</v>
      </c>
      <c r="AI116" s="99">
        <f ca="1">_xll.DBRW($B$9,$C$16,$C$17,AG$23,AD$22,$C$18,$C$19,$B116,AI$24)</f>
        <v>0</v>
      </c>
      <c r="AJ116" s="99">
        <f t="shared" ca="1" si="21"/>
        <v>0</v>
      </c>
      <c r="AK116" s="99">
        <f t="shared" ca="1" si="22"/>
        <v>0</v>
      </c>
      <c r="AL116" s="99">
        <f t="shared" ca="1" si="23"/>
        <v>0</v>
      </c>
    </row>
    <row r="117" spans="1:38" x14ac:dyDescent="0.25">
      <c r="A117">
        <f ca="1">IF(_xll.TM1RPTELISCONSOLIDATED($B$25,$B117),IF(_xll.TM1RPTELLEV($B$25,$B117)&lt;=3,_xll.TM1RPTELLEV($B$25,$B117),"D"),"N")</f>
        <v>2</v>
      </c>
      <c r="B117" s="134" t="s">
        <v>127</v>
      </c>
      <c r="C117" s="99">
        <f ca="1">_xll.DBRW($B$9,$C$16,$C$17,C$23,C$22,$C$18,$C$19,$B117,C$24)</f>
        <v>0</v>
      </c>
      <c r="D117" s="99">
        <f ca="1">_xll.DBRW($B$9,$C$16,$C$17,C$23,C$22,$C$18,$C$19,$B117,D$24)</f>
        <v>0</v>
      </c>
      <c r="E117" s="99">
        <f ca="1">_xll.DBRW($B$9,$C$16,$C$17,C$23,C$22,$C$18,$C$19,$B117,E$24)</f>
        <v>0</v>
      </c>
      <c r="F117" s="99">
        <f ca="1">_xll.DBRW($B$9,$C$16,$C$17,F$23,C$22,$C$18,$C$19,$B117,F$24)</f>
        <v>0</v>
      </c>
      <c r="G117" s="99">
        <f ca="1">_xll.DBRW($B$9,$C$16,$C$17,F$23,C$22,$C$18,$C$19,$B117,G$24)</f>
        <v>0</v>
      </c>
      <c r="H117" s="99">
        <f ca="1">_xll.DBRW($B$9,$C$16,$C$17,F$23,C$22,$C$18,$C$19,$B117,H$24)</f>
        <v>0</v>
      </c>
      <c r="I117" s="99">
        <f t="shared" ca="1" si="12"/>
        <v>0</v>
      </c>
      <c r="J117" s="99">
        <f t="shared" ca="1" si="13"/>
        <v>0</v>
      </c>
      <c r="K117" s="99">
        <f t="shared" ca="1" si="14"/>
        <v>0</v>
      </c>
      <c r="L117" s="99">
        <f ca="1">_xll.DBRW($B$9,$C$16,$C$17,L$23,L$22,$C$18,$C$19,$B117,L$24)</f>
        <v>0</v>
      </c>
      <c r="M117" s="99">
        <f ca="1">_xll.DBRW($B$9,$C$16,$C$17,L$23,L$22,$C$18,$C$19,$B117,M$24)</f>
        <v>0</v>
      </c>
      <c r="N117" s="99">
        <f ca="1">_xll.DBRW($B$9,$C$16,$C$17,L$23,L$22,$C$18,$C$19,$B117,N$24)</f>
        <v>0</v>
      </c>
      <c r="O117" s="99">
        <f ca="1">_xll.DBRW($B$9,$C$16,$C$17,O$23,L$22,$C$18,$C$19,$B117,O$24)</f>
        <v>0</v>
      </c>
      <c r="P117" s="99">
        <f ca="1">_xll.DBRW($B$9,$C$16,$C$17,O$23,L$22,$C$18,$C$19,$B117,P$24)</f>
        <v>0</v>
      </c>
      <c r="Q117" s="99">
        <f ca="1">_xll.DBRW($B$9,$C$16,$C$17,O$23,L$22,$C$18,$C$19,$B117,Q$24)</f>
        <v>0</v>
      </c>
      <c r="R117" s="99">
        <f t="shared" ca="1" si="15"/>
        <v>0</v>
      </c>
      <c r="S117" s="99">
        <f t="shared" ca="1" si="16"/>
        <v>0</v>
      </c>
      <c r="T117" s="99">
        <f t="shared" ca="1" si="17"/>
        <v>0</v>
      </c>
      <c r="U117" s="99">
        <f ca="1">_xll.DBRW($B$9,$C$16,$C$17,U$23,U$22,$C$18,$C$19,$B117,U$24)</f>
        <v>0</v>
      </c>
      <c r="V117" s="99">
        <f ca="1">_xll.DBRW($B$9,$C$16,$C$17,U$23,U$22,$C$18,$C$19,$B117,V$24)</f>
        <v>0</v>
      </c>
      <c r="W117" s="99">
        <f ca="1">_xll.DBRW($B$9,$C$16,$C$17,U$23,U$22,$C$18,$C$19,$B117,W$24)</f>
        <v>0</v>
      </c>
      <c r="X117" s="99">
        <f ca="1">_xll.DBRW($B$9,$C$16,$C$17,X$23,U$22,$C$18,$C$19,$B117,X$24)</f>
        <v>0</v>
      </c>
      <c r="Y117" s="99">
        <f ca="1">_xll.DBRW($B$9,$C$16,$C$17,X$23,U$22,$C$18,$C$19,$B117,Y$24)</f>
        <v>0</v>
      </c>
      <c r="Z117" s="99">
        <f ca="1">_xll.DBRW($B$9,$C$16,$C$17,X$23,U$22,$C$18,$C$19,$B117,Z$24)</f>
        <v>0</v>
      </c>
      <c r="AA117" s="99">
        <f t="shared" ca="1" si="18"/>
        <v>0</v>
      </c>
      <c r="AB117" s="99">
        <f t="shared" ca="1" si="19"/>
        <v>0</v>
      </c>
      <c r="AC117" s="99">
        <f t="shared" ca="1" si="20"/>
        <v>0</v>
      </c>
      <c r="AD117" s="99">
        <f ca="1">_xll.DBRW($B$9,$C$16,$C$17,AD$23,AD$22,$C$18,$C$19,$B117,AD$24)</f>
        <v>0</v>
      </c>
      <c r="AE117" s="99">
        <f ca="1">_xll.DBRW($B$9,$C$16,$C$17,AD$23,AD$22,$C$18,$C$19,$B117,AE$24)</f>
        <v>0</v>
      </c>
      <c r="AF117" s="99">
        <f ca="1">_xll.DBRW($B$9,$C$16,$C$17,AD$23,AD$22,$C$18,$C$19,$B117,AF$24)</f>
        <v>0</v>
      </c>
      <c r="AG117" s="99">
        <f ca="1">_xll.DBRW($B$9,$C$16,$C$17,AG$23,AD$22,$C$18,$C$19,$B117,AG$24)</f>
        <v>0</v>
      </c>
      <c r="AH117" s="99">
        <f ca="1">_xll.DBRW($B$9,$C$16,$C$17,AG$23,AD$22,$C$18,$C$19,$B117,AH$24)</f>
        <v>0</v>
      </c>
      <c r="AI117" s="99">
        <f ca="1">_xll.DBRW($B$9,$C$16,$C$17,AG$23,AD$22,$C$18,$C$19,$B117,AI$24)</f>
        <v>0</v>
      </c>
      <c r="AJ117" s="99">
        <f t="shared" ca="1" si="21"/>
        <v>0</v>
      </c>
      <c r="AK117" s="99">
        <f t="shared" ca="1" si="22"/>
        <v>0</v>
      </c>
      <c r="AL117" s="99">
        <f t="shared" ca="1" si="23"/>
        <v>0</v>
      </c>
    </row>
    <row r="118" spans="1:38" x14ac:dyDescent="0.25">
      <c r="A118">
        <f ca="1">IF(_xll.TM1RPTELISCONSOLIDATED($B$25,$B118),IF(_xll.TM1RPTELLEV($B$25,$B118)&lt;=3,_xll.TM1RPTELLEV($B$25,$B118),"D"),"N")</f>
        <v>2</v>
      </c>
      <c r="B118" s="134" t="s">
        <v>128</v>
      </c>
      <c r="C118" s="99">
        <f ca="1">_xll.DBRW($B$9,$C$16,$C$17,C$23,C$22,$C$18,$C$19,$B118,C$24)</f>
        <v>0</v>
      </c>
      <c r="D118" s="99">
        <f ca="1">_xll.DBRW($B$9,$C$16,$C$17,C$23,C$22,$C$18,$C$19,$B118,D$24)</f>
        <v>0</v>
      </c>
      <c r="E118" s="99">
        <f ca="1">_xll.DBRW($B$9,$C$16,$C$17,C$23,C$22,$C$18,$C$19,$B118,E$24)</f>
        <v>0</v>
      </c>
      <c r="F118" s="99">
        <f ca="1">_xll.DBRW($B$9,$C$16,$C$17,F$23,C$22,$C$18,$C$19,$B118,F$24)</f>
        <v>0</v>
      </c>
      <c r="G118" s="99">
        <f ca="1">_xll.DBRW($B$9,$C$16,$C$17,F$23,C$22,$C$18,$C$19,$B118,G$24)</f>
        <v>0</v>
      </c>
      <c r="H118" s="99">
        <f ca="1">_xll.DBRW($B$9,$C$16,$C$17,F$23,C$22,$C$18,$C$19,$B118,H$24)</f>
        <v>0</v>
      </c>
      <c r="I118" s="99">
        <f t="shared" ca="1" si="12"/>
        <v>0</v>
      </c>
      <c r="J118" s="99">
        <f t="shared" ca="1" si="13"/>
        <v>0</v>
      </c>
      <c r="K118" s="99">
        <f t="shared" ca="1" si="14"/>
        <v>0</v>
      </c>
      <c r="L118" s="99">
        <f ca="1">_xll.DBRW($B$9,$C$16,$C$17,L$23,L$22,$C$18,$C$19,$B118,L$24)</f>
        <v>0</v>
      </c>
      <c r="M118" s="99">
        <f ca="1">_xll.DBRW($B$9,$C$16,$C$17,L$23,L$22,$C$18,$C$19,$B118,M$24)</f>
        <v>0</v>
      </c>
      <c r="N118" s="99">
        <f ca="1">_xll.DBRW($B$9,$C$16,$C$17,L$23,L$22,$C$18,$C$19,$B118,N$24)</f>
        <v>0</v>
      </c>
      <c r="O118" s="99">
        <f ca="1">_xll.DBRW($B$9,$C$16,$C$17,O$23,L$22,$C$18,$C$19,$B118,O$24)</f>
        <v>0</v>
      </c>
      <c r="P118" s="99">
        <f ca="1">_xll.DBRW($B$9,$C$16,$C$17,O$23,L$22,$C$18,$C$19,$B118,P$24)</f>
        <v>0</v>
      </c>
      <c r="Q118" s="99">
        <f ca="1">_xll.DBRW($B$9,$C$16,$C$17,O$23,L$22,$C$18,$C$19,$B118,Q$24)</f>
        <v>0</v>
      </c>
      <c r="R118" s="99">
        <f t="shared" ca="1" si="15"/>
        <v>0</v>
      </c>
      <c r="S118" s="99">
        <f t="shared" ca="1" si="16"/>
        <v>0</v>
      </c>
      <c r="T118" s="99">
        <f t="shared" ca="1" si="17"/>
        <v>0</v>
      </c>
      <c r="U118" s="99">
        <f ca="1">_xll.DBRW($B$9,$C$16,$C$17,U$23,U$22,$C$18,$C$19,$B118,U$24)</f>
        <v>0</v>
      </c>
      <c r="V118" s="99">
        <f ca="1">_xll.DBRW($B$9,$C$16,$C$17,U$23,U$22,$C$18,$C$19,$B118,V$24)</f>
        <v>0</v>
      </c>
      <c r="W118" s="99">
        <f ca="1">_xll.DBRW($B$9,$C$16,$C$17,U$23,U$22,$C$18,$C$19,$B118,W$24)</f>
        <v>0</v>
      </c>
      <c r="X118" s="99">
        <f ca="1">_xll.DBRW($B$9,$C$16,$C$17,X$23,U$22,$C$18,$C$19,$B118,X$24)</f>
        <v>0</v>
      </c>
      <c r="Y118" s="99">
        <f ca="1">_xll.DBRW($B$9,$C$16,$C$17,X$23,U$22,$C$18,$C$19,$B118,Y$24)</f>
        <v>0</v>
      </c>
      <c r="Z118" s="99">
        <f ca="1">_xll.DBRW($B$9,$C$16,$C$17,X$23,U$22,$C$18,$C$19,$B118,Z$24)</f>
        <v>0</v>
      </c>
      <c r="AA118" s="99">
        <f t="shared" ca="1" si="18"/>
        <v>0</v>
      </c>
      <c r="AB118" s="99">
        <f t="shared" ca="1" si="19"/>
        <v>0</v>
      </c>
      <c r="AC118" s="99">
        <f t="shared" ca="1" si="20"/>
        <v>0</v>
      </c>
      <c r="AD118" s="99">
        <f ca="1">_xll.DBRW($B$9,$C$16,$C$17,AD$23,AD$22,$C$18,$C$19,$B118,AD$24)</f>
        <v>0</v>
      </c>
      <c r="AE118" s="99">
        <f ca="1">_xll.DBRW($B$9,$C$16,$C$17,AD$23,AD$22,$C$18,$C$19,$B118,AE$24)</f>
        <v>0</v>
      </c>
      <c r="AF118" s="99">
        <f ca="1">_xll.DBRW($B$9,$C$16,$C$17,AD$23,AD$22,$C$18,$C$19,$B118,AF$24)</f>
        <v>0</v>
      </c>
      <c r="AG118" s="99">
        <f ca="1">_xll.DBRW($B$9,$C$16,$C$17,AG$23,AD$22,$C$18,$C$19,$B118,AG$24)</f>
        <v>0</v>
      </c>
      <c r="AH118" s="99">
        <f ca="1">_xll.DBRW($B$9,$C$16,$C$17,AG$23,AD$22,$C$18,$C$19,$B118,AH$24)</f>
        <v>0</v>
      </c>
      <c r="AI118" s="99">
        <f ca="1">_xll.DBRW($B$9,$C$16,$C$17,AG$23,AD$22,$C$18,$C$19,$B118,AI$24)</f>
        <v>0</v>
      </c>
      <c r="AJ118" s="99">
        <f t="shared" ca="1" si="21"/>
        <v>0</v>
      </c>
      <c r="AK118" s="99">
        <f t="shared" ca="1" si="22"/>
        <v>0</v>
      </c>
      <c r="AL118" s="99">
        <f t="shared" ca="1" si="23"/>
        <v>0</v>
      </c>
    </row>
    <row r="119" spans="1:38" x14ac:dyDescent="0.25">
      <c r="A119">
        <f ca="1">IF(_xll.TM1RPTELISCONSOLIDATED($B$25,$B119),IF(_xll.TM1RPTELLEV($B$25,$B119)&lt;=3,_xll.TM1RPTELLEV($B$25,$B119),"D"),"N")</f>
        <v>1</v>
      </c>
      <c r="B119" s="133" t="s">
        <v>26</v>
      </c>
      <c r="C119" s="97">
        <f ca="1">_xll.DBRW($B$9,$C$16,$C$17,C$23,C$22,$C$18,$C$19,$B119,C$24)</f>
        <v>0</v>
      </c>
      <c r="D119" s="97">
        <f ca="1">_xll.DBRW($B$9,$C$16,$C$17,C$23,C$22,$C$18,$C$19,$B119,D$24)</f>
        <v>0</v>
      </c>
      <c r="E119" s="97">
        <f ca="1">_xll.DBRW($B$9,$C$16,$C$17,C$23,C$22,$C$18,$C$19,$B119,E$24)</f>
        <v>0</v>
      </c>
      <c r="F119" s="97">
        <f ca="1">_xll.DBRW($B$9,$C$16,$C$17,F$23,C$22,$C$18,$C$19,$B119,F$24)</f>
        <v>0</v>
      </c>
      <c r="G119" s="97">
        <f ca="1">_xll.DBRW($B$9,$C$16,$C$17,F$23,C$22,$C$18,$C$19,$B119,G$24)</f>
        <v>0</v>
      </c>
      <c r="H119" s="97">
        <f ca="1">_xll.DBRW($B$9,$C$16,$C$17,F$23,C$22,$C$18,$C$19,$B119,H$24)</f>
        <v>0</v>
      </c>
      <c r="I119" s="97">
        <f t="shared" ca="1" si="12"/>
        <v>0</v>
      </c>
      <c r="J119" s="97">
        <f t="shared" ca="1" si="13"/>
        <v>0</v>
      </c>
      <c r="K119" s="97">
        <f t="shared" ca="1" si="14"/>
        <v>0</v>
      </c>
      <c r="L119" s="97">
        <f ca="1">_xll.DBRW($B$9,$C$16,$C$17,L$23,L$22,$C$18,$C$19,$B119,L$24)</f>
        <v>0</v>
      </c>
      <c r="M119" s="97">
        <f ca="1">_xll.DBRW($B$9,$C$16,$C$17,L$23,L$22,$C$18,$C$19,$B119,M$24)</f>
        <v>0</v>
      </c>
      <c r="N119" s="97">
        <f ca="1">_xll.DBRW($B$9,$C$16,$C$17,L$23,L$22,$C$18,$C$19,$B119,N$24)</f>
        <v>0</v>
      </c>
      <c r="O119" s="97">
        <f ca="1">_xll.DBRW($B$9,$C$16,$C$17,O$23,L$22,$C$18,$C$19,$B119,O$24)</f>
        <v>0</v>
      </c>
      <c r="P119" s="97">
        <f ca="1">_xll.DBRW($B$9,$C$16,$C$17,O$23,L$22,$C$18,$C$19,$B119,P$24)</f>
        <v>0</v>
      </c>
      <c r="Q119" s="97">
        <f ca="1">_xll.DBRW($B$9,$C$16,$C$17,O$23,L$22,$C$18,$C$19,$B119,Q$24)</f>
        <v>0</v>
      </c>
      <c r="R119" s="97">
        <f t="shared" ca="1" si="15"/>
        <v>0</v>
      </c>
      <c r="S119" s="97">
        <f t="shared" ca="1" si="16"/>
        <v>0</v>
      </c>
      <c r="T119" s="97">
        <f t="shared" ca="1" si="17"/>
        <v>0</v>
      </c>
      <c r="U119" s="97">
        <f ca="1">_xll.DBRW($B$9,$C$16,$C$17,U$23,U$22,$C$18,$C$19,$B119,U$24)</f>
        <v>0</v>
      </c>
      <c r="V119" s="97">
        <f ca="1">_xll.DBRW($B$9,$C$16,$C$17,U$23,U$22,$C$18,$C$19,$B119,V$24)</f>
        <v>0</v>
      </c>
      <c r="W119" s="97">
        <f ca="1">_xll.DBRW($B$9,$C$16,$C$17,U$23,U$22,$C$18,$C$19,$B119,W$24)</f>
        <v>0</v>
      </c>
      <c r="X119" s="97">
        <f ca="1">_xll.DBRW($B$9,$C$16,$C$17,X$23,U$22,$C$18,$C$19,$B119,X$24)</f>
        <v>0</v>
      </c>
      <c r="Y119" s="97">
        <f ca="1">_xll.DBRW($B$9,$C$16,$C$17,X$23,U$22,$C$18,$C$19,$B119,Y$24)</f>
        <v>0</v>
      </c>
      <c r="Z119" s="97">
        <f ca="1">_xll.DBRW($B$9,$C$16,$C$17,X$23,U$22,$C$18,$C$19,$B119,Z$24)</f>
        <v>0</v>
      </c>
      <c r="AA119" s="97">
        <f t="shared" ca="1" si="18"/>
        <v>0</v>
      </c>
      <c r="AB119" s="97">
        <f t="shared" ca="1" si="19"/>
        <v>0</v>
      </c>
      <c r="AC119" s="97">
        <f t="shared" ca="1" si="20"/>
        <v>0</v>
      </c>
      <c r="AD119" s="97">
        <f ca="1">_xll.DBRW($B$9,$C$16,$C$17,AD$23,AD$22,$C$18,$C$19,$B119,AD$24)</f>
        <v>0</v>
      </c>
      <c r="AE119" s="97">
        <f ca="1">_xll.DBRW($B$9,$C$16,$C$17,AD$23,AD$22,$C$18,$C$19,$B119,AE$24)</f>
        <v>0</v>
      </c>
      <c r="AF119" s="97">
        <f ca="1">_xll.DBRW($B$9,$C$16,$C$17,AD$23,AD$22,$C$18,$C$19,$B119,AF$24)</f>
        <v>0</v>
      </c>
      <c r="AG119" s="97">
        <f ca="1">_xll.DBRW($B$9,$C$16,$C$17,AG$23,AD$22,$C$18,$C$19,$B119,AG$24)</f>
        <v>0</v>
      </c>
      <c r="AH119" s="97">
        <f ca="1">_xll.DBRW($B$9,$C$16,$C$17,AG$23,AD$22,$C$18,$C$19,$B119,AH$24)</f>
        <v>0</v>
      </c>
      <c r="AI119" s="97">
        <f ca="1">_xll.DBRW($B$9,$C$16,$C$17,AG$23,AD$22,$C$18,$C$19,$B119,AI$24)</f>
        <v>0</v>
      </c>
      <c r="AJ119" s="97">
        <f t="shared" ca="1" si="21"/>
        <v>0</v>
      </c>
      <c r="AK119" s="97">
        <f t="shared" ca="1" si="22"/>
        <v>0</v>
      </c>
      <c r="AL119" s="97">
        <f t="shared" ca="1" si="23"/>
        <v>0</v>
      </c>
    </row>
    <row r="120" spans="1:38" x14ac:dyDescent="0.25">
      <c r="A120">
        <f ca="1">IF(_xll.TM1RPTELISCONSOLIDATED($B$25,$B120),IF(_xll.TM1RPTELLEV($B$25,$B120)&lt;=3,_xll.TM1RPTELLEV($B$25,$B120),"D"),"N")</f>
        <v>2</v>
      </c>
      <c r="B120" s="134" t="s">
        <v>129</v>
      </c>
      <c r="C120" s="99">
        <f ca="1">_xll.DBRW($B$9,$C$16,$C$17,C$23,C$22,$C$18,$C$19,$B120,C$24)</f>
        <v>0</v>
      </c>
      <c r="D120" s="99">
        <f ca="1">_xll.DBRW($B$9,$C$16,$C$17,C$23,C$22,$C$18,$C$19,$B120,D$24)</f>
        <v>0</v>
      </c>
      <c r="E120" s="99">
        <f ca="1">_xll.DBRW($B$9,$C$16,$C$17,C$23,C$22,$C$18,$C$19,$B120,E$24)</f>
        <v>0</v>
      </c>
      <c r="F120" s="99">
        <f ca="1">_xll.DBRW($B$9,$C$16,$C$17,F$23,C$22,$C$18,$C$19,$B120,F$24)</f>
        <v>0</v>
      </c>
      <c r="G120" s="99">
        <f ca="1">_xll.DBRW($B$9,$C$16,$C$17,F$23,C$22,$C$18,$C$19,$B120,G$24)</f>
        <v>0</v>
      </c>
      <c r="H120" s="99">
        <f ca="1">_xll.DBRW($B$9,$C$16,$C$17,F$23,C$22,$C$18,$C$19,$B120,H$24)</f>
        <v>0</v>
      </c>
      <c r="I120" s="99">
        <f t="shared" ca="1" si="12"/>
        <v>0</v>
      </c>
      <c r="J120" s="99">
        <f t="shared" ca="1" si="13"/>
        <v>0</v>
      </c>
      <c r="K120" s="99">
        <f t="shared" ca="1" si="14"/>
        <v>0</v>
      </c>
      <c r="L120" s="99">
        <f ca="1">_xll.DBRW($B$9,$C$16,$C$17,L$23,L$22,$C$18,$C$19,$B120,L$24)</f>
        <v>0</v>
      </c>
      <c r="M120" s="99">
        <f ca="1">_xll.DBRW($B$9,$C$16,$C$17,L$23,L$22,$C$18,$C$19,$B120,M$24)</f>
        <v>0</v>
      </c>
      <c r="N120" s="99">
        <f ca="1">_xll.DBRW($B$9,$C$16,$C$17,L$23,L$22,$C$18,$C$19,$B120,N$24)</f>
        <v>0</v>
      </c>
      <c r="O120" s="99">
        <f ca="1">_xll.DBRW($B$9,$C$16,$C$17,O$23,L$22,$C$18,$C$19,$B120,O$24)</f>
        <v>0</v>
      </c>
      <c r="P120" s="99">
        <f ca="1">_xll.DBRW($B$9,$C$16,$C$17,O$23,L$22,$C$18,$C$19,$B120,P$24)</f>
        <v>0</v>
      </c>
      <c r="Q120" s="99">
        <f ca="1">_xll.DBRW($B$9,$C$16,$C$17,O$23,L$22,$C$18,$C$19,$B120,Q$24)</f>
        <v>0</v>
      </c>
      <c r="R120" s="99">
        <f t="shared" ca="1" si="15"/>
        <v>0</v>
      </c>
      <c r="S120" s="99">
        <f t="shared" ca="1" si="16"/>
        <v>0</v>
      </c>
      <c r="T120" s="99">
        <f t="shared" ca="1" si="17"/>
        <v>0</v>
      </c>
      <c r="U120" s="99">
        <f ca="1">_xll.DBRW($B$9,$C$16,$C$17,U$23,U$22,$C$18,$C$19,$B120,U$24)</f>
        <v>0</v>
      </c>
      <c r="V120" s="99">
        <f ca="1">_xll.DBRW($B$9,$C$16,$C$17,U$23,U$22,$C$18,$C$19,$B120,V$24)</f>
        <v>0</v>
      </c>
      <c r="W120" s="99">
        <f ca="1">_xll.DBRW($B$9,$C$16,$C$17,U$23,U$22,$C$18,$C$19,$B120,W$24)</f>
        <v>0</v>
      </c>
      <c r="X120" s="99">
        <f ca="1">_xll.DBRW($B$9,$C$16,$C$17,X$23,U$22,$C$18,$C$19,$B120,X$24)</f>
        <v>0</v>
      </c>
      <c r="Y120" s="99">
        <f ca="1">_xll.DBRW($B$9,$C$16,$C$17,X$23,U$22,$C$18,$C$19,$B120,Y$24)</f>
        <v>0</v>
      </c>
      <c r="Z120" s="99">
        <f ca="1">_xll.DBRW($B$9,$C$16,$C$17,X$23,U$22,$C$18,$C$19,$B120,Z$24)</f>
        <v>0</v>
      </c>
      <c r="AA120" s="99">
        <f t="shared" ca="1" si="18"/>
        <v>0</v>
      </c>
      <c r="AB120" s="99">
        <f t="shared" ca="1" si="19"/>
        <v>0</v>
      </c>
      <c r="AC120" s="99">
        <f t="shared" ca="1" si="20"/>
        <v>0</v>
      </c>
      <c r="AD120" s="99">
        <f ca="1">_xll.DBRW($B$9,$C$16,$C$17,AD$23,AD$22,$C$18,$C$19,$B120,AD$24)</f>
        <v>0</v>
      </c>
      <c r="AE120" s="99">
        <f ca="1">_xll.DBRW($B$9,$C$16,$C$17,AD$23,AD$22,$C$18,$C$19,$B120,AE$24)</f>
        <v>0</v>
      </c>
      <c r="AF120" s="99">
        <f ca="1">_xll.DBRW($B$9,$C$16,$C$17,AD$23,AD$22,$C$18,$C$19,$B120,AF$24)</f>
        <v>0</v>
      </c>
      <c r="AG120" s="99">
        <f ca="1">_xll.DBRW($B$9,$C$16,$C$17,AG$23,AD$22,$C$18,$C$19,$B120,AG$24)</f>
        <v>0</v>
      </c>
      <c r="AH120" s="99">
        <f ca="1">_xll.DBRW($B$9,$C$16,$C$17,AG$23,AD$22,$C$18,$C$19,$B120,AH$24)</f>
        <v>0</v>
      </c>
      <c r="AI120" s="99">
        <f ca="1">_xll.DBRW($B$9,$C$16,$C$17,AG$23,AD$22,$C$18,$C$19,$B120,AI$24)</f>
        <v>0</v>
      </c>
      <c r="AJ120" s="99">
        <f t="shared" ca="1" si="21"/>
        <v>0</v>
      </c>
      <c r="AK120" s="99">
        <f t="shared" ca="1" si="22"/>
        <v>0</v>
      </c>
      <c r="AL120" s="99">
        <f t="shared" ca="1" si="23"/>
        <v>0</v>
      </c>
    </row>
    <row r="121" spans="1:38" x14ac:dyDescent="0.25">
      <c r="A121">
        <f ca="1">IF(_xll.TM1RPTELISCONSOLIDATED($B$25,$B121),IF(_xll.TM1RPTELLEV($B$25,$B121)&lt;=3,_xll.TM1RPTELLEV($B$25,$B121),"D"),"N")</f>
        <v>2</v>
      </c>
      <c r="B121" s="134" t="s">
        <v>130</v>
      </c>
      <c r="C121" s="99">
        <f ca="1">_xll.DBRW($B$9,$C$16,$C$17,C$23,C$22,$C$18,$C$19,$B121,C$24)</f>
        <v>0</v>
      </c>
      <c r="D121" s="99">
        <f ca="1">_xll.DBRW($B$9,$C$16,$C$17,C$23,C$22,$C$18,$C$19,$B121,D$24)</f>
        <v>0</v>
      </c>
      <c r="E121" s="99">
        <f ca="1">_xll.DBRW($B$9,$C$16,$C$17,C$23,C$22,$C$18,$C$19,$B121,E$24)</f>
        <v>0</v>
      </c>
      <c r="F121" s="99">
        <f ca="1">_xll.DBRW($B$9,$C$16,$C$17,F$23,C$22,$C$18,$C$19,$B121,F$24)</f>
        <v>0</v>
      </c>
      <c r="G121" s="99">
        <f ca="1">_xll.DBRW($B$9,$C$16,$C$17,F$23,C$22,$C$18,$C$19,$B121,G$24)</f>
        <v>0</v>
      </c>
      <c r="H121" s="99">
        <f ca="1">_xll.DBRW($B$9,$C$16,$C$17,F$23,C$22,$C$18,$C$19,$B121,H$24)</f>
        <v>0</v>
      </c>
      <c r="I121" s="99">
        <f t="shared" ca="1" si="12"/>
        <v>0</v>
      </c>
      <c r="J121" s="99">
        <f t="shared" ca="1" si="13"/>
        <v>0</v>
      </c>
      <c r="K121" s="99">
        <f t="shared" ca="1" si="14"/>
        <v>0</v>
      </c>
      <c r="L121" s="99">
        <f ca="1">_xll.DBRW($B$9,$C$16,$C$17,L$23,L$22,$C$18,$C$19,$B121,L$24)</f>
        <v>0</v>
      </c>
      <c r="M121" s="99">
        <f ca="1">_xll.DBRW($B$9,$C$16,$C$17,L$23,L$22,$C$18,$C$19,$B121,M$24)</f>
        <v>0</v>
      </c>
      <c r="N121" s="99">
        <f ca="1">_xll.DBRW($B$9,$C$16,$C$17,L$23,L$22,$C$18,$C$19,$B121,N$24)</f>
        <v>0</v>
      </c>
      <c r="O121" s="99">
        <f ca="1">_xll.DBRW($B$9,$C$16,$C$17,O$23,L$22,$C$18,$C$19,$B121,O$24)</f>
        <v>0</v>
      </c>
      <c r="P121" s="99">
        <f ca="1">_xll.DBRW($B$9,$C$16,$C$17,O$23,L$22,$C$18,$C$19,$B121,P$24)</f>
        <v>0</v>
      </c>
      <c r="Q121" s="99">
        <f ca="1">_xll.DBRW($B$9,$C$16,$C$17,O$23,L$22,$C$18,$C$19,$B121,Q$24)</f>
        <v>0</v>
      </c>
      <c r="R121" s="99">
        <f t="shared" ca="1" si="15"/>
        <v>0</v>
      </c>
      <c r="S121" s="99">
        <f t="shared" ca="1" si="16"/>
        <v>0</v>
      </c>
      <c r="T121" s="99">
        <f t="shared" ca="1" si="17"/>
        <v>0</v>
      </c>
      <c r="U121" s="99">
        <f ca="1">_xll.DBRW($B$9,$C$16,$C$17,U$23,U$22,$C$18,$C$19,$B121,U$24)</f>
        <v>0</v>
      </c>
      <c r="V121" s="99">
        <f ca="1">_xll.DBRW($B$9,$C$16,$C$17,U$23,U$22,$C$18,$C$19,$B121,V$24)</f>
        <v>0</v>
      </c>
      <c r="W121" s="99">
        <f ca="1">_xll.DBRW($B$9,$C$16,$C$17,U$23,U$22,$C$18,$C$19,$B121,W$24)</f>
        <v>0</v>
      </c>
      <c r="X121" s="99">
        <f ca="1">_xll.DBRW($B$9,$C$16,$C$17,X$23,U$22,$C$18,$C$19,$B121,X$24)</f>
        <v>0</v>
      </c>
      <c r="Y121" s="99">
        <f ca="1">_xll.DBRW($B$9,$C$16,$C$17,X$23,U$22,$C$18,$C$19,$B121,Y$24)</f>
        <v>0</v>
      </c>
      <c r="Z121" s="99">
        <f ca="1">_xll.DBRW($B$9,$C$16,$C$17,X$23,U$22,$C$18,$C$19,$B121,Z$24)</f>
        <v>0</v>
      </c>
      <c r="AA121" s="99">
        <f t="shared" ca="1" si="18"/>
        <v>0</v>
      </c>
      <c r="AB121" s="99">
        <f t="shared" ca="1" si="19"/>
        <v>0</v>
      </c>
      <c r="AC121" s="99">
        <f t="shared" ca="1" si="20"/>
        <v>0</v>
      </c>
      <c r="AD121" s="99">
        <f ca="1">_xll.DBRW($B$9,$C$16,$C$17,AD$23,AD$22,$C$18,$C$19,$B121,AD$24)</f>
        <v>0</v>
      </c>
      <c r="AE121" s="99">
        <f ca="1">_xll.DBRW($B$9,$C$16,$C$17,AD$23,AD$22,$C$18,$C$19,$B121,AE$24)</f>
        <v>0</v>
      </c>
      <c r="AF121" s="99">
        <f ca="1">_xll.DBRW($B$9,$C$16,$C$17,AD$23,AD$22,$C$18,$C$19,$B121,AF$24)</f>
        <v>0</v>
      </c>
      <c r="AG121" s="99">
        <f ca="1">_xll.DBRW($B$9,$C$16,$C$17,AG$23,AD$22,$C$18,$C$19,$B121,AG$24)</f>
        <v>0</v>
      </c>
      <c r="AH121" s="99">
        <f ca="1">_xll.DBRW($B$9,$C$16,$C$17,AG$23,AD$22,$C$18,$C$19,$B121,AH$24)</f>
        <v>0</v>
      </c>
      <c r="AI121" s="99">
        <f ca="1">_xll.DBRW($B$9,$C$16,$C$17,AG$23,AD$22,$C$18,$C$19,$B121,AI$24)</f>
        <v>0</v>
      </c>
      <c r="AJ121" s="99">
        <f t="shared" ca="1" si="21"/>
        <v>0</v>
      </c>
      <c r="AK121" s="99">
        <f t="shared" ca="1" si="22"/>
        <v>0</v>
      </c>
      <c r="AL121" s="99">
        <f t="shared" ca="1" si="23"/>
        <v>0</v>
      </c>
    </row>
    <row r="122" spans="1:38" x14ac:dyDescent="0.25">
      <c r="A122">
        <f ca="1">IF(_xll.TM1RPTELISCONSOLIDATED($B$25,$B122),IF(_xll.TM1RPTELLEV($B$25,$B122)&lt;=3,_xll.TM1RPTELLEV($B$25,$B122),"D"),"N")</f>
        <v>2</v>
      </c>
      <c r="B122" s="134" t="s">
        <v>131</v>
      </c>
      <c r="C122" s="99">
        <f ca="1">_xll.DBRW($B$9,$C$16,$C$17,C$23,C$22,$C$18,$C$19,$B122,C$24)</f>
        <v>0</v>
      </c>
      <c r="D122" s="99">
        <f ca="1">_xll.DBRW($B$9,$C$16,$C$17,C$23,C$22,$C$18,$C$19,$B122,D$24)</f>
        <v>0</v>
      </c>
      <c r="E122" s="99">
        <f ca="1">_xll.DBRW($B$9,$C$16,$C$17,C$23,C$22,$C$18,$C$19,$B122,E$24)</f>
        <v>0</v>
      </c>
      <c r="F122" s="99">
        <f ca="1">_xll.DBRW($B$9,$C$16,$C$17,F$23,C$22,$C$18,$C$19,$B122,F$24)</f>
        <v>0</v>
      </c>
      <c r="G122" s="99">
        <f ca="1">_xll.DBRW($B$9,$C$16,$C$17,F$23,C$22,$C$18,$C$19,$B122,G$24)</f>
        <v>0</v>
      </c>
      <c r="H122" s="99">
        <f ca="1">_xll.DBRW($B$9,$C$16,$C$17,F$23,C$22,$C$18,$C$19,$B122,H$24)</f>
        <v>0</v>
      </c>
      <c r="I122" s="99">
        <f t="shared" ca="1" si="12"/>
        <v>0</v>
      </c>
      <c r="J122" s="99">
        <f t="shared" ca="1" si="13"/>
        <v>0</v>
      </c>
      <c r="K122" s="99">
        <f t="shared" ca="1" si="14"/>
        <v>0</v>
      </c>
      <c r="L122" s="99">
        <f ca="1">_xll.DBRW($B$9,$C$16,$C$17,L$23,L$22,$C$18,$C$19,$B122,L$24)</f>
        <v>0</v>
      </c>
      <c r="M122" s="99">
        <f ca="1">_xll.DBRW($B$9,$C$16,$C$17,L$23,L$22,$C$18,$C$19,$B122,M$24)</f>
        <v>0</v>
      </c>
      <c r="N122" s="99">
        <f ca="1">_xll.DBRW($B$9,$C$16,$C$17,L$23,L$22,$C$18,$C$19,$B122,N$24)</f>
        <v>0</v>
      </c>
      <c r="O122" s="99">
        <f ca="1">_xll.DBRW($B$9,$C$16,$C$17,O$23,L$22,$C$18,$C$19,$B122,O$24)</f>
        <v>0</v>
      </c>
      <c r="P122" s="99">
        <f ca="1">_xll.DBRW($B$9,$C$16,$C$17,O$23,L$22,$C$18,$C$19,$B122,P$24)</f>
        <v>0</v>
      </c>
      <c r="Q122" s="99">
        <f ca="1">_xll.DBRW($B$9,$C$16,$C$17,O$23,L$22,$C$18,$C$19,$B122,Q$24)</f>
        <v>0</v>
      </c>
      <c r="R122" s="99">
        <f t="shared" ca="1" si="15"/>
        <v>0</v>
      </c>
      <c r="S122" s="99">
        <f t="shared" ca="1" si="16"/>
        <v>0</v>
      </c>
      <c r="T122" s="99">
        <f t="shared" ca="1" si="17"/>
        <v>0</v>
      </c>
      <c r="U122" s="99">
        <f ca="1">_xll.DBRW($B$9,$C$16,$C$17,U$23,U$22,$C$18,$C$19,$B122,U$24)</f>
        <v>0</v>
      </c>
      <c r="V122" s="99">
        <f ca="1">_xll.DBRW($B$9,$C$16,$C$17,U$23,U$22,$C$18,$C$19,$B122,V$24)</f>
        <v>0</v>
      </c>
      <c r="W122" s="99">
        <f ca="1">_xll.DBRW($B$9,$C$16,$C$17,U$23,U$22,$C$18,$C$19,$B122,W$24)</f>
        <v>0</v>
      </c>
      <c r="X122" s="99">
        <f ca="1">_xll.DBRW($B$9,$C$16,$C$17,X$23,U$22,$C$18,$C$19,$B122,X$24)</f>
        <v>0</v>
      </c>
      <c r="Y122" s="99">
        <f ca="1">_xll.DBRW($B$9,$C$16,$C$17,X$23,U$22,$C$18,$C$19,$B122,Y$24)</f>
        <v>0</v>
      </c>
      <c r="Z122" s="99">
        <f ca="1">_xll.DBRW($B$9,$C$16,$C$17,X$23,U$22,$C$18,$C$19,$B122,Z$24)</f>
        <v>0</v>
      </c>
      <c r="AA122" s="99">
        <f t="shared" ca="1" si="18"/>
        <v>0</v>
      </c>
      <c r="AB122" s="99">
        <f t="shared" ca="1" si="19"/>
        <v>0</v>
      </c>
      <c r="AC122" s="99">
        <f t="shared" ca="1" si="20"/>
        <v>0</v>
      </c>
      <c r="AD122" s="99">
        <f ca="1">_xll.DBRW($B$9,$C$16,$C$17,AD$23,AD$22,$C$18,$C$19,$B122,AD$24)</f>
        <v>0</v>
      </c>
      <c r="AE122" s="99">
        <f ca="1">_xll.DBRW($B$9,$C$16,$C$17,AD$23,AD$22,$C$18,$C$19,$B122,AE$24)</f>
        <v>0</v>
      </c>
      <c r="AF122" s="99">
        <f ca="1">_xll.DBRW($B$9,$C$16,$C$17,AD$23,AD$22,$C$18,$C$19,$B122,AF$24)</f>
        <v>0</v>
      </c>
      <c r="AG122" s="99">
        <f ca="1">_xll.DBRW($B$9,$C$16,$C$17,AG$23,AD$22,$C$18,$C$19,$B122,AG$24)</f>
        <v>0</v>
      </c>
      <c r="AH122" s="99">
        <f ca="1">_xll.DBRW($B$9,$C$16,$C$17,AG$23,AD$22,$C$18,$C$19,$B122,AH$24)</f>
        <v>0</v>
      </c>
      <c r="AI122" s="99">
        <f ca="1">_xll.DBRW($B$9,$C$16,$C$17,AG$23,AD$22,$C$18,$C$19,$B122,AI$24)</f>
        <v>0</v>
      </c>
      <c r="AJ122" s="99">
        <f t="shared" ca="1" si="21"/>
        <v>0</v>
      </c>
      <c r="AK122" s="99">
        <f t="shared" ca="1" si="22"/>
        <v>0</v>
      </c>
      <c r="AL122" s="99">
        <f t="shared" ca="1" si="23"/>
        <v>0</v>
      </c>
    </row>
    <row r="123" spans="1:38" x14ac:dyDescent="0.25">
      <c r="A123">
        <f ca="1">IF(_xll.TM1RPTELISCONSOLIDATED($B$25,$B123),IF(_xll.TM1RPTELLEV($B$25,$B123)&lt;=3,_xll.TM1RPTELLEV($B$25,$B123),"D"),"N")</f>
        <v>1</v>
      </c>
      <c r="B123" s="133" t="s">
        <v>27</v>
      </c>
      <c r="C123" s="97">
        <f ca="1">_xll.DBRW($B$9,$C$16,$C$17,C$23,C$22,$C$18,$C$19,$B123,C$24)</f>
        <v>0</v>
      </c>
      <c r="D123" s="97">
        <f ca="1">_xll.DBRW($B$9,$C$16,$C$17,C$23,C$22,$C$18,$C$19,$B123,D$24)</f>
        <v>0</v>
      </c>
      <c r="E123" s="97">
        <f ca="1">_xll.DBRW($B$9,$C$16,$C$17,C$23,C$22,$C$18,$C$19,$B123,E$24)</f>
        <v>0</v>
      </c>
      <c r="F123" s="97">
        <f ca="1">_xll.DBRW($B$9,$C$16,$C$17,F$23,C$22,$C$18,$C$19,$B123,F$24)</f>
        <v>0</v>
      </c>
      <c r="G123" s="97">
        <f ca="1">_xll.DBRW($B$9,$C$16,$C$17,F$23,C$22,$C$18,$C$19,$B123,G$24)</f>
        <v>0</v>
      </c>
      <c r="H123" s="97">
        <f ca="1">_xll.DBRW($B$9,$C$16,$C$17,F$23,C$22,$C$18,$C$19,$B123,H$24)</f>
        <v>0</v>
      </c>
      <c r="I123" s="97">
        <f t="shared" ca="1" si="12"/>
        <v>0</v>
      </c>
      <c r="J123" s="97">
        <f t="shared" ca="1" si="13"/>
        <v>0</v>
      </c>
      <c r="K123" s="97">
        <f t="shared" ca="1" si="14"/>
        <v>0</v>
      </c>
      <c r="L123" s="97">
        <f ca="1">_xll.DBRW($B$9,$C$16,$C$17,L$23,L$22,$C$18,$C$19,$B123,L$24)</f>
        <v>0</v>
      </c>
      <c r="M123" s="97">
        <f ca="1">_xll.DBRW($B$9,$C$16,$C$17,L$23,L$22,$C$18,$C$19,$B123,M$24)</f>
        <v>0</v>
      </c>
      <c r="N123" s="97">
        <f ca="1">_xll.DBRW($B$9,$C$16,$C$17,L$23,L$22,$C$18,$C$19,$B123,N$24)</f>
        <v>0</v>
      </c>
      <c r="O123" s="97">
        <f ca="1">_xll.DBRW($B$9,$C$16,$C$17,O$23,L$22,$C$18,$C$19,$B123,O$24)</f>
        <v>0</v>
      </c>
      <c r="P123" s="97">
        <f ca="1">_xll.DBRW($B$9,$C$16,$C$17,O$23,L$22,$C$18,$C$19,$B123,P$24)</f>
        <v>0</v>
      </c>
      <c r="Q123" s="97">
        <f ca="1">_xll.DBRW($B$9,$C$16,$C$17,O$23,L$22,$C$18,$C$19,$B123,Q$24)</f>
        <v>0</v>
      </c>
      <c r="R123" s="97">
        <f t="shared" ca="1" si="15"/>
        <v>0</v>
      </c>
      <c r="S123" s="97">
        <f t="shared" ca="1" si="16"/>
        <v>0</v>
      </c>
      <c r="T123" s="97">
        <f t="shared" ca="1" si="17"/>
        <v>0</v>
      </c>
      <c r="U123" s="97">
        <f ca="1">_xll.DBRW($B$9,$C$16,$C$17,U$23,U$22,$C$18,$C$19,$B123,U$24)</f>
        <v>0</v>
      </c>
      <c r="V123" s="97">
        <f ca="1">_xll.DBRW($B$9,$C$16,$C$17,U$23,U$22,$C$18,$C$19,$B123,V$24)</f>
        <v>0</v>
      </c>
      <c r="W123" s="97">
        <f ca="1">_xll.DBRW($B$9,$C$16,$C$17,U$23,U$22,$C$18,$C$19,$B123,W$24)</f>
        <v>0</v>
      </c>
      <c r="X123" s="97">
        <f ca="1">_xll.DBRW($B$9,$C$16,$C$17,X$23,U$22,$C$18,$C$19,$B123,X$24)</f>
        <v>0</v>
      </c>
      <c r="Y123" s="97">
        <f ca="1">_xll.DBRW($B$9,$C$16,$C$17,X$23,U$22,$C$18,$C$19,$B123,Y$24)</f>
        <v>0</v>
      </c>
      <c r="Z123" s="97">
        <f ca="1">_xll.DBRW($B$9,$C$16,$C$17,X$23,U$22,$C$18,$C$19,$B123,Z$24)</f>
        <v>0</v>
      </c>
      <c r="AA123" s="97">
        <f t="shared" ca="1" si="18"/>
        <v>0</v>
      </c>
      <c r="AB123" s="97">
        <f t="shared" ca="1" si="19"/>
        <v>0</v>
      </c>
      <c r="AC123" s="97">
        <f t="shared" ca="1" si="20"/>
        <v>0</v>
      </c>
      <c r="AD123" s="97">
        <f ca="1">_xll.DBRW($B$9,$C$16,$C$17,AD$23,AD$22,$C$18,$C$19,$B123,AD$24)</f>
        <v>0</v>
      </c>
      <c r="AE123" s="97">
        <f ca="1">_xll.DBRW($B$9,$C$16,$C$17,AD$23,AD$22,$C$18,$C$19,$B123,AE$24)</f>
        <v>0</v>
      </c>
      <c r="AF123" s="97">
        <f ca="1">_xll.DBRW($B$9,$C$16,$C$17,AD$23,AD$22,$C$18,$C$19,$B123,AF$24)</f>
        <v>0</v>
      </c>
      <c r="AG123" s="97">
        <f ca="1">_xll.DBRW($B$9,$C$16,$C$17,AG$23,AD$22,$C$18,$C$19,$B123,AG$24)</f>
        <v>0</v>
      </c>
      <c r="AH123" s="97">
        <f ca="1">_xll.DBRW($B$9,$C$16,$C$17,AG$23,AD$22,$C$18,$C$19,$B123,AH$24)</f>
        <v>0</v>
      </c>
      <c r="AI123" s="97">
        <f ca="1">_xll.DBRW($B$9,$C$16,$C$17,AG$23,AD$22,$C$18,$C$19,$B123,AI$24)</f>
        <v>0</v>
      </c>
      <c r="AJ123" s="97">
        <f t="shared" ca="1" si="21"/>
        <v>0</v>
      </c>
      <c r="AK123" s="97">
        <f t="shared" ca="1" si="22"/>
        <v>0</v>
      </c>
      <c r="AL123" s="97">
        <f t="shared" ca="1" si="23"/>
        <v>0</v>
      </c>
    </row>
    <row r="124" spans="1:38" x14ac:dyDescent="0.25">
      <c r="A124">
        <f ca="1">IF(_xll.TM1RPTELISCONSOLIDATED($B$25,$B124),IF(_xll.TM1RPTELLEV($B$25,$B124)&lt;=3,_xll.TM1RPTELLEV($B$25,$B124),"D"),"N")</f>
        <v>2</v>
      </c>
      <c r="B124" s="135" t="s">
        <v>132</v>
      </c>
      <c r="C124" s="99">
        <f ca="1">_xll.DBRW($B$9,$C$16,$C$17,C$23,C$22,$C$18,$C$19,$B124,C$24)</f>
        <v>0</v>
      </c>
      <c r="D124" s="99">
        <f ca="1">_xll.DBRW($B$9,$C$16,$C$17,C$23,C$22,$C$18,$C$19,$B124,D$24)</f>
        <v>0</v>
      </c>
      <c r="E124" s="99">
        <f ca="1">_xll.DBRW($B$9,$C$16,$C$17,C$23,C$22,$C$18,$C$19,$B124,E$24)</f>
        <v>0</v>
      </c>
      <c r="F124" s="99">
        <f ca="1">_xll.DBRW($B$9,$C$16,$C$17,F$23,C$22,$C$18,$C$19,$B124,F$24)</f>
        <v>0</v>
      </c>
      <c r="G124" s="99">
        <f ca="1">_xll.DBRW($B$9,$C$16,$C$17,F$23,C$22,$C$18,$C$19,$B124,G$24)</f>
        <v>0</v>
      </c>
      <c r="H124" s="99">
        <f ca="1">_xll.DBRW($B$9,$C$16,$C$17,F$23,C$22,$C$18,$C$19,$B124,H$24)</f>
        <v>0</v>
      </c>
      <c r="I124" s="99">
        <f t="shared" ca="1" si="12"/>
        <v>0</v>
      </c>
      <c r="J124" s="99">
        <f t="shared" ca="1" si="13"/>
        <v>0</v>
      </c>
      <c r="K124" s="99">
        <f t="shared" ca="1" si="14"/>
        <v>0</v>
      </c>
      <c r="L124" s="99">
        <f ca="1">_xll.DBRW($B$9,$C$16,$C$17,L$23,L$22,$C$18,$C$19,$B124,L$24)</f>
        <v>0</v>
      </c>
      <c r="M124" s="99">
        <f ca="1">_xll.DBRW($B$9,$C$16,$C$17,L$23,L$22,$C$18,$C$19,$B124,M$24)</f>
        <v>0</v>
      </c>
      <c r="N124" s="99">
        <f ca="1">_xll.DBRW($B$9,$C$16,$C$17,L$23,L$22,$C$18,$C$19,$B124,N$24)</f>
        <v>0</v>
      </c>
      <c r="O124" s="99">
        <f ca="1">_xll.DBRW($B$9,$C$16,$C$17,O$23,L$22,$C$18,$C$19,$B124,O$24)</f>
        <v>0</v>
      </c>
      <c r="P124" s="99">
        <f ca="1">_xll.DBRW($B$9,$C$16,$C$17,O$23,L$22,$C$18,$C$19,$B124,P$24)</f>
        <v>0</v>
      </c>
      <c r="Q124" s="99">
        <f ca="1">_xll.DBRW($B$9,$C$16,$C$17,O$23,L$22,$C$18,$C$19,$B124,Q$24)</f>
        <v>0</v>
      </c>
      <c r="R124" s="99">
        <f t="shared" ca="1" si="15"/>
        <v>0</v>
      </c>
      <c r="S124" s="99">
        <f t="shared" ca="1" si="16"/>
        <v>0</v>
      </c>
      <c r="T124" s="99">
        <f t="shared" ca="1" si="17"/>
        <v>0</v>
      </c>
      <c r="U124" s="99">
        <f ca="1">_xll.DBRW($B$9,$C$16,$C$17,U$23,U$22,$C$18,$C$19,$B124,U$24)</f>
        <v>0</v>
      </c>
      <c r="V124" s="99">
        <f ca="1">_xll.DBRW($B$9,$C$16,$C$17,U$23,U$22,$C$18,$C$19,$B124,V$24)</f>
        <v>0</v>
      </c>
      <c r="W124" s="99">
        <f ca="1">_xll.DBRW($B$9,$C$16,$C$17,U$23,U$22,$C$18,$C$19,$B124,W$24)</f>
        <v>0</v>
      </c>
      <c r="X124" s="99">
        <f ca="1">_xll.DBRW($B$9,$C$16,$C$17,X$23,U$22,$C$18,$C$19,$B124,X$24)</f>
        <v>0</v>
      </c>
      <c r="Y124" s="99">
        <f ca="1">_xll.DBRW($B$9,$C$16,$C$17,X$23,U$22,$C$18,$C$19,$B124,Y$24)</f>
        <v>0</v>
      </c>
      <c r="Z124" s="99">
        <f ca="1">_xll.DBRW($B$9,$C$16,$C$17,X$23,U$22,$C$18,$C$19,$B124,Z$24)</f>
        <v>0</v>
      </c>
      <c r="AA124" s="99">
        <f t="shared" ca="1" si="18"/>
        <v>0</v>
      </c>
      <c r="AB124" s="99">
        <f t="shared" ca="1" si="19"/>
        <v>0</v>
      </c>
      <c r="AC124" s="99">
        <f t="shared" ca="1" si="20"/>
        <v>0</v>
      </c>
      <c r="AD124" s="99">
        <f ca="1">_xll.DBRW($B$9,$C$16,$C$17,AD$23,AD$22,$C$18,$C$19,$B124,AD$24)</f>
        <v>0</v>
      </c>
      <c r="AE124" s="99">
        <f ca="1">_xll.DBRW($B$9,$C$16,$C$17,AD$23,AD$22,$C$18,$C$19,$B124,AE$24)</f>
        <v>0</v>
      </c>
      <c r="AF124" s="99">
        <f ca="1">_xll.DBRW($B$9,$C$16,$C$17,AD$23,AD$22,$C$18,$C$19,$B124,AF$24)</f>
        <v>0</v>
      </c>
      <c r="AG124" s="99">
        <f ca="1">_xll.DBRW($B$9,$C$16,$C$17,AG$23,AD$22,$C$18,$C$19,$B124,AG$24)</f>
        <v>0</v>
      </c>
      <c r="AH124" s="99">
        <f ca="1">_xll.DBRW($B$9,$C$16,$C$17,AG$23,AD$22,$C$18,$C$19,$B124,AH$24)</f>
        <v>0</v>
      </c>
      <c r="AI124" s="99">
        <f ca="1">_xll.DBRW($B$9,$C$16,$C$17,AG$23,AD$22,$C$18,$C$19,$B124,AI$24)</f>
        <v>0</v>
      </c>
      <c r="AJ124" s="99">
        <f t="shared" ca="1" si="21"/>
        <v>0</v>
      </c>
      <c r="AK124" s="99">
        <f t="shared" ca="1" si="22"/>
        <v>0</v>
      </c>
      <c r="AL124" s="99">
        <f t="shared" ca="1" si="23"/>
        <v>0</v>
      </c>
    </row>
    <row r="125" spans="1:38" x14ac:dyDescent="0.25">
      <c r="A125">
        <f ca="1">IF(_xll.TM1RPTELISCONSOLIDATED($B$25,$B125),IF(_xll.TM1RPTELLEV($B$25,$B125)&lt;=3,_xll.TM1RPTELLEV($B$25,$B125),"D"),"N")</f>
        <v>3</v>
      </c>
      <c r="B125" s="136" t="s">
        <v>133</v>
      </c>
      <c r="C125" s="100">
        <f ca="1">_xll.DBRW($B$9,$C$16,$C$17,C$23,C$22,$C$18,$C$19,$B125,C$24)</f>
        <v>0</v>
      </c>
      <c r="D125" s="100">
        <f ca="1">_xll.DBRW($B$9,$C$16,$C$17,C$23,C$22,$C$18,$C$19,$B125,D$24)</f>
        <v>0</v>
      </c>
      <c r="E125" s="100">
        <f ca="1">_xll.DBRW($B$9,$C$16,$C$17,C$23,C$22,$C$18,$C$19,$B125,E$24)</f>
        <v>0</v>
      </c>
      <c r="F125" s="100">
        <f ca="1">_xll.DBRW($B$9,$C$16,$C$17,F$23,C$22,$C$18,$C$19,$B125,F$24)</f>
        <v>0</v>
      </c>
      <c r="G125" s="100">
        <f ca="1">_xll.DBRW($B$9,$C$16,$C$17,F$23,C$22,$C$18,$C$19,$B125,G$24)</f>
        <v>0</v>
      </c>
      <c r="H125" s="100">
        <f ca="1">_xll.DBRW($B$9,$C$16,$C$17,F$23,C$22,$C$18,$C$19,$B125,H$24)</f>
        <v>0</v>
      </c>
      <c r="I125" s="100">
        <f t="shared" ca="1" si="12"/>
        <v>0</v>
      </c>
      <c r="J125" s="100">
        <f t="shared" ca="1" si="13"/>
        <v>0</v>
      </c>
      <c r="K125" s="100">
        <f t="shared" ca="1" si="14"/>
        <v>0</v>
      </c>
      <c r="L125" s="100">
        <f ca="1">_xll.DBRW($B$9,$C$16,$C$17,L$23,L$22,$C$18,$C$19,$B125,L$24)</f>
        <v>0</v>
      </c>
      <c r="M125" s="100">
        <f ca="1">_xll.DBRW($B$9,$C$16,$C$17,L$23,L$22,$C$18,$C$19,$B125,M$24)</f>
        <v>0</v>
      </c>
      <c r="N125" s="100">
        <f ca="1">_xll.DBRW($B$9,$C$16,$C$17,L$23,L$22,$C$18,$C$19,$B125,N$24)</f>
        <v>0</v>
      </c>
      <c r="O125" s="100">
        <f ca="1">_xll.DBRW($B$9,$C$16,$C$17,O$23,L$22,$C$18,$C$19,$B125,O$24)</f>
        <v>0</v>
      </c>
      <c r="P125" s="100">
        <f ca="1">_xll.DBRW($B$9,$C$16,$C$17,O$23,L$22,$C$18,$C$19,$B125,P$24)</f>
        <v>0</v>
      </c>
      <c r="Q125" s="100">
        <f ca="1">_xll.DBRW($B$9,$C$16,$C$17,O$23,L$22,$C$18,$C$19,$B125,Q$24)</f>
        <v>0</v>
      </c>
      <c r="R125" s="100">
        <f t="shared" ca="1" si="15"/>
        <v>0</v>
      </c>
      <c r="S125" s="100">
        <f t="shared" ca="1" si="16"/>
        <v>0</v>
      </c>
      <c r="T125" s="100">
        <f t="shared" ca="1" si="17"/>
        <v>0</v>
      </c>
      <c r="U125" s="100">
        <f ca="1">_xll.DBRW($B$9,$C$16,$C$17,U$23,U$22,$C$18,$C$19,$B125,U$24)</f>
        <v>0</v>
      </c>
      <c r="V125" s="100">
        <f ca="1">_xll.DBRW($B$9,$C$16,$C$17,U$23,U$22,$C$18,$C$19,$B125,V$24)</f>
        <v>0</v>
      </c>
      <c r="W125" s="100">
        <f ca="1">_xll.DBRW($B$9,$C$16,$C$17,U$23,U$22,$C$18,$C$19,$B125,W$24)</f>
        <v>0</v>
      </c>
      <c r="X125" s="100">
        <f ca="1">_xll.DBRW($B$9,$C$16,$C$17,X$23,U$22,$C$18,$C$19,$B125,X$24)</f>
        <v>0</v>
      </c>
      <c r="Y125" s="100">
        <f ca="1">_xll.DBRW($B$9,$C$16,$C$17,X$23,U$22,$C$18,$C$19,$B125,Y$24)</f>
        <v>0</v>
      </c>
      <c r="Z125" s="100">
        <f ca="1">_xll.DBRW($B$9,$C$16,$C$17,X$23,U$22,$C$18,$C$19,$B125,Z$24)</f>
        <v>0</v>
      </c>
      <c r="AA125" s="100">
        <f t="shared" ca="1" si="18"/>
        <v>0</v>
      </c>
      <c r="AB125" s="100">
        <f t="shared" ca="1" si="19"/>
        <v>0</v>
      </c>
      <c r="AC125" s="100">
        <f t="shared" ca="1" si="20"/>
        <v>0</v>
      </c>
      <c r="AD125" s="100">
        <f ca="1">_xll.DBRW($B$9,$C$16,$C$17,AD$23,AD$22,$C$18,$C$19,$B125,AD$24)</f>
        <v>0</v>
      </c>
      <c r="AE125" s="100">
        <f ca="1">_xll.DBRW($B$9,$C$16,$C$17,AD$23,AD$22,$C$18,$C$19,$B125,AE$24)</f>
        <v>0</v>
      </c>
      <c r="AF125" s="100">
        <f ca="1">_xll.DBRW($B$9,$C$16,$C$17,AD$23,AD$22,$C$18,$C$19,$B125,AF$24)</f>
        <v>0</v>
      </c>
      <c r="AG125" s="100">
        <f ca="1">_xll.DBRW($B$9,$C$16,$C$17,AG$23,AD$22,$C$18,$C$19,$B125,AG$24)</f>
        <v>0</v>
      </c>
      <c r="AH125" s="100">
        <f ca="1">_xll.DBRW($B$9,$C$16,$C$17,AG$23,AD$22,$C$18,$C$19,$B125,AH$24)</f>
        <v>0</v>
      </c>
      <c r="AI125" s="100">
        <f ca="1">_xll.DBRW($B$9,$C$16,$C$17,AG$23,AD$22,$C$18,$C$19,$B125,AI$24)</f>
        <v>0</v>
      </c>
      <c r="AJ125" s="100">
        <f t="shared" ca="1" si="21"/>
        <v>0</v>
      </c>
      <c r="AK125" s="100">
        <f t="shared" ca="1" si="22"/>
        <v>0</v>
      </c>
      <c r="AL125" s="100">
        <f t="shared" ca="1" si="23"/>
        <v>0</v>
      </c>
    </row>
    <row r="126" spans="1:38" x14ac:dyDescent="0.25">
      <c r="A126">
        <f ca="1">IF(_xll.TM1RPTELISCONSOLIDATED($B$25,$B126),IF(_xll.TM1RPTELLEV($B$25,$B126)&lt;=3,_xll.TM1RPTELLEV($B$25,$B126),"D"),"N")</f>
        <v>3</v>
      </c>
      <c r="B126" s="136" t="s">
        <v>134</v>
      </c>
      <c r="C126" s="100">
        <f ca="1">_xll.DBRW($B$9,$C$16,$C$17,C$23,C$22,$C$18,$C$19,$B126,C$24)</f>
        <v>0</v>
      </c>
      <c r="D126" s="100">
        <f ca="1">_xll.DBRW($B$9,$C$16,$C$17,C$23,C$22,$C$18,$C$19,$B126,D$24)</f>
        <v>0</v>
      </c>
      <c r="E126" s="100">
        <f ca="1">_xll.DBRW($B$9,$C$16,$C$17,C$23,C$22,$C$18,$C$19,$B126,E$24)</f>
        <v>0</v>
      </c>
      <c r="F126" s="100">
        <f ca="1">_xll.DBRW($B$9,$C$16,$C$17,F$23,C$22,$C$18,$C$19,$B126,F$24)</f>
        <v>0</v>
      </c>
      <c r="G126" s="100">
        <f ca="1">_xll.DBRW($B$9,$C$16,$C$17,F$23,C$22,$C$18,$C$19,$B126,G$24)</f>
        <v>0</v>
      </c>
      <c r="H126" s="100">
        <f ca="1">_xll.DBRW($B$9,$C$16,$C$17,F$23,C$22,$C$18,$C$19,$B126,H$24)</f>
        <v>0</v>
      </c>
      <c r="I126" s="100">
        <f t="shared" ca="1" si="12"/>
        <v>0</v>
      </c>
      <c r="J126" s="100">
        <f t="shared" ca="1" si="13"/>
        <v>0</v>
      </c>
      <c r="K126" s="100">
        <f t="shared" ca="1" si="14"/>
        <v>0</v>
      </c>
      <c r="L126" s="100">
        <f ca="1">_xll.DBRW($B$9,$C$16,$C$17,L$23,L$22,$C$18,$C$19,$B126,L$24)</f>
        <v>0</v>
      </c>
      <c r="M126" s="100">
        <f ca="1">_xll.DBRW($B$9,$C$16,$C$17,L$23,L$22,$C$18,$C$19,$B126,M$24)</f>
        <v>0</v>
      </c>
      <c r="N126" s="100">
        <f ca="1">_xll.DBRW($B$9,$C$16,$C$17,L$23,L$22,$C$18,$C$19,$B126,N$24)</f>
        <v>0</v>
      </c>
      <c r="O126" s="100">
        <f ca="1">_xll.DBRW($B$9,$C$16,$C$17,O$23,L$22,$C$18,$C$19,$B126,O$24)</f>
        <v>0</v>
      </c>
      <c r="P126" s="100">
        <f ca="1">_xll.DBRW($B$9,$C$16,$C$17,O$23,L$22,$C$18,$C$19,$B126,P$24)</f>
        <v>0</v>
      </c>
      <c r="Q126" s="100">
        <f ca="1">_xll.DBRW($B$9,$C$16,$C$17,O$23,L$22,$C$18,$C$19,$B126,Q$24)</f>
        <v>0</v>
      </c>
      <c r="R126" s="100">
        <f t="shared" ca="1" si="15"/>
        <v>0</v>
      </c>
      <c r="S126" s="100">
        <f t="shared" ca="1" si="16"/>
        <v>0</v>
      </c>
      <c r="T126" s="100">
        <f t="shared" ca="1" si="17"/>
        <v>0</v>
      </c>
      <c r="U126" s="100">
        <f ca="1">_xll.DBRW($B$9,$C$16,$C$17,U$23,U$22,$C$18,$C$19,$B126,U$24)</f>
        <v>0</v>
      </c>
      <c r="V126" s="100">
        <f ca="1">_xll.DBRW($B$9,$C$16,$C$17,U$23,U$22,$C$18,$C$19,$B126,V$24)</f>
        <v>0</v>
      </c>
      <c r="W126" s="100">
        <f ca="1">_xll.DBRW($B$9,$C$16,$C$17,U$23,U$22,$C$18,$C$19,$B126,W$24)</f>
        <v>0</v>
      </c>
      <c r="X126" s="100">
        <f ca="1">_xll.DBRW($B$9,$C$16,$C$17,X$23,U$22,$C$18,$C$19,$B126,X$24)</f>
        <v>0</v>
      </c>
      <c r="Y126" s="100">
        <f ca="1">_xll.DBRW($B$9,$C$16,$C$17,X$23,U$22,$C$18,$C$19,$B126,Y$24)</f>
        <v>0</v>
      </c>
      <c r="Z126" s="100">
        <f ca="1">_xll.DBRW($B$9,$C$16,$C$17,X$23,U$22,$C$18,$C$19,$B126,Z$24)</f>
        <v>0</v>
      </c>
      <c r="AA126" s="100">
        <f t="shared" ca="1" si="18"/>
        <v>0</v>
      </c>
      <c r="AB126" s="100">
        <f t="shared" ca="1" si="19"/>
        <v>0</v>
      </c>
      <c r="AC126" s="100">
        <f t="shared" ca="1" si="20"/>
        <v>0</v>
      </c>
      <c r="AD126" s="100">
        <f ca="1">_xll.DBRW($B$9,$C$16,$C$17,AD$23,AD$22,$C$18,$C$19,$B126,AD$24)</f>
        <v>0</v>
      </c>
      <c r="AE126" s="100">
        <f ca="1">_xll.DBRW($B$9,$C$16,$C$17,AD$23,AD$22,$C$18,$C$19,$B126,AE$24)</f>
        <v>0</v>
      </c>
      <c r="AF126" s="100">
        <f ca="1">_xll.DBRW($B$9,$C$16,$C$17,AD$23,AD$22,$C$18,$C$19,$B126,AF$24)</f>
        <v>0</v>
      </c>
      <c r="AG126" s="100">
        <f ca="1">_xll.DBRW($B$9,$C$16,$C$17,AG$23,AD$22,$C$18,$C$19,$B126,AG$24)</f>
        <v>0</v>
      </c>
      <c r="AH126" s="100">
        <f ca="1">_xll.DBRW($B$9,$C$16,$C$17,AG$23,AD$22,$C$18,$C$19,$B126,AH$24)</f>
        <v>0</v>
      </c>
      <c r="AI126" s="100">
        <f ca="1">_xll.DBRW($B$9,$C$16,$C$17,AG$23,AD$22,$C$18,$C$19,$B126,AI$24)</f>
        <v>0</v>
      </c>
      <c r="AJ126" s="100">
        <f t="shared" ca="1" si="21"/>
        <v>0</v>
      </c>
      <c r="AK126" s="100">
        <f t="shared" ca="1" si="22"/>
        <v>0</v>
      </c>
      <c r="AL126" s="100">
        <f t="shared" ca="1" si="23"/>
        <v>0</v>
      </c>
    </row>
    <row r="127" spans="1:38" x14ac:dyDescent="0.25">
      <c r="A127">
        <f ca="1">IF(_xll.TM1RPTELISCONSOLIDATED($B$25,$B127),IF(_xll.TM1RPTELLEV($B$25,$B127)&lt;=3,_xll.TM1RPTELLEV($B$25,$B127),"D"),"N")</f>
        <v>3</v>
      </c>
      <c r="B127" s="136" t="s">
        <v>135</v>
      </c>
      <c r="C127" s="100">
        <f ca="1">_xll.DBRW($B$9,$C$16,$C$17,C$23,C$22,$C$18,$C$19,$B127,C$24)</f>
        <v>0</v>
      </c>
      <c r="D127" s="100">
        <f ca="1">_xll.DBRW($B$9,$C$16,$C$17,C$23,C$22,$C$18,$C$19,$B127,D$24)</f>
        <v>0</v>
      </c>
      <c r="E127" s="100">
        <f ca="1">_xll.DBRW($B$9,$C$16,$C$17,C$23,C$22,$C$18,$C$19,$B127,E$24)</f>
        <v>0</v>
      </c>
      <c r="F127" s="100">
        <f ca="1">_xll.DBRW($B$9,$C$16,$C$17,F$23,C$22,$C$18,$C$19,$B127,F$24)</f>
        <v>0</v>
      </c>
      <c r="G127" s="100">
        <f ca="1">_xll.DBRW($B$9,$C$16,$C$17,F$23,C$22,$C$18,$C$19,$B127,G$24)</f>
        <v>0</v>
      </c>
      <c r="H127" s="100">
        <f ca="1">_xll.DBRW($B$9,$C$16,$C$17,F$23,C$22,$C$18,$C$19,$B127,H$24)</f>
        <v>0</v>
      </c>
      <c r="I127" s="100">
        <f t="shared" ca="1" si="12"/>
        <v>0</v>
      </c>
      <c r="J127" s="100">
        <f t="shared" ca="1" si="13"/>
        <v>0</v>
      </c>
      <c r="K127" s="100">
        <f t="shared" ca="1" si="14"/>
        <v>0</v>
      </c>
      <c r="L127" s="100">
        <f ca="1">_xll.DBRW($B$9,$C$16,$C$17,L$23,L$22,$C$18,$C$19,$B127,L$24)</f>
        <v>0</v>
      </c>
      <c r="M127" s="100">
        <f ca="1">_xll.DBRW($B$9,$C$16,$C$17,L$23,L$22,$C$18,$C$19,$B127,M$24)</f>
        <v>0</v>
      </c>
      <c r="N127" s="100">
        <f ca="1">_xll.DBRW($B$9,$C$16,$C$17,L$23,L$22,$C$18,$C$19,$B127,N$24)</f>
        <v>0</v>
      </c>
      <c r="O127" s="100">
        <f ca="1">_xll.DBRW($B$9,$C$16,$C$17,O$23,L$22,$C$18,$C$19,$B127,O$24)</f>
        <v>0</v>
      </c>
      <c r="P127" s="100">
        <f ca="1">_xll.DBRW($B$9,$C$16,$C$17,O$23,L$22,$C$18,$C$19,$B127,P$24)</f>
        <v>0</v>
      </c>
      <c r="Q127" s="100">
        <f ca="1">_xll.DBRW($B$9,$C$16,$C$17,O$23,L$22,$C$18,$C$19,$B127,Q$24)</f>
        <v>0</v>
      </c>
      <c r="R127" s="100">
        <f t="shared" ca="1" si="15"/>
        <v>0</v>
      </c>
      <c r="S127" s="100">
        <f t="shared" ca="1" si="16"/>
        <v>0</v>
      </c>
      <c r="T127" s="100">
        <f t="shared" ca="1" si="17"/>
        <v>0</v>
      </c>
      <c r="U127" s="100">
        <f ca="1">_xll.DBRW($B$9,$C$16,$C$17,U$23,U$22,$C$18,$C$19,$B127,U$24)</f>
        <v>0</v>
      </c>
      <c r="V127" s="100">
        <f ca="1">_xll.DBRW($B$9,$C$16,$C$17,U$23,U$22,$C$18,$C$19,$B127,V$24)</f>
        <v>0</v>
      </c>
      <c r="W127" s="100">
        <f ca="1">_xll.DBRW($B$9,$C$16,$C$17,U$23,U$22,$C$18,$C$19,$B127,W$24)</f>
        <v>0</v>
      </c>
      <c r="X127" s="100">
        <f ca="1">_xll.DBRW($B$9,$C$16,$C$17,X$23,U$22,$C$18,$C$19,$B127,X$24)</f>
        <v>0</v>
      </c>
      <c r="Y127" s="100">
        <f ca="1">_xll.DBRW($B$9,$C$16,$C$17,X$23,U$22,$C$18,$C$19,$B127,Y$24)</f>
        <v>0</v>
      </c>
      <c r="Z127" s="100">
        <f ca="1">_xll.DBRW($B$9,$C$16,$C$17,X$23,U$22,$C$18,$C$19,$B127,Z$24)</f>
        <v>0</v>
      </c>
      <c r="AA127" s="100">
        <f t="shared" ca="1" si="18"/>
        <v>0</v>
      </c>
      <c r="AB127" s="100">
        <f t="shared" ca="1" si="19"/>
        <v>0</v>
      </c>
      <c r="AC127" s="100">
        <f t="shared" ca="1" si="20"/>
        <v>0</v>
      </c>
      <c r="AD127" s="100">
        <f ca="1">_xll.DBRW($B$9,$C$16,$C$17,AD$23,AD$22,$C$18,$C$19,$B127,AD$24)</f>
        <v>0</v>
      </c>
      <c r="AE127" s="100">
        <f ca="1">_xll.DBRW($B$9,$C$16,$C$17,AD$23,AD$22,$C$18,$C$19,$B127,AE$24)</f>
        <v>0</v>
      </c>
      <c r="AF127" s="100">
        <f ca="1">_xll.DBRW($B$9,$C$16,$C$17,AD$23,AD$22,$C$18,$C$19,$B127,AF$24)</f>
        <v>0</v>
      </c>
      <c r="AG127" s="100">
        <f ca="1">_xll.DBRW($B$9,$C$16,$C$17,AG$23,AD$22,$C$18,$C$19,$B127,AG$24)</f>
        <v>0</v>
      </c>
      <c r="AH127" s="100">
        <f ca="1">_xll.DBRW($B$9,$C$16,$C$17,AG$23,AD$22,$C$18,$C$19,$B127,AH$24)</f>
        <v>0</v>
      </c>
      <c r="AI127" s="100">
        <f ca="1">_xll.DBRW($B$9,$C$16,$C$17,AG$23,AD$22,$C$18,$C$19,$B127,AI$24)</f>
        <v>0</v>
      </c>
      <c r="AJ127" s="100">
        <f t="shared" ca="1" si="21"/>
        <v>0</v>
      </c>
      <c r="AK127" s="100">
        <f t="shared" ca="1" si="22"/>
        <v>0</v>
      </c>
      <c r="AL127" s="100">
        <f t="shared" ca="1" si="23"/>
        <v>0</v>
      </c>
    </row>
    <row r="128" spans="1:38" x14ac:dyDescent="0.25">
      <c r="A128">
        <f ca="1">IF(_xll.TM1RPTELISCONSOLIDATED($B$25,$B128),IF(_xll.TM1RPTELLEV($B$25,$B128)&lt;=3,_xll.TM1RPTELLEV($B$25,$B128),"D"),"N")</f>
        <v>3</v>
      </c>
      <c r="B128" s="136" t="s">
        <v>136</v>
      </c>
      <c r="C128" s="100">
        <f ca="1">_xll.DBRW($B$9,$C$16,$C$17,C$23,C$22,$C$18,$C$19,$B128,C$24)</f>
        <v>0</v>
      </c>
      <c r="D128" s="100">
        <f ca="1">_xll.DBRW($B$9,$C$16,$C$17,C$23,C$22,$C$18,$C$19,$B128,D$24)</f>
        <v>0</v>
      </c>
      <c r="E128" s="100">
        <f ca="1">_xll.DBRW($B$9,$C$16,$C$17,C$23,C$22,$C$18,$C$19,$B128,E$24)</f>
        <v>0</v>
      </c>
      <c r="F128" s="100">
        <f ca="1">_xll.DBRW($B$9,$C$16,$C$17,F$23,C$22,$C$18,$C$19,$B128,F$24)</f>
        <v>0</v>
      </c>
      <c r="G128" s="100">
        <f ca="1">_xll.DBRW($B$9,$C$16,$C$17,F$23,C$22,$C$18,$C$19,$B128,G$24)</f>
        <v>0</v>
      </c>
      <c r="H128" s="100">
        <f ca="1">_xll.DBRW($B$9,$C$16,$C$17,F$23,C$22,$C$18,$C$19,$B128,H$24)</f>
        <v>0</v>
      </c>
      <c r="I128" s="100">
        <f t="shared" ca="1" si="12"/>
        <v>0</v>
      </c>
      <c r="J128" s="100">
        <f t="shared" ca="1" si="13"/>
        <v>0</v>
      </c>
      <c r="K128" s="100">
        <f t="shared" ca="1" si="14"/>
        <v>0</v>
      </c>
      <c r="L128" s="100">
        <f ca="1">_xll.DBRW($B$9,$C$16,$C$17,L$23,L$22,$C$18,$C$19,$B128,L$24)</f>
        <v>0</v>
      </c>
      <c r="M128" s="100">
        <f ca="1">_xll.DBRW($B$9,$C$16,$C$17,L$23,L$22,$C$18,$C$19,$B128,M$24)</f>
        <v>0</v>
      </c>
      <c r="N128" s="100">
        <f ca="1">_xll.DBRW($B$9,$C$16,$C$17,L$23,L$22,$C$18,$C$19,$B128,N$24)</f>
        <v>0</v>
      </c>
      <c r="O128" s="100">
        <f ca="1">_xll.DBRW($B$9,$C$16,$C$17,O$23,L$22,$C$18,$C$19,$B128,O$24)</f>
        <v>0</v>
      </c>
      <c r="P128" s="100">
        <f ca="1">_xll.DBRW($B$9,$C$16,$C$17,O$23,L$22,$C$18,$C$19,$B128,P$24)</f>
        <v>0</v>
      </c>
      <c r="Q128" s="100">
        <f ca="1">_xll.DBRW($B$9,$C$16,$C$17,O$23,L$22,$C$18,$C$19,$B128,Q$24)</f>
        <v>0</v>
      </c>
      <c r="R128" s="100">
        <f t="shared" ca="1" si="15"/>
        <v>0</v>
      </c>
      <c r="S128" s="100">
        <f t="shared" ca="1" si="16"/>
        <v>0</v>
      </c>
      <c r="T128" s="100">
        <f t="shared" ca="1" si="17"/>
        <v>0</v>
      </c>
      <c r="U128" s="100">
        <f ca="1">_xll.DBRW($B$9,$C$16,$C$17,U$23,U$22,$C$18,$C$19,$B128,U$24)</f>
        <v>0</v>
      </c>
      <c r="V128" s="100">
        <f ca="1">_xll.DBRW($B$9,$C$16,$C$17,U$23,U$22,$C$18,$C$19,$B128,V$24)</f>
        <v>0</v>
      </c>
      <c r="W128" s="100">
        <f ca="1">_xll.DBRW($B$9,$C$16,$C$17,U$23,U$22,$C$18,$C$19,$B128,W$24)</f>
        <v>0</v>
      </c>
      <c r="X128" s="100">
        <f ca="1">_xll.DBRW($B$9,$C$16,$C$17,X$23,U$22,$C$18,$C$19,$B128,X$24)</f>
        <v>0</v>
      </c>
      <c r="Y128" s="100">
        <f ca="1">_xll.DBRW($B$9,$C$16,$C$17,X$23,U$22,$C$18,$C$19,$B128,Y$24)</f>
        <v>0</v>
      </c>
      <c r="Z128" s="100">
        <f ca="1">_xll.DBRW($B$9,$C$16,$C$17,X$23,U$22,$C$18,$C$19,$B128,Z$24)</f>
        <v>0</v>
      </c>
      <c r="AA128" s="100">
        <f t="shared" ca="1" si="18"/>
        <v>0</v>
      </c>
      <c r="AB128" s="100">
        <f t="shared" ca="1" si="19"/>
        <v>0</v>
      </c>
      <c r="AC128" s="100">
        <f t="shared" ca="1" si="20"/>
        <v>0</v>
      </c>
      <c r="AD128" s="100">
        <f ca="1">_xll.DBRW($B$9,$C$16,$C$17,AD$23,AD$22,$C$18,$C$19,$B128,AD$24)</f>
        <v>0</v>
      </c>
      <c r="AE128" s="100">
        <f ca="1">_xll.DBRW($B$9,$C$16,$C$17,AD$23,AD$22,$C$18,$C$19,$B128,AE$24)</f>
        <v>0</v>
      </c>
      <c r="AF128" s="100">
        <f ca="1">_xll.DBRW($B$9,$C$16,$C$17,AD$23,AD$22,$C$18,$C$19,$B128,AF$24)</f>
        <v>0</v>
      </c>
      <c r="AG128" s="100">
        <f ca="1">_xll.DBRW($B$9,$C$16,$C$17,AG$23,AD$22,$C$18,$C$19,$B128,AG$24)</f>
        <v>0</v>
      </c>
      <c r="AH128" s="100">
        <f ca="1">_xll.DBRW($B$9,$C$16,$C$17,AG$23,AD$22,$C$18,$C$19,$B128,AH$24)</f>
        <v>0</v>
      </c>
      <c r="AI128" s="100">
        <f ca="1">_xll.DBRW($B$9,$C$16,$C$17,AG$23,AD$22,$C$18,$C$19,$B128,AI$24)</f>
        <v>0</v>
      </c>
      <c r="AJ128" s="100">
        <f t="shared" ca="1" si="21"/>
        <v>0</v>
      </c>
      <c r="AK128" s="100">
        <f t="shared" ca="1" si="22"/>
        <v>0</v>
      </c>
      <c r="AL128" s="100">
        <f t="shared" ca="1" si="23"/>
        <v>0</v>
      </c>
    </row>
    <row r="129" spans="1:38" x14ac:dyDescent="0.25">
      <c r="A129">
        <f ca="1">IF(_xll.TM1RPTELISCONSOLIDATED($B$25,$B129),IF(_xll.TM1RPTELLEV($B$25,$B129)&lt;=3,_xll.TM1RPTELLEV($B$25,$B129),"D"),"N")</f>
        <v>3</v>
      </c>
      <c r="B129" s="136" t="s">
        <v>137</v>
      </c>
      <c r="C129" s="100">
        <f ca="1">_xll.DBRW($B$9,$C$16,$C$17,C$23,C$22,$C$18,$C$19,$B129,C$24)</f>
        <v>0</v>
      </c>
      <c r="D129" s="100">
        <f ca="1">_xll.DBRW($B$9,$C$16,$C$17,C$23,C$22,$C$18,$C$19,$B129,D$24)</f>
        <v>0</v>
      </c>
      <c r="E129" s="100">
        <f ca="1">_xll.DBRW($B$9,$C$16,$C$17,C$23,C$22,$C$18,$C$19,$B129,E$24)</f>
        <v>0</v>
      </c>
      <c r="F129" s="100">
        <f ca="1">_xll.DBRW($B$9,$C$16,$C$17,F$23,C$22,$C$18,$C$19,$B129,F$24)</f>
        <v>0</v>
      </c>
      <c r="G129" s="100">
        <f ca="1">_xll.DBRW($B$9,$C$16,$C$17,F$23,C$22,$C$18,$C$19,$B129,G$24)</f>
        <v>0</v>
      </c>
      <c r="H129" s="100">
        <f ca="1">_xll.DBRW($B$9,$C$16,$C$17,F$23,C$22,$C$18,$C$19,$B129,H$24)</f>
        <v>0</v>
      </c>
      <c r="I129" s="100">
        <f t="shared" ca="1" si="12"/>
        <v>0</v>
      </c>
      <c r="J129" s="100">
        <f t="shared" ca="1" si="13"/>
        <v>0</v>
      </c>
      <c r="K129" s="100">
        <f t="shared" ca="1" si="14"/>
        <v>0</v>
      </c>
      <c r="L129" s="100">
        <f ca="1">_xll.DBRW($B$9,$C$16,$C$17,L$23,L$22,$C$18,$C$19,$B129,L$24)</f>
        <v>0</v>
      </c>
      <c r="M129" s="100">
        <f ca="1">_xll.DBRW($B$9,$C$16,$C$17,L$23,L$22,$C$18,$C$19,$B129,M$24)</f>
        <v>0</v>
      </c>
      <c r="N129" s="100">
        <f ca="1">_xll.DBRW($B$9,$C$16,$C$17,L$23,L$22,$C$18,$C$19,$B129,N$24)</f>
        <v>0</v>
      </c>
      <c r="O129" s="100">
        <f ca="1">_xll.DBRW($B$9,$C$16,$C$17,O$23,L$22,$C$18,$C$19,$B129,O$24)</f>
        <v>0</v>
      </c>
      <c r="P129" s="100">
        <f ca="1">_xll.DBRW($B$9,$C$16,$C$17,O$23,L$22,$C$18,$C$19,$B129,P$24)</f>
        <v>0</v>
      </c>
      <c r="Q129" s="100">
        <f ca="1">_xll.DBRW($B$9,$C$16,$C$17,O$23,L$22,$C$18,$C$19,$B129,Q$24)</f>
        <v>0</v>
      </c>
      <c r="R129" s="100">
        <f t="shared" ca="1" si="15"/>
        <v>0</v>
      </c>
      <c r="S129" s="100">
        <f t="shared" ca="1" si="16"/>
        <v>0</v>
      </c>
      <c r="T129" s="100">
        <f t="shared" ca="1" si="17"/>
        <v>0</v>
      </c>
      <c r="U129" s="100">
        <f ca="1">_xll.DBRW($B$9,$C$16,$C$17,U$23,U$22,$C$18,$C$19,$B129,U$24)</f>
        <v>0</v>
      </c>
      <c r="V129" s="100">
        <f ca="1">_xll.DBRW($B$9,$C$16,$C$17,U$23,U$22,$C$18,$C$19,$B129,V$24)</f>
        <v>0</v>
      </c>
      <c r="W129" s="100">
        <f ca="1">_xll.DBRW($B$9,$C$16,$C$17,U$23,U$22,$C$18,$C$19,$B129,W$24)</f>
        <v>0</v>
      </c>
      <c r="X129" s="100">
        <f ca="1">_xll.DBRW($B$9,$C$16,$C$17,X$23,U$22,$C$18,$C$19,$B129,X$24)</f>
        <v>0</v>
      </c>
      <c r="Y129" s="100">
        <f ca="1">_xll.DBRW($B$9,$C$16,$C$17,X$23,U$22,$C$18,$C$19,$B129,Y$24)</f>
        <v>0</v>
      </c>
      <c r="Z129" s="100">
        <f ca="1">_xll.DBRW($B$9,$C$16,$C$17,X$23,U$22,$C$18,$C$19,$B129,Z$24)</f>
        <v>0</v>
      </c>
      <c r="AA129" s="100">
        <f t="shared" ca="1" si="18"/>
        <v>0</v>
      </c>
      <c r="AB129" s="100">
        <f t="shared" ca="1" si="19"/>
        <v>0</v>
      </c>
      <c r="AC129" s="100">
        <f t="shared" ca="1" si="20"/>
        <v>0</v>
      </c>
      <c r="AD129" s="100">
        <f ca="1">_xll.DBRW($B$9,$C$16,$C$17,AD$23,AD$22,$C$18,$C$19,$B129,AD$24)</f>
        <v>0</v>
      </c>
      <c r="AE129" s="100">
        <f ca="1">_xll.DBRW($B$9,$C$16,$C$17,AD$23,AD$22,$C$18,$C$19,$B129,AE$24)</f>
        <v>0</v>
      </c>
      <c r="AF129" s="100">
        <f ca="1">_xll.DBRW($B$9,$C$16,$C$17,AD$23,AD$22,$C$18,$C$19,$B129,AF$24)</f>
        <v>0</v>
      </c>
      <c r="AG129" s="100">
        <f ca="1">_xll.DBRW($B$9,$C$16,$C$17,AG$23,AD$22,$C$18,$C$19,$B129,AG$24)</f>
        <v>0</v>
      </c>
      <c r="AH129" s="100">
        <f ca="1">_xll.DBRW($B$9,$C$16,$C$17,AG$23,AD$22,$C$18,$C$19,$B129,AH$24)</f>
        <v>0</v>
      </c>
      <c r="AI129" s="100">
        <f ca="1">_xll.DBRW($B$9,$C$16,$C$17,AG$23,AD$22,$C$18,$C$19,$B129,AI$24)</f>
        <v>0</v>
      </c>
      <c r="AJ129" s="100">
        <f t="shared" ca="1" si="21"/>
        <v>0</v>
      </c>
      <c r="AK129" s="100">
        <f t="shared" ca="1" si="22"/>
        <v>0</v>
      </c>
      <c r="AL129" s="100">
        <f t="shared" ca="1" si="23"/>
        <v>0</v>
      </c>
    </row>
    <row r="130" spans="1:38" x14ac:dyDescent="0.25">
      <c r="A130">
        <f ca="1">IF(_xll.TM1RPTELISCONSOLIDATED($B$25,$B130),IF(_xll.TM1RPTELLEV($B$25,$B130)&lt;=3,_xll.TM1RPTELLEV($B$25,$B130),"D"),"N")</f>
        <v>3</v>
      </c>
      <c r="B130" s="136" t="s">
        <v>138</v>
      </c>
      <c r="C130" s="100">
        <f ca="1">_xll.DBRW($B$9,$C$16,$C$17,C$23,C$22,$C$18,$C$19,$B130,C$24)</f>
        <v>0</v>
      </c>
      <c r="D130" s="100">
        <f ca="1">_xll.DBRW($B$9,$C$16,$C$17,C$23,C$22,$C$18,$C$19,$B130,D$24)</f>
        <v>0</v>
      </c>
      <c r="E130" s="100">
        <f ca="1">_xll.DBRW($B$9,$C$16,$C$17,C$23,C$22,$C$18,$C$19,$B130,E$24)</f>
        <v>0</v>
      </c>
      <c r="F130" s="100">
        <f ca="1">_xll.DBRW($B$9,$C$16,$C$17,F$23,C$22,$C$18,$C$19,$B130,F$24)</f>
        <v>0</v>
      </c>
      <c r="G130" s="100">
        <f ca="1">_xll.DBRW($B$9,$C$16,$C$17,F$23,C$22,$C$18,$C$19,$B130,G$24)</f>
        <v>0</v>
      </c>
      <c r="H130" s="100">
        <f ca="1">_xll.DBRW($B$9,$C$16,$C$17,F$23,C$22,$C$18,$C$19,$B130,H$24)</f>
        <v>0</v>
      </c>
      <c r="I130" s="100">
        <f t="shared" ca="1" si="12"/>
        <v>0</v>
      </c>
      <c r="J130" s="100">
        <f t="shared" ca="1" si="13"/>
        <v>0</v>
      </c>
      <c r="K130" s="100">
        <f t="shared" ca="1" si="14"/>
        <v>0</v>
      </c>
      <c r="L130" s="100">
        <f ca="1">_xll.DBRW($B$9,$C$16,$C$17,L$23,L$22,$C$18,$C$19,$B130,L$24)</f>
        <v>0</v>
      </c>
      <c r="M130" s="100">
        <f ca="1">_xll.DBRW($B$9,$C$16,$C$17,L$23,L$22,$C$18,$C$19,$B130,M$24)</f>
        <v>0</v>
      </c>
      <c r="N130" s="100">
        <f ca="1">_xll.DBRW($B$9,$C$16,$C$17,L$23,L$22,$C$18,$C$19,$B130,N$24)</f>
        <v>0</v>
      </c>
      <c r="O130" s="100">
        <f ca="1">_xll.DBRW($B$9,$C$16,$C$17,O$23,L$22,$C$18,$C$19,$B130,O$24)</f>
        <v>0</v>
      </c>
      <c r="P130" s="100">
        <f ca="1">_xll.DBRW($B$9,$C$16,$C$17,O$23,L$22,$C$18,$C$19,$B130,P$24)</f>
        <v>0</v>
      </c>
      <c r="Q130" s="100">
        <f ca="1">_xll.DBRW($B$9,$C$16,$C$17,O$23,L$22,$C$18,$C$19,$B130,Q$24)</f>
        <v>0</v>
      </c>
      <c r="R130" s="100">
        <f t="shared" ca="1" si="15"/>
        <v>0</v>
      </c>
      <c r="S130" s="100">
        <f t="shared" ca="1" si="16"/>
        <v>0</v>
      </c>
      <c r="T130" s="100">
        <f t="shared" ca="1" si="17"/>
        <v>0</v>
      </c>
      <c r="U130" s="100">
        <f ca="1">_xll.DBRW($B$9,$C$16,$C$17,U$23,U$22,$C$18,$C$19,$B130,U$24)</f>
        <v>0</v>
      </c>
      <c r="V130" s="100">
        <f ca="1">_xll.DBRW($B$9,$C$16,$C$17,U$23,U$22,$C$18,$C$19,$B130,V$24)</f>
        <v>0</v>
      </c>
      <c r="W130" s="100">
        <f ca="1">_xll.DBRW($B$9,$C$16,$C$17,U$23,U$22,$C$18,$C$19,$B130,W$24)</f>
        <v>0</v>
      </c>
      <c r="X130" s="100">
        <f ca="1">_xll.DBRW($B$9,$C$16,$C$17,X$23,U$22,$C$18,$C$19,$B130,X$24)</f>
        <v>0</v>
      </c>
      <c r="Y130" s="100">
        <f ca="1">_xll.DBRW($B$9,$C$16,$C$17,X$23,U$22,$C$18,$C$19,$B130,Y$24)</f>
        <v>0</v>
      </c>
      <c r="Z130" s="100">
        <f ca="1">_xll.DBRW($B$9,$C$16,$C$17,X$23,U$22,$C$18,$C$19,$B130,Z$24)</f>
        <v>0</v>
      </c>
      <c r="AA130" s="100">
        <f t="shared" ca="1" si="18"/>
        <v>0</v>
      </c>
      <c r="AB130" s="100">
        <f t="shared" ca="1" si="19"/>
        <v>0</v>
      </c>
      <c r="AC130" s="100">
        <f t="shared" ca="1" si="20"/>
        <v>0</v>
      </c>
      <c r="AD130" s="100">
        <f ca="1">_xll.DBRW($B$9,$C$16,$C$17,AD$23,AD$22,$C$18,$C$19,$B130,AD$24)</f>
        <v>0</v>
      </c>
      <c r="AE130" s="100">
        <f ca="1">_xll.DBRW($B$9,$C$16,$C$17,AD$23,AD$22,$C$18,$C$19,$B130,AE$24)</f>
        <v>0</v>
      </c>
      <c r="AF130" s="100">
        <f ca="1">_xll.DBRW($B$9,$C$16,$C$17,AD$23,AD$22,$C$18,$C$19,$B130,AF$24)</f>
        <v>0</v>
      </c>
      <c r="AG130" s="100">
        <f ca="1">_xll.DBRW($B$9,$C$16,$C$17,AG$23,AD$22,$C$18,$C$19,$B130,AG$24)</f>
        <v>0</v>
      </c>
      <c r="AH130" s="100">
        <f ca="1">_xll.DBRW($B$9,$C$16,$C$17,AG$23,AD$22,$C$18,$C$19,$B130,AH$24)</f>
        <v>0</v>
      </c>
      <c r="AI130" s="100">
        <f ca="1">_xll.DBRW($B$9,$C$16,$C$17,AG$23,AD$22,$C$18,$C$19,$B130,AI$24)</f>
        <v>0</v>
      </c>
      <c r="AJ130" s="100">
        <f t="shared" ca="1" si="21"/>
        <v>0</v>
      </c>
      <c r="AK130" s="100">
        <f t="shared" ca="1" si="22"/>
        <v>0</v>
      </c>
      <c r="AL130" s="100">
        <f t="shared" ca="1" si="23"/>
        <v>0</v>
      </c>
    </row>
    <row r="131" spans="1:38" x14ac:dyDescent="0.25">
      <c r="A131">
        <f ca="1">IF(_xll.TM1RPTELISCONSOLIDATED($B$25,$B131),IF(_xll.TM1RPTELLEV($B$25,$B131)&lt;=3,_xll.TM1RPTELLEV($B$25,$B131),"D"),"N")</f>
        <v>3</v>
      </c>
      <c r="B131" s="136" t="s">
        <v>139</v>
      </c>
      <c r="C131" s="100">
        <f ca="1">_xll.DBRW($B$9,$C$16,$C$17,C$23,C$22,$C$18,$C$19,$B131,C$24)</f>
        <v>0</v>
      </c>
      <c r="D131" s="100">
        <f ca="1">_xll.DBRW($B$9,$C$16,$C$17,C$23,C$22,$C$18,$C$19,$B131,D$24)</f>
        <v>0</v>
      </c>
      <c r="E131" s="100">
        <f ca="1">_xll.DBRW($B$9,$C$16,$C$17,C$23,C$22,$C$18,$C$19,$B131,E$24)</f>
        <v>0</v>
      </c>
      <c r="F131" s="100">
        <f ca="1">_xll.DBRW($B$9,$C$16,$C$17,F$23,C$22,$C$18,$C$19,$B131,F$24)</f>
        <v>0</v>
      </c>
      <c r="G131" s="100">
        <f ca="1">_xll.DBRW($B$9,$C$16,$C$17,F$23,C$22,$C$18,$C$19,$B131,G$24)</f>
        <v>0</v>
      </c>
      <c r="H131" s="100">
        <f ca="1">_xll.DBRW($B$9,$C$16,$C$17,F$23,C$22,$C$18,$C$19,$B131,H$24)</f>
        <v>0</v>
      </c>
      <c r="I131" s="100">
        <f t="shared" ca="1" si="12"/>
        <v>0</v>
      </c>
      <c r="J131" s="100">
        <f t="shared" ca="1" si="13"/>
        <v>0</v>
      </c>
      <c r="K131" s="100">
        <f t="shared" ca="1" si="14"/>
        <v>0</v>
      </c>
      <c r="L131" s="100">
        <f ca="1">_xll.DBRW($B$9,$C$16,$C$17,L$23,L$22,$C$18,$C$19,$B131,L$24)</f>
        <v>0</v>
      </c>
      <c r="M131" s="100">
        <f ca="1">_xll.DBRW($B$9,$C$16,$C$17,L$23,L$22,$C$18,$C$19,$B131,M$24)</f>
        <v>0</v>
      </c>
      <c r="N131" s="100">
        <f ca="1">_xll.DBRW($B$9,$C$16,$C$17,L$23,L$22,$C$18,$C$19,$B131,N$24)</f>
        <v>0</v>
      </c>
      <c r="O131" s="100">
        <f ca="1">_xll.DBRW($B$9,$C$16,$C$17,O$23,L$22,$C$18,$C$19,$B131,O$24)</f>
        <v>0</v>
      </c>
      <c r="P131" s="100">
        <f ca="1">_xll.DBRW($B$9,$C$16,$C$17,O$23,L$22,$C$18,$C$19,$B131,P$24)</f>
        <v>0</v>
      </c>
      <c r="Q131" s="100">
        <f ca="1">_xll.DBRW($B$9,$C$16,$C$17,O$23,L$22,$C$18,$C$19,$B131,Q$24)</f>
        <v>0</v>
      </c>
      <c r="R131" s="100">
        <f t="shared" ca="1" si="15"/>
        <v>0</v>
      </c>
      <c r="S131" s="100">
        <f t="shared" ca="1" si="16"/>
        <v>0</v>
      </c>
      <c r="T131" s="100">
        <f t="shared" ca="1" si="17"/>
        <v>0</v>
      </c>
      <c r="U131" s="100">
        <f ca="1">_xll.DBRW($B$9,$C$16,$C$17,U$23,U$22,$C$18,$C$19,$B131,U$24)</f>
        <v>0</v>
      </c>
      <c r="V131" s="100">
        <f ca="1">_xll.DBRW($B$9,$C$16,$C$17,U$23,U$22,$C$18,$C$19,$B131,V$24)</f>
        <v>0</v>
      </c>
      <c r="W131" s="100">
        <f ca="1">_xll.DBRW($B$9,$C$16,$C$17,U$23,U$22,$C$18,$C$19,$B131,W$24)</f>
        <v>0</v>
      </c>
      <c r="X131" s="100">
        <f ca="1">_xll.DBRW($B$9,$C$16,$C$17,X$23,U$22,$C$18,$C$19,$B131,X$24)</f>
        <v>0</v>
      </c>
      <c r="Y131" s="100">
        <f ca="1">_xll.DBRW($B$9,$C$16,$C$17,X$23,U$22,$C$18,$C$19,$B131,Y$24)</f>
        <v>0</v>
      </c>
      <c r="Z131" s="100">
        <f ca="1">_xll.DBRW($B$9,$C$16,$C$17,X$23,U$22,$C$18,$C$19,$B131,Z$24)</f>
        <v>0</v>
      </c>
      <c r="AA131" s="100">
        <f t="shared" ca="1" si="18"/>
        <v>0</v>
      </c>
      <c r="AB131" s="100">
        <f t="shared" ca="1" si="19"/>
        <v>0</v>
      </c>
      <c r="AC131" s="100">
        <f t="shared" ca="1" si="20"/>
        <v>0</v>
      </c>
      <c r="AD131" s="100">
        <f ca="1">_xll.DBRW($B$9,$C$16,$C$17,AD$23,AD$22,$C$18,$C$19,$B131,AD$24)</f>
        <v>0</v>
      </c>
      <c r="AE131" s="100">
        <f ca="1">_xll.DBRW($B$9,$C$16,$C$17,AD$23,AD$22,$C$18,$C$19,$B131,AE$24)</f>
        <v>0</v>
      </c>
      <c r="AF131" s="100">
        <f ca="1">_xll.DBRW($B$9,$C$16,$C$17,AD$23,AD$22,$C$18,$C$19,$B131,AF$24)</f>
        <v>0</v>
      </c>
      <c r="AG131" s="100">
        <f ca="1">_xll.DBRW($B$9,$C$16,$C$17,AG$23,AD$22,$C$18,$C$19,$B131,AG$24)</f>
        <v>0</v>
      </c>
      <c r="AH131" s="100">
        <f ca="1">_xll.DBRW($B$9,$C$16,$C$17,AG$23,AD$22,$C$18,$C$19,$B131,AH$24)</f>
        <v>0</v>
      </c>
      <c r="AI131" s="100">
        <f ca="1">_xll.DBRW($B$9,$C$16,$C$17,AG$23,AD$22,$C$18,$C$19,$B131,AI$24)</f>
        <v>0</v>
      </c>
      <c r="AJ131" s="100">
        <f t="shared" ca="1" si="21"/>
        <v>0</v>
      </c>
      <c r="AK131" s="100">
        <f t="shared" ca="1" si="22"/>
        <v>0</v>
      </c>
      <c r="AL131" s="100">
        <f t="shared" ca="1" si="23"/>
        <v>0</v>
      </c>
    </row>
    <row r="132" spans="1:38" x14ac:dyDescent="0.25">
      <c r="A132">
        <f ca="1">IF(_xll.TM1RPTELISCONSOLIDATED($B$25,$B132),IF(_xll.TM1RPTELLEV($B$25,$B132)&lt;=3,_xll.TM1RPTELLEV($B$25,$B132),"D"),"N")</f>
        <v>3</v>
      </c>
      <c r="B132" s="136" t="s">
        <v>140</v>
      </c>
      <c r="C132" s="100">
        <f ca="1">_xll.DBRW($B$9,$C$16,$C$17,C$23,C$22,$C$18,$C$19,$B132,C$24)</f>
        <v>0</v>
      </c>
      <c r="D132" s="100">
        <f ca="1">_xll.DBRW($B$9,$C$16,$C$17,C$23,C$22,$C$18,$C$19,$B132,D$24)</f>
        <v>0</v>
      </c>
      <c r="E132" s="100">
        <f ca="1">_xll.DBRW($B$9,$C$16,$C$17,C$23,C$22,$C$18,$C$19,$B132,E$24)</f>
        <v>0</v>
      </c>
      <c r="F132" s="100">
        <f ca="1">_xll.DBRW($B$9,$C$16,$C$17,F$23,C$22,$C$18,$C$19,$B132,F$24)</f>
        <v>0</v>
      </c>
      <c r="G132" s="100">
        <f ca="1">_xll.DBRW($B$9,$C$16,$C$17,F$23,C$22,$C$18,$C$19,$B132,G$24)</f>
        <v>0</v>
      </c>
      <c r="H132" s="100">
        <f ca="1">_xll.DBRW($B$9,$C$16,$C$17,F$23,C$22,$C$18,$C$19,$B132,H$24)</f>
        <v>0</v>
      </c>
      <c r="I132" s="100">
        <f t="shared" ca="1" si="12"/>
        <v>0</v>
      </c>
      <c r="J132" s="100">
        <f t="shared" ca="1" si="13"/>
        <v>0</v>
      </c>
      <c r="K132" s="100">
        <f t="shared" ca="1" si="14"/>
        <v>0</v>
      </c>
      <c r="L132" s="100">
        <f ca="1">_xll.DBRW($B$9,$C$16,$C$17,L$23,L$22,$C$18,$C$19,$B132,L$24)</f>
        <v>0</v>
      </c>
      <c r="M132" s="100">
        <f ca="1">_xll.DBRW($B$9,$C$16,$C$17,L$23,L$22,$C$18,$C$19,$B132,M$24)</f>
        <v>0</v>
      </c>
      <c r="N132" s="100">
        <f ca="1">_xll.DBRW($B$9,$C$16,$C$17,L$23,L$22,$C$18,$C$19,$B132,N$24)</f>
        <v>0</v>
      </c>
      <c r="O132" s="100">
        <f ca="1">_xll.DBRW($B$9,$C$16,$C$17,O$23,L$22,$C$18,$C$19,$B132,O$24)</f>
        <v>0</v>
      </c>
      <c r="P132" s="100">
        <f ca="1">_xll.DBRW($B$9,$C$16,$C$17,O$23,L$22,$C$18,$C$19,$B132,P$24)</f>
        <v>0</v>
      </c>
      <c r="Q132" s="100">
        <f ca="1">_xll.DBRW($B$9,$C$16,$C$17,O$23,L$22,$C$18,$C$19,$B132,Q$24)</f>
        <v>0</v>
      </c>
      <c r="R132" s="100">
        <f t="shared" ca="1" si="15"/>
        <v>0</v>
      </c>
      <c r="S132" s="100">
        <f t="shared" ca="1" si="16"/>
        <v>0</v>
      </c>
      <c r="T132" s="100">
        <f t="shared" ca="1" si="17"/>
        <v>0</v>
      </c>
      <c r="U132" s="100">
        <f ca="1">_xll.DBRW($B$9,$C$16,$C$17,U$23,U$22,$C$18,$C$19,$B132,U$24)</f>
        <v>0</v>
      </c>
      <c r="V132" s="100">
        <f ca="1">_xll.DBRW($B$9,$C$16,$C$17,U$23,U$22,$C$18,$C$19,$B132,V$24)</f>
        <v>0</v>
      </c>
      <c r="W132" s="100">
        <f ca="1">_xll.DBRW($B$9,$C$16,$C$17,U$23,U$22,$C$18,$C$19,$B132,W$24)</f>
        <v>0</v>
      </c>
      <c r="X132" s="100">
        <f ca="1">_xll.DBRW($B$9,$C$16,$C$17,X$23,U$22,$C$18,$C$19,$B132,X$24)</f>
        <v>0</v>
      </c>
      <c r="Y132" s="100">
        <f ca="1">_xll.DBRW($B$9,$C$16,$C$17,X$23,U$22,$C$18,$C$19,$B132,Y$24)</f>
        <v>0</v>
      </c>
      <c r="Z132" s="100">
        <f ca="1">_xll.DBRW($B$9,$C$16,$C$17,X$23,U$22,$C$18,$C$19,$B132,Z$24)</f>
        <v>0</v>
      </c>
      <c r="AA132" s="100">
        <f t="shared" ca="1" si="18"/>
        <v>0</v>
      </c>
      <c r="AB132" s="100">
        <f t="shared" ca="1" si="19"/>
        <v>0</v>
      </c>
      <c r="AC132" s="100">
        <f t="shared" ca="1" si="20"/>
        <v>0</v>
      </c>
      <c r="AD132" s="100">
        <f ca="1">_xll.DBRW($B$9,$C$16,$C$17,AD$23,AD$22,$C$18,$C$19,$B132,AD$24)</f>
        <v>0</v>
      </c>
      <c r="AE132" s="100">
        <f ca="1">_xll.DBRW($B$9,$C$16,$C$17,AD$23,AD$22,$C$18,$C$19,$B132,AE$24)</f>
        <v>0</v>
      </c>
      <c r="AF132" s="100">
        <f ca="1">_xll.DBRW($B$9,$C$16,$C$17,AD$23,AD$22,$C$18,$C$19,$B132,AF$24)</f>
        <v>0</v>
      </c>
      <c r="AG132" s="100">
        <f ca="1">_xll.DBRW($B$9,$C$16,$C$17,AG$23,AD$22,$C$18,$C$19,$B132,AG$24)</f>
        <v>0</v>
      </c>
      <c r="AH132" s="100">
        <f ca="1">_xll.DBRW($B$9,$C$16,$C$17,AG$23,AD$22,$C$18,$C$19,$B132,AH$24)</f>
        <v>0</v>
      </c>
      <c r="AI132" s="100">
        <f ca="1">_xll.DBRW($B$9,$C$16,$C$17,AG$23,AD$22,$C$18,$C$19,$B132,AI$24)</f>
        <v>0</v>
      </c>
      <c r="AJ132" s="100">
        <f t="shared" ca="1" si="21"/>
        <v>0</v>
      </c>
      <c r="AK132" s="100">
        <f t="shared" ca="1" si="22"/>
        <v>0</v>
      </c>
      <c r="AL132" s="100">
        <f t="shared" ca="1" si="23"/>
        <v>0</v>
      </c>
    </row>
    <row r="133" spans="1:38" x14ac:dyDescent="0.25">
      <c r="A133">
        <f ca="1">IF(_xll.TM1RPTELISCONSOLIDATED($B$25,$B133),IF(_xll.TM1RPTELLEV($B$25,$B133)&lt;=3,_xll.TM1RPTELLEV($B$25,$B133),"D"),"N")</f>
        <v>3</v>
      </c>
      <c r="B133" s="136" t="s">
        <v>141</v>
      </c>
      <c r="C133" s="100">
        <f ca="1">_xll.DBRW($B$9,$C$16,$C$17,C$23,C$22,$C$18,$C$19,$B133,C$24)</f>
        <v>0</v>
      </c>
      <c r="D133" s="100">
        <f ca="1">_xll.DBRW($B$9,$C$16,$C$17,C$23,C$22,$C$18,$C$19,$B133,D$24)</f>
        <v>0</v>
      </c>
      <c r="E133" s="100">
        <f ca="1">_xll.DBRW($B$9,$C$16,$C$17,C$23,C$22,$C$18,$C$19,$B133,E$24)</f>
        <v>0</v>
      </c>
      <c r="F133" s="100">
        <f ca="1">_xll.DBRW($B$9,$C$16,$C$17,F$23,C$22,$C$18,$C$19,$B133,F$24)</f>
        <v>0</v>
      </c>
      <c r="G133" s="100">
        <f ca="1">_xll.DBRW($B$9,$C$16,$C$17,F$23,C$22,$C$18,$C$19,$B133,G$24)</f>
        <v>0</v>
      </c>
      <c r="H133" s="100">
        <f ca="1">_xll.DBRW($B$9,$C$16,$C$17,F$23,C$22,$C$18,$C$19,$B133,H$24)</f>
        <v>0</v>
      </c>
      <c r="I133" s="100">
        <f t="shared" ca="1" si="12"/>
        <v>0</v>
      </c>
      <c r="J133" s="100">
        <f t="shared" ca="1" si="13"/>
        <v>0</v>
      </c>
      <c r="K133" s="100">
        <f t="shared" ca="1" si="14"/>
        <v>0</v>
      </c>
      <c r="L133" s="100">
        <f ca="1">_xll.DBRW($B$9,$C$16,$C$17,L$23,L$22,$C$18,$C$19,$B133,L$24)</f>
        <v>0</v>
      </c>
      <c r="M133" s="100">
        <f ca="1">_xll.DBRW($B$9,$C$16,$C$17,L$23,L$22,$C$18,$C$19,$B133,M$24)</f>
        <v>0</v>
      </c>
      <c r="N133" s="100">
        <f ca="1">_xll.DBRW($B$9,$C$16,$C$17,L$23,L$22,$C$18,$C$19,$B133,N$24)</f>
        <v>0</v>
      </c>
      <c r="O133" s="100">
        <f ca="1">_xll.DBRW($B$9,$C$16,$C$17,O$23,L$22,$C$18,$C$19,$B133,O$24)</f>
        <v>0</v>
      </c>
      <c r="P133" s="100">
        <f ca="1">_xll.DBRW($B$9,$C$16,$C$17,O$23,L$22,$C$18,$C$19,$B133,P$24)</f>
        <v>0</v>
      </c>
      <c r="Q133" s="100">
        <f ca="1">_xll.DBRW($B$9,$C$16,$C$17,O$23,L$22,$C$18,$C$19,$B133,Q$24)</f>
        <v>0</v>
      </c>
      <c r="R133" s="100">
        <f t="shared" ca="1" si="15"/>
        <v>0</v>
      </c>
      <c r="S133" s="100">
        <f t="shared" ca="1" si="16"/>
        <v>0</v>
      </c>
      <c r="T133" s="100">
        <f t="shared" ca="1" si="17"/>
        <v>0</v>
      </c>
      <c r="U133" s="100">
        <f ca="1">_xll.DBRW($B$9,$C$16,$C$17,U$23,U$22,$C$18,$C$19,$B133,U$24)</f>
        <v>0</v>
      </c>
      <c r="V133" s="100">
        <f ca="1">_xll.DBRW($B$9,$C$16,$C$17,U$23,U$22,$C$18,$C$19,$B133,V$24)</f>
        <v>0</v>
      </c>
      <c r="W133" s="100">
        <f ca="1">_xll.DBRW($B$9,$C$16,$C$17,U$23,U$22,$C$18,$C$19,$B133,W$24)</f>
        <v>0</v>
      </c>
      <c r="X133" s="100">
        <f ca="1">_xll.DBRW($B$9,$C$16,$C$17,X$23,U$22,$C$18,$C$19,$B133,X$24)</f>
        <v>0</v>
      </c>
      <c r="Y133" s="100">
        <f ca="1">_xll.DBRW($B$9,$C$16,$C$17,X$23,U$22,$C$18,$C$19,$B133,Y$24)</f>
        <v>0</v>
      </c>
      <c r="Z133" s="100">
        <f ca="1">_xll.DBRW($B$9,$C$16,$C$17,X$23,U$22,$C$18,$C$19,$B133,Z$24)</f>
        <v>0</v>
      </c>
      <c r="AA133" s="100">
        <f t="shared" ca="1" si="18"/>
        <v>0</v>
      </c>
      <c r="AB133" s="100">
        <f t="shared" ca="1" si="19"/>
        <v>0</v>
      </c>
      <c r="AC133" s="100">
        <f t="shared" ca="1" si="20"/>
        <v>0</v>
      </c>
      <c r="AD133" s="100">
        <f ca="1">_xll.DBRW($B$9,$C$16,$C$17,AD$23,AD$22,$C$18,$C$19,$B133,AD$24)</f>
        <v>0</v>
      </c>
      <c r="AE133" s="100">
        <f ca="1">_xll.DBRW($B$9,$C$16,$C$17,AD$23,AD$22,$C$18,$C$19,$B133,AE$24)</f>
        <v>0</v>
      </c>
      <c r="AF133" s="100">
        <f ca="1">_xll.DBRW($B$9,$C$16,$C$17,AD$23,AD$22,$C$18,$C$19,$B133,AF$24)</f>
        <v>0</v>
      </c>
      <c r="AG133" s="100">
        <f ca="1">_xll.DBRW($B$9,$C$16,$C$17,AG$23,AD$22,$C$18,$C$19,$B133,AG$24)</f>
        <v>0</v>
      </c>
      <c r="AH133" s="100">
        <f ca="1">_xll.DBRW($B$9,$C$16,$C$17,AG$23,AD$22,$C$18,$C$19,$B133,AH$24)</f>
        <v>0</v>
      </c>
      <c r="AI133" s="100">
        <f ca="1">_xll.DBRW($B$9,$C$16,$C$17,AG$23,AD$22,$C$18,$C$19,$B133,AI$24)</f>
        <v>0</v>
      </c>
      <c r="AJ133" s="100">
        <f t="shared" ca="1" si="21"/>
        <v>0</v>
      </c>
      <c r="AK133" s="100">
        <f t="shared" ca="1" si="22"/>
        <v>0</v>
      </c>
      <c r="AL133" s="100">
        <f t="shared" ca="1" si="23"/>
        <v>0</v>
      </c>
    </row>
    <row r="134" spans="1:38" x14ac:dyDescent="0.25">
      <c r="A134">
        <f ca="1">IF(_xll.TM1RPTELISCONSOLIDATED($B$25,$B134),IF(_xll.TM1RPTELLEV($B$25,$B134)&lt;=3,_xll.TM1RPTELLEV($B$25,$B134),"D"),"N")</f>
        <v>3</v>
      </c>
      <c r="B134" s="136" t="s">
        <v>142</v>
      </c>
      <c r="C134" s="100">
        <f ca="1">_xll.DBRW($B$9,$C$16,$C$17,C$23,C$22,$C$18,$C$19,$B134,C$24)</f>
        <v>0</v>
      </c>
      <c r="D134" s="100">
        <f ca="1">_xll.DBRW($B$9,$C$16,$C$17,C$23,C$22,$C$18,$C$19,$B134,D$24)</f>
        <v>0</v>
      </c>
      <c r="E134" s="100">
        <f ca="1">_xll.DBRW($B$9,$C$16,$C$17,C$23,C$22,$C$18,$C$19,$B134,E$24)</f>
        <v>0</v>
      </c>
      <c r="F134" s="100">
        <f ca="1">_xll.DBRW($B$9,$C$16,$C$17,F$23,C$22,$C$18,$C$19,$B134,F$24)</f>
        <v>0</v>
      </c>
      <c r="G134" s="100">
        <f ca="1">_xll.DBRW($B$9,$C$16,$C$17,F$23,C$22,$C$18,$C$19,$B134,G$24)</f>
        <v>0</v>
      </c>
      <c r="H134" s="100">
        <f ca="1">_xll.DBRW($B$9,$C$16,$C$17,F$23,C$22,$C$18,$C$19,$B134,H$24)</f>
        <v>0</v>
      </c>
      <c r="I134" s="100">
        <f t="shared" ca="1" si="12"/>
        <v>0</v>
      </c>
      <c r="J134" s="100">
        <f t="shared" ca="1" si="13"/>
        <v>0</v>
      </c>
      <c r="K134" s="100">
        <f t="shared" ca="1" si="14"/>
        <v>0</v>
      </c>
      <c r="L134" s="100">
        <f ca="1">_xll.DBRW($B$9,$C$16,$C$17,L$23,L$22,$C$18,$C$19,$B134,L$24)</f>
        <v>0</v>
      </c>
      <c r="M134" s="100">
        <f ca="1">_xll.DBRW($B$9,$C$16,$C$17,L$23,L$22,$C$18,$C$19,$B134,M$24)</f>
        <v>0</v>
      </c>
      <c r="N134" s="100">
        <f ca="1">_xll.DBRW($B$9,$C$16,$C$17,L$23,L$22,$C$18,$C$19,$B134,N$24)</f>
        <v>0</v>
      </c>
      <c r="O134" s="100">
        <f ca="1">_xll.DBRW($B$9,$C$16,$C$17,O$23,L$22,$C$18,$C$19,$B134,O$24)</f>
        <v>0</v>
      </c>
      <c r="P134" s="100">
        <f ca="1">_xll.DBRW($B$9,$C$16,$C$17,O$23,L$22,$C$18,$C$19,$B134,P$24)</f>
        <v>0</v>
      </c>
      <c r="Q134" s="100">
        <f ca="1">_xll.DBRW($B$9,$C$16,$C$17,O$23,L$22,$C$18,$C$19,$B134,Q$24)</f>
        <v>0</v>
      </c>
      <c r="R134" s="100">
        <f t="shared" ca="1" si="15"/>
        <v>0</v>
      </c>
      <c r="S134" s="100">
        <f t="shared" ca="1" si="16"/>
        <v>0</v>
      </c>
      <c r="T134" s="100">
        <f t="shared" ca="1" si="17"/>
        <v>0</v>
      </c>
      <c r="U134" s="100">
        <f ca="1">_xll.DBRW($B$9,$C$16,$C$17,U$23,U$22,$C$18,$C$19,$B134,U$24)</f>
        <v>0</v>
      </c>
      <c r="V134" s="100">
        <f ca="1">_xll.DBRW($B$9,$C$16,$C$17,U$23,U$22,$C$18,$C$19,$B134,V$24)</f>
        <v>0</v>
      </c>
      <c r="W134" s="100">
        <f ca="1">_xll.DBRW($B$9,$C$16,$C$17,U$23,U$22,$C$18,$C$19,$B134,W$24)</f>
        <v>0</v>
      </c>
      <c r="X134" s="100">
        <f ca="1">_xll.DBRW($B$9,$C$16,$C$17,X$23,U$22,$C$18,$C$19,$B134,X$24)</f>
        <v>0</v>
      </c>
      <c r="Y134" s="100">
        <f ca="1">_xll.DBRW($B$9,$C$16,$C$17,X$23,U$22,$C$18,$C$19,$B134,Y$24)</f>
        <v>0</v>
      </c>
      <c r="Z134" s="100">
        <f ca="1">_xll.DBRW($B$9,$C$16,$C$17,X$23,U$22,$C$18,$C$19,$B134,Z$24)</f>
        <v>0</v>
      </c>
      <c r="AA134" s="100">
        <f t="shared" ca="1" si="18"/>
        <v>0</v>
      </c>
      <c r="AB134" s="100">
        <f t="shared" ca="1" si="19"/>
        <v>0</v>
      </c>
      <c r="AC134" s="100">
        <f t="shared" ca="1" si="20"/>
        <v>0</v>
      </c>
      <c r="AD134" s="100">
        <f ca="1">_xll.DBRW($B$9,$C$16,$C$17,AD$23,AD$22,$C$18,$C$19,$B134,AD$24)</f>
        <v>0</v>
      </c>
      <c r="AE134" s="100">
        <f ca="1">_xll.DBRW($B$9,$C$16,$C$17,AD$23,AD$22,$C$18,$C$19,$B134,AE$24)</f>
        <v>0</v>
      </c>
      <c r="AF134" s="100">
        <f ca="1">_xll.DBRW($B$9,$C$16,$C$17,AD$23,AD$22,$C$18,$C$19,$B134,AF$24)</f>
        <v>0</v>
      </c>
      <c r="AG134" s="100">
        <f ca="1">_xll.DBRW($B$9,$C$16,$C$17,AG$23,AD$22,$C$18,$C$19,$B134,AG$24)</f>
        <v>0</v>
      </c>
      <c r="AH134" s="100">
        <f ca="1">_xll.DBRW($B$9,$C$16,$C$17,AG$23,AD$22,$C$18,$C$19,$B134,AH$24)</f>
        <v>0</v>
      </c>
      <c r="AI134" s="100">
        <f ca="1">_xll.DBRW($B$9,$C$16,$C$17,AG$23,AD$22,$C$18,$C$19,$B134,AI$24)</f>
        <v>0</v>
      </c>
      <c r="AJ134" s="100">
        <f t="shared" ca="1" si="21"/>
        <v>0</v>
      </c>
      <c r="AK134" s="100">
        <f t="shared" ca="1" si="22"/>
        <v>0</v>
      </c>
      <c r="AL134" s="100">
        <f t="shared" ca="1" si="23"/>
        <v>0</v>
      </c>
    </row>
    <row r="135" spans="1:38" x14ac:dyDescent="0.25">
      <c r="A135">
        <f ca="1">IF(_xll.TM1RPTELISCONSOLIDATED($B$25,$B135),IF(_xll.TM1RPTELLEV($B$25,$B135)&lt;=3,_xll.TM1RPTELLEV($B$25,$B135),"D"),"N")</f>
        <v>3</v>
      </c>
      <c r="B135" s="136" t="s">
        <v>143</v>
      </c>
      <c r="C135" s="100">
        <f ca="1">_xll.DBRW($B$9,$C$16,$C$17,C$23,C$22,$C$18,$C$19,$B135,C$24)</f>
        <v>0</v>
      </c>
      <c r="D135" s="100">
        <f ca="1">_xll.DBRW($B$9,$C$16,$C$17,C$23,C$22,$C$18,$C$19,$B135,D$24)</f>
        <v>0</v>
      </c>
      <c r="E135" s="100">
        <f ca="1">_xll.DBRW($B$9,$C$16,$C$17,C$23,C$22,$C$18,$C$19,$B135,E$24)</f>
        <v>0</v>
      </c>
      <c r="F135" s="100">
        <f ca="1">_xll.DBRW($B$9,$C$16,$C$17,F$23,C$22,$C$18,$C$19,$B135,F$24)</f>
        <v>0</v>
      </c>
      <c r="G135" s="100">
        <f ca="1">_xll.DBRW($B$9,$C$16,$C$17,F$23,C$22,$C$18,$C$19,$B135,G$24)</f>
        <v>0</v>
      </c>
      <c r="H135" s="100">
        <f ca="1">_xll.DBRW($B$9,$C$16,$C$17,F$23,C$22,$C$18,$C$19,$B135,H$24)</f>
        <v>0</v>
      </c>
      <c r="I135" s="100">
        <f t="shared" ca="1" si="12"/>
        <v>0</v>
      </c>
      <c r="J135" s="100">
        <f t="shared" ca="1" si="13"/>
        <v>0</v>
      </c>
      <c r="K135" s="100">
        <f t="shared" ca="1" si="14"/>
        <v>0</v>
      </c>
      <c r="L135" s="100">
        <f ca="1">_xll.DBRW($B$9,$C$16,$C$17,L$23,L$22,$C$18,$C$19,$B135,L$24)</f>
        <v>0</v>
      </c>
      <c r="M135" s="100">
        <f ca="1">_xll.DBRW($B$9,$C$16,$C$17,L$23,L$22,$C$18,$C$19,$B135,M$24)</f>
        <v>0</v>
      </c>
      <c r="N135" s="100">
        <f ca="1">_xll.DBRW($B$9,$C$16,$C$17,L$23,L$22,$C$18,$C$19,$B135,N$24)</f>
        <v>0</v>
      </c>
      <c r="O135" s="100">
        <f ca="1">_xll.DBRW($B$9,$C$16,$C$17,O$23,L$22,$C$18,$C$19,$B135,O$24)</f>
        <v>0</v>
      </c>
      <c r="P135" s="100">
        <f ca="1">_xll.DBRW($B$9,$C$16,$C$17,O$23,L$22,$C$18,$C$19,$B135,P$24)</f>
        <v>0</v>
      </c>
      <c r="Q135" s="100">
        <f ca="1">_xll.DBRW($B$9,$C$16,$C$17,O$23,L$22,$C$18,$C$19,$B135,Q$24)</f>
        <v>0</v>
      </c>
      <c r="R135" s="100">
        <f t="shared" ca="1" si="15"/>
        <v>0</v>
      </c>
      <c r="S135" s="100">
        <f t="shared" ca="1" si="16"/>
        <v>0</v>
      </c>
      <c r="T135" s="100">
        <f t="shared" ca="1" si="17"/>
        <v>0</v>
      </c>
      <c r="U135" s="100">
        <f ca="1">_xll.DBRW($B$9,$C$16,$C$17,U$23,U$22,$C$18,$C$19,$B135,U$24)</f>
        <v>0</v>
      </c>
      <c r="V135" s="100">
        <f ca="1">_xll.DBRW($B$9,$C$16,$C$17,U$23,U$22,$C$18,$C$19,$B135,V$24)</f>
        <v>0</v>
      </c>
      <c r="W135" s="100">
        <f ca="1">_xll.DBRW($B$9,$C$16,$C$17,U$23,U$22,$C$18,$C$19,$B135,W$24)</f>
        <v>0</v>
      </c>
      <c r="X135" s="100">
        <f ca="1">_xll.DBRW($B$9,$C$16,$C$17,X$23,U$22,$C$18,$C$19,$B135,X$24)</f>
        <v>0</v>
      </c>
      <c r="Y135" s="100">
        <f ca="1">_xll.DBRW($B$9,$C$16,$C$17,X$23,U$22,$C$18,$C$19,$B135,Y$24)</f>
        <v>0</v>
      </c>
      <c r="Z135" s="100">
        <f ca="1">_xll.DBRW($B$9,$C$16,$C$17,X$23,U$22,$C$18,$C$19,$B135,Z$24)</f>
        <v>0</v>
      </c>
      <c r="AA135" s="100">
        <f t="shared" ca="1" si="18"/>
        <v>0</v>
      </c>
      <c r="AB135" s="100">
        <f t="shared" ca="1" si="19"/>
        <v>0</v>
      </c>
      <c r="AC135" s="100">
        <f t="shared" ca="1" si="20"/>
        <v>0</v>
      </c>
      <c r="AD135" s="100">
        <f ca="1">_xll.DBRW($B$9,$C$16,$C$17,AD$23,AD$22,$C$18,$C$19,$B135,AD$24)</f>
        <v>0</v>
      </c>
      <c r="AE135" s="100">
        <f ca="1">_xll.DBRW($B$9,$C$16,$C$17,AD$23,AD$22,$C$18,$C$19,$B135,AE$24)</f>
        <v>0</v>
      </c>
      <c r="AF135" s="100">
        <f ca="1">_xll.DBRW($B$9,$C$16,$C$17,AD$23,AD$22,$C$18,$C$19,$B135,AF$24)</f>
        <v>0</v>
      </c>
      <c r="AG135" s="100">
        <f ca="1">_xll.DBRW($B$9,$C$16,$C$17,AG$23,AD$22,$C$18,$C$19,$B135,AG$24)</f>
        <v>0</v>
      </c>
      <c r="AH135" s="100">
        <f ca="1">_xll.DBRW($B$9,$C$16,$C$17,AG$23,AD$22,$C$18,$C$19,$B135,AH$24)</f>
        <v>0</v>
      </c>
      <c r="AI135" s="100">
        <f ca="1">_xll.DBRW($B$9,$C$16,$C$17,AG$23,AD$22,$C$18,$C$19,$B135,AI$24)</f>
        <v>0</v>
      </c>
      <c r="AJ135" s="100">
        <f t="shared" ca="1" si="21"/>
        <v>0</v>
      </c>
      <c r="AK135" s="100">
        <f t="shared" ca="1" si="22"/>
        <v>0</v>
      </c>
      <c r="AL135" s="100">
        <f t="shared" ca="1" si="23"/>
        <v>0</v>
      </c>
    </row>
    <row r="136" spans="1:38" x14ac:dyDescent="0.25">
      <c r="A136">
        <f ca="1">IF(_xll.TM1RPTELISCONSOLIDATED($B$25,$B136),IF(_xll.TM1RPTELLEV($B$25,$B136)&lt;=3,_xll.TM1RPTELLEV($B$25,$B136),"D"),"N")</f>
        <v>3</v>
      </c>
      <c r="B136" s="136" t="s">
        <v>144</v>
      </c>
      <c r="C136" s="100">
        <f ca="1">_xll.DBRW($B$9,$C$16,$C$17,C$23,C$22,$C$18,$C$19,$B136,C$24)</f>
        <v>0</v>
      </c>
      <c r="D136" s="100">
        <f ca="1">_xll.DBRW($B$9,$C$16,$C$17,C$23,C$22,$C$18,$C$19,$B136,D$24)</f>
        <v>0</v>
      </c>
      <c r="E136" s="100">
        <f ca="1">_xll.DBRW($B$9,$C$16,$C$17,C$23,C$22,$C$18,$C$19,$B136,E$24)</f>
        <v>0</v>
      </c>
      <c r="F136" s="100">
        <f ca="1">_xll.DBRW($B$9,$C$16,$C$17,F$23,C$22,$C$18,$C$19,$B136,F$24)</f>
        <v>0</v>
      </c>
      <c r="G136" s="100">
        <f ca="1">_xll.DBRW($B$9,$C$16,$C$17,F$23,C$22,$C$18,$C$19,$B136,G$24)</f>
        <v>0</v>
      </c>
      <c r="H136" s="100">
        <f ca="1">_xll.DBRW($B$9,$C$16,$C$17,F$23,C$22,$C$18,$C$19,$B136,H$24)</f>
        <v>0</v>
      </c>
      <c r="I136" s="100">
        <f t="shared" ca="1" si="12"/>
        <v>0</v>
      </c>
      <c r="J136" s="100">
        <f t="shared" ca="1" si="13"/>
        <v>0</v>
      </c>
      <c r="K136" s="100">
        <f t="shared" ca="1" si="14"/>
        <v>0</v>
      </c>
      <c r="L136" s="100">
        <f ca="1">_xll.DBRW($B$9,$C$16,$C$17,L$23,L$22,$C$18,$C$19,$B136,L$24)</f>
        <v>0</v>
      </c>
      <c r="M136" s="100">
        <f ca="1">_xll.DBRW($B$9,$C$16,$C$17,L$23,L$22,$C$18,$C$19,$B136,M$24)</f>
        <v>0</v>
      </c>
      <c r="N136" s="100">
        <f ca="1">_xll.DBRW($B$9,$C$16,$C$17,L$23,L$22,$C$18,$C$19,$B136,N$24)</f>
        <v>0</v>
      </c>
      <c r="O136" s="100">
        <f ca="1">_xll.DBRW($B$9,$C$16,$C$17,O$23,L$22,$C$18,$C$19,$B136,O$24)</f>
        <v>0</v>
      </c>
      <c r="P136" s="100">
        <f ca="1">_xll.DBRW($B$9,$C$16,$C$17,O$23,L$22,$C$18,$C$19,$B136,P$24)</f>
        <v>0</v>
      </c>
      <c r="Q136" s="100">
        <f ca="1">_xll.DBRW($B$9,$C$16,$C$17,O$23,L$22,$C$18,$C$19,$B136,Q$24)</f>
        <v>0</v>
      </c>
      <c r="R136" s="100">
        <f t="shared" ca="1" si="15"/>
        <v>0</v>
      </c>
      <c r="S136" s="100">
        <f t="shared" ca="1" si="16"/>
        <v>0</v>
      </c>
      <c r="T136" s="100">
        <f t="shared" ca="1" si="17"/>
        <v>0</v>
      </c>
      <c r="U136" s="100">
        <f ca="1">_xll.DBRW($B$9,$C$16,$C$17,U$23,U$22,$C$18,$C$19,$B136,U$24)</f>
        <v>0</v>
      </c>
      <c r="V136" s="100">
        <f ca="1">_xll.DBRW($B$9,$C$16,$C$17,U$23,U$22,$C$18,$C$19,$B136,V$24)</f>
        <v>0</v>
      </c>
      <c r="W136" s="100">
        <f ca="1">_xll.DBRW($B$9,$C$16,$C$17,U$23,U$22,$C$18,$C$19,$B136,W$24)</f>
        <v>0</v>
      </c>
      <c r="X136" s="100">
        <f ca="1">_xll.DBRW($B$9,$C$16,$C$17,X$23,U$22,$C$18,$C$19,$B136,X$24)</f>
        <v>0</v>
      </c>
      <c r="Y136" s="100">
        <f ca="1">_xll.DBRW($B$9,$C$16,$C$17,X$23,U$22,$C$18,$C$19,$B136,Y$24)</f>
        <v>0</v>
      </c>
      <c r="Z136" s="100">
        <f ca="1">_xll.DBRW($B$9,$C$16,$C$17,X$23,U$22,$C$18,$C$19,$B136,Z$24)</f>
        <v>0</v>
      </c>
      <c r="AA136" s="100">
        <f t="shared" ca="1" si="18"/>
        <v>0</v>
      </c>
      <c r="AB136" s="100">
        <f t="shared" ca="1" si="19"/>
        <v>0</v>
      </c>
      <c r="AC136" s="100">
        <f t="shared" ca="1" si="20"/>
        <v>0</v>
      </c>
      <c r="AD136" s="100">
        <f ca="1">_xll.DBRW($B$9,$C$16,$C$17,AD$23,AD$22,$C$18,$C$19,$B136,AD$24)</f>
        <v>0</v>
      </c>
      <c r="AE136" s="100">
        <f ca="1">_xll.DBRW($B$9,$C$16,$C$17,AD$23,AD$22,$C$18,$C$19,$B136,AE$24)</f>
        <v>0</v>
      </c>
      <c r="AF136" s="100">
        <f ca="1">_xll.DBRW($B$9,$C$16,$C$17,AD$23,AD$22,$C$18,$C$19,$B136,AF$24)</f>
        <v>0</v>
      </c>
      <c r="AG136" s="100">
        <f ca="1">_xll.DBRW($B$9,$C$16,$C$17,AG$23,AD$22,$C$18,$C$19,$B136,AG$24)</f>
        <v>0</v>
      </c>
      <c r="AH136" s="100">
        <f ca="1">_xll.DBRW($B$9,$C$16,$C$17,AG$23,AD$22,$C$18,$C$19,$B136,AH$24)</f>
        <v>0</v>
      </c>
      <c r="AI136" s="100">
        <f ca="1">_xll.DBRW($B$9,$C$16,$C$17,AG$23,AD$22,$C$18,$C$19,$B136,AI$24)</f>
        <v>0</v>
      </c>
      <c r="AJ136" s="100">
        <f t="shared" ca="1" si="21"/>
        <v>0</v>
      </c>
      <c r="AK136" s="100">
        <f t="shared" ca="1" si="22"/>
        <v>0</v>
      </c>
      <c r="AL136" s="100">
        <f t="shared" ca="1" si="23"/>
        <v>0</v>
      </c>
    </row>
    <row r="137" spans="1:38" x14ac:dyDescent="0.25">
      <c r="A137">
        <f ca="1">IF(_xll.TM1RPTELISCONSOLIDATED($B$25,$B137),IF(_xll.TM1RPTELLEV($B$25,$B137)&lt;=3,_xll.TM1RPTELLEV($B$25,$B137),"D"),"N")</f>
        <v>3</v>
      </c>
      <c r="B137" s="136" t="s">
        <v>145</v>
      </c>
      <c r="C137" s="100">
        <f ca="1">_xll.DBRW($B$9,$C$16,$C$17,C$23,C$22,$C$18,$C$19,$B137,C$24)</f>
        <v>0</v>
      </c>
      <c r="D137" s="100">
        <f ca="1">_xll.DBRW($B$9,$C$16,$C$17,C$23,C$22,$C$18,$C$19,$B137,D$24)</f>
        <v>0</v>
      </c>
      <c r="E137" s="100">
        <f ca="1">_xll.DBRW($B$9,$C$16,$C$17,C$23,C$22,$C$18,$C$19,$B137,E$24)</f>
        <v>0</v>
      </c>
      <c r="F137" s="100">
        <f ca="1">_xll.DBRW($B$9,$C$16,$C$17,F$23,C$22,$C$18,$C$19,$B137,F$24)</f>
        <v>0</v>
      </c>
      <c r="G137" s="100">
        <f ca="1">_xll.DBRW($B$9,$C$16,$C$17,F$23,C$22,$C$18,$C$19,$B137,G$24)</f>
        <v>0</v>
      </c>
      <c r="H137" s="100">
        <f ca="1">_xll.DBRW($B$9,$C$16,$C$17,F$23,C$22,$C$18,$C$19,$B137,H$24)</f>
        <v>0</v>
      </c>
      <c r="I137" s="100">
        <f t="shared" ca="1" si="12"/>
        <v>0</v>
      </c>
      <c r="J137" s="100">
        <f t="shared" ca="1" si="13"/>
        <v>0</v>
      </c>
      <c r="K137" s="100">
        <f t="shared" ca="1" si="14"/>
        <v>0</v>
      </c>
      <c r="L137" s="100">
        <f ca="1">_xll.DBRW($B$9,$C$16,$C$17,L$23,L$22,$C$18,$C$19,$B137,L$24)</f>
        <v>0</v>
      </c>
      <c r="M137" s="100">
        <f ca="1">_xll.DBRW($B$9,$C$16,$C$17,L$23,L$22,$C$18,$C$19,$B137,M$24)</f>
        <v>0</v>
      </c>
      <c r="N137" s="100">
        <f ca="1">_xll.DBRW($B$9,$C$16,$C$17,L$23,L$22,$C$18,$C$19,$B137,N$24)</f>
        <v>0</v>
      </c>
      <c r="O137" s="100">
        <f ca="1">_xll.DBRW($B$9,$C$16,$C$17,O$23,L$22,$C$18,$C$19,$B137,O$24)</f>
        <v>0</v>
      </c>
      <c r="P137" s="100">
        <f ca="1">_xll.DBRW($B$9,$C$16,$C$17,O$23,L$22,$C$18,$C$19,$B137,P$24)</f>
        <v>0</v>
      </c>
      <c r="Q137" s="100">
        <f ca="1">_xll.DBRW($B$9,$C$16,$C$17,O$23,L$22,$C$18,$C$19,$B137,Q$24)</f>
        <v>0</v>
      </c>
      <c r="R137" s="100">
        <f t="shared" ca="1" si="15"/>
        <v>0</v>
      </c>
      <c r="S137" s="100">
        <f t="shared" ca="1" si="16"/>
        <v>0</v>
      </c>
      <c r="T137" s="100">
        <f t="shared" ca="1" si="17"/>
        <v>0</v>
      </c>
      <c r="U137" s="100">
        <f ca="1">_xll.DBRW($B$9,$C$16,$C$17,U$23,U$22,$C$18,$C$19,$B137,U$24)</f>
        <v>0</v>
      </c>
      <c r="V137" s="100">
        <f ca="1">_xll.DBRW($B$9,$C$16,$C$17,U$23,U$22,$C$18,$C$19,$B137,V$24)</f>
        <v>0</v>
      </c>
      <c r="W137" s="100">
        <f ca="1">_xll.DBRW($B$9,$C$16,$C$17,U$23,U$22,$C$18,$C$19,$B137,W$24)</f>
        <v>0</v>
      </c>
      <c r="X137" s="100">
        <f ca="1">_xll.DBRW($B$9,$C$16,$C$17,X$23,U$22,$C$18,$C$19,$B137,X$24)</f>
        <v>0</v>
      </c>
      <c r="Y137" s="100">
        <f ca="1">_xll.DBRW($B$9,$C$16,$C$17,X$23,U$22,$C$18,$C$19,$B137,Y$24)</f>
        <v>0</v>
      </c>
      <c r="Z137" s="100">
        <f ca="1">_xll.DBRW($B$9,$C$16,$C$17,X$23,U$22,$C$18,$C$19,$B137,Z$24)</f>
        <v>0</v>
      </c>
      <c r="AA137" s="100">
        <f t="shared" ca="1" si="18"/>
        <v>0</v>
      </c>
      <c r="AB137" s="100">
        <f t="shared" ca="1" si="19"/>
        <v>0</v>
      </c>
      <c r="AC137" s="100">
        <f t="shared" ca="1" si="20"/>
        <v>0</v>
      </c>
      <c r="AD137" s="100">
        <f ca="1">_xll.DBRW($B$9,$C$16,$C$17,AD$23,AD$22,$C$18,$C$19,$B137,AD$24)</f>
        <v>0</v>
      </c>
      <c r="AE137" s="100">
        <f ca="1">_xll.DBRW($B$9,$C$16,$C$17,AD$23,AD$22,$C$18,$C$19,$B137,AE$24)</f>
        <v>0</v>
      </c>
      <c r="AF137" s="100">
        <f ca="1">_xll.DBRW($B$9,$C$16,$C$17,AD$23,AD$22,$C$18,$C$19,$B137,AF$24)</f>
        <v>0</v>
      </c>
      <c r="AG137" s="100">
        <f ca="1">_xll.DBRW($B$9,$C$16,$C$17,AG$23,AD$22,$C$18,$C$19,$B137,AG$24)</f>
        <v>0</v>
      </c>
      <c r="AH137" s="100">
        <f ca="1">_xll.DBRW($B$9,$C$16,$C$17,AG$23,AD$22,$C$18,$C$19,$B137,AH$24)</f>
        <v>0</v>
      </c>
      <c r="AI137" s="100">
        <f ca="1">_xll.DBRW($B$9,$C$16,$C$17,AG$23,AD$22,$C$18,$C$19,$B137,AI$24)</f>
        <v>0</v>
      </c>
      <c r="AJ137" s="100">
        <f t="shared" ca="1" si="21"/>
        <v>0</v>
      </c>
      <c r="AK137" s="100">
        <f t="shared" ca="1" si="22"/>
        <v>0</v>
      </c>
      <c r="AL137" s="100">
        <f t="shared" ca="1" si="23"/>
        <v>0</v>
      </c>
    </row>
    <row r="138" spans="1:38" x14ac:dyDescent="0.25">
      <c r="A138">
        <f ca="1">IF(_xll.TM1RPTELISCONSOLIDATED($B$25,$B138),IF(_xll.TM1RPTELLEV($B$25,$B138)&lt;=3,_xll.TM1RPTELLEV($B$25,$B138),"D"),"N")</f>
        <v>2</v>
      </c>
      <c r="B138" s="134" t="s">
        <v>146</v>
      </c>
      <c r="C138" s="99">
        <f ca="1">_xll.DBRW($B$9,$C$16,$C$17,C$23,C$22,$C$18,$C$19,$B138,C$24)</f>
        <v>0</v>
      </c>
      <c r="D138" s="99">
        <f ca="1">_xll.DBRW($B$9,$C$16,$C$17,C$23,C$22,$C$18,$C$19,$B138,D$24)</f>
        <v>0</v>
      </c>
      <c r="E138" s="99">
        <f ca="1">_xll.DBRW($B$9,$C$16,$C$17,C$23,C$22,$C$18,$C$19,$B138,E$24)</f>
        <v>0</v>
      </c>
      <c r="F138" s="99">
        <f ca="1">_xll.DBRW($B$9,$C$16,$C$17,F$23,C$22,$C$18,$C$19,$B138,F$24)</f>
        <v>0</v>
      </c>
      <c r="G138" s="99">
        <f ca="1">_xll.DBRW($B$9,$C$16,$C$17,F$23,C$22,$C$18,$C$19,$B138,G$24)</f>
        <v>0</v>
      </c>
      <c r="H138" s="99">
        <f ca="1">_xll.DBRW($B$9,$C$16,$C$17,F$23,C$22,$C$18,$C$19,$B138,H$24)</f>
        <v>0</v>
      </c>
      <c r="I138" s="99">
        <f t="shared" ca="1" si="12"/>
        <v>0</v>
      </c>
      <c r="J138" s="99">
        <f t="shared" ca="1" si="13"/>
        <v>0</v>
      </c>
      <c r="K138" s="99">
        <f t="shared" ca="1" si="14"/>
        <v>0</v>
      </c>
      <c r="L138" s="99">
        <f ca="1">_xll.DBRW($B$9,$C$16,$C$17,L$23,L$22,$C$18,$C$19,$B138,L$24)</f>
        <v>0</v>
      </c>
      <c r="M138" s="99">
        <f ca="1">_xll.DBRW($B$9,$C$16,$C$17,L$23,L$22,$C$18,$C$19,$B138,M$24)</f>
        <v>0</v>
      </c>
      <c r="N138" s="99">
        <f ca="1">_xll.DBRW($B$9,$C$16,$C$17,L$23,L$22,$C$18,$C$19,$B138,N$24)</f>
        <v>0</v>
      </c>
      <c r="O138" s="99">
        <f ca="1">_xll.DBRW($B$9,$C$16,$C$17,O$23,L$22,$C$18,$C$19,$B138,O$24)</f>
        <v>0</v>
      </c>
      <c r="P138" s="99">
        <f ca="1">_xll.DBRW($B$9,$C$16,$C$17,O$23,L$22,$C$18,$C$19,$B138,P$24)</f>
        <v>0</v>
      </c>
      <c r="Q138" s="99">
        <f ca="1">_xll.DBRW($B$9,$C$16,$C$17,O$23,L$22,$C$18,$C$19,$B138,Q$24)</f>
        <v>0</v>
      </c>
      <c r="R138" s="99">
        <f t="shared" ca="1" si="15"/>
        <v>0</v>
      </c>
      <c r="S138" s="99">
        <f t="shared" ca="1" si="16"/>
        <v>0</v>
      </c>
      <c r="T138" s="99">
        <f t="shared" ca="1" si="17"/>
        <v>0</v>
      </c>
      <c r="U138" s="99">
        <f ca="1">_xll.DBRW($B$9,$C$16,$C$17,U$23,U$22,$C$18,$C$19,$B138,U$24)</f>
        <v>0</v>
      </c>
      <c r="V138" s="99">
        <f ca="1">_xll.DBRW($B$9,$C$16,$C$17,U$23,U$22,$C$18,$C$19,$B138,V$24)</f>
        <v>0</v>
      </c>
      <c r="W138" s="99">
        <f ca="1">_xll.DBRW($B$9,$C$16,$C$17,U$23,U$22,$C$18,$C$19,$B138,W$24)</f>
        <v>0</v>
      </c>
      <c r="X138" s="99">
        <f ca="1">_xll.DBRW($B$9,$C$16,$C$17,X$23,U$22,$C$18,$C$19,$B138,X$24)</f>
        <v>0</v>
      </c>
      <c r="Y138" s="99">
        <f ca="1">_xll.DBRW($B$9,$C$16,$C$17,X$23,U$22,$C$18,$C$19,$B138,Y$24)</f>
        <v>0</v>
      </c>
      <c r="Z138" s="99">
        <f ca="1">_xll.DBRW($B$9,$C$16,$C$17,X$23,U$22,$C$18,$C$19,$B138,Z$24)</f>
        <v>0</v>
      </c>
      <c r="AA138" s="99">
        <f t="shared" ca="1" si="18"/>
        <v>0</v>
      </c>
      <c r="AB138" s="99">
        <f t="shared" ca="1" si="19"/>
        <v>0</v>
      </c>
      <c r="AC138" s="99">
        <f t="shared" ca="1" si="20"/>
        <v>0</v>
      </c>
      <c r="AD138" s="99">
        <f ca="1">_xll.DBRW($B$9,$C$16,$C$17,AD$23,AD$22,$C$18,$C$19,$B138,AD$24)</f>
        <v>0</v>
      </c>
      <c r="AE138" s="99">
        <f ca="1">_xll.DBRW($B$9,$C$16,$C$17,AD$23,AD$22,$C$18,$C$19,$B138,AE$24)</f>
        <v>0</v>
      </c>
      <c r="AF138" s="99">
        <f ca="1">_xll.DBRW($B$9,$C$16,$C$17,AD$23,AD$22,$C$18,$C$19,$B138,AF$24)</f>
        <v>0</v>
      </c>
      <c r="AG138" s="99">
        <f ca="1">_xll.DBRW($B$9,$C$16,$C$17,AG$23,AD$22,$C$18,$C$19,$B138,AG$24)</f>
        <v>0</v>
      </c>
      <c r="AH138" s="99">
        <f ca="1">_xll.DBRW($B$9,$C$16,$C$17,AG$23,AD$22,$C$18,$C$19,$B138,AH$24)</f>
        <v>0</v>
      </c>
      <c r="AI138" s="99">
        <f ca="1">_xll.DBRW($B$9,$C$16,$C$17,AG$23,AD$22,$C$18,$C$19,$B138,AI$24)</f>
        <v>0</v>
      </c>
      <c r="AJ138" s="99">
        <f t="shared" ca="1" si="21"/>
        <v>0</v>
      </c>
      <c r="AK138" s="99">
        <f t="shared" ca="1" si="22"/>
        <v>0</v>
      </c>
      <c r="AL138" s="99">
        <f t="shared" ca="1" si="23"/>
        <v>0</v>
      </c>
    </row>
    <row r="139" spans="1:38" x14ac:dyDescent="0.25">
      <c r="A139">
        <f ca="1">IF(_xll.TM1RPTELISCONSOLIDATED($B$25,$B139),IF(_xll.TM1RPTELLEV($B$25,$B139)&lt;=3,_xll.TM1RPTELLEV($B$25,$B139),"D"),"N")</f>
        <v>2</v>
      </c>
      <c r="B139" s="134" t="s">
        <v>147</v>
      </c>
      <c r="C139" s="99">
        <f ca="1">_xll.DBRW($B$9,$C$16,$C$17,C$23,C$22,$C$18,$C$19,$B139,C$24)</f>
        <v>0</v>
      </c>
      <c r="D139" s="99">
        <f ca="1">_xll.DBRW($B$9,$C$16,$C$17,C$23,C$22,$C$18,$C$19,$B139,D$24)</f>
        <v>0</v>
      </c>
      <c r="E139" s="99">
        <f ca="1">_xll.DBRW($B$9,$C$16,$C$17,C$23,C$22,$C$18,$C$19,$B139,E$24)</f>
        <v>0</v>
      </c>
      <c r="F139" s="99">
        <f ca="1">_xll.DBRW($B$9,$C$16,$C$17,F$23,C$22,$C$18,$C$19,$B139,F$24)</f>
        <v>0</v>
      </c>
      <c r="G139" s="99">
        <f ca="1">_xll.DBRW($B$9,$C$16,$C$17,F$23,C$22,$C$18,$C$19,$B139,G$24)</f>
        <v>0</v>
      </c>
      <c r="H139" s="99">
        <f ca="1">_xll.DBRW($B$9,$C$16,$C$17,F$23,C$22,$C$18,$C$19,$B139,H$24)</f>
        <v>0</v>
      </c>
      <c r="I139" s="99">
        <f t="shared" ca="1" si="12"/>
        <v>0</v>
      </c>
      <c r="J139" s="99">
        <f t="shared" ca="1" si="13"/>
        <v>0</v>
      </c>
      <c r="K139" s="99">
        <f t="shared" ca="1" si="14"/>
        <v>0</v>
      </c>
      <c r="L139" s="99">
        <f ca="1">_xll.DBRW($B$9,$C$16,$C$17,L$23,L$22,$C$18,$C$19,$B139,L$24)</f>
        <v>0</v>
      </c>
      <c r="M139" s="99">
        <f ca="1">_xll.DBRW($B$9,$C$16,$C$17,L$23,L$22,$C$18,$C$19,$B139,M$24)</f>
        <v>0</v>
      </c>
      <c r="N139" s="99">
        <f ca="1">_xll.DBRW($B$9,$C$16,$C$17,L$23,L$22,$C$18,$C$19,$B139,N$24)</f>
        <v>0</v>
      </c>
      <c r="O139" s="99">
        <f ca="1">_xll.DBRW($B$9,$C$16,$C$17,O$23,L$22,$C$18,$C$19,$B139,O$24)</f>
        <v>0</v>
      </c>
      <c r="P139" s="99">
        <f ca="1">_xll.DBRW($B$9,$C$16,$C$17,O$23,L$22,$C$18,$C$19,$B139,P$24)</f>
        <v>0</v>
      </c>
      <c r="Q139" s="99">
        <f ca="1">_xll.DBRW($B$9,$C$16,$C$17,O$23,L$22,$C$18,$C$19,$B139,Q$24)</f>
        <v>0</v>
      </c>
      <c r="R139" s="99">
        <f t="shared" ca="1" si="15"/>
        <v>0</v>
      </c>
      <c r="S139" s="99">
        <f t="shared" ca="1" si="16"/>
        <v>0</v>
      </c>
      <c r="T139" s="99">
        <f t="shared" ca="1" si="17"/>
        <v>0</v>
      </c>
      <c r="U139" s="99">
        <f ca="1">_xll.DBRW($B$9,$C$16,$C$17,U$23,U$22,$C$18,$C$19,$B139,U$24)</f>
        <v>0</v>
      </c>
      <c r="V139" s="99">
        <f ca="1">_xll.DBRW($B$9,$C$16,$C$17,U$23,U$22,$C$18,$C$19,$B139,V$24)</f>
        <v>0</v>
      </c>
      <c r="W139" s="99">
        <f ca="1">_xll.DBRW($B$9,$C$16,$C$17,U$23,U$22,$C$18,$C$19,$B139,W$24)</f>
        <v>0</v>
      </c>
      <c r="X139" s="99">
        <f ca="1">_xll.DBRW($B$9,$C$16,$C$17,X$23,U$22,$C$18,$C$19,$B139,X$24)</f>
        <v>0</v>
      </c>
      <c r="Y139" s="99">
        <f ca="1">_xll.DBRW($B$9,$C$16,$C$17,X$23,U$22,$C$18,$C$19,$B139,Y$24)</f>
        <v>0</v>
      </c>
      <c r="Z139" s="99">
        <f ca="1">_xll.DBRW($B$9,$C$16,$C$17,X$23,U$22,$C$18,$C$19,$B139,Z$24)</f>
        <v>0</v>
      </c>
      <c r="AA139" s="99">
        <f t="shared" ca="1" si="18"/>
        <v>0</v>
      </c>
      <c r="AB139" s="99">
        <f t="shared" ca="1" si="19"/>
        <v>0</v>
      </c>
      <c r="AC139" s="99">
        <f t="shared" ca="1" si="20"/>
        <v>0</v>
      </c>
      <c r="AD139" s="99">
        <f ca="1">_xll.DBRW($B$9,$C$16,$C$17,AD$23,AD$22,$C$18,$C$19,$B139,AD$24)</f>
        <v>0</v>
      </c>
      <c r="AE139" s="99">
        <f ca="1">_xll.DBRW($B$9,$C$16,$C$17,AD$23,AD$22,$C$18,$C$19,$B139,AE$24)</f>
        <v>0</v>
      </c>
      <c r="AF139" s="99">
        <f ca="1">_xll.DBRW($B$9,$C$16,$C$17,AD$23,AD$22,$C$18,$C$19,$B139,AF$24)</f>
        <v>0</v>
      </c>
      <c r="AG139" s="99">
        <f ca="1">_xll.DBRW($B$9,$C$16,$C$17,AG$23,AD$22,$C$18,$C$19,$B139,AG$24)</f>
        <v>0</v>
      </c>
      <c r="AH139" s="99">
        <f ca="1">_xll.DBRW($B$9,$C$16,$C$17,AG$23,AD$22,$C$18,$C$19,$B139,AH$24)</f>
        <v>0</v>
      </c>
      <c r="AI139" s="99">
        <f ca="1">_xll.DBRW($B$9,$C$16,$C$17,AG$23,AD$22,$C$18,$C$19,$B139,AI$24)</f>
        <v>0</v>
      </c>
      <c r="AJ139" s="99">
        <f t="shared" ca="1" si="21"/>
        <v>0</v>
      </c>
      <c r="AK139" s="99">
        <f t="shared" ca="1" si="22"/>
        <v>0</v>
      </c>
      <c r="AL139" s="99">
        <f t="shared" ca="1" si="23"/>
        <v>0</v>
      </c>
    </row>
    <row r="140" spans="1:38" x14ac:dyDescent="0.25">
      <c r="A140">
        <f ca="1">IF(_xll.TM1RPTELISCONSOLIDATED($B$25,$B140),IF(_xll.TM1RPTELLEV($B$25,$B140)&lt;=3,_xll.TM1RPTELLEV($B$25,$B140),"D"),"N")</f>
        <v>2</v>
      </c>
      <c r="B140" s="134" t="s">
        <v>148</v>
      </c>
      <c r="C140" s="99">
        <f ca="1">_xll.DBRW($B$9,$C$16,$C$17,C$23,C$22,$C$18,$C$19,$B140,C$24)</f>
        <v>0</v>
      </c>
      <c r="D140" s="99">
        <f ca="1">_xll.DBRW($B$9,$C$16,$C$17,C$23,C$22,$C$18,$C$19,$B140,D$24)</f>
        <v>0</v>
      </c>
      <c r="E140" s="99">
        <f ca="1">_xll.DBRW($B$9,$C$16,$C$17,C$23,C$22,$C$18,$C$19,$B140,E$24)</f>
        <v>0</v>
      </c>
      <c r="F140" s="99">
        <f ca="1">_xll.DBRW($B$9,$C$16,$C$17,F$23,C$22,$C$18,$C$19,$B140,F$24)</f>
        <v>0</v>
      </c>
      <c r="G140" s="99">
        <f ca="1">_xll.DBRW($B$9,$C$16,$C$17,F$23,C$22,$C$18,$C$19,$B140,G$24)</f>
        <v>0</v>
      </c>
      <c r="H140" s="99">
        <f ca="1">_xll.DBRW($B$9,$C$16,$C$17,F$23,C$22,$C$18,$C$19,$B140,H$24)</f>
        <v>0</v>
      </c>
      <c r="I140" s="99">
        <f t="shared" ca="1" si="12"/>
        <v>0</v>
      </c>
      <c r="J140" s="99">
        <f t="shared" ca="1" si="13"/>
        <v>0</v>
      </c>
      <c r="K140" s="99">
        <f t="shared" ca="1" si="14"/>
        <v>0</v>
      </c>
      <c r="L140" s="99">
        <f ca="1">_xll.DBRW($B$9,$C$16,$C$17,L$23,L$22,$C$18,$C$19,$B140,L$24)</f>
        <v>0</v>
      </c>
      <c r="M140" s="99">
        <f ca="1">_xll.DBRW($B$9,$C$16,$C$17,L$23,L$22,$C$18,$C$19,$B140,M$24)</f>
        <v>0</v>
      </c>
      <c r="N140" s="99">
        <f ca="1">_xll.DBRW($B$9,$C$16,$C$17,L$23,L$22,$C$18,$C$19,$B140,N$24)</f>
        <v>0</v>
      </c>
      <c r="O140" s="99">
        <f ca="1">_xll.DBRW($B$9,$C$16,$C$17,O$23,L$22,$C$18,$C$19,$B140,O$24)</f>
        <v>0</v>
      </c>
      <c r="P140" s="99">
        <f ca="1">_xll.DBRW($B$9,$C$16,$C$17,O$23,L$22,$C$18,$C$19,$B140,P$24)</f>
        <v>0</v>
      </c>
      <c r="Q140" s="99">
        <f ca="1">_xll.DBRW($B$9,$C$16,$C$17,O$23,L$22,$C$18,$C$19,$B140,Q$24)</f>
        <v>0</v>
      </c>
      <c r="R140" s="99">
        <f t="shared" ca="1" si="15"/>
        <v>0</v>
      </c>
      <c r="S140" s="99">
        <f t="shared" ca="1" si="16"/>
        <v>0</v>
      </c>
      <c r="T140" s="99">
        <f t="shared" ca="1" si="17"/>
        <v>0</v>
      </c>
      <c r="U140" s="99">
        <f ca="1">_xll.DBRW($B$9,$C$16,$C$17,U$23,U$22,$C$18,$C$19,$B140,U$24)</f>
        <v>0</v>
      </c>
      <c r="V140" s="99">
        <f ca="1">_xll.DBRW($B$9,$C$16,$C$17,U$23,U$22,$C$18,$C$19,$B140,V$24)</f>
        <v>0</v>
      </c>
      <c r="W140" s="99">
        <f ca="1">_xll.DBRW($B$9,$C$16,$C$17,U$23,U$22,$C$18,$C$19,$B140,W$24)</f>
        <v>0</v>
      </c>
      <c r="X140" s="99">
        <f ca="1">_xll.DBRW($B$9,$C$16,$C$17,X$23,U$22,$C$18,$C$19,$B140,X$24)</f>
        <v>0</v>
      </c>
      <c r="Y140" s="99">
        <f ca="1">_xll.DBRW($B$9,$C$16,$C$17,X$23,U$22,$C$18,$C$19,$B140,Y$24)</f>
        <v>0</v>
      </c>
      <c r="Z140" s="99">
        <f ca="1">_xll.DBRW($B$9,$C$16,$C$17,X$23,U$22,$C$18,$C$19,$B140,Z$24)</f>
        <v>0</v>
      </c>
      <c r="AA140" s="99">
        <f t="shared" ca="1" si="18"/>
        <v>0</v>
      </c>
      <c r="AB140" s="99">
        <f t="shared" ca="1" si="19"/>
        <v>0</v>
      </c>
      <c r="AC140" s="99">
        <f t="shared" ca="1" si="20"/>
        <v>0</v>
      </c>
      <c r="AD140" s="99">
        <f ca="1">_xll.DBRW($B$9,$C$16,$C$17,AD$23,AD$22,$C$18,$C$19,$B140,AD$24)</f>
        <v>0</v>
      </c>
      <c r="AE140" s="99">
        <f ca="1">_xll.DBRW($B$9,$C$16,$C$17,AD$23,AD$22,$C$18,$C$19,$B140,AE$24)</f>
        <v>0</v>
      </c>
      <c r="AF140" s="99">
        <f ca="1">_xll.DBRW($B$9,$C$16,$C$17,AD$23,AD$22,$C$18,$C$19,$B140,AF$24)</f>
        <v>0</v>
      </c>
      <c r="AG140" s="99">
        <f ca="1">_xll.DBRW($B$9,$C$16,$C$17,AG$23,AD$22,$C$18,$C$19,$B140,AG$24)</f>
        <v>0</v>
      </c>
      <c r="AH140" s="99">
        <f ca="1">_xll.DBRW($B$9,$C$16,$C$17,AG$23,AD$22,$C$18,$C$19,$B140,AH$24)</f>
        <v>0</v>
      </c>
      <c r="AI140" s="99">
        <f ca="1">_xll.DBRW($B$9,$C$16,$C$17,AG$23,AD$22,$C$18,$C$19,$B140,AI$24)</f>
        <v>0</v>
      </c>
      <c r="AJ140" s="99">
        <f t="shared" ca="1" si="21"/>
        <v>0</v>
      </c>
      <c r="AK140" s="99">
        <f t="shared" ca="1" si="22"/>
        <v>0</v>
      </c>
      <c r="AL140" s="99">
        <f t="shared" ca="1" si="23"/>
        <v>0</v>
      </c>
    </row>
    <row r="141" spans="1:38" x14ac:dyDescent="0.25">
      <c r="A141">
        <f ca="1">IF(_xll.TM1RPTELISCONSOLIDATED($B$25,$B141),IF(_xll.TM1RPTELLEV($B$25,$B141)&lt;=3,_xll.TM1RPTELLEV($B$25,$B141),"D"),"N")</f>
        <v>2</v>
      </c>
      <c r="B141" s="135" t="s">
        <v>149</v>
      </c>
      <c r="C141" s="99">
        <f ca="1">_xll.DBRW($B$9,$C$16,$C$17,C$23,C$22,$C$18,$C$19,$B141,C$24)</f>
        <v>0</v>
      </c>
      <c r="D141" s="99">
        <f ca="1">_xll.DBRW($B$9,$C$16,$C$17,C$23,C$22,$C$18,$C$19,$B141,D$24)</f>
        <v>0</v>
      </c>
      <c r="E141" s="99">
        <f ca="1">_xll.DBRW($B$9,$C$16,$C$17,C$23,C$22,$C$18,$C$19,$B141,E$24)</f>
        <v>0</v>
      </c>
      <c r="F141" s="99">
        <f ca="1">_xll.DBRW($B$9,$C$16,$C$17,F$23,C$22,$C$18,$C$19,$B141,F$24)</f>
        <v>0</v>
      </c>
      <c r="G141" s="99">
        <f ca="1">_xll.DBRW($B$9,$C$16,$C$17,F$23,C$22,$C$18,$C$19,$B141,G$24)</f>
        <v>0</v>
      </c>
      <c r="H141" s="99">
        <f ca="1">_xll.DBRW($B$9,$C$16,$C$17,F$23,C$22,$C$18,$C$19,$B141,H$24)</f>
        <v>0</v>
      </c>
      <c r="I141" s="99">
        <f t="shared" ca="1" si="12"/>
        <v>0</v>
      </c>
      <c r="J141" s="99">
        <f t="shared" ca="1" si="13"/>
        <v>0</v>
      </c>
      <c r="K141" s="99">
        <f t="shared" ca="1" si="14"/>
        <v>0</v>
      </c>
      <c r="L141" s="99">
        <f ca="1">_xll.DBRW($B$9,$C$16,$C$17,L$23,L$22,$C$18,$C$19,$B141,L$24)</f>
        <v>0</v>
      </c>
      <c r="M141" s="99">
        <f ca="1">_xll.DBRW($B$9,$C$16,$C$17,L$23,L$22,$C$18,$C$19,$B141,M$24)</f>
        <v>0</v>
      </c>
      <c r="N141" s="99">
        <f ca="1">_xll.DBRW($B$9,$C$16,$C$17,L$23,L$22,$C$18,$C$19,$B141,N$24)</f>
        <v>0</v>
      </c>
      <c r="O141" s="99">
        <f ca="1">_xll.DBRW($B$9,$C$16,$C$17,O$23,L$22,$C$18,$C$19,$B141,O$24)</f>
        <v>0</v>
      </c>
      <c r="P141" s="99">
        <f ca="1">_xll.DBRW($B$9,$C$16,$C$17,O$23,L$22,$C$18,$C$19,$B141,P$24)</f>
        <v>0</v>
      </c>
      <c r="Q141" s="99">
        <f ca="1">_xll.DBRW($B$9,$C$16,$C$17,O$23,L$22,$C$18,$C$19,$B141,Q$24)</f>
        <v>0</v>
      </c>
      <c r="R141" s="99">
        <f t="shared" ca="1" si="15"/>
        <v>0</v>
      </c>
      <c r="S141" s="99">
        <f t="shared" ca="1" si="16"/>
        <v>0</v>
      </c>
      <c r="T141" s="99">
        <f t="shared" ca="1" si="17"/>
        <v>0</v>
      </c>
      <c r="U141" s="99">
        <f ca="1">_xll.DBRW($B$9,$C$16,$C$17,U$23,U$22,$C$18,$C$19,$B141,U$24)</f>
        <v>0</v>
      </c>
      <c r="V141" s="99">
        <f ca="1">_xll.DBRW($B$9,$C$16,$C$17,U$23,U$22,$C$18,$C$19,$B141,V$24)</f>
        <v>0</v>
      </c>
      <c r="W141" s="99">
        <f ca="1">_xll.DBRW($B$9,$C$16,$C$17,U$23,U$22,$C$18,$C$19,$B141,W$24)</f>
        <v>0</v>
      </c>
      <c r="X141" s="99">
        <f ca="1">_xll.DBRW($B$9,$C$16,$C$17,X$23,U$22,$C$18,$C$19,$B141,X$24)</f>
        <v>0</v>
      </c>
      <c r="Y141" s="99">
        <f ca="1">_xll.DBRW($B$9,$C$16,$C$17,X$23,U$22,$C$18,$C$19,$B141,Y$24)</f>
        <v>0</v>
      </c>
      <c r="Z141" s="99">
        <f ca="1">_xll.DBRW($B$9,$C$16,$C$17,X$23,U$22,$C$18,$C$19,$B141,Z$24)</f>
        <v>0</v>
      </c>
      <c r="AA141" s="99">
        <f t="shared" ca="1" si="18"/>
        <v>0</v>
      </c>
      <c r="AB141" s="99">
        <f t="shared" ca="1" si="19"/>
        <v>0</v>
      </c>
      <c r="AC141" s="99">
        <f t="shared" ca="1" si="20"/>
        <v>0</v>
      </c>
      <c r="AD141" s="99">
        <f ca="1">_xll.DBRW($B$9,$C$16,$C$17,AD$23,AD$22,$C$18,$C$19,$B141,AD$24)</f>
        <v>0</v>
      </c>
      <c r="AE141" s="99">
        <f ca="1">_xll.DBRW($B$9,$C$16,$C$17,AD$23,AD$22,$C$18,$C$19,$B141,AE$24)</f>
        <v>0</v>
      </c>
      <c r="AF141" s="99">
        <f ca="1">_xll.DBRW($B$9,$C$16,$C$17,AD$23,AD$22,$C$18,$C$19,$B141,AF$24)</f>
        <v>0</v>
      </c>
      <c r="AG141" s="99">
        <f ca="1">_xll.DBRW($B$9,$C$16,$C$17,AG$23,AD$22,$C$18,$C$19,$B141,AG$24)</f>
        <v>0</v>
      </c>
      <c r="AH141" s="99">
        <f ca="1">_xll.DBRW($B$9,$C$16,$C$17,AG$23,AD$22,$C$18,$C$19,$B141,AH$24)</f>
        <v>0</v>
      </c>
      <c r="AI141" s="99">
        <f ca="1">_xll.DBRW($B$9,$C$16,$C$17,AG$23,AD$22,$C$18,$C$19,$B141,AI$24)</f>
        <v>0</v>
      </c>
      <c r="AJ141" s="99">
        <f t="shared" ca="1" si="21"/>
        <v>0</v>
      </c>
      <c r="AK141" s="99">
        <f t="shared" ca="1" si="22"/>
        <v>0</v>
      </c>
      <c r="AL141" s="99">
        <f t="shared" ca="1" si="23"/>
        <v>0</v>
      </c>
    </row>
    <row r="142" spans="1:38" x14ac:dyDescent="0.25">
      <c r="A142">
        <f ca="1">IF(_xll.TM1RPTELISCONSOLIDATED($B$25,$B142),IF(_xll.TM1RPTELLEV($B$25,$B142)&lt;=3,_xll.TM1RPTELLEV($B$25,$B142),"D"),"N")</f>
        <v>3</v>
      </c>
      <c r="B142" s="136" t="s">
        <v>150</v>
      </c>
      <c r="C142" s="100">
        <f ca="1">_xll.DBRW($B$9,$C$16,$C$17,C$23,C$22,$C$18,$C$19,$B142,C$24)</f>
        <v>0</v>
      </c>
      <c r="D142" s="100">
        <f ca="1">_xll.DBRW($B$9,$C$16,$C$17,C$23,C$22,$C$18,$C$19,$B142,D$24)</f>
        <v>0</v>
      </c>
      <c r="E142" s="100">
        <f ca="1">_xll.DBRW($B$9,$C$16,$C$17,C$23,C$22,$C$18,$C$19,$B142,E$24)</f>
        <v>0</v>
      </c>
      <c r="F142" s="100">
        <f ca="1">_xll.DBRW($B$9,$C$16,$C$17,F$23,C$22,$C$18,$C$19,$B142,F$24)</f>
        <v>0</v>
      </c>
      <c r="G142" s="100">
        <f ca="1">_xll.DBRW($B$9,$C$16,$C$17,F$23,C$22,$C$18,$C$19,$B142,G$24)</f>
        <v>0</v>
      </c>
      <c r="H142" s="100">
        <f ca="1">_xll.DBRW($B$9,$C$16,$C$17,F$23,C$22,$C$18,$C$19,$B142,H$24)</f>
        <v>0</v>
      </c>
      <c r="I142" s="100">
        <f t="shared" ca="1" si="12"/>
        <v>0</v>
      </c>
      <c r="J142" s="100">
        <f t="shared" ca="1" si="13"/>
        <v>0</v>
      </c>
      <c r="K142" s="100">
        <f t="shared" ca="1" si="14"/>
        <v>0</v>
      </c>
      <c r="L142" s="100">
        <f ca="1">_xll.DBRW($B$9,$C$16,$C$17,L$23,L$22,$C$18,$C$19,$B142,L$24)</f>
        <v>0</v>
      </c>
      <c r="M142" s="100">
        <f ca="1">_xll.DBRW($B$9,$C$16,$C$17,L$23,L$22,$C$18,$C$19,$B142,M$24)</f>
        <v>0</v>
      </c>
      <c r="N142" s="100">
        <f ca="1">_xll.DBRW($B$9,$C$16,$C$17,L$23,L$22,$C$18,$C$19,$B142,N$24)</f>
        <v>0</v>
      </c>
      <c r="O142" s="100">
        <f ca="1">_xll.DBRW($B$9,$C$16,$C$17,O$23,L$22,$C$18,$C$19,$B142,O$24)</f>
        <v>0</v>
      </c>
      <c r="P142" s="100">
        <f ca="1">_xll.DBRW($B$9,$C$16,$C$17,O$23,L$22,$C$18,$C$19,$B142,P$24)</f>
        <v>0</v>
      </c>
      <c r="Q142" s="100">
        <f ca="1">_xll.DBRW($B$9,$C$16,$C$17,O$23,L$22,$C$18,$C$19,$B142,Q$24)</f>
        <v>0</v>
      </c>
      <c r="R142" s="100">
        <f t="shared" ca="1" si="15"/>
        <v>0</v>
      </c>
      <c r="S142" s="100">
        <f t="shared" ca="1" si="16"/>
        <v>0</v>
      </c>
      <c r="T142" s="100">
        <f t="shared" ca="1" si="17"/>
        <v>0</v>
      </c>
      <c r="U142" s="100">
        <f ca="1">_xll.DBRW($B$9,$C$16,$C$17,U$23,U$22,$C$18,$C$19,$B142,U$24)</f>
        <v>0</v>
      </c>
      <c r="V142" s="100">
        <f ca="1">_xll.DBRW($B$9,$C$16,$C$17,U$23,U$22,$C$18,$C$19,$B142,V$24)</f>
        <v>0</v>
      </c>
      <c r="W142" s="100">
        <f ca="1">_xll.DBRW($B$9,$C$16,$C$17,U$23,U$22,$C$18,$C$19,$B142,W$24)</f>
        <v>0</v>
      </c>
      <c r="X142" s="100">
        <f ca="1">_xll.DBRW($B$9,$C$16,$C$17,X$23,U$22,$C$18,$C$19,$B142,X$24)</f>
        <v>0</v>
      </c>
      <c r="Y142" s="100">
        <f ca="1">_xll.DBRW($B$9,$C$16,$C$17,X$23,U$22,$C$18,$C$19,$B142,Y$24)</f>
        <v>0</v>
      </c>
      <c r="Z142" s="100">
        <f ca="1">_xll.DBRW($B$9,$C$16,$C$17,X$23,U$22,$C$18,$C$19,$B142,Z$24)</f>
        <v>0</v>
      </c>
      <c r="AA142" s="100">
        <f t="shared" ca="1" si="18"/>
        <v>0</v>
      </c>
      <c r="AB142" s="100">
        <f t="shared" ca="1" si="19"/>
        <v>0</v>
      </c>
      <c r="AC142" s="100">
        <f t="shared" ca="1" si="20"/>
        <v>0</v>
      </c>
      <c r="AD142" s="100">
        <f ca="1">_xll.DBRW($B$9,$C$16,$C$17,AD$23,AD$22,$C$18,$C$19,$B142,AD$24)</f>
        <v>0</v>
      </c>
      <c r="AE142" s="100">
        <f ca="1">_xll.DBRW($B$9,$C$16,$C$17,AD$23,AD$22,$C$18,$C$19,$B142,AE$24)</f>
        <v>0</v>
      </c>
      <c r="AF142" s="100">
        <f ca="1">_xll.DBRW($B$9,$C$16,$C$17,AD$23,AD$22,$C$18,$C$19,$B142,AF$24)</f>
        <v>0</v>
      </c>
      <c r="AG142" s="100">
        <f ca="1">_xll.DBRW($B$9,$C$16,$C$17,AG$23,AD$22,$C$18,$C$19,$B142,AG$24)</f>
        <v>0</v>
      </c>
      <c r="AH142" s="100">
        <f ca="1">_xll.DBRW($B$9,$C$16,$C$17,AG$23,AD$22,$C$18,$C$19,$B142,AH$24)</f>
        <v>0</v>
      </c>
      <c r="AI142" s="100">
        <f ca="1">_xll.DBRW($B$9,$C$16,$C$17,AG$23,AD$22,$C$18,$C$19,$B142,AI$24)</f>
        <v>0</v>
      </c>
      <c r="AJ142" s="100">
        <f t="shared" ca="1" si="21"/>
        <v>0</v>
      </c>
      <c r="AK142" s="100">
        <f t="shared" ca="1" si="22"/>
        <v>0</v>
      </c>
      <c r="AL142" s="100">
        <f t="shared" ca="1" si="23"/>
        <v>0</v>
      </c>
    </row>
    <row r="143" spans="1:38" x14ac:dyDescent="0.25">
      <c r="A143">
        <f ca="1">IF(_xll.TM1RPTELISCONSOLIDATED($B$25,$B143),IF(_xll.TM1RPTELLEV($B$25,$B143)&lt;=3,_xll.TM1RPTELLEV($B$25,$B143),"D"),"N")</f>
        <v>3</v>
      </c>
      <c r="B143" s="136" t="s">
        <v>151</v>
      </c>
      <c r="C143" s="100">
        <f ca="1">_xll.DBRW($B$9,$C$16,$C$17,C$23,C$22,$C$18,$C$19,$B143,C$24)</f>
        <v>0</v>
      </c>
      <c r="D143" s="100">
        <f ca="1">_xll.DBRW($B$9,$C$16,$C$17,C$23,C$22,$C$18,$C$19,$B143,D$24)</f>
        <v>0</v>
      </c>
      <c r="E143" s="100">
        <f ca="1">_xll.DBRW($B$9,$C$16,$C$17,C$23,C$22,$C$18,$C$19,$B143,E$24)</f>
        <v>0</v>
      </c>
      <c r="F143" s="100">
        <f ca="1">_xll.DBRW($B$9,$C$16,$C$17,F$23,C$22,$C$18,$C$19,$B143,F$24)</f>
        <v>0</v>
      </c>
      <c r="G143" s="100">
        <f ca="1">_xll.DBRW($B$9,$C$16,$C$17,F$23,C$22,$C$18,$C$19,$B143,G$24)</f>
        <v>0</v>
      </c>
      <c r="H143" s="100">
        <f ca="1">_xll.DBRW($B$9,$C$16,$C$17,F$23,C$22,$C$18,$C$19,$B143,H$24)</f>
        <v>0</v>
      </c>
      <c r="I143" s="100">
        <f t="shared" ca="1" si="12"/>
        <v>0</v>
      </c>
      <c r="J143" s="100">
        <f t="shared" ca="1" si="13"/>
        <v>0</v>
      </c>
      <c r="K143" s="100">
        <f t="shared" ca="1" si="14"/>
        <v>0</v>
      </c>
      <c r="L143" s="100">
        <f ca="1">_xll.DBRW($B$9,$C$16,$C$17,L$23,L$22,$C$18,$C$19,$B143,L$24)</f>
        <v>0</v>
      </c>
      <c r="M143" s="100">
        <f ca="1">_xll.DBRW($B$9,$C$16,$C$17,L$23,L$22,$C$18,$C$19,$B143,M$24)</f>
        <v>0</v>
      </c>
      <c r="N143" s="100">
        <f ca="1">_xll.DBRW($B$9,$C$16,$C$17,L$23,L$22,$C$18,$C$19,$B143,N$24)</f>
        <v>0</v>
      </c>
      <c r="O143" s="100">
        <f ca="1">_xll.DBRW($B$9,$C$16,$C$17,O$23,L$22,$C$18,$C$19,$B143,O$24)</f>
        <v>0</v>
      </c>
      <c r="P143" s="100">
        <f ca="1">_xll.DBRW($B$9,$C$16,$C$17,O$23,L$22,$C$18,$C$19,$B143,P$24)</f>
        <v>0</v>
      </c>
      <c r="Q143" s="100">
        <f ca="1">_xll.DBRW($B$9,$C$16,$C$17,O$23,L$22,$C$18,$C$19,$B143,Q$24)</f>
        <v>0</v>
      </c>
      <c r="R143" s="100">
        <f t="shared" ca="1" si="15"/>
        <v>0</v>
      </c>
      <c r="S143" s="100">
        <f t="shared" ca="1" si="16"/>
        <v>0</v>
      </c>
      <c r="T143" s="100">
        <f t="shared" ca="1" si="17"/>
        <v>0</v>
      </c>
      <c r="U143" s="100">
        <f ca="1">_xll.DBRW($B$9,$C$16,$C$17,U$23,U$22,$C$18,$C$19,$B143,U$24)</f>
        <v>0</v>
      </c>
      <c r="V143" s="100">
        <f ca="1">_xll.DBRW($B$9,$C$16,$C$17,U$23,U$22,$C$18,$C$19,$B143,V$24)</f>
        <v>0</v>
      </c>
      <c r="W143" s="100">
        <f ca="1">_xll.DBRW($B$9,$C$16,$C$17,U$23,U$22,$C$18,$C$19,$B143,W$24)</f>
        <v>0</v>
      </c>
      <c r="X143" s="100">
        <f ca="1">_xll.DBRW($B$9,$C$16,$C$17,X$23,U$22,$C$18,$C$19,$B143,X$24)</f>
        <v>0</v>
      </c>
      <c r="Y143" s="100">
        <f ca="1">_xll.DBRW($B$9,$C$16,$C$17,X$23,U$22,$C$18,$C$19,$B143,Y$24)</f>
        <v>0</v>
      </c>
      <c r="Z143" s="100">
        <f ca="1">_xll.DBRW($B$9,$C$16,$C$17,X$23,U$22,$C$18,$C$19,$B143,Z$24)</f>
        <v>0</v>
      </c>
      <c r="AA143" s="100">
        <f t="shared" ca="1" si="18"/>
        <v>0</v>
      </c>
      <c r="AB143" s="100">
        <f t="shared" ca="1" si="19"/>
        <v>0</v>
      </c>
      <c r="AC143" s="100">
        <f t="shared" ca="1" si="20"/>
        <v>0</v>
      </c>
      <c r="AD143" s="100">
        <f ca="1">_xll.DBRW($B$9,$C$16,$C$17,AD$23,AD$22,$C$18,$C$19,$B143,AD$24)</f>
        <v>0</v>
      </c>
      <c r="AE143" s="100">
        <f ca="1">_xll.DBRW($B$9,$C$16,$C$17,AD$23,AD$22,$C$18,$C$19,$B143,AE$24)</f>
        <v>0</v>
      </c>
      <c r="AF143" s="100">
        <f ca="1">_xll.DBRW($B$9,$C$16,$C$17,AD$23,AD$22,$C$18,$C$19,$B143,AF$24)</f>
        <v>0</v>
      </c>
      <c r="AG143" s="100">
        <f ca="1">_xll.DBRW($B$9,$C$16,$C$17,AG$23,AD$22,$C$18,$C$19,$B143,AG$24)</f>
        <v>0</v>
      </c>
      <c r="AH143" s="100">
        <f ca="1">_xll.DBRW($B$9,$C$16,$C$17,AG$23,AD$22,$C$18,$C$19,$B143,AH$24)</f>
        <v>0</v>
      </c>
      <c r="AI143" s="100">
        <f ca="1">_xll.DBRW($B$9,$C$16,$C$17,AG$23,AD$22,$C$18,$C$19,$B143,AI$24)</f>
        <v>0</v>
      </c>
      <c r="AJ143" s="100">
        <f t="shared" ca="1" si="21"/>
        <v>0</v>
      </c>
      <c r="AK143" s="100">
        <f t="shared" ca="1" si="22"/>
        <v>0</v>
      </c>
      <c r="AL143" s="100">
        <f t="shared" ca="1" si="23"/>
        <v>0</v>
      </c>
    </row>
    <row r="144" spans="1:38" x14ac:dyDescent="0.25">
      <c r="A144">
        <f ca="1">IF(_xll.TM1RPTELISCONSOLIDATED($B$25,$B144),IF(_xll.TM1RPTELLEV($B$25,$B144)&lt;=3,_xll.TM1RPTELLEV($B$25,$B144),"D"),"N")</f>
        <v>3</v>
      </c>
      <c r="B144" s="136" t="s">
        <v>152</v>
      </c>
      <c r="C144" s="100">
        <f ca="1">_xll.DBRW($B$9,$C$16,$C$17,C$23,C$22,$C$18,$C$19,$B144,C$24)</f>
        <v>0</v>
      </c>
      <c r="D144" s="100">
        <f ca="1">_xll.DBRW($B$9,$C$16,$C$17,C$23,C$22,$C$18,$C$19,$B144,D$24)</f>
        <v>0</v>
      </c>
      <c r="E144" s="100">
        <f ca="1">_xll.DBRW($B$9,$C$16,$C$17,C$23,C$22,$C$18,$C$19,$B144,E$24)</f>
        <v>0</v>
      </c>
      <c r="F144" s="100">
        <f ca="1">_xll.DBRW($B$9,$C$16,$C$17,F$23,C$22,$C$18,$C$19,$B144,F$24)</f>
        <v>0</v>
      </c>
      <c r="G144" s="100">
        <f ca="1">_xll.DBRW($B$9,$C$16,$C$17,F$23,C$22,$C$18,$C$19,$B144,G$24)</f>
        <v>0</v>
      </c>
      <c r="H144" s="100">
        <f ca="1">_xll.DBRW($B$9,$C$16,$C$17,F$23,C$22,$C$18,$C$19,$B144,H$24)</f>
        <v>0</v>
      </c>
      <c r="I144" s="100">
        <f t="shared" ca="1" si="12"/>
        <v>0</v>
      </c>
      <c r="J144" s="100">
        <f t="shared" ca="1" si="13"/>
        <v>0</v>
      </c>
      <c r="K144" s="100">
        <f t="shared" ca="1" si="14"/>
        <v>0</v>
      </c>
      <c r="L144" s="100">
        <f ca="1">_xll.DBRW($B$9,$C$16,$C$17,L$23,L$22,$C$18,$C$19,$B144,L$24)</f>
        <v>0</v>
      </c>
      <c r="M144" s="100">
        <f ca="1">_xll.DBRW($B$9,$C$16,$C$17,L$23,L$22,$C$18,$C$19,$B144,M$24)</f>
        <v>0</v>
      </c>
      <c r="N144" s="100">
        <f ca="1">_xll.DBRW($B$9,$C$16,$C$17,L$23,L$22,$C$18,$C$19,$B144,N$24)</f>
        <v>0</v>
      </c>
      <c r="O144" s="100">
        <f ca="1">_xll.DBRW($B$9,$C$16,$C$17,O$23,L$22,$C$18,$C$19,$B144,O$24)</f>
        <v>0</v>
      </c>
      <c r="P144" s="100">
        <f ca="1">_xll.DBRW($B$9,$C$16,$C$17,O$23,L$22,$C$18,$C$19,$B144,P$24)</f>
        <v>0</v>
      </c>
      <c r="Q144" s="100">
        <f ca="1">_xll.DBRW($B$9,$C$16,$C$17,O$23,L$22,$C$18,$C$19,$B144,Q$24)</f>
        <v>0</v>
      </c>
      <c r="R144" s="100">
        <f t="shared" ca="1" si="15"/>
        <v>0</v>
      </c>
      <c r="S144" s="100">
        <f t="shared" ca="1" si="16"/>
        <v>0</v>
      </c>
      <c r="T144" s="100">
        <f t="shared" ca="1" si="17"/>
        <v>0</v>
      </c>
      <c r="U144" s="100">
        <f ca="1">_xll.DBRW($B$9,$C$16,$C$17,U$23,U$22,$C$18,$C$19,$B144,U$24)</f>
        <v>0</v>
      </c>
      <c r="V144" s="100">
        <f ca="1">_xll.DBRW($B$9,$C$16,$C$17,U$23,U$22,$C$18,$C$19,$B144,V$24)</f>
        <v>0</v>
      </c>
      <c r="W144" s="100">
        <f ca="1">_xll.DBRW($B$9,$C$16,$C$17,U$23,U$22,$C$18,$C$19,$B144,W$24)</f>
        <v>0</v>
      </c>
      <c r="X144" s="100">
        <f ca="1">_xll.DBRW($B$9,$C$16,$C$17,X$23,U$22,$C$18,$C$19,$B144,X$24)</f>
        <v>0</v>
      </c>
      <c r="Y144" s="100">
        <f ca="1">_xll.DBRW($B$9,$C$16,$C$17,X$23,U$22,$C$18,$C$19,$B144,Y$24)</f>
        <v>0</v>
      </c>
      <c r="Z144" s="100">
        <f ca="1">_xll.DBRW($B$9,$C$16,$C$17,X$23,U$22,$C$18,$C$19,$B144,Z$24)</f>
        <v>0</v>
      </c>
      <c r="AA144" s="100">
        <f t="shared" ca="1" si="18"/>
        <v>0</v>
      </c>
      <c r="AB144" s="100">
        <f t="shared" ca="1" si="19"/>
        <v>0</v>
      </c>
      <c r="AC144" s="100">
        <f t="shared" ca="1" si="20"/>
        <v>0</v>
      </c>
      <c r="AD144" s="100">
        <f ca="1">_xll.DBRW($B$9,$C$16,$C$17,AD$23,AD$22,$C$18,$C$19,$B144,AD$24)</f>
        <v>0</v>
      </c>
      <c r="AE144" s="100">
        <f ca="1">_xll.DBRW($B$9,$C$16,$C$17,AD$23,AD$22,$C$18,$C$19,$B144,AE$24)</f>
        <v>0</v>
      </c>
      <c r="AF144" s="100">
        <f ca="1">_xll.DBRW($B$9,$C$16,$C$17,AD$23,AD$22,$C$18,$C$19,$B144,AF$24)</f>
        <v>0</v>
      </c>
      <c r="AG144" s="100">
        <f ca="1">_xll.DBRW($B$9,$C$16,$C$17,AG$23,AD$22,$C$18,$C$19,$B144,AG$24)</f>
        <v>0</v>
      </c>
      <c r="AH144" s="100">
        <f ca="1">_xll.DBRW($B$9,$C$16,$C$17,AG$23,AD$22,$C$18,$C$19,$B144,AH$24)</f>
        <v>0</v>
      </c>
      <c r="AI144" s="100">
        <f ca="1">_xll.DBRW($B$9,$C$16,$C$17,AG$23,AD$22,$C$18,$C$19,$B144,AI$24)</f>
        <v>0</v>
      </c>
      <c r="AJ144" s="100">
        <f t="shared" ca="1" si="21"/>
        <v>0</v>
      </c>
      <c r="AK144" s="100">
        <f t="shared" ca="1" si="22"/>
        <v>0</v>
      </c>
      <c r="AL144" s="100">
        <f t="shared" ca="1" si="23"/>
        <v>0</v>
      </c>
    </row>
    <row r="145" spans="1:38" x14ac:dyDescent="0.25">
      <c r="A145">
        <f ca="1">IF(_xll.TM1RPTELISCONSOLIDATED($B$25,$B145),IF(_xll.TM1RPTELLEV($B$25,$B145)&lt;=3,_xll.TM1RPTELLEV($B$25,$B145),"D"),"N")</f>
        <v>3</v>
      </c>
      <c r="B145" s="136" t="s">
        <v>153</v>
      </c>
      <c r="C145" s="100">
        <f ca="1">_xll.DBRW($B$9,$C$16,$C$17,C$23,C$22,$C$18,$C$19,$B145,C$24)</f>
        <v>0</v>
      </c>
      <c r="D145" s="100">
        <f ca="1">_xll.DBRW($B$9,$C$16,$C$17,C$23,C$22,$C$18,$C$19,$B145,D$24)</f>
        <v>0</v>
      </c>
      <c r="E145" s="100">
        <f ca="1">_xll.DBRW($B$9,$C$16,$C$17,C$23,C$22,$C$18,$C$19,$B145,E$24)</f>
        <v>0</v>
      </c>
      <c r="F145" s="100">
        <f ca="1">_xll.DBRW($B$9,$C$16,$C$17,F$23,C$22,$C$18,$C$19,$B145,F$24)</f>
        <v>0</v>
      </c>
      <c r="G145" s="100">
        <f ca="1">_xll.DBRW($B$9,$C$16,$C$17,F$23,C$22,$C$18,$C$19,$B145,G$24)</f>
        <v>0</v>
      </c>
      <c r="H145" s="100">
        <f ca="1">_xll.DBRW($B$9,$C$16,$C$17,F$23,C$22,$C$18,$C$19,$B145,H$24)</f>
        <v>0</v>
      </c>
      <c r="I145" s="100">
        <f t="shared" ca="1" si="12"/>
        <v>0</v>
      </c>
      <c r="J145" s="100">
        <f t="shared" ca="1" si="13"/>
        <v>0</v>
      </c>
      <c r="K145" s="100">
        <f t="shared" ca="1" si="14"/>
        <v>0</v>
      </c>
      <c r="L145" s="100">
        <f ca="1">_xll.DBRW($B$9,$C$16,$C$17,L$23,L$22,$C$18,$C$19,$B145,L$24)</f>
        <v>0</v>
      </c>
      <c r="M145" s="100">
        <f ca="1">_xll.DBRW($B$9,$C$16,$C$17,L$23,L$22,$C$18,$C$19,$B145,M$24)</f>
        <v>0</v>
      </c>
      <c r="N145" s="100">
        <f ca="1">_xll.DBRW($B$9,$C$16,$C$17,L$23,L$22,$C$18,$C$19,$B145,N$24)</f>
        <v>0</v>
      </c>
      <c r="O145" s="100">
        <f ca="1">_xll.DBRW($B$9,$C$16,$C$17,O$23,L$22,$C$18,$C$19,$B145,O$24)</f>
        <v>0</v>
      </c>
      <c r="P145" s="100">
        <f ca="1">_xll.DBRW($B$9,$C$16,$C$17,O$23,L$22,$C$18,$C$19,$B145,P$24)</f>
        <v>0</v>
      </c>
      <c r="Q145" s="100">
        <f ca="1">_xll.DBRW($B$9,$C$16,$C$17,O$23,L$22,$C$18,$C$19,$B145,Q$24)</f>
        <v>0</v>
      </c>
      <c r="R145" s="100">
        <f t="shared" ca="1" si="15"/>
        <v>0</v>
      </c>
      <c r="S145" s="100">
        <f t="shared" ca="1" si="16"/>
        <v>0</v>
      </c>
      <c r="T145" s="100">
        <f t="shared" ca="1" si="17"/>
        <v>0</v>
      </c>
      <c r="U145" s="100">
        <f ca="1">_xll.DBRW($B$9,$C$16,$C$17,U$23,U$22,$C$18,$C$19,$B145,U$24)</f>
        <v>0</v>
      </c>
      <c r="V145" s="100">
        <f ca="1">_xll.DBRW($B$9,$C$16,$C$17,U$23,U$22,$C$18,$C$19,$B145,V$24)</f>
        <v>0</v>
      </c>
      <c r="W145" s="100">
        <f ca="1">_xll.DBRW($B$9,$C$16,$C$17,U$23,U$22,$C$18,$C$19,$B145,W$24)</f>
        <v>0</v>
      </c>
      <c r="X145" s="100">
        <f ca="1">_xll.DBRW($B$9,$C$16,$C$17,X$23,U$22,$C$18,$C$19,$B145,X$24)</f>
        <v>0</v>
      </c>
      <c r="Y145" s="100">
        <f ca="1">_xll.DBRW($B$9,$C$16,$C$17,X$23,U$22,$C$18,$C$19,$B145,Y$24)</f>
        <v>0</v>
      </c>
      <c r="Z145" s="100">
        <f ca="1">_xll.DBRW($B$9,$C$16,$C$17,X$23,U$22,$C$18,$C$19,$B145,Z$24)</f>
        <v>0</v>
      </c>
      <c r="AA145" s="100">
        <f t="shared" ca="1" si="18"/>
        <v>0</v>
      </c>
      <c r="AB145" s="100">
        <f t="shared" ca="1" si="19"/>
        <v>0</v>
      </c>
      <c r="AC145" s="100">
        <f t="shared" ca="1" si="20"/>
        <v>0</v>
      </c>
      <c r="AD145" s="100">
        <f ca="1">_xll.DBRW($B$9,$C$16,$C$17,AD$23,AD$22,$C$18,$C$19,$B145,AD$24)</f>
        <v>0</v>
      </c>
      <c r="AE145" s="100">
        <f ca="1">_xll.DBRW($B$9,$C$16,$C$17,AD$23,AD$22,$C$18,$C$19,$B145,AE$24)</f>
        <v>0</v>
      </c>
      <c r="AF145" s="100">
        <f ca="1">_xll.DBRW($B$9,$C$16,$C$17,AD$23,AD$22,$C$18,$C$19,$B145,AF$24)</f>
        <v>0</v>
      </c>
      <c r="AG145" s="100">
        <f ca="1">_xll.DBRW($B$9,$C$16,$C$17,AG$23,AD$22,$C$18,$C$19,$B145,AG$24)</f>
        <v>0</v>
      </c>
      <c r="AH145" s="100">
        <f ca="1">_xll.DBRW($B$9,$C$16,$C$17,AG$23,AD$22,$C$18,$C$19,$B145,AH$24)</f>
        <v>0</v>
      </c>
      <c r="AI145" s="100">
        <f ca="1">_xll.DBRW($B$9,$C$16,$C$17,AG$23,AD$22,$C$18,$C$19,$B145,AI$24)</f>
        <v>0</v>
      </c>
      <c r="AJ145" s="100">
        <f t="shared" ca="1" si="21"/>
        <v>0</v>
      </c>
      <c r="AK145" s="100">
        <f t="shared" ca="1" si="22"/>
        <v>0</v>
      </c>
      <c r="AL145" s="100">
        <f t="shared" ca="1" si="23"/>
        <v>0</v>
      </c>
    </row>
    <row r="146" spans="1:38" x14ac:dyDescent="0.25">
      <c r="A146">
        <f ca="1">IF(_xll.TM1RPTELISCONSOLIDATED($B$25,$B146),IF(_xll.TM1RPTELLEV($B$25,$B146)&lt;=3,_xll.TM1RPTELLEV($B$25,$B146),"D"),"N")</f>
        <v>3</v>
      </c>
      <c r="B146" s="136" t="s">
        <v>154</v>
      </c>
      <c r="C146" s="100">
        <f ca="1">_xll.DBRW($B$9,$C$16,$C$17,C$23,C$22,$C$18,$C$19,$B146,C$24)</f>
        <v>0</v>
      </c>
      <c r="D146" s="100">
        <f ca="1">_xll.DBRW($B$9,$C$16,$C$17,C$23,C$22,$C$18,$C$19,$B146,D$24)</f>
        <v>0</v>
      </c>
      <c r="E146" s="100">
        <f ca="1">_xll.DBRW($B$9,$C$16,$C$17,C$23,C$22,$C$18,$C$19,$B146,E$24)</f>
        <v>0</v>
      </c>
      <c r="F146" s="100">
        <f ca="1">_xll.DBRW($B$9,$C$16,$C$17,F$23,C$22,$C$18,$C$19,$B146,F$24)</f>
        <v>0</v>
      </c>
      <c r="G146" s="100">
        <f ca="1">_xll.DBRW($B$9,$C$16,$C$17,F$23,C$22,$C$18,$C$19,$B146,G$24)</f>
        <v>0</v>
      </c>
      <c r="H146" s="100">
        <f ca="1">_xll.DBRW($B$9,$C$16,$C$17,F$23,C$22,$C$18,$C$19,$B146,H$24)</f>
        <v>0</v>
      </c>
      <c r="I146" s="100">
        <f t="shared" ca="1" si="12"/>
        <v>0</v>
      </c>
      <c r="J146" s="100">
        <f t="shared" ca="1" si="13"/>
        <v>0</v>
      </c>
      <c r="K146" s="100">
        <f t="shared" ca="1" si="14"/>
        <v>0</v>
      </c>
      <c r="L146" s="100">
        <f ca="1">_xll.DBRW($B$9,$C$16,$C$17,L$23,L$22,$C$18,$C$19,$B146,L$24)</f>
        <v>0</v>
      </c>
      <c r="M146" s="100">
        <f ca="1">_xll.DBRW($B$9,$C$16,$C$17,L$23,L$22,$C$18,$C$19,$B146,M$24)</f>
        <v>0</v>
      </c>
      <c r="N146" s="100">
        <f ca="1">_xll.DBRW($B$9,$C$16,$C$17,L$23,L$22,$C$18,$C$19,$B146,N$24)</f>
        <v>0</v>
      </c>
      <c r="O146" s="100">
        <f ca="1">_xll.DBRW($B$9,$C$16,$C$17,O$23,L$22,$C$18,$C$19,$B146,O$24)</f>
        <v>0</v>
      </c>
      <c r="P146" s="100">
        <f ca="1">_xll.DBRW($B$9,$C$16,$C$17,O$23,L$22,$C$18,$C$19,$B146,P$24)</f>
        <v>0</v>
      </c>
      <c r="Q146" s="100">
        <f ca="1">_xll.DBRW($B$9,$C$16,$C$17,O$23,L$22,$C$18,$C$19,$B146,Q$24)</f>
        <v>0</v>
      </c>
      <c r="R146" s="100">
        <f t="shared" ca="1" si="15"/>
        <v>0</v>
      </c>
      <c r="S146" s="100">
        <f t="shared" ca="1" si="16"/>
        <v>0</v>
      </c>
      <c r="T146" s="100">
        <f t="shared" ca="1" si="17"/>
        <v>0</v>
      </c>
      <c r="U146" s="100">
        <f ca="1">_xll.DBRW($B$9,$C$16,$C$17,U$23,U$22,$C$18,$C$19,$B146,U$24)</f>
        <v>0</v>
      </c>
      <c r="V146" s="100">
        <f ca="1">_xll.DBRW($B$9,$C$16,$C$17,U$23,U$22,$C$18,$C$19,$B146,V$24)</f>
        <v>0</v>
      </c>
      <c r="W146" s="100">
        <f ca="1">_xll.DBRW($B$9,$C$16,$C$17,U$23,U$22,$C$18,$C$19,$B146,W$24)</f>
        <v>0</v>
      </c>
      <c r="X146" s="100">
        <f ca="1">_xll.DBRW($B$9,$C$16,$C$17,X$23,U$22,$C$18,$C$19,$B146,X$24)</f>
        <v>0</v>
      </c>
      <c r="Y146" s="100">
        <f ca="1">_xll.DBRW($B$9,$C$16,$C$17,X$23,U$22,$C$18,$C$19,$B146,Y$24)</f>
        <v>0</v>
      </c>
      <c r="Z146" s="100">
        <f ca="1">_xll.DBRW($B$9,$C$16,$C$17,X$23,U$22,$C$18,$C$19,$B146,Z$24)</f>
        <v>0</v>
      </c>
      <c r="AA146" s="100">
        <f t="shared" ca="1" si="18"/>
        <v>0</v>
      </c>
      <c r="AB146" s="100">
        <f t="shared" ca="1" si="19"/>
        <v>0</v>
      </c>
      <c r="AC146" s="100">
        <f t="shared" ca="1" si="20"/>
        <v>0</v>
      </c>
      <c r="AD146" s="100">
        <f ca="1">_xll.DBRW($B$9,$C$16,$C$17,AD$23,AD$22,$C$18,$C$19,$B146,AD$24)</f>
        <v>0</v>
      </c>
      <c r="AE146" s="100">
        <f ca="1">_xll.DBRW($B$9,$C$16,$C$17,AD$23,AD$22,$C$18,$C$19,$B146,AE$24)</f>
        <v>0</v>
      </c>
      <c r="AF146" s="100">
        <f ca="1">_xll.DBRW($B$9,$C$16,$C$17,AD$23,AD$22,$C$18,$C$19,$B146,AF$24)</f>
        <v>0</v>
      </c>
      <c r="AG146" s="100">
        <f ca="1">_xll.DBRW($B$9,$C$16,$C$17,AG$23,AD$22,$C$18,$C$19,$B146,AG$24)</f>
        <v>0</v>
      </c>
      <c r="AH146" s="100">
        <f ca="1">_xll.DBRW($B$9,$C$16,$C$17,AG$23,AD$22,$C$18,$C$19,$B146,AH$24)</f>
        <v>0</v>
      </c>
      <c r="AI146" s="100">
        <f ca="1">_xll.DBRW($B$9,$C$16,$C$17,AG$23,AD$22,$C$18,$C$19,$B146,AI$24)</f>
        <v>0</v>
      </c>
      <c r="AJ146" s="100">
        <f t="shared" ca="1" si="21"/>
        <v>0</v>
      </c>
      <c r="AK146" s="100">
        <f t="shared" ca="1" si="22"/>
        <v>0</v>
      </c>
      <c r="AL146" s="100">
        <f t="shared" ca="1" si="23"/>
        <v>0</v>
      </c>
    </row>
    <row r="147" spans="1:38" x14ac:dyDescent="0.25">
      <c r="A147">
        <f ca="1">IF(_xll.TM1RPTELISCONSOLIDATED($B$25,$B147),IF(_xll.TM1RPTELLEV($B$25,$B147)&lt;=3,_xll.TM1RPTELLEV($B$25,$B147),"D"),"N")</f>
        <v>3</v>
      </c>
      <c r="B147" s="136" t="s">
        <v>155</v>
      </c>
      <c r="C147" s="100">
        <f ca="1">_xll.DBRW($B$9,$C$16,$C$17,C$23,C$22,$C$18,$C$19,$B147,C$24)</f>
        <v>0</v>
      </c>
      <c r="D147" s="100">
        <f ca="1">_xll.DBRW($B$9,$C$16,$C$17,C$23,C$22,$C$18,$C$19,$B147,D$24)</f>
        <v>0</v>
      </c>
      <c r="E147" s="100">
        <f ca="1">_xll.DBRW($B$9,$C$16,$C$17,C$23,C$22,$C$18,$C$19,$B147,E$24)</f>
        <v>0</v>
      </c>
      <c r="F147" s="100">
        <f ca="1">_xll.DBRW($B$9,$C$16,$C$17,F$23,C$22,$C$18,$C$19,$B147,F$24)</f>
        <v>0</v>
      </c>
      <c r="G147" s="100">
        <f ca="1">_xll.DBRW($B$9,$C$16,$C$17,F$23,C$22,$C$18,$C$19,$B147,G$24)</f>
        <v>0</v>
      </c>
      <c r="H147" s="100">
        <f ca="1">_xll.DBRW($B$9,$C$16,$C$17,F$23,C$22,$C$18,$C$19,$B147,H$24)</f>
        <v>0</v>
      </c>
      <c r="I147" s="100">
        <f t="shared" ca="1" si="12"/>
        <v>0</v>
      </c>
      <c r="J147" s="100">
        <f t="shared" ca="1" si="13"/>
        <v>0</v>
      </c>
      <c r="K147" s="100">
        <f t="shared" ca="1" si="14"/>
        <v>0</v>
      </c>
      <c r="L147" s="100">
        <f ca="1">_xll.DBRW($B$9,$C$16,$C$17,L$23,L$22,$C$18,$C$19,$B147,L$24)</f>
        <v>0</v>
      </c>
      <c r="M147" s="100">
        <f ca="1">_xll.DBRW($B$9,$C$16,$C$17,L$23,L$22,$C$18,$C$19,$B147,M$24)</f>
        <v>0</v>
      </c>
      <c r="N147" s="100">
        <f ca="1">_xll.DBRW($B$9,$C$16,$C$17,L$23,L$22,$C$18,$C$19,$B147,N$24)</f>
        <v>0</v>
      </c>
      <c r="O147" s="100">
        <f ca="1">_xll.DBRW($B$9,$C$16,$C$17,O$23,L$22,$C$18,$C$19,$B147,O$24)</f>
        <v>0</v>
      </c>
      <c r="P147" s="100">
        <f ca="1">_xll.DBRW($B$9,$C$16,$C$17,O$23,L$22,$C$18,$C$19,$B147,P$24)</f>
        <v>0</v>
      </c>
      <c r="Q147" s="100">
        <f ca="1">_xll.DBRW($B$9,$C$16,$C$17,O$23,L$22,$C$18,$C$19,$B147,Q$24)</f>
        <v>0</v>
      </c>
      <c r="R147" s="100">
        <f t="shared" ca="1" si="15"/>
        <v>0</v>
      </c>
      <c r="S147" s="100">
        <f t="shared" ca="1" si="16"/>
        <v>0</v>
      </c>
      <c r="T147" s="100">
        <f t="shared" ca="1" si="17"/>
        <v>0</v>
      </c>
      <c r="U147" s="100">
        <f ca="1">_xll.DBRW($B$9,$C$16,$C$17,U$23,U$22,$C$18,$C$19,$B147,U$24)</f>
        <v>0</v>
      </c>
      <c r="V147" s="100">
        <f ca="1">_xll.DBRW($B$9,$C$16,$C$17,U$23,U$22,$C$18,$C$19,$B147,V$24)</f>
        <v>0</v>
      </c>
      <c r="W147" s="100">
        <f ca="1">_xll.DBRW($B$9,$C$16,$C$17,U$23,U$22,$C$18,$C$19,$B147,W$24)</f>
        <v>0</v>
      </c>
      <c r="X147" s="100">
        <f ca="1">_xll.DBRW($B$9,$C$16,$C$17,X$23,U$22,$C$18,$C$19,$B147,X$24)</f>
        <v>0</v>
      </c>
      <c r="Y147" s="100">
        <f ca="1">_xll.DBRW($B$9,$C$16,$C$17,X$23,U$22,$C$18,$C$19,$B147,Y$24)</f>
        <v>0</v>
      </c>
      <c r="Z147" s="100">
        <f ca="1">_xll.DBRW($B$9,$C$16,$C$17,X$23,U$22,$C$18,$C$19,$B147,Z$24)</f>
        <v>0</v>
      </c>
      <c r="AA147" s="100">
        <f t="shared" ca="1" si="18"/>
        <v>0</v>
      </c>
      <c r="AB147" s="100">
        <f t="shared" ca="1" si="19"/>
        <v>0</v>
      </c>
      <c r="AC147" s="100">
        <f t="shared" ca="1" si="20"/>
        <v>0</v>
      </c>
      <c r="AD147" s="100">
        <f ca="1">_xll.DBRW($B$9,$C$16,$C$17,AD$23,AD$22,$C$18,$C$19,$B147,AD$24)</f>
        <v>0</v>
      </c>
      <c r="AE147" s="100">
        <f ca="1">_xll.DBRW($B$9,$C$16,$C$17,AD$23,AD$22,$C$18,$C$19,$B147,AE$24)</f>
        <v>0</v>
      </c>
      <c r="AF147" s="100">
        <f ca="1">_xll.DBRW($B$9,$C$16,$C$17,AD$23,AD$22,$C$18,$C$19,$B147,AF$24)</f>
        <v>0</v>
      </c>
      <c r="AG147" s="100">
        <f ca="1">_xll.DBRW($B$9,$C$16,$C$17,AG$23,AD$22,$C$18,$C$19,$B147,AG$24)</f>
        <v>0</v>
      </c>
      <c r="AH147" s="100">
        <f ca="1">_xll.DBRW($B$9,$C$16,$C$17,AG$23,AD$22,$C$18,$C$19,$B147,AH$24)</f>
        <v>0</v>
      </c>
      <c r="AI147" s="100">
        <f ca="1">_xll.DBRW($B$9,$C$16,$C$17,AG$23,AD$22,$C$18,$C$19,$B147,AI$24)</f>
        <v>0</v>
      </c>
      <c r="AJ147" s="100">
        <f t="shared" ca="1" si="21"/>
        <v>0</v>
      </c>
      <c r="AK147" s="100">
        <f t="shared" ca="1" si="22"/>
        <v>0</v>
      </c>
      <c r="AL147" s="100">
        <f t="shared" ca="1" si="23"/>
        <v>0</v>
      </c>
    </row>
    <row r="148" spans="1:38" x14ac:dyDescent="0.25">
      <c r="A148">
        <f ca="1">IF(_xll.TM1RPTELISCONSOLIDATED($B$25,$B148),IF(_xll.TM1RPTELLEV($B$25,$B148)&lt;=3,_xll.TM1RPTELLEV($B$25,$B148),"D"),"N")</f>
        <v>3</v>
      </c>
      <c r="B148" s="136" t="s">
        <v>156</v>
      </c>
      <c r="C148" s="100">
        <f ca="1">_xll.DBRW($B$9,$C$16,$C$17,C$23,C$22,$C$18,$C$19,$B148,C$24)</f>
        <v>0</v>
      </c>
      <c r="D148" s="100">
        <f ca="1">_xll.DBRW($B$9,$C$16,$C$17,C$23,C$22,$C$18,$C$19,$B148,D$24)</f>
        <v>0</v>
      </c>
      <c r="E148" s="100">
        <f ca="1">_xll.DBRW($B$9,$C$16,$C$17,C$23,C$22,$C$18,$C$19,$B148,E$24)</f>
        <v>0</v>
      </c>
      <c r="F148" s="100">
        <f ca="1">_xll.DBRW($B$9,$C$16,$C$17,F$23,C$22,$C$18,$C$19,$B148,F$24)</f>
        <v>0</v>
      </c>
      <c r="G148" s="100">
        <f ca="1">_xll.DBRW($B$9,$C$16,$C$17,F$23,C$22,$C$18,$C$19,$B148,G$24)</f>
        <v>0</v>
      </c>
      <c r="H148" s="100">
        <f ca="1">_xll.DBRW($B$9,$C$16,$C$17,F$23,C$22,$C$18,$C$19,$B148,H$24)</f>
        <v>0</v>
      </c>
      <c r="I148" s="100">
        <f t="shared" ca="1" si="12"/>
        <v>0</v>
      </c>
      <c r="J148" s="100">
        <f t="shared" ca="1" si="13"/>
        <v>0</v>
      </c>
      <c r="K148" s="100">
        <f t="shared" ca="1" si="14"/>
        <v>0</v>
      </c>
      <c r="L148" s="100">
        <f ca="1">_xll.DBRW($B$9,$C$16,$C$17,L$23,L$22,$C$18,$C$19,$B148,L$24)</f>
        <v>0</v>
      </c>
      <c r="M148" s="100">
        <f ca="1">_xll.DBRW($B$9,$C$16,$C$17,L$23,L$22,$C$18,$C$19,$B148,M$24)</f>
        <v>0</v>
      </c>
      <c r="N148" s="100">
        <f ca="1">_xll.DBRW($B$9,$C$16,$C$17,L$23,L$22,$C$18,$C$19,$B148,N$24)</f>
        <v>0</v>
      </c>
      <c r="O148" s="100">
        <f ca="1">_xll.DBRW($B$9,$C$16,$C$17,O$23,L$22,$C$18,$C$19,$B148,O$24)</f>
        <v>0</v>
      </c>
      <c r="P148" s="100">
        <f ca="1">_xll.DBRW($B$9,$C$16,$C$17,O$23,L$22,$C$18,$C$19,$B148,P$24)</f>
        <v>0</v>
      </c>
      <c r="Q148" s="100">
        <f ca="1">_xll.DBRW($B$9,$C$16,$C$17,O$23,L$22,$C$18,$C$19,$B148,Q$24)</f>
        <v>0</v>
      </c>
      <c r="R148" s="100">
        <f t="shared" ca="1" si="15"/>
        <v>0</v>
      </c>
      <c r="S148" s="100">
        <f t="shared" ca="1" si="16"/>
        <v>0</v>
      </c>
      <c r="T148" s="100">
        <f t="shared" ca="1" si="17"/>
        <v>0</v>
      </c>
      <c r="U148" s="100">
        <f ca="1">_xll.DBRW($B$9,$C$16,$C$17,U$23,U$22,$C$18,$C$19,$B148,U$24)</f>
        <v>0</v>
      </c>
      <c r="V148" s="100">
        <f ca="1">_xll.DBRW($B$9,$C$16,$C$17,U$23,U$22,$C$18,$C$19,$B148,V$24)</f>
        <v>0</v>
      </c>
      <c r="W148" s="100">
        <f ca="1">_xll.DBRW($B$9,$C$16,$C$17,U$23,U$22,$C$18,$C$19,$B148,W$24)</f>
        <v>0</v>
      </c>
      <c r="X148" s="100">
        <f ca="1">_xll.DBRW($B$9,$C$16,$C$17,X$23,U$22,$C$18,$C$19,$B148,X$24)</f>
        <v>0</v>
      </c>
      <c r="Y148" s="100">
        <f ca="1">_xll.DBRW($B$9,$C$16,$C$17,X$23,U$22,$C$18,$C$19,$B148,Y$24)</f>
        <v>0</v>
      </c>
      <c r="Z148" s="100">
        <f ca="1">_xll.DBRW($B$9,$C$16,$C$17,X$23,U$22,$C$18,$C$19,$B148,Z$24)</f>
        <v>0</v>
      </c>
      <c r="AA148" s="100">
        <f t="shared" ca="1" si="18"/>
        <v>0</v>
      </c>
      <c r="AB148" s="100">
        <f t="shared" ca="1" si="19"/>
        <v>0</v>
      </c>
      <c r="AC148" s="100">
        <f t="shared" ca="1" si="20"/>
        <v>0</v>
      </c>
      <c r="AD148" s="100">
        <f ca="1">_xll.DBRW($B$9,$C$16,$C$17,AD$23,AD$22,$C$18,$C$19,$B148,AD$24)</f>
        <v>0</v>
      </c>
      <c r="AE148" s="100">
        <f ca="1">_xll.DBRW($B$9,$C$16,$C$17,AD$23,AD$22,$C$18,$C$19,$B148,AE$24)</f>
        <v>0</v>
      </c>
      <c r="AF148" s="100">
        <f ca="1">_xll.DBRW($B$9,$C$16,$C$17,AD$23,AD$22,$C$18,$C$19,$B148,AF$24)</f>
        <v>0</v>
      </c>
      <c r="AG148" s="100">
        <f ca="1">_xll.DBRW($B$9,$C$16,$C$17,AG$23,AD$22,$C$18,$C$19,$B148,AG$24)</f>
        <v>0</v>
      </c>
      <c r="AH148" s="100">
        <f ca="1">_xll.DBRW($B$9,$C$16,$C$17,AG$23,AD$22,$C$18,$C$19,$B148,AH$24)</f>
        <v>0</v>
      </c>
      <c r="AI148" s="100">
        <f ca="1">_xll.DBRW($B$9,$C$16,$C$17,AG$23,AD$22,$C$18,$C$19,$B148,AI$24)</f>
        <v>0</v>
      </c>
      <c r="AJ148" s="100">
        <f t="shared" ca="1" si="21"/>
        <v>0</v>
      </c>
      <c r="AK148" s="100">
        <f t="shared" ca="1" si="22"/>
        <v>0</v>
      </c>
      <c r="AL148" s="100">
        <f t="shared" ca="1" si="23"/>
        <v>0</v>
      </c>
    </row>
    <row r="149" spans="1:38" x14ac:dyDescent="0.25">
      <c r="A149">
        <f ca="1">IF(_xll.TM1RPTELISCONSOLIDATED($B$25,$B149),IF(_xll.TM1RPTELLEV($B$25,$B149)&lt;=3,_xll.TM1RPTELLEV($B$25,$B149),"D"),"N")</f>
        <v>2</v>
      </c>
      <c r="B149" s="134" t="s">
        <v>157</v>
      </c>
      <c r="C149" s="99">
        <f ca="1">_xll.DBRW($B$9,$C$16,$C$17,C$23,C$22,$C$18,$C$19,$B149,C$24)</f>
        <v>0</v>
      </c>
      <c r="D149" s="99">
        <f ca="1">_xll.DBRW($B$9,$C$16,$C$17,C$23,C$22,$C$18,$C$19,$B149,D$24)</f>
        <v>0</v>
      </c>
      <c r="E149" s="99">
        <f ca="1">_xll.DBRW($B$9,$C$16,$C$17,C$23,C$22,$C$18,$C$19,$B149,E$24)</f>
        <v>0</v>
      </c>
      <c r="F149" s="99">
        <f ca="1">_xll.DBRW($B$9,$C$16,$C$17,F$23,C$22,$C$18,$C$19,$B149,F$24)</f>
        <v>0</v>
      </c>
      <c r="G149" s="99">
        <f ca="1">_xll.DBRW($B$9,$C$16,$C$17,F$23,C$22,$C$18,$C$19,$B149,G$24)</f>
        <v>0</v>
      </c>
      <c r="H149" s="99">
        <f ca="1">_xll.DBRW($B$9,$C$16,$C$17,F$23,C$22,$C$18,$C$19,$B149,H$24)</f>
        <v>0</v>
      </c>
      <c r="I149" s="99">
        <f t="shared" ca="1" si="12"/>
        <v>0</v>
      </c>
      <c r="J149" s="99">
        <f t="shared" ca="1" si="13"/>
        <v>0</v>
      </c>
      <c r="K149" s="99">
        <f t="shared" ca="1" si="14"/>
        <v>0</v>
      </c>
      <c r="L149" s="99">
        <f ca="1">_xll.DBRW($B$9,$C$16,$C$17,L$23,L$22,$C$18,$C$19,$B149,L$24)</f>
        <v>0</v>
      </c>
      <c r="M149" s="99">
        <f ca="1">_xll.DBRW($B$9,$C$16,$C$17,L$23,L$22,$C$18,$C$19,$B149,M$24)</f>
        <v>0</v>
      </c>
      <c r="N149" s="99">
        <f ca="1">_xll.DBRW($B$9,$C$16,$C$17,L$23,L$22,$C$18,$C$19,$B149,N$24)</f>
        <v>0</v>
      </c>
      <c r="O149" s="99">
        <f ca="1">_xll.DBRW($B$9,$C$16,$C$17,O$23,L$22,$C$18,$C$19,$B149,O$24)</f>
        <v>0</v>
      </c>
      <c r="P149" s="99">
        <f ca="1">_xll.DBRW($B$9,$C$16,$C$17,O$23,L$22,$C$18,$C$19,$B149,P$24)</f>
        <v>0</v>
      </c>
      <c r="Q149" s="99">
        <f ca="1">_xll.DBRW($B$9,$C$16,$C$17,O$23,L$22,$C$18,$C$19,$B149,Q$24)</f>
        <v>0</v>
      </c>
      <c r="R149" s="99">
        <f t="shared" ca="1" si="15"/>
        <v>0</v>
      </c>
      <c r="S149" s="99">
        <f t="shared" ca="1" si="16"/>
        <v>0</v>
      </c>
      <c r="T149" s="99">
        <f t="shared" ca="1" si="17"/>
        <v>0</v>
      </c>
      <c r="U149" s="99">
        <f ca="1">_xll.DBRW($B$9,$C$16,$C$17,U$23,U$22,$C$18,$C$19,$B149,U$24)</f>
        <v>0</v>
      </c>
      <c r="V149" s="99">
        <f ca="1">_xll.DBRW($B$9,$C$16,$C$17,U$23,U$22,$C$18,$C$19,$B149,V$24)</f>
        <v>0</v>
      </c>
      <c r="W149" s="99">
        <f ca="1">_xll.DBRW($B$9,$C$16,$C$17,U$23,U$22,$C$18,$C$19,$B149,W$24)</f>
        <v>0</v>
      </c>
      <c r="X149" s="99">
        <f ca="1">_xll.DBRW($B$9,$C$16,$C$17,X$23,U$22,$C$18,$C$19,$B149,X$24)</f>
        <v>0</v>
      </c>
      <c r="Y149" s="99">
        <f ca="1">_xll.DBRW($B$9,$C$16,$C$17,X$23,U$22,$C$18,$C$19,$B149,Y$24)</f>
        <v>0</v>
      </c>
      <c r="Z149" s="99">
        <f ca="1">_xll.DBRW($B$9,$C$16,$C$17,X$23,U$22,$C$18,$C$19,$B149,Z$24)</f>
        <v>0</v>
      </c>
      <c r="AA149" s="99">
        <f t="shared" ca="1" si="18"/>
        <v>0</v>
      </c>
      <c r="AB149" s="99">
        <f t="shared" ca="1" si="19"/>
        <v>0</v>
      </c>
      <c r="AC149" s="99">
        <f t="shared" ca="1" si="20"/>
        <v>0</v>
      </c>
      <c r="AD149" s="99">
        <f ca="1">_xll.DBRW($B$9,$C$16,$C$17,AD$23,AD$22,$C$18,$C$19,$B149,AD$24)</f>
        <v>0</v>
      </c>
      <c r="AE149" s="99">
        <f ca="1">_xll.DBRW($B$9,$C$16,$C$17,AD$23,AD$22,$C$18,$C$19,$B149,AE$24)</f>
        <v>0</v>
      </c>
      <c r="AF149" s="99">
        <f ca="1">_xll.DBRW($B$9,$C$16,$C$17,AD$23,AD$22,$C$18,$C$19,$B149,AF$24)</f>
        <v>0</v>
      </c>
      <c r="AG149" s="99">
        <f ca="1">_xll.DBRW($B$9,$C$16,$C$17,AG$23,AD$22,$C$18,$C$19,$B149,AG$24)</f>
        <v>0</v>
      </c>
      <c r="AH149" s="99">
        <f ca="1">_xll.DBRW($B$9,$C$16,$C$17,AG$23,AD$22,$C$18,$C$19,$B149,AH$24)</f>
        <v>0</v>
      </c>
      <c r="AI149" s="99">
        <f ca="1">_xll.DBRW($B$9,$C$16,$C$17,AG$23,AD$22,$C$18,$C$19,$B149,AI$24)</f>
        <v>0</v>
      </c>
      <c r="AJ149" s="99">
        <f t="shared" ca="1" si="21"/>
        <v>0</v>
      </c>
      <c r="AK149" s="99">
        <f t="shared" ca="1" si="22"/>
        <v>0</v>
      </c>
      <c r="AL149" s="99">
        <f t="shared" ca="1" si="23"/>
        <v>0</v>
      </c>
    </row>
    <row r="150" spans="1:38" x14ac:dyDescent="0.25">
      <c r="A150">
        <f ca="1">IF(_xll.TM1RPTELISCONSOLIDATED($B$25,$B150),IF(_xll.TM1RPTELLEV($B$25,$B150)&lt;=3,_xll.TM1RPTELLEV($B$25,$B150),"D"),"N")</f>
        <v>2</v>
      </c>
      <c r="B150" s="134" t="s">
        <v>158</v>
      </c>
      <c r="C150" s="99">
        <f ca="1">_xll.DBRW($B$9,$C$16,$C$17,C$23,C$22,$C$18,$C$19,$B150,C$24)</f>
        <v>0</v>
      </c>
      <c r="D150" s="99">
        <f ca="1">_xll.DBRW($B$9,$C$16,$C$17,C$23,C$22,$C$18,$C$19,$B150,D$24)</f>
        <v>0</v>
      </c>
      <c r="E150" s="99">
        <f ca="1">_xll.DBRW($B$9,$C$16,$C$17,C$23,C$22,$C$18,$C$19,$B150,E$24)</f>
        <v>0</v>
      </c>
      <c r="F150" s="99">
        <f ca="1">_xll.DBRW($B$9,$C$16,$C$17,F$23,C$22,$C$18,$C$19,$B150,F$24)</f>
        <v>0</v>
      </c>
      <c r="G150" s="99">
        <f ca="1">_xll.DBRW($B$9,$C$16,$C$17,F$23,C$22,$C$18,$C$19,$B150,G$24)</f>
        <v>0</v>
      </c>
      <c r="H150" s="99">
        <f ca="1">_xll.DBRW($B$9,$C$16,$C$17,F$23,C$22,$C$18,$C$19,$B150,H$24)</f>
        <v>0</v>
      </c>
      <c r="I150" s="99">
        <f t="shared" ca="1" si="12"/>
        <v>0</v>
      </c>
      <c r="J150" s="99">
        <f t="shared" ca="1" si="13"/>
        <v>0</v>
      </c>
      <c r="K150" s="99">
        <f t="shared" ca="1" si="14"/>
        <v>0</v>
      </c>
      <c r="L150" s="99">
        <f ca="1">_xll.DBRW($B$9,$C$16,$C$17,L$23,L$22,$C$18,$C$19,$B150,L$24)</f>
        <v>0</v>
      </c>
      <c r="M150" s="99">
        <f ca="1">_xll.DBRW($B$9,$C$16,$C$17,L$23,L$22,$C$18,$C$19,$B150,M$24)</f>
        <v>0</v>
      </c>
      <c r="N150" s="99">
        <f ca="1">_xll.DBRW($B$9,$C$16,$C$17,L$23,L$22,$C$18,$C$19,$B150,N$24)</f>
        <v>0</v>
      </c>
      <c r="O150" s="99">
        <f ca="1">_xll.DBRW($B$9,$C$16,$C$17,O$23,L$22,$C$18,$C$19,$B150,O$24)</f>
        <v>0</v>
      </c>
      <c r="P150" s="99">
        <f ca="1">_xll.DBRW($B$9,$C$16,$C$17,O$23,L$22,$C$18,$C$19,$B150,P$24)</f>
        <v>0</v>
      </c>
      <c r="Q150" s="99">
        <f ca="1">_xll.DBRW($B$9,$C$16,$C$17,O$23,L$22,$C$18,$C$19,$B150,Q$24)</f>
        <v>0</v>
      </c>
      <c r="R150" s="99">
        <f t="shared" ca="1" si="15"/>
        <v>0</v>
      </c>
      <c r="S150" s="99">
        <f t="shared" ca="1" si="16"/>
        <v>0</v>
      </c>
      <c r="T150" s="99">
        <f t="shared" ca="1" si="17"/>
        <v>0</v>
      </c>
      <c r="U150" s="99">
        <f ca="1">_xll.DBRW($B$9,$C$16,$C$17,U$23,U$22,$C$18,$C$19,$B150,U$24)</f>
        <v>0</v>
      </c>
      <c r="V150" s="99">
        <f ca="1">_xll.DBRW($B$9,$C$16,$C$17,U$23,U$22,$C$18,$C$19,$B150,V$24)</f>
        <v>0</v>
      </c>
      <c r="W150" s="99">
        <f ca="1">_xll.DBRW($B$9,$C$16,$C$17,U$23,U$22,$C$18,$C$19,$B150,W$24)</f>
        <v>0</v>
      </c>
      <c r="X150" s="99">
        <f ca="1">_xll.DBRW($B$9,$C$16,$C$17,X$23,U$22,$C$18,$C$19,$B150,X$24)</f>
        <v>0</v>
      </c>
      <c r="Y150" s="99">
        <f ca="1">_xll.DBRW($B$9,$C$16,$C$17,X$23,U$22,$C$18,$C$19,$B150,Y$24)</f>
        <v>0</v>
      </c>
      <c r="Z150" s="99">
        <f ca="1">_xll.DBRW($B$9,$C$16,$C$17,X$23,U$22,$C$18,$C$19,$B150,Z$24)</f>
        <v>0</v>
      </c>
      <c r="AA150" s="99">
        <f t="shared" ca="1" si="18"/>
        <v>0</v>
      </c>
      <c r="AB150" s="99">
        <f t="shared" ca="1" si="19"/>
        <v>0</v>
      </c>
      <c r="AC150" s="99">
        <f t="shared" ca="1" si="20"/>
        <v>0</v>
      </c>
      <c r="AD150" s="99">
        <f ca="1">_xll.DBRW($B$9,$C$16,$C$17,AD$23,AD$22,$C$18,$C$19,$B150,AD$24)</f>
        <v>0</v>
      </c>
      <c r="AE150" s="99">
        <f ca="1">_xll.DBRW($B$9,$C$16,$C$17,AD$23,AD$22,$C$18,$C$19,$B150,AE$24)</f>
        <v>0</v>
      </c>
      <c r="AF150" s="99">
        <f ca="1">_xll.DBRW($B$9,$C$16,$C$17,AD$23,AD$22,$C$18,$C$19,$B150,AF$24)</f>
        <v>0</v>
      </c>
      <c r="AG150" s="99">
        <f ca="1">_xll.DBRW($B$9,$C$16,$C$17,AG$23,AD$22,$C$18,$C$19,$B150,AG$24)</f>
        <v>0</v>
      </c>
      <c r="AH150" s="99">
        <f ca="1">_xll.DBRW($B$9,$C$16,$C$17,AG$23,AD$22,$C$18,$C$19,$B150,AH$24)</f>
        <v>0</v>
      </c>
      <c r="AI150" s="99">
        <f ca="1">_xll.DBRW($B$9,$C$16,$C$17,AG$23,AD$22,$C$18,$C$19,$B150,AI$24)</f>
        <v>0</v>
      </c>
      <c r="AJ150" s="99">
        <f t="shared" ca="1" si="21"/>
        <v>0</v>
      </c>
      <c r="AK150" s="99">
        <f t="shared" ca="1" si="22"/>
        <v>0</v>
      </c>
      <c r="AL150" s="99">
        <f t="shared" ca="1" si="23"/>
        <v>0</v>
      </c>
    </row>
    <row r="151" spans="1:38" x14ac:dyDescent="0.25">
      <c r="A151">
        <f ca="1">IF(_xll.TM1RPTELISCONSOLIDATED($B$25,$B151),IF(_xll.TM1RPTELLEV($B$25,$B151)&lt;=3,_xll.TM1RPTELLEV($B$25,$B151),"D"),"N")</f>
        <v>1</v>
      </c>
      <c r="B151" s="133" t="s">
        <v>28</v>
      </c>
      <c r="C151" s="97">
        <f ca="1">_xll.DBRW($B$9,$C$16,$C$17,C$23,C$22,$C$18,$C$19,$B151,C$24)</f>
        <v>0</v>
      </c>
      <c r="D151" s="97">
        <f ca="1">_xll.DBRW($B$9,$C$16,$C$17,C$23,C$22,$C$18,$C$19,$B151,D$24)</f>
        <v>0</v>
      </c>
      <c r="E151" s="97">
        <f ca="1">_xll.DBRW($B$9,$C$16,$C$17,C$23,C$22,$C$18,$C$19,$B151,E$24)</f>
        <v>0</v>
      </c>
      <c r="F151" s="97">
        <f ca="1">_xll.DBRW($B$9,$C$16,$C$17,F$23,C$22,$C$18,$C$19,$B151,F$24)</f>
        <v>0</v>
      </c>
      <c r="G151" s="97">
        <f ca="1">_xll.DBRW($B$9,$C$16,$C$17,F$23,C$22,$C$18,$C$19,$B151,G$24)</f>
        <v>0</v>
      </c>
      <c r="H151" s="97">
        <f ca="1">_xll.DBRW($B$9,$C$16,$C$17,F$23,C$22,$C$18,$C$19,$B151,H$24)</f>
        <v>0</v>
      </c>
      <c r="I151" s="97">
        <f t="shared" ca="1" si="12"/>
        <v>0</v>
      </c>
      <c r="J151" s="97">
        <f t="shared" ca="1" si="13"/>
        <v>0</v>
      </c>
      <c r="K151" s="97">
        <f t="shared" ca="1" si="14"/>
        <v>0</v>
      </c>
      <c r="L151" s="97">
        <f ca="1">_xll.DBRW($B$9,$C$16,$C$17,L$23,L$22,$C$18,$C$19,$B151,L$24)</f>
        <v>0</v>
      </c>
      <c r="M151" s="97">
        <f ca="1">_xll.DBRW($B$9,$C$16,$C$17,L$23,L$22,$C$18,$C$19,$B151,M$24)</f>
        <v>0</v>
      </c>
      <c r="N151" s="97">
        <f ca="1">_xll.DBRW($B$9,$C$16,$C$17,L$23,L$22,$C$18,$C$19,$B151,N$24)</f>
        <v>0</v>
      </c>
      <c r="O151" s="97">
        <f ca="1">_xll.DBRW($B$9,$C$16,$C$17,O$23,L$22,$C$18,$C$19,$B151,O$24)</f>
        <v>0</v>
      </c>
      <c r="P151" s="97">
        <f ca="1">_xll.DBRW($B$9,$C$16,$C$17,O$23,L$22,$C$18,$C$19,$B151,P$24)</f>
        <v>0</v>
      </c>
      <c r="Q151" s="97">
        <f ca="1">_xll.DBRW($B$9,$C$16,$C$17,O$23,L$22,$C$18,$C$19,$B151,Q$24)</f>
        <v>0</v>
      </c>
      <c r="R151" s="97">
        <f t="shared" ca="1" si="15"/>
        <v>0</v>
      </c>
      <c r="S151" s="97">
        <f t="shared" ca="1" si="16"/>
        <v>0</v>
      </c>
      <c r="T151" s="97">
        <f t="shared" ca="1" si="17"/>
        <v>0</v>
      </c>
      <c r="U151" s="97">
        <f ca="1">_xll.DBRW($B$9,$C$16,$C$17,U$23,U$22,$C$18,$C$19,$B151,U$24)</f>
        <v>0</v>
      </c>
      <c r="V151" s="97">
        <f ca="1">_xll.DBRW($B$9,$C$16,$C$17,U$23,U$22,$C$18,$C$19,$B151,V$24)</f>
        <v>0</v>
      </c>
      <c r="W151" s="97">
        <f ca="1">_xll.DBRW($B$9,$C$16,$C$17,U$23,U$22,$C$18,$C$19,$B151,W$24)</f>
        <v>0</v>
      </c>
      <c r="X151" s="97">
        <f ca="1">_xll.DBRW($B$9,$C$16,$C$17,X$23,U$22,$C$18,$C$19,$B151,X$24)</f>
        <v>0</v>
      </c>
      <c r="Y151" s="97">
        <f ca="1">_xll.DBRW($B$9,$C$16,$C$17,X$23,U$22,$C$18,$C$19,$B151,Y$24)</f>
        <v>0</v>
      </c>
      <c r="Z151" s="97">
        <f ca="1">_xll.DBRW($B$9,$C$16,$C$17,X$23,U$22,$C$18,$C$19,$B151,Z$24)</f>
        <v>0</v>
      </c>
      <c r="AA151" s="97">
        <f t="shared" ca="1" si="18"/>
        <v>0</v>
      </c>
      <c r="AB151" s="97">
        <f t="shared" ca="1" si="19"/>
        <v>0</v>
      </c>
      <c r="AC151" s="97">
        <f t="shared" ca="1" si="20"/>
        <v>0</v>
      </c>
      <c r="AD151" s="97">
        <f ca="1">_xll.DBRW($B$9,$C$16,$C$17,AD$23,AD$22,$C$18,$C$19,$B151,AD$24)</f>
        <v>0</v>
      </c>
      <c r="AE151" s="97">
        <f ca="1">_xll.DBRW($B$9,$C$16,$C$17,AD$23,AD$22,$C$18,$C$19,$B151,AE$24)</f>
        <v>0</v>
      </c>
      <c r="AF151" s="97">
        <f ca="1">_xll.DBRW($B$9,$C$16,$C$17,AD$23,AD$22,$C$18,$C$19,$B151,AF$24)</f>
        <v>0</v>
      </c>
      <c r="AG151" s="97">
        <f ca="1">_xll.DBRW($B$9,$C$16,$C$17,AG$23,AD$22,$C$18,$C$19,$B151,AG$24)</f>
        <v>0</v>
      </c>
      <c r="AH151" s="97">
        <f ca="1">_xll.DBRW($B$9,$C$16,$C$17,AG$23,AD$22,$C$18,$C$19,$B151,AH$24)</f>
        <v>0</v>
      </c>
      <c r="AI151" s="97">
        <f ca="1">_xll.DBRW($B$9,$C$16,$C$17,AG$23,AD$22,$C$18,$C$19,$B151,AI$24)</f>
        <v>0</v>
      </c>
      <c r="AJ151" s="97">
        <f t="shared" ca="1" si="21"/>
        <v>0</v>
      </c>
      <c r="AK151" s="97">
        <f t="shared" ca="1" si="22"/>
        <v>0</v>
      </c>
      <c r="AL151" s="97">
        <f t="shared" ca="1" si="23"/>
        <v>0</v>
      </c>
    </row>
    <row r="152" spans="1:38" x14ac:dyDescent="0.25">
      <c r="A152">
        <f ca="1">IF(_xll.TM1RPTELISCONSOLIDATED($B$25,$B152),IF(_xll.TM1RPTELLEV($B$25,$B152)&lt;=3,_xll.TM1RPTELLEV($B$25,$B152),"D"),"N")</f>
        <v>2</v>
      </c>
      <c r="B152" s="134" t="s">
        <v>159</v>
      </c>
      <c r="C152" s="99">
        <f ca="1">_xll.DBRW($B$9,$C$16,$C$17,C$23,C$22,$C$18,$C$19,$B152,C$24)</f>
        <v>0</v>
      </c>
      <c r="D152" s="99">
        <f ca="1">_xll.DBRW($B$9,$C$16,$C$17,C$23,C$22,$C$18,$C$19,$B152,D$24)</f>
        <v>0</v>
      </c>
      <c r="E152" s="99">
        <f ca="1">_xll.DBRW($B$9,$C$16,$C$17,C$23,C$22,$C$18,$C$19,$B152,E$24)</f>
        <v>0</v>
      </c>
      <c r="F152" s="99">
        <f ca="1">_xll.DBRW($B$9,$C$16,$C$17,F$23,C$22,$C$18,$C$19,$B152,F$24)</f>
        <v>0</v>
      </c>
      <c r="G152" s="99">
        <f ca="1">_xll.DBRW($B$9,$C$16,$C$17,F$23,C$22,$C$18,$C$19,$B152,G$24)</f>
        <v>0</v>
      </c>
      <c r="H152" s="99">
        <f ca="1">_xll.DBRW($B$9,$C$16,$C$17,F$23,C$22,$C$18,$C$19,$B152,H$24)</f>
        <v>0</v>
      </c>
      <c r="I152" s="99">
        <f t="shared" ca="1" si="12"/>
        <v>0</v>
      </c>
      <c r="J152" s="99">
        <f t="shared" ca="1" si="13"/>
        <v>0</v>
      </c>
      <c r="K152" s="99">
        <f t="shared" ca="1" si="14"/>
        <v>0</v>
      </c>
      <c r="L152" s="99">
        <f ca="1">_xll.DBRW($B$9,$C$16,$C$17,L$23,L$22,$C$18,$C$19,$B152,L$24)</f>
        <v>0</v>
      </c>
      <c r="M152" s="99">
        <f ca="1">_xll.DBRW($B$9,$C$16,$C$17,L$23,L$22,$C$18,$C$19,$B152,M$24)</f>
        <v>0</v>
      </c>
      <c r="N152" s="99">
        <f ca="1">_xll.DBRW($B$9,$C$16,$C$17,L$23,L$22,$C$18,$C$19,$B152,N$24)</f>
        <v>0</v>
      </c>
      <c r="O152" s="99">
        <f ca="1">_xll.DBRW($B$9,$C$16,$C$17,O$23,L$22,$C$18,$C$19,$B152,O$24)</f>
        <v>0</v>
      </c>
      <c r="P152" s="99">
        <f ca="1">_xll.DBRW($B$9,$C$16,$C$17,O$23,L$22,$C$18,$C$19,$B152,P$24)</f>
        <v>0</v>
      </c>
      <c r="Q152" s="99">
        <f ca="1">_xll.DBRW($B$9,$C$16,$C$17,O$23,L$22,$C$18,$C$19,$B152,Q$24)</f>
        <v>0</v>
      </c>
      <c r="R152" s="99">
        <f t="shared" ca="1" si="15"/>
        <v>0</v>
      </c>
      <c r="S152" s="99">
        <f t="shared" ca="1" si="16"/>
        <v>0</v>
      </c>
      <c r="T152" s="99">
        <f t="shared" ca="1" si="17"/>
        <v>0</v>
      </c>
      <c r="U152" s="99">
        <f ca="1">_xll.DBRW($B$9,$C$16,$C$17,U$23,U$22,$C$18,$C$19,$B152,U$24)</f>
        <v>0</v>
      </c>
      <c r="V152" s="99">
        <f ca="1">_xll.DBRW($B$9,$C$16,$C$17,U$23,U$22,$C$18,$C$19,$B152,V$24)</f>
        <v>0</v>
      </c>
      <c r="W152" s="99">
        <f ca="1">_xll.DBRW($B$9,$C$16,$C$17,U$23,U$22,$C$18,$C$19,$B152,W$24)</f>
        <v>0</v>
      </c>
      <c r="X152" s="99">
        <f ca="1">_xll.DBRW($B$9,$C$16,$C$17,X$23,U$22,$C$18,$C$19,$B152,X$24)</f>
        <v>0</v>
      </c>
      <c r="Y152" s="99">
        <f ca="1">_xll.DBRW($B$9,$C$16,$C$17,X$23,U$22,$C$18,$C$19,$B152,Y$24)</f>
        <v>0</v>
      </c>
      <c r="Z152" s="99">
        <f ca="1">_xll.DBRW($B$9,$C$16,$C$17,X$23,U$22,$C$18,$C$19,$B152,Z$24)</f>
        <v>0</v>
      </c>
      <c r="AA152" s="99">
        <f t="shared" ca="1" si="18"/>
        <v>0</v>
      </c>
      <c r="AB152" s="99">
        <f t="shared" ca="1" si="19"/>
        <v>0</v>
      </c>
      <c r="AC152" s="99">
        <f t="shared" ca="1" si="20"/>
        <v>0</v>
      </c>
      <c r="AD152" s="99">
        <f ca="1">_xll.DBRW($B$9,$C$16,$C$17,AD$23,AD$22,$C$18,$C$19,$B152,AD$24)</f>
        <v>0</v>
      </c>
      <c r="AE152" s="99">
        <f ca="1">_xll.DBRW($B$9,$C$16,$C$17,AD$23,AD$22,$C$18,$C$19,$B152,AE$24)</f>
        <v>0</v>
      </c>
      <c r="AF152" s="99">
        <f ca="1">_xll.DBRW($B$9,$C$16,$C$17,AD$23,AD$22,$C$18,$C$19,$B152,AF$24)</f>
        <v>0</v>
      </c>
      <c r="AG152" s="99">
        <f ca="1">_xll.DBRW($B$9,$C$16,$C$17,AG$23,AD$22,$C$18,$C$19,$B152,AG$24)</f>
        <v>0</v>
      </c>
      <c r="AH152" s="99">
        <f ca="1">_xll.DBRW($B$9,$C$16,$C$17,AG$23,AD$22,$C$18,$C$19,$B152,AH$24)</f>
        <v>0</v>
      </c>
      <c r="AI152" s="99">
        <f ca="1">_xll.DBRW($B$9,$C$16,$C$17,AG$23,AD$22,$C$18,$C$19,$B152,AI$24)</f>
        <v>0</v>
      </c>
      <c r="AJ152" s="99">
        <f t="shared" ca="1" si="21"/>
        <v>0</v>
      </c>
      <c r="AK152" s="99">
        <f t="shared" ca="1" si="22"/>
        <v>0</v>
      </c>
      <c r="AL152" s="99">
        <f t="shared" ca="1" si="23"/>
        <v>0</v>
      </c>
    </row>
    <row r="153" spans="1:38" x14ac:dyDescent="0.25">
      <c r="A153">
        <f ca="1">IF(_xll.TM1RPTELISCONSOLIDATED($B$25,$B153),IF(_xll.TM1RPTELLEV($B$25,$B153)&lt;=3,_xll.TM1RPTELLEV($B$25,$B153),"D"),"N")</f>
        <v>2</v>
      </c>
      <c r="B153" s="134" t="s">
        <v>160</v>
      </c>
      <c r="C153" s="99">
        <f ca="1">_xll.DBRW($B$9,$C$16,$C$17,C$23,C$22,$C$18,$C$19,$B153,C$24)</f>
        <v>0</v>
      </c>
      <c r="D153" s="99">
        <f ca="1">_xll.DBRW($B$9,$C$16,$C$17,C$23,C$22,$C$18,$C$19,$B153,D$24)</f>
        <v>0</v>
      </c>
      <c r="E153" s="99">
        <f ca="1">_xll.DBRW($B$9,$C$16,$C$17,C$23,C$22,$C$18,$C$19,$B153,E$24)</f>
        <v>0</v>
      </c>
      <c r="F153" s="99">
        <f ca="1">_xll.DBRW($B$9,$C$16,$C$17,F$23,C$22,$C$18,$C$19,$B153,F$24)</f>
        <v>0</v>
      </c>
      <c r="G153" s="99">
        <f ca="1">_xll.DBRW($B$9,$C$16,$C$17,F$23,C$22,$C$18,$C$19,$B153,G$24)</f>
        <v>0</v>
      </c>
      <c r="H153" s="99">
        <f ca="1">_xll.DBRW($B$9,$C$16,$C$17,F$23,C$22,$C$18,$C$19,$B153,H$24)</f>
        <v>0</v>
      </c>
      <c r="I153" s="99">
        <f t="shared" ca="1" si="12"/>
        <v>0</v>
      </c>
      <c r="J153" s="99">
        <f t="shared" ca="1" si="13"/>
        <v>0</v>
      </c>
      <c r="K153" s="99">
        <f t="shared" ca="1" si="14"/>
        <v>0</v>
      </c>
      <c r="L153" s="99">
        <f ca="1">_xll.DBRW($B$9,$C$16,$C$17,L$23,L$22,$C$18,$C$19,$B153,L$24)</f>
        <v>0</v>
      </c>
      <c r="M153" s="99">
        <f ca="1">_xll.DBRW($B$9,$C$16,$C$17,L$23,L$22,$C$18,$C$19,$B153,M$24)</f>
        <v>0</v>
      </c>
      <c r="N153" s="99">
        <f ca="1">_xll.DBRW($B$9,$C$16,$C$17,L$23,L$22,$C$18,$C$19,$B153,N$24)</f>
        <v>0</v>
      </c>
      <c r="O153" s="99">
        <f ca="1">_xll.DBRW($B$9,$C$16,$C$17,O$23,L$22,$C$18,$C$19,$B153,O$24)</f>
        <v>0</v>
      </c>
      <c r="P153" s="99">
        <f ca="1">_xll.DBRW($B$9,$C$16,$C$17,O$23,L$22,$C$18,$C$19,$B153,P$24)</f>
        <v>0</v>
      </c>
      <c r="Q153" s="99">
        <f ca="1">_xll.DBRW($B$9,$C$16,$C$17,O$23,L$22,$C$18,$C$19,$B153,Q$24)</f>
        <v>0</v>
      </c>
      <c r="R153" s="99">
        <f t="shared" ca="1" si="15"/>
        <v>0</v>
      </c>
      <c r="S153" s="99">
        <f t="shared" ca="1" si="16"/>
        <v>0</v>
      </c>
      <c r="T153" s="99">
        <f t="shared" ca="1" si="17"/>
        <v>0</v>
      </c>
      <c r="U153" s="99">
        <f ca="1">_xll.DBRW($B$9,$C$16,$C$17,U$23,U$22,$C$18,$C$19,$B153,U$24)</f>
        <v>0</v>
      </c>
      <c r="V153" s="99">
        <f ca="1">_xll.DBRW($B$9,$C$16,$C$17,U$23,U$22,$C$18,$C$19,$B153,V$24)</f>
        <v>0</v>
      </c>
      <c r="W153" s="99">
        <f ca="1">_xll.DBRW($B$9,$C$16,$C$17,U$23,U$22,$C$18,$C$19,$B153,W$24)</f>
        <v>0</v>
      </c>
      <c r="X153" s="99">
        <f ca="1">_xll.DBRW($B$9,$C$16,$C$17,X$23,U$22,$C$18,$C$19,$B153,X$24)</f>
        <v>0</v>
      </c>
      <c r="Y153" s="99">
        <f ca="1">_xll.DBRW($B$9,$C$16,$C$17,X$23,U$22,$C$18,$C$19,$B153,Y$24)</f>
        <v>0</v>
      </c>
      <c r="Z153" s="99">
        <f ca="1">_xll.DBRW($B$9,$C$16,$C$17,X$23,U$22,$C$18,$C$19,$B153,Z$24)</f>
        <v>0</v>
      </c>
      <c r="AA153" s="99">
        <f t="shared" ca="1" si="18"/>
        <v>0</v>
      </c>
      <c r="AB153" s="99">
        <f t="shared" ca="1" si="19"/>
        <v>0</v>
      </c>
      <c r="AC153" s="99">
        <f t="shared" ca="1" si="20"/>
        <v>0</v>
      </c>
      <c r="AD153" s="99">
        <f ca="1">_xll.DBRW($B$9,$C$16,$C$17,AD$23,AD$22,$C$18,$C$19,$B153,AD$24)</f>
        <v>0</v>
      </c>
      <c r="AE153" s="99">
        <f ca="1">_xll.DBRW($B$9,$C$16,$C$17,AD$23,AD$22,$C$18,$C$19,$B153,AE$24)</f>
        <v>0</v>
      </c>
      <c r="AF153" s="99">
        <f ca="1">_xll.DBRW($B$9,$C$16,$C$17,AD$23,AD$22,$C$18,$C$19,$B153,AF$24)</f>
        <v>0</v>
      </c>
      <c r="AG153" s="99">
        <f ca="1">_xll.DBRW($B$9,$C$16,$C$17,AG$23,AD$22,$C$18,$C$19,$B153,AG$24)</f>
        <v>0</v>
      </c>
      <c r="AH153" s="99">
        <f ca="1">_xll.DBRW($B$9,$C$16,$C$17,AG$23,AD$22,$C$18,$C$19,$B153,AH$24)</f>
        <v>0</v>
      </c>
      <c r="AI153" s="99">
        <f ca="1">_xll.DBRW($B$9,$C$16,$C$17,AG$23,AD$22,$C$18,$C$19,$B153,AI$24)</f>
        <v>0</v>
      </c>
      <c r="AJ153" s="99">
        <f t="shared" ca="1" si="21"/>
        <v>0</v>
      </c>
      <c r="AK153" s="99">
        <f t="shared" ca="1" si="22"/>
        <v>0</v>
      </c>
      <c r="AL153" s="99">
        <f t="shared" ca="1" si="23"/>
        <v>0</v>
      </c>
    </row>
    <row r="154" spans="1:38" x14ac:dyDescent="0.25">
      <c r="A154">
        <f ca="1">IF(_xll.TM1RPTELISCONSOLIDATED($B$25,$B154),IF(_xll.TM1RPTELLEV($B$25,$B154)&lt;=3,_xll.TM1RPTELLEV($B$25,$B154),"D"),"N")</f>
        <v>2</v>
      </c>
      <c r="B154" s="134" t="s">
        <v>161</v>
      </c>
      <c r="C154" s="99">
        <f ca="1">_xll.DBRW($B$9,$C$16,$C$17,C$23,C$22,$C$18,$C$19,$B154,C$24)</f>
        <v>0</v>
      </c>
      <c r="D154" s="99">
        <f ca="1">_xll.DBRW($B$9,$C$16,$C$17,C$23,C$22,$C$18,$C$19,$B154,D$24)</f>
        <v>0</v>
      </c>
      <c r="E154" s="99">
        <f ca="1">_xll.DBRW($B$9,$C$16,$C$17,C$23,C$22,$C$18,$C$19,$B154,E$24)</f>
        <v>0</v>
      </c>
      <c r="F154" s="99">
        <f ca="1">_xll.DBRW($B$9,$C$16,$C$17,F$23,C$22,$C$18,$C$19,$B154,F$24)</f>
        <v>0</v>
      </c>
      <c r="G154" s="99">
        <f ca="1">_xll.DBRW($B$9,$C$16,$C$17,F$23,C$22,$C$18,$C$19,$B154,G$24)</f>
        <v>0</v>
      </c>
      <c r="H154" s="99">
        <f ca="1">_xll.DBRW($B$9,$C$16,$C$17,F$23,C$22,$C$18,$C$19,$B154,H$24)</f>
        <v>0</v>
      </c>
      <c r="I154" s="99">
        <f t="shared" ref="I154:I180" ca="1" si="24">C154+F154</f>
        <v>0</v>
      </c>
      <c r="J154" s="99">
        <f t="shared" ref="J154:J180" ca="1" si="25">IF(I154=0,0,K154/I154)</f>
        <v>0</v>
      </c>
      <c r="K154" s="99">
        <f t="shared" ref="K154:K180" ca="1" si="26">E154+H154</f>
        <v>0</v>
      </c>
      <c r="L154" s="99">
        <f ca="1">_xll.DBRW($B$9,$C$16,$C$17,L$23,L$22,$C$18,$C$19,$B154,L$24)</f>
        <v>0</v>
      </c>
      <c r="M154" s="99">
        <f ca="1">_xll.DBRW($B$9,$C$16,$C$17,L$23,L$22,$C$18,$C$19,$B154,M$24)</f>
        <v>0</v>
      </c>
      <c r="N154" s="99">
        <f ca="1">_xll.DBRW($B$9,$C$16,$C$17,L$23,L$22,$C$18,$C$19,$B154,N$24)</f>
        <v>0</v>
      </c>
      <c r="O154" s="99">
        <f ca="1">_xll.DBRW($B$9,$C$16,$C$17,O$23,L$22,$C$18,$C$19,$B154,O$24)</f>
        <v>0</v>
      </c>
      <c r="P154" s="99">
        <f ca="1">_xll.DBRW($B$9,$C$16,$C$17,O$23,L$22,$C$18,$C$19,$B154,P$24)</f>
        <v>0</v>
      </c>
      <c r="Q154" s="99">
        <f ca="1">_xll.DBRW($B$9,$C$16,$C$17,O$23,L$22,$C$18,$C$19,$B154,Q$24)</f>
        <v>0</v>
      </c>
      <c r="R154" s="99">
        <f t="shared" ref="R154:R180" ca="1" si="27">L154+O154</f>
        <v>0</v>
      </c>
      <c r="S154" s="99">
        <f t="shared" ref="S154:S180" ca="1" si="28">IF(R154=0,0,T154/R154)</f>
        <v>0</v>
      </c>
      <c r="T154" s="99">
        <f t="shared" ref="T154:T180" ca="1" si="29">N154+Q154</f>
        <v>0</v>
      </c>
      <c r="U154" s="99">
        <f ca="1">_xll.DBRW($B$9,$C$16,$C$17,U$23,U$22,$C$18,$C$19,$B154,U$24)</f>
        <v>0</v>
      </c>
      <c r="V154" s="99">
        <f ca="1">_xll.DBRW($B$9,$C$16,$C$17,U$23,U$22,$C$18,$C$19,$B154,V$24)</f>
        <v>0</v>
      </c>
      <c r="W154" s="99">
        <f ca="1">_xll.DBRW($B$9,$C$16,$C$17,U$23,U$22,$C$18,$C$19,$B154,W$24)</f>
        <v>0</v>
      </c>
      <c r="X154" s="99">
        <f ca="1">_xll.DBRW($B$9,$C$16,$C$17,X$23,U$22,$C$18,$C$19,$B154,X$24)</f>
        <v>0</v>
      </c>
      <c r="Y154" s="99">
        <f ca="1">_xll.DBRW($B$9,$C$16,$C$17,X$23,U$22,$C$18,$C$19,$B154,Y$24)</f>
        <v>0</v>
      </c>
      <c r="Z154" s="99">
        <f ca="1">_xll.DBRW($B$9,$C$16,$C$17,X$23,U$22,$C$18,$C$19,$B154,Z$24)</f>
        <v>0</v>
      </c>
      <c r="AA154" s="99">
        <f t="shared" ref="AA154:AA180" ca="1" si="30">U154+X154</f>
        <v>0</v>
      </c>
      <c r="AB154" s="99">
        <f t="shared" ref="AB154:AB180" ca="1" si="31">IF(AA154=0,0,AC154/AA154)</f>
        <v>0</v>
      </c>
      <c r="AC154" s="99">
        <f t="shared" ref="AC154:AC180" ca="1" si="32">Z154+W154</f>
        <v>0</v>
      </c>
      <c r="AD154" s="99">
        <f ca="1">_xll.DBRW($B$9,$C$16,$C$17,AD$23,AD$22,$C$18,$C$19,$B154,AD$24)</f>
        <v>0</v>
      </c>
      <c r="AE154" s="99">
        <f ca="1">_xll.DBRW($B$9,$C$16,$C$17,AD$23,AD$22,$C$18,$C$19,$B154,AE$24)</f>
        <v>0</v>
      </c>
      <c r="AF154" s="99">
        <f ca="1">_xll.DBRW($B$9,$C$16,$C$17,AD$23,AD$22,$C$18,$C$19,$B154,AF$24)</f>
        <v>0</v>
      </c>
      <c r="AG154" s="99">
        <f ca="1">_xll.DBRW($B$9,$C$16,$C$17,AG$23,AD$22,$C$18,$C$19,$B154,AG$24)</f>
        <v>0</v>
      </c>
      <c r="AH154" s="99">
        <f ca="1">_xll.DBRW($B$9,$C$16,$C$17,AG$23,AD$22,$C$18,$C$19,$B154,AH$24)</f>
        <v>0</v>
      </c>
      <c r="AI154" s="99">
        <f ca="1">_xll.DBRW($B$9,$C$16,$C$17,AG$23,AD$22,$C$18,$C$19,$B154,AI$24)</f>
        <v>0</v>
      </c>
      <c r="AJ154" s="99">
        <f t="shared" ref="AJ154:AJ180" ca="1" si="33">AG154+AD154</f>
        <v>0</v>
      </c>
      <c r="AK154" s="99">
        <f t="shared" ref="AK154:AK180" ca="1" si="34">IF(AJ154=0,0,AL154/AJ154)</f>
        <v>0</v>
      </c>
      <c r="AL154" s="99">
        <f t="shared" ref="AL154:AL180" ca="1" si="35">AI154+AF154</f>
        <v>0</v>
      </c>
    </row>
    <row r="155" spans="1:38" x14ac:dyDescent="0.25">
      <c r="A155">
        <f ca="1">IF(_xll.TM1RPTELISCONSOLIDATED($B$25,$B155),IF(_xll.TM1RPTELLEV($B$25,$B155)&lt;=3,_xll.TM1RPTELLEV($B$25,$B155),"D"),"N")</f>
        <v>2</v>
      </c>
      <c r="B155" s="134" t="s">
        <v>162</v>
      </c>
      <c r="C155" s="99">
        <f ca="1">_xll.DBRW($B$9,$C$16,$C$17,C$23,C$22,$C$18,$C$19,$B155,C$24)</f>
        <v>0</v>
      </c>
      <c r="D155" s="99">
        <f ca="1">_xll.DBRW($B$9,$C$16,$C$17,C$23,C$22,$C$18,$C$19,$B155,D$24)</f>
        <v>0</v>
      </c>
      <c r="E155" s="99">
        <f ca="1">_xll.DBRW($B$9,$C$16,$C$17,C$23,C$22,$C$18,$C$19,$B155,E$24)</f>
        <v>0</v>
      </c>
      <c r="F155" s="99">
        <f ca="1">_xll.DBRW($B$9,$C$16,$C$17,F$23,C$22,$C$18,$C$19,$B155,F$24)</f>
        <v>0</v>
      </c>
      <c r="G155" s="99">
        <f ca="1">_xll.DBRW($B$9,$C$16,$C$17,F$23,C$22,$C$18,$C$19,$B155,G$24)</f>
        <v>0</v>
      </c>
      <c r="H155" s="99">
        <f ca="1">_xll.DBRW($B$9,$C$16,$C$17,F$23,C$22,$C$18,$C$19,$B155,H$24)</f>
        <v>0</v>
      </c>
      <c r="I155" s="99">
        <f t="shared" ca="1" si="24"/>
        <v>0</v>
      </c>
      <c r="J155" s="99">
        <f t="shared" ca="1" si="25"/>
        <v>0</v>
      </c>
      <c r="K155" s="99">
        <f t="shared" ca="1" si="26"/>
        <v>0</v>
      </c>
      <c r="L155" s="99">
        <f ca="1">_xll.DBRW($B$9,$C$16,$C$17,L$23,L$22,$C$18,$C$19,$B155,L$24)</f>
        <v>0</v>
      </c>
      <c r="M155" s="99">
        <f ca="1">_xll.DBRW($B$9,$C$16,$C$17,L$23,L$22,$C$18,$C$19,$B155,M$24)</f>
        <v>0</v>
      </c>
      <c r="N155" s="99">
        <f ca="1">_xll.DBRW($B$9,$C$16,$C$17,L$23,L$22,$C$18,$C$19,$B155,N$24)</f>
        <v>0</v>
      </c>
      <c r="O155" s="99">
        <f ca="1">_xll.DBRW($B$9,$C$16,$C$17,O$23,L$22,$C$18,$C$19,$B155,O$24)</f>
        <v>0</v>
      </c>
      <c r="P155" s="99">
        <f ca="1">_xll.DBRW($B$9,$C$16,$C$17,O$23,L$22,$C$18,$C$19,$B155,P$24)</f>
        <v>0</v>
      </c>
      <c r="Q155" s="99">
        <f ca="1">_xll.DBRW($B$9,$C$16,$C$17,O$23,L$22,$C$18,$C$19,$B155,Q$24)</f>
        <v>0</v>
      </c>
      <c r="R155" s="99">
        <f t="shared" ca="1" si="27"/>
        <v>0</v>
      </c>
      <c r="S155" s="99">
        <f t="shared" ca="1" si="28"/>
        <v>0</v>
      </c>
      <c r="T155" s="99">
        <f t="shared" ca="1" si="29"/>
        <v>0</v>
      </c>
      <c r="U155" s="99">
        <f ca="1">_xll.DBRW($B$9,$C$16,$C$17,U$23,U$22,$C$18,$C$19,$B155,U$24)</f>
        <v>0</v>
      </c>
      <c r="V155" s="99">
        <f ca="1">_xll.DBRW($B$9,$C$16,$C$17,U$23,U$22,$C$18,$C$19,$B155,V$24)</f>
        <v>0</v>
      </c>
      <c r="W155" s="99">
        <f ca="1">_xll.DBRW($B$9,$C$16,$C$17,U$23,U$22,$C$18,$C$19,$B155,W$24)</f>
        <v>0</v>
      </c>
      <c r="X155" s="99">
        <f ca="1">_xll.DBRW($B$9,$C$16,$C$17,X$23,U$22,$C$18,$C$19,$B155,X$24)</f>
        <v>0</v>
      </c>
      <c r="Y155" s="99">
        <f ca="1">_xll.DBRW($B$9,$C$16,$C$17,X$23,U$22,$C$18,$C$19,$B155,Y$24)</f>
        <v>0</v>
      </c>
      <c r="Z155" s="99">
        <f ca="1">_xll.DBRW($B$9,$C$16,$C$17,X$23,U$22,$C$18,$C$19,$B155,Z$24)</f>
        <v>0</v>
      </c>
      <c r="AA155" s="99">
        <f t="shared" ca="1" si="30"/>
        <v>0</v>
      </c>
      <c r="AB155" s="99">
        <f t="shared" ca="1" si="31"/>
        <v>0</v>
      </c>
      <c r="AC155" s="99">
        <f t="shared" ca="1" si="32"/>
        <v>0</v>
      </c>
      <c r="AD155" s="99">
        <f ca="1">_xll.DBRW($B$9,$C$16,$C$17,AD$23,AD$22,$C$18,$C$19,$B155,AD$24)</f>
        <v>0</v>
      </c>
      <c r="AE155" s="99">
        <f ca="1">_xll.DBRW($B$9,$C$16,$C$17,AD$23,AD$22,$C$18,$C$19,$B155,AE$24)</f>
        <v>0</v>
      </c>
      <c r="AF155" s="99">
        <f ca="1">_xll.DBRW($B$9,$C$16,$C$17,AD$23,AD$22,$C$18,$C$19,$B155,AF$24)</f>
        <v>0</v>
      </c>
      <c r="AG155" s="99">
        <f ca="1">_xll.DBRW($B$9,$C$16,$C$17,AG$23,AD$22,$C$18,$C$19,$B155,AG$24)</f>
        <v>0</v>
      </c>
      <c r="AH155" s="99">
        <f ca="1">_xll.DBRW($B$9,$C$16,$C$17,AG$23,AD$22,$C$18,$C$19,$B155,AH$24)</f>
        <v>0</v>
      </c>
      <c r="AI155" s="99">
        <f ca="1">_xll.DBRW($B$9,$C$16,$C$17,AG$23,AD$22,$C$18,$C$19,$B155,AI$24)</f>
        <v>0</v>
      </c>
      <c r="AJ155" s="99">
        <f t="shared" ca="1" si="33"/>
        <v>0</v>
      </c>
      <c r="AK155" s="99">
        <f t="shared" ca="1" si="34"/>
        <v>0</v>
      </c>
      <c r="AL155" s="99">
        <f t="shared" ca="1" si="35"/>
        <v>0</v>
      </c>
    </row>
    <row r="156" spans="1:38" x14ac:dyDescent="0.25">
      <c r="A156">
        <f ca="1">IF(_xll.TM1RPTELISCONSOLIDATED($B$25,$B156),IF(_xll.TM1RPTELLEV($B$25,$B156)&lt;=3,_xll.TM1RPTELLEV($B$25,$B156),"D"),"N")</f>
        <v>2</v>
      </c>
      <c r="B156" s="134" t="s">
        <v>163</v>
      </c>
      <c r="C156" s="99">
        <f ca="1">_xll.DBRW($B$9,$C$16,$C$17,C$23,C$22,$C$18,$C$19,$B156,C$24)</f>
        <v>0</v>
      </c>
      <c r="D156" s="99">
        <f ca="1">_xll.DBRW($B$9,$C$16,$C$17,C$23,C$22,$C$18,$C$19,$B156,D$24)</f>
        <v>0</v>
      </c>
      <c r="E156" s="99">
        <f ca="1">_xll.DBRW($B$9,$C$16,$C$17,C$23,C$22,$C$18,$C$19,$B156,E$24)</f>
        <v>0</v>
      </c>
      <c r="F156" s="99">
        <f ca="1">_xll.DBRW($B$9,$C$16,$C$17,F$23,C$22,$C$18,$C$19,$B156,F$24)</f>
        <v>0</v>
      </c>
      <c r="G156" s="99">
        <f ca="1">_xll.DBRW($B$9,$C$16,$C$17,F$23,C$22,$C$18,$C$19,$B156,G$24)</f>
        <v>0</v>
      </c>
      <c r="H156" s="99">
        <f ca="1">_xll.DBRW($B$9,$C$16,$C$17,F$23,C$22,$C$18,$C$19,$B156,H$24)</f>
        <v>0</v>
      </c>
      <c r="I156" s="99">
        <f t="shared" ca="1" si="24"/>
        <v>0</v>
      </c>
      <c r="J156" s="99">
        <f t="shared" ca="1" si="25"/>
        <v>0</v>
      </c>
      <c r="K156" s="99">
        <f t="shared" ca="1" si="26"/>
        <v>0</v>
      </c>
      <c r="L156" s="99">
        <f ca="1">_xll.DBRW($B$9,$C$16,$C$17,L$23,L$22,$C$18,$C$19,$B156,L$24)</f>
        <v>0</v>
      </c>
      <c r="M156" s="99">
        <f ca="1">_xll.DBRW($B$9,$C$16,$C$17,L$23,L$22,$C$18,$C$19,$B156,M$24)</f>
        <v>0</v>
      </c>
      <c r="N156" s="99">
        <f ca="1">_xll.DBRW($B$9,$C$16,$C$17,L$23,L$22,$C$18,$C$19,$B156,N$24)</f>
        <v>0</v>
      </c>
      <c r="O156" s="99">
        <f ca="1">_xll.DBRW($B$9,$C$16,$C$17,O$23,L$22,$C$18,$C$19,$B156,O$24)</f>
        <v>0</v>
      </c>
      <c r="P156" s="99">
        <f ca="1">_xll.DBRW($B$9,$C$16,$C$17,O$23,L$22,$C$18,$C$19,$B156,P$24)</f>
        <v>0</v>
      </c>
      <c r="Q156" s="99">
        <f ca="1">_xll.DBRW($B$9,$C$16,$C$17,O$23,L$22,$C$18,$C$19,$B156,Q$24)</f>
        <v>0</v>
      </c>
      <c r="R156" s="99">
        <f t="shared" ca="1" si="27"/>
        <v>0</v>
      </c>
      <c r="S156" s="99">
        <f t="shared" ca="1" si="28"/>
        <v>0</v>
      </c>
      <c r="T156" s="99">
        <f t="shared" ca="1" si="29"/>
        <v>0</v>
      </c>
      <c r="U156" s="99">
        <f ca="1">_xll.DBRW($B$9,$C$16,$C$17,U$23,U$22,$C$18,$C$19,$B156,U$24)</f>
        <v>0</v>
      </c>
      <c r="V156" s="99">
        <f ca="1">_xll.DBRW($B$9,$C$16,$C$17,U$23,U$22,$C$18,$C$19,$B156,V$24)</f>
        <v>0</v>
      </c>
      <c r="W156" s="99">
        <f ca="1">_xll.DBRW($B$9,$C$16,$C$17,U$23,U$22,$C$18,$C$19,$B156,W$24)</f>
        <v>0</v>
      </c>
      <c r="X156" s="99">
        <f ca="1">_xll.DBRW($B$9,$C$16,$C$17,X$23,U$22,$C$18,$C$19,$B156,X$24)</f>
        <v>0</v>
      </c>
      <c r="Y156" s="99">
        <f ca="1">_xll.DBRW($B$9,$C$16,$C$17,X$23,U$22,$C$18,$C$19,$B156,Y$24)</f>
        <v>0</v>
      </c>
      <c r="Z156" s="99">
        <f ca="1">_xll.DBRW($B$9,$C$16,$C$17,X$23,U$22,$C$18,$C$19,$B156,Z$24)</f>
        <v>0</v>
      </c>
      <c r="AA156" s="99">
        <f t="shared" ca="1" si="30"/>
        <v>0</v>
      </c>
      <c r="AB156" s="99">
        <f t="shared" ca="1" si="31"/>
        <v>0</v>
      </c>
      <c r="AC156" s="99">
        <f t="shared" ca="1" si="32"/>
        <v>0</v>
      </c>
      <c r="AD156" s="99">
        <f ca="1">_xll.DBRW($B$9,$C$16,$C$17,AD$23,AD$22,$C$18,$C$19,$B156,AD$24)</f>
        <v>0</v>
      </c>
      <c r="AE156" s="99">
        <f ca="1">_xll.DBRW($B$9,$C$16,$C$17,AD$23,AD$22,$C$18,$C$19,$B156,AE$24)</f>
        <v>0</v>
      </c>
      <c r="AF156" s="99">
        <f ca="1">_xll.DBRW($B$9,$C$16,$C$17,AD$23,AD$22,$C$18,$C$19,$B156,AF$24)</f>
        <v>0</v>
      </c>
      <c r="AG156" s="99">
        <f ca="1">_xll.DBRW($B$9,$C$16,$C$17,AG$23,AD$22,$C$18,$C$19,$B156,AG$24)</f>
        <v>0</v>
      </c>
      <c r="AH156" s="99">
        <f ca="1">_xll.DBRW($B$9,$C$16,$C$17,AG$23,AD$22,$C$18,$C$19,$B156,AH$24)</f>
        <v>0</v>
      </c>
      <c r="AI156" s="99">
        <f ca="1">_xll.DBRW($B$9,$C$16,$C$17,AG$23,AD$22,$C$18,$C$19,$B156,AI$24)</f>
        <v>0</v>
      </c>
      <c r="AJ156" s="99">
        <f t="shared" ca="1" si="33"/>
        <v>0</v>
      </c>
      <c r="AK156" s="99">
        <f t="shared" ca="1" si="34"/>
        <v>0</v>
      </c>
      <c r="AL156" s="99">
        <f t="shared" ca="1" si="35"/>
        <v>0</v>
      </c>
    </row>
    <row r="157" spans="1:38" x14ac:dyDescent="0.25">
      <c r="A157">
        <f ca="1">IF(_xll.TM1RPTELISCONSOLIDATED($B$25,$B157),IF(_xll.TM1RPTELLEV($B$25,$B157)&lt;=3,_xll.TM1RPTELLEV($B$25,$B157),"D"),"N")</f>
        <v>1</v>
      </c>
      <c r="B157" s="137" t="s">
        <v>29</v>
      </c>
      <c r="C157" s="97">
        <f ca="1">_xll.DBRW($B$9,$C$16,$C$17,C$23,C$22,$C$18,$C$19,$B157,C$24)</f>
        <v>0</v>
      </c>
      <c r="D157" s="97">
        <f ca="1">_xll.DBRW($B$9,$C$16,$C$17,C$23,C$22,$C$18,$C$19,$B157,D$24)</f>
        <v>0</v>
      </c>
      <c r="E157" s="97">
        <f ca="1">_xll.DBRW($B$9,$C$16,$C$17,C$23,C$22,$C$18,$C$19,$B157,E$24)</f>
        <v>0</v>
      </c>
      <c r="F157" s="97">
        <f ca="1">_xll.DBRW($B$9,$C$16,$C$17,F$23,C$22,$C$18,$C$19,$B157,F$24)</f>
        <v>0</v>
      </c>
      <c r="G157" s="97">
        <f ca="1">_xll.DBRW($B$9,$C$16,$C$17,F$23,C$22,$C$18,$C$19,$B157,G$24)</f>
        <v>0</v>
      </c>
      <c r="H157" s="97">
        <f ca="1">_xll.DBRW($B$9,$C$16,$C$17,F$23,C$22,$C$18,$C$19,$B157,H$24)</f>
        <v>0</v>
      </c>
      <c r="I157" s="97">
        <f t="shared" ca="1" si="24"/>
        <v>0</v>
      </c>
      <c r="J157" s="97">
        <f t="shared" ca="1" si="25"/>
        <v>0</v>
      </c>
      <c r="K157" s="97">
        <f t="shared" ca="1" si="26"/>
        <v>0</v>
      </c>
      <c r="L157" s="97">
        <f ca="1">_xll.DBRW($B$9,$C$16,$C$17,L$23,L$22,$C$18,$C$19,$B157,L$24)</f>
        <v>0</v>
      </c>
      <c r="M157" s="97">
        <f ca="1">_xll.DBRW($B$9,$C$16,$C$17,L$23,L$22,$C$18,$C$19,$B157,M$24)</f>
        <v>0</v>
      </c>
      <c r="N157" s="97">
        <f ca="1">_xll.DBRW($B$9,$C$16,$C$17,L$23,L$22,$C$18,$C$19,$B157,N$24)</f>
        <v>0</v>
      </c>
      <c r="O157" s="97">
        <f ca="1">_xll.DBRW($B$9,$C$16,$C$17,O$23,L$22,$C$18,$C$19,$B157,O$24)</f>
        <v>0</v>
      </c>
      <c r="P157" s="97">
        <f ca="1">_xll.DBRW($B$9,$C$16,$C$17,O$23,L$22,$C$18,$C$19,$B157,P$24)</f>
        <v>0</v>
      </c>
      <c r="Q157" s="97">
        <f ca="1">_xll.DBRW($B$9,$C$16,$C$17,O$23,L$22,$C$18,$C$19,$B157,Q$24)</f>
        <v>0</v>
      </c>
      <c r="R157" s="97">
        <f t="shared" ca="1" si="27"/>
        <v>0</v>
      </c>
      <c r="S157" s="97">
        <f t="shared" ca="1" si="28"/>
        <v>0</v>
      </c>
      <c r="T157" s="97">
        <f t="shared" ca="1" si="29"/>
        <v>0</v>
      </c>
      <c r="U157" s="97">
        <f ca="1">_xll.DBRW($B$9,$C$16,$C$17,U$23,U$22,$C$18,$C$19,$B157,U$24)</f>
        <v>0</v>
      </c>
      <c r="V157" s="97">
        <f ca="1">_xll.DBRW($B$9,$C$16,$C$17,U$23,U$22,$C$18,$C$19,$B157,V$24)</f>
        <v>0</v>
      </c>
      <c r="W157" s="97">
        <f ca="1">_xll.DBRW($B$9,$C$16,$C$17,U$23,U$22,$C$18,$C$19,$B157,W$24)</f>
        <v>0</v>
      </c>
      <c r="X157" s="97">
        <f ca="1">_xll.DBRW($B$9,$C$16,$C$17,X$23,U$22,$C$18,$C$19,$B157,X$24)</f>
        <v>0</v>
      </c>
      <c r="Y157" s="97">
        <f ca="1">_xll.DBRW($B$9,$C$16,$C$17,X$23,U$22,$C$18,$C$19,$B157,Y$24)</f>
        <v>0</v>
      </c>
      <c r="Z157" s="97">
        <f ca="1">_xll.DBRW($B$9,$C$16,$C$17,X$23,U$22,$C$18,$C$19,$B157,Z$24)</f>
        <v>0</v>
      </c>
      <c r="AA157" s="97">
        <f t="shared" ca="1" si="30"/>
        <v>0</v>
      </c>
      <c r="AB157" s="97">
        <f t="shared" ca="1" si="31"/>
        <v>0</v>
      </c>
      <c r="AC157" s="97">
        <f t="shared" ca="1" si="32"/>
        <v>0</v>
      </c>
      <c r="AD157" s="97">
        <f ca="1">_xll.DBRW($B$9,$C$16,$C$17,AD$23,AD$22,$C$18,$C$19,$B157,AD$24)</f>
        <v>0</v>
      </c>
      <c r="AE157" s="97">
        <f ca="1">_xll.DBRW($B$9,$C$16,$C$17,AD$23,AD$22,$C$18,$C$19,$B157,AE$24)</f>
        <v>0</v>
      </c>
      <c r="AF157" s="97">
        <f ca="1">_xll.DBRW($B$9,$C$16,$C$17,AD$23,AD$22,$C$18,$C$19,$B157,AF$24)</f>
        <v>0</v>
      </c>
      <c r="AG157" s="97">
        <f ca="1">_xll.DBRW($B$9,$C$16,$C$17,AG$23,AD$22,$C$18,$C$19,$B157,AG$24)</f>
        <v>0</v>
      </c>
      <c r="AH157" s="97">
        <f ca="1">_xll.DBRW($B$9,$C$16,$C$17,AG$23,AD$22,$C$18,$C$19,$B157,AH$24)</f>
        <v>0</v>
      </c>
      <c r="AI157" s="97">
        <f ca="1">_xll.DBRW($B$9,$C$16,$C$17,AG$23,AD$22,$C$18,$C$19,$B157,AI$24)</f>
        <v>0</v>
      </c>
      <c r="AJ157" s="97">
        <f t="shared" ca="1" si="33"/>
        <v>0</v>
      </c>
      <c r="AK157" s="97">
        <f t="shared" ca="1" si="34"/>
        <v>0</v>
      </c>
      <c r="AL157" s="97">
        <f t="shared" ca="1" si="35"/>
        <v>0</v>
      </c>
    </row>
    <row r="158" spans="1:38" x14ac:dyDescent="0.25">
      <c r="A158">
        <f ca="1">IF(_xll.TM1RPTELISCONSOLIDATED($B$25,$B158),IF(_xll.TM1RPTELLEV($B$25,$B158)&lt;=3,_xll.TM1RPTELLEV($B$25,$B158),"D"),"N")</f>
        <v>1</v>
      </c>
      <c r="B158" s="137" t="s">
        <v>30</v>
      </c>
      <c r="C158" s="97">
        <f ca="1">_xll.DBRW($B$9,$C$16,$C$17,C$23,C$22,$C$18,$C$19,$B158,C$24)</f>
        <v>0</v>
      </c>
      <c r="D158" s="97">
        <f ca="1">_xll.DBRW($B$9,$C$16,$C$17,C$23,C$22,$C$18,$C$19,$B158,D$24)</f>
        <v>0</v>
      </c>
      <c r="E158" s="97">
        <f ca="1">_xll.DBRW($B$9,$C$16,$C$17,C$23,C$22,$C$18,$C$19,$B158,E$24)</f>
        <v>0</v>
      </c>
      <c r="F158" s="97">
        <f ca="1">_xll.DBRW($B$9,$C$16,$C$17,F$23,C$22,$C$18,$C$19,$B158,F$24)</f>
        <v>0</v>
      </c>
      <c r="G158" s="97">
        <f ca="1">_xll.DBRW($B$9,$C$16,$C$17,F$23,C$22,$C$18,$C$19,$B158,G$24)</f>
        <v>0</v>
      </c>
      <c r="H158" s="97">
        <f ca="1">_xll.DBRW($B$9,$C$16,$C$17,F$23,C$22,$C$18,$C$19,$B158,H$24)</f>
        <v>0</v>
      </c>
      <c r="I158" s="97">
        <f t="shared" ca="1" si="24"/>
        <v>0</v>
      </c>
      <c r="J158" s="97">
        <f t="shared" ca="1" si="25"/>
        <v>0</v>
      </c>
      <c r="K158" s="97">
        <f t="shared" ca="1" si="26"/>
        <v>0</v>
      </c>
      <c r="L158" s="97">
        <f ca="1">_xll.DBRW($B$9,$C$16,$C$17,L$23,L$22,$C$18,$C$19,$B158,L$24)</f>
        <v>0</v>
      </c>
      <c r="M158" s="97">
        <f ca="1">_xll.DBRW($B$9,$C$16,$C$17,L$23,L$22,$C$18,$C$19,$B158,M$24)</f>
        <v>0</v>
      </c>
      <c r="N158" s="97">
        <f ca="1">_xll.DBRW($B$9,$C$16,$C$17,L$23,L$22,$C$18,$C$19,$B158,N$24)</f>
        <v>0</v>
      </c>
      <c r="O158" s="97">
        <f ca="1">_xll.DBRW($B$9,$C$16,$C$17,O$23,L$22,$C$18,$C$19,$B158,O$24)</f>
        <v>0</v>
      </c>
      <c r="P158" s="97">
        <f ca="1">_xll.DBRW($B$9,$C$16,$C$17,O$23,L$22,$C$18,$C$19,$B158,P$24)</f>
        <v>0</v>
      </c>
      <c r="Q158" s="97">
        <f ca="1">_xll.DBRW($B$9,$C$16,$C$17,O$23,L$22,$C$18,$C$19,$B158,Q$24)</f>
        <v>0</v>
      </c>
      <c r="R158" s="97">
        <f t="shared" ca="1" si="27"/>
        <v>0</v>
      </c>
      <c r="S158" s="97">
        <f t="shared" ca="1" si="28"/>
        <v>0</v>
      </c>
      <c r="T158" s="97">
        <f t="shared" ca="1" si="29"/>
        <v>0</v>
      </c>
      <c r="U158" s="97">
        <f ca="1">_xll.DBRW($B$9,$C$16,$C$17,U$23,U$22,$C$18,$C$19,$B158,U$24)</f>
        <v>0</v>
      </c>
      <c r="V158" s="97">
        <f ca="1">_xll.DBRW($B$9,$C$16,$C$17,U$23,U$22,$C$18,$C$19,$B158,V$24)</f>
        <v>0</v>
      </c>
      <c r="W158" s="97">
        <f ca="1">_xll.DBRW($B$9,$C$16,$C$17,U$23,U$22,$C$18,$C$19,$B158,W$24)</f>
        <v>0</v>
      </c>
      <c r="X158" s="97">
        <f ca="1">_xll.DBRW($B$9,$C$16,$C$17,X$23,U$22,$C$18,$C$19,$B158,X$24)</f>
        <v>0</v>
      </c>
      <c r="Y158" s="97">
        <f ca="1">_xll.DBRW($B$9,$C$16,$C$17,X$23,U$22,$C$18,$C$19,$B158,Y$24)</f>
        <v>0</v>
      </c>
      <c r="Z158" s="97">
        <f ca="1">_xll.DBRW($B$9,$C$16,$C$17,X$23,U$22,$C$18,$C$19,$B158,Z$24)</f>
        <v>0</v>
      </c>
      <c r="AA158" s="97">
        <f t="shared" ca="1" si="30"/>
        <v>0</v>
      </c>
      <c r="AB158" s="97">
        <f t="shared" ca="1" si="31"/>
        <v>0</v>
      </c>
      <c r="AC158" s="97">
        <f t="shared" ca="1" si="32"/>
        <v>0</v>
      </c>
      <c r="AD158" s="97">
        <f ca="1">_xll.DBRW($B$9,$C$16,$C$17,AD$23,AD$22,$C$18,$C$19,$B158,AD$24)</f>
        <v>0</v>
      </c>
      <c r="AE158" s="97">
        <f ca="1">_xll.DBRW($B$9,$C$16,$C$17,AD$23,AD$22,$C$18,$C$19,$B158,AE$24)</f>
        <v>0</v>
      </c>
      <c r="AF158" s="97">
        <f ca="1">_xll.DBRW($B$9,$C$16,$C$17,AD$23,AD$22,$C$18,$C$19,$B158,AF$24)</f>
        <v>0</v>
      </c>
      <c r="AG158" s="97">
        <f ca="1">_xll.DBRW($B$9,$C$16,$C$17,AG$23,AD$22,$C$18,$C$19,$B158,AG$24)</f>
        <v>0</v>
      </c>
      <c r="AH158" s="97">
        <f ca="1">_xll.DBRW($B$9,$C$16,$C$17,AG$23,AD$22,$C$18,$C$19,$B158,AH$24)</f>
        <v>0</v>
      </c>
      <c r="AI158" s="97">
        <f ca="1">_xll.DBRW($B$9,$C$16,$C$17,AG$23,AD$22,$C$18,$C$19,$B158,AI$24)</f>
        <v>0</v>
      </c>
      <c r="AJ158" s="97">
        <f t="shared" ca="1" si="33"/>
        <v>0</v>
      </c>
      <c r="AK158" s="97">
        <f t="shared" ca="1" si="34"/>
        <v>0</v>
      </c>
      <c r="AL158" s="97">
        <f t="shared" ca="1" si="35"/>
        <v>0</v>
      </c>
    </row>
    <row r="159" spans="1:38" x14ac:dyDescent="0.25">
      <c r="A159">
        <f ca="1">IF(_xll.TM1RPTELISCONSOLIDATED($B$25,$B159),IF(_xll.TM1RPTELLEV($B$25,$B159)&lt;=3,_xll.TM1RPTELLEV($B$25,$B159),"D"),"N")</f>
        <v>1</v>
      </c>
      <c r="B159" s="137" t="s">
        <v>31</v>
      </c>
      <c r="C159" s="97">
        <f ca="1">_xll.DBRW($B$9,$C$16,$C$17,C$23,C$22,$C$18,$C$19,$B159,C$24)</f>
        <v>0</v>
      </c>
      <c r="D159" s="97">
        <f ca="1">_xll.DBRW($B$9,$C$16,$C$17,C$23,C$22,$C$18,$C$19,$B159,D$24)</f>
        <v>0</v>
      </c>
      <c r="E159" s="97">
        <f ca="1">_xll.DBRW($B$9,$C$16,$C$17,C$23,C$22,$C$18,$C$19,$B159,E$24)</f>
        <v>0</v>
      </c>
      <c r="F159" s="97">
        <f ca="1">_xll.DBRW($B$9,$C$16,$C$17,F$23,C$22,$C$18,$C$19,$B159,F$24)</f>
        <v>0</v>
      </c>
      <c r="G159" s="97">
        <f ca="1">_xll.DBRW($B$9,$C$16,$C$17,F$23,C$22,$C$18,$C$19,$B159,G$24)</f>
        <v>0</v>
      </c>
      <c r="H159" s="97">
        <f ca="1">_xll.DBRW($B$9,$C$16,$C$17,F$23,C$22,$C$18,$C$19,$B159,H$24)</f>
        <v>0</v>
      </c>
      <c r="I159" s="97">
        <f t="shared" ca="1" si="24"/>
        <v>0</v>
      </c>
      <c r="J159" s="97">
        <f t="shared" ca="1" si="25"/>
        <v>0</v>
      </c>
      <c r="K159" s="97">
        <f t="shared" ca="1" si="26"/>
        <v>0</v>
      </c>
      <c r="L159" s="97">
        <f ca="1">_xll.DBRW($B$9,$C$16,$C$17,L$23,L$22,$C$18,$C$19,$B159,L$24)</f>
        <v>0</v>
      </c>
      <c r="M159" s="97">
        <f ca="1">_xll.DBRW($B$9,$C$16,$C$17,L$23,L$22,$C$18,$C$19,$B159,M$24)</f>
        <v>0</v>
      </c>
      <c r="N159" s="97">
        <f ca="1">_xll.DBRW($B$9,$C$16,$C$17,L$23,L$22,$C$18,$C$19,$B159,N$24)</f>
        <v>0</v>
      </c>
      <c r="O159" s="97">
        <f ca="1">_xll.DBRW($B$9,$C$16,$C$17,O$23,L$22,$C$18,$C$19,$B159,O$24)</f>
        <v>0</v>
      </c>
      <c r="P159" s="97">
        <f ca="1">_xll.DBRW($B$9,$C$16,$C$17,O$23,L$22,$C$18,$C$19,$B159,P$24)</f>
        <v>0</v>
      </c>
      <c r="Q159" s="97">
        <f ca="1">_xll.DBRW($B$9,$C$16,$C$17,O$23,L$22,$C$18,$C$19,$B159,Q$24)</f>
        <v>0</v>
      </c>
      <c r="R159" s="97">
        <f t="shared" ca="1" si="27"/>
        <v>0</v>
      </c>
      <c r="S159" s="97">
        <f t="shared" ca="1" si="28"/>
        <v>0</v>
      </c>
      <c r="T159" s="97">
        <f t="shared" ca="1" si="29"/>
        <v>0</v>
      </c>
      <c r="U159" s="97">
        <f ca="1">_xll.DBRW($B$9,$C$16,$C$17,U$23,U$22,$C$18,$C$19,$B159,U$24)</f>
        <v>0</v>
      </c>
      <c r="V159" s="97">
        <f ca="1">_xll.DBRW($B$9,$C$16,$C$17,U$23,U$22,$C$18,$C$19,$B159,V$24)</f>
        <v>0</v>
      </c>
      <c r="W159" s="97">
        <f ca="1">_xll.DBRW($B$9,$C$16,$C$17,U$23,U$22,$C$18,$C$19,$B159,W$24)</f>
        <v>0</v>
      </c>
      <c r="X159" s="97">
        <f ca="1">_xll.DBRW($B$9,$C$16,$C$17,X$23,U$22,$C$18,$C$19,$B159,X$24)</f>
        <v>0</v>
      </c>
      <c r="Y159" s="97">
        <f ca="1">_xll.DBRW($B$9,$C$16,$C$17,X$23,U$22,$C$18,$C$19,$B159,Y$24)</f>
        <v>0</v>
      </c>
      <c r="Z159" s="97">
        <f ca="1">_xll.DBRW($B$9,$C$16,$C$17,X$23,U$22,$C$18,$C$19,$B159,Z$24)</f>
        <v>0</v>
      </c>
      <c r="AA159" s="97">
        <f t="shared" ca="1" si="30"/>
        <v>0</v>
      </c>
      <c r="AB159" s="97">
        <f t="shared" ca="1" si="31"/>
        <v>0</v>
      </c>
      <c r="AC159" s="97">
        <f t="shared" ca="1" si="32"/>
        <v>0</v>
      </c>
      <c r="AD159" s="97">
        <f ca="1">_xll.DBRW($B$9,$C$16,$C$17,AD$23,AD$22,$C$18,$C$19,$B159,AD$24)</f>
        <v>0</v>
      </c>
      <c r="AE159" s="97">
        <f ca="1">_xll.DBRW($B$9,$C$16,$C$17,AD$23,AD$22,$C$18,$C$19,$B159,AE$24)</f>
        <v>0</v>
      </c>
      <c r="AF159" s="97">
        <f ca="1">_xll.DBRW($B$9,$C$16,$C$17,AD$23,AD$22,$C$18,$C$19,$B159,AF$24)</f>
        <v>0</v>
      </c>
      <c r="AG159" s="97">
        <f ca="1">_xll.DBRW($B$9,$C$16,$C$17,AG$23,AD$22,$C$18,$C$19,$B159,AG$24)</f>
        <v>0</v>
      </c>
      <c r="AH159" s="97">
        <f ca="1">_xll.DBRW($B$9,$C$16,$C$17,AG$23,AD$22,$C$18,$C$19,$B159,AH$24)</f>
        <v>0</v>
      </c>
      <c r="AI159" s="97">
        <f ca="1">_xll.DBRW($B$9,$C$16,$C$17,AG$23,AD$22,$C$18,$C$19,$B159,AI$24)</f>
        <v>0</v>
      </c>
      <c r="AJ159" s="97">
        <f t="shared" ca="1" si="33"/>
        <v>0</v>
      </c>
      <c r="AK159" s="97">
        <f t="shared" ca="1" si="34"/>
        <v>0</v>
      </c>
      <c r="AL159" s="97">
        <f t="shared" ca="1" si="35"/>
        <v>0</v>
      </c>
    </row>
    <row r="160" spans="1:38" x14ac:dyDescent="0.25">
      <c r="A160">
        <f ca="1">IF(_xll.TM1RPTELISCONSOLIDATED($B$25,$B160),IF(_xll.TM1RPTELLEV($B$25,$B160)&lt;=3,_xll.TM1RPTELLEV($B$25,$B160),"D"),"N")</f>
        <v>1</v>
      </c>
      <c r="B160" s="133" t="s">
        <v>32</v>
      </c>
      <c r="C160" s="97">
        <f ca="1">_xll.DBRW($B$9,$C$16,$C$17,C$23,C$22,$C$18,$C$19,$B160,C$24)</f>
        <v>0</v>
      </c>
      <c r="D160" s="97">
        <f ca="1">_xll.DBRW($B$9,$C$16,$C$17,C$23,C$22,$C$18,$C$19,$B160,D$24)</f>
        <v>0</v>
      </c>
      <c r="E160" s="97">
        <f ca="1">_xll.DBRW($B$9,$C$16,$C$17,C$23,C$22,$C$18,$C$19,$B160,E$24)</f>
        <v>0</v>
      </c>
      <c r="F160" s="97">
        <f ca="1">_xll.DBRW($B$9,$C$16,$C$17,F$23,C$22,$C$18,$C$19,$B160,F$24)</f>
        <v>0</v>
      </c>
      <c r="G160" s="97">
        <f ca="1">_xll.DBRW($B$9,$C$16,$C$17,F$23,C$22,$C$18,$C$19,$B160,G$24)</f>
        <v>0</v>
      </c>
      <c r="H160" s="97">
        <f ca="1">_xll.DBRW($B$9,$C$16,$C$17,F$23,C$22,$C$18,$C$19,$B160,H$24)</f>
        <v>0</v>
      </c>
      <c r="I160" s="97">
        <f t="shared" ca="1" si="24"/>
        <v>0</v>
      </c>
      <c r="J160" s="97">
        <f t="shared" ca="1" si="25"/>
        <v>0</v>
      </c>
      <c r="K160" s="97">
        <f t="shared" ca="1" si="26"/>
        <v>0</v>
      </c>
      <c r="L160" s="97">
        <f ca="1">_xll.DBRW($B$9,$C$16,$C$17,L$23,L$22,$C$18,$C$19,$B160,L$24)</f>
        <v>0</v>
      </c>
      <c r="M160" s="97">
        <f ca="1">_xll.DBRW($B$9,$C$16,$C$17,L$23,L$22,$C$18,$C$19,$B160,M$24)</f>
        <v>0</v>
      </c>
      <c r="N160" s="97">
        <f ca="1">_xll.DBRW($B$9,$C$16,$C$17,L$23,L$22,$C$18,$C$19,$B160,N$24)</f>
        <v>0</v>
      </c>
      <c r="O160" s="97">
        <f ca="1">_xll.DBRW($B$9,$C$16,$C$17,O$23,L$22,$C$18,$C$19,$B160,O$24)</f>
        <v>0</v>
      </c>
      <c r="P160" s="97">
        <f ca="1">_xll.DBRW($B$9,$C$16,$C$17,O$23,L$22,$C$18,$C$19,$B160,P$24)</f>
        <v>0</v>
      </c>
      <c r="Q160" s="97">
        <f ca="1">_xll.DBRW($B$9,$C$16,$C$17,O$23,L$22,$C$18,$C$19,$B160,Q$24)</f>
        <v>0</v>
      </c>
      <c r="R160" s="97">
        <f t="shared" ca="1" si="27"/>
        <v>0</v>
      </c>
      <c r="S160" s="97">
        <f t="shared" ca="1" si="28"/>
        <v>0</v>
      </c>
      <c r="T160" s="97">
        <f t="shared" ca="1" si="29"/>
        <v>0</v>
      </c>
      <c r="U160" s="97">
        <f ca="1">_xll.DBRW($B$9,$C$16,$C$17,U$23,U$22,$C$18,$C$19,$B160,U$24)</f>
        <v>0</v>
      </c>
      <c r="V160" s="97">
        <f ca="1">_xll.DBRW($B$9,$C$16,$C$17,U$23,U$22,$C$18,$C$19,$B160,V$24)</f>
        <v>0</v>
      </c>
      <c r="W160" s="97">
        <f ca="1">_xll.DBRW($B$9,$C$16,$C$17,U$23,U$22,$C$18,$C$19,$B160,W$24)</f>
        <v>0</v>
      </c>
      <c r="X160" s="97">
        <f ca="1">_xll.DBRW($B$9,$C$16,$C$17,X$23,U$22,$C$18,$C$19,$B160,X$24)</f>
        <v>0</v>
      </c>
      <c r="Y160" s="97">
        <f ca="1">_xll.DBRW($B$9,$C$16,$C$17,X$23,U$22,$C$18,$C$19,$B160,Y$24)</f>
        <v>0</v>
      </c>
      <c r="Z160" s="97">
        <f ca="1">_xll.DBRW($B$9,$C$16,$C$17,X$23,U$22,$C$18,$C$19,$B160,Z$24)</f>
        <v>0</v>
      </c>
      <c r="AA160" s="97">
        <f t="shared" ca="1" si="30"/>
        <v>0</v>
      </c>
      <c r="AB160" s="97">
        <f t="shared" ca="1" si="31"/>
        <v>0</v>
      </c>
      <c r="AC160" s="97">
        <f t="shared" ca="1" si="32"/>
        <v>0</v>
      </c>
      <c r="AD160" s="97">
        <f ca="1">_xll.DBRW($B$9,$C$16,$C$17,AD$23,AD$22,$C$18,$C$19,$B160,AD$24)</f>
        <v>0</v>
      </c>
      <c r="AE160" s="97">
        <f ca="1">_xll.DBRW($B$9,$C$16,$C$17,AD$23,AD$22,$C$18,$C$19,$B160,AE$24)</f>
        <v>0</v>
      </c>
      <c r="AF160" s="97">
        <f ca="1">_xll.DBRW($B$9,$C$16,$C$17,AD$23,AD$22,$C$18,$C$19,$B160,AF$24)</f>
        <v>0</v>
      </c>
      <c r="AG160" s="97">
        <f ca="1">_xll.DBRW($B$9,$C$16,$C$17,AG$23,AD$22,$C$18,$C$19,$B160,AG$24)</f>
        <v>0</v>
      </c>
      <c r="AH160" s="97">
        <f ca="1">_xll.DBRW($B$9,$C$16,$C$17,AG$23,AD$22,$C$18,$C$19,$B160,AH$24)</f>
        <v>0</v>
      </c>
      <c r="AI160" s="97">
        <f ca="1">_xll.DBRW($B$9,$C$16,$C$17,AG$23,AD$22,$C$18,$C$19,$B160,AI$24)</f>
        <v>0</v>
      </c>
      <c r="AJ160" s="97">
        <f t="shared" ca="1" si="33"/>
        <v>0</v>
      </c>
      <c r="AK160" s="97">
        <f t="shared" ca="1" si="34"/>
        <v>0</v>
      </c>
      <c r="AL160" s="97">
        <f t="shared" ca="1" si="35"/>
        <v>0</v>
      </c>
    </row>
    <row r="161" spans="1:38" x14ac:dyDescent="0.25">
      <c r="A161">
        <f ca="1">IF(_xll.TM1RPTELISCONSOLIDATED($B$25,$B161),IF(_xll.TM1RPTELLEV($B$25,$B161)&lt;=3,_xll.TM1RPTELLEV($B$25,$B161),"D"),"N")</f>
        <v>2</v>
      </c>
      <c r="B161" s="134" t="s">
        <v>164</v>
      </c>
      <c r="C161" s="99">
        <f ca="1">_xll.DBRW($B$9,$C$16,$C$17,C$23,C$22,$C$18,$C$19,$B161,C$24)</f>
        <v>0</v>
      </c>
      <c r="D161" s="99">
        <f ca="1">_xll.DBRW($B$9,$C$16,$C$17,C$23,C$22,$C$18,$C$19,$B161,D$24)</f>
        <v>0</v>
      </c>
      <c r="E161" s="99">
        <f ca="1">_xll.DBRW($B$9,$C$16,$C$17,C$23,C$22,$C$18,$C$19,$B161,E$24)</f>
        <v>0</v>
      </c>
      <c r="F161" s="99">
        <f ca="1">_xll.DBRW($B$9,$C$16,$C$17,F$23,C$22,$C$18,$C$19,$B161,F$24)</f>
        <v>0</v>
      </c>
      <c r="G161" s="99">
        <f ca="1">_xll.DBRW($B$9,$C$16,$C$17,F$23,C$22,$C$18,$C$19,$B161,G$24)</f>
        <v>0</v>
      </c>
      <c r="H161" s="99">
        <f ca="1">_xll.DBRW($B$9,$C$16,$C$17,F$23,C$22,$C$18,$C$19,$B161,H$24)</f>
        <v>0</v>
      </c>
      <c r="I161" s="99">
        <f t="shared" ca="1" si="24"/>
        <v>0</v>
      </c>
      <c r="J161" s="99">
        <f t="shared" ca="1" si="25"/>
        <v>0</v>
      </c>
      <c r="K161" s="99">
        <f t="shared" ca="1" si="26"/>
        <v>0</v>
      </c>
      <c r="L161" s="99">
        <f ca="1">_xll.DBRW($B$9,$C$16,$C$17,L$23,L$22,$C$18,$C$19,$B161,L$24)</f>
        <v>0</v>
      </c>
      <c r="M161" s="99">
        <f ca="1">_xll.DBRW($B$9,$C$16,$C$17,L$23,L$22,$C$18,$C$19,$B161,M$24)</f>
        <v>0</v>
      </c>
      <c r="N161" s="99">
        <f ca="1">_xll.DBRW($B$9,$C$16,$C$17,L$23,L$22,$C$18,$C$19,$B161,N$24)</f>
        <v>0</v>
      </c>
      <c r="O161" s="99">
        <f ca="1">_xll.DBRW($B$9,$C$16,$C$17,O$23,L$22,$C$18,$C$19,$B161,O$24)</f>
        <v>0</v>
      </c>
      <c r="P161" s="99">
        <f ca="1">_xll.DBRW($B$9,$C$16,$C$17,O$23,L$22,$C$18,$C$19,$B161,P$24)</f>
        <v>0</v>
      </c>
      <c r="Q161" s="99">
        <f ca="1">_xll.DBRW($B$9,$C$16,$C$17,O$23,L$22,$C$18,$C$19,$B161,Q$24)</f>
        <v>0</v>
      </c>
      <c r="R161" s="99">
        <f t="shared" ca="1" si="27"/>
        <v>0</v>
      </c>
      <c r="S161" s="99">
        <f t="shared" ca="1" si="28"/>
        <v>0</v>
      </c>
      <c r="T161" s="99">
        <f t="shared" ca="1" si="29"/>
        <v>0</v>
      </c>
      <c r="U161" s="99">
        <f ca="1">_xll.DBRW($B$9,$C$16,$C$17,U$23,U$22,$C$18,$C$19,$B161,U$24)</f>
        <v>0</v>
      </c>
      <c r="V161" s="99">
        <f ca="1">_xll.DBRW($B$9,$C$16,$C$17,U$23,U$22,$C$18,$C$19,$B161,V$24)</f>
        <v>0</v>
      </c>
      <c r="W161" s="99">
        <f ca="1">_xll.DBRW($B$9,$C$16,$C$17,U$23,U$22,$C$18,$C$19,$B161,W$24)</f>
        <v>0</v>
      </c>
      <c r="X161" s="99">
        <f ca="1">_xll.DBRW($B$9,$C$16,$C$17,X$23,U$22,$C$18,$C$19,$B161,X$24)</f>
        <v>0</v>
      </c>
      <c r="Y161" s="99">
        <f ca="1">_xll.DBRW($B$9,$C$16,$C$17,X$23,U$22,$C$18,$C$19,$B161,Y$24)</f>
        <v>0</v>
      </c>
      <c r="Z161" s="99">
        <f ca="1">_xll.DBRW($B$9,$C$16,$C$17,X$23,U$22,$C$18,$C$19,$B161,Z$24)</f>
        <v>0</v>
      </c>
      <c r="AA161" s="99">
        <f t="shared" ca="1" si="30"/>
        <v>0</v>
      </c>
      <c r="AB161" s="99">
        <f t="shared" ca="1" si="31"/>
        <v>0</v>
      </c>
      <c r="AC161" s="99">
        <f t="shared" ca="1" si="32"/>
        <v>0</v>
      </c>
      <c r="AD161" s="99">
        <f ca="1">_xll.DBRW($B$9,$C$16,$C$17,AD$23,AD$22,$C$18,$C$19,$B161,AD$24)</f>
        <v>0</v>
      </c>
      <c r="AE161" s="99">
        <f ca="1">_xll.DBRW($B$9,$C$16,$C$17,AD$23,AD$22,$C$18,$C$19,$B161,AE$24)</f>
        <v>0</v>
      </c>
      <c r="AF161" s="99">
        <f ca="1">_xll.DBRW($B$9,$C$16,$C$17,AD$23,AD$22,$C$18,$C$19,$B161,AF$24)</f>
        <v>0</v>
      </c>
      <c r="AG161" s="99">
        <f ca="1">_xll.DBRW($B$9,$C$16,$C$17,AG$23,AD$22,$C$18,$C$19,$B161,AG$24)</f>
        <v>0</v>
      </c>
      <c r="AH161" s="99">
        <f ca="1">_xll.DBRW($B$9,$C$16,$C$17,AG$23,AD$22,$C$18,$C$19,$B161,AH$24)</f>
        <v>0</v>
      </c>
      <c r="AI161" s="99">
        <f ca="1">_xll.DBRW($B$9,$C$16,$C$17,AG$23,AD$22,$C$18,$C$19,$B161,AI$24)</f>
        <v>0</v>
      </c>
      <c r="AJ161" s="99">
        <f t="shared" ca="1" si="33"/>
        <v>0</v>
      </c>
      <c r="AK161" s="99">
        <f t="shared" ca="1" si="34"/>
        <v>0</v>
      </c>
      <c r="AL161" s="99">
        <f t="shared" ca="1" si="35"/>
        <v>0</v>
      </c>
    </row>
    <row r="162" spans="1:38" x14ac:dyDescent="0.25">
      <c r="A162">
        <f ca="1">IF(_xll.TM1RPTELISCONSOLIDATED($B$25,$B162),IF(_xll.TM1RPTELLEV($B$25,$B162)&lt;=3,_xll.TM1RPTELLEV($B$25,$B162),"D"),"N")</f>
        <v>2</v>
      </c>
      <c r="B162" s="134" t="s">
        <v>165</v>
      </c>
      <c r="C162" s="99">
        <f ca="1">_xll.DBRW($B$9,$C$16,$C$17,C$23,C$22,$C$18,$C$19,$B162,C$24)</f>
        <v>0</v>
      </c>
      <c r="D162" s="99">
        <f ca="1">_xll.DBRW($B$9,$C$16,$C$17,C$23,C$22,$C$18,$C$19,$B162,D$24)</f>
        <v>0</v>
      </c>
      <c r="E162" s="99">
        <f ca="1">_xll.DBRW($B$9,$C$16,$C$17,C$23,C$22,$C$18,$C$19,$B162,E$24)</f>
        <v>0</v>
      </c>
      <c r="F162" s="99">
        <f ca="1">_xll.DBRW($B$9,$C$16,$C$17,F$23,C$22,$C$18,$C$19,$B162,F$24)</f>
        <v>0</v>
      </c>
      <c r="G162" s="99">
        <f ca="1">_xll.DBRW($B$9,$C$16,$C$17,F$23,C$22,$C$18,$C$19,$B162,G$24)</f>
        <v>0</v>
      </c>
      <c r="H162" s="99">
        <f ca="1">_xll.DBRW($B$9,$C$16,$C$17,F$23,C$22,$C$18,$C$19,$B162,H$24)</f>
        <v>0</v>
      </c>
      <c r="I162" s="99">
        <f t="shared" ca="1" si="24"/>
        <v>0</v>
      </c>
      <c r="J162" s="99">
        <f t="shared" ca="1" si="25"/>
        <v>0</v>
      </c>
      <c r="K162" s="99">
        <f t="shared" ca="1" si="26"/>
        <v>0</v>
      </c>
      <c r="L162" s="99">
        <f ca="1">_xll.DBRW($B$9,$C$16,$C$17,L$23,L$22,$C$18,$C$19,$B162,L$24)</f>
        <v>0</v>
      </c>
      <c r="M162" s="99">
        <f ca="1">_xll.DBRW($B$9,$C$16,$C$17,L$23,L$22,$C$18,$C$19,$B162,M$24)</f>
        <v>0</v>
      </c>
      <c r="N162" s="99">
        <f ca="1">_xll.DBRW($B$9,$C$16,$C$17,L$23,L$22,$C$18,$C$19,$B162,N$24)</f>
        <v>0</v>
      </c>
      <c r="O162" s="99">
        <f ca="1">_xll.DBRW($B$9,$C$16,$C$17,O$23,L$22,$C$18,$C$19,$B162,O$24)</f>
        <v>0</v>
      </c>
      <c r="P162" s="99">
        <f ca="1">_xll.DBRW($B$9,$C$16,$C$17,O$23,L$22,$C$18,$C$19,$B162,P$24)</f>
        <v>0</v>
      </c>
      <c r="Q162" s="99">
        <f ca="1">_xll.DBRW($B$9,$C$16,$C$17,O$23,L$22,$C$18,$C$19,$B162,Q$24)</f>
        <v>0</v>
      </c>
      <c r="R162" s="99">
        <f t="shared" ca="1" si="27"/>
        <v>0</v>
      </c>
      <c r="S162" s="99">
        <f t="shared" ca="1" si="28"/>
        <v>0</v>
      </c>
      <c r="T162" s="99">
        <f t="shared" ca="1" si="29"/>
        <v>0</v>
      </c>
      <c r="U162" s="99">
        <f ca="1">_xll.DBRW($B$9,$C$16,$C$17,U$23,U$22,$C$18,$C$19,$B162,U$24)</f>
        <v>0</v>
      </c>
      <c r="V162" s="99">
        <f ca="1">_xll.DBRW($B$9,$C$16,$C$17,U$23,U$22,$C$18,$C$19,$B162,V$24)</f>
        <v>0</v>
      </c>
      <c r="W162" s="99">
        <f ca="1">_xll.DBRW($B$9,$C$16,$C$17,U$23,U$22,$C$18,$C$19,$B162,W$24)</f>
        <v>0</v>
      </c>
      <c r="X162" s="99">
        <f ca="1">_xll.DBRW($B$9,$C$16,$C$17,X$23,U$22,$C$18,$C$19,$B162,X$24)</f>
        <v>0</v>
      </c>
      <c r="Y162" s="99">
        <f ca="1">_xll.DBRW($B$9,$C$16,$C$17,X$23,U$22,$C$18,$C$19,$B162,Y$24)</f>
        <v>0</v>
      </c>
      <c r="Z162" s="99">
        <f ca="1">_xll.DBRW($B$9,$C$16,$C$17,X$23,U$22,$C$18,$C$19,$B162,Z$24)</f>
        <v>0</v>
      </c>
      <c r="AA162" s="99">
        <f t="shared" ca="1" si="30"/>
        <v>0</v>
      </c>
      <c r="AB162" s="99">
        <f t="shared" ca="1" si="31"/>
        <v>0</v>
      </c>
      <c r="AC162" s="99">
        <f t="shared" ca="1" si="32"/>
        <v>0</v>
      </c>
      <c r="AD162" s="99">
        <f ca="1">_xll.DBRW($B$9,$C$16,$C$17,AD$23,AD$22,$C$18,$C$19,$B162,AD$24)</f>
        <v>0</v>
      </c>
      <c r="AE162" s="99">
        <f ca="1">_xll.DBRW($B$9,$C$16,$C$17,AD$23,AD$22,$C$18,$C$19,$B162,AE$24)</f>
        <v>0</v>
      </c>
      <c r="AF162" s="99">
        <f ca="1">_xll.DBRW($B$9,$C$16,$C$17,AD$23,AD$22,$C$18,$C$19,$B162,AF$24)</f>
        <v>0</v>
      </c>
      <c r="AG162" s="99">
        <f ca="1">_xll.DBRW($B$9,$C$16,$C$17,AG$23,AD$22,$C$18,$C$19,$B162,AG$24)</f>
        <v>0</v>
      </c>
      <c r="AH162" s="99">
        <f ca="1">_xll.DBRW($B$9,$C$16,$C$17,AG$23,AD$22,$C$18,$C$19,$B162,AH$24)</f>
        <v>0</v>
      </c>
      <c r="AI162" s="99">
        <f ca="1">_xll.DBRW($B$9,$C$16,$C$17,AG$23,AD$22,$C$18,$C$19,$B162,AI$24)</f>
        <v>0</v>
      </c>
      <c r="AJ162" s="99">
        <f t="shared" ca="1" si="33"/>
        <v>0</v>
      </c>
      <c r="AK162" s="99">
        <f t="shared" ca="1" si="34"/>
        <v>0</v>
      </c>
      <c r="AL162" s="99">
        <f t="shared" ca="1" si="35"/>
        <v>0</v>
      </c>
    </row>
    <row r="163" spans="1:38" x14ac:dyDescent="0.25">
      <c r="A163">
        <f ca="1">IF(_xll.TM1RPTELISCONSOLIDATED($B$25,$B163),IF(_xll.TM1RPTELLEV($B$25,$B163)&lt;=3,_xll.TM1RPTELLEV($B$25,$B163),"D"),"N")</f>
        <v>2</v>
      </c>
      <c r="B163" s="134" t="s">
        <v>166</v>
      </c>
      <c r="C163" s="99">
        <f ca="1">_xll.DBRW($B$9,$C$16,$C$17,C$23,C$22,$C$18,$C$19,$B163,C$24)</f>
        <v>0</v>
      </c>
      <c r="D163" s="99">
        <f ca="1">_xll.DBRW($B$9,$C$16,$C$17,C$23,C$22,$C$18,$C$19,$B163,D$24)</f>
        <v>0</v>
      </c>
      <c r="E163" s="99">
        <f ca="1">_xll.DBRW($B$9,$C$16,$C$17,C$23,C$22,$C$18,$C$19,$B163,E$24)</f>
        <v>0</v>
      </c>
      <c r="F163" s="99">
        <f ca="1">_xll.DBRW($B$9,$C$16,$C$17,F$23,C$22,$C$18,$C$19,$B163,F$24)</f>
        <v>0</v>
      </c>
      <c r="G163" s="99">
        <f ca="1">_xll.DBRW($B$9,$C$16,$C$17,F$23,C$22,$C$18,$C$19,$B163,G$24)</f>
        <v>0</v>
      </c>
      <c r="H163" s="99">
        <f ca="1">_xll.DBRW($B$9,$C$16,$C$17,F$23,C$22,$C$18,$C$19,$B163,H$24)</f>
        <v>0</v>
      </c>
      <c r="I163" s="99">
        <f t="shared" ca="1" si="24"/>
        <v>0</v>
      </c>
      <c r="J163" s="99">
        <f t="shared" ca="1" si="25"/>
        <v>0</v>
      </c>
      <c r="K163" s="99">
        <f t="shared" ca="1" si="26"/>
        <v>0</v>
      </c>
      <c r="L163" s="99">
        <f ca="1">_xll.DBRW($B$9,$C$16,$C$17,L$23,L$22,$C$18,$C$19,$B163,L$24)</f>
        <v>0</v>
      </c>
      <c r="M163" s="99">
        <f ca="1">_xll.DBRW($B$9,$C$16,$C$17,L$23,L$22,$C$18,$C$19,$B163,M$24)</f>
        <v>0</v>
      </c>
      <c r="N163" s="99">
        <f ca="1">_xll.DBRW($B$9,$C$16,$C$17,L$23,L$22,$C$18,$C$19,$B163,N$24)</f>
        <v>0</v>
      </c>
      <c r="O163" s="99">
        <f ca="1">_xll.DBRW($B$9,$C$16,$C$17,O$23,L$22,$C$18,$C$19,$B163,O$24)</f>
        <v>0</v>
      </c>
      <c r="P163" s="99">
        <f ca="1">_xll.DBRW($B$9,$C$16,$C$17,O$23,L$22,$C$18,$C$19,$B163,P$24)</f>
        <v>0</v>
      </c>
      <c r="Q163" s="99">
        <f ca="1">_xll.DBRW($B$9,$C$16,$C$17,O$23,L$22,$C$18,$C$19,$B163,Q$24)</f>
        <v>0</v>
      </c>
      <c r="R163" s="99">
        <f t="shared" ca="1" si="27"/>
        <v>0</v>
      </c>
      <c r="S163" s="99">
        <f t="shared" ca="1" si="28"/>
        <v>0</v>
      </c>
      <c r="T163" s="99">
        <f t="shared" ca="1" si="29"/>
        <v>0</v>
      </c>
      <c r="U163" s="99">
        <f ca="1">_xll.DBRW($B$9,$C$16,$C$17,U$23,U$22,$C$18,$C$19,$B163,U$24)</f>
        <v>0</v>
      </c>
      <c r="V163" s="99">
        <f ca="1">_xll.DBRW($B$9,$C$16,$C$17,U$23,U$22,$C$18,$C$19,$B163,V$24)</f>
        <v>0</v>
      </c>
      <c r="W163" s="99">
        <f ca="1">_xll.DBRW($B$9,$C$16,$C$17,U$23,U$22,$C$18,$C$19,$B163,W$24)</f>
        <v>0</v>
      </c>
      <c r="X163" s="99">
        <f ca="1">_xll.DBRW($B$9,$C$16,$C$17,X$23,U$22,$C$18,$C$19,$B163,X$24)</f>
        <v>0</v>
      </c>
      <c r="Y163" s="99">
        <f ca="1">_xll.DBRW($B$9,$C$16,$C$17,X$23,U$22,$C$18,$C$19,$B163,Y$24)</f>
        <v>0</v>
      </c>
      <c r="Z163" s="99">
        <f ca="1">_xll.DBRW($B$9,$C$16,$C$17,X$23,U$22,$C$18,$C$19,$B163,Z$24)</f>
        <v>0</v>
      </c>
      <c r="AA163" s="99">
        <f t="shared" ca="1" si="30"/>
        <v>0</v>
      </c>
      <c r="AB163" s="99">
        <f t="shared" ca="1" si="31"/>
        <v>0</v>
      </c>
      <c r="AC163" s="99">
        <f t="shared" ca="1" si="32"/>
        <v>0</v>
      </c>
      <c r="AD163" s="99">
        <f ca="1">_xll.DBRW($B$9,$C$16,$C$17,AD$23,AD$22,$C$18,$C$19,$B163,AD$24)</f>
        <v>0</v>
      </c>
      <c r="AE163" s="99">
        <f ca="1">_xll.DBRW($B$9,$C$16,$C$17,AD$23,AD$22,$C$18,$C$19,$B163,AE$24)</f>
        <v>0</v>
      </c>
      <c r="AF163" s="99">
        <f ca="1">_xll.DBRW($B$9,$C$16,$C$17,AD$23,AD$22,$C$18,$C$19,$B163,AF$24)</f>
        <v>0</v>
      </c>
      <c r="AG163" s="99">
        <f ca="1">_xll.DBRW($B$9,$C$16,$C$17,AG$23,AD$22,$C$18,$C$19,$B163,AG$24)</f>
        <v>0</v>
      </c>
      <c r="AH163" s="99">
        <f ca="1">_xll.DBRW($B$9,$C$16,$C$17,AG$23,AD$22,$C$18,$C$19,$B163,AH$24)</f>
        <v>0</v>
      </c>
      <c r="AI163" s="99">
        <f ca="1">_xll.DBRW($B$9,$C$16,$C$17,AG$23,AD$22,$C$18,$C$19,$B163,AI$24)</f>
        <v>0</v>
      </c>
      <c r="AJ163" s="99">
        <f t="shared" ca="1" si="33"/>
        <v>0</v>
      </c>
      <c r="AK163" s="99">
        <f t="shared" ca="1" si="34"/>
        <v>0</v>
      </c>
      <c r="AL163" s="99">
        <f t="shared" ca="1" si="35"/>
        <v>0</v>
      </c>
    </row>
    <row r="164" spans="1:38" x14ac:dyDescent="0.25">
      <c r="A164">
        <f ca="1">IF(_xll.TM1RPTELISCONSOLIDATED($B$25,$B164),IF(_xll.TM1RPTELLEV($B$25,$B164)&lt;=3,_xll.TM1RPTELLEV($B$25,$B164),"D"),"N")</f>
        <v>2</v>
      </c>
      <c r="B164" s="134" t="s">
        <v>167</v>
      </c>
      <c r="C164" s="99">
        <f ca="1">_xll.DBRW($B$9,$C$16,$C$17,C$23,C$22,$C$18,$C$19,$B164,C$24)</f>
        <v>0</v>
      </c>
      <c r="D164" s="99">
        <f ca="1">_xll.DBRW($B$9,$C$16,$C$17,C$23,C$22,$C$18,$C$19,$B164,D$24)</f>
        <v>0</v>
      </c>
      <c r="E164" s="99">
        <f ca="1">_xll.DBRW($B$9,$C$16,$C$17,C$23,C$22,$C$18,$C$19,$B164,E$24)</f>
        <v>0</v>
      </c>
      <c r="F164" s="99">
        <f ca="1">_xll.DBRW($B$9,$C$16,$C$17,F$23,C$22,$C$18,$C$19,$B164,F$24)</f>
        <v>0</v>
      </c>
      <c r="G164" s="99">
        <f ca="1">_xll.DBRW($B$9,$C$16,$C$17,F$23,C$22,$C$18,$C$19,$B164,G$24)</f>
        <v>0</v>
      </c>
      <c r="H164" s="99">
        <f ca="1">_xll.DBRW($B$9,$C$16,$C$17,F$23,C$22,$C$18,$C$19,$B164,H$24)</f>
        <v>0</v>
      </c>
      <c r="I164" s="99">
        <f t="shared" ca="1" si="24"/>
        <v>0</v>
      </c>
      <c r="J164" s="99">
        <f t="shared" ca="1" si="25"/>
        <v>0</v>
      </c>
      <c r="K164" s="99">
        <f t="shared" ca="1" si="26"/>
        <v>0</v>
      </c>
      <c r="L164" s="99">
        <f ca="1">_xll.DBRW($B$9,$C$16,$C$17,L$23,L$22,$C$18,$C$19,$B164,L$24)</f>
        <v>0</v>
      </c>
      <c r="M164" s="99">
        <f ca="1">_xll.DBRW($B$9,$C$16,$C$17,L$23,L$22,$C$18,$C$19,$B164,M$24)</f>
        <v>0</v>
      </c>
      <c r="N164" s="99">
        <f ca="1">_xll.DBRW($B$9,$C$16,$C$17,L$23,L$22,$C$18,$C$19,$B164,N$24)</f>
        <v>0</v>
      </c>
      <c r="O164" s="99">
        <f ca="1">_xll.DBRW($B$9,$C$16,$C$17,O$23,L$22,$C$18,$C$19,$B164,O$24)</f>
        <v>0</v>
      </c>
      <c r="P164" s="99">
        <f ca="1">_xll.DBRW($B$9,$C$16,$C$17,O$23,L$22,$C$18,$C$19,$B164,P$24)</f>
        <v>0</v>
      </c>
      <c r="Q164" s="99">
        <f ca="1">_xll.DBRW($B$9,$C$16,$C$17,O$23,L$22,$C$18,$C$19,$B164,Q$24)</f>
        <v>0</v>
      </c>
      <c r="R164" s="99">
        <f t="shared" ca="1" si="27"/>
        <v>0</v>
      </c>
      <c r="S164" s="99">
        <f t="shared" ca="1" si="28"/>
        <v>0</v>
      </c>
      <c r="T164" s="99">
        <f t="shared" ca="1" si="29"/>
        <v>0</v>
      </c>
      <c r="U164" s="99">
        <f ca="1">_xll.DBRW($B$9,$C$16,$C$17,U$23,U$22,$C$18,$C$19,$B164,U$24)</f>
        <v>0</v>
      </c>
      <c r="V164" s="99">
        <f ca="1">_xll.DBRW($B$9,$C$16,$C$17,U$23,U$22,$C$18,$C$19,$B164,V$24)</f>
        <v>0</v>
      </c>
      <c r="W164" s="99">
        <f ca="1">_xll.DBRW($B$9,$C$16,$C$17,U$23,U$22,$C$18,$C$19,$B164,W$24)</f>
        <v>0</v>
      </c>
      <c r="X164" s="99">
        <f ca="1">_xll.DBRW($B$9,$C$16,$C$17,X$23,U$22,$C$18,$C$19,$B164,X$24)</f>
        <v>0</v>
      </c>
      <c r="Y164" s="99">
        <f ca="1">_xll.DBRW($B$9,$C$16,$C$17,X$23,U$22,$C$18,$C$19,$B164,Y$24)</f>
        <v>0</v>
      </c>
      <c r="Z164" s="99">
        <f ca="1">_xll.DBRW($B$9,$C$16,$C$17,X$23,U$22,$C$18,$C$19,$B164,Z$24)</f>
        <v>0</v>
      </c>
      <c r="AA164" s="99">
        <f t="shared" ca="1" si="30"/>
        <v>0</v>
      </c>
      <c r="AB164" s="99">
        <f t="shared" ca="1" si="31"/>
        <v>0</v>
      </c>
      <c r="AC164" s="99">
        <f t="shared" ca="1" si="32"/>
        <v>0</v>
      </c>
      <c r="AD164" s="99">
        <f ca="1">_xll.DBRW($B$9,$C$16,$C$17,AD$23,AD$22,$C$18,$C$19,$B164,AD$24)</f>
        <v>0</v>
      </c>
      <c r="AE164" s="99">
        <f ca="1">_xll.DBRW($B$9,$C$16,$C$17,AD$23,AD$22,$C$18,$C$19,$B164,AE$24)</f>
        <v>0</v>
      </c>
      <c r="AF164" s="99">
        <f ca="1">_xll.DBRW($B$9,$C$16,$C$17,AD$23,AD$22,$C$18,$C$19,$B164,AF$24)</f>
        <v>0</v>
      </c>
      <c r="AG164" s="99">
        <f ca="1">_xll.DBRW($B$9,$C$16,$C$17,AG$23,AD$22,$C$18,$C$19,$B164,AG$24)</f>
        <v>0</v>
      </c>
      <c r="AH164" s="99">
        <f ca="1">_xll.DBRW($B$9,$C$16,$C$17,AG$23,AD$22,$C$18,$C$19,$B164,AH$24)</f>
        <v>0</v>
      </c>
      <c r="AI164" s="99">
        <f ca="1">_xll.DBRW($B$9,$C$16,$C$17,AG$23,AD$22,$C$18,$C$19,$B164,AI$24)</f>
        <v>0</v>
      </c>
      <c r="AJ164" s="99">
        <f t="shared" ca="1" si="33"/>
        <v>0</v>
      </c>
      <c r="AK164" s="99">
        <f t="shared" ca="1" si="34"/>
        <v>0</v>
      </c>
      <c r="AL164" s="99">
        <f t="shared" ca="1" si="35"/>
        <v>0</v>
      </c>
    </row>
    <row r="165" spans="1:38" x14ac:dyDescent="0.25">
      <c r="A165">
        <f ca="1">IF(_xll.TM1RPTELISCONSOLIDATED($B$25,$B165),IF(_xll.TM1RPTELLEV($B$25,$B165)&lt;=3,_xll.TM1RPTELLEV($B$25,$B165),"D"),"N")</f>
        <v>2</v>
      </c>
      <c r="B165" s="134" t="s">
        <v>168</v>
      </c>
      <c r="C165" s="99">
        <f ca="1">_xll.DBRW($B$9,$C$16,$C$17,C$23,C$22,$C$18,$C$19,$B165,C$24)</f>
        <v>0</v>
      </c>
      <c r="D165" s="99">
        <f ca="1">_xll.DBRW($B$9,$C$16,$C$17,C$23,C$22,$C$18,$C$19,$B165,D$24)</f>
        <v>0</v>
      </c>
      <c r="E165" s="99">
        <f ca="1">_xll.DBRW($B$9,$C$16,$C$17,C$23,C$22,$C$18,$C$19,$B165,E$24)</f>
        <v>0</v>
      </c>
      <c r="F165" s="99">
        <f ca="1">_xll.DBRW($B$9,$C$16,$C$17,F$23,C$22,$C$18,$C$19,$B165,F$24)</f>
        <v>0</v>
      </c>
      <c r="G165" s="99">
        <f ca="1">_xll.DBRW($B$9,$C$16,$C$17,F$23,C$22,$C$18,$C$19,$B165,G$24)</f>
        <v>0</v>
      </c>
      <c r="H165" s="99">
        <f ca="1">_xll.DBRW($B$9,$C$16,$C$17,F$23,C$22,$C$18,$C$19,$B165,H$24)</f>
        <v>0</v>
      </c>
      <c r="I165" s="99">
        <f t="shared" ca="1" si="24"/>
        <v>0</v>
      </c>
      <c r="J165" s="99">
        <f t="shared" ca="1" si="25"/>
        <v>0</v>
      </c>
      <c r="K165" s="99">
        <f t="shared" ca="1" si="26"/>
        <v>0</v>
      </c>
      <c r="L165" s="99">
        <f ca="1">_xll.DBRW($B$9,$C$16,$C$17,L$23,L$22,$C$18,$C$19,$B165,L$24)</f>
        <v>0</v>
      </c>
      <c r="M165" s="99">
        <f ca="1">_xll.DBRW($B$9,$C$16,$C$17,L$23,L$22,$C$18,$C$19,$B165,M$24)</f>
        <v>0</v>
      </c>
      <c r="N165" s="99">
        <f ca="1">_xll.DBRW($B$9,$C$16,$C$17,L$23,L$22,$C$18,$C$19,$B165,N$24)</f>
        <v>0</v>
      </c>
      <c r="O165" s="99">
        <f ca="1">_xll.DBRW($B$9,$C$16,$C$17,O$23,L$22,$C$18,$C$19,$B165,O$24)</f>
        <v>0</v>
      </c>
      <c r="P165" s="99">
        <f ca="1">_xll.DBRW($B$9,$C$16,$C$17,O$23,L$22,$C$18,$C$19,$B165,P$24)</f>
        <v>0</v>
      </c>
      <c r="Q165" s="99">
        <f ca="1">_xll.DBRW($B$9,$C$16,$C$17,O$23,L$22,$C$18,$C$19,$B165,Q$24)</f>
        <v>0</v>
      </c>
      <c r="R165" s="99">
        <f t="shared" ca="1" si="27"/>
        <v>0</v>
      </c>
      <c r="S165" s="99">
        <f t="shared" ca="1" si="28"/>
        <v>0</v>
      </c>
      <c r="T165" s="99">
        <f t="shared" ca="1" si="29"/>
        <v>0</v>
      </c>
      <c r="U165" s="99">
        <f ca="1">_xll.DBRW($B$9,$C$16,$C$17,U$23,U$22,$C$18,$C$19,$B165,U$24)</f>
        <v>0</v>
      </c>
      <c r="V165" s="99">
        <f ca="1">_xll.DBRW($B$9,$C$16,$C$17,U$23,U$22,$C$18,$C$19,$B165,V$24)</f>
        <v>0</v>
      </c>
      <c r="W165" s="99">
        <f ca="1">_xll.DBRW($B$9,$C$16,$C$17,U$23,U$22,$C$18,$C$19,$B165,W$24)</f>
        <v>0</v>
      </c>
      <c r="X165" s="99">
        <f ca="1">_xll.DBRW($B$9,$C$16,$C$17,X$23,U$22,$C$18,$C$19,$B165,X$24)</f>
        <v>0</v>
      </c>
      <c r="Y165" s="99">
        <f ca="1">_xll.DBRW($B$9,$C$16,$C$17,X$23,U$22,$C$18,$C$19,$B165,Y$24)</f>
        <v>0</v>
      </c>
      <c r="Z165" s="99">
        <f ca="1">_xll.DBRW($B$9,$C$16,$C$17,X$23,U$22,$C$18,$C$19,$B165,Z$24)</f>
        <v>0</v>
      </c>
      <c r="AA165" s="99">
        <f t="shared" ca="1" si="30"/>
        <v>0</v>
      </c>
      <c r="AB165" s="99">
        <f t="shared" ca="1" si="31"/>
        <v>0</v>
      </c>
      <c r="AC165" s="99">
        <f t="shared" ca="1" si="32"/>
        <v>0</v>
      </c>
      <c r="AD165" s="99">
        <f ca="1">_xll.DBRW($B$9,$C$16,$C$17,AD$23,AD$22,$C$18,$C$19,$B165,AD$24)</f>
        <v>0</v>
      </c>
      <c r="AE165" s="99">
        <f ca="1">_xll.DBRW($B$9,$C$16,$C$17,AD$23,AD$22,$C$18,$C$19,$B165,AE$24)</f>
        <v>0</v>
      </c>
      <c r="AF165" s="99">
        <f ca="1">_xll.DBRW($B$9,$C$16,$C$17,AD$23,AD$22,$C$18,$C$19,$B165,AF$24)</f>
        <v>0</v>
      </c>
      <c r="AG165" s="99">
        <f ca="1">_xll.DBRW($B$9,$C$16,$C$17,AG$23,AD$22,$C$18,$C$19,$B165,AG$24)</f>
        <v>0</v>
      </c>
      <c r="AH165" s="99">
        <f ca="1">_xll.DBRW($B$9,$C$16,$C$17,AG$23,AD$22,$C$18,$C$19,$B165,AH$24)</f>
        <v>0</v>
      </c>
      <c r="AI165" s="99">
        <f ca="1">_xll.DBRW($B$9,$C$16,$C$17,AG$23,AD$22,$C$18,$C$19,$B165,AI$24)</f>
        <v>0</v>
      </c>
      <c r="AJ165" s="99">
        <f t="shared" ca="1" si="33"/>
        <v>0</v>
      </c>
      <c r="AK165" s="99">
        <f t="shared" ca="1" si="34"/>
        <v>0</v>
      </c>
      <c r="AL165" s="99">
        <f t="shared" ca="1" si="35"/>
        <v>0</v>
      </c>
    </row>
    <row r="166" spans="1:38" x14ac:dyDescent="0.25">
      <c r="A166">
        <f ca="1">IF(_xll.TM1RPTELISCONSOLIDATED($B$25,$B166),IF(_xll.TM1RPTELLEV($B$25,$B166)&lt;=3,_xll.TM1RPTELLEV($B$25,$B166),"D"),"N")</f>
        <v>2</v>
      </c>
      <c r="B166" s="134" t="s">
        <v>169</v>
      </c>
      <c r="C166" s="99">
        <f ca="1">_xll.DBRW($B$9,$C$16,$C$17,C$23,C$22,$C$18,$C$19,$B166,C$24)</f>
        <v>0</v>
      </c>
      <c r="D166" s="99">
        <f ca="1">_xll.DBRW($B$9,$C$16,$C$17,C$23,C$22,$C$18,$C$19,$B166,D$24)</f>
        <v>0</v>
      </c>
      <c r="E166" s="99">
        <f ca="1">_xll.DBRW($B$9,$C$16,$C$17,C$23,C$22,$C$18,$C$19,$B166,E$24)</f>
        <v>0</v>
      </c>
      <c r="F166" s="99">
        <f ca="1">_xll.DBRW($B$9,$C$16,$C$17,F$23,C$22,$C$18,$C$19,$B166,F$24)</f>
        <v>0</v>
      </c>
      <c r="G166" s="99">
        <f ca="1">_xll.DBRW($B$9,$C$16,$C$17,F$23,C$22,$C$18,$C$19,$B166,G$24)</f>
        <v>0</v>
      </c>
      <c r="H166" s="99">
        <f ca="1">_xll.DBRW($B$9,$C$16,$C$17,F$23,C$22,$C$18,$C$19,$B166,H$24)</f>
        <v>0</v>
      </c>
      <c r="I166" s="99">
        <f t="shared" ca="1" si="24"/>
        <v>0</v>
      </c>
      <c r="J166" s="99">
        <f t="shared" ca="1" si="25"/>
        <v>0</v>
      </c>
      <c r="K166" s="99">
        <f t="shared" ca="1" si="26"/>
        <v>0</v>
      </c>
      <c r="L166" s="99">
        <f ca="1">_xll.DBRW($B$9,$C$16,$C$17,L$23,L$22,$C$18,$C$19,$B166,L$24)</f>
        <v>0</v>
      </c>
      <c r="M166" s="99">
        <f ca="1">_xll.DBRW($B$9,$C$16,$C$17,L$23,L$22,$C$18,$C$19,$B166,M$24)</f>
        <v>0</v>
      </c>
      <c r="N166" s="99">
        <f ca="1">_xll.DBRW($B$9,$C$16,$C$17,L$23,L$22,$C$18,$C$19,$B166,N$24)</f>
        <v>0</v>
      </c>
      <c r="O166" s="99">
        <f ca="1">_xll.DBRW($B$9,$C$16,$C$17,O$23,L$22,$C$18,$C$19,$B166,O$24)</f>
        <v>0</v>
      </c>
      <c r="P166" s="99">
        <f ca="1">_xll.DBRW($B$9,$C$16,$C$17,O$23,L$22,$C$18,$C$19,$B166,P$24)</f>
        <v>0</v>
      </c>
      <c r="Q166" s="99">
        <f ca="1">_xll.DBRW($B$9,$C$16,$C$17,O$23,L$22,$C$18,$C$19,$B166,Q$24)</f>
        <v>0</v>
      </c>
      <c r="R166" s="99">
        <f t="shared" ca="1" si="27"/>
        <v>0</v>
      </c>
      <c r="S166" s="99">
        <f t="shared" ca="1" si="28"/>
        <v>0</v>
      </c>
      <c r="T166" s="99">
        <f t="shared" ca="1" si="29"/>
        <v>0</v>
      </c>
      <c r="U166" s="99">
        <f ca="1">_xll.DBRW($B$9,$C$16,$C$17,U$23,U$22,$C$18,$C$19,$B166,U$24)</f>
        <v>0</v>
      </c>
      <c r="V166" s="99">
        <f ca="1">_xll.DBRW($B$9,$C$16,$C$17,U$23,U$22,$C$18,$C$19,$B166,V$24)</f>
        <v>0</v>
      </c>
      <c r="W166" s="99">
        <f ca="1">_xll.DBRW($B$9,$C$16,$C$17,U$23,U$22,$C$18,$C$19,$B166,W$24)</f>
        <v>0</v>
      </c>
      <c r="X166" s="99">
        <f ca="1">_xll.DBRW($B$9,$C$16,$C$17,X$23,U$22,$C$18,$C$19,$B166,X$24)</f>
        <v>0</v>
      </c>
      <c r="Y166" s="99">
        <f ca="1">_xll.DBRW($B$9,$C$16,$C$17,X$23,U$22,$C$18,$C$19,$B166,Y$24)</f>
        <v>0</v>
      </c>
      <c r="Z166" s="99">
        <f ca="1">_xll.DBRW($B$9,$C$16,$C$17,X$23,U$22,$C$18,$C$19,$B166,Z$24)</f>
        <v>0</v>
      </c>
      <c r="AA166" s="99">
        <f t="shared" ca="1" si="30"/>
        <v>0</v>
      </c>
      <c r="AB166" s="99">
        <f t="shared" ca="1" si="31"/>
        <v>0</v>
      </c>
      <c r="AC166" s="99">
        <f t="shared" ca="1" si="32"/>
        <v>0</v>
      </c>
      <c r="AD166" s="99">
        <f ca="1">_xll.DBRW($B$9,$C$16,$C$17,AD$23,AD$22,$C$18,$C$19,$B166,AD$24)</f>
        <v>0</v>
      </c>
      <c r="AE166" s="99">
        <f ca="1">_xll.DBRW($B$9,$C$16,$C$17,AD$23,AD$22,$C$18,$C$19,$B166,AE$24)</f>
        <v>0</v>
      </c>
      <c r="AF166" s="99">
        <f ca="1">_xll.DBRW($B$9,$C$16,$C$17,AD$23,AD$22,$C$18,$C$19,$B166,AF$24)</f>
        <v>0</v>
      </c>
      <c r="AG166" s="99">
        <f ca="1">_xll.DBRW($B$9,$C$16,$C$17,AG$23,AD$22,$C$18,$C$19,$B166,AG$24)</f>
        <v>0</v>
      </c>
      <c r="AH166" s="99">
        <f ca="1">_xll.DBRW($B$9,$C$16,$C$17,AG$23,AD$22,$C$18,$C$19,$B166,AH$24)</f>
        <v>0</v>
      </c>
      <c r="AI166" s="99">
        <f ca="1">_xll.DBRW($B$9,$C$16,$C$17,AG$23,AD$22,$C$18,$C$19,$B166,AI$24)</f>
        <v>0</v>
      </c>
      <c r="AJ166" s="99">
        <f t="shared" ca="1" si="33"/>
        <v>0</v>
      </c>
      <c r="AK166" s="99">
        <f t="shared" ca="1" si="34"/>
        <v>0</v>
      </c>
      <c r="AL166" s="99">
        <f t="shared" ca="1" si="35"/>
        <v>0</v>
      </c>
    </row>
    <row r="167" spans="1:38" x14ac:dyDescent="0.25">
      <c r="A167">
        <f ca="1">IF(_xll.TM1RPTELISCONSOLIDATED($B$25,$B167),IF(_xll.TM1RPTELLEV($B$25,$B167)&lt;=3,_xll.TM1RPTELLEV($B$25,$B167),"D"),"N")</f>
        <v>2</v>
      </c>
      <c r="B167" s="134" t="s">
        <v>170</v>
      </c>
      <c r="C167" s="99">
        <f ca="1">_xll.DBRW($B$9,$C$16,$C$17,C$23,C$22,$C$18,$C$19,$B167,C$24)</f>
        <v>0</v>
      </c>
      <c r="D167" s="99">
        <f ca="1">_xll.DBRW($B$9,$C$16,$C$17,C$23,C$22,$C$18,$C$19,$B167,D$24)</f>
        <v>0</v>
      </c>
      <c r="E167" s="99">
        <f ca="1">_xll.DBRW($B$9,$C$16,$C$17,C$23,C$22,$C$18,$C$19,$B167,E$24)</f>
        <v>0</v>
      </c>
      <c r="F167" s="99">
        <f ca="1">_xll.DBRW($B$9,$C$16,$C$17,F$23,C$22,$C$18,$C$19,$B167,F$24)</f>
        <v>0</v>
      </c>
      <c r="G167" s="99">
        <f ca="1">_xll.DBRW($B$9,$C$16,$C$17,F$23,C$22,$C$18,$C$19,$B167,G$24)</f>
        <v>0</v>
      </c>
      <c r="H167" s="99">
        <f ca="1">_xll.DBRW($B$9,$C$16,$C$17,F$23,C$22,$C$18,$C$19,$B167,H$24)</f>
        <v>0</v>
      </c>
      <c r="I167" s="99">
        <f t="shared" ca="1" si="24"/>
        <v>0</v>
      </c>
      <c r="J167" s="99">
        <f t="shared" ca="1" si="25"/>
        <v>0</v>
      </c>
      <c r="K167" s="99">
        <f t="shared" ca="1" si="26"/>
        <v>0</v>
      </c>
      <c r="L167" s="99">
        <f ca="1">_xll.DBRW($B$9,$C$16,$C$17,L$23,L$22,$C$18,$C$19,$B167,L$24)</f>
        <v>0</v>
      </c>
      <c r="M167" s="99">
        <f ca="1">_xll.DBRW($B$9,$C$16,$C$17,L$23,L$22,$C$18,$C$19,$B167,M$24)</f>
        <v>0</v>
      </c>
      <c r="N167" s="99">
        <f ca="1">_xll.DBRW($B$9,$C$16,$C$17,L$23,L$22,$C$18,$C$19,$B167,N$24)</f>
        <v>0</v>
      </c>
      <c r="O167" s="99">
        <f ca="1">_xll.DBRW($B$9,$C$16,$C$17,O$23,L$22,$C$18,$C$19,$B167,O$24)</f>
        <v>0</v>
      </c>
      <c r="P167" s="99">
        <f ca="1">_xll.DBRW($B$9,$C$16,$C$17,O$23,L$22,$C$18,$C$19,$B167,P$24)</f>
        <v>0</v>
      </c>
      <c r="Q167" s="99">
        <f ca="1">_xll.DBRW($B$9,$C$16,$C$17,O$23,L$22,$C$18,$C$19,$B167,Q$24)</f>
        <v>0</v>
      </c>
      <c r="R167" s="99">
        <f t="shared" ca="1" si="27"/>
        <v>0</v>
      </c>
      <c r="S167" s="99">
        <f t="shared" ca="1" si="28"/>
        <v>0</v>
      </c>
      <c r="T167" s="99">
        <f t="shared" ca="1" si="29"/>
        <v>0</v>
      </c>
      <c r="U167" s="99">
        <f ca="1">_xll.DBRW($B$9,$C$16,$C$17,U$23,U$22,$C$18,$C$19,$B167,U$24)</f>
        <v>0</v>
      </c>
      <c r="V167" s="99">
        <f ca="1">_xll.DBRW($B$9,$C$16,$C$17,U$23,U$22,$C$18,$C$19,$B167,V$24)</f>
        <v>0</v>
      </c>
      <c r="W167" s="99">
        <f ca="1">_xll.DBRW($B$9,$C$16,$C$17,U$23,U$22,$C$18,$C$19,$B167,W$24)</f>
        <v>0</v>
      </c>
      <c r="X167" s="99">
        <f ca="1">_xll.DBRW($B$9,$C$16,$C$17,X$23,U$22,$C$18,$C$19,$B167,X$24)</f>
        <v>0</v>
      </c>
      <c r="Y167" s="99">
        <f ca="1">_xll.DBRW($B$9,$C$16,$C$17,X$23,U$22,$C$18,$C$19,$B167,Y$24)</f>
        <v>0</v>
      </c>
      <c r="Z167" s="99">
        <f ca="1">_xll.DBRW($B$9,$C$16,$C$17,X$23,U$22,$C$18,$C$19,$B167,Z$24)</f>
        <v>0</v>
      </c>
      <c r="AA167" s="99">
        <f t="shared" ca="1" si="30"/>
        <v>0</v>
      </c>
      <c r="AB167" s="99">
        <f t="shared" ca="1" si="31"/>
        <v>0</v>
      </c>
      <c r="AC167" s="99">
        <f t="shared" ca="1" si="32"/>
        <v>0</v>
      </c>
      <c r="AD167" s="99">
        <f ca="1">_xll.DBRW($B$9,$C$16,$C$17,AD$23,AD$22,$C$18,$C$19,$B167,AD$24)</f>
        <v>0</v>
      </c>
      <c r="AE167" s="99">
        <f ca="1">_xll.DBRW($B$9,$C$16,$C$17,AD$23,AD$22,$C$18,$C$19,$B167,AE$24)</f>
        <v>0</v>
      </c>
      <c r="AF167" s="99">
        <f ca="1">_xll.DBRW($B$9,$C$16,$C$17,AD$23,AD$22,$C$18,$C$19,$B167,AF$24)</f>
        <v>0</v>
      </c>
      <c r="AG167" s="99">
        <f ca="1">_xll.DBRW($B$9,$C$16,$C$17,AG$23,AD$22,$C$18,$C$19,$B167,AG$24)</f>
        <v>0</v>
      </c>
      <c r="AH167" s="99">
        <f ca="1">_xll.DBRW($B$9,$C$16,$C$17,AG$23,AD$22,$C$18,$C$19,$B167,AH$24)</f>
        <v>0</v>
      </c>
      <c r="AI167" s="99">
        <f ca="1">_xll.DBRW($B$9,$C$16,$C$17,AG$23,AD$22,$C$18,$C$19,$B167,AI$24)</f>
        <v>0</v>
      </c>
      <c r="AJ167" s="99">
        <f t="shared" ca="1" si="33"/>
        <v>0</v>
      </c>
      <c r="AK167" s="99">
        <f t="shared" ca="1" si="34"/>
        <v>0</v>
      </c>
      <c r="AL167" s="99">
        <f t="shared" ca="1" si="35"/>
        <v>0</v>
      </c>
    </row>
    <row r="168" spans="1:38" x14ac:dyDescent="0.25">
      <c r="A168">
        <f ca="1">IF(_xll.TM1RPTELISCONSOLIDATED($B$25,$B168),IF(_xll.TM1RPTELLEV($B$25,$B168)&lt;=3,_xll.TM1RPTELLEV($B$25,$B168),"D"),"N")</f>
        <v>2</v>
      </c>
      <c r="B168" s="134" t="s">
        <v>171</v>
      </c>
      <c r="C168" s="99">
        <f ca="1">_xll.DBRW($B$9,$C$16,$C$17,C$23,C$22,$C$18,$C$19,$B168,C$24)</f>
        <v>0</v>
      </c>
      <c r="D168" s="99">
        <f ca="1">_xll.DBRW($B$9,$C$16,$C$17,C$23,C$22,$C$18,$C$19,$B168,D$24)</f>
        <v>0</v>
      </c>
      <c r="E168" s="99">
        <f ca="1">_xll.DBRW($B$9,$C$16,$C$17,C$23,C$22,$C$18,$C$19,$B168,E$24)</f>
        <v>0</v>
      </c>
      <c r="F168" s="99">
        <f ca="1">_xll.DBRW($B$9,$C$16,$C$17,F$23,C$22,$C$18,$C$19,$B168,F$24)</f>
        <v>0</v>
      </c>
      <c r="G168" s="99">
        <f ca="1">_xll.DBRW($B$9,$C$16,$C$17,F$23,C$22,$C$18,$C$19,$B168,G$24)</f>
        <v>0</v>
      </c>
      <c r="H168" s="99">
        <f ca="1">_xll.DBRW($B$9,$C$16,$C$17,F$23,C$22,$C$18,$C$19,$B168,H$24)</f>
        <v>0</v>
      </c>
      <c r="I168" s="99">
        <f t="shared" ca="1" si="24"/>
        <v>0</v>
      </c>
      <c r="J168" s="99">
        <f t="shared" ca="1" si="25"/>
        <v>0</v>
      </c>
      <c r="K168" s="99">
        <f t="shared" ca="1" si="26"/>
        <v>0</v>
      </c>
      <c r="L168" s="99">
        <f ca="1">_xll.DBRW($B$9,$C$16,$C$17,L$23,L$22,$C$18,$C$19,$B168,L$24)</f>
        <v>0</v>
      </c>
      <c r="M168" s="99">
        <f ca="1">_xll.DBRW($B$9,$C$16,$C$17,L$23,L$22,$C$18,$C$19,$B168,M$24)</f>
        <v>0</v>
      </c>
      <c r="N168" s="99">
        <f ca="1">_xll.DBRW($B$9,$C$16,$C$17,L$23,L$22,$C$18,$C$19,$B168,N$24)</f>
        <v>0</v>
      </c>
      <c r="O168" s="99">
        <f ca="1">_xll.DBRW($B$9,$C$16,$C$17,O$23,L$22,$C$18,$C$19,$B168,O$24)</f>
        <v>0</v>
      </c>
      <c r="P168" s="99">
        <f ca="1">_xll.DBRW($B$9,$C$16,$C$17,O$23,L$22,$C$18,$C$19,$B168,P$24)</f>
        <v>0</v>
      </c>
      <c r="Q168" s="99">
        <f ca="1">_xll.DBRW($B$9,$C$16,$C$17,O$23,L$22,$C$18,$C$19,$B168,Q$24)</f>
        <v>0</v>
      </c>
      <c r="R168" s="99">
        <f t="shared" ca="1" si="27"/>
        <v>0</v>
      </c>
      <c r="S168" s="99">
        <f t="shared" ca="1" si="28"/>
        <v>0</v>
      </c>
      <c r="T168" s="99">
        <f t="shared" ca="1" si="29"/>
        <v>0</v>
      </c>
      <c r="U168" s="99">
        <f ca="1">_xll.DBRW($B$9,$C$16,$C$17,U$23,U$22,$C$18,$C$19,$B168,U$24)</f>
        <v>0</v>
      </c>
      <c r="V168" s="99">
        <f ca="1">_xll.DBRW($B$9,$C$16,$C$17,U$23,U$22,$C$18,$C$19,$B168,V$24)</f>
        <v>0</v>
      </c>
      <c r="W168" s="99">
        <f ca="1">_xll.DBRW($B$9,$C$16,$C$17,U$23,U$22,$C$18,$C$19,$B168,W$24)</f>
        <v>0</v>
      </c>
      <c r="X168" s="99">
        <f ca="1">_xll.DBRW($B$9,$C$16,$C$17,X$23,U$22,$C$18,$C$19,$B168,X$24)</f>
        <v>0</v>
      </c>
      <c r="Y168" s="99">
        <f ca="1">_xll.DBRW($B$9,$C$16,$C$17,X$23,U$22,$C$18,$C$19,$B168,Y$24)</f>
        <v>0</v>
      </c>
      <c r="Z168" s="99">
        <f ca="1">_xll.DBRW($B$9,$C$16,$C$17,X$23,U$22,$C$18,$C$19,$B168,Z$24)</f>
        <v>0</v>
      </c>
      <c r="AA168" s="99">
        <f t="shared" ca="1" si="30"/>
        <v>0</v>
      </c>
      <c r="AB168" s="99">
        <f t="shared" ca="1" si="31"/>
        <v>0</v>
      </c>
      <c r="AC168" s="99">
        <f t="shared" ca="1" si="32"/>
        <v>0</v>
      </c>
      <c r="AD168" s="99">
        <f ca="1">_xll.DBRW($B$9,$C$16,$C$17,AD$23,AD$22,$C$18,$C$19,$B168,AD$24)</f>
        <v>0</v>
      </c>
      <c r="AE168" s="99">
        <f ca="1">_xll.DBRW($B$9,$C$16,$C$17,AD$23,AD$22,$C$18,$C$19,$B168,AE$24)</f>
        <v>0</v>
      </c>
      <c r="AF168" s="99">
        <f ca="1">_xll.DBRW($B$9,$C$16,$C$17,AD$23,AD$22,$C$18,$C$19,$B168,AF$24)</f>
        <v>0</v>
      </c>
      <c r="AG168" s="99">
        <f ca="1">_xll.DBRW($B$9,$C$16,$C$17,AG$23,AD$22,$C$18,$C$19,$B168,AG$24)</f>
        <v>0</v>
      </c>
      <c r="AH168" s="99">
        <f ca="1">_xll.DBRW($B$9,$C$16,$C$17,AG$23,AD$22,$C$18,$C$19,$B168,AH$24)</f>
        <v>0</v>
      </c>
      <c r="AI168" s="99">
        <f ca="1">_xll.DBRW($B$9,$C$16,$C$17,AG$23,AD$22,$C$18,$C$19,$B168,AI$24)</f>
        <v>0</v>
      </c>
      <c r="AJ168" s="99">
        <f t="shared" ca="1" si="33"/>
        <v>0</v>
      </c>
      <c r="AK168" s="99">
        <f t="shared" ca="1" si="34"/>
        <v>0</v>
      </c>
      <c r="AL168" s="99">
        <f t="shared" ca="1" si="35"/>
        <v>0</v>
      </c>
    </row>
    <row r="169" spans="1:38" x14ac:dyDescent="0.25">
      <c r="A169">
        <f ca="1">IF(_xll.TM1RPTELISCONSOLIDATED($B$25,$B169),IF(_xll.TM1RPTELLEV($B$25,$B169)&lt;=3,_xll.TM1RPTELLEV($B$25,$B169),"D"),"N")</f>
        <v>2</v>
      </c>
      <c r="B169" s="134" t="s">
        <v>172</v>
      </c>
      <c r="C169" s="99">
        <f ca="1">_xll.DBRW($B$9,$C$16,$C$17,C$23,C$22,$C$18,$C$19,$B169,C$24)</f>
        <v>0</v>
      </c>
      <c r="D169" s="99">
        <f ca="1">_xll.DBRW($B$9,$C$16,$C$17,C$23,C$22,$C$18,$C$19,$B169,D$24)</f>
        <v>0</v>
      </c>
      <c r="E169" s="99">
        <f ca="1">_xll.DBRW($B$9,$C$16,$C$17,C$23,C$22,$C$18,$C$19,$B169,E$24)</f>
        <v>0</v>
      </c>
      <c r="F169" s="99">
        <f ca="1">_xll.DBRW($B$9,$C$16,$C$17,F$23,C$22,$C$18,$C$19,$B169,F$24)</f>
        <v>0</v>
      </c>
      <c r="G169" s="99">
        <f ca="1">_xll.DBRW($B$9,$C$16,$C$17,F$23,C$22,$C$18,$C$19,$B169,G$24)</f>
        <v>0</v>
      </c>
      <c r="H169" s="99">
        <f ca="1">_xll.DBRW($B$9,$C$16,$C$17,F$23,C$22,$C$18,$C$19,$B169,H$24)</f>
        <v>0</v>
      </c>
      <c r="I169" s="99">
        <f t="shared" ca="1" si="24"/>
        <v>0</v>
      </c>
      <c r="J169" s="99">
        <f t="shared" ca="1" si="25"/>
        <v>0</v>
      </c>
      <c r="K169" s="99">
        <f t="shared" ca="1" si="26"/>
        <v>0</v>
      </c>
      <c r="L169" s="99">
        <f ca="1">_xll.DBRW($B$9,$C$16,$C$17,L$23,L$22,$C$18,$C$19,$B169,L$24)</f>
        <v>0</v>
      </c>
      <c r="M169" s="99">
        <f ca="1">_xll.DBRW($B$9,$C$16,$C$17,L$23,L$22,$C$18,$C$19,$B169,M$24)</f>
        <v>0</v>
      </c>
      <c r="N169" s="99">
        <f ca="1">_xll.DBRW($B$9,$C$16,$C$17,L$23,L$22,$C$18,$C$19,$B169,N$24)</f>
        <v>0</v>
      </c>
      <c r="O169" s="99">
        <f ca="1">_xll.DBRW($B$9,$C$16,$C$17,O$23,L$22,$C$18,$C$19,$B169,O$24)</f>
        <v>0</v>
      </c>
      <c r="P169" s="99">
        <f ca="1">_xll.DBRW($B$9,$C$16,$C$17,O$23,L$22,$C$18,$C$19,$B169,P$24)</f>
        <v>0</v>
      </c>
      <c r="Q169" s="99">
        <f ca="1">_xll.DBRW($B$9,$C$16,$C$17,O$23,L$22,$C$18,$C$19,$B169,Q$24)</f>
        <v>0</v>
      </c>
      <c r="R169" s="99">
        <f t="shared" ca="1" si="27"/>
        <v>0</v>
      </c>
      <c r="S169" s="99">
        <f t="shared" ca="1" si="28"/>
        <v>0</v>
      </c>
      <c r="T169" s="99">
        <f t="shared" ca="1" si="29"/>
        <v>0</v>
      </c>
      <c r="U169" s="99">
        <f ca="1">_xll.DBRW($B$9,$C$16,$C$17,U$23,U$22,$C$18,$C$19,$B169,U$24)</f>
        <v>0</v>
      </c>
      <c r="V169" s="99">
        <f ca="1">_xll.DBRW($B$9,$C$16,$C$17,U$23,U$22,$C$18,$C$19,$B169,V$24)</f>
        <v>0</v>
      </c>
      <c r="W169" s="99">
        <f ca="1">_xll.DBRW($B$9,$C$16,$C$17,U$23,U$22,$C$18,$C$19,$B169,W$24)</f>
        <v>0</v>
      </c>
      <c r="X169" s="99">
        <f ca="1">_xll.DBRW($B$9,$C$16,$C$17,X$23,U$22,$C$18,$C$19,$B169,X$24)</f>
        <v>0</v>
      </c>
      <c r="Y169" s="99">
        <f ca="1">_xll.DBRW($B$9,$C$16,$C$17,X$23,U$22,$C$18,$C$19,$B169,Y$24)</f>
        <v>0</v>
      </c>
      <c r="Z169" s="99">
        <f ca="1">_xll.DBRW($B$9,$C$16,$C$17,X$23,U$22,$C$18,$C$19,$B169,Z$24)</f>
        <v>0</v>
      </c>
      <c r="AA169" s="99">
        <f t="shared" ca="1" si="30"/>
        <v>0</v>
      </c>
      <c r="AB169" s="99">
        <f t="shared" ca="1" si="31"/>
        <v>0</v>
      </c>
      <c r="AC169" s="99">
        <f t="shared" ca="1" si="32"/>
        <v>0</v>
      </c>
      <c r="AD169" s="99">
        <f ca="1">_xll.DBRW($B$9,$C$16,$C$17,AD$23,AD$22,$C$18,$C$19,$B169,AD$24)</f>
        <v>0</v>
      </c>
      <c r="AE169" s="99">
        <f ca="1">_xll.DBRW($B$9,$C$16,$C$17,AD$23,AD$22,$C$18,$C$19,$B169,AE$24)</f>
        <v>0</v>
      </c>
      <c r="AF169" s="99">
        <f ca="1">_xll.DBRW($B$9,$C$16,$C$17,AD$23,AD$22,$C$18,$C$19,$B169,AF$24)</f>
        <v>0</v>
      </c>
      <c r="AG169" s="99">
        <f ca="1">_xll.DBRW($B$9,$C$16,$C$17,AG$23,AD$22,$C$18,$C$19,$B169,AG$24)</f>
        <v>0</v>
      </c>
      <c r="AH169" s="99">
        <f ca="1">_xll.DBRW($B$9,$C$16,$C$17,AG$23,AD$22,$C$18,$C$19,$B169,AH$24)</f>
        <v>0</v>
      </c>
      <c r="AI169" s="99">
        <f ca="1">_xll.DBRW($B$9,$C$16,$C$17,AG$23,AD$22,$C$18,$C$19,$B169,AI$24)</f>
        <v>0</v>
      </c>
      <c r="AJ169" s="99">
        <f t="shared" ca="1" si="33"/>
        <v>0</v>
      </c>
      <c r="AK169" s="99">
        <f t="shared" ca="1" si="34"/>
        <v>0</v>
      </c>
      <c r="AL169" s="99">
        <f t="shared" ca="1" si="35"/>
        <v>0</v>
      </c>
    </row>
    <row r="170" spans="1:38" x14ac:dyDescent="0.25">
      <c r="A170">
        <f ca="1">IF(_xll.TM1RPTELISCONSOLIDATED($B$25,$B170),IF(_xll.TM1RPTELLEV($B$25,$B170)&lt;=3,_xll.TM1RPTELLEV($B$25,$B170),"D"),"N")</f>
        <v>2</v>
      </c>
      <c r="B170" s="134" t="s">
        <v>173</v>
      </c>
      <c r="C170" s="99">
        <f ca="1">_xll.DBRW($B$9,$C$16,$C$17,C$23,C$22,$C$18,$C$19,$B170,C$24)</f>
        <v>0</v>
      </c>
      <c r="D170" s="99">
        <f ca="1">_xll.DBRW($B$9,$C$16,$C$17,C$23,C$22,$C$18,$C$19,$B170,D$24)</f>
        <v>0</v>
      </c>
      <c r="E170" s="99">
        <f ca="1">_xll.DBRW($B$9,$C$16,$C$17,C$23,C$22,$C$18,$C$19,$B170,E$24)</f>
        <v>0</v>
      </c>
      <c r="F170" s="99">
        <f ca="1">_xll.DBRW($B$9,$C$16,$C$17,F$23,C$22,$C$18,$C$19,$B170,F$24)</f>
        <v>0</v>
      </c>
      <c r="G170" s="99">
        <f ca="1">_xll.DBRW($B$9,$C$16,$C$17,F$23,C$22,$C$18,$C$19,$B170,G$24)</f>
        <v>0</v>
      </c>
      <c r="H170" s="99">
        <f ca="1">_xll.DBRW($B$9,$C$16,$C$17,F$23,C$22,$C$18,$C$19,$B170,H$24)</f>
        <v>0</v>
      </c>
      <c r="I170" s="99">
        <f t="shared" ca="1" si="24"/>
        <v>0</v>
      </c>
      <c r="J170" s="99">
        <f t="shared" ca="1" si="25"/>
        <v>0</v>
      </c>
      <c r="K170" s="99">
        <f t="shared" ca="1" si="26"/>
        <v>0</v>
      </c>
      <c r="L170" s="99">
        <f ca="1">_xll.DBRW($B$9,$C$16,$C$17,L$23,L$22,$C$18,$C$19,$B170,L$24)</f>
        <v>0</v>
      </c>
      <c r="M170" s="99">
        <f ca="1">_xll.DBRW($B$9,$C$16,$C$17,L$23,L$22,$C$18,$C$19,$B170,M$24)</f>
        <v>0</v>
      </c>
      <c r="N170" s="99">
        <f ca="1">_xll.DBRW($B$9,$C$16,$C$17,L$23,L$22,$C$18,$C$19,$B170,N$24)</f>
        <v>0</v>
      </c>
      <c r="O170" s="99">
        <f ca="1">_xll.DBRW($B$9,$C$16,$C$17,O$23,L$22,$C$18,$C$19,$B170,O$24)</f>
        <v>0</v>
      </c>
      <c r="P170" s="99">
        <f ca="1">_xll.DBRW($B$9,$C$16,$C$17,O$23,L$22,$C$18,$C$19,$B170,P$24)</f>
        <v>0</v>
      </c>
      <c r="Q170" s="99">
        <f ca="1">_xll.DBRW($B$9,$C$16,$C$17,O$23,L$22,$C$18,$C$19,$B170,Q$24)</f>
        <v>0</v>
      </c>
      <c r="R170" s="99">
        <f t="shared" ca="1" si="27"/>
        <v>0</v>
      </c>
      <c r="S170" s="99">
        <f t="shared" ca="1" si="28"/>
        <v>0</v>
      </c>
      <c r="T170" s="99">
        <f t="shared" ca="1" si="29"/>
        <v>0</v>
      </c>
      <c r="U170" s="99">
        <f ca="1">_xll.DBRW($B$9,$C$16,$C$17,U$23,U$22,$C$18,$C$19,$B170,U$24)</f>
        <v>0</v>
      </c>
      <c r="V170" s="99">
        <f ca="1">_xll.DBRW($B$9,$C$16,$C$17,U$23,U$22,$C$18,$C$19,$B170,V$24)</f>
        <v>0</v>
      </c>
      <c r="W170" s="99">
        <f ca="1">_xll.DBRW($B$9,$C$16,$C$17,U$23,U$22,$C$18,$C$19,$B170,W$24)</f>
        <v>0</v>
      </c>
      <c r="X170" s="99">
        <f ca="1">_xll.DBRW($B$9,$C$16,$C$17,X$23,U$22,$C$18,$C$19,$B170,X$24)</f>
        <v>0</v>
      </c>
      <c r="Y170" s="99">
        <f ca="1">_xll.DBRW($B$9,$C$16,$C$17,X$23,U$22,$C$18,$C$19,$B170,Y$24)</f>
        <v>0</v>
      </c>
      <c r="Z170" s="99">
        <f ca="1">_xll.DBRW($B$9,$C$16,$C$17,X$23,U$22,$C$18,$C$19,$B170,Z$24)</f>
        <v>0</v>
      </c>
      <c r="AA170" s="99">
        <f t="shared" ca="1" si="30"/>
        <v>0</v>
      </c>
      <c r="AB170" s="99">
        <f t="shared" ca="1" si="31"/>
        <v>0</v>
      </c>
      <c r="AC170" s="99">
        <f t="shared" ca="1" si="32"/>
        <v>0</v>
      </c>
      <c r="AD170" s="99">
        <f ca="1">_xll.DBRW($B$9,$C$16,$C$17,AD$23,AD$22,$C$18,$C$19,$B170,AD$24)</f>
        <v>0</v>
      </c>
      <c r="AE170" s="99">
        <f ca="1">_xll.DBRW($B$9,$C$16,$C$17,AD$23,AD$22,$C$18,$C$19,$B170,AE$24)</f>
        <v>0</v>
      </c>
      <c r="AF170" s="99">
        <f ca="1">_xll.DBRW($B$9,$C$16,$C$17,AD$23,AD$22,$C$18,$C$19,$B170,AF$24)</f>
        <v>0</v>
      </c>
      <c r="AG170" s="99">
        <f ca="1">_xll.DBRW($B$9,$C$16,$C$17,AG$23,AD$22,$C$18,$C$19,$B170,AG$24)</f>
        <v>0</v>
      </c>
      <c r="AH170" s="99">
        <f ca="1">_xll.DBRW($B$9,$C$16,$C$17,AG$23,AD$22,$C$18,$C$19,$B170,AH$24)</f>
        <v>0</v>
      </c>
      <c r="AI170" s="99">
        <f ca="1">_xll.DBRW($B$9,$C$16,$C$17,AG$23,AD$22,$C$18,$C$19,$B170,AI$24)</f>
        <v>0</v>
      </c>
      <c r="AJ170" s="99">
        <f t="shared" ca="1" si="33"/>
        <v>0</v>
      </c>
      <c r="AK170" s="99">
        <f t="shared" ca="1" si="34"/>
        <v>0</v>
      </c>
      <c r="AL170" s="99">
        <f t="shared" ca="1" si="35"/>
        <v>0</v>
      </c>
    </row>
    <row r="171" spans="1:38" x14ac:dyDescent="0.25">
      <c r="A171">
        <f ca="1">IF(_xll.TM1RPTELISCONSOLIDATED($B$25,$B171),IF(_xll.TM1RPTELLEV($B$25,$B171)&lt;=3,_xll.TM1RPTELLEV($B$25,$B171),"D"),"N")</f>
        <v>2</v>
      </c>
      <c r="B171" s="134" t="s">
        <v>174</v>
      </c>
      <c r="C171" s="99">
        <f ca="1">_xll.DBRW($B$9,$C$16,$C$17,C$23,C$22,$C$18,$C$19,$B171,C$24)</f>
        <v>0</v>
      </c>
      <c r="D171" s="99">
        <f ca="1">_xll.DBRW($B$9,$C$16,$C$17,C$23,C$22,$C$18,$C$19,$B171,D$24)</f>
        <v>0</v>
      </c>
      <c r="E171" s="99">
        <f ca="1">_xll.DBRW($B$9,$C$16,$C$17,C$23,C$22,$C$18,$C$19,$B171,E$24)</f>
        <v>0</v>
      </c>
      <c r="F171" s="99">
        <f ca="1">_xll.DBRW($B$9,$C$16,$C$17,F$23,C$22,$C$18,$C$19,$B171,F$24)</f>
        <v>0</v>
      </c>
      <c r="G171" s="99">
        <f ca="1">_xll.DBRW($B$9,$C$16,$C$17,F$23,C$22,$C$18,$C$19,$B171,G$24)</f>
        <v>0</v>
      </c>
      <c r="H171" s="99">
        <f ca="1">_xll.DBRW($B$9,$C$16,$C$17,F$23,C$22,$C$18,$C$19,$B171,H$24)</f>
        <v>0</v>
      </c>
      <c r="I171" s="99">
        <f t="shared" ca="1" si="24"/>
        <v>0</v>
      </c>
      <c r="J171" s="99">
        <f t="shared" ca="1" si="25"/>
        <v>0</v>
      </c>
      <c r="K171" s="99">
        <f t="shared" ca="1" si="26"/>
        <v>0</v>
      </c>
      <c r="L171" s="99">
        <f ca="1">_xll.DBRW($B$9,$C$16,$C$17,L$23,L$22,$C$18,$C$19,$B171,L$24)</f>
        <v>0</v>
      </c>
      <c r="M171" s="99">
        <f ca="1">_xll.DBRW($B$9,$C$16,$C$17,L$23,L$22,$C$18,$C$19,$B171,M$24)</f>
        <v>0</v>
      </c>
      <c r="N171" s="99">
        <f ca="1">_xll.DBRW($B$9,$C$16,$C$17,L$23,L$22,$C$18,$C$19,$B171,N$24)</f>
        <v>0</v>
      </c>
      <c r="O171" s="99">
        <f ca="1">_xll.DBRW($B$9,$C$16,$C$17,O$23,L$22,$C$18,$C$19,$B171,O$24)</f>
        <v>0</v>
      </c>
      <c r="P171" s="99">
        <f ca="1">_xll.DBRW($B$9,$C$16,$C$17,O$23,L$22,$C$18,$C$19,$B171,P$24)</f>
        <v>0</v>
      </c>
      <c r="Q171" s="99">
        <f ca="1">_xll.DBRW($B$9,$C$16,$C$17,O$23,L$22,$C$18,$C$19,$B171,Q$24)</f>
        <v>0</v>
      </c>
      <c r="R171" s="99">
        <f t="shared" ca="1" si="27"/>
        <v>0</v>
      </c>
      <c r="S171" s="99">
        <f t="shared" ca="1" si="28"/>
        <v>0</v>
      </c>
      <c r="T171" s="99">
        <f t="shared" ca="1" si="29"/>
        <v>0</v>
      </c>
      <c r="U171" s="99">
        <f ca="1">_xll.DBRW($B$9,$C$16,$C$17,U$23,U$22,$C$18,$C$19,$B171,U$24)</f>
        <v>0</v>
      </c>
      <c r="V171" s="99">
        <f ca="1">_xll.DBRW($B$9,$C$16,$C$17,U$23,U$22,$C$18,$C$19,$B171,V$24)</f>
        <v>0</v>
      </c>
      <c r="W171" s="99">
        <f ca="1">_xll.DBRW($B$9,$C$16,$C$17,U$23,U$22,$C$18,$C$19,$B171,W$24)</f>
        <v>0</v>
      </c>
      <c r="X171" s="99">
        <f ca="1">_xll.DBRW($B$9,$C$16,$C$17,X$23,U$22,$C$18,$C$19,$B171,X$24)</f>
        <v>0</v>
      </c>
      <c r="Y171" s="99">
        <f ca="1">_xll.DBRW($B$9,$C$16,$C$17,X$23,U$22,$C$18,$C$19,$B171,Y$24)</f>
        <v>0</v>
      </c>
      <c r="Z171" s="99">
        <f ca="1">_xll.DBRW($B$9,$C$16,$C$17,X$23,U$22,$C$18,$C$19,$B171,Z$24)</f>
        <v>0</v>
      </c>
      <c r="AA171" s="99">
        <f t="shared" ca="1" si="30"/>
        <v>0</v>
      </c>
      <c r="AB171" s="99">
        <f t="shared" ca="1" si="31"/>
        <v>0</v>
      </c>
      <c r="AC171" s="99">
        <f t="shared" ca="1" si="32"/>
        <v>0</v>
      </c>
      <c r="AD171" s="99">
        <f ca="1">_xll.DBRW($B$9,$C$16,$C$17,AD$23,AD$22,$C$18,$C$19,$B171,AD$24)</f>
        <v>0</v>
      </c>
      <c r="AE171" s="99">
        <f ca="1">_xll.DBRW($B$9,$C$16,$C$17,AD$23,AD$22,$C$18,$C$19,$B171,AE$24)</f>
        <v>0</v>
      </c>
      <c r="AF171" s="99">
        <f ca="1">_xll.DBRW($B$9,$C$16,$C$17,AD$23,AD$22,$C$18,$C$19,$B171,AF$24)</f>
        <v>0</v>
      </c>
      <c r="AG171" s="99">
        <f ca="1">_xll.DBRW($B$9,$C$16,$C$17,AG$23,AD$22,$C$18,$C$19,$B171,AG$24)</f>
        <v>0</v>
      </c>
      <c r="AH171" s="99">
        <f ca="1">_xll.DBRW($B$9,$C$16,$C$17,AG$23,AD$22,$C$18,$C$19,$B171,AH$24)</f>
        <v>0</v>
      </c>
      <c r="AI171" s="99">
        <f ca="1">_xll.DBRW($B$9,$C$16,$C$17,AG$23,AD$22,$C$18,$C$19,$B171,AI$24)</f>
        <v>0</v>
      </c>
      <c r="AJ171" s="99">
        <f t="shared" ca="1" si="33"/>
        <v>0</v>
      </c>
      <c r="AK171" s="99">
        <f t="shared" ca="1" si="34"/>
        <v>0</v>
      </c>
      <c r="AL171" s="99">
        <f t="shared" ca="1" si="35"/>
        <v>0</v>
      </c>
    </row>
    <row r="172" spans="1:38" x14ac:dyDescent="0.25">
      <c r="A172">
        <f ca="1">IF(_xll.TM1RPTELISCONSOLIDATED($B$25,$B172),IF(_xll.TM1RPTELLEV($B$25,$B172)&lt;=3,_xll.TM1RPTELLEV($B$25,$B172),"D"),"N")</f>
        <v>1</v>
      </c>
      <c r="B172" s="137" t="s">
        <v>33</v>
      </c>
      <c r="C172" s="97">
        <f ca="1">_xll.DBRW($B$9,$C$16,$C$17,C$23,C$22,$C$18,$C$19,$B172,C$24)</f>
        <v>0</v>
      </c>
      <c r="D172" s="97">
        <f ca="1">_xll.DBRW($B$9,$C$16,$C$17,C$23,C$22,$C$18,$C$19,$B172,D$24)</f>
        <v>0</v>
      </c>
      <c r="E172" s="97">
        <f ca="1">_xll.DBRW($B$9,$C$16,$C$17,C$23,C$22,$C$18,$C$19,$B172,E$24)</f>
        <v>0</v>
      </c>
      <c r="F172" s="97">
        <f ca="1">_xll.DBRW($B$9,$C$16,$C$17,F$23,C$22,$C$18,$C$19,$B172,F$24)</f>
        <v>0</v>
      </c>
      <c r="G172" s="97">
        <f ca="1">_xll.DBRW($B$9,$C$16,$C$17,F$23,C$22,$C$18,$C$19,$B172,G$24)</f>
        <v>0</v>
      </c>
      <c r="H172" s="97">
        <f ca="1">_xll.DBRW($B$9,$C$16,$C$17,F$23,C$22,$C$18,$C$19,$B172,H$24)</f>
        <v>0</v>
      </c>
      <c r="I172" s="97">
        <f t="shared" ca="1" si="24"/>
        <v>0</v>
      </c>
      <c r="J172" s="97">
        <f t="shared" ca="1" si="25"/>
        <v>0</v>
      </c>
      <c r="K172" s="97">
        <f t="shared" ca="1" si="26"/>
        <v>0</v>
      </c>
      <c r="L172" s="97">
        <f ca="1">_xll.DBRW($B$9,$C$16,$C$17,L$23,L$22,$C$18,$C$19,$B172,L$24)</f>
        <v>0</v>
      </c>
      <c r="M172" s="97">
        <f ca="1">_xll.DBRW($B$9,$C$16,$C$17,L$23,L$22,$C$18,$C$19,$B172,M$24)</f>
        <v>0</v>
      </c>
      <c r="N172" s="97">
        <f ca="1">_xll.DBRW($B$9,$C$16,$C$17,L$23,L$22,$C$18,$C$19,$B172,N$24)</f>
        <v>0</v>
      </c>
      <c r="O172" s="97">
        <f ca="1">_xll.DBRW($B$9,$C$16,$C$17,O$23,L$22,$C$18,$C$19,$B172,O$24)</f>
        <v>0</v>
      </c>
      <c r="P172" s="97">
        <f ca="1">_xll.DBRW($B$9,$C$16,$C$17,O$23,L$22,$C$18,$C$19,$B172,P$24)</f>
        <v>0</v>
      </c>
      <c r="Q172" s="97">
        <f ca="1">_xll.DBRW($B$9,$C$16,$C$17,O$23,L$22,$C$18,$C$19,$B172,Q$24)</f>
        <v>0</v>
      </c>
      <c r="R172" s="97">
        <f t="shared" ca="1" si="27"/>
        <v>0</v>
      </c>
      <c r="S172" s="97">
        <f t="shared" ca="1" si="28"/>
        <v>0</v>
      </c>
      <c r="T172" s="97">
        <f t="shared" ca="1" si="29"/>
        <v>0</v>
      </c>
      <c r="U172" s="97">
        <f ca="1">_xll.DBRW($B$9,$C$16,$C$17,U$23,U$22,$C$18,$C$19,$B172,U$24)</f>
        <v>0</v>
      </c>
      <c r="V172" s="97">
        <f ca="1">_xll.DBRW($B$9,$C$16,$C$17,U$23,U$22,$C$18,$C$19,$B172,V$24)</f>
        <v>0</v>
      </c>
      <c r="W172" s="97">
        <f ca="1">_xll.DBRW($B$9,$C$16,$C$17,U$23,U$22,$C$18,$C$19,$B172,W$24)</f>
        <v>0</v>
      </c>
      <c r="X172" s="97">
        <f ca="1">_xll.DBRW($B$9,$C$16,$C$17,X$23,U$22,$C$18,$C$19,$B172,X$24)</f>
        <v>0</v>
      </c>
      <c r="Y172" s="97">
        <f ca="1">_xll.DBRW($B$9,$C$16,$C$17,X$23,U$22,$C$18,$C$19,$B172,Y$24)</f>
        <v>0</v>
      </c>
      <c r="Z172" s="97">
        <f ca="1">_xll.DBRW($B$9,$C$16,$C$17,X$23,U$22,$C$18,$C$19,$B172,Z$24)</f>
        <v>0</v>
      </c>
      <c r="AA172" s="97">
        <f t="shared" ca="1" si="30"/>
        <v>0</v>
      </c>
      <c r="AB172" s="97">
        <f t="shared" ca="1" si="31"/>
        <v>0</v>
      </c>
      <c r="AC172" s="97">
        <f t="shared" ca="1" si="32"/>
        <v>0</v>
      </c>
      <c r="AD172" s="97">
        <f ca="1">_xll.DBRW($B$9,$C$16,$C$17,AD$23,AD$22,$C$18,$C$19,$B172,AD$24)</f>
        <v>0</v>
      </c>
      <c r="AE172" s="97">
        <f ca="1">_xll.DBRW($B$9,$C$16,$C$17,AD$23,AD$22,$C$18,$C$19,$B172,AE$24)</f>
        <v>0</v>
      </c>
      <c r="AF172" s="97">
        <f ca="1">_xll.DBRW($B$9,$C$16,$C$17,AD$23,AD$22,$C$18,$C$19,$B172,AF$24)</f>
        <v>0</v>
      </c>
      <c r="AG172" s="97">
        <f ca="1">_xll.DBRW($B$9,$C$16,$C$17,AG$23,AD$22,$C$18,$C$19,$B172,AG$24)</f>
        <v>0</v>
      </c>
      <c r="AH172" s="97">
        <f ca="1">_xll.DBRW($B$9,$C$16,$C$17,AG$23,AD$22,$C$18,$C$19,$B172,AH$24)</f>
        <v>0</v>
      </c>
      <c r="AI172" s="97">
        <f ca="1">_xll.DBRW($B$9,$C$16,$C$17,AG$23,AD$22,$C$18,$C$19,$B172,AI$24)</f>
        <v>0</v>
      </c>
      <c r="AJ172" s="97">
        <f t="shared" ca="1" si="33"/>
        <v>0</v>
      </c>
      <c r="AK172" s="97">
        <f t="shared" ca="1" si="34"/>
        <v>0</v>
      </c>
      <c r="AL172" s="97">
        <f t="shared" ca="1" si="35"/>
        <v>0</v>
      </c>
    </row>
    <row r="173" spans="1:38" x14ac:dyDescent="0.25">
      <c r="A173">
        <f ca="1">IF(_xll.TM1RPTELISCONSOLIDATED($B$25,$B173),IF(_xll.TM1RPTELLEV($B$25,$B173)&lt;=3,_xll.TM1RPTELLEV($B$25,$B173),"D"),"N")</f>
        <v>1</v>
      </c>
      <c r="B173" s="137" t="s">
        <v>34</v>
      </c>
      <c r="C173" s="97">
        <f ca="1">_xll.DBRW($B$9,$C$16,$C$17,C$23,C$22,$C$18,$C$19,$B173,C$24)</f>
        <v>0</v>
      </c>
      <c r="D173" s="97">
        <f ca="1">_xll.DBRW($B$9,$C$16,$C$17,C$23,C$22,$C$18,$C$19,$B173,D$24)</f>
        <v>0</v>
      </c>
      <c r="E173" s="97">
        <f ca="1">_xll.DBRW($B$9,$C$16,$C$17,C$23,C$22,$C$18,$C$19,$B173,E$24)</f>
        <v>0</v>
      </c>
      <c r="F173" s="97">
        <f ca="1">_xll.DBRW($B$9,$C$16,$C$17,F$23,C$22,$C$18,$C$19,$B173,F$24)</f>
        <v>0</v>
      </c>
      <c r="G173" s="97">
        <f ca="1">_xll.DBRW($B$9,$C$16,$C$17,F$23,C$22,$C$18,$C$19,$B173,G$24)</f>
        <v>0</v>
      </c>
      <c r="H173" s="97">
        <f ca="1">_xll.DBRW($B$9,$C$16,$C$17,F$23,C$22,$C$18,$C$19,$B173,H$24)</f>
        <v>0</v>
      </c>
      <c r="I173" s="97">
        <f t="shared" ca="1" si="24"/>
        <v>0</v>
      </c>
      <c r="J173" s="97">
        <f t="shared" ca="1" si="25"/>
        <v>0</v>
      </c>
      <c r="K173" s="97">
        <f t="shared" ca="1" si="26"/>
        <v>0</v>
      </c>
      <c r="L173" s="97">
        <f ca="1">_xll.DBRW($B$9,$C$16,$C$17,L$23,L$22,$C$18,$C$19,$B173,L$24)</f>
        <v>0</v>
      </c>
      <c r="M173" s="97">
        <f ca="1">_xll.DBRW($B$9,$C$16,$C$17,L$23,L$22,$C$18,$C$19,$B173,M$24)</f>
        <v>0</v>
      </c>
      <c r="N173" s="97">
        <f ca="1">_xll.DBRW($B$9,$C$16,$C$17,L$23,L$22,$C$18,$C$19,$B173,N$24)</f>
        <v>0</v>
      </c>
      <c r="O173" s="97">
        <f ca="1">_xll.DBRW($B$9,$C$16,$C$17,O$23,L$22,$C$18,$C$19,$B173,O$24)</f>
        <v>0</v>
      </c>
      <c r="P173" s="97">
        <f ca="1">_xll.DBRW($B$9,$C$16,$C$17,O$23,L$22,$C$18,$C$19,$B173,P$24)</f>
        <v>0</v>
      </c>
      <c r="Q173" s="97">
        <f ca="1">_xll.DBRW($B$9,$C$16,$C$17,O$23,L$22,$C$18,$C$19,$B173,Q$24)</f>
        <v>0</v>
      </c>
      <c r="R173" s="97">
        <f t="shared" ca="1" si="27"/>
        <v>0</v>
      </c>
      <c r="S173" s="97">
        <f t="shared" ca="1" si="28"/>
        <v>0</v>
      </c>
      <c r="T173" s="97">
        <f t="shared" ca="1" si="29"/>
        <v>0</v>
      </c>
      <c r="U173" s="97">
        <f ca="1">_xll.DBRW($B$9,$C$16,$C$17,U$23,U$22,$C$18,$C$19,$B173,U$24)</f>
        <v>0</v>
      </c>
      <c r="V173" s="97">
        <f ca="1">_xll.DBRW($B$9,$C$16,$C$17,U$23,U$22,$C$18,$C$19,$B173,V$24)</f>
        <v>0</v>
      </c>
      <c r="W173" s="97">
        <f ca="1">_xll.DBRW($B$9,$C$16,$C$17,U$23,U$22,$C$18,$C$19,$B173,W$24)</f>
        <v>0</v>
      </c>
      <c r="X173" s="97">
        <f ca="1">_xll.DBRW($B$9,$C$16,$C$17,X$23,U$22,$C$18,$C$19,$B173,X$24)</f>
        <v>0</v>
      </c>
      <c r="Y173" s="97">
        <f ca="1">_xll.DBRW($B$9,$C$16,$C$17,X$23,U$22,$C$18,$C$19,$B173,Y$24)</f>
        <v>0</v>
      </c>
      <c r="Z173" s="97">
        <f ca="1">_xll.DBRW($B$9,$C$16,$C$17,X$23,U$22,$C$18,$C$19,$B173,Z$24)</f>
        <v>0</v>
      </c>
      <c r="AA173" s="97">
        <f t="shared" ca="1" si="30"/>
        <v>0</v>
      </c>
      <c r="AB173" s="97">
        <f t="shared" ca="1" si="31"/>
        <v>0</v>
      </c>
      <c r="AC173" s="97">
        <f t="shared" ca="1" si="32"/>
        <v>0</v>
      </c>
      <c r="AD173" s="97">
        <f ca="1">_xll.DBRW($B$9,$C$16,$C$17,AD$23,AD$22,$C$18,$C$19,$B173,AD$24)</f>
        <v>0</v>
      </c>
      <c r="AE173" s="97">
        <f ca="1">_xll.DBRW($B$9,$C$16,$C$17,AD$23,AD$22,$C$18,$C$19,$B173,AE$24)</f>
        <v>0</v>
      </c>
      <c r="AF173" s="97">
        <f ca="1">_xll.DBRW($B$9,$C$16,$C$17,AD$23,AD$22,$C$18,$C$19,$B173,AF$24)</f>
        <v>0</v>
      </c>
      <c r="AG173" s="97">
        <f ca="1">_xll.DBRW($B$9,$C$16,$C$17,AG$23,AD$22,$C$18,$C$19,$B173,AG$24)</f>
        <v>0</v>
      </c>
      <c r="AH173" s="97">
        <f ca="1">_xll.DBRW($B$9,$C$16,$C$17,AG$23,AD$22,$C$18,$C$19,$B173,AH$24)</f>
        <v>0</v>
      </c>
      <c r="AI173" s="97">
        <f ca="1">_xll.DBRW($B$9,$C$16,$C$17,AG$23,AD$22,$C$18,$C$19,$B173,AI$24)</f>
        <v>0</v>
      </c>
      <c r="AJ173" s="97">
        <f t="shared" ca="1" si="33"/>
        <v>0</v>
      </c>
      <c r="AK173" s="97">
        <f t="shared" ca="1" si="34"/>
        <v>0</v>
      </c>
      <c r="AL173" s="97">
        <f t="shared" ca="1" si="35"/>
        <v>0</v>
      </c>
    </row>
    <row r="174" spans="1:38" x14ac:dyDescent="0.25">
      <c r="A174">
        <f ca="1">IF(_xll.TM1RPTELISCONSOLIDATED($B$25,$B174),IF(_xll.TM1RPTELLEV($B$25,$B174)&lt;=3,_xll.TM1RPTELLEV($B$25,$B174),"D"),"N")</f>
        <v>1</v>
      </c>
      <c r="B174" s="137" t="s">
        <v>35</v>
      </c>
      <c r="C174" s="97">
        <f ca="1">_xll.DBRW($B$9,$C$16,$C$17,C$23,C$22,$C$18,$C$19,$B174,C$24)</f>
        <v>0</v>
      </c>
      <c r="D174" s="97">
        <f ca="1">_xll.DBRW($B$9,$C$16,$C$17,C$23,C$22,$C$18,$C$19,$B174,D$24)</f>
        <v>0</v>
      </c>
      <c r="E174" s="97">
        <f ca="1">_xll.DBRW($B$9,$C$16,$C$17,C$23,C$22,$C$18,$C$19,$B174,E$24)</f>
        <v>0</v>
      </c>
      <c r="F174" s="97">
        <f ca="1">_xll.DBRW($B$9,$C$16,$C$17,F$23,C$22,$C$18,$C$19,$B174,F$24)</f>
        <v>0</v>
      </c>
      <c r="G174" s="97">
        <f ca="1">_xll.DBRW($B$9,$C$16,$C$17,F$23,C$22,$C$18,$C$19,$B174,G$24)</f>
        <v>0</v>
      </c>
      <c r="H174" s="97">
        <f ca="1">_xll.DBRW($B$9,$C$16,$C$17,F$23,C$22,$C$18,$C$19,$B174,H$24)</f>
        <v>0</v>
      </c>
      <c r="I174" s="97">
        <f t="shared" ca="1" si="24"/>
        <v>0</v>
      </c>
      <c r="J174" s="97">
        <f t="shared" ca="1" si="25"/>
        <v>0</v>
      </c>
      <c r="K174" s="97">
        <f t="shared" ca="1" si="26"/>
        <v>0</v>
      </c>
      <c r="L174" s="97">
        <f ca="1">_xll.DBRW($B$9,$C$16,$C$17,L$23,L$22,$C$18,$C$19,$B174,L$24)</f>
        <v>0</v>
      </c>
      <c r="M174" s="97">
        <f ca="1">_xll.DBRW($B$9,$C$16,$C$17,L$23,L$22,$C$18,$C$19,$B174,M$24)</f>
        <v>0</v>
      </c>
      <c r="N174" s="97">
        <f ca="1">_xll.DBRW($B$9,$C$16,$C$17,L$23,L$22,$C$18,$C$19,$B174,N$24)</f>
        <v>0</v>
      </c>
      <c r="O174" s="97">
        <f ca="1">_xll.DBRW($B$9,$C$16,$C$17,O$23,L$22,$C$18,$C$19,$B174,O$24)</f>
        <v>0</v>
      </c>
      <c r="P174" s="97">
        <f ca="1">_xll.DBRW($B$9,$C$16,$C$17,O$23,L$22,$C$18,$C$19,$B174,P$24)</f>
        <v>0</v>
      </c>
      <c r="Q174" s="97">
        <f ca="1">_xll.DBRW($B$9,$C$16,$C$17,O$23,L$22,$C$18,$C$19,$B174,Q$24)</f>
        <v>0</v>
      </c>
      <c r="R174" s="97">
        <f t="shared" ca="1" si="27"/>
        <v>0</v>
      </c>
      <c r="S174" s="97">
        <f t="shared" ca="1" si="28"/>
        <v>0</v>
      </c>
      <c r="T174" s="97">
        <f t="shared" ca="1" si="29"/>
        <v>0</v>
      </c>
      <c r="U174" s="97">
        <f ca="1">_xll.DBRW($B$9,$C$16,$C$17,U$23,U$22,$C$18,$C$19,$B174,U$24)</f>
        <v>0</v>
      </c>
      <c r="V174" s="97">
        <f ca="1">_xll.DBRW($B$9,$C$16,$C$17,U$23,U$22,$C$18,$C$19,$B174,V$24)</f>
        <v>0</v>
      </c>
      <c r="W174" s="97">
        <f ca="1">_xll.DBRW($B$9,$C$16,$C$17,U$23,U$22,$C$18,$C$19,$B174,W$24)</f>
        <v>0</v>
      </c>
      <c r="X174" s="97">
        <f ca="1">_xll.DBRW($B$9,$C$16,$C$17,X$23,U$22,$C$18,$C$19,$B174,X$24)</f>
        <v>0</v>
      </c>
      <c r="Y174" s="97">
        <f ca="1">_xll.DBRW($B$9,$C$16,$C$17,X$23,U$22,$C$18,$C$19,$B174,Y$24)</f>
        <v>0</v>
      </c>
      <c r="Z174" s="97">
        <f ca="1">_xll.DBRW($B$9,$C$16,$C$17,X$23,U$22,$C$18,$C$19,$B174,Z$24)</f>
        <v>0</v>
      </c>
      <c r="AA174" s="97">
        <f t="shared" ca="1" si="30"/>
        <v>0</v>
      </c>
      <c r="AB174" s="97">
        <f t="shared" ca="1" si="31"/>
        <v>0</v>
      </c>
      <c r="AC174" s="97">
        <f t="shared" ca="1" si="32"/>
        <v>0</v>
      </c>
      <c r="AD174" s="97">
        <f ca="1">_xll.DBRW($B$9,$C$16,$C$17,AD$23,AD$22,$C$18,$C$19,$B174,AD$24)</f>
        <v>0</v>
      </c>
      <c r="AE174" s="97">
        <f ca="1">_xll.DBRW($B$9,$C$16,$C$17,AD$23,AD$22,$C$18,$C$19,$B174,AE$24)</f>
        <v>0</v>
      </c>
      <c r="AF174" s="97">
        <f ca="1">_xll.DBRW($B$9,$C$16,$C$17,AD$23,AD$22,$C$18,$C$19,$B174,AF$24)</f>
        <v>0</v>
      </c>
      <c r="AG174" s="97">
        <f ca="1">_xll.DBRW($B$9,$C$16,$C$17,AG$23,AD$22,$C$18,$C$19,$B174,AG$24)</f>
        <v>0</v>
      </c>
      <c r="AH174" s="97">
        <f ca="1">_xll.DBRW($B$9,$C$16,$C$17,AG$23,AD$22,$C$18,$C$19,$B174,AH$24)</f>
        <v>0</v>
      </c>
      <c r="AI174" s="97">
        <f ca="1">_xll.DBRW($B$9,$C$16,$C$17,AG$23,AD$22,$C$18,$C$19,$B174,AI$24)</f>
        <v>0</v>
      </c>
      <c r="AJ174" s="97">
        <f t="shared" ca="1" si="33"/>
        <v>0</v>
      </c>
      <c r="AK174" s="97">
        <f t="shared" ca="1" si="34"/>
        <v>0</v>
      </c>
      <c r="AL174" s="97">
        <f t="shared" ca="1" si="35"/>
        <v>0</v>
      </c>
    </row>
    <row r="175" spans="1:38" x14ac:dyDescent="0.25">
      <c r="A175">
        <f ca="1">IF(_xll.TM1RPTELISCONSOLIDATED($B$25,$B175),IF(_xll.TM1RPTELLEV($B$25,$B175)&lt;=3,_xll.TM1RPTELLEV($B$25,$B175),"D"),"N")</f>
        <v>1</v>
      </c>
      <c r="B175" s="137" t="s">
        <v>36</v>
      </c>
      <c r="C175" s="97">
        <f ca="1">_xll.DBRW($B$9,$C$16,$C$17,C$23,C$22,$C$18,$C$19,$B175,C$24)</f>
        <v>0</v>
      </c>
      <c r="D175" s="97">
        <f ca="1">_xll.DBRW($B$9,$C$16,$C$17,C$23,C$22,$C$18,$C$19,$B175,D$24)</f>
        <v>0</v>
      </c>
      <c r="E175" s="97">
        <f ca="1">_xll.DBRW($B$9,$C$16,$C$17,C$23,C$22,$C$18,$C$19,$B175,E$24)</f>
        <v>0</v>
      </c>
      <c r="F175" s="97">
        <f ca="1">_xll.DBRW($B$9,$C$16,$C$17,F$23,C$22,$C$18,$C$19,$B175,F$24)</f>
        <v>0</v>
      </c>
      <c r="G175" s="97">
        <f ca="1">_xll.DBRW($B$9,$C$16,$C$17,F$23,C$22,$C$18,$C$19,$B175,G$24)</f>
        <v>0</v>
      </c>
      <c r="H175" s="97">
        <f ca="1">_xll.DBRW($B$9,$C$16,$C$17,F$23,C$22,$C$18,$C$19,$B175,H$24)</f>
        <v>0</v>
      </c>
      <c r="I175" s="97">
        <f t="shared" ca="1" si="24"/>
        <v>0</v>
      </c>
      <c r="J175" s="97">
        <f t="shared" ca="1" si="25"/>
        <v>0</v>
      </c>
      <c r="K175" s="97">
        <f t="shared" ca="1" si="26"/>
        <v>0</v>
      </c>
      <c r="L175" s="97">
        <f ca="1">_xll.DBRW($B$9,$C$16,$C$17,L$23,L$22,$C$18,$C$19,$B175,L$24)</f>
        <v>0</v>
      </c>
      <c r="M175" s="97">
        <f ca="1">_xll.DBRW($B$9,$C$16,$C$17,L$23,L$22,$C$18,$C$19,$B175,M$24)</f>
        <v>0</v>
      </c>
      <c r="N175" s="97">
        <f ca="1">_xll.DBRW($B$9,$C$16,$C$17,L$23,L$22,$C$18,$C$19,$B175,N$24)</f>
        <v>0</v>
      </c>
      <c r="O175" s="97">
        <f ca="1">_xll.DBRW($B$9,$C$16,$C$17,O$23,L$22,$C$18,$C$19,$B175,O$24)</f>
        <v>0</v>
      </c>
      <c r="P175" s="97">
        <f ca="1">_xll.DBRW($B$9,$C$16,$C$17,O$23,L$22,$C$18,$C$19,$B175,P$24)</f>
        <v>0</v>
      </c>
      <c r="Q175" s="97">
        <f ca="1">_xll.DBRW($B$9,$C$16,$C$17,O$23,L$22,$C$18,$C$19,$B175,Q$24)</f>
        <v>0</v>
      </c>
      <c r="R175" s="97">
        <f t="shared" ca="1" si="27"/>
        <v>0</v>
      </c>
      <c r="S175" s="97">
        <f t="shared" ca="1" si="28"/>
        <v>0</v>
      </c>
      <c r="T175" s="97">
        <f t="shared" ca="1" si="29"/>
        <v>0</v>
      </c>
      <c r="U175" s="97">
        <f ca="1">_xll.DBRW($B$9,$C$16,$C$17,U$23,U$22,$C$18,$C$19,$B175,U$24)</f>
        <v>0</v>
      </c>
      <c r="V175" s="97">
        <f ca="1">_xll.DBRW($B$9,$C$16,$C$17,U$23,U$22,$C$18,$C$19,$B175,V$24)</f>
        <v>0</v>
      </c>
      <c r="W175" s="97">
        <f ca="1">_xll.DBRW($B$9,$C$16,$C$17,U$23,U$22,$C$18,$C$19,$B175,W$24)</f>
        <v>0</v>
      </c>
      <c r="X175" s="97">
        <f ca="1">_xll.DBRW($B$9,$C$16,$C$17,X$23,U$22,$C$18,$C$19,$B175,X$24)</f>
        <v>0</v>
      </c>
      <c r="Y175" s="97">
        <f ca="1">_xll.DBRW($B$9,$C$16,$C$17,X$23,U$22,$C$18,$C$19,$B175,Y$24)</f>
        <v>0</v>
      </c>
      <c r="Z175" s="97">
        <f ca="1">_xll.DBRW($B$9,$C$16,$C$17,X$23,U$22,$C$18,$C$19,$B175,Z$24)</f>
        <v>0</v>
      </c>
      <c r="AA175" s="97">
        <f t="shared" ca="1" si="30"/>
        <v>0</v>
      </c>
      <c r="AB175" s="97">
        <f t="shared" ca="1" si="31"/>
        <v>0</v>
      </c>
      <c r="AC175" s="97">
        <f t="shared" ca="1" si="32"/>
        <v>0</v>
      </c>
      <c r="AD175" s="97">
        <f ca="1">_xll.DBRW($B$9,$C$16,$C$17,AD$23,AD$22,$C$18,$C$19,$B175,AD$24)</f>
        <v>0</v>
      </c>
      <c r="AE175" s="97">
        <f ca="1">_xll.DBRW($B$9,$C$16,$C$17,AD$23,AD$22,$C$18,$C$19,$B175,AE$24)</f>
        <v>0</v>
      </c>
      <c r="AF175" s="97">
        <f ca="1">_xll.DBRW($B$9,$C$16,$C$17,AD$23,AD$22,$C$18,$C$19,$B175,AF$24)</f>
        <v>0</v>
      </c>
      <c r="AG175" s="97">
        <f ca="1">_xll.DBRW($B$9,$C$16,$C$17,AG$23,AD$22,$C$18,$C$19,$B175,AG$24)</f>
        <v>0</v>
      </c>
      <c r="AH175" s="97">
        <f ca="1">_xll.DBRW($B$9,$C$16,$C$17,AG$23,AD$22,$C$18,$C$19,$B175,AH$24)</f>
        <v>0</v>
      </c>
      <c r="AI175" s="97">
        <f ca="1">_xll.DBRW($B$9,$C$16,$C$17,AG$23,AD$22,$C$18,$C$19,$B175,AI$24)</f>
        <v>0</v>
      </c>
      <c r="AJ175" s="97">
        <f t="shared" ca="1" si="33"/>
        <v>0</v>
      </c>
      <c r="AK175" s="97">
        <f t="shared" ca="1" si="34"/>
        <v>0</v>
      </c>
      <c r="AL175" s="97">
        <f t="shared" ca="1" si="35"/>
        <v>0</v>
      </c>
    </row>
    <row r="176" spans="1:38" x14ac:dyDescent="0.25">
      <c r="A176">
        <f ca="1">IF(_xll.TM1RPTELISCONSOLIDATED($B$25,$B176),IF(_xll.TM1RPTELLEV($B$25,$B176)&lt;=3,_xll.TM1RPTELLEV($B$25,$B176),"D"),"N")</f>
        <v>1</v>
      </c>
      <c r="B176" s="137" t="s">
        <v>37</v>
      </c>
      <c r="C176" s="97">
        <f ca="1">_xll.DBRW($B$9,$C$16,$C$17,C$23,C$22,$C$18,$C$19,$B176,C$24)</f>
        <v>0</v>
      </c>
      <c r="D176" s="97">
        <f ca="1">_xll.DBRW($B$9,$C$16,$C$17,C$23,C$22,$C$18,$C$19,$B176,D$24)</f>
        <v>0</v>
      </c>
      <c r="E176" s="97">
        <f ca="1">_xll.DBRW($B$9,$C$16,$C$17,C$23,C$22,$C$18,$C$19,$B176,E$24)</f>
        <v>0</v>
      </c>
      <c r="F176" s="97">
        <f ca="1">_xll.DBRW($B$9,$C$16,$C$17,F$23,C$22,$C$18,$C$19,$B176,F$24)</f>
        <v>0</v>
      </c>
      <c r="G176" s="97">
        <f ca="1">_xll.DBRW($B$9,$C$16,$C$17,F$23,C$22,$C$18,$C$19,$B176,G$24)</f>
        <v>0</v>
      </c>
      <c r="H176" s="97">
        <f ca="1">_xll.DBRW($B$9,$C$16,$C$17,F$23,C$22,$C$18,$C$19,$B176,H$24)</f>
        <v>0</v>
      </c>
      <c r="I176" s="97">
        <f t="shared" ca="1" si="24"/>
        <v>0</v>
      </c>
      <c r="J176" s="97">
        <f t="shared" ca="1" si="25"/>
        <v>0</v>
      </c>
      <c r="K176" s="97">
        <f t="shared" ca="1" si="26"/>
        <v>0</v>
      </c>
      <c r="L176" s="97">
        <f ca="1">_xll.DBRW($B$9,$C$16,$C$17,L$23,L$22,$C$18,$C$19,$B176,L$24)</f>
        <v>0</v>
      </c>
      <c r="M176" s="97">
        <f ca="1">_xll.DBRW($B$9,$C$16,$C$17,L$23,L$22,$C$18,$C$19,$B176,M$24)</f>
        <v>0</v>
      </c>
      <c r="N176" s="97">
        <f ca="1">_xll.DBRW($B$9,$C$16,$C$17,L$23,L$22,$C$18,$C$19,$B176,N$24)</f>
        <v>0</v>
      </c>
      <c r="O176" s="97">
        <f ca="1">_xll.DBRW($B$9,$C$16,$C$17,O$23,L$22,$C$18,$C$19,$B176,O$24)</f>
        <v>0</v>
      </c>
      <c r="P176" s="97">
        <f ca="1">_xll.DBRW($B$9,$C$16,$C$17,O$23,L$22,$C$18,$C$19,$B176,P$24)</f>
        <v>0</v>
      </c>
      <c r="Q176" s="97">
        <f ca="1">_xll.DBRW($B$9,$C$16,$C$17,O$23,L$22,$C$18,$C$19,$B176,Q$24)</f>
        <v>0</v>
      </c>
      <c r="R176" s="97">
        <f t="shared" ca="1" si="27"/>
        <v>0</v>
      </c>
      <c r="S176" s="97">
        <f t="shared" ca="1" si="28"/>
        <v>0</v>
      </c>
      <c r="T176" s="97">
        <f t="shared" ca="1" si="29"/>
        <v>0</v>
      </c>
      <c r="U176" s="97">
        <f ca="1">_xll.DBRW($B$9,$C$16,$C$17,U$23,U$22,$C$18,$C$19,$B176,U$24)</f>
        <v>0</v>
      </c>
      <c r="V176" s="97">
        <f ca="1">_xll.DBRW($B$9,$C$16,$C$17,U$23,U$22,$C$18,$C$19,$B176,V$24)</f>
        <v>0</v>
      </c>
      <c r="W176" s="97">
        <f ca="1">_xll.DBRW($B$9,$C$16,$C$17,U$23,U$22,$C$18,$C$19,$B176,W$24)</f>
        <v>0</v>
      </c>
      <c r="X176" s="97">
        <f ca="1">_xll.DBRW($B$9,$C$16,$C$17,X$23,U$22,$C$18,$C$19,$B176,X$24)</f>
        <v>0</v>
      </c>
      <c r="Y176" s="97">
        <f ca="1">_xll.DBRW($B$9,$C$16,$C$17,X$23,U$22,$C$18,$C$19,$B176,Y$24)</f>
        <v>0</v>
      </c>
      <c r="Z176" s="97">
        <f ca="1">_xll.DBRW($B$9,$C$16,$C$17,X$23,U$22,$C$18,$C$19,$B176,Z$24)</f>
        <v>0</v>
      </c>
      <c r="AA176" s="97">
        <f t="shared" ca="1" si="30"/>
        <v>0</v>
      </c>
      <c r="AB176" s="97">
        <f t="shared" ca="1" si="31"/>
        <v>0</v>
      </c>
      <c r="AC176" s="97">
        <f t="shared" ca="1" si="32"/>
        <v>0</v>
      </c>
      <c r="AD176" s="97">
        <f ca="1">_xll.DBRW($B$9,$C$16,$C$17,AD$23,AD$22,$C$18,$C$19,$B176,AD$24)</f>
        <v>0</v>
      </c>
      <c r="AE176" s="97">
        <f ca="1">_xll.DBRW($B$9,$C$16,$C$17,AD$23,AD$22,$C$18,$C$19,$B176,AE$24)</f>
        <v>0</v>
      </c>
      <c r="AF176" s="97">
        <f ca="1">_xll.DBRW($B$9,$C$16,$C$17,AD$23,AD$22,$C$18,$C$19,$B176,AF$24)</f>
        <v>0</v>
      </c>
      <c r="AG176" s="97">
        <f ca="1">_xll.DBRW($B$9,$C$16,$C$17,AG$23,AD$22,$C$18,$C$19,$B176,AG$24)</f>
        <v>0</v>
      </c>
      <c r="AH176" s="97">
        <f ca="1">_xll.DBRW($B$9,$C$16,$C$17,AG$23,AD$22,$C$18,$C$19,$B176,AH$24)</f>
        <v>0</v>
      </c>
      <c r="AI176" s="97">
        <f ca="1">_xll.DBRW($B$9,$C$16,$C$17,AG$23,AD$22,$C$18,$C$19,$B176,AI$24)</f>
        <v>0</v>
      </c>
      <c r="AJ176" s="97">
        <f t="shared" ca="1" si="33"/>
        <v>0</v>
      </c>
      <c r="AK176" s="97">
        <f t="shared" ca="1" si="34"/>
        <v>0</v>
      </c>
      <c r="AL176" s="97">
        <f t="shared" ca="1" si="35"/>
        <v>0</v>
      </c>
    </row>
    <row r="177" spans="1:38" x14ac:dyDescent="0.25">
      <c r="A177">
        <f ca="1">IF(_xll.TM1RPTELISCONSOLIDATED($B$25,$B177),IF(_xll.TM1RPTELLEV($B$25,$B177)&lt;=3,_xll.TM1RPTELLEV($B$25,$B177),"D"),"N")</f>
        <v>1</v>
      </c>
      <c r="B177" s="137" t="s">
        <v>38</v>
      </c>
      <c r="C177" s="97">
        <f ca="1">_xll.DBRW($B$9,$C$16,$C$17,C$23,C$22,$C$18,$C$19,$B177,C$24)</f>
        <v>0</v>
      </c>
      <c r="D177" s="97">
        <f ca="1">_xll.DBRW($B$9,$C$16,$C$17,C$23,C$22,$C$18,$C$19,$B177,D$24)</f>
        <v>0</v>
      </c>
      <c r="E177" s="97">
        <f ca="1">_xll.DBRW($B$9,$C$16,$C$17,C$23,C$22,$C$18,$C$19,$B177,E$24)</f>
        <v>0</v>
      </c>
      <c r="F177" s="97">
        <f ca="1">_xll.DBRW($B$9,$C$16,$C$17,F$23,C$22,$C$18,$C$19,$B177,F$24)</f>
        <v>0</v>
      </c>
      <c r="G177" s="97">
        <f ca="1">_xll.DBRW($B$9,$C$16,$C$17,F$23,C$22,$C$18,$C$19,$B177,G$24)</f>
        <v>0</v>
      </c>
      <c r="H177" s="97">
        <f ca="1">_xll.DBRW($B$9,$C$16,$C$17,F$23,C$22,$C$18,$C$19,$B177,H$24)</f>
        <v>0</v>
      </c>
      <c r="I177" s="97">
        <f t="shared" ca="1" si="24"/>
        <v>0</v>
      </c>
      <c r="J177" s="97">
        <f t="shared" ca="1" si="25"/>
        <v>0</v>
      </c>
      <c r="K177" s="97">
        <f t="shared" ca="1" si="26"/>
        <v>0</v>
      </c>
      <c r="L177" s="97">
        <f ca="1">_xll.DBRW($B$9,$C$16,$C$17,L$23,L$22,$C$18,$C$19,$B177,L$24)</f>
        <v>0</v>
      </c>
      <c r="M177" s="97">
        <f ca="1">_xll.DBRW($B$9,$C$16,$C$17,L$23,L$22,$C$18,$C$19,$B177,M$24)</f>
        <v>0</v>
      </c>
      <c r="N177" s="97">
        <f ca="1">_xll.DBRW($B$9,$C$16,$C$17,L$23,L$22,$C$18,$C$19,$B177,N$24)</f>
        <v>0</v>
      </c>
      <c r="O177" s="97">
        <f ca="1">_xll.DBRW($B$9,$C$16,$C$17,O$23,L$22,$C$18,$C$19,$B177,O$24)</f>
        <v>0</v>
      </c>
      <c r="P177" s="97">
        <f ca="1">_xll.DBRW($B$9,$C$16,$C$17,O$23,L$22,$C$18,$C$19,$B177,P$24)</f>
        <v>0</v>
      </c>
      <c r="Q177" s="97">
        <f ca="1">_xll.DBRW($B$9,$C$16,$C$17,O$23,L$22,$C$18,$C$19,$B177,Q$24)</f>
        <v>0</v>
      </c>
      <c r="R177" s="97">
        <f t="shared" ca="1" si="27"/>
        <v>0</v>
      </c>
      <c r="S177" s="97">
        <f t="shared" ca="1" si="28"/>
        <v>0</v>
      </c>
      <c r="T177" s="97">
        <f t="shared" ca="1" si="29"/>
        <v>0</v>
      </c>
      <c r="U177" s="97">
        <f ca="1">_xll.DBRW($B$9,$C$16,$C$17,U$23,U$22,$C$18,$C$19,$B177,U$24)</f>
        <v>0</v>
      </c>
      <c r="V177" s="97">
        <f ca="1">_xll.DBRW($B$9,$C$16,$C$17,U$23,U$22,$C$18,$C$19,$B177,V$24)</f>
        <v>0</v>
      </c>
      <c r="W177" s="97">
        <f ca="1">_xll.DBRW($B$9,$C$16,$C$17,U$23,U$22,$C$18,$C$19,$B177,W$24)</f>
        <v>0</v>
      </c>
      <c r="X177" s="97">
        <f ca="1">_xll.DBRW($B$9,$C$16,$C$17,X$23,U$22,$C$18,$C$19,$B177,X$24)</f>
        <v>0</v>
      </c>
      <c r="Y177" s="97">
        <f ca="1">_xll.DBRW($B$9,$C$16,$C$17,X$23,U$22,$C$18,$C$19,$B177,Y$24)</f>
        <v>0</v>
      </c>
      <c r="Z177" s="97">
        <f ca="1">_xll.DBRW($B$9,$C$16,$C$17,X$23,U$22,$C$18,$C$19,$B177,Z$24)</f>
        <v>0</v>
      </c>
      <c r="AA177" s="97">
        <f t="shared" ca="1" si="30"/>
        <v>0</v>
      </c>
      <c r="AB177" s="97">
        <f t="shared" ca="1" si="31"/>
        <v>0</v>
      </c>
      <c r="AC177" s="97">
        <f t="shared" ca="1" si="32"/>
        <v>0</v>
      </c>
      <c r="AD177" s="97">
        <f ca="1">_xll.DBRW($B$9,$C$16,$C$17,AD$23,AD$22,$C$18,$C$19,$B177,AD$24)</f>
        <v>0</v>
      </c>
      <c r="AE177" s="97">
        <f ca="1">_xll.DBRW($B$9,$C$16,$C$17,AD$23,AD$22,$C$18,$C$19,$B177,AE$24)</f>
        <v>0</v>
      </c>
      <c r="AF177" s="97">
        <f ca="1">_xll.DBRW($B$9,$C$16,$C$17,AD$23,AD$22,$C$18,$C$19,$B177,AF$24)</f>
        <v>0</v>
      </c>
      <c r="AG177" s="97">
        <f ca="1">_xll.DBRW($B$9,$C$16,$C$17,AG$23,AD$22,$C$18,$C$19,$B177,AG$24)</f>
        <v>0</v>
      </c>
      <c r="AH177" s="97">
        <f ca="1">_xll.DBRW($B$9,$C$16,$C$17,AG$23,AD$22,$C$18,$C$19,$B177,AH$24)</f>
        <v>0</v>
      </c>
      <c r="AI177" s="97">
        <f ca="1">_xll.DBRW($B$9,$C$16,$C$17,AG$23,AD$22,$C$18,$C$19,$B177,AI$24)</f>
        <v>0</v>
      </c>
      <c r="AJ177" s="97">
        <f t="shared" ca="1" si="33"/>
        <v>0</v>
      </c>
      <c r="AK177" s="97">
        <f t="shared" ca="1" si="34"/>
        <v>0</v>
      </c>
      <c r="AL177" s="97">
        <f t="shared" ca="1" si="35"/>
        <v>0</v>
      </c>
    </row>
    <row r="178" spans="1:38" x14ac:dyDescent="0.25">
      <c r="A178">
        <f ca="1">IF(_xll.TM1RPTELISCONSOLIDATED($B$25,$B178),IF(_xll.TM1RPTELLEV($B$25,$B178)&lt;=3,_xll.TM1RPTELLEV($B$25,$B178),"D"),"N")</f>
        <v>1</v>
      </c>
      <c r="B178" s="137" t="s">
        <v>39</v>
      </c>
      <c r="C178" s="97">
        <f ca="1">_xll.DBRW($B$9,$C$16,$C$17,C$23,C$22,$C$18,$C$19,$B178,C$24)</f>
        <v>0</v>
      </c>
      <c r="D178" s="97">
        <f ca="1">_xll.DBRW($B$9,$C$16,$C$17,C$23,C$22,$C$18,$C$19,$B178,D$24)</f>
        <v>0</v>
      </c>
      <c r="E178" s="97">
        <f ca="1">_xll.DBRW($B$9,$C$16,$C$17,C$23,C$22,$C$18,$C$19,$B178,E$24)</f>
        <v>0</v>
      </c>
      <c r="F178" s="97">
        <f ca="1">_xll.DBRW($B$9,$C$16,$C$17,F$23,C$22,$C$18,$C$19,$B178,F$24)</f>
        <v>0</v>
      </c>
      <c r="G178" s="97">
        <f ca="1">_xll.DBRW($B$9,$C$16,$C$17,F$23,C$22,$C$18,$C$19,$B178,G$24)</f>
        <v>0</v>
      </c>
      <c r="H178" s="97">
        <f ca="1">_xll.DBRW($B$9,$C$16,$C$17,F$23,C$22,$C$18,$C$19,$B178,H$24)</f>
        <v>0</v>
      </c>
      <c r="I178" s="97">
        <f t="shared" ca="1" si="24"/>
        <v>0</v>
      </c>
      <c r="J178" s="97">
        <f t="shared" ca="1" si="25"/>
        <v>0</v>
      </c>
      <c r="K178" s="97">
        <f t="shared" ca="1" si="26"/>
        <v>0</v>
      </c>
      <c r="L178" s="97">
        <f ca="1">_xll.DBRW($B$9,$C$16,$C$17,L$23,L$22,$C$18,$C$19,$B178,L$24)</f>
        <v>0</v>
      </c>
      <c r="M178" s="97">
        <f ca="1">_xll.DBRW($B$9,$C$16,$C$17,L$23,L$22,$C$18,$C$19,$B178,M$24)</f>
        <v>0</v>
      </c>
      <c r="N178" s="97">
        <f ca="1">_xll.DBRW($B$9,$C$16,$C$17,L$23,L$22,$C$18,$C$19,$B178,N$24)</f>
        <v>0</v>
      </c>
      <c r="O178" s="97">
        <f ca="1">_xll.DBRW($B$9,$C$16,$C$17,O$23,L$22,$C$18,$C$19,$B178,O$24)</f>
        <v>0</v>
      </c>
      <c r="P178" s="97">
        <f ca="1">_xll.DBRW($B$9,$C$16,$C$17,O$23,L$22,$C$18,$C$19,$B178,P$24)</f>
        <v>0</v>
      </c>
      <c r="Q178" s="97">
        <f ca="1">_xll.DBRW($B$9,$C$16,$C$17,O$23,L$22,$C$18,$C$19,$B178,Q$24)</f>
        <v>0</v>
      </c>
      <c r="R178" s="97">
        <f t="shared" ca="1" si="27"/>
        <v>0</v>
      </c>
      <c r="S178" s="97">
        <f t="shared" ca="1" si="28"/>
        <v>0</v>
      </c>
      <c r="T178" s="97">
        <f t="shared" ca="1" si="29"/>
        <v>0</v>
      </c>
      <c r="U178" s="97">
        <f ca="1">_xll.DBRW($B$9,$C$16,$C$17,U$23,U$22,$C$18,$C$19,$B178,U$24)</f>
        <v>0</v>
      </c>
      <c r="V178" s="97">
        <f ca="1">_xll.DBRW($B$9,$C$16,$C$17,U$23,U$22,$C$18,$C$19,$B178,V$24)</f>
        <v>0</v>
      </c>
      <c r="W178" s="97">
        <f ca="1">_xll.DBRW($B$9,$C$16,$C$17,U$23,U$22,$C$18,$C$19,$B178,W$24)</f>
        <v>0</v>
      </c>
      <c r="X178" s="97">
        <f ca="1">_xll.DBRW($B$9,$C$16,$C$17,X$23,U$22,$C$18,$C$19,$B178,X$24)</f>
        <v>0</v>
      </c>
      <c r="Y178" s="97">
        <f ca="1">_xll.DBRW($B$9,$C$16,$C$17,X$23,U$22,$C$18,$C$19,$B178,Y$24)</f>
        <v>0</v>
      </c>
      <c r="Z178" s="97">
        <f ca="1">_xll.DBRW($B$9,$C$16,$C$17,X$23,U$22,$C$18,$C$19,$B178,Z$24)</f>
        <v>0</v>
      </c>
      <c r="AA178" s="97">
        <f t="shared" ca="1" si="30"/>
        <v>0</v>
      </c>
      <c r="AB178" s="97">
        <f t="shared" ca="1" si="31"/>
        <v>0</v>
      </c>
      <c r="AC178" s="97">
        <f t="shared" ca="1" si="32"/>
        <v>0</v>
      </c>
      <c r="AD178" s="97">
        <f ca="1">_xll.DBRW($B$9,$C$16,$C$17,AD$23,AD$22,$C$18,$C$19,$B178,AD$24)</f>
        <v>0</v>
      </c>
      <c r="AE178" s="97">
        <f ca="1">_xll.DBRW($B$9,$C$16,$C$17,AD$23,AD$22,$C$18,$C$19,$B178,AE$24)</f>
        <v>0</v>
      </c>
      <c r="AF178" s="97">
        <f ca="1">_xll.DBRW($B$9,$C$16,$C$17,AD$23,AD$22,$C$18,$C$19,$B178,AF$24)</f>
        <v>0</v>
      </c>
      <c r="AG178" s="97">
        <f ca="1">_xll.DBRW($B$9,$C$16,$C$17,AG$23,AD$22,$C$18,$C$19,$B178,AG$24)</f>
        <v>0</v>
      </c>
      <c r="AH178" s="97">
        <f ca="1">_xll.DBRW($B$9,$C$16,$C$17,AG$23,AD$22,$C$18,$C$19,$B178,AH$24)</f>
        <v>0</v>
      </c>
      <c r="AI178" s="97">
        <f ca="1">_xll.DBRW($B$9,$C$16,$C$17,AG$23,AD$22,$C$18,$C$19,$B178,AI$24)</f>
        <v>0</v>
      </c>
      <c r="AJ178" s="97">
        <f t="shared" ca="1" si="33"/>
        <v>0</v>
      </c>
      <c r="AK178" s="97">
        <f t="shared" ca="1" si="34"/>
        <v>0</v>
      </c>
      <c r="AL178" s="97">
        <f t="shared" ca="1" si="35"/>
        <v>0</v>
      </c>
    </row>
    <row r="179" spans="1:38" x14ac:dyDescent="0.25">
      <c r="A179">
        <f ca="1">IF(_xll.TM1RPTELISCONSOLIDATED($B$25,$B179),IF(_xll.TM1RPTELLEV($B$25,$B179)&lt;=3,_xll.TM1RPTELLEV($B$25,$B179),"D"),"N")</f>
        <v>1</v>
      </c>
      <c r="B179" s="137" t="s">
        <v>40</v>
      </c>
      <c r="C179" s="97">
        <f ca="1">_xll.DBRW($B$9,$C$16,$C$17,C$23,C$22,$C$18,$C$19,$B179,C$24)</f>
        <v>0</v>
      </c>
      <c r="D179" s="97">
        <f ca="1">_xll.DBRW($B$9,$C$16,$C$17,C$23,C$22,$C$18,$C$19,$B179,D$24)</f>
        <v>0</v>
      </c>
      <c r="E179" s="97">
        <f ca="1">_xll.DBRW($B$9,$C$16,$C$17,C$23,C$22,$C$18,$C$19,$B179,E$24)</f>
        <v>0</v>
      </c>
      <c r="F179" s="97">
        <f ca="1">_xll.DBRW($B$9,$C$16,$C$17,F$23,C$22,$C$18,$C$19,$B179,F$24)</f>
        <v>0</v>
      </c>
      <c r="G179" s="97">
        <f ca="1">_xll.DBRW($B$9,$C$16,$C$17,F$23,C$22,$C$18,$C$19,$B179,G$24)</f>
        <v>0</v>
      </c>
      <c r="H179" s="97">
        <f ca="1">_xll.DBRW($B$9,$C$16,$C$17,F$23,C$22,$C$18,$C$19,$B179,H$24)</f>
        <v>0</v>
      </c>
      <c r="I179" s="97">
        <f t="shared" ca="1" si="24"/>
        <v>0</v>
      </c>
      <c r="J179" s="97">
        <f t="shared" ca="1" si="25"/>
        <v>0</v>
      </c>
      <c r="K179" s="97">
        <f t="shared" ca="1" si="26"/>
        <v>0</v>
      </c>
      <c r="L179" s="97">
        <f ca="1">_xll.DBRW($B$9,$C$16,$C$17,L$23,L$22,$C$18,$C$19,$B179,L$24)</f>
        <v>0</v>
      </c>
      <c r="M179" s="97">
        <f ca="1">_xll.DBRW($B$9,$C$16,$C$17,L$23,L$22,$C$18,$C$19,$B179,M$24)</f>
        <v>0</v>
      </c>
      <c r="N179" s="97">
        <f ca="1">_xll.DBRW($B$9,$C$16,$C$17,L$23,L$22,$C$18,$C$19,$B179,N$24)</f>
        <v>0</v>
      </c>
      <c r="O179" s="97">
        <f ca="1">_xll.DBRW($B$9,$C$16,$C$17,O$23,L$22,$C$18,$C$19,$B179,O$24)</f>
        <v>0</v>
      </c>
      <c r="P179" s="97">
        <f ca="1">_xll.DBRW($B$9,$C$16,$C$17,O$23,L$22,$C$18,$C$19,$B179,P$24)</f>
        <v>0</v>
      </c>
      <c r="Q179" s="97">
        <f ca="1">_xll.DBRW($B$9,$C$16,$C$17,O$23,L$22,$C$18,$C$19,$B179,Q$24)</f>
        <v>0</v>
      </c>
      <c r="R179" s="97">
        <f t="shared" ca="1" si="27"/>
        <v>0</v>
      </c>
      <c r="S179" s="97">
        <f t="shared" ca="1" si="28"/>
        <v>0</v>
      </c>
      <c r="T179" s="97">
        <f t="shared" ca="1" si="29"/>
        <v>0</v>
      </c>
      <c r="U179" s="97">
        <f ca="1">_xll.DBRW($B$9,$C$16,$C$17,U$23,U$22,$C$18,$C$19,$B179,U$24)</f>
        <v>0</v>
      </c>
      <c r="V179" s="97">
        <f ca="1">_xll.DBRW($B$9,$C$16,$C$17,U$23,U$22,$C$18,$C$19,$B179,V$24)</f>
        <v>0</v>
      </c>
      <c r="W179" s="97">
        <f ca="1">_xll.DBRW($B$9,$C$16,$C$17,U$23,U$22,$C$18,$C$19,$B179,W$24)</f>
        <v>0</v>
      </c>
      <c r="X179" s="97">
        <f ca="1">_xll.DBRW($B$9,$C$16,$C$17,X$23,U$22,$C$18,$C$19,$B179,X$24)</f>
        <v>0</v>
      </c>
      <c r="Y179" s="97">
        <f ca="1">_xll.DBRW($B$9,$C$16,$C$17,X$23,U$22,$C$18,$C$19,$B179,Y$24)</f>
        <v>0</v>
      </c>
      <c r="Z179" s="97">
        <f ca="1">_xll.DBRW($B$9,$C$16,$C$17,X$23,U$22,$C$18,$C$19,$B179,Z$24)</f>
        <v>0</v>
      </c>
      <c r="AA179" s="97">
        <f t="shared" ca="1" si="30"/>
        <v>0</v>
      </c>
      <c r="AB179" s="97">
        <f t="shared" ca="1" si="31"/>
        <v>0</v>
      </c>
      <c r="AC179" s="97">
        <f t="shared" ca="1" si="32"/>
        <v>0</v>
      </c>
      <c r="AD179" s="97">
        <f ca="1">_xll.DBRW($B$9,$C$16,$C$17,AD$23,AD$22,$C$18,$C$19,$B179,AD$24)</f>
        <v>0</v>
      </c>
      <c r="AE179" s="97">
        <f ca="1">_xll.DBRW($B$9,$C$16,$C$17,AD$23,AD$22,$C$18,$C$19,$B179,AE$24)</f>
        <v>0</v>
      </c>
      <c r="AF179" s="97">
        <f ca="1">_xll.DBRW($B$9,$C$16,$C$17,AD$23,AD$22,$C$18,$C$19,$B179,AF$24)</f>
        <v>0</v>
      </c>
      <c r="AG179" s="97">
        <f ca="1">_xll.DBRW($B$9,$C$16,$C$17,AG$23,AD$22,$C$18,$C$19,$B179,AG$24)</f>
        <v>0</v>
      </c>
      <c r="AH179" s="97">
        <f ca="1">_xll.DBRW($B$9,$C$16,$C$17,AG$23,AD$22,$C$18,$C$19,$B179,AH$24)</f>
        <v>0</v>
      </c>
      <c r="AI179" s="97">
        <f ca="1">_xll.DBRW($B$9,$C$16,$C$17,AG$23,AD$22,$C$18,$C$19,$B179,AI$24)</f>
        <v>0</v>
      </c>
      <c r="AJ179" s="97">
        <f t="shared" ca="1" si="33"/>
        <v>0</v>
      </c>
      <c r="AK179" s="97">
        <f t="shared" ca="1" si="34"/>
        <v>0</v>
      </c>
      <c r="AL179" s="97">
        <f t="shared" ca="1" si="35"/>
        <v>0</v>
      </c>
    </row>
    <row r="180" spans="1:38" x14ac:dyDescent="0.25">
      <c r="A180">
        <f ca="1">IF(_xll.TM1RPTELISCONSOLIDATED($B$25,$B180),IF(_xll.TM1RPTELLEV($B$25,$B180)&lt;=3,_xll.TM1RPTELLEV($B$25,$B180),"D"),"N")</f>
        <v>1</v>
      </c>
      <c r="B180" s="137" t="s">
        <v>41</v>
      </c>
      <c r="C180" s="97">
        <f ca="1">_xll.DBRW($B$9,$C$16,$C$17,C$23,C$22,$C$18,$C$19,$B180,C$24)</f>
        <v>0</v>
      </c>
      <c r="D180" s="97">
        <f ca="1">_xll.DBRW($B$9,$C$16,$C$17,C$23,C$22,$C$18,$C$19,$B180,D$24)</f>
        <v>0</v>
      </c>
      <c r="E180" s="97">
        <f ca="1">_xll.DBRW($B$9,$C$16,$C$17,C$23,C$22,$C$18,$C$19,$B180,E$24)</f>
        <v>0</v>
      </c>
      <c r="F180" s="97">
        <f ca="1">_xll.DBRW($B$9,$C$16,$C$17,F$23,C$22,$C$18,$C$19,$B180,F$24)</f>
        <v>0</v>
      </c>
      <c r="G180" s="97">
        <f ca="1">_xll.DBRW($B$9,$C$16,$C$17,F$23,C$22,$C$18,$C$19,$B180,G$24)</f>
        <v>0</v>
      </c>
      <c r="H180" s="97">
        <f ca="1">_xll.DBRW($B$9,$C$16,$C$17,F$23,C$22,$C$18,$C$19,$B180,H$24)</f>
        <v>0</v>
      </c>
      <c r="I180" s="97">
        <f t="shared" ca="1" si="24"/>
        <v>0</v>
      </c>
      <c r="J180" s="97">
        <f t="shared" ca="1" si="25"/>
        <v>0</v>
      </c>
      <c r="K180" s="97">
        <f t="shared" ca="1" si="26"/>
        <v>0</v>
      </c>
      <c r="L180" s="97">
        <f ca="1">_xll.DBRW($B$9,$C$16,$C$17,L$23,L$22,$C$18,$C$19,$B180,L$24)</f>
        <v>0</v>
      </c>
      <c r="M180" s="97">
        <f ca="1">_xll.DBRW($B$9,$C$16,$C$17,L$23,L$22,$C$18,$C$19,$B180,M$24)</f>
        <v>0</v>
      </c>
      <c r="N180" s="97">
        <f ca="1">_xll.DBRW($B$9,$C$16,$C$17,L$23,L$22,$C$18,$C$19,$B180,N$24)</f>
        <v>0</v>
      </c>
      <c r="O180" s="97">
        <f ca="1">_xll.DBRW($B$9,$C$16,$C$17,O$23,L$22,$C$18,$C$19,$B180,O$24)</f>
        <v>0</v>
      </c>
      <c r="P180" s="97">
        <f ca="1">_xll.DBRW($B$9,$C$16,$C$17,O$23,L$22,$C$18,$C$19,$B180,P$24)</f>
        <v>0</v>
      </c>
      <c r="Q180" s="97">
        <f ca="1">_xll.DBRW($B$9,$C$16,$C$17,O$23,L$22,$C$18,$C$19,$B180,Q$24)</f>
        <v>0</v>
      </c>
      <c r="R180" s="97">
        <f t="shared" ca="1" si="27"/>
        <v>0</v>
      </c>
      <c r="S180" s="97">
        <f t="shared" ca="1" si="28"/>
        <v>0</v>
      </c>
      <c r="T180" s="97">
        <f t="shared" ca="1" si="29"/>
        <v>0</v>
      </c>
      <c r="U180" s="97">
        <f ca="1">_xll.DBRW($B$9,$C$16,$C$17,U$23,U$22,$C$18,$C$19,$B180,U$24)</f>
        <v>0</v>
      </c>
      <c r="V180" s="97">
        <f ca="1">_xll.DBRW($B$9,$C$16,$C$17,U$23,U$22,$C$18,$C$19,$B180,V$24)</f>
        <v>0</v>
      </c>
      <c r="W180" s="97">
        <f ca="1">_xll.DBRW($B$9,$C$16,$C$17,U$23,U$22,$C$18,$C$19,$B180,W$24)</f>
        <v>0</v>
      </c>
      <c r="X180" s="97">
        <f ca="1">_xll.DBRW($B$9,$C$16,$C$17,X$23,U$22,$C$18,$C$19,$B180,X$24)</f>
        <v>0</v>
      </c>
      <c r="Y180" s="97">
        <f ca="1">_xll.DBRW($B$9,$C$16,$C$17,X$23,U$22,$C$18,$C$19,$B180,Y$24)</f>
        <v>0</v>
      </c>
      <c r="Z180" s="97">
        <f ca="1">_xll.DBRW($B$9,$C$16,$C$17,X$23,U$22,$C$18,$C$19,$B180,Z$24)</f>
        <v>0</v>
      </c>
      <c r="AA180" s="97">
        <f t="shared" ca="1" si="30"/>
        <v>0</v>
      </c>
      <c r="AB180" s="97">
        <f t="shared" ca="1" si="31"/>
        <v>0</v>
      </c>
      <c r="AC180" s="97">
        <f t="shared" ca="1" si="32"/>
        <v>0</v>
      </c>
      <c r="AD180" s="97">
        <f ca="1">_xll.DBRW($B$9,$C$16,$C$17,AD$23,AD$22,$C$18,$C$19,$B180,AD$24)</f>
        <v>0</v>
      </c>
      <c r="AE180" s="97">
        <f ca="1">_xll.DBRW($B$9,$C$16,$C$17,AD$23,AD$22,$C$18,$C$19,$B180,AE$24)</f>
        <v>0</v>
      </c>
      <c r="AF180" s="97">
        <f ca="1">_xll.DBRW($B$9,$C$16,$C$17,AD$23,AD$22,$C$18,$C$19,$B180,AF$24)</f>
        <v>0</v>
      </c>
      <c r="AG180" s="97">
        <f ca="1">_xll.DBRW($B$9,$C$16,$C$17,AG$23,AD$22,$C$18,$C$19,$B180,AG$24)</f>
        <v>0</v>
      </c>
      <c r="AH180" s="97">
        <f ca="1">_xll.DBRW($B$9,$C$16,$C$17,AG$23,AD$22,$C$18,$C$19,$B180,AH$24)</f>
        <v>0</v>
      </c>
      <c r="AI180" s="97">
        <f ca="1">_xll.DBRW($B$9,$C$16,$C$17,AG$23,AD$22,$C$18,$C$19,$B180,AI$24)</f>
        <v>0</v>
      </c>
      <c r="AJ180" s="97">
        <f t="shared" ca="1" si="33"/>
        <v>0</v>
      </c>
      <c r="AK180" s="97">
        <f t="shared" ca="1" si="34"/>
        <v>0</v>
      </c>
      <c r="AL180" s="97">
        <f t="shared" ca="1" si="35"/>
        <v>0</v>
      </c>
    </row>
  </sheetData>
  <mergeCells count="16">
    <mergeCell ref="AD22:AL22"/>
    <mergeCell ref="L23:N23"/>
    <mergeCell ref="O23:Q23"/>
    <mergeCell ref="R23:T23"/>
    <mergeCell ref="U23:W23"/>
    <mergeCell ref="X23:Z23"/>
    <mergeCell ref="AA23:AC23"/>
    <mergeCell ref="AD23:AF23"/>
    <mergeCell ref="AG23:AI23"/>
    <mergeCell ref="AJ23:AL23"/>
    <mergeCell ref="U22:AC22"/>
    <mergeCell ref="C22:K22"/>
    <mergeCell ref="C23:E23"/>
    <mergeCell ref="F23:H23"/>
    <mergeCell ref="I23:K23"/>
    <mergeCell ref="L22:T22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6385" r:id="rId4" name="TIButton1">
          <controlPr defaultSize="0" print="0" autoLine="0" r:id="rId5">
            <anchor moveWithCells="1">
              <from>
                <xdr:col>8</xdr:col>
                <xdr:colOff>0</xdr:colOff>
                <xdr:row>17</xdr:row>
                <xdr:rowOff>0</xdr:rowOff>
              </from>
              <to>
                <xdr:col>8</xdr:col>
                <xdr:colOff>933450</xdr:colOff>
                <xdr:row>19</xdr:row>
                <xdr:rowOff>0</xdr:rowOff>
              </to>
            </anchor>
          </controlPr>
        </control>
      </mc:Choice>
      <mc:Fallback>
        <control shapeId="16385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SOM Summary_Kuhn Scope</vt:lpstr>
      <vt:lpstr>SOM detailed_Kuhn Scope</vt:lpstr>
      <vt:lpstr>SOM detailed_Global Market</vt:lpstr>
      <vt:lpstr>'SOM detailed_Global Market'!TM1RPTDATARNGARPT1</vt:lpstr>
      <vt:lpstr>'SOM detailed_Kuhn Scope'!TM1RPTDATARNGARPT1</vt:lpstr>
      <vt:lpstr>'SOM Summary_Kuhn Scope'!TM1RPTDATARNGARPT1</vt:lpstr>
      <vt:lpstr>'SOM detailed_Global Market'!TM1RPTFMTIDCOL</vt:lpstr>
      <vt:lpstr>'SOM detailed_Kuhn Scope'!TM1RPTFMTIDCOL</vt:lpstr>
      <vt:lpstr>'SOM Summary_Kuhn Scope'!TM1RPTFMTIDCOL</vt:lpstr>
      <vt:lpstr>'SOM detailed_Global Market'!TM1RPTFMTRNG</vt:lpstr>
      <vt:lpstr>'SOM detailed_Kuhn Scope'!TM1RPTFMTRNG</vt:lpstr>
      <vt:lpstr>'SOM Summary_Kuhn Scope'!TM1RPTFMTRNG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2016-12-01T13:30:42Z</dcterms:created>
  <dcterms:modified xsi:type="dcterms:W3CDTF">2023-07-12T11:31:46Z</dcterms:modified>
</cp:coreProperties>
</file>