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drawings/drawing2.xml" ContentType="application/vnd.openxmlformats-officedocument.drawing+xml"/>
  <Override PartName="/xl/activeX/activeX4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v191\AppData\Local\Temp\29\"/>
    </mc:Choice>
  </mc:AlternateContent>
  <bookViews>
    <workbookView xWindow="0" yWindow="0" windowWidth="21600" windowHeight="9735"/>
  </bookViews>
  <sheets>
    <sheet name="Entries" sheetId="1" r:id="rId1"/>
    <sheet name="Comments" sheetId="3" r:id="rId2"/>
    <sheet name="{AR}01" sheetId="2" state="hidden" r:id="rId3"/>
  </sheets>
  <definedNames>
    <definedName name="pactuality">Entries!$F$24</definedName>
    <definedName name="pactuality1">Entries!$L$24</definedName>
    <definedName name="pconfiguration">Entries!$F$25</definedName>
    <definedName name="pconfiguration1">Entries!$L$25</definedName>
    <definedName name="pcountry">Entries!$C$20</definedName>
    <definedName name="pcurrency">Entries!$C$17</definedName>
    <definedName name="pmarket_actor">Entries!$C$21</definedName>
    <definedName name="porigin_company">Entries!$C$19</definedName>
    <definedName name="ppourcentage">Entries!$F$26</definedName>
    <definedName name="ppourcentage1">Entries!$L$26</definedName>
    <definedName name="pprev_ic_mapping">Entries!$C$18</definedName>
    <definedName name="pqty">Entries!$M$20</definedName>
    <definedName name="punit_price">Entries!$M$27</definedName>
    <definedName name="TM1REBUILDOPTION">1</definedName>
    <definedName name="TM1RPTDATARNGARPT1" localSheetId="1">Comments!$23:$45</definedName>
    <definedName name="TM1RPTDATARNGARPT1" localSheetId="0">Entries!$34:$56</definedName>
    <definedName name="TM1RPTFMTIDCOL" localSheetId="1">Comments!$A$1:$A$8</definedName>
    <definedName name="TM1RPTFMTIDCOL" localSheetId="0">Entries!$A$1:$A$8</definedName>
    <definedName name="TM1RPTFMTRNG" localSheetId="1">Comments!$B$1:$I$8</definedName>
    <definedName name="TM1RPTFMTRNG" localSheetId="0">Entries!$B$1:$N$8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5" i="3" l="1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B9" i="3"/>
  <c r="C14" i="3"/>
  <c r="C15" i="3"/>
  <c r="C21" i="1"/>
  <c r="C18" i="3"/>
  <c r="I21" i="3"/>
  <c r="C19" i="1"/>
  <c r="C16" i="3"/>
  <c r="C20" i="1"/>
  <c r="C17" i="3"/>
  <c r="I45" i="3"/>
  <c r="H21" i="3"/>
  <c r="H45" i="3"/>
  <c r="G21" i="3"/>
  <c r="G45" i="3"/>
  <c r="L32" i="1"/>
  <c r="F21" i="3"/>
  <c r="F45" i="3"/>
  <c r="I32" i="1"/>
  <c r="E21" i="3"/>
  <c r="E45" i="3"/>
  <c r="F32" i="1"/>
  <c r="D21" i="3"/>
  <c r="D45" i="3"/>
  <c r="C32" i="1"/>
  <c r="C21" i="3"/>
  <c r="C45" i="3"/>
  <c r="I44" i="3"/>
  <c r="H44" i="3"/>
  <c r="G44" i="3"/>
  <c r="F44" i="3"/>
  <c r="E44" i="3"/>
  <c r="D44" i="3"/>
  <c r="C44" i="3"/>
  <c r="I43" i="3"/>
  <c r="H43" i="3"/>
  <c r="G43" i="3"/>
  <c r="F43" i="3"/>
  <c r="E43" i="3"/>
  <c r="D43" i="3"/>
  <c r="C43" i="3"/>
  <c r="I42" i="3"/>
  <c r="H42" i="3"/>
  <c r="G42" i="3"/>
  <c r="F42" i="3"/>
  <c r="E42" i="3"/>
  <c r="D42" i="3"/>
  <c r="C42" i="3"/>
  <c r="I41" i="3"/>
  <c r="H41" i="3"/>
  <c r="G41" i="3"/>
  <c r="F41" i="3"/>
  <c r="E41" i="3"/>
  <c r="D41" i="3"/>
  <c r="C41" i="3"/>
  <c r="I40" i="3"/>
  <c r="H40" i="3"/>
  <c r="G40" i="3"/>
  <c r="F40" i="3"/>
  <c r="E40" i="3"/>
  <c r="D40" i="3"/>
  <c r="C40" i="3"/>
  <c r="I39" i="3"/>
  <c r="H39" i="3"/>
  <c r="G39" i="3"/>
  <c r="F39" i="3"/>
  <c r="E39" i="3"/>
  <c r="D39" i="3"/>
  <c r="C39" i="3"/>
  <c r="I38" i="3"/>
  <c r="H38" i="3"/>
  <c r="G38" i="3"/>
  <c r="F38" i="3"/>
  <c r="E38" i="3"/>
  <c r="D38" i="3"/>
  <c r="C38" i="3"/>
  <c r="I37" i="3"/>
  <c r="H37" i="3"/>
  <c r="G37" i="3"/>
  <c r="F37" i="3"/>
  <c r="E37" i="3"/>
  <c r="D37" i="3"/>
  <c r="C37" i="3"/>
  <c r="I36" i="3"/>
  <c r="H36" i="3"/>
  <c r="G36" i="3"/>
  <c r="F36" i="3"/>
  <c r="E36" i="3"/>
  <c r="D36" i="3"/>
  <c r="C36" i="3"/>
  <c r="I35" i="3"/>
  <c r="H35" i="3"/>
  <c r="G35" i="3"/>
  <c r="F35" i="3"/>
  <c r="E35" i="3"/>
  <c r="D35" i="3"/>
  <c r="C35" i="3"/>
  <c r="I34" i="3"/>
  <c r="H34" i="3"/>
  <c r="G34" i="3"/>
  <c r="F34" i="3"/>
  <c r="E34" i="3"/>
  <c r="D34" i="3"/>
  <c r="C34" i="3"/>
  <c r="I33" i="3"/>
  <c r="H33" i="3"/>
  <c r="G33" i="3"/>
  <c r="F33" i="3"/>
  <c r="E33" i="3"/>
  <c r="D33" i="3"/>
  <c r="C33" i="3"/>
  <c r="I32" i="3"/>
  <c r="H32" i="3"/>
  <c r="G32" i="3"/>
  <c r="F32" i="3"/>
  <c r="E32" i="3"/>
  <c r="D32" i="3"/>
  <c r="C32" i="3"/>
  <c r="I31" i="3"/>
  <c r="H31" i="3"/>
  <c r="G31" i="3"/>
  <c r="F31" i="3"/>
  <c r="E31" i="3"/>
  <c r="D31" i="3"/>
  <c r="C31" i="3"/>
  <c r="I30" i="3"/>
  <c r="H30" i="3"/>
  <c r="G30" i="3"/>
  <c r="F30" i="3"/>
  <c r="E30" i="3"/>
  <c r="D30" i="3"/>
  <c r="C30" i="3"/>
  <c r="I29" i="3"/>
  <c r="H29" i="3"/>
  <c r="G29" i="3"/>
  <c r="F29" i="3"/>
  <c r="E29" i="3"/>
  <c r="D29" i="3"/>
  <c r="C29" i="3"/>
  <c r="I28" i="3"/>
  <c r="H28" i="3"/>
  <c r="G28" i="3"/>
  <c r="F28" i="3"/>
  <c r="E28" i="3"/>
  <c r="D28" i="3"/>
  <c r="C28" i="3"/>
  <c r="I27" i="3"/>
  <c r="H27" i="3"/>
  <c r="G27" i="3"/>
  <c r="F27" i="3"/>
  <c r="E27" i="3"/>
  <c r="D27" i="3"/>
  <c r="C27" i="3"/>
  <c r="I26" i="3"/>
  <c r="H26" i="3"/>
  <c r="G26" i="3"/>
  <c r="F26" i="3"/>
  <c r="E26" i="3"/>
  <c r="D26" i="3"/>
  <c r="C26" i="3"/>
  <c r="I25" i="3"/>
  <c r="H25" i="3"/>
  <c r="G25" i="3"/>
  <c r="F25" i="3"/>
  <c r="E25" i="3"/>
  <c r="D25" i="3"/>
  <c r="C25" i="3"/>
  <c r="I24" i="3"/>
  <c r="H24" i="3"/>
  <c r="G24" i="3"/>
  <c r="F24" i="3"/>
  <c r="E24" i="3"/>
  <c r="D24" i="3"/>
  <c r="C24" i="3"/>
  <c r="B23" i="3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B9" i="1"/>
  <c r="C17" i="1"/>
  <c r="C18" i="1"/>
  <c r="N56" i="1"/>
  <c r="M56" i="1"/>
  <c r="L56" i="1"/>
  <c r="K56" i="1"/>
  <c r="J56" i="1"/>
  <c r="I56" i="1"/>
  <c r="H56" i="1"/>
  <c r="G56" i="1"/>
  <c r="F56" i="1"/>
  <c r="E56" i="1"/>
  <c r="D56" i="1"/>
  <c r="C56" i="1"/>
  <c r="N55" i="1"/>
  <c r="M55" i="1"/>
  <c r="L55" i="1"/>
  <c r="K55" i="1"/>
  <c r="J55" i="1"/>
  <c r="I55" i="1"/>
  <c r="H55" i="1"/>
  <c r="G55" i="1"/>
  <c r="F55" i="1"/>
  <c r="E55" i="1"/>
  <c r="D55" i="1"/>
  <c r="C55" i="1"/>
  <c r="N54" i="1"/>
  <c r="M54" i="1"/>
  <c r="L54" i="1"/>
  <c r="K54" i="1"/>
  <c r="J54" i="1"/>
  <c r="I54" i="1"/>
  <c r="H54" i="1"/>
  <c r="G54" i="1"/>
  <c r="F54" i="1"/>
  <c r="E54" i="1"/>
  <c r="D54" i="1"/>
  <c r="C54" i="1"/>
  <c r="N53" i="1"/>
  <c r="M53" i="1"/>
  <c r="L53" i="1"/>
  <c r="K53" i="1"/>
  <c r="J53" i="1"/>
  <c r="I53" i="1"/>
  <c r="H53" i="1"/>
  <c r="G53" i="1"/>
  <c r="F53" i="1"/>
  <c r="E53" i="1"/>
  <c r="D53" i="1"/>
  <c r="C53" i="1"/>
  <c r="N52" i="1"/>
  <c r="M52" i="1"/>
  <c r="L52" i="1"/>
  <c r="K52" i="1"/>
  <c r="J52" i="1"/>
  <c r="I52" i="1"/>
  <c r="H52" i="1"/>
  <c r="G52" i="1"/>
  <c r="F52" i="1"/>
  <c r="E52" i="1"/>
  <c r="D52" i="1"/>
  <c r="C52" i="1"/>
  <c r="N51" i="1"/>
  <c r="M51" i="1"/>
  <c r="L51" i="1"/>
  <c r="K51" i="1"/>
  <c r="J51" i="1"/>
  <c r="I51" i="1"/>
  <c r="H51" i="1"/>
  <c r="G51" i="1"/>
  <c r="F51" i="1"/>
  <c r="E51" i="1"/>
  <c r="D51" i="1"/>
  <c r="C51" i="1"/>
  <c r="N50" i="1"/>
  <c r="M50" i="1"/>
  <c r="L50" i="1"/>
  <c r="K50" i="1"/>
  <c r="J50" i="1"/>
  <c r="I50" i="1"/>
  <c r="H50" i="1"/>
  <c r="G50" i="1"/>
  <c r="F50" i="1"/>
  <c r="E50" i="1"/>
  <c r="D50" i="1"/>
  <c r="C50" i="1"/>
  <c r="N49" i="1"/>
  <c r="M49" i="1"/>
  <c r="L49" i="1"/>
  <c r="K49" i="1"/>
  <c r="J49" i="1"/>
  <c r="I49" i="1"/>
  <c r="H49" i="1"/>
  <c r="G49" i="1"/>
  <c r="F49" i="1"/>
  <c r="E49" i="1"/>
  <c r="D49" i="1"/>
  <c r="C49" i="1"/>
  <c r="N48" i="1"/>
  <c r="M48" i="1"/>
  <c r="L48" i="1"/>
  <c r="K48" i="1"/>
  <c r="J48" i="1"/>
  <c r="I48" i="1"/>
  <c r="H48" i="1"/>
  <c r="G48" i="1"/>
  <c r="F48" i="1"/>
  <c r="E48" i="1"/>
  <c r="D48" i="1"/>
  <c r="C48" i="1"/>
  <c r="N47" i="1"/>
  <c r="M47" i="1"/>
  <c r="L47" i="1"/>
  <c r="K47" i="1"/>
  <c r="J47" i="1"/>
  <c r="I47" i="1"/>
  <c r="H47" i="1"/>
  <c r="G47" i="1"/>
  <c r="F47" i="1"/>
  <c r="E47" i="1"/>
  <c r="D47" i="1"/>
  <c r="C47" i="1"/>
  <c r="N46" i="1"/>
  <c r="M46" i="1"/>
  <c r="L46" i="1"/>
  <c r="K46" i="1"/>
  <c r="J46" i="1"/>
  <c r="I46" i="1"/>
  <c r="H46" i="1"/>
  <c r="G46" i="1"/>
  <c r="F46" i="1"/>
  <c r="E46" i="1"/>
  <c r="D46" i="1"/>
  <c r="C46" i="1"/>
  <c r="N45" i="1"/>
  <c r="M45" i="1"/>
  <c r="L45" i="1"/>
  <c r="K45" i="1"/>
  <c r="J45" i="1"/>
  <c r="I45" i="1"/>
  <c r="H45" i="1"/>
  <c r="G45" i="1"/>
  <c r="F45" i="1"/>
  <c r="E45" i="1"/>
  <c r="D45" i="1"/>
  <c r="C45" i="1"/>
  <c r="N44" i="1"/>
  <c r="M44" i="1"/>
  <c r="L44" i="1"/>
  <c r="K44" i="1"/>
  <c r="J44" i="1"/>
  <c r="I44" i="1"/>
  <c r="H44" i="1"/>
  <c r="G44" i="1"/>
  <c r="F44" i="1"/>
  <c r="E44" i="1"/>
  <c r="D44" i="1"/>
  <c r="C44" i="1"/>
  <c r="N43" i="1"/>
  <c r="M43" i="1"/>
  <c r="L43" i="1"/>
  <c r="K43" i="1"/>
  <c r="J43" i="1"/>
  <c r="I43" i="1"/>
  <c r="H43" i="1"/>
  <c r="G43" i="1"/>
  <c r="F43" i="1"/>
  <c r="E43" i="1"/>
  <c r="D43" i="1"/>
  <c r="C43" i="1"/>
  <c r="N42" i="1"/>
  <c r="M42" i="1"/>
  <c r="L42" i="1"/>
  <c r="K42" i="1"/>
  <c r="J42" i="1"/>
  <c r="I42" i="1"/>
  <c r="H42" i="1"/>
  <c r="G42" i="1"/>
  <c r="F42" i="1"/>
  <c r="E42" i="1"/>
  <c r="D42" i="1"/>
  <c r="C42" i="1"/>
  <c r="N41" i="1"/>
  <c r="M41" i="1"/>
  <c r="L41" i="1"/>
  <c r="K41" i="1"/>
  <c r="J41" i="1"/>
  <c r="I41" i="1"/>
  <c r="H41" i="1"/>
  <c r="G41" i="1"/>
  <c r="F41" i="1"/>
  <c r="E41" i="1"/>
  <c r="D41" i="1"/>
  <c r="C41" i="1"/>
  <c r="N40" i="1"/>
  <c r="M40" i="1"/>
  <c r="L40" i="1"/>
  <c r="K40" i="1"/>
  <c r="J40" i="1"/>
  <c r="I40" i="1"/>
  <c r="H40" i="1"/>
  <c r="G40" i="1"/>
  <c r="F40" i="1"/>
  <c r="E40" i="1"/>
  <c r="D40" i="1"/>
  <c r="C40" i="1"/>
  <c r="N39" i="1"/>
  <c r="M39" i="1"/>
  <c r="L39" i="1"/>
  <c r="K39" i="1"/>
  <c r="J39" i="1"/>
  <c r="I39" i="1"/>
  <c r="H39" i="1"/>
  <c r="G39" i="1"/>
  <c r="F39" i="1"/>
  <c r="E39" i="1"/>
  <c r="D39" i="1"/>
  <c r="C39" i="1"/>
  <c r="N38" i="1"/>
  <c r="M38" i="1"/>
  <c r="L38" i="1"/>
  <c r="K38" i="1"/>
  <c r="J38" i="1"/>
  <c r="I38" i="1"/>
  <c r="H38" i="1"/>
  <c r="G38" i="1"/>
  <c r="F38" i="1"/>
  <c r="E38" i="1"/>
  <c r="D38" i="1"/>
  <c r="C38" i="1"/>
  <c r="N37" i="1"/>
  <c r="M37" i="1"/>
  <c r="L37" i="1"/>
  <c r="K37" i="1"/>
  <c r="J37" i="1"/>
  <c r="I37" i="1"/>
  <c r="H37" i="1"/>
  <c r="G37" i="1"/>
  <c r="F37" i="1"/>
  <c r="E37" i="1"/>
  <c r="D37" i="1"/>
  <c r="C37" i="1"/>
  <c r="N36" i="1"/>
  <c r="M36" i="1"/>
  <c r="L36" i="1"/>
  <c r="K36" i="1"/>
  <c r="J36" i="1"/>
  <c r="I36" i="1"/>
  <c r="H36" i="1"/>
  <c r="G36" i="1"/>
  <c r="F36" i="1"/>
  <c r="E36" i="1"/>
  <c r="D36" i="1"/>
  <c r="C36" i="1"/>
  <c r="N35" i="1"/>
  <c r="M35" i="1"/>
  <c r="L35" i="1"/>
  <c r="K35" i="1"/>
  <c r="J35" i="1"/>
  <c r="I35" i="1"/>
  <c r="H35" i="1"/>
  <c r="G35" i="1"/>
  <c r="F35" i="1"/>
  <c r="E35" i="1"/>
  <c r="D35" i="1"/>
  <c r="C35" i="1"/>
  <c r="B34" i="1"/>
  <c r="L25" i="1"/>
  <c r="F25" i="1"/>
  <c r="H23" i="3"/>
  <c r="I23" i="3"/>
  <c r="G23" i="3"/>
  <c r="F23" i="3"/>
  <c r="E23" i="3"/>
  <c r="D23" i="3"/>
  <c r="C23" i="3"/>
  <c r="A23" i="3"/>
  <c r="A5" i="3"/>
  <c r="A4" i="3"/>
  <c r="A3" i="3"/>
  <c r="A2" i="3"/>
  <c r="L24" i="1"/>
  <c r="F24" i="1"/>
  <c r="N34" i="1"/>
  <c r="M34" i="1"/>
  <c r="K34" i="1"/>
  <c r="J34" i="1"/>
  <c r="H34" i="1"/>
  <c r="G34" i="1"/>
  <c r="E34" i="1"/>
  <c r="D34" i="1"/>
  <c r="L34" i="1"/>
  <c r="I34" i="1"/>
  <c r="F34" i="1"/>
  <c r="C34" i="1"/>
  <c r="A34" i="1"/>
  <c r="A5" i="1"/>
  <c r="A4" i="1"/>
  <c r="A3" i="1"/>
  <c r="A2" i="1"/>
</calcChain>
</file>

<file path=xl/sharedStrings.xml><?xml version="1.0" encoding="utf-8"?>
<sst xmlns="http://schemas.openxmlformats.org/spreadsheetml/2006/main" count="127" uniqueCount="73">
  <si>
    <t>Currency</t>
  </si>
  <si>
    <t>Prev_IC_mapping</t>
  </si>
  <si>
    <t>Origin_Company</t>
  </si>
  <si>
    <t>Country</t>
  </si>
  <si>
    <t>Market_Actor</t>
  </si>
  <si>
    <t>QTY</t>
  </si>
  <si>
    <t>Unit.Price</t>
  </si>
  <si>
    <t>SALES</t>
  </si>
  <si>
    <t>TOTAL PRODUCT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</si>
  <si>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</si>
  <si>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</si>
  <si>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</si>
  <si>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</si>
  <si>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</si>
  <si>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</si>
  <si>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</si>
  <si>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</si>
  <si>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</si>
  <si>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</si>
  <si>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- 719000 - NON CONVENTIO. HARVESTING</t>
  </si>
  <si>
    <t>L - 720000 -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</si>
  <si>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</si>
  <si>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</si>
  <si>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</si>
  <si>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</si>
  <si>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</si>
  <si>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</si>
  <si>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</si>
  <si>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</si>
  <si>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</si>
  <si>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</t>
  </si>
  <si>
    <t>L - 999000 - RECONCILIATION GEN</t>
  </si>
  <si>
    <t>L - NA - Not Available</t>
  </si>
  <si>
    <t>D</t>
  </si>
  <si>
    <t>N</t>
  </si>
  <si>
    <t>[Begin Format Range]</t>
  </si>
  <si>
    <t>[End Format Range]</t>
  </si>
  <si>
    <t>Product</t>
  </si>
  <si>
    <t>Unit. Price</t>
  </si>
  <si>
    <t>Actuality</t>
  </si>
  <si>
    <t>% Adjustment</t>
  </si>
  <si>
    <t>Qty</t>
  </si>
  <si>
    <t xml:space="preserve"> %</t>
  </si>
  <si>
    <t>Unit Price update</t>
  </si>
  <si>
    <t>Qty update</t>
  </si>
  <si>
    <t>L - 712000 - CHOPPERS</t>
  </si>
  <si>
    <t>L - 715000 - BEDDING &amp; FEEDING</t>
  </si>
  <si>
    <t>L - 718000 - MANURE SPREADING</t>
  </si>
  <si>
    <t>in Local Currency</t>
  </si>
  <si>
    <t>Comments</t>
  </si>
  <si>
    <r>
      <t xml:space="preserve">Market Share _ </t>
    </r>
    <r>
      <rPr>
        <b/>
        <i/>
        <sz val="12"/>
        <color theme="1"/>
        <rFont val="Calibri"/>
        <family val="2"/>
        <scheme val="minor"/>
      </rPr>
      <t>by Market Actor</t>
    </r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</si>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</sst>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3" fontId="2" fillId="2" borderId="0" xfId="0" applyNumberFormat="1" applyFont="1" applyFill="1"/>
    <xf numFmtId="3" fontId="2" fillId="3" borderId="0" xfId="0" applyNumberFormat="1" applyFont="1" applyFill="1"/>
    <xf numFmtId="3" fontId="0" fillId="0" borderId="0" xfId="0" applyNumberFormat="1"/>
    <xf numFmtId="0" fontId="0" fillId="5" borderId="0" xfId="0" applyFill="1"/>
    <xf numFmtId="3" fontId="2" fillId="6" borderId="0" xfId="0" applyNumberFormat="1" applyFont="1" applyFill="1"/>
    <xf numFmtId="3" fontId="2" fillId="7" borderId="0" xfId="0" applyNumberFormat="1" applyFont="1" applyFill="1"/>
    <xf numFmtId="0" fontId="1" fillId="4" borderId="4" xfId="0" applyFont="1" applyFill="1" applyBorder="1" applyAlignment="1">
      <alignment horizontal="center"/>
    </xf>
    <xf numFmtId="0" fontId="3" fillId="4" borderId="0" xfId="0" applyFont="1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4" xfId="0" applyFill="1" applyBorder="1"/>
    <xf numFmtId="0" fontId="3" fillId="4" borderId="1" xfId="0" applyFont="1" applyFill="1" applyBorder="1" applyAlignment="1">
      <alignment horizontal="right"/>
    </xf>
    <xf numFmtId="3" fontId="2" fillId="2" borderId="5" xfId="0" applyNumberFormat="1" applyFont="1" applyFill="1" applyBorder="1"/>
    <xf numFmtId="3" fontId="2" fillId="3" borderId="5" xfId="0" applyNumberFormat="1" applyFont="1" applyFill="1" applyBorder="1"/>
    <xf numFmtId="3" fontId="2" fillId="6" borderId="5" xfId="0" applyNumberFormat="1" applyFont="1" applyFill="1" applyBorder="1"/>
    <xf numFmtId="3" fontId="2" fillId="7" borderId="5" xfId="0" applyNumberFormat="1" applyFont="1" applyFill="1" applyBorder="1"/>
    <xf numFmtId="0" fontId="0" fillId="2" borderId="9" xfId="0" applyFill="1" applyBorder="1"/>
    <xf numFmtId="0" fontId="0" fillId="6" borderId="9" xfId="0" applyFill="1" applyBorder="1"/>
    <xf numFmtId="0" fontId="0" fillId="7" borderId="9" xfId="0" applyFill="1" applyBorder="1"/>
    <xf numFmtId="0" fontId="3" fillId="4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0" fillId="8" borderId="9" xfId="0" applyFill="1" applyBorder="1"/>
    <xf numFmtId="3" fontId="2" fillId="8" borderId="0" xfId="0" applyNumberFormat="1" applyFont="1" applyFill="1"/>
    <xf numFmtId="3" fontId="2" fillId="8" borderId="5" xfId="0" applyNumberFormat="1" applyFont="1" applyFill="1" applyBorder="1"/>
    <xf numFmtId="3" fontId="0" fillId="3" borderId="9" xfId="0" applyNumberFormat="1" applyFill="1" applyBorder="1"/>
    <xf numFmtId="3" fontId="0" fillId="0" borderId="9" xfId="0" applyNumberFormat="1" applyBorder="1"/>
    <xf numFmtId="3" fontId="2" fillId="0" borderId="0" xfId="0" applyNumberFormat="1" applyFont="1"/>
    <xf numFmtId="3" fontId="2" fillId="0" borderId="5" xfId="0" applyNumberFormat="1" applyFont="1" applyBorder="1"/>
    <xf numFmtId="165" fontId="0" fillId="8" borderId="9" xfId="0" applyNumberFormat="1" applyFill="1" applyBorder="1" applyAlignment="1">
      <alignment horizontal="left" indent="1"/>
    </xf>
    <xf numFmtId="3" fontId="4" fillId="4" borderId="0" xfId="0" applyNumberFormat="1" applyFont="1" applyFill="1" applyBorder="1" applyAlignment="1">
      <alignment horizontal="center"/>
    </xf>
    <xf numFmtId="0" fontId="0" fillId="4" borderId="0" xfId="0" applyFill="1"/>
    <xf numFmtId="0" fontId="1" fillId="4" borderId="0" xfId="0" applyFont="1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5" xfId="0" applyFill="1" applyBorder="1"/>
    <xf numFmtId="0" fontId="0" fillId="4" borderId="16" xfId="0" applyFill="1" applyBorder="1"/>
    <xf numFmtId="0" fontId="1" fillId="4" borderId="16" xfId="0" applyFont="1" applyFill="1" applyBorder="1"/>
    <xf numFmtId="0" fontId="0" fillId="4" borderId="17" xfId="0" applyFill="1" applyBorder="1"/>
    <xf numFmtId="0" fontId="6" fillId="4" borderId="0" xfId="0" applyFont="1" applyFill="1" applyBorder="1"/>
    <xf numFmtId="0" fontId="1" fillId="4" borderId="0" xfId="0" applyFont="1" applyFill="1" applyBorder="1" applyAlignment="1">
      <alignment horizontal="right"/>
    </xf>
    <xf numFmtId="0" fontId="7" fillId="4" borderId="10" xfId="0" applyFont="1" applyFill="1" applyBorder="1"/>
    <xf numFmtId="0" fontId="3" fillId="4" borderId="6" xfId="0" applyFont="1" applyFill="1" applyBorder="1" applyAlignment="1">
      <alignment horizontal="center" vertical="center"/>
    </xf>
    <xf numFmtId="0" fontId="5" fillId="4" borderId="0" xfId="0" applyFont="1" applyFill="1" applyBorder="1" applyAlignment="1"/>
    <xf numFmtId="0" fontId="5" fillId="4" borderId="0" xfId="0" applyFont="1" applyFill="1" applyBorder="1"/>
    <xf numFmtId="0" fontId="0" fillId="5" borderId="18" xfId="0" applyFill="1" applyBorder="1"/>
    <xf numFmtId="0" fontId="7" fillId="4" borderId="0" xfId="0" applyFont="1" applyFill="1" applyBorder="1"/>
    <xf numFmtId="0" fontId="9" fillId="9" borderId="0" xfId="0" applyFont="1" applyFill="1" applyBorder="1"/>
    <xf numFmtId="0" fontId="0" fillId="9" borderId="14" xfId="0" applyFill="1" applyBorder="1"/>
    <xf numFmtId="0" fontId="1" fillId="4" borderId="14" xfId="0" applyFont="1" applyFill="1" applyBorder="1"/>
    <xf numFmtId="0" fontId="7" fillId="4" borderId="13" xfId="0" applyFont="1" applyFill="1" applyBorder="1"/>
    <xf numFmtId="0" fontId="1" fillId="4" borderId="15" xfId="0" applyFont="1" applyFill="1" applyBorder="1"/>
    <xf numFmtId="0" fontId="6" fillId="4" borderId="17" xfId="0" applyFont="1" applyFill="1" applyBorder="1"/>
    <xf numFmtId="0" fontId="10" fillId="4" borderId="0" xfId="0" applyFont="1" applyFill="1" applyBorder="1"/>
    <xf numFmtId="0" fontId="0" fillId="2" borderId="5" xfId="0" applyFill="1" applyBorder="1"/>
    <xf numFmtId="0" fontId="2" fillId="2" borderId="5" xfId="0" applyNumberFormat="1" applyFont="1" applyFill="1" applyBorder="1"/>
    <xf numFmtId="0" fontId="2" fillId="2" borderId="9" xfId="0" applyNumberFormat="1" applyFont="1" applyFill="1" applyBorder="1"/>
    <xf numFmtId="0" fontId="0" fillId="3" borderId="5" xfId="0" applyFill="1" applyBorder="1"/>
    <xf numFmtId="0" fontId="2" fillId="3" borderId="5" xfId="0" applyNumberFormat="1" applyFont="1" applyFill="1" applyBorder="1"/>
    <xf numFmtId="0" fontId="2" fillId="3" borderId="9" xfId="0" applyNumberFormat="1" applyFont="1" applyFill="1" applyBorder="1"/>
    <xf numFmtId="0" fontId="0" fillId="6" borderId="5" xfId="0" applyFill="1" applyBorder="1"/>
    <xf numFmtId="0" fontId="2" fillId="6" borderId="5" xfId="0" applyNumberFormat="1" applyFont="1" applyFill="1" applyBorder="1"/>
    <xf numFmtId="0" fontId="2" fillId="6" borderId="9" xfId="0" applyNumberFormat="1" applyFont="1" applyFill="1" applyBorder="1"/>
    <xf numFmtId="0" fontId="0" fillId="7" borderId="5" xfId="0" applyFill="1" applyBorder="1"/>
    <xf numFmtId="0" fontId="2" fillId="7" borderId="5" xfId="0" applyNumberFormat="1" applyFont="1" applyFill="1" applyBorder="1"/>
    <xf numFmtId="0" fontId="2" fillId="7" borderId="9" xfId="0" applyNumberFormat="1" applyFont="1" applyFill="1" applyBorder="1"/>
    <xf numFmtId="0" fontId="0" fillId="0" borderId="5" xfId="0" applyBorder="1"/>
    <xf numFmtId="0" fontId="2" fillId="0" borderId="5" xfId="0" applyNumberFormat="1" applyFont="1" applyBorder="1"/>
    <xf numFmtId="0" fontId="2" fillId="0" borderId="9" xfId="0" applyNumberFormat="1" applyFont="1" applyBorder="1"/>
    <xf numFmtId="0" fontId="1" fillId="5" borderId="0" xfId="0" applyFont="1" applyFill="1"/>
    <xf numFmtId="0" fontId="3" fillId="4" borderId="0" xfId="0" applyFont="1" applyFill="1"/>
    <xf numFmtId="0" fontId="3" fillId="4" borderId="19" xfId="0" applyFont="1" applyFill="1" applyBorder="1" applyAlignment="1">
      <alignment horizontal="right"/>
    </xf>
    <xf numFmtId="0" fontId="11" fillId="4" borderId="19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165" fontId="0" fillId="3" borderId="5" xfId="0" applyNumberFormat="1" applyFill="1" applyBorder="1" applyAlignment="1">
      <alignment horizontal="left" indent="1"/>
    </xf>
    <xf numFmtId="0" fontId="1" fillId="4" borderId="0" xfId="0" applyFont="1" applyFill="1" applyAlignment="1">
      <alignment horizontal="center"/>
    </xf>
    <xf numFmtId="164" fontId="0" fillId="2" borderId="9" xfId="0" applyNumberFormat="1" applyFill="1" applyBorder="1" applyAlignment="1"/>
    <xf numFmtId="164" fontId="0" fillId="2" borderId="5" xfId="0" applyNumberFormat="1" applyFill="1" applyBorder="1" applyAlignment="1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408"/>
  <ax:ocxPr ax:name="_ExtentY" ax:value="979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905"/>
  <ax:ocxPr ax:name="_ExtentY" ax:value="926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18</xdr:row>
          <xdr:rowOff>180975</xdr:rowOff>
        </xdr:from>
        <xdr:to>
          <xdr:col>7</xdr:col>
          <xdr:colOff>114300</xdr:colOff>
          <xdr:row>20</xdr:row>
          <xdr:rowOff>85725</xdr:rowOff>
        </xdr:to>
        <xdr:sp macro="" textlink="">
          <xdr:nvSpPr>
            <xdr:cNvPr id="1029" name="TIButton3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23</xdr:row>
          <xdr:rowOff>38100</xdr:rowOff>
        </xdr:from>
        <xdr:to>
          <xdr:col>3</xdr:col>
          <xdr:colOff>514350</xdr:colOff>
          <xdr:row>24</xdr:row>
          <xdr:rowOff>161925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23</xdr:row>
          <xdr:rowOff>28575</xdr:rowOff>
        </xdr:from>
        <xdr:to>
          <xdr:col>9</xdr:col>
          <xdr:colOff>590550</xdr:colOff>
          <xdr:row>24</xdr:row>
          <xdr:rowOff>133350</xdr:rowOff>
        </xdr:to>
        <xdr:sp macro="" textlink="">
          <xdr:nvSpPr>
            <xdr:cNvPr id="1032" name="TIButton2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4</xdr:col>
      <xdr:colOff>1005418</xdr:colOff>
      <xdr:row>11</xdr:row>
      <xdr:rowOff>177864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021918" cy="5588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15</xdr:row>
          <xdr:rowOff>171450</xdr:rowOff>
        </xdr:from>
        <xdr:to>
          <xdr:col>4</xdr:col>
          <xdr:colOff>1276350</xdr:colOff>
          <xdr:row>17</xdr:row>
          <xdr:rowOff>142875</xdr:rowOff>
        </xdr:to>
        <xdr:sp macro="" textlink="">
          <xdr:nvSpPr>
            <xdr:cNvPr id="3073" name="TIButton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2</xdr:col>
      <xdr:colOff>1778001</xdr:colOff>
      <xdr:row>11</xdr:row>
      <xdr:rowOff>177864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025093" cy="5588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O1711"/>
  <sheetViews>
    <sheetView showGridLines="0" tabSelected="1" topLeftCell="B7" zoomScale="90" zoomScaleNormal="90" workbookViewId="0">
      <pane xSplit="1" ySplit="27" topLeftCell="C34" activePane="bottomRight" state="frozen"/>
      <selection activeCell="B10" sqref="B10"/>
      <selection pane="topRight" activeCell="C10" sqref="C10"/>
      <selection pane="bottomLeft" activeCell="B34" sqref="B34"/>
      <selection pane="bottomRight" activeCell="C19" sqref="C19"/>
    </sheetView>
  </sheetViews>
  <sheetFormatPr defaultColWidth="0" defaultRowHeight="15" zeroHeight="1" x14ac:dyDescent="0.25"/>
  <cols>
    <col min="1" max="1" width="7.7109375" hidden="1" customWidth="1"/>
    <col min="2" max="2" width="53.7109375" customWidth="1"/>
    <col min="3" max="4" width="10.7109375" customWidth="1"/>
    <col min="5" max="5" width="16.5703125" customWidth="1"/>
    <col min="6" max="7" width="10.7109375" customWidth="1"/>
    <col min="8" max="8" width="16.5703125" customWidth="1"/>
    <col min="9" max="10" width="10.7109375" customWidth="1"/>
    <col min="11" max="11" width="16.5703125" customWidth="1"/>
    <col min="12" max="13" width="10.7109375" customWidth="1"/>
    <col min="14" max="14" width="16.5703125" customWidth="1"/>
    <col min="15" max="15" width="11.42578125" customWidth="1"/>
    <col min="16" max="16384" width="11.42578125" hidden="1"/>
  </cols>
  <sheetData>
    <row r="1" spans="1:14" ht="19.5" hidden="1" customHeight="1" x14ac:dyDescent="0.25">
      <c r="A1" t="s">
        <v>35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29.25" hidden="1" customHeight="1" x14ac:dyDescent="0.25">
      <c r="A2">
        <f>0</f>
        <v>0</v>
      </c>
      <c r="B2" s="17"/>
      <c r="C2" s="1"/>
      <c r="D2" s="1"/>
      <c r="E2" s="13"/>
      <c r="F2" s="1"/>
      <c r="G2" s="1"/>
      <c r="H2" s="13"/>
      <c r="I2" s="1"/>
      <c r="J2" s="1"/>
      <c r="K2" s="13"/>
      <c r="L2" s="1"/>
      <c r="M2" s="1"/>
      <c r="N2" s="13"/>
    </row>
    <row r="3" spans="1:14" ht="27" hidden="1" customHeight="1" x14ac:dyDescent="0.25">
      <c r="A3">
        <f>1</f>
        <v>1</v>
      </c>
      <c r="B3" s="23"/>
      <c r="C3" s="24"/>
      <c r="D3" s="24"/>
      <c r="E3" s="25"/>
      <c r="F3" s="24"/>
      <c r="G3" s="24"/>
      <c r="H3" s="25"/>
      <c r="I3" s="24"/>
      <c r="J3" s="24"/>
      <c r="K3" s="25"/>
      <c r="L3" s="24"/>
      <c r="M3" s="24"/>
      <c r="N3" s="25"/>
    </row>
    <row r="4" spans="1:14" ht="27" hidden="1" customHeight="1" x14ac:dyDescent="0.25">
      <c r="A4">
        <f>2</f>
        <v>2</v>
      </c>
      <c r="B4" s="18"/>
      <c r="C4" s="5"/>
      <c r="D4" s="5"/>
      <c r="E4" s="15"/>
      <c r="F4" s="5"/>
      <c r="G4" s="5"/>
      <c r="H4" s="15"/>
      <c r="I4" s="5"/>
      <c r="J4" s="5"/>
      <c r="K4" s="15"/>
      <c r="L4" s="5"/>
      <c r="M4" s="5"/>
      <c r="N4" s="15"/>
    </row>
    <row r="5" spans="1:14" ht="24.75" hidden="1" customHeight="1" x14ac:dyDescent="0.25">
      <c r="A5">
        <f>3</f>
        <v>3</v>
      </c>
      <c r="B5" s="19"/>
      <c r="C5" s="6"/>
      <c r="D5" s="6"/>
      <c r="E5" s="16"/>
      <c r="F5" s="6"/>
      <c r="G5" s="6"/>
      <c r="H5" s="16"/>
      <c r="I5" s="6"/>
      <c r="J5" s="6"/>
      <c r="K5" s="16"/>
      <c r="L5" s="6"/>
      <c r="M5" s="6"/>
      <c r="N5" s="16"/>
    </row>
    <row r="6" spans="1:14" ht="28.5" hidden="1" customHeight="1" x14ac:dyDescent="0.25">
      <c r="A6" t="s">
        <v>33</v>
      </c>
      <c r="B6" s="26"/>
      <c r="C6" s="2"/>
      <c r="D6" s="2"/>
      <c r="E6" s="14"/>
      <c r="F6" s="2"/>
      <c r="G6" s="2"/>
      <c r="H6" s="14"/>
      <c r="I6" s="2"/>
      <c r="J6" s="2"/>
      <c r="K6" s="14"/>
      <c r="L6" s="2"/>
      <c r="M6" s="2"/>
      <c r="N6" s="14"/>
    </row>
    <row r="7" spans="1:14" ht="32.25" hidden="1" customHeight="1" x14ac:dyDescent="0.25">
      <c r="A7" t="s">
        <v>34</v>
      </c>
      <c r="B7" s="27"/>
      <c r="C7" s="28"/>
      <c r="D7" s="28"/>
      <c r="E7" s="29"/>
      <c r="F7" s="28"/>
      <c r="G7" s="28"/>
      <c r="H7" s="29"/>
      <c r="I7" s="28"/>
      <c r="J7" s="28"/>
      <c r="K7" s="29"/>
      <c r="L7" s="28"/>
      <c r="M7" s="28"/>
      <c r="N7" s="29"/>
    </row>
    <row r="8" spans="1:14" ht="35.25" hidden="1" customHeight="1" x14ac:dyDescent="0.25">
      <c r="A8" t="s">
        <v>36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36" hidden="1" customHeight="1" x14ac:dyDescent="0.25">
      <c r="B9" t="str">
        <f ca="1">_xll.TM1RPTVIEW("CXMD:OTC_DATA_MARKET_ANALYSIS:ARPT1", 0, _xll.TM1RPTTITLE("CXMD:Currency",$C$17), _xll.TM1RPTTITLE("CXMD:DIM_Prev_IC_mapping",$C$18), _xll.TM1RPTTITLE("CXMD:Market_Actor",$C$21), _xll.TM1RPTTITLE("CXMD:DIM_Origin_Company",$C$19), _xll.TM1RPTTITLE("CXMD:DIM_Country",$C$20),TM1RPTFMTRNG,TM1RPTFMTIDCOL)</f>
        <v>CXMD:OTC_DATA_MARKET_ANALYSIS:ARPT1</v>
      </c>
    </row>
    <row r="10" spans="1:14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3" customHeight="1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idden="1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idden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4.5" customHeight="1" x14ac:dyDescent="0.25"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</row>
    <row r="17" spans="2:14" ht="21" hidden="1" x14ac:dyDescent="0.35">
      <c r="B17" s="7" t="s">
        <v>0</v>
      </c>
      <c r="C17" s="8" t="str">
        <f ca="1">_xll.SUBNM("CXMD:Currency","Par défaut","CD_LC","Description EN")</f>
        <v>Local currency</v>
      </c>
      <c r="D17" s="9"/>
      <c r="E17" s="9"/>
      <c r="F17" s="9"/>
      <c r="G17" s="9"/>
      <c r="H17" s="9"/>
      <c r="I17" s="9"/>
      <c r="J17" s="45"/>
      <c r="K17" s="46"/>
      <c r="L17" s="9"/>
      <c r="M17" s="9"/>
      <c r="N17" s="9"/>
    </row>
    <row r="18" spans="2:14" ht="21" hidden="1" x14ac:dyDescent="0.35">
      <c r="B18" s="7" t="s">
        <v>1</v>
      </c>
      <c r="C18" s="8" t="str">
        <f ca="1">_xll.SUBNM("CXMD:Prev_IC_mapping","","Others")</f>
        <v>Others</v>
      </c>
      <c r="D18" s="9"/>
      <c r="E18" s="9"/>
      <c r="F18" s="9"/>
      <c r="G18" s="32"/>
      <c r="H18" s="32"/>
      <c r="I18" s="9"/>
      <c r="J18" s="9"/>
      <c r="K18" s="31"/>
      <c r="L18" s="9"/>
      <c r="M18" s="9"/>
      <c r="N18" s="9"/>
    </row>
    <row r="19" spans="2:14" ht="21" x14ac:dyDescent="0.35">
      <c r="B19" s="7" t="s">
        <v>2</v>
      </c>
      <c r="C19" s="8" t="str">
        <f ca="1">_xll.SUBNM("CXMD:DIM_Origin_Company","","SILVA","Name EN")</f>
        <v>SILVA</v>
      </c>
      <c r="D19" s="9"/>
      <c r="E19" s="9"/>
      <c r="F19" s="9"/>
      <c r="G19" s="9"/>
      <c r="H19" s="48"/>
      <c r="I19" s="48"/>
      <c r="J19" s="45" t="s">
        <v>50</v>
      </c>
      <c r="K19" s="9"/>
      <c r="L19" s="9"/>
      <c r="M19" s="9"/>
      <c r="N19" s="9"/>
    </row>
    <row r="20" spans="2:14" ht="15.75" x14ac:dyDescent="0.25">
      <c r="B20" s="7" t="s">
        <v>3</v>
      </c>
      <c r="C20" s="8" t="str">
        <f ca="1">_xll.SUBNM("CXMD:DIM_Country","Total Country SOM","Total Country SOM","Country Name")</f>
        <v>Total Country SOM</v>
      </c>
      <c r="D20" s="9"/>
      <c r="E20" s="9"/>
      <c r="F20" s="9"/>
      <c r="G20" s="9"/>
      <c r="H20" s="9"/>
      <c r="I20" s="33"/>
      <c r="J20" s="55" t="s">
        <v>48</v>
      </c>
      <c r="K20" s="9"/>
      <c r="L20" s="9"/>
      <c r="M20" s="41" t="s">
        <v>41</v>
      </c>
      <c r="N20" s="9"/>
    </row>
    <row r="21" spans="2:14" ht="15" customHeight="1" x14ac:dyDescent="0.25">
      <c r="B21" s="7" t="s">
        <v>4</v>
      </c>
      <c r="C21" s="8" t="str">
        <f ca="1">_xll.SUBNM("CXMD:Market_Actor","Market_Actor","Global_Market","Description")</f>
        <v>Global_Market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2:14" ht="9" customHeight="1" thickBot="1" x14ac:dyDescent="0.3"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33"/>
    </row>
    <row r="23" spans="2:14" ht="15.75" customHeight="1" x14ac:dyDescent="0.25">
      <c r="B23" s="11"/>
      <c r="C23" s="43" t="s">
        <v>44</v>
      </c>
      <c r="D23" s="34"/>
      <c r="E23" s="34"/>
      <c r="F23" s="34"/>
      <c r="G23" s="35"/>
      <c r="H23" s="9"/>
      <c r="I23" s="43" t="s">
        <v>43</v>
      </c>
      <c r="J23" s="34"/>
      <c r="K23" s="34"/>
      <c r="L23" s="34"/>
      <c r="M23" s="35"/>
      <c r="N23" s="33"/>
    </row>
    <row r="24" spans="2:14" ht="15" customHeight="1" x14ac:dyDescent="0.25">
      <c r="B24" s="11"/>
      <c r="C24" s="36"/>
      <c r="D24" s="9"/>
      <c r="E24" s="42" t="s">
        <v>39</v>
      </c>
      <c r="F24" s="49" t="str">
        <f ca="1">_xll.SUBNM("CXMD:Actuality","","","Description EN")</f>
        <v/>
      </c>
      <c r="G24" s="50"/>
      <c r="H24" s="9"/>
      <c r="I24" s="36"/>
      <c r="J24" s="9"/>
      <c r="K24" s="42" t="s">
        <v>39</v>
      </c>
      <c r="L24" s="49" t="str">
        <f ca="1">_xll.SUBNM("CXMD:Actuality","","","Description EN")</f>
        <v/>
      </c>
      <c r="M24" s="50"/>
      <c r="N24" s="33"/>
    </row>
    <row r="25" spans="2:14" ht="15" customHeight="1" x14ac:dyDescent="0.25">
      <c r="B25" s="11"/>
      <c r="C25" s="36"/>
      <c r="D25" s="9"/>
      <c r="E25" s="42" t="s">
        <v>37</v>
      </c>
      <c r="F25" s="49" t="str">
        <f ca="1">_xll.SUBNM("CXMD:DIM_Configuration","","","Description EN")</f>
        <v/>
      </c>
      <c r="G25" s="50"/>
      <c r="H25" s="9"/>
      <c r="I25" s="36"/>
      <c r="J25" s="9"/>
      <c r="K25" s="42" t="s">
        <v>37</v>
      </c>
      <c r="L25" s="49" t="str">
        <f ca="1">_xll.SUBNM("CXMD:DIM_Configuration","","","Description EN")</f>
        <v/>
      </c>
      <c r="M25" s="50"/>
      <c r="N25" s="33"/>
    </row>
    <row r="26" spans="2:14" ht="15" customHeight="1" x14ac:dyDescent="0.25">
      <c r="B26" s="11"/>
      <c r="C26" s="36"/>
      <c r="D26" s="9"/>
      <c r="E26" s="42" t="s">
        <v>40</v>
      </c>
      <c r="F26" s="49"/>
      <c r="G26" s="51" t="s">
        <v>42</v>
      </c>
      <c r="H26" s="48"/>
      <c r="I26" s="52"/>
      <c r="J26" s="9"/>
      <c r="K26" s="42" t="s">
        <v>40</v>
      </c>
      <c r="L26" s="49"/>
      <c r="M26" s="51" t="s">
        <v>42</v>
      </c>
      <c r="N26" s="33"/>
    </row>
    <row r="27" spans="2:14" ht="6" customHeight="1" thickBot="1" x14ac:dyDescent="0.3">
      <c r="B27" s="11"/>
      <c r="C27" s="37"/>
      <c r="D27" s="38"/>
      <c r="E27" s="38"/>
      <c r="F27" s="38"/>
      <c r="G27" s="40"/>
      <c r="H27" s="9"/>
      <c r="I27" s="53"/>
      <c r="J27" s="39"/>
      <c r="K27" s="39"/>
      <c r="L27" s="39"/>
      <c r="M27" s="54" t="s">
        <v>6</v>
      </c>
      <c r="N27" s="9"/>
    </row>
    <row r="28" spans="2:14" hidden="1" x14ac:dyDescent="0.25">
      <c r="B28" s="11"/>
      <c r="C28" s="9"/>
      <c r="D28" s="9"/>
      <c r="E28" s="9"/>
      <c r="F28" s="9"/>
      <c r="G28" s="9"/>
      <c r="H28" s="9"/>
      <c r="I28" s="9"/>
      <c r="J28" s="33"/>
      <c r="K28" s="33"/>
      <c r="L28" s="33"/>
      <c r="M28" s="9"/>
      <c r="N28" s="9"/>
    </row>
    <row r="29" spans="2:14" hidden="1" x14ac:dyDescent="0.25">
      <c r="B29" s="11"/>
      <c r="C29" s="9"/>
      <c r="D29" s="9"/>
      <c r="E29" s="9"/>
      <c r="F29" s="9"/>
      <c r="G29" s="9"/>
      <c r="H29" s="9"/>
      <c r="I29" s="9"/>
      <c r="J29" s="33"/>
      <c r="K29" s="33"/>
      <c r="L29" s="33"/>
      <c r="M29" s="9"/>
      <c r="N29" s="33"/>
    </row>
    <row r="30" spans="2:14" ht="6" hidden="1" customHeight="1" x14ac:dyDescent="0.25">
      <c r="B30" s="11"/>
      <c r="C30" s="9"/>
      <c r="D30" s="9"/>
      <c r="E30" s="9"/>
      <c r="F30" s="9"/>
      <c r="G30" s="9"/>
      <c r="H30" s="9"/>
      <c r="I30" s="9"/>
      <c r="J30" s="9"/>
      <c r="K30" s="33"/>
      <c r="L30" s="9"/>
      <c r="M30" s="9"/>
      <c r="N30" s="9"/>
    </row>
    <row r="31" spans="2:14" ht="6" customHeight="1" x14ac:dyDescent="0.25"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2:14" x14ac:dyDescent="0.25">
      <c r="B32" s="12" t="s">
        <v>39</v>
      </c>
      <c r="C32" s="80" t="str">
        <f ca="1">_xll.SUBNM("CXMD:Actuality","Actuality_Market_Share","AC2017","Description EN")</f>
        <v>AC2017</v>
      </c>
      <c r="D32" s="81"/>
      <c r="E32" s="81"/>
      <c r="F32" s="80" t="str">
        <f ca="1">_xll.SUBNM("CXMD:Actuality","Actuality_Market_Share","BU2018draft","Description EN")</f>
        <v>BU2018draft</v>
      </c>
      <c r="G32" s="81"/>
      <c r="H32" s="82"/>
      <c r="I32" s="80" t="str">
        <f ca="1">_xll.SUBNM("CXMD:Actuality","Actuality_Market_Share","FC3_2018","Description EN")</f>
        <v>FC3_2018</v>
      </c>
      <c r="J32" s="81"/>
      <c r="K32" s="82"/>
      <c r="L32" s="80" t="str">
        <f ca="1">_xll.SUBNM("CXMD:Actuality","Actuality_Market_Share","BU2019draft","Description EN")</f>
        <v>BU2019draft</v>
      </c>
      <c r="M32" s="81"/>
      <c r="N32" s="82"/>
    </row>
    <row r="33" spans="1:14" ht="30" customHeight="1" x14ac:dyDescent="0.25">
      <c r="B33" s="44" t="s">
        <v>37</v>
      </c>
      <c r="C33" s="20" t="s">
        <v>5</v>
      </c>
      <c r="D33" s="20" t="s">
        <v>38</v>
      </c>
      <c r="E33" s="20" t="s">
        <v>7</v>
      </c>
      <c r="F33" s="21" t="s">
        <v>5</v>
      </c>
      <c r="G33" s="20" t="s">
        <v>6</v>
      </c>
      <c r="H33" s="22" t="s">
        <v>7</v>
      </c>
      <c r="I33" s="21" t="s">
        <v>5</v>
      </c>
      <c r="J33" s="20" t="s">
        <v>6</v>
      </c>
      <c r="K33" s="22" t="s">
        <v>7</v>
      </c>
      <c r="L33" s="21" t="s">
        <v>5</v>
      </c>
      <c r="M33" s="20" t="s">
        <v>6</v>
      </c>
      <c r="N33" s="22" t="s">
        <v>7</v>
      </c>
    </row>
    <row r="34" spans="1:14" x14ac:dyDescent="0.25">
      <c r="A34">
        <f ca="1">IF(_xll.TM1RPTELISCONSOLIDATED($B$34,$B34),IF(_xll.TM1RPTELLEV($B$34,$B34)&lt;=3,_xll.TM1RPTELLEV($B$34,$B34),"D"),"N")</f>
        <v>0</v>
      </c>
      <c r="B34" s="78" t="str">
        <f ca="1">_xll.TM1RPTROW($B$9,"CXMD:DIM_Configuration","Product_Line",,"Description EN",0)</f>
        <v>TOTAL PRODUCT</v>
      </c>
      <c r="C34" s="1">
        <f ca="1">_xll.DBRW($B$9,$C$17,$C$18,$C$21,C$32,$C$19,$C$20,$B34,C$33)</f>
        <v>0</v>
      </c>
      <c r="D34" s="1">
        <f ca="1">_xll.DBRW($B$9,$C$17,$C$18,$C$21,C$32,$C$19,$C$20,$B34,D$33)</f>
        <v>0</v>
      </c>
      <c r="E34" s="13">
        <f ca="1">_xll.DBRW($B$9,$C$17,$C$18,$C$21,C$32,$C$19,$C$20,$B34,E$33)</f>
        <v>0</v>
      </c>
      <c r="F34" s="1">
        <f ca="1">_xll.DBRW($B$9,$C$17,$C$18,$C$21,F$32,$C$19,$C$20,$B34,F$33)</f>
        <v>0</v>
      </c>
      <c r="G34" s="1">
        <f ca="1">_xll.DBRW($B$9,$C$17,$C$18,$C$21,F$32,$C$19,$C$20,$B34,G$33)</f>
        <v>0</v>
      </c>
      <c r="H34" s="13">
        <f ca="1">_xll.DBRW($B$9,$C$17,$C$18,$C$21,F$32,$C$19,$C$20,$B34,H$33)</f>
        <v>0</v>
      </c>
      <c r="I34" s="1">
        <f ca="1">_xll.DBRW($B$9,$C$17,$C$18,$C$21,I$32,$C$19,$C$20,$B34,I$33)</f>
        <v>0</v>
      </c>
      <c r="J34" s="1">
        <f ca="1">_xll.DBRW($B$9,$C$17,$C$18,$C$21,I$32,$C$19,$C$20,$B34,J$33)</f>
        <v>0</v>
      </c>
      <c r="K34" s="13">
        <f ca="1">_xll.DBRW($B$9,$C$17,$C$18,$C$21,I$32,$C$19,$C$20,$B34,K$33)</f>
        <v>0</v>
      </c>
      <c r="L34" s="1">
        <f ca="1">_xll.DBRW($B$9,$C$17,$C$18,$C$21,L$32,$C$19,$C$20,$B34,L$33)</f>
        <v>0</v>
      </c>
      <c r="M34" s="1">
        <f ca="1">_xll.DBRW($B$9,$C$17,$C$18,$C$21,L$32,$C$19,$C$20,$B34,M$33)</f>
        <v>0</v>
      </c>
      <c r="N34" s="13">
        <f ca="1">_xll.DBRW($B$9,$C$17,$C$18,$C$21,L$32,$C$19,$C$20,$B34,N$33)</f>
        <v>0</v>
      </c>
    </row>
    <row r="35" spans="1:14" x14ac:dyDescent="0.25">
      <c r="A35">
        <f ca="1">IF(_xll.TM1RPTELISCONSOLIDATED($B$34,$B35),IF(_xll.TM1RPTELLEV($B$34,$B35)&lt;=3,_xll.TM1RPTELLEV($B$34,$B35),"D"),"N")</f>
        <v>1</v>
      </c>
      <c r="B35" s="30" t="s">
        <v>51</v>
      </c>
      <c r="C35" s="24">
        <f ca="1">_xll.DBRW($B$9,$C$17,$C$18,$C$21,C$32,$C$19,$C$20,$B35,C$33)</f>
        <v>0</v>
      </c>
      <c r="D35" s="24">
        <f ca="1">_xll.DBRW($B$9,$C$17,$C$18,$C$21,C$32,$C$19,$C$20,$B35,D$33)</f>
        <v>0</v>
      </c>
      <c r="E35" s="25">
        <f ca="1">_xll.DBRW($B$9,$C$17,$C$18,$C$21,C$32,$C$19,$C$20,$B35,E$33)</f>
        <v>0</v>
      </c>
      <c r="F35" s="24">
        <f ca="1">_xll.DBRW($B$9,$C$17,$C$18,$C$21,F$32,$C$19,$C$20,$B35,F$33)</f>
        <v>0</v>
      </c>
      <c r="G35" s="24">
        <f ca="1">_xll.DBRW($B$9,$C$17,$C$18,$C$21,F$32,$C$19,$C$20,$B35,G$33)</f>
        <v>0</v>
      </c>
      <c r="H35" s="25">
        <f ca="1">_xll.DBRW($B$9,$C$17,$C$18,$C$21,F$32,$C$19,$C$20,$B35,H$33)</f>
        <v>0</v>
      </c>
      <c r="I35" s="24">
        <f ca="1">_xll.DBRW($B$9,$C$17,$C$18,$C$21,I$32,$C$19,$C$20,$B35,I$33)</f>
        <v>0</v>
      </c>
      <c r="J35" s="24">
        <f ca="1">_xll.DBRW($B$9,$C$17,$C$18,$C$21,I$32,$C$19,$C$20,$B35,J$33)</f>
        <v>0</v>
      </c>
      <c r="K35" s="25">
        <f ca="1">_xll.DBRW($B$9,$C$17,$C$18,$C$21,I$32,$C$19,$C$20,$B35,K$33)</f>
        <v>0</v>
      </c>
      <c r="L35" s="24">
        <f ca="1">_xll.DBRW($B$9,$C$17,$C$18,$C$21,L$32,$C$19,$C$20,$B35,L$33)</f>
        <v>0</v>
      </c>
      <c r="M35" s="24">
        <f ca="1">_xll.DBRW($B$9,$C$17,$C$18,$C$21,L$32,$C$19,$C$20,$B35,M$33)</f>
        <v>0</v>
      </c>
      <c r="N35" s="25">
        <f ca="1">_xll.DBRW($B$9,$C$17,$C$18,$C$21,L$32,$C$19,$C$20,$B35,N$33)</f>
        <v>0</v>
      </c>
    </row>
    <row r="36" spans="1:14" x14ac:dyDescent="0.25">
      <c r="A36">
        <f ca="1">IF(_xll.TM1RPTELISCONSOLIDATED($B$34,$B36),IF(_xll.TM1RPTELLEV($B$34,$B36)&lt;=3,_xll.TM1RPTELLEV($B$34,$B36),"D"),"N")</f>
        <v>1</v>
      </c>
      <c r="B36" s="30" t="s">
        <v>52</v>
      </c>
      <c r="C36" s="24">
        <f ca="1">_xll.DBRW($B$9,$C$17,$C$18,$C$21,C$32,$C$19,$C$20,$B36,C$33)</f>
        <v>0</v>
      </c>
      <c r="D36" s="24">
        <f ca="1">_xll.DBRW($B$9,$C$17,$C$18,$C$21,C$32,$C$19,$C$20,$B36,D$33)</f>
        <v>0</v>
      </c>
      <c r="E36" s="25">
        <f ca="1">_xll.DBRW($B$9,$C$17,$C$18,$C$21,C$32,$C$19,$C$20,$B36,E$33)</f>
        <v>0</v>
      </c>
      <c r="F36" s="24">
        <f ca="1">_xll.DBRW($B$9,$C$17,$C$18,$C$21,F$32,$C$19,$C$20,$B36,F$33)</f>
        <v>0</v>
      </c>
      <c r="G36" s="24">
        <f ca="1">_xll.DBRW($B$9,$C$17,$C$18,$C$21,F$32,$C$19,$C$20,$B36,G$33)</f>
        <v>0</v>
      </c>
      <c r="H36" s="25">
        <f ca="1">_xll.DBRW($B$9,$C$17,$C$18,$C$21,F$32,$C$19,$C$20,$B36,H$33)</f>
        <v>0</v>
      </c>
      <c r="I36" s="24">
        <f ca="1">_xll.DBRW($B$9,$C$17,$C$18,$C$21,I$32,$C$19,$C$20,$B36,I$33)</f>
        <v>0</v>
      </c>
      <c r="J36" s="24">
        <f ca="1">_xll.DBRW($B$9,$C$17,$C$18,$C$21,I$32,$C$19,$C$20,$B36,J$33)</f>
        <v>0</v>
      </c>
      <c r="K36" s="25">
        <f ca="1">_xll.DBRW($B$9,$C$17,$C$18,$C$21,I$32,$C$19,$C$20,$B36,K$33)</f>
        <v>0</v>
      </c>
      <c r="L36" s="24">
        <f ca="1">_xll.DBRW($B$9,$C$17,$C$18,$C$21,L$32,$C$19,$C$20,$B36,L$33)</f>
        <v>0</v>
      </c>
      <c r="M36" s="24">
        <f ca="1">_xll.DBRW($B$9,$C$17,$C$18,$C$21,L$32,$C$19,$C$20,$B36,M$33)</f>
        <v>0</v>
      </c>
      <c r="N36" s="25">
        <f ca="1">_xll.DBRW($B$9,$C$17,$C$18,$C$21,L$32,$C$19,$C$20,$B36,N$33)</f>
        <v>0</v>
      </c>
    </row>
    <row r="37" spans="1:14" x14ac:dyDescent="0.25">
      <c r="A37">
        <f ca="1">IF(_xll.TM1RPTELISCONSOLIDATED($B$34,$B37),IF(_xll.TM1RPTELLEV($B$34,$B37)&lt;=3,_xll.TM1RPTELLEV($B$34,$B37),"D"),"N")</f>
        <v>1</v>
      </c>
      <c r="B37" s="30" t="s">
        <v>53</v>
      </c>
      <c r="C37" s="24">
        <f ca="1">_xll.DBRW($B$9,$C$17,$C$18,$C$21,C$32,$C$19,$C$20,$B37,C$33)</f>
        <v>0</v>
      </c>
      <c r="D37" s="24">
        <f ca="1">_xll.DBRW($B$9,$C$17,$C$18,$C$21,C$32,$C$19,$C$20,$B37,D$33)</f>
        <v>0</v>
      </c>
      <c r="E37" s="25">
        <f ca="1">_xll.DBRW($B$9,$C$17,$C$18,$C$21,C$32,$C$19,$C$20,$B37,E$33)</f>
        <v>0</v>
      </c>
      <c r="F37" s="24">
        <f ca="1">_xll.DBRW($B$9,$C$17,$C$18,$C$21,F$32,$C$19,$C$20,$B37,F$33)</f>
        <v>0</v>
      </c>
      <c r="G37" s="24">
        <f ca="1">_xll.DBRW($B$9,$C$17,$C$18,$C$21,F$32,$C$19,$C$20,$B37,G$33)</f>
        <v>0</v>
      </c>
      <c r="H37" s="25">
        <f ca="1">_xll.DBRW($B$9,$C$17,$C$18,$C$21,F$32,$C$19,$C$20,$B37,H$33)</f>
        <v>0</v>
      </c>
      <c r="I37" s="24">
        <f ca="1">_xll.DBRW($B$9,$C$17,$C$18,$C$21,I$32,$C$19,$C$20,$B37,I$33)</f>
        <v>0</v>
      </c>
      <c r="J37" s="24">
        <f ca="1">_xll.DBRW($B$9,$C$17,$C$18,$C$21,I$32,$C$19,$C$20,$B37,J$33)</f>
        <v>0</v>
      </c>
      <c r="K37" s="25">
        <f ca="1">_xll.DBRW($B$9,$C$17,$C$18,$C$21,I$32,$C$19,$C$20,$B37,K$33)</f>
        <v>0</v>
      </c>
      <c r="L37" s="24">
        <f ca="1">_xll.DBRW($B$9,$C$17,$C$18,$C$21,L$32,$C$19,$C$20,$B37,L$33)</f>
        <v>0</v>
      </c>
      <c r="M37" s="24">
        <f ca="1">_xll.DBRW($B$9,$C$17,$C$18,$C$21,L$32,$C$19,$C$20,$B37,M$33)</f>
        <v>0</v>
      </c>
      <c r="N37" s="25">
        <f ca="1">_xll.DBRW($B$9,$C$17,$C$18,$C$21,L$32,$C$19,$C$20,$B37,N$33)</f>
        <v>0</v>
      </c>
    </row>
    <row r="38" spans="1:14" x14ac:dyDescent="0.25">
      <c r="A38">
        <f ca="1">IF(_xll.TM1RPTELISCONSOLIDATED($B$34,$B38),IF(_xll.TM1RPTELLEV($B$34,$B38)&lt;=3,_xll.TM1RPTELLEV($B$34,$B38),"D"),"N")</f>
        <v>1</v>
      </c>
      <c r="B38" s="30" t="s">
        <v>54</v>
      </c>
      <c r="C38" s="24">
        <f ca="1">_xll.DBRW($B$9,$C$17,$C$18,$C$21,C$32,$C$19,$C$20,$B38,C$33)</f>
        <v>0</v>
      </c>
      <c r="D38" s="24">
        <f ca="1">_xll.DBRW($B$9,$C$17,$C$18,$C$21,C$32,$C$19,$C$20,$B38,D$33)</f>
        <v>0</v>
      </c>
      <c r="E38" s="25">
        <f ca="1">_xll.DBRW($B$9,$C$17,$C$18,$C$21,C$32,$C$19,$C$20,$B38,E$33)</f>
        <v>0</v>
      </c>
      <c r="F38" s="24">
        <f ca="1">_xll.DBRW($B$9,$C$17,$C$18,$C$21,F$32,$C$19,$C$20,$B38,F$33)</f>
        <v>0</v>
      </c>
      <c r="G38" s="24">
        <f ca="1">_xll.DBRW($B$9,$C$17,$C$18,$C$21,F$32,$C$19,$C$20,$B38,G$33)</f>
        <v>0</v>
      </c>
      <c r="H38" s="25">
        <f ca="1">_xll.DBRW($B$9,$C$17,$C$18,$C$21,F$32,$C$19,$C$20,$B38,H$33)</f>
        <v>0</v>
      </c>
      <c r="I38" s="24">
        <f ca="1">_xll.DBRW($B$9,$C$17,$C$18,$C$21,I$32,$C$19,$C$20,$B38,I$33)</f>
        <v>0</v>
      </c>
      <c r="J38" s="24">
        <f ca="1">_xll.DBRW($B$9,$C$17,$C$18,$C$21,I$32,$C$19,$C$20,$B38,J$33)</f>
        <v>0</v>
      </c>
      <c r="K38" s="25">
        <f ca="1">_xll.DBRW($B$9,$C$17,$C$18,$C$21,I$32,$C$19,$C$20,$B38,K$33)</f>
        <v>0</v>
      </c>
      <c r="L38" s="24">
        <f ca="1">_xll.DBRW($B$9,$C$17,$C$18,$C$21,L$32,$C$19,$C$20,$B38,L$33)</f>
        <v>0</v>
      </c>
      <c r="M38" s="24">
        <f ca="1">_xll.DBRW($B$9,$C$17,$C$18,$C$21,L$32,$C$19,$C$20,$B38,M$33)</f>
        <v>0</v>
      </c>
      <c r="N38" s="25">
        <f ca="1">_xll.DBRW($B$9,$C$17,$C$18,$C$21,L$32,$C$19,$C$20,$B38,N$33)</f>
        <v>0</v>
      </c>
    </row>
    <row r="39" spans="1:14" x14ac:dyDescent="0.25">
      <c r="A39">
        <f ca="1">IF(_xll.TM1RPTELISCONSOLIDATED($B$34,$B39),IF(_xll.TM1RPTELLEV($B$34,$B39)&lt;=3,_xll.TM1RPTELLEV($B$34,$B39),"D"),"N")</f>
        <v>1</v>
      </c>
      <c r="B39" s="30" t="s">
        <v>55</v>
      </c>
      <c r="C39" s="24">
        <f ca="1">_xll.DBRW($B$9,$C$17,$C$18,$C$21,C$32,$C$19,$C$20,$B39,C$33)</f>
        <v>0</v>
      </c>
      <c r="D39" s="24">
        <f ca="1">_xll.DBRW($B$9,$C$17,$C$18,$C$21,C$32,$C$19,$C$20,$B39,D$33)</f>
        <v>0</v>
      </c>
      <c r="E39" s="25">
        <f ca="1">_xll.DBRW($B$9,$C$17,$C$18,$C$21,C$32,$C$19,$C$20,$B39,E$33)</f>
        <v>0</v>
      </c>
      <c r="F39" s="24">
        <f ca="1">_xll.DBRW($B$9,$C$17,$C$18,$C$21,F$32,$C$19,$C$20,$B39,F$33)</f>
        <v>0</v>
      </c>
      <c r="G39" s="24">
        <f ca="1">_xll.DBRW($B$9,$C$17,$C$18,$C$21,F$32,$C$19,$C$20,$B39,G$33)</f>
        <v>0</v>
      </c>
      <c r="H39" s="25">
        <f ca="1">_xll.DBRW($B$9,$C$17,$C$18,$C$21,F$32,$C$19,$C$20,$B39,H$33)</f>
        <v>0</v>
      </c>
      <c r="I39" s="24">
        <f ca="1">_xll.DBRW($B$9,$C$17,$C$18,$C$21,I$32,$C$19,$C$20,$B39,I$33)</f>
        <v>0</v>
      </c>
      <c r="J39" s="24">
        <f ca="1">_xll.DBRW($B$9,$C$17,$C$18,$C$21,I$32,$C$19,$C$20,$B39,J$33)</f>
        <v>0</v>
      </c>
      <c r="K39" s="25">
        <f ca="1">_xll.DBRW($B$9,$C$17,$C$18,$C$21,I$32,$C$19,$C$20,$B39,K$33)</f>
        <v>0</v>
      </c>
      <c r="L39" s="24">
        <f ca="1">_xll.DBRW($B$9,$C$17,$C$18,$C$21,L$32,$C$19,$C$20,$B39,L$33)</f>
        <v>0</v>
      </c>
      <c r="M39" s="24">
        <f ca="1">_xll.DBRW($B$9,$C$17,$C$18,$C$21,L$32,$C$19,$C$20,$B39,M$33)</f>
        <v>0</v>
      </c>
      <c r="N39" s="25">
        <f ca="1">_xll.DBRW($B$9,$C$17,$C$18,$C$21,L$32,$C$19,$C$20,$B39,N$33)</f>
        <v>0</v>
      </c>
    </row>
    <row r="40" spans="1:14" x14ac:dyDescent="0.25">
      <c r="A40">
        <f ca="1">IF(_xll.TM1RPTELISCONSOLIDATED($B$34,$B40),IF(_xll.TM1RPTELLEV($B$34,$B40)&lt;=3,_xll.TM1RPTELLEV($B$34,$B40),"D"),"N")</f>
        <v>1</v>
      </c>
      <c r="B40" s="30" t="s">
        <v>56</v>
      </c>
      <c r="C40" s="24">
        <f ca="1">_xll.DBRW($B$9,$C$17,$C$18,$C$21,C$32,$C$19,$C$20,$B40,C$33)</f>
        <v>0</v>
      </c>
      <c r="D40" s="24">
        <f ca="1">_xll.DBRW($B$9,$C$17,$C$18,$C$21,C$32,$C$19,$C$20,$B40,D$33)</f>
        <v>0</v>
      </c>
      <c r="E40" s="25">
        <f ca="1">_xll.DBRW($B$9,$C$17,$C$18,$C$21,C$32,$C$19,$C$20,$B40,E$33)</f>
        <v>0</v>
      </c>
      <c r="F40" s="24">
        <f ca="1">_xll.DBRW($B$9,$C$17,$C$18,$C$21,F$32,$C$19,$C$20,$B40,F$33)</f>
        <v>0</v>
      </c>
      <c r="G40" s="24">
        <f ca="1">_xll.DBRW($B$9,$C$17,$C$18,$C$21,F$32,$C$19,$C$20,$B40,G$33)</f>
        <v>0</v>
      </c>
      <c r="H40" s="25">
        <f ca="1">_xll.DBRW($B$9,$C$17,$C$18,$C$21,F$32,$C$19,$C$20,$B40,H$33)</f>
        <v>0</v>
      </c>
      <c r="I40" s="24">
        <f ca="1">_xll.DBRW($B$9,$C$17,$C$18,$C$21,I$32,$C$19,$C$20,$B40,I$33)</f>
        <v>0</v>
      </c>
      <c r="J40" s="24">
        <f ca="1">_xll.DBRW($B$9,$C$17,$C$18,$C$21,I$32,$C$19,$C$20,$B40,J$33)</f>
        <v>0</v>
      </c>
      <c r="K40" s="25">
        <f ca="1">_xll.DBRW($B$9,$C$17,$C$18,$C$21,I$32,$C$19,$C$20,$B40,K$33)</f>
        <v>0</v>
      </c>
      <c r="L40" s="24">
        <f ca="1">_xll.DBRW($B$9,$C$17,$C$18,$C$21,L$32,$C$19,$C$20,$B40,L$33)</f>
        <v>0</v>
      </c>
      <c r="M40" s="24">
        <f ca="1">_xll.DBRW($B$9,$C$17,$C$18,$C$21,L$32,$C$19,$C$20,$B40,M$33)</f>
        <v>0</v>
      </c>
      <c r="N40" s="25">
        <f ca="1">_xll.DBRW($B$9,$C$17,$C$18,$C$21,L$32,$C$19,$C$20,$B40,N$33)</f>
        <v>0</v>
      </c>
    </row>
    <row r="41" spans="1:14" x14ac:dyDescent="0.25">
      <c r="A41">
        <f ca="1">IF(_xll.TM1RPTELISCONSOLIDATED($B$34,$B41),IF(_xll.TM1RPTELLEV($B$34,$B41)&lt;=3,_xll.TM1RPTELLEV($B$34,$B41),"D"),"N")</f>
        <v>1</v>
      </c>
      <c r="B41" s="30" t="s">
        <v>57</v>
      </c>
      <c r="C41" s="24">
        <f ca="1">_xll.DBRW($B$9,$C$17,$C$18,$C$21,C$32,$C$19,$C$20,$B41,C$33)</f>
        <v>0</v>
      </c>
      <c r="D41" s="24">
        <f ca="1">_xll.DBRW($B$9,$C$17,$C$18,$C$21,C$32,$C$19,$C$20,$B41,D$33)</f>
        <v>0</v>
      </c>
      <c r="E41" s="25">
        <f ca="1">_xll.DBRW($B$9,$C$17,$C$18,$C$21,C$32,$C$19,$C$20,$B41,E$33)</f>
        <v>0</v>
      </c>
      <c r="F41" s="24">
        <f ca="1">_xll.DBRW($B$9,$C$17,$C$18,$C$21,F$32,$C$19,$C$20,$B41,F$33)</f>
        <v>0</v>
      </c>
      <c r="G41" s="24">
        <f ca="1">_xll.DBRW($B$9,$C$17,$C$18,$C$21,F$32,$C$19,$C$20,$B41,G$33)</f>
        <v>0</v>
      </c>
      <c r="H41" s="25">
        <f ca="1">_xll.DBRW($B$9,$C$17,$C$18,$C$21,F$32,$C$19,$C$20,$B41,H$33)</f>
        <v>0</v>
      </c>
      <c r="I41" s="24">
        <f ca="1">_xll.DBRW($B$9,$C$17,$C$18,$C$21,I$32,$C$19,$C$20,$B41,I$33)</f>
        <v>0</v>
      </c>
      <c r="J41" s="24">
        <f ca="1">_xll.DBRW($B$9,$C$17,$C$18,$C$21,I$32,$C$19,$C$20,$B41,J$33)</f>
        <v>0</v>
      </c>
      <c r="K41" s="25">
        <f ca="1">_xll.DBRW($B$9,$C$17,$C$18,$C$21,I$32,$C$19,$C$20,$B41,K$33)</f>
        <v>0</v>
      </c>
      <c r="L41" s="24">
        <f ca="1">_xll.DBRW($B$9,$C$17,$C$18,$C$21,L$32,$C$19,$C$20,$B41,L$33)</f>
        <v>0</v>
      </c>
      <c r="M41" s="24">
        <f ca="1">_xll.DBRW($B$9,$C$17,$C$18,$C$21,L$32,$C$19,$C$20,$B41,M$33)</f>
        <v>0</v>
      </c>
      <c r="N41" s="25">
        <f ca="1">_xll.DBRW($B$9,$C$17,$C$18,$C$21,L$32,$C$19,$C$20,$B41,N$33)</f>
        <v>0</v>
      </c>
    </row>
    <row r="42" spans="1:14" x14ac:dyDescent="0.25">
      <c r="A42">
        <f ca="1">IF(_xll.TM1RPTELISCONSOLIDATED($B$34,$B42),IF(_xll.TM1RPTELLEV($B$34,$B42)&lt;=3,_xll.TM1RPTELLEV($B$34,$B42),"D"),"N")</f>
        <v>1</v>
      </c>
      <c r="B42" s="30" t="s">
        <v>58</v>
      </c>
      <c r="C42" s="24">
        <f ca="1">_xll.DBRW($B$9,$C$17,$C$18,$C$21,C$32,$C$19,$C$20,$B42,C$33)</f>
        <v>0</v>
      </c>
      <c r="D42" s="24">
        <f ca="1">_xll.DBRW($B$9,$C$17,$C$18,$C$21,C$32,$C$19,$C$20,$B42,D$33)</f>
        <v>0</v>
      </c>
      <c r="E42" s="25">
        <f ca="1">_xll.DBRW($B$9,$C$17,$C$18,$C$21,C$32,$C$19,$C$20,$B42,E$33)</f>
        <v>0</v>
      </c>
      <c r="F42" s="24">
        <f ca="1">_xll.DBRW($B$9,$C$17,$C$18,$C$21,F$32,$C$19,$C$20,$B42,F$33)</f>
        <v>0</v>
      </c>
      <c r="G42" s="24">
        <f ca="1">_xll.DBRW($B$9,$C$17,$C$18,$C$21,F$32,$C$19,$C$20,$B42,G$33)</f>
        <v>0</v>
      </c>
      <c r="H42" s="25">
        <f ca="1">_xll.DBRW($B$9,$C$17,$C$18,$C$21,F$32,$C$19,$C$20,$B42,H$33)</f>
        <v>0</v>
      </c>
      <c r="I42" s="24">
        <f ca="1">_xll.DBRW($B$9,$C$17,$C$18,$C$21,I$32,$C$19,$C$20,$B42,I$33)</f>
        <v>0</v>
      </c>
      <c r="J42" s="24">
        <f ca="1">_xll.DBRW($B$9,$C$17,$C$18,$C$21,I$32,$C$19,$C$20,$B42,J$33)</f>
        <v>0</v>
      </c>
      <c r="K42" s="25">
        <f ca="1">_xll.DBRW($B$9,$C$17,$C$18,$C$21,I$32,$C$19,$C$20,$B42,K$33)</f>
        <v>0</v>
      </c>
      <c r="L42" s="24">
        <f ca="1">_xll.DBRW($B$9,$C$17,$C$18,$C$21,L$32,$C$19,$C$20,$B42,L$33)</f>
        <v>0</v>
      </c>
      <c r="M42" s="24">
        <f ca="1">_xll.DBRW($B$9,$C$17,$C$18,$C$21,L$32,$C$19,$C$20,$B42,M$33)</f>
        <v>0</v>
      </c>
      <c r="N42" s="25">
        <f ca="1">_xll.DBRW($B$9,$C$17,$C$18,$C$21,L$32,$C$19,$C$20,$B42,N$33)</f>
        <v>0</v>
      </c>
    </row>
    <row r="43" spans="1:14" x14ac:dyDescent="0.25">
      <c r="A43">
        <f ca="1">IF(_xll.TM1RPTELISCONSOLIDATED($B$34,$B43),IF(_xll.TM1RPTELLEV($B$34,$B43)&lt;=3,_xll.TM1RPTELLEV($B$34,$B43),"D"),"N")</f>
        <v>1</v>
      </c>
      <c r="B43" s="30" t="s">
        <v>59</v>
      </c>
      <c r="C43" s="24">
        <f ca="1">_xll.DBRW($B$9,$C$17,$C$18,$C$21,C$32,$C$19,$C$20,$B43,C$33)</f>
        <v>0</v>
      </c>
      <c r="D43" s="24">
        <f ca="1">_xll.DBRW($B$9,$C$17,$C$18,$C$21,C$32,$C$19,$C$20,$B43,D$33)</f>
        <v>0</v>
      </c>
      <c r="E43" s="25">
        <f ca="1">_xll.DBRW($B$9,$C$17,$C$18,$C$21,C$32,$C$19,$C$20,$B43,E$33)</f>
        <v>0</v>
      </c>
      <c r="F43" s="24">
        <f ca="1">_xll.DBRW($B$9,$C$17,$C$18,$C$21,F$32,$C$19,$C$20,$B43,F$33)</f>
        <v>0</v>
      </c>
      <c r="G43" s="24">
        <f ca="1">_xll.DBRW($B$9,$C$17,$C$18,$C$21,F$32,$C$19,$C$20,$B43,G$33)</f>
        <v>0</v>
      </c>
      <c r="H43" s="25">
        <f ca="1">_xll.DBRW($B$9,$C$17,$C$18,$C$21,F$32,$C$19,$C$20,$B43,H$33)</f>
        <v>0</v>
      </c>
      <c r="I43" s="24">
        <f ca="1">_xll.DBRW($B$9,$C$17,$C$18,$C$21,I$32,$C$19,$C$20,$B43,I$33)</f>
        <v>0</v>
      </c>
      <c r="J43" s="24">
        <f ca="1">_xll.DBRW($B$9,$C$17,$C$18,$C$21,I$32,$C$19,$C$20,$B43,J$33)</f>
        <v>0</v>
      </c>
      <c r="K43" s="25">
        <f ca="1">_xll.DBRW($B$9,$C$17,$C$18,$C$21,I$32,$C$19,$C$20,$B43,K$33)</f>
        <v>0</v>
      </c>
      <c r="L43" s="24">
        <f ca="1">_xll.DBRW($B$9,$C$17,$C$18,$C$21,L$32,$C$19,$C$20,$B43,L$33)</f>
        <v>0</v>
      </c>
      <c r="M43" s="24">
        <f ca="1">_xll.DBRW($B$9,$C$17,$C$18,$C$21,L$32,$C$19,$C$20,$B43,M$33)</f>
        <v>0</v>
      </c>
      <c r="N43" s="25">
        <f ca="1">_xll.DBRW($B$9,$C$17,$C$18,$C$21,L$32,$C$19,$C$20,$B43,N$33)</f>
        <v>0</v>
      </c>
    </row>
    <row r="44" spans="1:14" x14ac:dyDescent="0.25">
      <c r="A44">
        <f ca="1">IF(_xll.TM1RPTELISCONSOLIDATED($B$34,$B44),IF(_xll.TM1RPTELLEV($B$34,$B44)&lt;=3,_xll.TM1RPTELLEV($B$34,$B44),"D"),"N")</f>
        <v>1</v>
      </c>
      <c r="B44" s="30" t="s">
        <v>60</v>
      </c>
      <c r="C44" s="24">
        <f ca="1">_xll.DBRW($B$9,$C$17,$C$18,$C$21,C$32,$C$19,$C$20,$B44,C$33)</f>
        <v>0</v>
      </c>
      <c r="D44" s="24">
        <f ca="1">_xll.DBRW($B$9,$C$17,$C$18,$C$21,C$32,$C$19,$C$20,$B44,D$33)</f>
        <v>0</v>
      </c>
      <c r="E44" s="25">
        <f ca="1">_xll.DBRW($B$9,$C$17,$C$18,$C$21,C$32,$C$19,$C$20,$B44,E$33)</f>
        <v>0</v>
      </c>
      <c r="F44" s="24">
        <f ca="1">_xll.DBRW($B$9,$C$17,$C$18,$C$21,F$32,$C$19,$C$20,$B44,F$33)</f>
        <v>0</v>
      </c>
      <c r="G44" s="24">
        <f ca="1">_xll.DBRW($B$9,$C$17,$C$18,$C$21,F$32,$C$19,$C$20,$B44,G$33)</f>
        <v>0</v>
      </c>
      <c r="H44" s="25">
        <f ca="1">_xll.DBRW($B$9,$C$17,$C$18,$C$21,F$32,$C$19,$C$20,$B44,H$33)</f>
        <v>0</v>
      </c>
      <c r="I44" s="24">
        <f ca="1">_xll.DBRW($B$9,$C$17,$C$18,$C$21,I$32,$C$19,$C$20,$B44,I$33)</f>
        <v>0</v>
      </c>
      <c r="J44" s="24">
        <f ca="1">_xll.DBRW($B$9,$C$17,$C$18,$C$21,I$32,$C$19,$C$20,$B44,J$33)</f>
        <v>0</v>
      </c>
      <c r="K44" s="25">
        <f ca="1">_xll.DBRW($B$9,$C$17,$C$18,$C$21,I$32,$C$19,$C$20,$B44,K$33)</f>
        <v>0</v>
      </c>
      <c r="L44" s="24">
        <f ca="1">_xll.DBRW($B$9,$C$17,$C$18,$C$21,L$32,$C$19,$C$20,$B44,L$33)</f>
        <v>0</v>
      </c>
      <c r="M44" s="24">
        <f ca="1">_xll.DBRW($B$9,$C$17,$C$18,$C$21,L$32,$C$19,$C$20,$B44,M$33)</f>
        <v>0</v>
      </c>
      <c r="N44" s="25">
        <f ca="1">_xll.DBRW($B$9,$C$17,$C$18,$C$21,L$32,$C$19,$C$20,$B44,N$33)</f>
        <v>0</v>
      </c>
    </row>
    <row r="45" spans="1:14" x14ac:dyDescent="0.25">
      <c r="A45">
        <f ca="1">IF(_xll.TM1RPTELISCONSOLIDATED($B$34,$B45),IF(_xll.TM1RPTELLEV($B$34,$B45)&lt;=3,_xll.TM1RPTELLEV($B$34,$B45),"D"),"N")</f>
        <v>1</v>
      </c>
      <c r="B45" s="30" t="s">
        <v>61</v>
      </c>
      <c r="C45" s="24">
        <f ca="1">_xll.DBRW($B$9,$C$17,$C$18,$C$21,C$32,$C$19,$C$20,$B45,C$33)</f>
        <v>0</v>
      </c>
      <c r="D45" s="24">
        <f ca="1">_xll.DBRW($B$9,$C$17,$C$18,$C$21,C$32,$C$19,$C$20,$B45,D$33)</f>
        <v>0</v>
      </c>
      <c r="E45" s="25">
        <f ca="1">_xll.DBRW($B$9,$C$17,$C$18,$C$21,C$32,$C$19,$C$20,$B45,E$33)</f>
        <v>0</v>
      </c>
      <c r="F45" s="24">
        <f ca="1">_xll.DBRW($B$9,$C$17,$C$18,$C$21,F$32,$C$19,$C$20,$B45,F$33)</f>
        <v>0</v>
      </c>
      <c r="G45" s="24">
        <f ca="1">_xll.DBRW($B$9,$C$17,$C$18,$C$21,F$32,$C$19,$C$20,$B45,G$33)</f>
        <v>0</v>
      </c>
      <c r="H45" s="25">
        <f ca="1">_xll.DBRW($B$9,$C$17,$C$18,$C$21,F$32,$C$19,$C$20,$B45,H$33)</f>
        <v>0</v>
      </c>
      <c r="I45" s="24">
        <f ca="1">_xll.DBRW($B$9,$C$17,$C$18,$C$21,I$32,$C$19,$C$20,$B45,I$33)</f>
        <v>0</v>
      </c>
      <c r="J45" s="24">
        <f ca="1">_xll.DBRW($B$9,$C$17,$C$18,$C$21,I$32,$C$19,$C$20,$B45,J$33)</f>
        <v>0</v>
      </c>
      <c r="K45" s="25">
        <f ca="1">_xll.DBRW($B$9,$C$17,$C$18,$C$21,I$32,$C$19,$C$20,$B45,K$33)</f>
        <v>0</v>
      </c>
      <c r="L45" s="24">
        <f ca="1">_xll.DBRW($B$9,$C$17,$C$18,$C$21,L$32,$C$19,$C$20,$B45,L$33)</f>
        <v>0</v>
      </c>
      <c r="M45" s="24">
        <f ca="1">_xll.DBRW($B$9,$C$17,$C$18,$C$21,L$32,$C$19,$C$20,$B45,M$33)</f>
        <v>0</v>
      </c>
      <c r="N45" s="25">
        <f ca="1">_xll.DBRW($B$9,$C$17,$C$18,$C$21,L$32,$C$19,$C$20,$B45,N$33)</f>
        <v>0</v>
      </c>
    </row>
    <row r="46" spans="1:14" x14ac:dyDescent="0.25">
      <c r="A46">
        <f ca="1">IF(_xll.TM1RPTELISCONSOLIDATED($B$34,$B46),IF(_xll.TM1RPTELLEV($B$34,$B46)&lt;=3,_xll.TM1RPTELLEV($B$34,$B46),"D"),"N")</f>
        <v>1</v>
      </c>
      <c r="B46" s="30" t="s">
        <v>62</v>
      </c>
      <c r="C46" s="24">
        <f ca="1">_xll.DBRW($B$9,$C$17,$C$18,$C$21,C$32,$C$19,$C$20,$B46,C$33)</f>
        <v>0</v>
      </c>
      <c r="D46" s="24">
        <f ca="1">_xll.DBRW($B$9,$C$17,$C$18,$C$21,C$32,$C$19,$C$20,$B46,D$33)</f>
        <v>0</v>
      </c>
      <c r="E46" s="25">
        <f ca="1">_xll.DBRW($B$9,$C$17,$C$18,$C$21,C$32,$C$19,$C$20,$B46,E$33)</f>
        <v>0</v>
      </c>
      <c r="F46" s="24">
        <f ca="1">_xll.DBRW($B$9,$C$17,$C$18,$C$21,F$32,$C$19,$C$20,$B46,F$33)</f>
        <v>0</v>
      </c>
      <c r="G46" s="24">
        <f ca="1">_xll.DBRW($B$9,$C$17,$C$18,$C$21,F$32,$C$19,$C$20,$B46,G$33)</f>
        <v>0</v>
      </c>
      <c r="H46" s="25">
        <f ca="1">_xll.DBRW($B$9,$C$17,$C$18,$C$21,F$32,$C$19,$C$20,$B46,H$33)</f>
        <v>0</v>
      </c>
      <c r="I46" s="24">
        <f ca="1">_xll.DBRW($B$9,$C$17,$C$18,$C$21,I$32,$C$19,$C$20,$B46,I$33)</f>
        <v>0</v>
      </c>
      <c r="J46" s="24">
        <f ca="1">_xll.DBRW($B$9,$C$17,$C$18,$C$21,I$32,$C$19,$C$20,$B46,J$33)</f>
        <v>0</v>
      </c>
      <c r="K46" s="25">
        <f ca="1">_xll.DBRW($B$9,$C$17,$C$18,$C$21,I$32,$C$19,$C$20,$B46,K$33)</f>
        <v>0</v>
      </c>
      <c r="L46" s="24">
        <f ca="1">_xll.DBRW($B$9,$C$17,$C$18,$C$21,L$32,$C$19,$C$20,$B46,L$33)</f>
        <v>0</v>
      </c>
      <c r="M46" s="24">
        <f ca="1">_xll.DBRW($B$9,$C$17,$C$18,$C$21,L$32,$C$19,$C$20,$B46,M$33)</f>
        <v>0</v>
      </c>
      <c r="N46" s="25">
        <f ca="1">_xll.DBRW($B$9,$C$17,$C$18,$C$21,L$32,$C$19,$C$20,$B46,N$33)</f>
        <v>0</v>
      </c>
    </row>
    <row r="47" spans="1:14" x14ac:dyDescent="0.25">
      <c r="A47">
        <f ca="1">IF(_xll.TM1RPTELISCONSOLIDATED($B$34,$B47),IF(_xll.TM1RPTELLEV($B$34,$B47)&lt;=3,_xll.TM1RPTELLEV($B$34,$B47),"D"),"N")</f>
        <v>1</v>
      </c>
      <c r="B47" s="30" t="s">
        <v>63</v>
      </c>
      <c r="C47" s="24">
        <f ca="1">_xll.DBRW($B$9,$C$17,$C$18,$C$21,C$32,$C$19,$C$20,$B47,C$33)</f>
        <v>0</v>
      </c>
      <c r="D47" s="24">
        <f ca="1">_xll.DBRW($B$9,$C$17,$C$18,$C$21,C$32,$C$19,$C$20,$B47,D$33)</f>
        <v>0</v>
      </c>
      <c r="E47" s="25">
        <f ca="1">_xll.DBRW($B$9,$C$17,$C$18,$C$21,C$32,$C$19,$C$20,$B47,E$33)</f>
        <v>0</v>
      </c>
      <c r="F47" s="24">
        <f ca="1">_xll.DBRW($B$9,$C$17,$C$18,$C$21,F$32,$C$19,$C$20,$B47,F$33)</f>
        <v>0</v>
      </c>
      <c r="G47" s="24">
        <f ca="1">_xll.DBRW($B$9,$C$17,$C$18,$C$21,F$32,$C$19,$C$20,$B47,G$33)</f>
        <v>0</v>
      </c>
      <c r="H47" s="25">
        <f ca="1">_xll.DBRW($B$9,$C$17,$C$18,$C$21,F$32,$C$19,$C$20,$B47,H$33)</f>
        <v>0</v>
      </c>
      <c r="I47" s="24">
        <f ca="1">_xll.DBRW($B$9,$C$17,$C$18,$C$21,I$32,$C$19,$C$20,$B47,I$33)</f>
        <v>0</v>
      </c>
      <c r="J47" s="24">
        <f ca="1">_xll.DBRW($B$9,$C$17,$C$18,$C$21,I$32,$C$19,$C$20,$B47,J$33)</f>
        <v>0</v>
      </c>
      <c r="K47" s="25">
        <f ca="1">_xll.DBRW($B$9,$C$17,$C$18,$C$21,I$32,$C$19,$C$20,$B47,K$33)</f>
        <v>0</v>
      </c>
      <c r="L47" s="24">
        <f ca="1">_xll.DBRW($B$9,$C$17,$C$18,$C$21,L$32,$C$19,$C$20,$B47,L$33)</f>
        <v>0</v>
      </c>
      <c r="M47" s="24">
        <f ca="1">_xll.DBRW($B$9,$C$17,$C$18,$C$21,L$32,$C$19,$C$20,$B47,M$33)</f>
        <v>0</v>
      </c>
      <c r="N47" s="25">
        <f ca="1">_xll.DBRW($B$9,$C$17,$C$18,$C$21,L$32,$C$19,$C$20,$B47,N$33)</f>
        <v>0</v>
      </c>
    </row>
    <row r="48" spans="1:14" x14ac:dyDescent="0.25">
      <c r="A48">
        <f ca="1">IF(_xll.TM1RPTELISCONSOLIDATED($B$34,$B48),IF(_xll.TM1RPTELLEV($B$34,$B48)&lt;=3,_xll.TM1RPTELLEV($B$34,$B48),"D"),"N")</f>
        <v>1</v>
      </c>
      <c r="B48" s="30" t="s">
        <v>64</v>
      </c>
      <c r="C48" s="24">
        <f ca="1">_xll.DBRW($B$9,$C$17,$C$18,$C$21,C$32,$C$19,$C$20,$B48,C$33)</f>
        <v>0</v>
      </c>
      <c r="D48" s="24">
        <f ca="1">_xll.DBRW($B$9,$C$17,$C$18,$C$21,C$32,$C$19,$C$20,$B48,D$33)</f>
        <v>0</v>
      </c>
      <c r="E48" s="25">
        <f ca="1">_xll.DBRW($B$9,$C$17,$C$18,$C$21,C$32,$C$19,$C$20,$B48,E$33)</f>
        <v>0</v>
      </c>
      <c r="F48" s="24">
        <f ca="1">_xll.DBRW($B$9,$C$17,$C$18,$C$21,F$32,$C$19,$C$20,$B48,F$33)</f>
        <v>0</v>
      </c>
      <c r="G48" s="24">
        <f ca="1">_xll.DBRW($B$9,$C$17,$C$18,$C$21,F$32,$C$19,$C$20,$B48,G$33)</f>
        <v>0</v>
      </c>
      <c r="H48" s="25">
        <f ca="1">_xll.DBRW($B$9,$C$17,$C$18,$C$21,F$32,$C$19,$C$20,$B48,H$33)</f>
        <v>0</v>
      </c>
      <c r="I48" s="24">
        <f ca="1">_xll.DBRW($B$9,$C$17,$C$18,$C$21,I$32,$C$19,$C$20,$B48,I$33)</f>
        <v>0</v>
      </c>
      <c r="J48" s="24">
        <f ca="1">_xll.DBRW($B$9,$C$17,$C$18,$C$21,I$32,$C$19,$C$20,$B48,J$33)</f>
        <v>0</v>
      </c>
      <c r="K48" s="25">
        <f ca="1">_xll.DBRW($B$9,$C$17,$C$18,$C$21,I$32,$C$19,$C$20,$B48,K$33)</f>
        <v>0</v>
      </c>
      <c r="L48" s="24">
        <f ca="1">_xll.DBRW($B$9,$C$17,$C$18,$C$21,L$32,$C$19,$C$20,$B48,L$33)</f>
        <v>0</v>
      </c>
      <c r="M48" s="24">
        <f ca="1">_xll.DBRW($B$9,$C$17,$C$18,$C$21,L$32,$C$19,$C$20,$B48,M$33)</f>
        <v>0</v>
      </c>
      <c r="N48" s="25">
        <f ca="1">_xll.DBRW($B$9,$C$17,$C$18,$C$21,L$32,$C$19,$C$20,$B48,N$33)</f>
        <v>0</v>
      </c>
    </row>
    <row r="49" spans="1:14" x14ac:dyDescent="0.25">
      <c r="A49">
        <f ca="1">IF(_xll.TM1RPTELISCONSOLIDATED($B$34,$B49),IF(_xll.TM1RPTELLEV($B$34,$B49)&lt;=3,_xll.TM1RPTELLEV($B$34,$B49),"D"),"N")</f>
        <v>1</v>
      </c>
      <c r="B49" s="30" t="s">
        <v>65</v>
      </c>
      <c r="C49" s="24">
        <f ca="1">_xll.DBRW($B$9,$C$17,$C$18,$C$21,C$32,$C$19,$C$20,$B49,C$33)</f>
        <v>0</v>
      </c>
      <c r="D49" s="24">
        <f ca="1">_xll.DBRW($B$9,$C$17,$C$18,$C$21,C$32,$C$19,$C$20,$B49,D$33)</f>
        <v>0</v>
      </c>
      <c r="E49" s="25">
        <f ca="1">_xll.DBRW($B$9,$C$17,$C$18,$C$21,C$32,$C$19,$C$20,$B49,E$33)</f>
        <v>0</v>
      </c>
      <c r="F49" s="24">
        <f ca="1">_xll.DBRW($B$9,$C$17,$C$18,$C$21,F$32,$C$19,$C$20,$B49,F$33)</f>
        <v>0</v>
      </c>
      <c r="G49" s="24">
        <f ca="1">_xll.DBRW($B$9,$C$17,$C$18,$C$21,F$32,$C$19,$C$20,$B49,G$33)</f>
        <v>0</v>
      </c>
      <c r="H49" s="25">
        <f ca="1">_xll.DBRW($B$9,$C$17,$C$18,$C$21,F$32,$C$19,$C$20,$B49,H$33)</f>
        <v>0</v>
      </c>
      <c r="I49" s="24">
        <f ca="1">_xll.DBRW($B$9,$C$17,$C$18,$C$21,I$32,$C$19,$C$20,$B49,I$33)</f>
        <v>0</v>
      </c>
      <c r="J49" s="24">
        <f ca="1">_xll.DBRW($B$9,$C$17,$C$18,$C$21,I$32,$C$19,$C$20,$B49,J$33)</f>
        <v>0</v>
      </c>
      <c r="K49" s="25">
        <f ca="1">_xll.DBRW($B$9,$C$17,$C$18,$C$21,I$32,$C$19,$C$20,$B49,K$33)</f>
        <v>0</v>
      </c>
      <c r="L49" s="24">
        <f ca="1">_xll.DBRW($B$9,$C$17,$C$18,$C$21,L$32,$C$19,$C$20,$B49,L$33)</f>
        <v>0</v>
      </c>
      <c r="M49" s="24">
        <f ca="1">_xll.DBRW($B$9,$C$17,$C$18,$C$21,L$32,$C$19,$C$20,$B49,M$33)</f>
        <v>0</v>
      </c>
      <c r="N49" s="25">
        <f ca="1">_xll.DBRW($B$9,$C$17,$C$18,$C$21,L$32,$C$19,$C$20,$B49,N$33)</f>
        <v>0</v>
      </c>
    </row>
    <row r="50" spans="1:14" x14ac:dyDescent="0.25">
      <c r="A50">
        <f ca="1">IF(_xll.TM1RPTELISCONSOLIDATED($B$34,$B50),IF(_xll.TM1RPTELLEV($B$34,$B50)&lt;=3,_xll.TM1RPTELLEV($B$34,$B50),"D"),"N")</f>
        <v>1</v>
      </c>
      <c r="B50" s="30" t="s">
        <v>66</v>
      </c>
      <c r="C50" s="24">
        <f ca="1">_xll.DBRW($B$9,$C$17,$C$18,$C$21,C$32,$C$19,$C$20,$B50,C$33)</f>
        <v>0</v>
      </c>
      <c r="D50" s="24">
        <f ca="1">_xll.DBRW($B$9,$C$17,$C$18,$C$21,C$32,$C$19,$C$20,$B50,D$33)</f>
        <v>0</v>
      </c>
      <c r="E50" s="25">
        <f ca="1">_xll.DBRW($B$9,$C$17,$C$18,$C$21,C$32,$C$19,$C$20,$B50,E$33)</f>
        <v>0</v>
      </c>
      <c r="F50" s="24">
        <f ca="1">_xll.DBRW($B$9,$C$17,$C$18,$C$21,F$32,$C$19,$C$20,$B50,F$33)</f>
        <v>0</v>
      </c>
      <c r="G50" s="24">
        <f ca="1">_xll.DBRW($B$9,$C$17,$C$18,$C$21,F$32,$C$19,$C$20,$B50,G$33)</f>
        <v>0</v>
      </c>
      <c r="H50" s="25">
        <f ca="1">_xll.DBRW($B$9,$C$17,$C$18,$C$21,F$32,$C$19,$C$20,$B50,H$33)</f>
        <v>0</v>
      </c>
      <c r="I50" s="24">
        <f ca="1">_xll.DBRW($B$9,$C$17,$C$18,$C$21,I$32,$C$19,$C$20,$B50,I$33)</f>
        <v>0</v>
      </c>
      <c r="J50" s="24">
        <f ca="1">_xll.DBRW($B$9,$C$17,$C$18,$C$21,I$32,$C$19,$C$20,$B50,J$33)</f>
        <v>0</v>
      </c>
      <c r="K50" s="25">
        <f ca="1">_xll.DBRW($B$9,$C$17,$C$18,$C$21,I$32,$C$19,$C$20,$B50,K$33)</f>
        <v>0</v>
      </c>
      <c r="L50" s="24">
        <f ca="1">_xll.DBRW($B$9,$C$17,$C$18,$C$21,L$32,$C$19,$C$20,$B50,L$33)</f>
        <v>0</v>
      </c>
      <c r="M50" s="24">
        <f ca="1">_xll.DBRW($B$9,$C$17,$C$18,$C$21,L$32,$C$19,$C$20,$B50,M$33)</f>
        <v>0</v>
      </c>
      <c r="N50" s="25">
        <f ca="1">_xll.DBRW($B$9,$C$17,$C$18,$C$21,L$32,$C$19,$C$20,$B50,N$33)</f>
        <v>0</v>
      </c>
    </row>
    <row r="51" spans="1:14" x14ac:dyDescent="0.25">
      <c r="A51">
        <f ca="1">IF(_xll.TM1RPTELISCONSOLIDATED($B$34,$B51),IF(_xll.TM1RPTELLEV($B$34,$B51)&lt;=3,_xll.TM1RPTELLEV($B$34,$B51),"D"),"N")</f>
        <v>1</v>
      </c>
      <c r="B51" s="30" t="s">
        <v>67</v>
      </c>
      <c r="C51" s="24">
        <f ca="1">_xll.DBRW($B$9,$C$17,$C$18,$C$21,C$32,$C$19,$C$20,$B51,C$33)</f>
        <v>0</v>
      </c>
      <c r="D51" s="24">
        <f ca="1">_xll.DBRW($B$9,$C$17,$C$18,$C$21,C$32,$C$19,$C$20,$B51,D$33)</f>
        <v>0</v>
      </c>
      <c r="E51" s="25">
        <f ca="1">_xll.DBRW($B$9,$C$17,$C$18,$C$21,C$32,$C$19,$C$20,$B51,E$33)</f>
        <v>0</v>
      </c>
      <c r="F51" s="24">
        <f ca="1">_xll.DBRW($B$9,$C$17,$C$18,$C$21,F$32,$C$19,$C$20,$B51,F$33)</f>
        <v>0</v>
      </c>
      <c r="G51" s="24">
        <f ca="1">_xll.DBRW($B$9,$C$17,$C$18,$C$21,F$32,$C$19,$C$20,$B51,G$33)</f>
        <v>0</v>
      </c>
      <c r="H51" s="25">
        <f ca="1">_xll.DBRW($B$9,$C$17,$C$18,$C$21,F$32,$C$19,$C$20,$B51,H$33)</f>
        <v>0</v>
      </c>
      <c r="I51" s="24">
        <f ca="1">_xll.DBRW($B$9,$C$17,$C$18,$C$21,I$32,$C$19,$C$20,$B51,I$33)</f>
        <v>0</v>
      </c>
      <c r="J51" s="24">
        <f ca="1">_xll.DBRW($B$9,$C$17,$C$18,$C$21,I$32,$C$19,$C$20,$B51,J$33)</f>
        <v>0</v>
      </c>
      <c r="K51" s="25">
        <f ca="1">_xll.DBRW($B$9,$C$17,$C$18,$C$21,I$32,$C$19,$C$20,$B51,K$33)</f>
        <v>0</v>
      </c>
      <c r="L51" s="24">
        <f ca="1">_xll.DBRW($B$9,$C$17,$C$18,$C$21,L$32,$C$19,$C$20,$B51,L$33)</f>
        <v>0</v>
      </c>
      <c r="M51" s="24">
        <f ca="1">_xll.DBRW($B$9,$C$17,$C$18,$C$21,L$32,$C$19,$C$20,$B51,M$33)</f>
        <v>0</v>
      </c>
      <c r="N51" s="25">
        <f ca="1">_xll.DBRW($B$9,$C$17,$C$18,$C$21,L$32,$C$19,$C$20,$B51,N$33)</f>
        <v>0</v>
      </c>
    </row>
    <row r="52" spans="1:14" x14ac:dyDescent="0.25">
      <c r="A52">
        <f ca="1">IF(_xll.TM1RPTELISCONSOLIDATED($B$34,$B52),IF(_xll.TM1RPTELLEV($B$34,$B52)&lt;=3,_xll.TM1RPTELLEV($B$34,$B52),"D"),"N")</f>
        <v>1</v>
      </c>
      <c r="B52" s="30" t="s">
        <v>68</v>
      </c>
      <c r="C52" s="24">
        <f ca="1">_xll.DBRW($B$9,$C$17,$C$18,$C$21,C$32,$C$19,$C$20,$B52,C$33)</f>
        <v>0</v>
      </c>
      <c r="D52" s="24">
        <f ca="1">_xll.DBRW($B$9,$C$17,$C$18,$C$21,C$32,$C$19,$C$20,$B52,D$33)</f>
        <v>0</v>
      </c>
      <c r="E52" s="25">
        <f ca="1">_xll.DBRW($B$9,$C$17,$C$18,$C$21,C$32,$C$19,$C$20,$B52,E$33)</f>
        <v>0</v>
      </c>
      <c r="F52" s="24">
        <f ca="1">_xll.DBRW($B$9,$C$17,$C$18,$C$21,F$32,$C$19,$C$20,$B52,F$33)</f>
        <v>0</v>
      </c>
      <c r="G52" s="24">
        <f ca="1">_xll.DBRW($B$9,$C$17,$C$18,$C$21,F$32,$C$19,$C$20,$B52,G$33)</f>
        <v>0</v>
      </c>
      <c r="H52" s="25">
        <f ca="1">_xll.DBRW($B$9,$C$17,$C$18,$C$21,F$32,$C$19,$C$20,$B52,H$33)</f>
        <v>0</v>
      </c>
      <c r="I52" s="24">
        <f ca="1">_xll.DBRW($B$9,$C$17,$C$18,$C$21,I$32,$C$19,$C$20,$B52,I$33)</f>
        <v>0</v>
      </c>
      <c r="J52" s="24">
        <f ca="1">_xll.DBRW($B$9,$C$17,$C$18,$C$21,I$32,$C$19,$C$20,$B52,J$33)</f>
        <v>0</v>
      </c>
      <c r="K52" s="25">
        <f ca="1">_xll.DBRW($B$9,$C$17,$C$18,$C$21,I$32,$C$19,$C$20,$B52,K$33)</f>
        <v>0</v>
      </c>
      <c r="L52" s="24">
        <f ca="1">_xll.DBRW($B$9,$C$17,$C$18,$C$21,L$32,$C$19,$C$20,$B52,L$33)</f>
        <v>0</v>
      </c>
      <c r="M52" s="24">
        <f ca="1">_xll.DBRW($B$9,$C$17,$C$18,$C$21,L$32,$C$19,$C$20,$B52,M$33)</f>
        <v>0</v>
      </c>
      <c r="N52" s="25">
        <f ca="1">_xll.DBRW($B$9,$C$17,$C$18,$C$21,L$32,$C$19,$C$20,$B52,N$33)</f>
        <v>0</v>
      </c>
    </row>
    <row r="53" spans="1:14" x14ac:dyDescent="0.25">
      <c r="A53">
        <f ca="1">IF(_xll.TM1RPTELISCONSOLIDATED($B$34,$B53),IF(_xll.TM1RPTELLEV($B$34,$B53)&lt;=3,_xll.TM1RPTELLEV($B$34,$B53),"D"),"N")</f>
        <v>1</v>
      </c>
      <c r="B53" s="30" t="s">
        <v>69</v>
      </c>
      <c r="C53" s="24">
        <f ca="1">_xll.DBRW($B$9,$C$17,$C$18,$C$21,C$32,$C$19,$C$20,$B53,C$33)</f>
        <v>0</v>
      </c>
      <c r="D53" s="24">
        <f ca="1">_xll.DBRW($B$9,$C$17,$C$18,$C$21,C$32,$C$19,$C$20,$B53,D$33)</f>
        <v>0</v>
      </c>
      <c r="E53" s="25">
        <f ca="1">_xll.DBRW($B$9,$C$17,$C$18,$C$21,C$32,$C$19,$C$20,$B53,E$33)</f>
        <v>0</v>
      </c>
      <c r="F53" s="24">
        <f ca="1">_xll.DBRW($B$9,$C$17,$C$18,$C$21,F$32,$C$19,$C$20,$B53,F$33)</f>
        <v>0</v>
      </c>
      <c r="G53" s="24">
        <f ca="1">_xll.DBRW($B$9,$C$17,$C$18,$C$21,F$32,$C$19,$C$20,$B53,G$33)</f>
        <v>0</v>
      </c>
      <c r="H53" s="25">
        <f ca="1">_xll.DBRW($B$9,$C$17,$C$18,$C$21,F$32,$C$19,$C$20,$B53,H$33)</f>
        <v>0</v>
      </c>
      <c r="I53" s="24">
        <f ca="1">_xll.DBRW($B$9,$C$17,$C$18,$C$21,I$32,$C$19,$C$20,$B53,I$33)</f>
        <v>0</v>
      </c>
      <c r="J53" s="24">
        <f ca="1">_xll.DBRW($B$9,$C$17,$C$18,$C$21,I$32,$C$19,$C$20,$B53,J$33)</f>
        <v>0</v>
      </c>
      <c r="K53" s="25">
        <f ca="1">_xll.DBRW($B$9,$C$17,$C$18,$C$21,I$32,$C$19,$C$20,$B53,K$33)</f>
        <v>0</v>
      </c>
      <c r="L53" s="24">
        <f ca="1">_xll.DBRW($B$9,$C$17,$C$18,$C$21,L$32,$C$19,$C$20,$B53,L$33)</f>
        <v>0</v>
      </c>
      <c r="M53" s="24">
        <f ca="1">_xll.DBRW($B$9,$C$17,$C$18,$C$21,L$32,$C$19,$C$20,$B53,M$33)</f>
        <v>0</v>
      </c>
      <c r="N53" s="25">
        <f ca="1">_xll.DBRW($B$9,$C$17,$C$18,$C$21,L$32,$C$19,$C$20,$B53,N$33)</f>
        <v>0</v>
      </c>
    </row>
    <row r="54" spans="1:14" x14ac:dyDescent="0.25">
      <c r="A54">
        <f ca="1">IF(_xll.TM1RPTELISCONSOLIDATED($B$34,$B54),IF(_xll.TM1RPTELLEV($B$34,$B54)&lt;=3,_xll.TM1RPTELLEV($B$34,$B54),"D"),"N")</f>
        <v>1</v>
      </c>
      <c r="B54" s="30" t="s">
        <v>70</v>
      </c>
      <c r="C54" s="24">
        <f ca="1">_xll.DBRW($B$9,$C$17,$C$18,$C$21,C$32,$C$19,$C$20,$B54,C$33)</f>
        <v>0</v>
      </c>
      <c r="D54" s="24">
        <f ca="1">_xll.DBRW($B$9,$C$17,$C$18,$C$21,C$32,$C$19,$C$20,$B54,D$33)</f>
        <v>0</v>
      </c>
      <c r="E54" s="25">
        <f ca="1">_xll.DBRW($B$9,$C$17,$C$18,$C$21,C$32,$C$19,$C$20,$B54,E$33)</f>
        <v>0</v>
      </c>
      <c r="F54" s="24">
        <f ca="1">_xll.DBRW($B$9,$C$17,$C$18,$C$21,F$32,$C$19,$C$20,$B54,F$33)</f>
        <v>0</v>
      </c>
      <c r="G54" s="24">
        <f ca="1">_xll.DBRW($B$9,$C$17,$C$18,$C$21,F$32,$C$19,$C$20,$B54,G$33)</f>
        <v>0</v>
      </c>
      <c r="H54" s="25">
        <f ca="1">_xll.DBRW($B$9,$C$17,$C$18,$C$21,F$32,$C$19,$C$20,$B54,H$33)</f>
        <v>0</v>
      </c>
      <c r="I54" s="24">
        <f ca="1">_xll.DBRW($B$9,$C$17,$C$18,$C$21,I$32,$C$19,$C$20,$B54,I$33)</f>
        <v>0</v>
      </c>
      <c r="J54" s="24">
        <f ca="1">_xll.DBRW($B$9,$C$17,$C$18,$C$21,I$32,$C$19,$C$20,$B54,J$33)</f>
        <v>0</v>
      </c>
      <c r="K54" s="25">
        <f ca="1">_xll.DBRW($B$9,$C$17,$C$18,$C$21,I$32,$C$19,$C$20,$B54,K$33)</f>
        <v>0</v>
      </c>
      <c r="L54" s="24">
        <f ca="1">_xll.DBRW($B$9,$C$17,$C$18,$C$21,L$32,$C$19,$C$20,$B54,L$33)</f>
        <v>0</v>
      </c>
      <c r="M54" s="24">
        <f ca="1">_xll.DBRW($B$9,$C$17,$C$18,$C$21,L$32,$C$19,$C$20,$B54,M$33)</f>
        <v>0</v>
      </c>
      <c r="N54" s="25">
        <f ca="1">_xll.DBRW($B$9,$C$17,$C$18,$C$21,L$32,$C$19,$C$20,$B54,N$33)</f>
        <v>0</v>
      </c>
    </row>
    <row r="55" spans="1:14" x14ac:dyDescent="0.25">
      <c r="A55">
        <f ca="1">IF(_xll.TM1RPTELISCONSOLIDATED($B$34,$B55),IF(_xll.TM1RPTELLEV($B$34,$B55)&lt;=3,_xll.TM1RPTELLEV($B$34,$B55),"D"),"N")</f>
        <v>1</v>
      </c>
      <c r="B55" s="30" t="s">
        <v>71</v>
      </c>
      <c r="C55" s="24">
        <f ca="1">_xll.DBRW($B$9,$C$17,$C$18,$C$21,C$32,$C$19,$C$20,$B55,C$33)</f>
        <v>0</v>
      </c>
      <c r="D55" s="24">
        <f ca="1">_xll.DBRW($B$9,$C$17,$C$18,$C$21,C$32,$C$19,$C$20,$B55,D$33)</f>
        <v>0</v>
      </c>
      <c r="E55" s="25">
        <f ca="1">_xll.DBRW($B$9,$C$17,$C$18,$C$21,C$32,$C$19,$C$20,$B55,E$33)</f>
        <v>0</v>
      </c>
      <c r="F55" s="24">
        <f ca="1">_xll.DBRW($B$9,$C$17,$C$18,$C$21,F$32,$C$19,$C$20,$B55,F$33)</f>
        <v>0</v>
      </c>
      <c r="G55" s="24">
        <f ca="1">_xll.DBRW($B$9,$C$17,$C$18,$C$21,F$32,$C$19,$C$20,$B55,G$33)</f>
        <v>0</v>
      </c>
      <c r="H55" s="25">
        <f ca="1">_xll.DBRW($B$9,$C$17,$C$18,$C$21,F$32,$C$19,$C$20,$B55,H$33)</f>
        <v>0</v>
      </c>
      <c r="I55" s="24">
        <f ca="1">_xll.DBRW($B$9,$C$17,$C$18,$C$21,I$32,$C$19,$C$20,$B55,I$33)</f>
        <v>0</v>
      </c>
      <c r="J55" s="24">
        <f ca="1">_xll.DBRW($B$9,$C$17,$C$18,$C$21,I$32,$C$19,$C$20,$B55,J$33)</f>
        <v>0</v>
      </c>
      <c r="K55" s="25">
        <f ca="1">_xll.DBRW($B$9,$C$17,$C$18,$C$21,I$32,$C$19,$C$20,$B55,K$33)</f>
        <v>0</v>
      </c>
      <c r="L55" s="24">
        <f ca="1">_xll.DBRW($B$9,$C$17,$C$18,$C$21,L$32,$C$19,$C$20,$B55,L$33)</f>
        <v>0</v>
      </c>
      <c r="M55" s="24">
        <f ca="1">_xll.DBRW($B$9,$C$17,$C$18,$C$21,L$32,$C$19,$C$20,$B55,M$33)</f>
        <v>0</v>
      </c>
      <c r="N55" s="25">
        <f ca="1">_xll.DBRW($B$9,$C$17,$C$18,$C$21,L$32,$C$19,$C$20,$B55,N$33)</f>
        <v>0</v>
      </c>
    </row>
    <row r="56" spans="1:14" x14ac:dyDescent="0.25">
      <c r="A56">
        <f ca="1">IF(_xll.TM1RPTELISCONSOLIDATED($B$34,$B56),IF(_xll.TM1RPTELLEV($B$34,$B56)&lt;=3,_xll.TM1RPTELLEV($B$34,$B56),"D"),"N")</f>
        <v>1</v>
      </c>
      <c r="B56" s="30" t="s">
        <v>72</v>
      </c>
      <c r="C56" s="24">
        <f ca="1">_xll.DBRW($B$9,$C$17,$C$18,$C$21,C$32,$C$19,$C$20,$B56,C$33)</f>
        <v>0</v>
      </c>
      <c r="D56" s="24">
        <f ca="1">_xll.DBRW($B$9,$C$17,$C$18,$C$21,C$32,$C$19,$C$20,$B56,D$33)</f>
        <v>0</v>
      </c>
      <c r="E56" s="25">
        <f ca="1">_xll.DBRW($B$9,$C$17,$C$18,$C$21,C$32,$C$19,$C$20,$B56,E$33)</f>
        <v>0</v>
      </c>
      <c r="F56" s="24">
        <f ca="1">_xll.DBRW($B$9,$C$17,$C$18,$C$21,F$32,$C$19,$C$20,$B56,F$33)</f>
        <v>0</v>
      </c>
      <c r="G56" s="24">
        <f ca="1">_xll.DBRW($B$9,$C$17,$C$18,$C$21,F$32,$C$19,$C$20,$B56,G$33)</f>
        <v>0</v>
      </c>
      <c r="H56" s="25">
        <f ca="1">_xll.DBRW($B$9,$C$17,$C$18,$C$21,F$32,$C$19,$C$20,$B56,H$33)</f>
        <v>0</v>
      </c>
      <c r="I56" s="24">
        <f ca="1">_xll.DBRW($B$9,$C$17,$C$18,$C$21,I$32,$C$19,$C$20,$B56,I$33)</f>
        <v>0</v>
      </c>
      <c r="J56" s="24">
        <f ca="1">_xll.DBRW($B$9,$C$17,$C$18,$C$21,I$32,$C$19,$C$20,$B56,J$33)</f>
        <v>0</v>
      </c>
      <c r="K56" s="25">
        <f ca="1">_xll.DBRW($B$9,$C$17,$C$18,$C$21,I$32,$C$19,$C$20,$B56,K$33)</f>
        <v>0</v>
      </c>
      <c r="L56" s="24">
        <f ca="1">_xll.DBRW($B$9,$C$17,$C$18,$C$21,L$32,$C$19,$C$20,$B56,L$33)</f>
        <v>0</v>
      </c>
      <c r="M56" s="24">
        <f ca="1">_xll.DBRW($B$9,$C$17,$C$18,$C$21,L$32,$C$19,$C$20,$B56,M$33)</f>
        <v>0</v>
      </c>
      <c r="N56" s="25">
        <f ca="1">_xll.DBRW($B$9,$C$17,$C$18,$C$21,L$32,$C$19,$C$20,$B56,N$33)</f>
        <v>0</v>
      </c>
    </row>
    <row r="57" spans="1:14" x14ac:dyDescent="0.25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idden="1" x14ac:dyDescent="0.25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idden="1" x14ac:dyDescent="0.25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idden="1" x14ac:dyDescent="0.25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idden="1" x14ac:dyDescent="0.25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idden="1" x14ac:dyDescent="0.25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25"/>
    <row r="64" spans="1:1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</sheetData>
  <mergeCells count="4">
    <mergeCell ref="C32:E32"/>
    <mergeCell ref="L32:N32"/>
    <mergeCell ref="I32:K32"/>
    <mergeCell ref="F32:H3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2" r:id="rId4" name="TIButton2">
          <controlPr defaultSize="0" print="0" autoLine="0" autoPict="0" r:id="rId5">
            <anchor moveWithCells="1">
              <from>
                <xdr:col>8</xdr:col>
                <xdr:colOff>200025</xdr:colOff>
                <xdr:row>23</xdr:row>
                <xdr:rowOff>28575</xdr:rowOff>
              </from>
              <to>
                <xdr:col>9</xdr:col>
                <xdr:colOff>590550</xdr:colOff>
                <xdr:row>24</xdr:row>
                <xdr:rowOff>133350</xdr:rowOff>
              </to>
            </anchor>
          </controlPr>
        </control>
      </mc:Choice>
      <mc:Fallback>
        <control shapeId="1032" r:id="rId4" name="TIButton2"/>
      </mc:Fallback>
    </mc:AlternateContent>
    <mc:AlternateContent xmlns:mc="http://schemas.openxmlformats.org/markup-compatibility/2006">
      <mc:Choice Requires="x14">
        <control shapeId="1031" r:id="rId6" name="TIButton1">
          <controlPr defaultSize="0" print="0" autoLine="0" autoPict="0" r:id="rId7">
            <anchor moveWithCells="1">
              <from>
                <xdr:col>2</xdr:col>
                <xdr:colOff>85725</xdr:colOff>
                <xdr:row>23</xdr:row>
                <xdr:rowOff>38100</xdr:rowOff>
              </from>
              <to>
                <xdr:col>3</xdr:col>
                <xdr:colOff>514350</xdr:colOff>
                <xdr:row>24</xdr:row>
                <xdr:rowOff>161925</xdr:rowOff>
              </to>
            </anchor>
          </controlPr>
        </control>
      </mc:Choice>
      <mc:Fallback>
        <control shapeId="1031" r:id="rId6" name="TIButton1"/>
      </mc:Fallback>
    </mc:AlternateContent>
    <mc:AlternateContent xmlns:mc="http://schemas.openxmlformats.org/markup-compatibility/2006">
      <mc:Choice Requires="x14">
        <control shapeId="1029" r:id="rId8" name="TIButton3">
          <controlPr defaultSize="0" print="0" autoLine="0" autoPict="0" r:id="rId9">
            <anchor moveWithCells="1">
              <from>
                <xdr:col>5</xdr:col>
                <xdr:colOff>323850</xdr:colOff>
                <xdr:row>18</xdr:row>
                <xdr:rowOff>180975</xdr:rowOff>
              </from>
              <to>
                <xdr:col>7</xdr:col>
                <xdr:colOff>114300</xdr:colOff>
                <xdr:row>20</xdr:row>
                <xdr:rowOff>85725</xdr:rowOff>
              </to>
            </anchor>
          </controlPr>
        </control>
      </mc:Choice>
      <mc:Fallback>
        <control shapeId="1029" r:id="rId8" name="TIButton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ALM1756"/>
  <sheetViews>
    <sheetView showGridLines="0" topLeftCell="B10" zoomScale="90" zoomScaleNormal="90" workbookViewId="0">
      <pane xSplit="1" ySplit="13" topLeftCell="C23" activePane="bottomRight" state="frozen"/>
      <selection activeCell="B10" sqref="B10"/>
      <selection pane="topRight" activeCell="C10" sqref="C10"/>
      <selection pane="bottomLeft" activeCell="B23" sqref="B23"/>
      <selection pane="bottomRight" activeCell="C16" sqref="C16"/>
    </sheetView>
  </sheetViews>
  <sheetFormatPr defaultColWidth="0" defaultRowHeight="15" customHeight="1" zeroHeight="1" x14ac:dyDescent="0.25"/>
  <cols>
    <col min="1" max="1" width="15.7109375" hidden="1" customWidth="1"/>
    <col min="2" max="2" width="63.7109375" customWidth="1"/>
    <col min="3" max="9" width="27.140625" customWidth="1"/>
    <col min="10" max="10" width="2.28515625" customWidth="1"/>
    <col min="11" max="1001" width="0" hidden="1" customWidth="1"/>
    <col min="1002" max="16384" width="15.7109375" hidden="1"/>
  </cols>
  <sheetData>
    <row r="1" spans="1:9" ht="21" hidden="1" customHeight="1" x14ac:dyDescent="0.25">
      <c r="A1" t="s">
        <v>35</v>
      </c>
    </row>
    <row r="2" spans="1:9" ht="24" hidden="1" customHeight="1" x14ac:dyDescent="0.25">
      <c r="A2">
        <f>0</f>
        <v>0</v>
      </c>
      <c r="B2" s="56"/>
      <c r="C2" s="57"/>
      <c r="D2" s="58"/>
      <c r="E2" s="58"/>
      <c r="F2" s="58"/>
      <c r="G2" s="58"/>
      <c r="H2" s="58"/>
      <c r="I2" s="58"/>
    </row>
    <row r="3" spans="1:9" ht="30" hidden="1" customHeight="1" x14ac:dyDescent="0.25">
      <c r="A3">
        <f>1</f>
        <v>1</v>
      </c>
      <c r="B3" s="59"/>
      <c r="C3" s="60"/>
      <c r="D3" s="61"/>
      <c r="E3" s="61"/>
      <c r="F3" s="61"/>
      <c r="G3" s="61"/>
      <c r="H3" s="61"/>
      <c r="I3" s="61"/>
    </row>
    <row r="4" spans="1:9" ht="21" hidden="1" customHeight="1" x14ac:dyDescent="0.25">
      <c r="A4">
        <f>2</f>
        <v>2</v>
      </c>
      <c r="B4" s="62"/>
      <c r="C4" s="63"/>
      <c r="D4" s="64"/>
      <c r="E4" s="64"/>
      <c r="F4" s="64"/>
      <c r="G4" s="64"/>
      <c r="H4" s="64"/>
      <c r="I4" s="64"/>
    </row>
    <row r="5" spans="1:9" ht="21.75" hidden="1" customHeight="1" x14ac:dyDescent="0.25">
      <c r="A5">
        <f>3</f>
        <v>3</v>
      </c>
      <c r="B5" s="65"/>
      <c r="C5" s="66"/>
      <c r="D5" s="67"/>
      <c r="E5" s="67"/>
      <c r="F5" s="67"/>
      <c r="G5" s="67"/>
      <c r="H5" s="67"/>
      <c r="I5" s="67"/>
    </row>
    <row r="6" spans="1:9" ht="24" hidden="1" customHeight="1" x14ac:dyDescent="0.25">
      <c r="A6" t="s">
        <v>33</v>
      </c>
      <c r="B6" s="59"/>
      <c r="C6" s="60"/>
      <c r="D6" s="61"/>
      <c r="E6" s="61"/>
      <c r="F6" s="61"/>
      <c r="G6" s="61"/>
      <c r="H6" s="61"/>
      <c r="I6" s="61"/>
    </row>
    <row r="7" spans="1:9" ht="20.25" hidden="1" customHeight="1" x14ac:dyDescent="0.25">
      <c r="A7" t="s">
        <v>34</v>
      </c>
      <c r="B7" s="68"/>
      <c r="C7" s="69"/>
      <c r="D7" s="70"/>
      <c r="E7" s="70"/>
      <c r="F7" s="70"/>
      <c r="G7" s="70"/>
      <c r="H7" s="70"/>
      <c r="I7" s="70"/>
    </row>
    <row r="8" spans="1:9" ht="27.75" hidden="1" customHeight="1" x14ac:dyDescent="0.25">
      <c r="A8" t="s">
        <v>36</v>
      </c>
    </row>
    <row r="9" spans="1:9" ht="24" hidden="1" customHeight="1" x14ac:dyDescent="0.25">
      <c r="B9" t="str">
        <f ca="1">_xll.TM1RPTVIEW("CXMD:OTC_DATA_MARKET_ANALYSIS_COMMENTS:ARPT1", 0, _xll.TM1RPTTITLE("CXMD:Currency",$C$14), _xll.TM1RPTTITLE("CXMD:DIM_Prev_IC_mapping",$C$15), _xll.TM1RPTTITLE("CXMD:Market_Actor",$C$18), _xll.TM1RPTTITLE("CXMD:DIM_Origin_Company",$C$16), _xll.TM1RPTTITLE("CXMD:DIM_Country",$C$17),TM1RPTFMTRNG,TM1RPTFMTIDCOL)</f>
        <v>CXMD:OTC_DATA_MARKET_ANALYSIS_COMMENTS:ARPT1</v>
      </c>
    </row>
    <row r="10" spans="1:9" x14ac:dyDescent="0.25">
      <c r="B10" s="4"/>
      <c r="C10" s="4"/>
      <c r="D10" s="4"/>
      <c r="E10" s="4"/>
      <c r="F10" s="4"/>
      <c r="G10" s="4"/>
      <c r="H10" s="4"/>
      <c r="I10" s="4"/>
    </row>
    <row r="11" spans="1:9" x14ac:dyDescent="0.25">
      <c r="B11" s="4"/>
      <c r="C11" s="4"/>
      <c r="D11" s="4"/>
      <c r="E11" s="4"/>
      <c r="F11" s="4"/>
      <c r="G11" s="4"/>
      <c r="H11" s="4"/>
      <c r="I11" s="4"/>
    </row>
    <row r="12" spans="1:9" x14ac:dyDescent="0.25">
      <c r="B12" s="4"/>
      <c r="C12" s="4"/>
      <c r="D12" s="4"/>
      <c r="E12" s="4"/>
      <c r="F12" s="4"/>
      <c r="G12" s="4"/>
      <c r="H12" s="4"/>
      <c r="I12" s="4"/>
    </row>
    <row r="13" spans="1:9" ht="2.25" customHeight="1" x14ac:dyDescent="0.25">
      <c r="B13" s="47"/>
      <c r="C13" s="47"/>
      <c r="D13" s="47"/>
      <c r="E13" s="47"/>
      <c r="F13" s="47"/>
      <c r="G13" s="47"/>
      <c r="H13" s="47"/>
      <c r="I13" s="47"/>
    </row>
    <row r="14" spans="1:9" hidden="1" x14ac:dyDescent="0.25">
      <c r="B14" s="71" t="s">
        <v>0</v>
      </c>
      <c r="C14" s="4" t="str">
        <f ca="1">_xll.SUBNM("CXMD:Currency","Par défaut","CD_LC","Description EN")</f>
        <v>Local currency</v>
      </c>
      <c r="D14" s="4"/>
      <c r="E14" s="4"/>
      <c r="F14" s="4"/>
      <c r="G14" s="4"/>
      <c r="H14" s="4"/>
      <c r="I14" s="4"/>
    </row>
    <row r="15" spans="1:9" hidden="1" x14ac:dyDescent="0.25">
      <c r="B15" s="71" t="s">
        <v>1</v>
      </c>
      <c r="C15" s="4" t="str">
        <f ca="1">_xll.SUBNM("CXMD:Prev_IC_mapping","","Others")</f>
        <v>Others</v>
      </c>
      <c r="D15" s="4"/>
      <c r="E15" s="4"/>
      <c r="F15" s="4"/>
      <c r="G15" s="4"/>
      <c r="H15" s="4"/>
      <c r="I15" s="4"/>
    </row>
    <row r="16" spans="1:9" x14ac:dyDescent="0.25">
      <c r="B16" s="77" t="s">
        <v>2</v>
      </c>
      <c r="C16" s="72" t="str">
        <f ca="1">porigin_company</f>
        <v>SILVA</v>
      </c>
      <c r="D16" s="32"/>
      <c r="E16" s="32"/>
      <c r="F16" s="32"/>
      <c r="G16" s="32"/>
      <c r="H16" s="32"/>
      <c r="I16" s="10"/>
    </row>
    <row r="17" spans="1:9" x14ac:dyDescent="0.25">
      <c r="B17" s="77" t="s">
        <v>3</v>
      </c>
      <c r="C17" s="72" t="str">
        <f ca="1">pcountry</f>
        <v>Total Country SOM</v>
      </c>
      <c r="D17" s="32"/>
      <c r="E17" s="32"/>
      <c r="F17" s="32"/>
      <c r="G17" s="32"/>
      <c r="H17" s="32"/>
      <c r="I17" s="10"/>
    </row>
    <row r="18" spans="1:9" x14ac:dyDescent="0.25">
      <c r="B18" s="77" t="s">
        <v>4</v>
      </c>
      <c r="C18" s="72" t="str">
        <f ca="1">pmarket_actor</f>
        <v>Global_Market</v>
      </c>
      <c r="D18" s="32"/>
      <c r="E18" s="32"/>
      <c r="F18" s="32"/>
      <c r="G18" s="32"/>
      <c r="H18" s="32"/>
      <c r="I18" s="10"/>
    </row>
    <row r="19" spans="1:9" x14ac:dyDescent="0.25">
      <c r="B19" s="32"/>
      <c r="C19" s="32"/>
      <c r="D19" s="32"/>
      <c r="E19" s="32"/>
      <c r="F19" s="32"/>
      <c r="G19" s="32"/>
      <c r="H19" s="32"/>
      <c r="I19" s="10"/>
    </row>
    <row r="20" spans="1:9" x14ac:dyDescent="0.25">
      <c r="B20" s="32"/>
      <c r="C20" s="32"/>
      <c r="D20" s="32"/>
      <c r="E20" s="32"/>
      <c r="F20" s="32"/>
      <c r="G20" s="32"/>
      <c r="H20" s="32"/>
      <c r="I20" s="10"/>
    </row>
    <row r="21" spans="1:9" x14ac:dyDescent="0.25">
      <c r="B21" s="73" t="s">
        <v>39</v>
      </c>
      <c r="C21" s="74" t="str">
        <f ca="1">Entries!C32</f>
        <v>AC2017</v>
      </c>
      <c r="D21" s="74" t="str">
        <f ca="1">Entries!F32</f>
        <v>BU2018draft</v>
      </c>
      <c r="E21" s="74" t="str">
        <f ca="1">Entries!I32</f>
        <v>FC3_2018</v>
      </c>
      <c r="F21" s="74" t="str">
        <f ca="1">Entries!L32</f>
        <v>BU2019draft</v>
      </c>
      <c r="G21" s="74" t="e">
        <f>Entries!#REF!</f>
        <v>#REF!</v>
      </c>
      <c r="H21" s="74" t="e">
        <f>Entries!#REF!</f>
        <v>#REF!</v>
      </c>
      <c r="I21" s="74" t="e">
        <f>Entries!#REF!</f>
        <v>#REF!</v>
      </c>
    </row>
    <row r="22" spans="1:9" x14ac:dyDescent="0.25">
      <c r="B22" s="75" t="s">
        <v>37</v>
      </c>
      <c r="C22" s="74" t="s">
        <v>49</v>
      </c>
      <c r="D22" s="74" t="s">
        <v>49</v>
      </c>
      <c r="E22" s="74" t="s">
        <v>49</v>
      </c>
      <c r="F22" s="74" t="s">
        <v>49</v>
      </c>
      <c r="G22" s="74" t="s">
        <v>49</v>
      </c>
      <c r="H22" s="74" t="s">
        <v>49</v>
      </c>
      <c r="I22" s="74" t="s">
        <v>49</v>
      </c>
    </row>
    <row r="23" spans="1:9" x14ac:dyDescent="0.25">
      <c r="A23">
        <f ca="1">IF(_xll.TM1RPTELISCONSOLIDATED($B$23,$B23),IF(_xll.TM1RPTELLEV($B$23,$B23)&lt;=3,_xll.TM1RPTELLEV($B$23,$B23),"D"),"N")</f>
        <v>0</v>
      </c>
      <c r="B23" s="79" t="str">
        <f ca="1">_xll.TM1RPTROW($B$9,"CXMD:DIM_Configuration","Product_Line",,"Description EN",0)</f>
        <v>TOTAL PRODUCT</v>
      </c>
      <c r="C23" s="57" t="str">
        <f ca="1">_xll.DBRW($B$9,$C$14,$C$15,$C$18,C$21,$C$16,$C$17,$B23,C$22)</f>
        <v/>
      </c>
      <c r="D23" s="58" t="str">
        <f ca="1">_xll.DBRW($B$9,$C$14,$C$15,$C$18,D$21,$C$16,$C$17,$B23,D$22)</f>
        <v/>
      </c>
      <c r="E23" s="58" t="str">
        <f ca="1">_xll.DBRW($B$9,$C$14,$C$15,$C$18,E$21,$C$16,$C$17,$B23,E$22)</f>
        <v/>
      </c>
      <c r="F23" s="58" t="str">
        <f ca="1">_xll.DBRW($B$9,$C$14,$C$15,$C$18,F$21,$C$16,$C$17,$B23,F$22)</f>
        <v/>
      </c>
      <c r="G23" s="58" t="str">
        <f ca="1">_xll.DBRW($B$9,$C$14,$C$15,$C$18,G$21,$C$16,$C$17,$B23,G$22)</f>
        <v>*KEY_ERR</v>
      </c>
      <c r="H23" s="58" t="str">
        <f ca="1">_xll.DBRW($B$9,$C$14,$C$15,$C$18,H$21,$C$16,$C$17,$B23,H$22)</f>
        <v>*KEY_ERR</v>
      </c>
      <c r="I23" s="58" t="str">
        <f ca="1">_xll.DBRW($B$9,$C$14,$C$15,$C$18,I$21,$C$16,$C$17,$B23,I$22)</f>
        <v>*KEY_ERR</v>
      </c>
    </row>
    <row r="24" spans="1:9" x14ac:dyDescent="0.25">
      <c r="A24">
        <f ca="1">IF(_xll.TM1RPTELISCONSOLIDATED($B$23,$B24),IF(_xll.TM1RPTELLEV($B$23,$B24)&lt;=3,_xll.TM1RPTELLEV($B$23,$B24),"D"),"N")</f>
        <v>1</v>
      </c>
      <c r="B24" s="76" t="s">
        <v>51</v>
      </c>
      <c r="C24" s="60" t="str">
        <f ca="1">_xll.DBRW($B$9,$C$14,$C$15,$C$18,C$21,$C$16,$C$17,$B24,C$22)</f>
        <v/>
      </c>
      <c r="D24" s="61" t="str">
        <f ca="1">_xll.DBRW($B$9,$C$14,$C$15,$C$18,D$21,$C$16,$C$17,$B24,D$22)</f>
        <v/>
      </c>
      <c r="E24" s="61" t="str">
        <f ca="1">_xll.DBRW($B$9,$C$14,$C$15,$C$18,E$21,$C$16,$C$17,$B24,E$22)</f>
        <v/>
      </c>
      <c r="F24" s="61" t="str">
        <f ca="1">_xll.DBRW($B$9,$C$14,$C$15,$C$18,F$21,$C$16,$C$17,$B24,F$22)</f>
        <v/>
      </c>
      <c r="G24" s="61" t="str">
        <f ca="1">_xll.DBRW($B$9,$C$14,$C$15,$C$18,G$21,$C$16,$C$17,$B24,G$22)</f>
        <v>*KEY_ERR</v>
      </c>
      <c r="H24" s="61" t="str">
        <f ca="1">_xll.DBRW($B$9,$C$14,$C$15,$C$18,H$21,$C$16,$C$17,$B24,H$22)</f>
        <v>*KEY_ERR</v>
      </c>
      <c r="I24" s="61" t="str">
        <f ca="1">_xll.DBRW($B$9,$C$14,$C$15,$C$18,I$21,$C$16,$C$17,$B24,I$22)</f>
        <v>*KEY_ERR</v>
      </c>
    </row>
    <row r="25" spans="1:9" x14ac:dyDescent="0.25">
      <c r="A25">
        <f ca="1">IF(_xll.TM1RPTELISCONSOLIDATED($B$23,$B25),IF(_xll.TM1RPTELLEV($B$23,$B25)&lt;=3,_xll.TM1RPTELLEV($B$23,$B25),"D"),"N")</f>
        <v>1</v>
      </c>
      <c r="B25" s="76" t="s">
        <v>52</v>
      </c>
      <c r="C25" s="60" t="str">
        <f ca="1">_xll.DBRW($B$9,$C$14,$C$15,$C$18,C$21,$C$16,$C$17,$B25,C$22)</f>
        <v/>
      </c>
      <c r="D25" s="61" t="str">
        <f ca="1">_xll.DBRW($B$9,$C$14,$C$15,$C$18,D$21,$C$16,$C$17,$B25,D$22)</f>
        <v/>
      </c>
      <c r="E25" s="61" t="str">
        <f ca="1">_xll.DBRW($B$9,$C$14,$C$15,$C$18,E$21,$C$16,$C$17,$B25,E$22)</f>
        <v/>
      </c>
      <c r="F25" s="61" t="str">
        <f ca="1">_xll.DBRW($B$9,$C$14,$C$15,$C$18,F$21,$C$16,$C$17,$B25,F$22)</f>
        <v/>
      </c>
      <c r="G25" s="61" t="str">
        <f ca="1">_xll.DBRW($B$9,$C$14,$C$15,$C$18,G$21,$C$16,$C$17,$B25,G$22)</f>
        <v>*KEY_ERR</v>
      </c>
      <c r="H25" s="61" t="str">
        <f ca="1">_xll.DBRW($B$9,$C$14,$C$15,$C$18,H$21,$C$16,$C$17,$B25,H$22)</f>
        <v>*KEY_ERR</v>
      </c>
      <c r="I25" s="61" t="str">
        <f ca="1">_xll.DBRW($B$9,$C$14,$C$15,$C$18,I$21,$C$16,$C$17,$B25,I$22)</f>
        <v>*KEY_ERR</v>
      </c>
    </row>
    <row r="26" spans="1:9" x14ac:dyDescent="0.25">
      <c r="A26">
        <f ca="1">IF(_xll.TM1RPTELISCONSOLIDATED($B$23,$B26),IF(_xll.TM1RPTELLEV($B$23,$B26)&lt;=3,_xll.TM1RPTELLEV($B$23,$B26),"D"),"N")</f>
        <v>1</v>
      </c>
      <c r="B26" s="76" t="s">
        <v>53</v>
      </c>
      <c r="C26" s="60" t="str">
        <f ca="1">_xll.DBRW($B$9,$C$14,$C$15,$C$18,C$21,$C$16,$C$17,$B26,C$22)</f>
        <v/>
      </c>
      <c r="D26" s="61" t="str">
        <f ca="1">_xll.DBRW($B$9,$C$14,$C$15,$C$18,D$21,$C$16,$C$17,$B26,D$22)</f>
        <v/>
      </c>
      <c r="E26" s="61" t="str">
        <f ca="1">_xll.DBRW($B$9,$C$14,$C$15,$C$18,E$21,$C$16,$C$17,$B26,E$22)</f>
        <v/>
      </c>
      <c r="F26" s="61" t="str">
        <f ca="1">_xll.DBRW($B$9,$C$14,$C$15,$C$18,F$21,$C$16,$C$17,$B26,F$22)</f>
        <v/>
      </c>
      <c r="G26" s="61" t="str">
        <f ca="1">_xll.DBRW($B$9,$C$14,$C$15,$C$18,G$21,$C$16,$C$17,$B26,G$22)</f>
        <v>*KEY_ERR</v>
      </c>
      <c r="H26" s="61" t="str">
        <f ca="1">_xll.DBRW($B$9,$C$14,$C$15,$C$18,H$21,$C$16,$C$17,$B26,H$22)</f>
        <v>*KEY_ERR</v>
      </c>
      <c r="I26" s="61" t="str">
        <f ca="1">_xll.DBRW($B$9,$C$14,$C$15,$C$18,I$21,$C$16,$C$17,$B26,I$22)</f>
        <v>*KEY_ERR</v>
      </c>
    </row>
    <row r="27" spans="1:9" x14ac:dyDescent="0.25">
      <c r="A27">
        <f ca="1">IF(_xll.TM1RPTELISCONSOLIDATED($B$23,$B27),IF(_xll.TM1RPTELLEV($B$23,$B27)&lt;=3,_xll.TM1RPTELLEV($B$23,$B27),"D"),"N")</f>
        <v>1</v>
      </c>
      <c r="B27" s="76" t="s">
        <v>54</v>
      </c>
      <c r="C27" s="60" t="str">
        <f ca="1">_xll.DBRW($B$9,$C$14,$C$15,$C$18,C$21,$C$16,$C$17,$B27,C$22)</f>
        <v/>
      </c>
      <c r="D27" s="61" t="str">
        <f ca="1">_xll.DBRW($B$9,$C$14,$C$15,$C$18,D$21,$C$16,$C$17,$B27,D$22)</f>
        <v/>
      </c>
      <c r="E27" s="61" t="str">
        <f ca="1">_xll.DBRW($B$9,$C$14,$C$15,$C$18,E$21,$C$16,$C$17,$B27,E$22)</f>
        <v/>
      </c>
      <c r="F27" s="61" t="str">
        <f ca="1">_xll.DBRW($B$9,$C$14,$C$15,$C$18,F$21,$C$16,$C$17,$B27,F$22)</f>
        <v/>
      </c>
      <c r="G27" s="61" t="str">
        <f ca="1">_xll.DBRW($B$9,$C$14,$C$15,$C$18,G$21,$C$16,$C$17,$B27,G$22)</f>
        <v>*KEY_ERR</v>
      </c>
      <c r="H27" s="61" t="str">
        <f ca="1">_xll.DBRW($B$9,$C$14,$C$15,$C$18,H$21,$C$16,$C$17,$B27,H$22)</f>
        <v>*KEY_ERR</v>
      </c>
      <c r="I27" s="61" t="str">
        <f ca="1">_xll.DBRW($B$9,$C$14,$C$15,$C$18,I$21,$C$16,$C$17,$B27,I$22)</f>
        <v>*KEY_ERR</v>
      </c>
    </row>
    <row r="28" spans="1:9" x14ac:dyDescent="0.25">
      <c r="A28">
        <f ca="1">IF(_xll.TM1RPTELISCONSOLIDATED($B$23,$B28),IF(_xll.TM1RPTELLEV($B$23,$B28)&lt;=3,_xll.TM1RPTELLEV($B$23,$B28),"D"),"N")</f>
        <v>1</v>
      </c>
      <c r="B28" s="76" t="s">
        <v>55</v>
      </c>
      <c r="C28" s="60" t="str">
        <f ca="1">_xll.DBRW($B$9,$C$14,$C$15,$C$18,C$21,$C$16,$C$17,$B28,C$22)</f>
        <v/>
      </c>
      <c r="D28" s="61" t="str">
        <f ca="1">_xll.DBRW($B$9,$C$14,$C$15,$C$18,D$21,$C$16,$C$17,$B28,D$22)</f>
        <v/>
      </c>
      <c r="E28" s="61" t="str">
        <f ca="1">_xll.DBRW($B$9,$C$14,$C$15,$C$18,E$21,$C$16,$C$17,$B28,E$22)</f>
        <v/>
      </c>
      <c r="F28" s="61" t="str">
        <f ca="1">_xll.DBRW($B$9,$C$14,$C$15,$C$18,F$21,$C$16,$C$17,$B28,F$22)</f>
        <v/>
      </c>
      <c r="G28" s="61" t="str">
        <f ca="1">_xll.DBRW($B$9,$C$14,$C$15,$C$18,G$21,$C$16,$C$17,$B28,G$22)</f>
        <v>*KEY_ERR</v>
      </c>
      <c r="H28" s="61" t="str">
        <f ca="1">_xll.DBRW($B$9,$C$14,$C$15,$C$18,H$21,$C$16,$C$17,$B28,H$22)</f>
        <v>*KEY_ERR</v>
      </c>
      <c r="I28" s="61" t="str">
        <f ca="1">_xll.DBRW($B$9,$C$14,$C$15,$C$18,I$21,$C$16,$C$17,$B28,I$22)</f>
        <v>*KEY_ERR</v>
      </c>
    </row>
    <row r="29" spans="1:9" x14ac:dyDescent="0.25">
      <c r="A29">
        <f ca="1">IF(_xll.TM1RPTELISCONSOLIDATED($B$23,$B29),IF(_xll.TM1RPTELLEV($B$23,$B29)&lt;=3,_xll.TM1RPTELLEV($B$23,$B29),"D"),"N")</f>
        <v>1</v>
      </c>
      <c r="B29" s="76" t="s">
        <v>56</v>
      </c>
      <c r="C29" s="60" t="str">
        <f ca="1">_xll.DBRW($B$9,$C$14,$C$15,$C$18,C$21,$C$16,$C$17,$B29,C$22)</f>
        <v/>
      </c>
      <c r="D29" s="61" t="str">
        <f ca="1">_xll.DBRW($B$9,$C$14,$C$15,$C$18,D$21,$C$16,$C$17,$B29,D$22)</f>
        <v/>
      </c>
      <c r="E29" s="61" t="str">
        <f ca="1">_xll.DBRW($B$9,$C$14,$C$15,$C$18,E$21,$C$16,$C$17,$B29,E$22)</f>
        <v/>
      </c>
      <c r="F29" s="61" t="str">
        <f ca="1">_xll.DBRW($B$9,$C$14,$C$15,$C$18,F$21,$C$16,$C$17,$B29,F$22)</f>
        <v/>
      </c>
      <c r="G29" s="61" t="str">
        <f ca="1">_xll.DBRW($B$9,$C$14,$C$15,$C$18,G$21,$C$16,$C$17,$B29,G$22)</f>
        <v>*KEY_ERR</v>
      </c>
      <c r="H29" s="61" t="str">
        <f ca="1">_xll.DBRW($B$9,$C$14,$C$15,$C$18,H$21,$C$16,$C$17,$B29,H$22)</f>
        <v>*KEY_ERR</v>
      </c>
      <c r="I29" s="61" t="str">
        <f ca="1">_xll.DBRW($B$9,$C$14,$C$15,$C$18,I$21,$C$16,$C$17,$B29,I$22)</f>
        <v>*KEY_ERR</v>
      </c>
    </row>
    <row r="30" spans="1:9" x14ac:dyDescent="0.25">
      <c r="A30">
        <f ca="1">IF(_xll.TM1RPTELISCONSOLIDATED($B$23,$B30),IF(_xll.TM1RPTELLEV($B$23,$B30)&lt;=3,_xll.TM1RPTELLEV($B$23,$B30),"D"),"N")</f>
        <v>1</v>
      </c>
      <c r="B30" s="76" t="s">
        <v>57</v>
      </c>
      <c r="C30" s="60" t="str">
        <f ca="1">_xll.DBRW($B$9,$C$14,$C$15,$C$18,C$21,$C$16,$C$17,$B30,C$22)</f>
        <v/>
      </c>
      <c r="D30" s="61" t="str">
        <f ca="1">_xll.DBRW($B$9,$C$14,$C$15,$C$18,D$21,$C$16,$C$17,$B30,D$22)</f>
        <v/>
      </c>
      <c r="E30" s="61" t="str">
        <f ca="1">_xll.DBRW($B$9,$C$14,$C$15,$C$18,E$21,$C$16,$C$17,$B30,E$22)</f>
        <v/>
      </c>
      <c r="F30" s="61" t="str">
        <f ca="1">_xll.DBRW($B$9,$C$14,$C$15,$C$18,F$21,$C$16,$C$17,$B30,F$22)</f>
        <v/>
      </c>
      <c r="G30" s="61" t="str">
        <f ca="1">_xll.DBRW($B$9,$C$14,$C$15,$C$18,G$21,$C$16,$C$17,$B30,G$22)</f>
        <v>*KEY_ERR</v>
      </c>
      <c r="H30" s="61" t="str">
        <f ca="1">_xll.DBRW($B$9,$C$14,$C$15,$C$18,H$21,$C$16,$C$17,$B30,H$22)</f>
        <v>*KEY_ERR</v>
      </c>
      <c r="I30" s="61" t="str">
        <f ca="1">_xll.DBRW($B$9,$C$14,$C$15,$C$18,I$21,$C$16,$C$17,$B30,I$22)</f>
        <v>*KEY_ERR</v>
      </c>
    </row>
    <row r="31" spans="1:9" x14ac:dyDescent="0.25">
      <c r="A31">
        <f ca="1">IF(_xll.TM1RPTELISCONSOLIDATED($B$23,$B31),IF(_xll.TM1RPTELLEV($B$23,$B31)&lt;=3,_xll.TM1RPTELLEV($B$23,$B31),"D"),"N")</f>
        <v>1</v>
      </c>
      <c r="B31" s="76" t="s">
        <v>58</v>
      </c>
      <c r="C31" s="60" t="str">
        <f ca="1">_xll.DBRW($B$9,$C$14,$C$15,$C$18,C$21,$C$16,$C$17,$B31,C$22)</f>
        <v/>
      </c>
      <c r="D31" s="61" t="str">
        <f ca="1">_xll.DBRW($B$9,$C$14,$C$15,$C$18,D$21,$C$16,$C$17,$B31,D$22)</f>
        <v/>
      </c>
      <c r="E31" s="61" t="str">
        <f ca="1">_xll.DBRW($B$9,$C$14,$C$15,$C$18,E$21,$C$16,$C$17,$B31,E$22)</f>
        <v/>
      </c>
      <c r="F31" s="61" t="str">
        <f ca="1">_xll.DBRW($B$9,$C$14,$C$15,$C$18,F$21,$C$16,$C$17,$B31,F$22)</f>
        <v/>
      </c>
      <c r="G31" s="61" t="str">
        <f ca="1">_xll.DBRW($B$9,$C$14,$C$15,$C$18,G$21,$C$16,$C$17,$B31,G$22)</f>
        <v>*KEY_ERR</v>
      </c>
      <c r="H31" s="61" t="str">
        <f ca="1">_xll.DBRW($B$9,$C$14,$C$15,$C$18,H$21,$C$16,$C$17,$B31,H$22)</f>
        <v>*KEY_ERR</v>
      </c>
      <c r="I31" s="61" t="str">
        <f ca="1">_xll.DBRW($B$9,$C$14,$C$15,$C$18,I$21,$C$16,$C$17,$B31,I$22)</f>
        <v>*KEY_ERR</v>
      </c>
    </row>
    <row r="32" spans="1:9" x14ac:dyDescent="0.25">
      <c r="A32">
        <f ca="1">IF(_xll.TM1RPTELISCONSOLIDATED($B$23,$B32),IF(_xll.TM1RPTELLEV($B$23,$B32)&lt;=3,_xll.TM1RPTELLEV($B$23,$B32),"D"),"N")</f>
        <v>1</v>
      </c>
      <c r="B32" s="76" t="s">
        <v>59</v>
      </c>
      <c r="C32" s="60" t="str">
        <f ca="1">_xll.DBRW($B$9,$C$14,$C$15,$C$18,C$21,$C$16,$C$17,$B32,C$22)</f>
        <v/>
      </c>
      <c r="D32" s="61" t="str">
        <f ca="1">_xll.DBRW($B$9,$C$14,$C$15,$C$18,D$21,$C$16,$C$17,$B32,D$22)</f>
        <v/>
      </c>
      <c r="E32" s="61" t="str">
        <f ca="1">_xll.DBRW($B$9,$C$14,$C$15,$C$18,E$21,$C$16,$C$17,$B32,E$22)</f>
        <v/>
      </c>
      <c r="F32" s="61" t="str">
        <f ca="1">_xll.DBRW($B$9,$C$14,$C$15,$C$18,F$21,$C$16,$C$17,$B32,F$22)</f>
        <v/>
      </c>
      <c r="G32" s="61" t="str">
        <f ca="1">_xll.DBRW($B$9,$C$14,$C$15,$C$18,G$21,$C$16,$C$17,$B32,G$22)</f>
        <v>*KEY_ERR</v>
      </c>
      <c r="H32" s="61" t="str">
        <f ca="1">_xll.DBRW($B$9,$C$14,$C$15,$C$18,H$21,$C$16,$C$17,$B32,H$22)</f>
        <v>*KEY_ERR</v>
      </c>
      <c r="I32" s="61" t="str">
        <f ca="1">_xll.DBRW($B$9,$C$14,$C$15,$C$18,I$21,$C$16,$C$17,$B32,I$22)</f>
        <v>*KEY_ERR</v>
      </c>
    </row>
    <row r="33" spans="1:9" x14ac:dyDescent="0.25">
      <c r="A33">
        <f ca="1">IF(_xll.TM1RPTELISCONSOLIDATED($B$23,$B33),IF(_xll.TM1RPTELLEV($B$23,$B33)&lt;=3,_xll.TM1RPTELLEV($B$23,$B33),"D"),"N")</f>
        <v>1</v>
      </c>
      <c r="B33" s="76" t="s">
        <v>60</v>
      </c>
      <c r="C33" s="60" t="str">
        <f ca="1">_xll.DBRW($B$9,$C$14,$C$15,$C$18,C$21,$C$16,$C$17,$B33,C$22)</f>
        <v/>
      </c>
      <c r="D33" s="61" t="str">
        <f ca="1">_xll.DBRW($B$9,$C$14,$C$15,$C$18,D$21,$C$16,$C$17,$B33,D$22)</f>
        <v/>
      </c>
      <c r="E33" s="61" t="str">
        <f ca="1">_xll.DBRW($B$9,$C$14,$C$15,$C$18,E$21,$C$16,$C$17,$B33,E$22)</f>
        <v/>
      </c>
      <c r="F33" s="61" t="str">
        <f ca="1">_xll.DBRW($B$9,$C$14,$C$15,$C$18,F$21,$C$16,$C$17,$B33,F$22)</f>
        <v/>
      </c>
      <c r="G33" s="61" t="str">
        <f ca="1">_xll.DBRW($B$9,$C$14,$C$15,$C$18,G$21,$C$16,$C$17,$B33,G$22)</f>
        <v>*KEY_ERR</v>
      </c>
      <c r="H33" s="61" t="str">
        <f ca="1">_xll.DBRW($B$9,$C$14,$C$15,$C$18,H$21,$C$16,$C$17,$B33,H$22)</f>
        <v>*KEY_ERR</v>
      </c>
      <c r="I33" s="61" t="str">
        <f ca="1">_xll.DBRW($B$9,$C$14,$C$15,$C$18,I$21,$C$16,$C$17,$B33,I$22)</f>
        <v>*KEY_ERR</v>
      </c>
    </row>
    <row r="34" spans="1:9" x14ac:dyDescent="0.25">
      <c r="A34">
        <f ca="1">IF(_xll.TM1RPTELISCONSOLIDATED($B$23,$B34),IF(_xll.TM1RPTELLEV($B$23,$B34)&lt;=3,_xll.TM1RPTELLEV($B$23,$B34),"D"),"N")</f>
        <v>1</v>
      </c>
      <c r="B34" s="76" t="s">
        <v>61</v>
      </c>
      <c r="C34" s="60" t="str">
        <f ca="1">_xll.DBRW($B$9,$C$14,$C$15,$C$18,C$21,$C$16,$C$17,$B34,C$22)</f>
        <v/>
      </c>
      <c r="D34" s="61" t="str">
        <f ca="1">_xll.DBRW($B$9,$C$14,$C$15,$C$18,D$21,$C$16,$C$17,$B34,D$22)</f>
        <v/>
      </c>
      <c r="E34" s="61" t="str">
        <f ca="1">_xll.DBRW($B$9,$C$14,$C$15,$C$18,E$21,$C$16,$C$17,$B34,E$22)</f>
        <v/>
      </c>
      <c r="F34" s="61" t="str">
        <f ca="1">_xll.DBRW($B$9,$C$14,$C$15,$C$18,F$21,$C$16,$C$17,$B34,F$22)</f>
        <v/>
      </c>
      <c r="G34" s="61" t="str">
        <f ca="1">_xll.DBRW($B$9,$C$14,$C$15,$C$18,G$21,$C$16,$C$17,$B34,G$22)</f>
        <v>*KEY_ERR</v>
      </c>
      <c r="H34" s="61" t="str">
        <f ca="1">_xll.DBRW($B$9,$C$14,$C$15,$C$18,H$21,$C$16,$C$17,$B34,H$22)</f>
        <v>*KEY_ERR</v>
      </c>
      <c r="I34" s="61" t="str">
        <f ca="1">_xll.DBRW($B$9,$C$14,$C$15,$C$18,I$21,$C$16,$C$17,$B34,I$22)</f>
        <v>*KEY_ERR</v>
      </c>
    </row>
    <row r="35" spans="1:9" x14ac:dyDescent="0.25">
      <c r="A35">
        <f ca="1">IF(_xll.TM1RPTELISCONSOLIDATED($B$23,$B35),IF(_xll.TM1RPTELLEV($B$23,$B35)&lt;=3,_xll.TM1RPTELLEV($B$23,$B35),"D"),"N")</f>
        <v>1</v>
      </c>
      <c r="B35" s="76" t="s">
        <v>62</v>
      </c>
      <c r="C35" s="60" t="str">
        <f ca="1">_xll.DBRW($B$9,$C$14,$C$15,$C$18,C$21,$C$16,$C$17,$B35,C$22)</f>
        <v/>
      </c>
      <c r="D35" s="61" t="str">
        <f ca="1">_xll.DBRW($B$9,$C$14,$C$15,$C$18,D$21,$C$16,$C$17,$B35,D$22)</f>
        <v/>
      </c>
      <c r="E35" s="61" t="str">
        <f ca="1">_xll.DBRW($B$9,$C$14,$C$15,$C$18,E$21,$C$16,$C$17,$B35,E$22)</f>
        <v/>
      </c>
      <c r="F35" s="61" t="str">
        <f ca="1">_xll.DBRW($B$9,$C$14,$C$15,$C$18,F$21,$C$16,$C$17,$B35,F$22)</f>
        <v/>
      </c>
      <c r="G35" s="61" t="str">
        <f ca="1">_xll.DBRW($B$9,$C$14,$C$15,$C$18,G$21,$C$16,$C$17,$B35,G$22)</f>
        <v>*KEY_ERR</v>
      </c>
      <c r="H35" s="61" t="str">
        <f ca="1">_xll.DBRW($B$9,$C$14,$C$15,$C$18,H$21,$C$16,$C$17,$B35,H$22)</f>
        <v>*KEY_ERR</v>
      </c>
      <c r="I35" s="61" t="str">
        <f ca="1">_xll.DBRW($B$9,$C$14,$C$15,$C$18,I$21,$C$16,$C$17,$B35,I$22)</f>
        <v>*KEY_ERR</v>
      </c>
    </row>
    <row r="36" spans="1:9" x14ac:dyDescent="0.25">
      <c r="A36">
        <f ca="1">IF(_xll.TM1RPTELISCONSOLIDATED($B$23,$B36),IF(_xll.TM1RPTELLEV($B$23,$B36)&lt;=3,_xll.TM1RPTELLEV($B$23,$B36),"D"),"N")</f>
        <v>1</v>
      </c>
      <c r="B36" s="76" t="s">
        <v>63</v>
      </c>
      <c r="C36" s="60" t="str">
        <f ca="1">_xll.DBRW($B$9,$C$14,$C$15,$C$18,C$21,$C$16,$C$17,$B36,C$22)</f>
        <v/>
      </c>
      <c r="D36" s="61" t="str">
        <f ca="1">_xll.DBRW($B$9,$C$14,$C$15,$C$18,D$21,$C$16,$C$17,$B36,D$22)</f>
        <v/>
      </c>
      <c r="E36" s="61" t="str">
        <f ca="1">_xll.DBRW($B$9,$C$14,$C$15,$C$18,E$21,$C$16,$C$17,$B36,E$22)</f>
        <v/>
      </c>
      <c r="F36" s="61" t="str">
        <f ca="1">_xll.DBRW($B$9,$C$14,$C$15,$C$18,F$21,$C$16,$C$17,$B36,F$22)</f>
        <v/>
      </c>
      <c r="G36" s="61" t="str">
        <f ca="1">_xll.DBRW($B$9,$C$14,$C$15,$C$18,G$21,$C$16,$C$17,$B36,G$22)</f>
        <v>*KEY_ERR</v>
      </c>
      <c r="H36" s="61" t="str">
        <f ca="1">_xll.DBRW($B$9,$C$14,$C$15,$C$18,H$21,$C$16,$C$17,$B36,H$22)</f>
        <v>*KEY_ERR</v>
      </c>
      <c r="I36" s="61" t="str">
        <f ca="1">_xll.DBRW($B$9,$C$14,$C$15,$C$18,I$21,$C$16,$C$17,$B36,I$22)</f>
        <v>*KEY_ERR</v>
      </c>
    </row>
    <row r="37" spans="1:9" x14ac:dyDescent="0.25">
      <c r="A37">
        <f ca="1">IF(_xll.TM1RPTELISCONSOLIDATED($B$23,$B37),IF(_xll.TM1RPTELLEV($B$23,$B37)&lt;=3,_xll.TM1RPTELLEV($B$23,$B37),"D"),"N")</f>
        <v>1</v>
      </c>
      <c r="B37" s="76" t="s">
        <v>64</v>
      </c>
      <c r="C37" s="60" t="str">
        <f ca="1">_xll.DBRW($B$9,$C$14,$C$15,$C$18,C$21,$C$16,$C$17,$B37,C$22)</f>
        <v/>
      </c>
      <c r="D37" s="61" t="str">
        <f ca="1">_xll.DBRW($B$9,$C$14,$C$15,$C$18,D$21,$C$16,$C$17,$B37,D$22)</f>
        <v/>
      </c>
      <c r="E37" s="61" t="str">
        <f ca="1">_xll.DBRW($B$9,$C$14,$C$15,$C$18,E$21,$C$16,$C$17,$B37,E$22)</f>
        <v/>
      </c>
      <c r="F37" s="61" t="str">
        <f ca="1">_xll.DBRW($B$9,$C$14,$C$15,$C$18,F$21,$C$16,$C$17,$B37,F$22)</f>
        <v/>
      </c>
      <c r="G37" s="61" t="str">
        <f ca="1">_xll.DBRW($B$9,$C$14,$C$15,$C$18,G$21,$C$16,$C$17,$B37,G$22)</f>
        <v>*KEY_ERR</v>
      </c>
      <c r="H37" s="61" t="str">
        <f ca="1">_xll.DBRW($B$9,$C$14,$C$15,$C$18,H$21,$C$16,$C$17,$B37,H$22)</f>
        <v>*KEY_ERR</v>
      </c>
      <c r="I37" s="61" t="str">
        <f ca="1">_xll.DBRW($B$9,$C$14,$C$15,$C$18,I$21,$C$16,$C$17,$B37,I$22)</f>
        <v>*KEY_ERR</v>
      </c>
    </row>
    <row r="38" spans="1:9" x14ac:dyDescent="0.25">
      <c r="A38">
        <f ca="1">IF(_xll.TM1RPTELISCONSOLIDATED($B$23,$B38),IF(_xll.TM1RPTELLEV($B$23,$B38)&lt;=3,_xll.TM1RPTELLEV($B$23,$B38),"D"),"N")</f>
        <v>1</v>
      </c>
      <c r="B38" s="76" t="s">
        <v>65</v>
      </c>
      <c r="C38" s="60" t="str">
        <f ca="1">_xll.DBRW($B$9,$C$14,$C$15,$C$18,C$21,$C$16,$C$17,$B38,C$22)</f>
        <v/>
      </c>
      <c r="D38" s="61" t="str">
        <f ca="1">_xll.DBRW($B$9,$C$14,$C$15,$C$18,D$21,$C$16,$C$17,$B38,D$22)</f>
        <v/>
      </c>
      <c r="E38" s="61" t="str">
        <f ca="1">_xll.DBRW($B$9,$C$14,$C$15,$C$18,E$21,$C$16,$C$17,$B38,E$22)</f>
        <v/>
      </c>
      <c r="F38" s="61" t="str">
        <f ca="1">_xll.DBRW($B$9,$C$14,$C$15,$C$18,F$21,$C$16,$C$17,$B38,F$22)</f>
        <v/>
      </c>
      <c r="G38" s="61" t="str">
        <f ca="1">_xll.DBRW($B$9,$C$14,$C$15,$C$18,G$21,$C$16,$C$17,$B38,G$22)</f>
        <v>*KEY_ERR</v>
      </c>
      <c r="H38" s="61" t="str">
        <f ca="1">_xll.DBRW($B$9,$C$14,$C$15,$C$18,H$21,$C$16,$C$17,$B38,H$22)</f>
        <v>*KEY_ERR</v>
      </c>
      <c r="I38" s="61" t="str">
        <f ca="1">_xll.DBRW($B$9,$C$14,$C$15,$C$18,I$21,$C$16,$C$17,$B38,I$22)</f>
        <v>*KEY_ERR</v>
      </c>
    </row>
    <row r="39" spans="1:9" x14ac:dyDescent="0.25">
      <c r="A39">
        <f ca="1">IF(_xll.TM1RPTELISCONSOLIDATED($B$23,$B39),IF(_xll.TM1RPTELLEV($B$23,$B39)&lt;=3,_xll.TM1RPTELLEV($B$23,$B39),"D"),"N")</f>
        <v>1</v>
      </c>
      <c r="B39" s="76" t="s">
        <v>66</v>
      </c>
      <c r="C39" s="60" t="str">
        <f ca="1">_xll.DBRW($B$9,$C$14,$C$15,$C$18,C$21,$C$16,$C$17,$B39,C$22)</f>
        <v/>
      </c>
      <c r="D39" s="61" t="str">
        <f ca="1">_xll.DBRW($B$9,$C$14,$C$15,$C$18,D$21,$C$16,$C$17,$B39,D$22)</f>
        <v/>
      </c>
      <c r="E39" s="61" t="str">
        <f ca="1">_xll.DBRW($B$9,$C$14,$C$15,$C$18,E$21,$C$16,$C$17,$B39,E$22)</f>
        <v/>
      </c>
      <c r="F39" s="61" t="str">
        <f ca="1">_xll.DBRW($B$9,$C$14,$C$15,$C$18,F$21,$C$16,$C$17,$B39,F$22)</f>
        <v/>
      </c>
      <c r="G39" s="61" t="str">
        <f ca="1">_xll.DBRW($B$9,$C$14,$C$15,$C$18,G$21,$C$16,$C$17,$B39,G$22)</f>
        <v>*KEY_ERR</v>
      </c>
      <c r="H39" s="61" t="str">
        <f ca="1">_xll.DBRW($B$9,$C$14,$C$15,$C$18,H$21,$C$16,$C$17,$B39,H$22)</f>
        <v>*KEY_ERR</v>
      </c>
      <c r="I39" s="61" t="str">
        <f ca="1">_xll.DBRW($B$9,$C$14,$C$15,$C$18,I$21,$C$16,$C$17,$B39,I$22)</f>
        <v>*KEY_ERR</v>
      </c>
    </row>
    <row r="40" spans="1:9" x14ac:dyDescent="0.25">
      <c r="A40">
        <f ca="1">IF(_xll.TM1RPTELISCONSOLIDATED($B$23,$B40),IF(_xll.TM1RPTELLEV($B$23,$B40)&lt;=3,_xll.TM1RPTELLEV($B$23,$B40),"D"),"N")</f>
        <v>1</v>
      </c>
      <c r="B40" s="76" t="s">
        <v>67</v>
      </c>
      <c r="C40" s="60" t="str">
        <f ca="1">_xll.DBRW($B$9,$C$14,$C$15,$C$18,C$21,$C$16,$C$17,$B40,C$22)</f>
        <v/>
      </c>
      <c r="D40" s="61" t="str">
        <f ca="1">_xll.DBRW($B$9,$C$14,$C$15,$C$18,D$21,$C$16,$C$17,$B40,D$22)</f>
        <v/>
      </c>
      <c r="E40" s="61" t="str">
        <f ca="1">_xll.DBRW($B$9,$C$14,$C$15,$C$18,E$21,$C$16,$C$17,$B40,E$22)</f>
        <v/>
      </c>
      <c r="F40" s="61" t="str">
        <f ca="1">_xll.DBRW($B$9,$C$14,$C$15,$C$18,F$21,$C$16,$C$17,$B40,F$22)</f>
        <v/>
      </c>
      <c r="G40" s="61" t="str">
        <f ca="1">_xll.DBRW($B$9,$C$14,$C$15,$C$18,G$21,$C$16,$C$17,$B40,G$22)</f>
        <v>*KEY_ERR</v>
      </c>
      <c r="H40" s="61" t="str">
        <f ca="1">_xll.DBRW($B$9,$C$14,$C$15,$C$18,H$21,$C$16,$C$17,$B40,H$22)</f>
        <v>*KEY_ERR</v>
      </c>
      <c r="I40" s="61" t="str">
        <f ca="1">_xll.DBRW($B$9,$C$14,$C$15,$C$18,I$21,$C$16,$C$17,$B40,I$22)</f>
        <v>*KEY_ERR</v>
      </c>
    </row>
    <row r="41" spans="1:9" x14ac:dyDescent="0.25">
      <c r="A41">
        <f ca="1">IF(_xll.TM1RPTELISCONSOLIDATED($B$23,$B41),IF(_xll.TM1RPTELLEV($B$23,$B41)&lt;=3,_xll.TM1RPTELLEV($B$23,$B41),"D"),"N")</f>
        <v>1</v>
      </c>
      <c r="B41" s="76" t="s">
        <v>68</v>
      </c>
      <c r="C41" s="60" t="str">
        <f ca="1">_xll.DBRW($B$9,$C$14,$C$15,$C$18,C$21,$C$16,$C$17,$B41,C$22)</f>
        <v/>
      </c>
      <c r="D41" s="61" t="str">
        <f ca="1">_xll.DBRW($B$9,$C$14,$C$15,$C$18,D$21,$C$16,$C$17,$B41,D$22)</f>
        <v/>
      </c>
      <c r="E41" s="61" t="str">
        <f ca="1">_xll.DBRW($B$9,$C$14,$C$15,$C$18,E$21,$C$16,$C$17,$B41,E$22)</f>
        <v/>
      </c>
      <c r="F41" s="61" t="str">
        <f ca="1">_xll.DBRW($B$9,$C$14,$C$15,$C$18,F$21,$C$16,$C$17,$B41,F$22)</f>
        <v/>
      </c>
      <c r="G41" s="61" t="str">
        <f ca="1">_xll.DBRW($B$9,$C$14,$C$15,$C$18,G$21,$C$16,$C$17,$B41,G$22)</f>
        <v>*KEY_ERR</v>
      </c>
      <c r="H41" s="61" t="str">
        <f ca="1">_xll.DBRW($B$9,$C$14,$C$15,$C$18,H$21,$C$16,$C$17,$B41,H$22)</f>
        <v>*KEY_ERR</v>
      </c>
      <c r="I41" s="61" t="str">
        <f ca="1">_xll.DBRW($B$9,$C$14,$C$15,$C$18,I$21,$C$16,$C$17,$B41,I$22)</f>
        <v>*KEY_ERR</v>
      </c>
    </row>
    <row r="42" spans="1:9" x14ac:dyDescent="0.25">
      <c r="A42">
        <f ca="1">IF(_xll.TM1RPTELISCONSOLIDATED($B$23,$B42),IF(_xll.TM1RPTELLEV($B$23,$B42)&lt;=3,_xll.TM1RPTELLEV($B$23,$B42),"D"),"N")</f>
        <v>1</v>
      </c>
      <c r="B42" s="76" t="s">
        <v>69</v>
      </c>
      <c r="C42" s="60" t="str">
        <f ca="1">_xll.DBRW($B$9,$C$14,$C$15,$C$18,C$21,$C$16,$C$17,$B42,C$22)</f>
        <v/>
      </c>
      <c r="D42" s="61" t="str">
        <f ca="1">_xll.DBRW($B$9,$C$14,$C$15,$C$18,D$21,$C$16,$C$17,$B42,D$22)</f>
        <v/>
      </c>
      <c r="E42" s="61" t="str">
        <f ca="1">_xll.DBRW($B$9,$C$14,$C$15,$C$18,E$21,$C$16,$C$17,$B42,E$22)</f>
        <v/>
      </c>
      <c r="F42" s="61" t="str">
        <f ca="1">_xll.DBRW($B$9,$C$14,$C$15,$C$18,F$21,$C$16,$C$17,$B42,F$22)</f>
        <v/>
      </c>
      <c r="G42" s="61" t="str">
        <f ca="1">_xll.DBRW($B$9,$C$14,$C$15,$C$18,G$21,$C$16,$C$17,$B42,G$22)</f>
        <v>*KEY_ERR</v>
      </c>
      <c r="H42" s="61" t="str">
        <f ca="1">_xll.DBRW($B$9,$C$14,$C$15,$C$18,H$21,$C$16,$C$17,$B42,H$22)</f>
        <v>*KEY_ERR</v>
      </c>
      <c r="I42" s="61" t="str">
        <f ca="1">_xll.DBRW($B$9,$C$14,$C$15,$C$18,I$21,$C$16,$C$17,$B42,I$22)</f>
        <v>*KEY_ERR</v>
      </c>
    </row>
    <row r="43" spans="1:9" x14ac:dyDescent="0.25">
      <c r="A43">
        <f ca="1">IF(_xll.TM1RPTELISCONSOLIDATED($B$23,$B43),IF(_xll.TM1RPTELLEV($B$23,$B43)&lt;=3,_xll.TM1RPTELLEV($B$23,$B43),"D"),"N")</f>
        <v>1</v>
      </c>
      <c r="B43" s="76" t="s">
        <v>70</v>
      </c>
      <c r="C43" s="60" t="str">
        <f ca="1">_xll.DBRW($B$9,$C$14,$C$15,$C$18,C$21,$C$16,$C$17,$B43,C$22)</f>
        <v/>
      </c>
      <c r="D43" s="61" t="str">
        <f ca="1">_xll.DBRW($B$9,$C$14,$C$15,$C$18,D$21,$C$16,$C$17,$B43,D$22)</f>
        <v/>
      </c>
      <c r="E43" s="61" t="str">
        <f ca="1">_xll.DBRW($B$9,$C$14,$C$15,$C$18,E$21,$C$16,$C$17,$B43,E$22)</f>
        <v/>
      </c>
      <c r="F43" s="61" t="str">
        <f ca="1">_xll.DBRW($B$9,$C$14,$C$15,$C$18,F$21,$C$16,$C$17,$B43,F$22)</f>
        <v/>
      </c>
      <c r="G43" s="61" t="str">
        <f ca="1">_xll.DBRW($B$9,$C$14,$C$15,$C$18,G$21,$C$16,$C$17,$B43,G$22)</f>
        <v>*KEY_ERR</v>
      </c>
      <c r="H43" s="61" t="str">
        <f ca="1">_xll.DBRW($B$9,$C$14,$C$15,$C$18,H$21,$C$16,$C$17,$B43,H$22)</f>
        <v>*KEY_ERR</v>
      </c>
      <c r="I43" s="61" t="str">
        <f ca="1">_xll.DBRW($B$9,$C$14,$C$15,$C$18,I$21,$C$16,$C$17,$B43,I$22)</f>
        <v>*KEY_ERR</v>
      </c>
    </row>
    <row r="44" spans="1:9" x14ac:dyDescent="0.25">
      <c r="A44">
        <f ca="1">IF(_xll.TM1RPTELISCONSOLIDATED($B$23,$B44),IF(_xll.TM1RPTELLEV($B$23,$B44)&lt;=3,_xll.TM1RPTELLEV($B$23,$B44),"D"),"N")</f>
        <v>1</v>
      </c>
      <c r="B44" s="76" t="s">
        <v>71</v>
      </c>
      <c r="C44" s="60" t="str">
        <f ca="1">_xll.DBRW($B$9,$C$14,$C$15,$C$18,C$21,$C$16,$C$17,$B44,C$22)</f>
        <v/>
      </c>
      <c r="D44" s="61" t="str">
        <f ca="1">_xll.DBRW($B$9,$C$14,$C$15,$C$18,D$21,$C$16,$C$17,$B44,D$22)</f>
        <v/>
      </c>
      <c r="E44" s="61" t="str">
        <f ca="1">_xll.DBRW($B$9,$C$14,$C$15,$C$18,E$21,$C$16,$C$17,$B44,E$22)</f>
        <v/>
      </c>
      <c r="F44" s="61" t="str">
        <f ca="1">_xll.DBRW($B$9,$C$14,$C$15,$C$18,F$21,$C$16,$C$17,$B44,F$22)</f>
        <v/>
      </c>
      <c r="G44" s="61" t="str">
        <f ca="1">_xll.DBRW($B$9,$C$14,$C$15,$C$18,G$21,$C$16,$C$17,$B44,G$22)</f>
        <v>*KEY_ERR</v>
      </c>
      <c r="H44" s="61" t="str">
        <f ca="1">_xll.DBRW($B$9,$C$14,$C$15,$C$18,H$21,$C$16,$C$17,$B44,H$22)</f>
        <v>*KEY_ERR</v>
      </c>
      <c r="I44" s="61" t="str">
        <f ca="1">_xll.DBRW($B$9,$C$14,$C$15,$C$18,I$21,$C$16,$C$17,$B44,I$22)</f>
        <v>*KEY_ERR</v>
      </c>
    </row>
    <row r="45" spans="1:9" x14ac:dyDescent="0.25">
      <c r="A45">
        <f ca="1">IF(_xll.TM1RPTELISCONSOLIDATED($B$23,$B45),IF(_xll.TM1RPTELLEV($B$23,$B45)&lt;=3,_xll.TM1RPTELLEV($B$23,$B45),"D"),"N")</f>
        <v>1</v>
      </c>
      <c r="B45" s="76" t="s">
        <v>72</v>
      </c>
      <c r="C45" s="60" t="str">
        <f ca="1">_xll.DBRW($B$9,$C$14,$C$15,$C$18,C$21,$C$16,$C$17,$B45,C$22)</f>
        <v/>
      </c>
      <c r="D45" s="61" t="str">
        <f ca="1">_xll.DBRW($B$9,$C$14,$C$15,$C$18,D$21,$C$16,$C$17,$B45,D$22)</f>
        <v/>
      </c>
      <c r="E45" s="61" t="str">
        <f ca="1">_xll.DBRW($B$9,$C$14,$C$15,$C$18,E$21,$C$16,$C$17,$B45,E$22)</f>
        <v/>
      </c>
      <c r="F45" s="61" t="str">
        <f ca="1">_xll.DBRW($B$9,$C$14,$C$15,$C$18,F$21,$C$16,$C$17,$B45,F$22)</f>
        <v/>
      </c>
      <c r="G45" s="61" t="str">
        <f ca="1">_xll.DBRW($B$9,$C$14,$C$15,$C$18,G$21,$C$16,$C$17,$B45,G$22)</f>
        <v>*KEY_ERR</v>
      </c>
      <c r="H45" s="61" t="str">
        <f ca="1">_xll.DBRW($B$9,$C$14,$C$15,$C$18,H$21,$C$16,$C$17,$B45,H$22)</f>
        <v>*KEY_ERR</v>
      </c>
      <c r="I45" s="61" t="str">
        <f ca="1">_xll.DBRW($B$9,$C$14,$C$15,$C$18,I$21,$C$16,$C$17,$B45,I$22)</f>
        <v>*KEY_ERR</v>
      </c>
    </row>
    <row r="46" spans="1:9" hidden="1" x14ac:dyDescent="0.25"/>
    <row r="47" spans="1:9" hidden="1" x14ac:dyDescent="0.25"/>
    <row r="48" spans="1:9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t="15" hidden="1" customHeight="1" x14ac:dyDescent="0.25"/>
    <row r="450" ht="15" hidden="1" customHeight="1" x14ac:dyDescent="0.25"/>
    <row r="451" ht="15" hidden="1" customHeight="1" x14ac:dyDescent="0.25"/>
    <row r="452" ht="15" hidden="1" customHeight="1" x14ac:dyDescent="0.25"/>
    <row r="453" ht="15" hidden="1" customHeight="1" x14ac:dyDescent="0.25"/>
    <row r="454" ht="15" hidden="1" customHeight="1" x14ac:dyDescent="0.25"/>
    <row r="455" ht="15" hidden="1" customHeight="1" x14ac:dyDescent="0.25"/>
    <row r="456" ht="15" hidden="1" customHeight="1" x14ac:dyDescent="0.25"/>
    <row r="457" ht="15" hidden="1" customHeight="1" x14ac:dyDescent="0.25"/>
    <row r="458" ht="15" hidden="1" customHeight="1" x14ac:dyDescent="0.25"/>
    <row r="459" ht="15" hidden="1" customHeight="1" x14ac:dyDescent="0.25"/>
    <row r="460" ht="15" hidden="1" customHeight="1" x14ac:dyDescent="0.25"/>
    <row r="461" ht="15" hidden="1" customHeight="1" x14ac:dyDescent="0.25"/>
    <row r="462" ht="15" hidden="1" customHeight="1" x14ac:dyDescent="0.25"/>
    <row r="463" ht="15" hidden="1" customHeight="1" x14ac:dyDescent="0.25"/>
    <row r="464" ht="15" hidden="1" customHeight="1" x14ac:dyDescent="0.25"/>
    <row r="465" ht="15" hidden="1" customHeight="1" x14ac:dyDescent="0.25"/>
    <row r="466" ht="15" hidden="1" customHeight="1" x14ac:dyDescent="0.25"/>
    <row r="467" ht="15" hidden="1" customHeight="1" x14ac:dyDescent="0.25"/>
    <row r="468" ht="15" hidden="1" customHeight="1" x14ac:dyDescent="0.25"/>
    <row r="469" ht="15" hidden="1" customHeight="1" x14ac:dyDescent="0.25"/>
    <row r="470" ht="15" hidden="1" customHeight="1" x14ac:dyDescent="0.25"/>
    <row r="471" ht="15" hidden="1" customHeight="1" x14ac:dyDescent="0.25"/>
    <row r="472" ht="15" hidden="1" customHeight="1" x14ac:dyDescent="0.25"/>
    <row r="473" ht="15" hidden="1" customHeight="1" x14ac:dyDescent="0.25"/>
    <row r="474" ht="15" hidden="1" customHeight="1" x14ac:dyDescent="0.25"/>
    <row r="475" ht="15" hidden="1" customHeight="1" x14ac:dyDescent="0.25"/>
    <row r="476" ht="15" hidden="1" customHeight="1" x14ac:dyDescent="0.25"/>
    <row r="477" ht="15" hidden="1" customHeight="1" x14ac:dyDescent="0.25"/>
    <row r="478" ht="15" hidden="1" customHeight="1" x14ac:dyDescent="0.25"/>
    <row r="479" ht="15" hidden="1" customHeight="1" x14ac:dyDescent="0.25"/>
    <row r="480" ht="15" hidden="1" customHeight="1" x14ac:dyDescent="0.25"/>
    <row r="481" ht="15" hidden="1" customHeight="1" x14ac:dyDescent="0.25"/>
    <row r="482" ht="15" hidden="1" customHeight="1" x14ac:dyDescent="0.25"/>
    <row r="483" ht="15" hidden="1" customHeight="1" x14ac:dyDescent="0.25"/>
    <row r="484" ht="15" hidden="1" customHeight="1" x14ac:dyDescent="0.25"/>
    <row r="485" ht="15" hidden="1" customHeight="1" x14ac:dyDescent="0.25"/>
    <row r="486" ht="15" hidden="1" customHeight="1" x14ac:dyDescent="0.25"/>
    <row r="487" ht="15" hidden="1" customHeight="1" x14ac:dyDescent="0.25"/>
    <row r="488" ht="15" hidden="1" customHeight="1" x14ac:dyDescent="0.25"/>
    <row r="489" ht="15" hidden="1" customHeight="1" x14ac:dyDescent="0.25"/>
    <row r="490" ht="15" hidden="1" customHeight="1" x14ac:dyDescent="0.25"/>
    <row r="491" ht="15" hidden="1" customHeight="1" x14ac:dyDescent="0.25"/>
    <row r="492" ht="15" hidden="1" customHeight="1" x14ac:dyDescent="0.25"/>
    <row r="493" ht="15" hidden="1" customHeight="1" x14ac:dyDescent="0.25"/>
    <row r="494" ht="15" hidden="1" customHeight="1" x14ac:dyDescent="0.25"/>
    <row r="495" ht="15" hidden="1" customHeight="1" x14ac:dyDescent="0.25"/>
    <row r="496" ht="15" hidden="1" customHeight="1" x14ac:dyDescent="0.25"/>
    <row r="497" ht="15" hidden="1" customHeight="1" x14ac:dyDescent="0.25"/>
    <row r="498" ht="15" hidden="1" customHeight="1" x14ac:dyDescent="0.25"/>
    <row r="499" ht="15" hidden="1" customHeight="1" x14ac:dyDescent="0.25"/>
    <row r="500" ht="15" hidden="1" customHeight="1" x14ac:dyDescent="0.25"/>
    <row r="501" ht="15" hidden="1" customHeight="1" x14ac:dyDescent="0.25"/>
    <row r="502" ht="15" hidden="1" customHeight="1" x14ac:dyDescent="0.25"/>
    <row r="503" ht="15" hidden="1" customHeight="1" x14ac:dyDescent="0.25"/>
    <row r="504" ht="15" hidden="1" customHeight="1" x14ac:dyDescent="0.25"/>
    <row r="505" ht="15" hidden="1" customHeight="1" x14ac:dyDescent="0.25"/>
    <row r="506" ht="15" hidden="1" customHeight="1" x14ac:dyDescent="0.25"/>
    <row r="507" ht="15" hidden="1" customHeight="1" x14ac:dyDescent="0.25"/>
    <row r="508" ht="15" hidden="1" customHeight="1" x14ac:dyDescent="0.25"/>
    <row r="509" ht="15" hidden="1" customHeight="1" x14ac:dyDescent="0.25"/>
    <row r="510" ht="15" hidden="1" customHeight="1" x14ac:dyDescent="0.25"/>
    <row r="511" ht="15" hidden="1" customHeight="1" x14ac:dyDescent="0.25"/>
    <row r="512" ht="15" hidden="1" customHeight="1" x14ac:dyDescent="0.25"/>
    <row r="513" ht="15" hidden="1" customHeight="1" x14ac:dyDescent="0.25"/>
    <row r="514" ht="15" hidden="1" customHeight="1" x14ac:dyDescent="0.25"/>
    <row r="515" ht="15" hidden="1" customHeight="1" x14ac:dyDescent="0.25"/>
    <row r="516" ht="15" hidden="1" customHeight="1" x14ac:dyDescent="0.25"/>
    <row r="517" ht="15" hidden="1" customHeight="1" x14ac:dyDescent="0.25"/>
    <row r="518" ht="15" hidden="1" customHeight="1" x14ac:dyDescent="0.25"/>
    <row r="519" ht="15" hidden="1" customHeight="1" x14ac:dyDescent="0.25"/>
    <row r="520" ht="15" hidden="1" customHeight="1" x14ac:dyDescent="0.25"/>
    <row r="521" ht="15" hidden="1" customHeight="1" x14ac:dyDescent="0.25"/>
    <row r="522" ht="15" hidden="1" customHeight="1" x14ac:dyDescent="0.25"/>
    <row r="523" ht="15" hidden="1" customHeight="1" x14ac:dyDescent="0.25"/>
    <row r="524" ht="15" hidden="1" customHeight="1" x14ac:dyDescent="0.25"/>
    <row r="525" ht="15" hidden="1" customHeight="1" x14ac:dyDescent="0.25"/>
    <row r="526" ht="15" hidden="1" customHeight="1" x14ac:dyDescent="0.25"/>
    <row r="527" ht="15" hidden="1" customHeight="1" x14ac:dyDescent="0.25"/>
    <row r="528" ht="15" hidden="1" customHeight="1" x14ac:dyDescent="0.25"/>
    <row r="529" ht="15" hidden="1" customHeight="1" x14ac:dyDescent="0.25"/>
    <row r="530" ht="15" hidden="1" customHeight="1" x14ac:dyDescent="0.25"/>
    <row r="531" ht="15" hidden="1" customHeight="1" x14ac:dyDescent="0.25"/>
    <row r="532" ht="15" hidden="1" customHeight="1" x14ac:dyDescent="0.25"/>
    <row r="533" ht="15" hidden="1" customHeight="1" x14ac:dyDescent="0.25"/>
    <row r="534" ht="15" hidden="1" customHeight="1" x14ac:dyDescent="0.25"/>
    <row r="535" ht="15" hidden="1" customHeight="1" x14ac:dyDescent="0.25"/>
    <row r="536" ht="15" hidden="1" customHeight="1" x14ac:dyDescent="0.25"/>
    <row r="537" ht="15" hidden="1" customHeight="1" x14ac:dyDescent="0.25"/>
    <row r="538" ht="15" hidden="1" customHeight="1" x14ac:dyDescent="0.25"/>
    <row r="539" ht="15" hidden="1" customHeight="1" x14ac:dyDescent="0.25"/>
    <row r="540" ht="15" hidden="1" customHeight="1" x14ac:dyDescent="0.25"/>
    <row r="541" ht="15" hidden="1" customHeight="1" x14ac:dyDescent="0.25"/>
    <row r="542" ht="15" hidden="1" customHeight="1" x14ac:dyDescent="0.25"/>
    <row r="543" ht="15" hidden="1" customHeight="1" x14ac:dyDescent="0.25"/>
    <row r="544" ht="15" hidden="1" customHeight="1" x14ac:dyDescent="0.25"/>
    <row r="545" ht="15" hidden="1" customHeight="1" x14ac:dyDescent="0.25"/>
    <row r="546" ht="15" hidden="1" customHeight="1" x14ac:dyDescent="0.25"/>
    <row r="547" ht="15" hidden="1" customHeight="1" x14ac:dyDescent="0.25"/>
    <row r="548" ht="15" hidden="1" customHeight="1" x14ac:dyDescent="0.25"/>
    <row r="549" ht="15" hidden="1" customHeight="1" x14ac:dyDescent="0.25"/>
    <row r="550" ht="15" hidden="1" customHeight="1" x14ac:dyDescent="0.25"/>
    <row r="551" ht="15" hidden="1" customHeight="1" x14ac:dyDescent="0.25"/>
    <row r="552" ht="15" hidden="1" customHeight="1" x14ac:dyDescent="0.25"/>
    <row r="553" ht="15" hidden="1" customHeight="1" x14ac:dyDescent="0.25"/>
    <row r="554" ht="15" hidden="1" customHeight="1" x14ac:dyDescent="0.25"/>
    <row r="555" ht="15" hidden="1" customHeight="1" x14ac:dyDescent="0.25"/>
    <row r="556" ht="15" hidden="1" customHeight="1" x14ac:dyDescent="0.25"/>
    <row r="557" ht="15" hidden="1" customHeight="1" x14ac:dyDescent="0.25"/>
    <row r="558" ht="15" hidden="1" customHeight="1" x14ac:dyDescent="0.25"/>
    <row r="559" ht="15" hidden="1" customHeight="1" x14ac:dyDescent="0.25"/>
    <row r="560" ht="15" hidden="1" customHeight="1" x14ac:dyDescent="0.25"/>
    <row r="561" ht="15" hidden="1" customHeight="1" x14ac:dyDescent="0.25"/>
    <row r="562" ht="15" hidden="1" customHeight="1" x14ac:dyDescent="0.25"/>
    <row r="563" ht="15" hidden="1" customHeight="1" x14ac:dyDescent="0.25"/>
    <row r="564" ht="15" hidden="1" customHeight="1" x14ac:dyDescent="0.25"/>
    <row r="565" ht="15" hidden="1" customHeight="1" x14ac:dyDescent="0.25"/>
    <row r="566" ht="15" hidden="1" customHeight="1" x14ac:dyDescent="0.25"/>
    <row r="567" ht="15" hidden="1" customHeight="1" x14ac:dyDescent="0.25"/>
    <row r="568" ht="15" hidden="1" customHeight="1" x14ac:dyDescent="0.25"/>
    <row r="569" ht="15" hidden="1" customHeight="1" x14ac:dyDescent="0.25"/>
    <row r="570" ht="15" hidden="1" customHeight="1" x14ac:dyDescent="0.25"/>
    <row r="571" ht="15" hidden="1" customHeight="1" x14ac:dyDescent="0.25"/>
    <row r="572" ht="15" hidden="1" customHeight="1" x14ac:dyDescent="0.25"/>
    <row r="573" ht="15" hidden="1" customHeight="1" x14ac:dyDescent="0.25"/>
    <row r="574" ht="15" hidden="1" customHeight="1" x14ac:dyDescent="0.25"/>
    <row r="575" ht="15" hidden="1" customHeight="1" x14ac:dyDescent="0.25"/>
    <row r="576" ht="15" hidden="1" customHeight="1" x14ac:dyDescent="0.25"/>
    <row r="577" ht="15" hidden="1" customHeight="1" x14ac:dyDescent="0.25"/>
    <row r="578" ht="15" hidden="1" customHeight="1" x14ac:dyDescent="0.25"/>
    <row r="579" ht="15" hidden="1" customHeight="1" x14ac:dyDescent="0.25"/>
    <row r="580" ht="15" hidden="1" customHeight="1" x14ac:dyDescent="0.25"/>
    <row r="581" ht="15" hidden="1" customHeight="1" x14ac:dyDescent="0.25"/>
    <row r="582" ht="15" hidden="1" customHeight="1" x14ac:dyDescent="0.25"/>
    <row r="583" ht="15" hidden="1" customHeight="1" x14ac:dyDescent="0.25"/>
    <row r="584" ht="15" hidden="1" customHeight="1" x14ac:dyDescent="0.25"/>
    <row r="585" ht="15" hidden="1" customHeight="1" x14ac:dyDescent="0.25"/>
    <row r="586" ht="15" hidden="1" customHeight="1" x14ac:dyDescent="0.25"/>
    <row r="587" ht="15" hidden="1" customHeight="1" x14ac:dyDescent="0.25"/>
    <row r="588" ht="15" hidden="1" customHeight="1" x14ac:dyDescent="0.25"/>
    <row r="589" ht="15" hidden="1" customHeight="1" x14ac:dyDescent="0.25"/>
    <row r="590" ht="15" hidden="1" customHeight="1" x14ac:dyDescent="0.25"/>
    <row r="591" ht="15" hidden="1" customHeight="1" x14ac:dyDescent="0.25"/>
    <row r="592" ht="15" hidden="1" customHeight="1" x14ac:dyDescent="0.25"/>
    <row r="593" ht="15" hidden="1" customHeight="1" x14ac:dyDescent="0.25"/>
    <row r="594" ht="15" hidden="1" customHeight="1" x14ac:dyDescent="0.25"/>
    <row r="595" ht="15" hidden="1" customHeight="1" x14ac:dyDescent="0.25"/>
    <row r="596" ht="15" hidden="1" customHeight="1" x14ac:dyDescent="0.25"/>
    <row r="597" ht="15" hidden="1" customHeight="1" x14ac:dyDescent="0.25"/>
    <row r="598" ht="15" hidden="1" customHeight="1" x14ac:dyDescent="0.25"/>
    <row r="599" ht="15" hidden="1" customHeight="1" x14ac:dyDescent="0.25"/>
    <row r="600" ht="15" hidden="1" customHeight="1" x14ac:dyDescent="0.25"/>
    <row r="601" ht="15" hidden="1" customHeight="1" x14ac:dyDescent="0.25"/>
    <row r="602" ht="15" hidden="1" customHeight="1" x14ac:dyDescent="0.25"/>
    <row r="603" ht="15" hidden="1" customHeight="1" x14ac:dyDescent="0.25"/>
    <row r="604" ht="15" hidden="1" customHeight="1" x14ac:dyDescent="0.25"/>
    <row r="605" ht="15" hidden="1" customHeight="1" x14ac:dyDescent="0.25"/>
    <row r="606" ht="15" hidden="1" customHeight="1" x14ac:dyDescent="0.25"/>
    <row r="607" ht="15" hidden="1" customHeight="1" x14ac:dyDescent="0.25"/>
    <row r="608" ht="15" hidden="1" customHeight="1" x14ac:dyDescent="0.25"/>
    <row r="609" ht="15" hidden="1" customHeight="1" x14ac:dyDescent="0.25"/>
    <row r="610" ht="15" hidden="1" customHeight="1" x14ac:dyDescent="0.25"/>
    <row r="611" ht="15" hidden="1" customHeight="1" x14ac:dyDescent="0.25"/>
    <row r="612" ht="15" hidden="1" customHeight="1" x14ac:dyDescent="0.25"/>
    <row r="613" ht="15" hidden="1" customHeight="1" x14ac:dyDescent="0.25"/>
    <row r="614" ht="15" hidden="1" customHeight="1" x14ac:dyDescent="0.25"/>
    <row r="615" ht="15" hidden="1" customHeight="1" x14ac:dyDescent="0.25"/>
    <row r="616" ht="15" hidden="1" customHeight="1" x14ac:dyDescent="0.25"/>
    <row r="617" ht="15" hidden="1" customHeight="1" x14ac:dyDescent="0.25"/>
    <row r="618" ht="15" hidden="1" customHeight="1" x14ac:dyDescent="0.25"/>
    <row r="619" ht="15" hidden="1" customHeight="1" x14ac:dyDescent="0.25"/>
    <row r="620" ht="15" hidden="1" customHeight="1" x14ac:dyDescent="0.25"/>
    <row r="621" ht="15" hidden="1" customHeight="1" x14ac:dyDescent="0.25"/>
    <row r="622" ht="15" hidden="1" customHeight="1" x14ac:dyDescent="0.25"/>
    <row r="623" ht="15" hidden="1" customHeight="1" x14ac:dyDescent="0.25"/>
    <row r="624" ht="15" hidden="1" customHeight="1" x14ac:dyDescent="0.25"/>
    <row r="625" ht="15" hidden="1" customHeight="1" x14ac:dyDescent="0.25"/>
    <row r="626" ht="15" hidden="1" customHeight="1" x14ac:dyDescent="0.25"/>
    <row r="627" ht="15" hidden="1" customHeight="1" x14ac:dyDescent="0.25"/>
    <row r="628" ht="15" hidden="1" customHeight="1" x14ac:dyDescent="0.25"/>
    <row r="629" ht="15" hidden="1" customHeight="1" x14ac:dyDescent="0.25"/>
    <row r="630" ht="15" hidden="1" customHeight="1" x14ac:dyDescent="0.25"/>
    <row r="631" ht="15" hidden="1" customHeight="1" x14ac:dyDescent="0.25"/>
    <row r="632" ht="15" hidden="1" customHeight="1" x14ac:dyDescent="0.25"/>
    <row r="633" ht="15" hidden="1" customHeight="1" x14ac:dyDescent="0.25"/>
    <row r="634" ht="15" hidden="1" customHeight="1" x14ac:dyDescent="0.25"/>
    <row r="635" ht="15" hidden="1" customHeight="1" x14ac:dyDescent="0.25"/>
    <row r="636" ht="15" hidden="1" customHeight="1" x14ac:dyDescent="0.25"/>
    <row r="637" ht="15" hidden="1" customHeight="1" x14ac:dyDescent="0.25"/>
    <row r="638" ht="15" hidden="1" customHeight="1" x14ac:dyDescent="0.25"/>
    <row r="639" ht="15" hidden="1" customHeight="1" x14ac:dyDescent="0.25"/>
    <row r="640" ht="15" hidden="1" customHeight="1" x14ac:dyDescent="0.25"/>
    <row r="641" ht="15" hidden="1" customHeight="1" x14ac:dyDescent="0.25"/>
    <row r="642" ht="15" hidden="1" customHeight="1" x14ac:dyDescent="0.25"/>
    <row r="643" ht="15" hidden="1" customHeight="1" x14ac:dyDescent="0.25"/>
    <row r="644" ht="15" hidden="1" customHeight="1" x14ac:dyDescent="0.25"/>
    <row r="645" ht="15" hidden="1" customHeight="1" x14ac:dyDescent="0.25"/>
    <row r="646" ht="15" hidden="1" customHeight="1" x14ac:dyDescent="0.25"/>
    <row r="647" ht="15" hidden="1" customHeight="1" x14ac:dyDescent="0.25"/>
    <row r="648" ht="15" hidden="1" customHeight="1" x14ac:dyDescent="0.25"/>
    <row r="649" ht="15" hidden="1" customHeight="1" x14ac:dyDescent="0.25"/>
    <row r="650" ht="15" hidden="1" customHeight="1" x14ac:dyDescent="0.25"/>
    <row r="651" ht="15" hidden="1" customHeight="1" x14ac:dyDescent="0.25"/>
    <row r="652" ht="15" hidden="1" customHeight="1" x14ac:dyDescent="0.25"/>
    <row r="653" ht="15" hidden="1" customHeight="1" x14ac:dyDescent="0.25"/>
    <row r="654" ht="15" hidden="1" customHeight="1" x14ac:dyDescent="0.25"/>
    <row r="655" ht="15" hidden="1" customHeight="1" x14ac:dyDescent="0.25"/>
    <row r="656" ht="15" hidden="1" customHeight="1" x14ac:dyDescent="0.25"/>
    <row r="657" ht="15" hidden="1" customHeight="1" x14ac:dyDescent="0.25"/>
    <row r="658" ht="15" hidden="1" customHeight="1" x14ac:dyDescent="0.25"/>
    <row r="659" ht="15" hidden="1" customHeight="1" x14ac:dyDescent="0.25"/>
    <row r="660" ht="15" hidden="1" customHeight="1" x14ac:dyDescent="0.25"/>
    <row r="661" ht="15" hidden="1" customHeight="1" x14ac:dyDescent="0.25"/>
    <row r="662" ht="15" hidden="1" customHeight="1" x14ac:dyDescent="0.25"/>
    <row r="663" ht="15" hidden="1" customHeight="1" x14ac:dyDescent="0.25"/>
    <row r="664" ht="15" hidden="1" customHeight="1" x14ac:dyDescent="0.25"/>
    <row r="665" ht="15" hidden="1" customHeight="1" x14ac:dyDescent="0.25"/>
    <row r="666" ht="15" hidden="1" customHeight="1" x14ac:dyDescent="0.25"/>
    <row r="667" ht="15" hidden="1" customHeight="1" x14ac:dyDescent="0.25"/>
    <row r="668" ht="15" hidden="1" customHeight="1" x14ac:dyDescent="0.25"/>
    <row r="669" ht="15" hidden="1" customHeight="1" x14ac:dyDescent="0.25"/>
    <row r="670" ht="15" hidden="1" customHeight="1" x14ac:dyDescent="0.25"/>
    <row r="671" ht="15" hidden="1" customHeight="1" x14ac:dyDescent="0.25"/>
    <row r="672" ht="15" hidden="1" customHeight="1" x14ac:dyDescent="0.25"/>
    <row r="673" ht="15" hidden="1" customHeight="1" x14ac:dyDescent="0.25"/>
    <row r="674" ht="15" hidden="1" customHeight="1" x14ac:dyDescent="0.25"/>
    <row r="675" ht="15" hidden="1" customHeight="1" x14ac:dyDescent="0.25"/>
    <row r="676" ht="15" hidden="1" customHeight="1" x14ac:dyDescent="0.25"/>
    <row r="677" ht="15" hidden="1" customHeight="1" x14ac:dyDescent="0.25"/>
    <row r="678" ht="15" hidden="1" customHeight="1" x14ac:dyDescent="0.25"/>
    <row r="679" ht="15" hidden="1" customHeight="1" x14ac:dyDescent="0.25"/>
    <row r="680" ht="15" hidden="1" customHeight="1" x14ac:dyDescent="0.25"/>
    <row r="681" ht="15" hidden="1" customHeight="1" x14ac:dyDescent="0.25"/>
    <row r="682" ht="15" hidden="1" customHeight="1" x14ac:dyDescent="0.25"/>
    <row r="683" ht="15" hidden="1" customHeight="1" x14ac:dyDescent="0.25"/>
    <row r="684" ht="15" hidden="1" customHeight="1" x14ac:dyDescent="0.25"/>
    <row r="685" ht="15" hidden="1" customHeight="1" x14ac:dyDescent="0.25"/>
    <row r="686" ht="15" hidden="1" customHeight="1" x14ac:dyDescent="0.25"/>
    <row r="687" ht="15" hidden="1" customHeight="1" x14ac:dyDescent="0.25"/>
    <row r="688" ht="15" hidden="1" customHeight="1" x14ac:dyDescent="0.25"/>
    <row r="689" ht="15" hidden="1" customHeight="1" x14ac:dyDescent="0.25"/>
    <row r="690" ht="15" hidden="1" customHeight="1" x14ac:dyDescent="0.25"/>
    <row r="691" ht="15" hidden="1" customHeight="1" x14ac:dyDescent="0.25"/>
    <row r="692" ht="15" hidden="1" customHeight="1" x14ac:dyDescent="0.25"/>
    <row r="693" ht="15" hidden="1" customHeight="1" x14ac:dyDescent="0.25"/>
    <row r="694" ht="15" hidden="1" customHeight="1" x14ac:dyDescent="0.25"/>
    <row r="695" ht="15" hidden="1" customHeight="1" x14ac:dyDescent="0.25"/>
    <row r="696" ht="15" hidden="1" customHeight="1" x14ac:dyDescent="0.25"/>
    <row r="697" ht="15" hidden="1" customHeight="1" x14ac:dyDescent="0.25"/>
    <row r="698" ht="15" hidden="1" customHeight="1" x14ac:dyDescent="0.25"/>
    <row r="699" ht="15" hidden="1" customHeight="1" x14ac:dyDescent="0.25"/>
    <row r="700" ht="15" hidden="1" customHeight="1" x14ac:dyDescent="0.25"/>
    <row r="701" ht="15" hidden="1" customHeight="1" x14ac:dyDescent="0.25"/>
    <row r="702" ht="15" hidden="1" customHeight="1" x14ac:dyDescent="0.25"/>
    <row r="703" ht="15" hidden="1" customHeight="1" x14ac:dyDescent="0.25"/>
    <row r="704" ht="15" hidden="1" customHeight="1" x14ac:dyDescent="0.25"/>
    <row r="705" ht="15" hidden="1" customHeight="1" x14ac:dyDescent="0.25"/>
    <row r="706" ht="15" hidden="1" customHeight="1" x14ac:dyDescent="0.25"/>
    <row r="707" ht="15" hidden="1" customHeight="1" x14ac:dyDescent="0.25"/>
    <row r="708" ht="15" hidden="1" customHeight="1" x14ac:dyDescent="0.25"/>
    <row r="709" ht="15" hidden="1" customHeight="1" x14ac:dyDescent="0.25"/>
    <row r="710" ht="15" hidden="1" customHeight="1" x14ac:dyDescent="0.25"/>
    <row r="711" ht="15" hidden="1" customHeight="1" x14ac:dyDescent="0.25"/>
    <row r="712" ht="15" hidden="1" customHeight="1" x14ac:dyDescent="0.25"/>
    <row r="713" ht="15" hidden="1" customHeight="1" x14ac:dyDescent="0.25"/>
    <row r="714" ht="15" hidden="1" customHeight="1" x14ac:dyDescent="0.25"/>
    <row r="715" ht="15" hidden="1" customHeight="1" x14ac:dyDescent="0.25"/>
    <row r="716" ht="15" hidden="1" customHeight="1" x14ac:dyDescent="0.25"/>
    <row r="717" ht="15" hidden="1" customHeight="1" x14ac:dyDescent="0.25"/>
    <row r="718" ht="15" hidden="1" customHeight="1" x14ac:dyDescent="0.25"/>
    <row r="719" ht="15" hidden="1" customHeight="1" x14ac:dyDescent="0.25"/>
    <row r="720" ht="15" hidden="1" customHeight="1" x14ac:dyDescent="0.25"/>
    <row r="721" ht="15" hidden="1" customHeight="1" x14ac:dyDescent="0.25"/>
    <row r="722" ht="15" hidden="1" customHeight="1" x14ac:dyDescent="0.25"/>
    <row r="723" ht="15" hidden="1" customHeight="1" x14ac:dyDescent="0.25"/>
    <row r="724" ht="15" hidden="1" customHeight="1" x14ac:dyDescent="0.25"/>
    <row r="725" ht="15" hidden="1" customHeight="1" x14ac:dyDescent="0.25"/>
    <row r="726" ht="15" hidden="1" customHeight="1" x14ac:dyDescent="0.25"/>
    <row r="727" ht="15" hidden="1" customHeight="1" x14ac:dyDescent="0.25"/>
    <row r="728" ht="15" hidden="1" customHeight="1" x14ac:dyDescent="0.25"/>
    <row r="729" ht="15" hidden="1" customHeight="1" x14ac:dyDescent="0.25"/>
    <row r="730" ht="15" hidden="1" customHeight="1" x14ac:dyDescent="0.25"/>
    <row r="731" ht="15" hidden="1" customHeight="1" x14ac:dyDescent="0.25"/>
    <row r="732" ht="15" hidden="1" customHeight="1" x14ac:dyDescent="0.25"/>
    <row r="733" ht="15" hidden="1" customHeight="1" x14ac:dyDescent="0.25"/>
    <row r="734" ht="15" hidden="1" customHeight="1" x14ac:dyDescent="0.25"/>
    <row r="735" ht="15" hidden="1" customHeight="1" x14ac:dyDescent="0.25"/>
    <row r="736" ht="15" hidden="1" customHeight="1" x14ac:dyDescent="0.25"/>
    <row r="737" ht="15" hidden="1" customHeight="1" x14ac:dyDescent="0.25"/>
    <row r="738" ht="15" hidden="1" customHeight="1" x14ac:dyDescent="0.25"/>
    <row r="739" ht="15" hidden="1" customHeight="1" x14ac:dyDescent="0.25"/>
    <row r="740" ht="15" hidden="1" customHeight="1" x14ac:dyDescent="0.25"/>
    <row r="741" ht="15" hidden="1" customHeight="1" x14ac:dyDescent="0.25"/>
    <row r="742" ht="15" hidden="1" customHeight="1" x14ac:dyDescent="0.25"/>
    <row r="743" ht="15" hidden="1" customHeight="1" x14ac:dyDescent="0.25"/>
    <row r="744" ht="15" hidden="1" customHeight="1" x14ac:dyDescent="0.25"/>
    <row r="745" ht="15" hidden="1" customHeight="1" x14ac:dyDescent="0.25"/>
    <row r="746" ht="15" hidden="1" customHeight="1" x14ac:dyDescent="0.25"/>
    <row r="747" ht="15" hidden="1" customHeight="1" x14ac:dyDescent="0.25"/>
    <row r="748" ht="15" hidden="1" customHeight="1" x14ac:dyDescent="0.25"/>
    <row r="749" ht="15" hidden="1" customHeight="1" x14ac:dyDescent="0.25"/>
    <row r="750" ht="15" hidden="1" customHeight="1" x14ac:dyDescent="0.25"/>
    <row r="751" ht="15" hidden="1" customHeight="1" x14ac:dyDescent="0.25"/>
    <row r="752" ht="15" hidden="1" customHeight="1" x14ac:dyDescent="0.25"/>
    <row r="753" ht="15" hidden="1" customHeight="1" x14ac:dyDescent="0.25"/>
    <row r="754" ht="15" hidden="1" customHeight="1" x14ac:dyDescent="0.25"/>
    <row r="755" ht="15" hidden="1" customHeight="1" x14ac:dyDescent="0.25"/>
    <row r="756" ht="15" hidden="1" customHeight="1" x14ac:dyDescent="0.25"/>
    <row r="757" ht="15" hidden="1" customHeight="1" x14ac:dyDescent="0.25"/>
    <row r="758" ht="15" hidden="1" customHeight="1" x14ac:dyDescent="0.25"/>
    <row r="759" ht="15" hidden="1" customHeight="1" x14ac:dyDescent="0.25"/>
    <row r="760" ht="15" hidden="1" customHeight="1" x14ac:dyDescent="0.25"/>
    <row r="761" ht="15" hidden="1" customHeight="1" x14ac:dyDescent="0.25"/>
    <row r="762" ht="15" hidden="1" customHeight="1" x14ac:dyDescent="0.25"/>
    <row r="763" ht="15" hidden="1" customHeight="1" x14ac:dyDescent="0.25"/>
    <row r="764" ht="15" hidden="1" customHeight="1" x14ac:dyDescent="0.25"/>
    <row r="765" ht="15" hidden="1" customHeight="1" x14ac:dyDescent="0.25"/>
    <row r="766" ht="15" hidden="1" customHeight="1" x14ac:dyDescent="0.25"/>
    <row r="767" ht="15" hidden="1" customHeight="1" x14ac:dyDescent="0.25"/>
    <row r="768" ht="15" hidden="1" customHeight="1" x14ac:dyDescent="0.25"/>
    <row r="769" ht="15" hidden="1" customHeight="1" x14ac:dyDescent="0.25"/>
    <row r="770" ht="15" hidden="1" customHeight="1" x14ac:dyDescent="0.25"/>
    <row r="771" ht="15" hidden="1" customHeight="1" x14ac:dyDescent="0.25"/>
    <row r="772" ht="15" hidden="1" customHeight="1" x14ac:dyDescent="0.25"/>
    <row r="773" ht="15" hidden="1" customHeight="1" x14ac:dyDescent="0.25"/>
    <row r="774" ht="15" hidden="1" customHeight="1" x14ac:dyDescent="0.25"/>
    <row r="775" ht="15" hidden="1" customHeight="1" x14ac:dyDescent="0.25"/>
    <row r="776" ht="15" hidden="1" customHeight="1" x14ac:dyDescent="0.25"/>
    <row r="777" ht="15" hidden="1" customHeight="1" x14ac:dyDescent="0.25"/>
    <row r="778" ht="15" hidden="1" customHeight="1" x14ac:dyDescent="0.25"/>
    <row r="779" ht="15" hidden="1" customHeight="1" x14ac:dyDescent="0.25"/>
    <row r="780" ht="15" hidden="1" customHeight="1" x14ac:dyDescent="0.25"/>
    <row r="781" ht="15" hidden="1" customHeight="1" x14ac:dyDescent="0.25"/>
    <row r="782" ht="15" hidden="1" customHeight="1" x14ac:dyDescent="0.25"/>
    <row r="783" ht="15" hidden="1" customHeight="1" x14ac:dyDescent="0.25"/>
    <row r="784" ht="15" hidden="1" customHeight="1" x14ac:dyDescent="0.25"/>
    <row r="785" ht="15" hidden="1" customHeight="1" x14ac:dyDescent="0.25"/>
    <row r="786" ht="15" hidden="1" customHeight="1" x14ac:dyDescent="0.25"/>
    <row r="787" ht="15" hidden="1" customHeight="1" x14ac:dyDescent="0.25"/>
    <row r="788" ht="15" hidden="1" customHeight="1" x14ac:dyDescent="0.25"/>
    <row r="789" ht="15" hidden="1" customHeight="1" x14ac:dyDescent="0.25"/>
    <row r="790" ht="15" hidden="1" customHeight="1" x14ac:dyDescent="0.25"/>
    <row r="791" ht="15" hidden="1" customHeight="1" x14ac:dyDescent="0.25"/>
    <row r="792" ht="15" hidden="1" customHeight="1" x14ac:dyDescent="0.25"/>
    <row r="793" ht="15" hidden="1" customHeight="1" x14ac:dyDescent="0.25"/>
    <row r="794" ht="15" hidden="1" customHeight="1" x14ac:dyDescent="0.25"/>
    <row r="795" ht="15" hidden="1" customHeight="1" x14ac:dyDescent="0.25"/>
    <row r="796" ht="15" hidden="1" customHeight="1" x14ac:dyDescent="0.25"/>
    <row r="797" ht="15" hidden="1" customHeight="1" x14ac:dyDescent="0.25"/>
    <row r="798" ht="15" hidden="1" customHeight="1" x14ac:dyDescent="0.25"/>
    <row r="799" ht="15" hidden="1" customHeight="1" x14ac:dyDescent="0.25"/>
    <row r="800" ht="15" hidden="1" customHeight="1" x14ac:dyDescent="0.25"/>
    <row r="801" ht="15" hidden="1" customHeight="1" x14ac:dyDescent="0.25"/>
    <row r="802" ht="15" hidden="1" customHeight="1" x14ac:dyDescent="0.25"/>
    <row r="803" ht="15" hidden="1" customHeight="1" x14ac:dyDescent="0.25"/>
    <row r="804" ht="15" hidden="1" customHeight="1" x14ac:dyDescent="0.25"/>
    <row r="805" ht="15" hidden="1" customHeight="1" x14ac:dyDescent="0.25"/>
    <row r="806" ht="15" hidden="1" customHeight="1" x14ac:dyDescent="0.25"/>
    <row r="807" ht="15" hidden="1" customHeight="1" x14ac:dyDescent="0.25"/>
    <row r="808" ht="15" hidden="1" customHeight="1" x14ac:dyDescent="0.25"/>
    <row r="809" ht="15" hidden="1" customHeight="1" x14ac:dyDescent="0.25"/>
    <row r="810" ht="15" hidden="1" customHeight="1" x14ac:dyDescent="0.25"/>
    <row r="811" ht="15" hidden="1" customHeight="1" x14ac:dyDescent="0.25"/>
    <row r="812" ht="15" hidden="1" customHeight="1" x14ac:dyDescent="0.25"/>
    <row r="813" ht="15" hidden="1" customHeight="1" x14ac:dyDescent="0.25"/>
    <row r="814" ht="15" hidden="1" customHeight="1" x14ac:dyDescent="0.25"/>
    <row r="815" ht="15" hidden="1" customHeight="1" x14ac:dyDescent="0.25"/>
    <row r="816" ht="15" hidden="1" customHeight="1" x14ac:dyDescent="0.25"/>
    <row r="817" ht="15" hidden="1" customHeight="1" x14ac:dyDescent="0.25"/>
    <row r="818" ht="15" hidden="1" customHeight="1" x14ac:dyDescent="0.25"/>
    <row r="819" ht="15" hidden="1" customHeight="1" x14ac:dyDescent="0.25"/>
    <row r="820" ht="15" hidden="1" customHeight="1" x14ac:dyDescent="0.25"/>
    <row r="821" ht="15" hidden="1" customHeight="1" x14ac:dyDescent="0.25"/>
    <row r="822" ht="15" hidden="1" customHeight="1" x14ac:dyDescent="0.25"/>
    <row r="823" ht="15" hidden="1" customHeight="1" x14ac:dyDescent="0.25"/>
    <row r="824" ht="15" hidden="1" customHeight="1" x14ac:dyDescent="0.25"/>
    <row r="825" ht="15" hidden="1" customHeight="1" x14ac:dyDescent="0.25"/>
    <row r="826" ht="15" hidden="1" customHeight="1" x14ac:dyDescent="0.25"/>
    <row r="827" ht="15" hidden="1" customHeight="1" x14ac:dyDescent="0.25"/>
    <row r="828" ht="15" hidden="1" customHeight="1" x14ac:dyDescent="0.25"/>
    <row r="829" ht="15" hidden="1" customHeight="1" x14ac:dyDescent="0.25"/>
    <row r="830" ht="15" hidden="1" customHeight="1" x14ac:dyDescent="0.25"/>
    <row r="831" ht="15" hidden="1" customHeight="1" x14ac:dyDescent="0.25"/>
    <row r="832" ht="15" hidden="1" customHeight="1" x14ac:dyDescent="0.25"/>
    <row r="833" ht="15" hidden="1" customHeight="1" x14ac:dyDescent="0.25"/>
    <row r="834" ht="15" hidden="1" customHeight="1" x14ac:dyDescent="0.25"/>
    <row r="835" ht="15" hidden="1" customHeight="1" x14ac:dyDescent="0.25"/>
    <row r="836" ht="15" hidden="1" customHeight="1" x14ac:dyDescent="0.25"/>
    <row r="837" ht="15" hidden="1" customHeight="1" x14ac:dyDescent="0.25"/>
    <row r="838" ht="15" hidden="1" customHeight="1" x14ac:dyDescent="0.25"/>
    <row r="839" ht="15" hidden="1" customHeight="1" x14ac:dyDescent="0.25"/>
    <row r="840" ht="15" hidden="1" customHeight="1" x14ac:dyDescent="0.25"/>
    <row r="841" ht="15" hidden="1" customHeight="1" x14ac:dyDescent="0.25"/>
    <row r="842" ht="15" hidden="1" customHeight="1" x14ac:dyDescent="0.25"/>
    <row r="843" ht="15" hidden="1" customHeight="1" x14ac:dyDescent="0.25"/>
    <row r="844" ht="15" hidden="1" customHeight="1" x14ac:dyDescent="0.25"/>
    <row r="845" ht="15" hidden="1" customHeight="1" x14ac:dyDescent="0.25"/>
    <row r="846" ht="15" hidden="1" customHeight="1" x14ac:dyDescent="0.25"/>
    <row r="847" ht="15" hidden="1" customHeight="1" x14ac:dyDescent="0.25"/>
    <row r="848" ht="15" hidden="1" customHeight="1" x14ac:dyDescent="0.25"/>
    <row r="849" ht="15" hidden="1" customHeight="1" x14ac:dyDescent="0.25"/>
    <row r="850" ht="15" hidden="1" customHeight="1" x14ac:dyDescent="0.25"/>
    <row r="851" ht="15" hidden="1" customHeight="1" x14ac:dyDescent="0.25"/>
    <row r="852" ht="15" hidden="1" customHeight="1" x14ac:dyDescent="0.25"/>
    <row r="853" ht="15" hidden="1" customHeight="1" x14ac:dyDescent="0.25"/>
    <row r="854" ht="15" hidden="1" customHeight="1" x14ac:dyDescent="0.25"/>
    <row r="855" ht="15" hidden="1" customHeight="1" x14ac:dyDescent="0.25"/>
    <row r="856" ht="15" hidden="1" customHeight="1" x14ac:dyDescent="0.25"/>
    <row r="857" ht="15" hidden="1" customHeight="1" x14ac:dyDescent="0.25"/>
    <row r="858" ht="15" hidden="1" customHeight="1" x14ac:dyDescent="0.25"/>
    <row r="859" ht="15" hidden="1" customHeight="1" x14ac:dyDescent="0.25"/>
    <row r="860" ht="15" hidden="1" customHeight="1" x14ac:dyDescent="0.25"/>
    <row r="861" ht="15" hidden="1" customHeight="1" x14ac:dyDescent="0.25"/>
    <row r="862" ht="15" hidden="1" customHeight="1" x14ac:dyDescent="0.25"/>
    <row r="863" ht="15" hidden="1" customHeight="1" x14ac:dyDescent="0.25"/>
    <row r="864" ht="15" hidden="1" customHeight="1" x14ac:dyDescent="0.25"/>
    <row r="865" ht="15" hidden="1" customHeight="1" x14ac:dyDescent="0.25"/>
    <row r="866" ht="15" hidden="1" customHeight="1" x14ac:dyDescent="0.25"/>
    <row r="867" ht="15" hidden="1" customHeight="1" x14ac:dyDescent="0.25"/>
    <row r="868" ht="15" hidden="1" customHeight="1" x14ac:dyDescent="0.25"/>
    <row r="869" ht="15" hidden="1" customHeight="1" x14ac:dyDescent="0.25"/>
    <row r="870" ht="15" hidden="1" customHeight="1" x14ac:dyDescent="0.25"/>
    <row r="871" ht="15" hidden="1" customHeight="1" x14ac:dyDescent="0.25"/>
    <row r="872" ht="15" hidden="1" customHeight="1" x14ac:dyDescent="0.25"/>
    <row r="873" ht="15" hidden="1" customHeight="1" x14ac:dyDescent="0.25"/>
    <row r="874" ht="15" hidden="1" customHeight="1" x14ac:dyDescent="0.25"/>
    <row r="875" ht="15" hidden="1" customHeight="1" x14ac:dyDescent="0.25"/>
    <row r="876" ht="15" hidden="1" customHeight="1" x14ac:dyDescent="0.25"/>
    <row r="877" ht="15" hidden="1" customHeight="1" x14ac:dyDescent="0.25"/>
    <row r="878" ht="15" hidden="1" customHeight="1" x14ac:dyDescent="0.25"/>
    <row r="879" ht="15" hidden="1" customHeight="1" x14ac:dyDescent="0.25"/>
    <row r="880" ht="15" hidden="1" customHeight="1" x14ac:dyDescent="0.25"/>
    <row r="881" ht="15" hidden="1" customHeight="1" x14ac:dyDescent="0.25"/>
    <row r="882" ht="15" hidden="1" customHeight="1" x14ac:dyDescent="0.25"/>
    <row r="883" ht="15" hidden="1" customHeight="1" x14ac:dyDescent="0.25"/>
    <row r="884" ht="15" hidden="1" customHeight="1" x14ac:dyDescent="0.25"/>
    <row r="885" ht="15" hidden="1" customHeight="1" x14ac:dyDescent="0.25"/>
    <row r="886" ht="15" hidden="1" customHeight="1" x14ac:dyDescent="0.25"/>
    <row r="887" ht="15" hidden="1" customHeight="1" x14ac:dyDescent="0.25"/>
    <row r="888" ht="15" hidden="1" customHeight="1" x14ac:dyDescent="0.25"/>
    <row r="889" ht="15" hidden="1" customHeight="1" x14ac:dyDescent="0.25"/>
    <row r="890" ht="15" hidden="1" customHeight="1" x14ac:dyDescent="0.25"/>
    <row r="891" ht="15" hidden="1" customHeight="1" x14ac:dyDescent="0.25"/>
    <row r="892" ht="15" hidden="1" customHeight="1" x14ac:dyDescent="0.25"/>
    <row r="893" ht="15" hidden="1" customHeight="1" x14ac:dyDescent="0.25"/>
    <row r="894" ht="15" hidden="1" customHeight="1" x14ac:dyDescent="0.25"/>
    <row r="895" ht="15" hidden="1" customHeight="1" x14ac:dyDescent="0.25"/>
    <row r="896" ht="15" hidden="1" customHeight="1" x14ac:dyDescent="0.25"/>
    <row r="897" ht="15" hidden="1" customHeight="1" x14ac:dyDescent="0.25"/>
    <row r="898" ht="15" hidden="1" customHeight="1" x14ac:dyDescent="0.25"/>
    <row r="899" ht="15" hidden="1" customHeight="1" x14ac:dyDescent="0.25"/>
    <row r="900" ht="15" hidden="1" customHeight="1" x14ac:dyDescent="0.25"/>
    <row r="901" ht="15" hidden="1" customHeight="1" x14ac:dyDescent="0.25"/>
    <row r="902" ht="15" hidden="1" customHeight="1" x14ac:dyDescent="0.25"/>
    <row r="903" ht="15" hidden="1" customHeight="1" x14ac:dyDescent="0.25"/>
    <row r="904" ht="15" hidden="1" customHeight="1" x14ac:dyDescent="0.25"/>
    <row r="905" ht="15" hidden="1" customHeight="1" x14ac:dyDescent="0.25"/>
    <row r="906" ht="15" hidden="1" customHeight="1" x14ac:dyDescent="0.25"/>
    <row r="907" ht="15" hidden="1" customHeight="1" x14ac:dyDescent="0.25"/>
    <row r="908" ht="15" hidden="1" customHeight="1" x14ac:dyDescent="0.25"/>
    <row r="909" ht="15" hidden="1" customHeight="1" x14ac:dyDescent="0.25"/>
    <row r="910" ht="15" hidden="1" customHeight="1" x14ac:dyDescent="0.25"/>
    <row r="911" ht="15" hidden="1" customHeight="1" x14ac:dyDescent="0.25"/>
    <row r="912" ht="15" hidden="1" customHeight="1" x14ac:dyDescent="0.25"/>
    <row r="913" ht="15" hidden="1" customHeight="1" x14ac:dyDescent="0.25"/>
    <row r="914" ht="15" hidden="1" customHeight="1" x14ac:dyDescent="0.25"/>
    <row r="915" ht="15" hidden="1" customHeight="1" x14ac:dyDescent="0.25"/>
    <row r="916" ht="15" hidden="1" customHeight="1" x14ac:dyDescent="0.25"/>
    <row r="917" ht="15" hidden="1" customHeight="1" x14ac:dyDescent="0.25"/>
    <row r="918" ht="15" hidden="1" customHeight="1" x14ac:dyDescent="0.25"/>
    <row r="919" ht="15" hidden="1" customHeight="1" x14ac:dyDescent="0.25"/>
    <row r="920" ht="15" hidden="1" customHeight="1" x14ac:dyDescent="0.25"/>
    <row r="921" ht="15" hidden="1" customHeight="1" x14ac:dyDescent="0.25"/>
    <row r="922" ht="15" hidden="1" customHeight="1" x14ac:dyDescent="0.25"/>
    <row r="923" ht="15" hidden="1" customHeight="1" x14ac:dyDescent="0.25"/>
    <row r="924" ht="15" hidden="1" customHeight="1" x14ac:dyDescent="0.25"/>
    <row r="925" ht="15" hidden="1" customHeight="1" x14ac:dyDescent="0.25"/>
    <row r="926" ht="15" hidden="1" customHeight="1" x14ac:dyDescent="0.25"/>
    <row r="927" ht="15" hidden="1" customHeight="1" x14ac:dyDescent="0.25"/>
    <row r="928" ht="15" hidden="1" customHeight="1" x14ac:dyDescent="0.25"/>
    <row r="929" ht="15" hidden="1" customHeight="1" x14ac:dyDescent="0.25"/>
    <row r="930" ht="15" hidden="1" customHeight="1" x14ac:dyDescent="0.25"/>
    <row r="931" ht="15" hidden="1" customHeight="1" x14ac:dyDescent="0.25"/>
    <row r="932" ht="15" hidden="1" customHeight="1" x14ac:dyDescent="0.25"/>
    <row r="933" ht="15" hidden="1" customHeight="1" x14ac:dyDescent="0.25"/>
    <row r="934" ht="15" hidden="1" customHeight="1" x14ac:dyDescent="0.25"/>
    <row r="935" ht="15" hidden="1" customHeight="1" x14ac:dyDescent="0.25"/>
    <row r="936" ht="15" hidden="1" customHeight="1" x14ac:dyDescent="0.25"/>
    <row r="937" ht="15" hidden="1" customHeight="1" x14ac:dyDescent="0.25"/>
    <row r="938" ht="15" hidden="1" customHeight="1" x14ac:dyDescent="0.25"/>
    <row r="939" ht="15" hidden="1" customHeight="1" x14ac:dyDescent="0.25"/>
    <row r="940" ht="15" hidden="1" customHeight="1" x14ac:dyDescent="0.25"/>
    <row r="941" ht="15" hidden="1" customHeight="1" x14ac:dyDescent="0.25"/>
    <row r="942" ht="15" hidden="1" customHeight="1" x14ac:dyDescent="0.25"/>
    <row r="943" ht="15" hidden="1" customHeight="1" x14ac:dyDescent="0.25"/>
    <row r="944" ht="15" hidden="1" customHeight="1" x14ac:dyDescent="0.25"/>
    <row r="945" ht="15" hidden="1" customHeight="1" x14ac:dyDescent="0.25"/>
    <row r="946" ht="15" hidden="1" customHeight="1" x14ac:dyDescent="0.25"/>
    <row r="947" ht="15" hidden="1" customHeight="1" x14ac:dyDescent="0.25"/>
    <row r="948" ht="15" hidden="1" customHeight="1" x14ac:dyDescent="0.25"/>
    <row r="949" ht="15" hidden="1" customHeight="1" x14ac:dyDescent="0.25"/>
    <row r="950" ht="15" hidden="1" customHeight="1" x14ac:dyDescent="0.25"/>
    <row r="951" ht="15" hidden="1" customHeight="1" x14ac:dyDescent="0.25"/>
    <row r="952" ht="15" hidden="1" customHeight="1" x14ac:dyDescent="0.25"/>
    <row r="953" ht="15" hidden="1" customHeight="1" x14ac:dyDescent="0.25"/>
    <row r="954" ht="15" hidden="1" customHeight="1" x14ac:dyDescent="0.25"/>
    <row r="955" ht="15" hidden="1" customHeight="1" x14ac:dyDescent="0.25"/>
    <row r="956" ht="15" hidden="1" customHeight="1" x14ac:dyDescent="0.25"/>
    <row r="957" ht="15" hidden="1" customHeight="1" x14ac:dyDescent="0.25"/>
    <row r="958" ht="15" hidden="1" customHeight="1" x14ac:dyDescent="0.25"/>
    <row r="959" ht="15" hidden="1" customHeight="1" x14ac:dyDescent="0.25"/>
    <row r="960" ht="15" hidden="1" customHeight="1" x14ac:dyDescent="0.25"/>
    <row r="961" ht="15" hidden="1" customHeight="1" x14ac:dyDescent="0.25"/>
    <row r="962" ht="15" hidden="1" customHeight="1" x14ac:dyDescent="0.25"/>
    <row r="963" ht="15" hidden="1" customHeight="1" x14ac:dyDescent="0.25"/>
    <row r="964" ht="15" hidden="1" customHeight="1" x14ac:dyDescent="0.25"/>
    <row r="965" ht="15" hidden="1" customHeight="1" x14ac:dyDescent="0.25"/>
    <row r="966" ht="15" hidden="1" customHeight="1" x14ac:dyDescent="0.25"/>
    <row r="967" ht="15" hidden="1" customHeight="1" x14ac:dyDescent="0.25"/>
    <row r="968" ht="15" hidden="1" customHeight="1" x14ac:dyDescent="0.25"/>
    <row r="969" ht="15" hidden="1" customHeight="1" x14ac:dyDescent="0.25"/>
    <row r="970" ht="15" hidden="1" customHeight="1" x14ac:dyDescent="0.25"/>
    <row r="971" ht="15" hidden="1" customHeight="1" x14ac:dyDescent="0.25"/>
    <row r="972" ht="15" hidden="1" customHeight="1" x14ac:dyDescent="0.25"/>
    <row r="973" ht="15" hidden="1" customHeight="1" x14ac:dyDescent="0.25"/>
    <row r="974" ht="15" hidden="1" customHeight="1" x14ac:dyDescent="0.25"/>
    <row r="975" ht="15" hidden="1" customHeight="1" x14ac:dyDescent="0.25"/>
    <row r="976" ht="15" hidden="1" customHeight="1" x14ac:dyDescent="0.25"/>
    <row r="977" ht="15" hidden="1" customHeight="1" x14ac:dyDescent="0.25"/>
    <row r="978" ht="15" hidden="1" customHeight="1" x14ac:dyDescent="0.25"/>
    <row r="979" ht="15" hidden="1" customHeight="1" x14ac:dyDescent="0.25"/>
    <row r="980" ht="15" hidden="1" customHeight="1" x14ac:dyDescent="0.25"/>
    <row r="981" ht="15" hidden="1" customHeight="1" x14ac:dyDescent="0.25"/>
    <row r="982" ht="15" hidden="1" customHeight="1" x14ac:dyDescent="0.25"/>
    <row r="983" ht="15" hidden="1" customHeight="1" x14ac:dyDescent="0.25"/>
    <row r="984" ht="15" hidden="1" customHeight="1" x14ac:dyDescent="0.25"/>
    <row r="985" ht="15" hidden="1" customHeight="1" x14ac:dyDescent="0.25"/>
    <row r="986" ht="15" hidden="1" customHeight="1" x14ac:dyDescent="0.25"/>
    <row r="987" ht="15" hidden="1" customHeight="1" x14ac:dyDescent="0.25"/>
    <row r="988" ht="15" hidden="1" customHeight="1" x14ac:dyDescent="0.25"/>
    <row r="989" ht="15" hidden="1" customHeight="1" x14ac:dyDescent="0.25"/>
    <row r="990" ht="15" hidden="1" customHeight="1" x14ac:dyDescent="0.25"/>
    <row r="991" ht="15" hidden="1" customHeight="1" x14ac:dyDescent="0.25"/>
    <row r="992" ht="15" hidden="1" customHeight="1" x14ac:dyDescent="0.25"/>
    <row r="993" ht="15" hidden="1" customHeight="1" x14ac:dyDescent="0.25"/>
    <row r="994" ht="15" hidden="1" customHeight="1" x14ac:dyDescent="0.25"/>
    <row r="995" ht="15" hidden="1" customHeight="1" x14ac:dyDescent="0.25"/>
    <row r="996" ht="15" hidden="1" customHeight="1" x14ac:dyDescent="0.25"/>
    <row r="997" ht="15" hidden="1" customHeight="1" x14ac:dyDescent="0.25"/>
    <row r="998" ht="15" hidden="1" customHeight="1" x14ac:dyDescent="0.25"/>
    <row r="999" ht="15" hidden="1" customHeight="1" x14ac:dyDescent="0.25"/>
    <row r="1000" ht="15" hidden="1" customHeight="1" x14ac:dyDescent="0.25"/>
    <row r="1001" ht="15" hidden="1" customHeight="1" x14ac:dyDescent="0.25"/>
    <row r="1002" ht="15" hidden="1" customHeight="1" x14ac:dyDescent="0.25"/>
    <row r="1003" ht="15" hidden="1" customHeight="1" x14ac:dyDescent="0.25"/>
    <row r="1004" ht="15" hidden="1" customHeight="1" x14ac:dyDescent="0.25"/>
    <row r="1005" ht="15" hidden="1" customHeight="1" x14ac:dyDescent="0.25"/>
    <row r="1006" ht="15" hidden="1" customHeight="1" x14ac:dyDescent="0.25"/>
    <row r="1007" ht="15" hidden="1" customHeight="1" x14ac:dyDescent="0.25"/>
    <row r="1008" ht="15" hidden="1" customHeight="1" x14ac:dyDescent="0.25"/>
    <row r="1009" ht="15" hidden="1" customHeight="1" x14ac:dyDescent="0.25"/>
    <row r="1010" ht="15" hidden="1" customHeight="1" x14ac:dyDescent="0.25"/>
    <row r="1011" ht="15" hidden="1" customHeight="1" x14ac:dyDescent="0.25"/>
    <row r="1012" ht="15" hidden="1" customHeight="1" x14ac:dyDescent="0.25"/>
    <row r="1013" ht="15" hidden="1" customHeight="1" x14ac:dyDescent="0.25"/>
    <row r="1014" ht="15" hidden="1" customHeight="1" x14ac:dyDescent="0.25"/>
    <row r="1015" ht="15" hidden="1" customHeight="1" x14ac:dyDescent="0.25"/>
    <row r="1016" ht="15" hidden="1" customHeight="1" x14ac:dyDescent="0.25"/>
    <row r="1017" ht="15" hidden="1" customHeight="1" x14ac:dyDescent="0.25"/>
    <row r="1018" ht="15" hidden="1" customHeight="1" x14ac:dyDescent="0.25"/>
    <row r="1019" ht="15" hidden="1" customHeight="1" x14ac:dyDescent="0.25"/>
    <row r="1020" ht="15" hidden="1" customHeight="1" x14ac:dyDescent="0.25"/>
    <row r="1021" ht="15" hidden="1" customHeight="1" x14ac:dyDescent="0.25"/>
    <row r="1022" ht="15" hidden="1" customHeight="1" x14ac:dyDescent="0.25"/>
    <row r="1023" ht="15" hidden="1" customHeight="1" x14ac:dyDescent="0.25"/>
    <row r="1024" ht="15" hidden="1" customHeight="1" x14ac:dyDescent="0.25"/>
    <row r="1025" ht="15" hidden="1" customHeight="1" x14ac:dyDescent="0.25"/>
    <row r="1026" ht="15" hidden="1" customHeight="1" x14ac:dyDescent="0.25"/>
    <row r="1027" ht="15" hidden="1" customHeight="1" x14ac:dyDescent="0.25"/>
    <row r="1028" ht="15" hidden="1" customHeight="1" x14ac:dyDescent="0.25"/>
    <row r="1029" ht="15" hidden="1" customHeight="1" x14ac:dyDescent="0.25"/>
    <row r="1030" ht="15" hidden="1" customHeight="1" x14ac:dyDescent="0.25"/>
    <row r="1031" ht="15" hidden="1" customHeight="1" x14ac:dyDescent="0.25"/>
    <row r="1032" ht="15" hidden="1" customHeight="1" x14ac:dyDescent="0.25"/>
    <row r="1033" ht="15" hidden="1" customHeight="1" x14ac:dyDescent="0.25"/>
    <row r="1034" ht="15" hidden="1" customHeight="1" x14ac:dyDescent="0.25"/>
    <row r="1035" ht="15" hidden="1" customHeight="1" x14ac:dyDescent="0.25"/>
    <row r="1036" ht="15" hidden="1" customHeight="1" x14ac:dyDescent="0.25"/>
    <row r="1037" ht="15" hidden="1" customHeight="1" x14ac:dyDescent="0.25"/>
    <row r="1038" ht="15" hidden="1" customHeight="1" x14ac:dyDescent="0.25"/>
    <row r="1039" ht="15" hidden="1" customHeight="1" x14ac:dyDescent="0.25"/>
    <row r="1040" ht="15" hidden="1" customHeight="1" x14ac:dyDescent="0.25"/>
    <row r="1041" ht="15" hidden="1" customHeight="1" x14ac:dyDescent="0.25"/>
    <row r="1042" ht="15" hidden="1" customHeight="1" x14ac:dyDescent="0.25"/>
    <row r="1043" ht="15" hidden="1" customHeight="1" x14ac:dyDescent="0.25"/>
    <row r="1044" ht="15" hidden="1" customHeight="1" x14ac:dyDescent="0.25"/>
    <row r="1045" ht="15" hidden="1" customHeight="1" x14ac:dyDescent="0.25"/>
    <row r="1046" ht="15" hidden="1" customHeight="1" x14ac:dyDescent="0.25"/>
    <row r="1047" ht="15" hidden="1" customHeight="1" x14ac:dyDescent="0.25"/>
    <row r="1048" ht="15" hidden="1" customHeight="1" x14ac:dyDescent="0.25"/>
    <row r="1049" ht="15" hidden="1" customHeight="1" x14ac:dyDescent="0.25"/>
    <row r="1050" ht="15" hidden="1" customHeight="1" x14ac:dyDescent="0.25"/>
    <row r="1051" ht="15" hidden="1" customHeight="1" x14ac:dyDescent="0.25"/>
    <row r="1052" ht="15" hidden="1" customHeight="1" x14ac:dyDescent="0.25"/>
    <row r="1053" ht="15" hidden="1" customHeight="1" x14ac:dyDescent="0.25"/>
    <row r="1054" ht="15" hidden="1" customHeight="1" x14ac:dyDescent="0.25"/>
    <row r="1055" ht="15" hidden="1" customHeight="1" x14ac:dyDescent="0.25"/>
    <row r="1056" ht="15" hidden="1" customHeight="1" x14ac:dyDescent="0.25"/>
    <row r="1057" ht="15" hidden="1" customHeight="1" x14ac:dyDescent="0.25"/>
    <row r="1058" ht="15" hidden="1" customHeight="1" x14ac:dyDescent="0.25"/>
    <row r="1059" ht="15" hidden="1" customHeight="1" x14ac:dyDescent="0.25"/>
    <row r="1060" ht="15" hidden="1" customHeight="1" x14ac:dyDescent="0.25"/>
    <row r="1061" ht="15" hidden="1" customHeight="1" x14ac:dyDescent="0.25"/>
    <row r="1062" ht="15" hidden="1" customHeight="1" x14ac:dyDescent="0.25"/>
    <row r="1063" ht="15" hidden="1" customHeight="1" x14ac:dyDescent="0.25"/>
    <row r="1064" ht="15" hidden="1" customHeight="1" x14ac:dyDescent="0.25"/>
    <row r="1065" ht="15" hidden="1" customHeight="1" x14ac:dyDescent="0.25"/>
    <row r="1066" ht="15" hidden="1" customHeight="1" x14ac:dyDescent="0.25"/>
    <row r="1067" ht="15" hidden="1" customHeight="1" x14ac:dyDescent="0.25"/>
    <row r="1068" ht="15" hidden="1" customHeight="1" x14ac:dyDescent="0.25"/>
    <row r="1069" ht="15" hidden="1" customHeight="1" x14ac:dyDescent="0.25"/>
    <row r="1070" ht="15" hidden="1" customHeight="1" x14ac:dyDescent="0.25"/>
    <row r="1071" ht="15" hidden="1" customHeight="1" x14ac:dyDescent="0.25"/>
    <row r="1072" ht="15" hidden="1" customHeight="1" x14ac:dyDescent="0.25"/>
    <row r="1073" ht="15" hidden="1" customHeight="1" x14ac:dyDescent="0.25"/>
    <row r="1074" ht="15" hidden="1" customHeight="1" x14ac:dyDescent="0.25"/>
    <row r="1075" ht="15" hidden="1" customHeight="1" x14ac:dyDescent="0.25"/>
    <row r="1076" ht="15" hidden="1" customHeight="1" x14ac:dyDescent="0.25"/>
    <row r="1077" ht="15" hidden="1" customHeight="1" x14ac:dyDescent="0.25"/>
    <row r="1078" ht="15" hidden="1" customHeight="1" x14ac:dyDescent="0.25"/>
    <row r="1079" ht="15" hidden="1" customHeight="1" x14ac:dyDescent="0.25"/>
    <row r="1080" ht="15" hidden="1" customHeight="1" x14ac:dyDescent="0.25"/>
    <row r="1081" ht="15" hidden="1" customHeight="1" x14ac:dyDescent="0.25"/>
    <row r="1082" ht="15" hidden="1" customHeight="1" x14ac:dyDescent="0.25"/>
    <row r="1083" ht="15" hidden="1" customHeight="1" x14ac:dyDescent="0.25"/>
    <row r="1084" ht="15" hidden="1" customHeight="1" x14ac:dyDescent="0.25"/>
    <row r="1085" ht="15" hidden="1" customHeight="1" x14ac:dyDescent="0.25"/>
    <row r="1086" ht="15" hidden="1" customHeight="1" x14ac:dyDescent="0.25"/>
    <row r="1087" ht="15" hidden="1" customHeight="1" x14ac:dyDescent="0.25"/>
    <row r="1088" ht="15" hidden="1" customHeight="1" x14ac:dyDescent="0.25"/>
    <row r="1089" ht="15" hidden="1" customHeight="1" x14ac:dyDescent="0.25"/>
    <row r="1090" ht="15" hidden="1" customHeight="1" x14ac:dyDescent="0.25"/>
    <row r="1091" ht="15" hidden="1" customHeight="1" x14ac:dyDescent="0.25"/>
    <row r="1092" ht="15" hidden="1" customHeight="1" x14ac:dyDescent="0.25"/>
    <row r="1093" ht="15" hidden="1" customHeight="1" x14ac:dyDescent="0.25"/>
    <row r="1094" ht="15" hidden="1" customHeight="1" x14ac:dyDescent="0.25"/>
    <row r="1095" ht="15" hidden="1" customHeight="1" x14ac:dyDescent="0.25"/>
    <row r="1096" ht="15" hidden="1" customHeight="1" x14ac:dyDescent="0.25"/>
    <row r="1097" ht="15" hidden="1" customHeight="1" x14ac:dyDescent="0.25"/>
    <row r="1098" ht="15" hidden="1" customHeight="1" x14ac:dyDescent="0.25"/>
    <row r="1099" ht="15" hidden="1" customHeight="1" x14ac:dyDescent="0.25"/>
    <row r="1100" ht="15" hidden="1" customHeight="1" x14ac:dyDescent="0.25"/>
    <row r="1101" ht="15" hidden="1" customHeight="1" x14ac:dyDescent="0.25"/>
    <row r="1102" ht="15" hidden="1" customHeight="1" x14ac:dyDescent="0.25"/>
    <row r="1103" ht="15" hidden="1" customHeight="1" x14ac:dyDescent="0.25"/>
    <row r="1104" ht="15" hidden="1" customHeight="1" x14ac:dyDescent="0.25"/>
    <row r="1105" ht="15" hidden="1" customHeight="1" x14ac:dyDescent="0.25"/>
    <row r="1106" ht="15" hidden="1" customHeight="1" x14ac:dyDescent="0.25"/>
    <row r="1107" ht="15" hidden="1" customHeight="1" x14ac:dyDescent="0.25"/>
    <row r="1108" ht="15" hidden="1" customHeight="1" x14ac:dyDescent="0.25"/>
    <row r="1109" ht="15" hidden="1" customHeight="1" x14ac:dyDescent="0.25"/>
    <row r="1110" ht="15" hidden="1" customHeight="1" x14ac:dyDescent="0.25"/>
    <row r="1111" ht="15" hidden="1" customHeight="1" x14ac:dyDescent="0.25"/>
    <row r="1112" ht="15" hidden="1" customHeight="1" x14ac:dyDescent="0.25"/>
    <row r="1113" ht="15" hidden="1" customHeight="1" x14ac:dyDescent="0.25"/>
    <row r="1114" ht="15" hidden="1" customHeight="1" x14ac:dyDescent="0.25"/>
    <row r="1115" ht="15" hidden="1" customHeight="1" x14ac:dyDescent="0.25"/>
    <row r="1116" ht="15" hidden="1" customHeight="1" x14ac:dyDescent="0.25"/>
    <row r="1117" ht="15" hidden="1" customHeight="1" x14ac:dyDescent="0.25"/>
    <row r="1118" ht="15" hidden="1" customHeight="1" x14ac:dyDescent="0.25"/>
    <row r="1119" ht="15" hidden="1" customHeight="1" x14ac:dyDescent="0.25"/>
    <row r="1120" ht="15" hidden="1" customHeight="1" x14ac:dyDescent="0.25"/>
    <row r="1121" ht="15" hidden="1" customHeight="1" x14ac:dyDescent="0.25"/>
    <row r="1122" ht="15" hidden="1" customHeight="1" x14ac:dyDescent="0.25"/>
    <row r="1123" ht="15" hidden="1" customHeight="1" x14ac:dyDescent="0.25"/>
    <row r="1124" ht="15" hidden="1" customHeight="1" x14ac:dyDescent="0.25"/>
    <row r="1125" ht="15" hidden="1" customHeight="1" x14ac:dyDescent="0.25"/>
    <row r="1126" ht="15" hidden="1" customHeight="1" x14ac:dyDescent="0.25"/>
    <row r="1127" ht="15" hidden="1" customHeight="1" x14ac:dyDescent="0.25"/>
    <row r="1128" ht="15" hidden="1" customHeight="1" x14ac:dyDescent="0.25"/>
    <row r="1129" ht="15" hidden="1" customHeight="1" x14ac:dyDescent="0.25"/>
    <row r="1130" ht="15" hidden="1" customHeight="1" x14ac:dyDescent="0.25"/>
    <row r="1131" ht="15" hidden="1" customHeight="1" x14ac:dyDescent="0.25"/>
    <row r="1132" ht="15" hidden="1" customHeight="1" x14ac:dyDescent="0.25"/>
    <row r="1133" ht="15" hidden="1" customHeight="1" x14ac:dyDescent="0.25"/>
    <row r="1134" ht="15" hidden="1" customHeight="1" x14ac:dyDescent="0.25"/>
    <row r="1135" ht="15" hidden="1" customHeight="1" x14ac:dyDescent="0.25"/>
    <row r="1136" ht="15" hidden="1" customHeight="1" x14ac:dyDescent="0.25"/>
    <row r="1137" ht="15" hidden="1" customHeight="1" x14ac:dyDescent="0.25"/>
    <row r="1138" ht="15" hidden="1" customHeight="1" x14ac:dyDescent="0.25"/>
    <row r="1139" ht="15" hidden="1" customHeight="1" x14ac:dyDescent="0.25"/>
    <row r="1140" ht="15" hidden="1" customHeight="1" x14ac:dyDescent="0.25"/>
    <row r="1141" ht="15" hidden="1" customHeight="1" x14ac:dyDescent="0.25"/>
    <row r="1142" ht="15" hidden="1" customHeight="1" x14ac:dyDescent="0.25"/>
    <row r="1143" ht="15" hidden="1" customHeight="1" x14ac:dyDescent="0.25"/>
    <row r="1144" ht="15" hidden="1" customHeight="1" x14ac:dyDescent="0.25"/>
    <row r="1145" ht="15" hidden="1" customHeight="1" x14ac:dyDescent="0.25"/>
    <row r="1146" ht="15" hidden="1" customHeight="1" x14ac:dyDescent="0.25"/>
    <row r="1147" ht="15" hidden="1" customHeight="1" x14ac:dyDescent="0.25"/>
    <row r="1148" ht="15" hidden="1" customHeight="1" x14ac:dyDescent="0.25"/>
    <row r="1149" ht="15" hidden="1" customHeight="1" x14ac:dyDescent="0.25"/>
    <row r="1150" ht="15" hidden="1" customHeight="1" x14ac:dyDescent="0.25"/>
    <row r="1151" ht="15" hidden="1" customHeight="1" x14ac:dyDescent="0.25"/>
    <row r="1152" ht="15" hidden="1" customHeight="1" x14ac:dyDescent="0.25"/>
    <row r="1153" ht="15" hidden="1" customHeight="1" x14ac:dyDescent="0.25"/>
    <row r="1154" ht="15" hidden="1" customHeight="1" x14ac:dyDescent="0.25"/>
    <row r="1155" ht="15" hidden="1" customHeight="1" x14ac:dyDescent="0.25"/>
    <row r="1156" ht="15" hidden="1" customHeight="1" x14ac:dyDescent="0.25"/>
    <row r="1157" ht="15" hidden="1" customHeight="1" x14ac:dyDescent="0.25"/>
    <row r="1158" ht="15" hidden="1" customHeight="1" x14ac:dyDescent="0.25"/>
    <row r="1159" ht="15" hidden="1" customHeight="1" x14ac:dyDescent="0.25"/>
    <row r="1160" ht="15" hidden="1" customHeight="1" x14ac:dyDescent="0.25"/>
    <row r="1161" ht="15" hidden="1" customHeight="1" x14ac:dyDescent="0.25"/>
    <row r="1162" ht="15" hidden="1" customHeight="1" x14ac:dyDescent="0.25"/>
    <row r="1163" ht="15" hidden="1" customHeight="1" x14ac:dyDescent="0.25"/>
    <row r="1164" ht="15" hidden="1" customHeight="1" x14ac:dyDescent="0.25"/>
    <row r="1165" ht="15" hidden="1" customHeight="1" x14ac:dyDescent="0.25"/>
    <row r="1166" ht="15" hidden="1" customHeight="1" x14ac:dyDescent="0.25"/>
    <row r="1167" ht="15" hidden="1" customHeight="1" x14ac:dyDescent="0.25"/>
    <row r="1168" ht="15" hidden="1" customHeight="1" x14ac:dyDescent="0.25"/>
    <row r="1169" ht="15" hidden="1" customHeight="1" x14ac:dyDescent="0.25"/>
    <row r="1170" ht="15" hidden="1" customHeight="1" x14ac:dyDescent="0.25"/>
    <row r="1171" ht="15" hidden="1" customHeight="1" x14ac:dyDescent="0.25"/>
    <row r="1172" ht="15" hidden="1" customHeight="1" x14ac:dyDescent="0.25"/>
    <row r="1173" ht="15" hidden="1" customHeight="1" x14ac:dyDescent="0.25"/>
    <row r="1174" ht="15" hidden="1" customHeight="1" x14ac:dyDescent="0.25"/>
    <row r="1175" ht="15" hidden="1" customHeight="1" x14ac:dyDescent="0.25"/>
    <row r="1176" ht="15" hidden="1" customHeight="1" x14ac:dyDescent="0.25"/>
    <row r="1177" ht="15" hidden="1" customHeight="1" x14ac:dyDescent="0.25"/>
    <row r="1178" ht="15" hidden="1" customHeight="1" x14ac:dyDescent="0.25"/>
    <row r="1179" ht="15" hidden="1" customHeight="1" x14ac:dyDescent="0.25"/>
    <row r="1180" ht="15" hidden="1" customHeight="1" x14ac:dyDescent="0.25"/>
    <row r="1181" ht="15" hidden="1" customHeight="1" x14ac:dyDescent="0.25"/>
    <row r="1182" ht="15" hidden="1" customHeight="1" x14ac:dyDescent="0.25"/>
    <row r="1183" ht="15" hidden="1" customHeight="1" x14ac:dyDescent="0.25"/>
    <row r="1184" ht="15" hidden="1" customHeight="1" x14ac:dyDescent="0.25"/>
    <row r="1185" ht="15" hidden="1" customHeight="1" x14ac:dyDescent="0.25"/>
    <row r="1186" ht="15" hidden="1" customHeight="1" x14ac:dyDescent="0.25"/>
    <row r="1187" ht="15" hidden="1" customHeight="1" x14ac:dyDescent="0.25"/>
    <row r="1188" ht="15" hidden="1" customHeight="1" x14ac:dyDescent="0.25"/>
    <row r="1189" ht="15" hidden="1" customHeight="1" x14ac:dyDescent="0.25"/>
    <row r="1190" ht="15" hidden="1" customHeight="1" x14ac:dyDescent="0.25"/>
    <row r="1191" ht="15" hidden="1" customHeight="1" x14ac:dyDescent="0.25"/>
    <row r="1192" ht="15" hidden="1" customHeight="1" x14ac:dyDescent="0.25"/>
    <row r="1193" ht="15" hidden="1" customHeight="1" x14ac:dyDescent="0.25"/>
    <row r="1194" ht="15" hidden="1" customHeight="1" x14ac:dyDescent="0.25"/>
    <row r="1195" ht="15" hidden="1" customHeight="1" x14ac:dyDescent="0.25"/>
    <row r="1196" ht="15" hidden="1" customHeight="1" x14ac:dyDescent="0.25"/>
    <row r="1197" ht="15" hidden="1" customHeight="1" x14ac:dyDescent="0.25"/>
    <row r="1198" ht="15" hidden="1" customHeight="1" x14ac:dyDescent="0.25"/>
    <row r="1199" ht="15" hidden="1" customHeight="1" x14ac:dyDescent="0.25"/>
    <row r="1200" ht="15" hidden="1" customHeight="1" x14ac:dyDescent="0.25"/>
    <row r="1201" ht="15" hidden="1" customHeight="1" x14ac:dyDescent="0.25"/>
    <row r="1202" ht="15" hidden="1" customHeight="1" x14ac:dyDescent="0.25"/>
    <row r="1203" ht="15" hidden="1" customHeight="1" x14ac:dyDescent="0.25"/>
    <row r="1204" ht="15" hidden="1" customHeight="1" x14ac:dyDescent="0.25"/>
    <row r="1205" ht="15" hidden="1" customHeight="1" x14ac:dyDescent="0.25"/>
    <row r="1206" ht="15" hidden="1" customHeight="1" x14ac:dyDescent="0.25"/>
    <row r="1207" ht="15" hidden="1" customHeight="1" x14ac:dyDescent="0.25"/>
    <row r="1208" ht="15" hidden="1" customHeight="1" x14ac:dyDescent="0.25"/>
    <row r="1209" ht="15" hidden="1" customHeight="1" x14ac:dyDescent="0.25"/>
    <row r="1210" ht="15" hidden="1" customHeight="1" x14ac:dyDescent="0.25"/>
    <row r="1211" ht="15" hidden="1" customHeight="1" x14ac:dyDescent="0.25"/>
    <row r="1212" ht="15" hidden="1" customHeight="1" x14ac:dyDescent="0.25"/>
    <row r="1213" ht="15" hidden="1" customHeight="1" x14ac:dyDescent="0.25"/>
    <row r="1214" ht="15" hidden="1" customHeight="1" x14ac:dyDescent="0.25"/>
    <row r="1215" ht="15" hidden="1" customHeight="1" x14ac:dyDescent="0.25"/>
    <row r="1216" ht="15" hidden="1" customHeight="1" x14ac:dyDescent="0.25"/>
    <row r="1217" ht="15" hidden="1" customHeight="1" x14ac:dyDescent="0.25"/>
    <row r="1218" ht="15" hidden="1" customHeight="1" x14ac:dyDescent="0.25"/>
    <row r="1219" ht="15" hidden="1" customHeight="1" x14ac:dyDescent="0.25"/>
    <row r="1220" ht="15" hidden="1" customHeight="1" x14ac:dyDescent="0.25"/>
    <row r="1221" ht="15" hidden="1" customHeight="1" x14ac:dyDescent="0.25"/>
    <row r="1222" ht="15" hidden="1" customHeight="1" x14ac:dyDescent="0.25"/>
    <row r="1223" ht="15" hidden="1" customHeight="1" x14ac:dyDescent="0.25"/>
    <row r="1224" ht="15" hidden="1" customHeight="1" x14ac:dyDescent="0.25"/>
    <row r="1225" ht="15" hidden="1" customHeight="1" x14ac:dyDescent="0.25"/>
    <row r="1226" ht="15" hidden="1" customHeight="1" x14ac:dyDescent="0.25"/>
    <row r="1227" ht="15" hidden="1" customHeight="1" x14ac:dyDescent="0.25"/>
    <row r="1228" ht="15" hidden="1" customHeight="1" x14ac:dyDescent="0.25"/>
    <row r="1229" ht="15" hidden="1" customHeight="1" x14ac:dyDescent="0.25"/>
    <row r="1230" ht="15" hidden="1" customHeight="1" x14ac:dyDescent="0.25"/>
    <row r="1231" ht="15" hidden="1" customHeight="1" x14ac:dyDescent="0.25"/>
    <row r="1232" ht="15" hidden="1" customHeight="1" x14ac:dyDescent="0.25"/>
    <row r="1233" ht="15" hidden="1" customHeight="1" x14ac:dyDescent="0.25"/>
    <row r="1234" ht="15" hidden="1" customHeight="1" x14ac:dyDescent="0.25"/>
    <row r="1235" ht="15" hidden="1" customHeight="1" x14ac:dyDescent="0.25"/>
    <row r="1236" ht="15" hidden="1" customHeight="1" x14ac:dyDescent="0.25"/>
    <row r="1237" ht="15" hidden="1" customHeight="1" x14ac:dyDescent="0.25"/>
    <row r="1238" ht="15" hidden="1" customHeight="1" x14ac:dyDescent="0.25"/>
    <row r="1239" ht="15" hidden="1" customHeight="1" x14ac:dyDescent="0.25"/>
    <row r="1240" ht="15" hidden="1" customHeight="1" x14ac:dyDescent="0.25"/>
    <row r="1241" ht="15" hidden="1" customHeight="1" x14ac:dyDescent="0.25"/>
    <row r="1242" ht="15" hidden="1" customHeight="1" x14ac:dyDescent="0.25"/>
    <row r="1243" ht="15" hidden="1" customHeight="1" x14ac:dyDescent="0.25"/>
    <row r="1244" ht="15" hidden="1" customHeight="1" x14ac:dyDescent="0.25"/>
    <row r="1245" ht="15" hidden="1" customHeight="1" x14ac:dyDescent="0.25"/>
    <row r="1246" ht="15" hidden="1" customHeight="1" x14ac:dyDescent="0.25"/>
    <row r="1247" ht="15" hidden="1" customHeight="1" x14ac:dyDescent="0.25"/>
    <row r="1248" ht="15" hidden="1" customHeight="1" x14ac:dyDescent="0.25"/>
    <row r="1249" ht="15" hidden="1" customHeight="1" x14ac:dyDescent="0.25"/>
    <row r="1250" ht="15" hidden="1" customHeight="1" x14ac:dyDescent="0.25"/>
    <row r="1251" ht="15" hidden="1" customHeight="1" x14ac:dyDescent="0.25"/>
    <row r="1252" ht="15" hidden="1" customHeight="1" x14ac:dyDescent="0.25"/>
    <row r="1253" ht="15" hidden="1" customHeight="1" x14ac:dyDescent="0.25"/>
    <row r="1254" ht="15" hidden="1" customHeight="1" x14ac:dyDescent="0.25"/>
    <row r="1255" ht="15" hidden="1" customHeight="1" x14ac:dyDescent="0.25"/>
    <row r="1256" ht="15" hidden="1" customHeight="1" x14ac:dyDescent="0.25"/>
    <row r="1257" ht="15" hidden="1" customHeight="1" x14ac:dyDescent="0.25"/>
    <row r="1258" ht="15" hidden="1" customHeight="1" x14ac:dyDescent="0.25"/>
    <row r="1259" ht="15" hidden="1" customHeight="1" x14ac:dyDescent="0.25"/>
    <row r="1260" ht="15" hidden="1" customHeight="1" x14ac:dyDescent="0.25"/>
    <row r="1261" ht="15" hidden="1" customHeight="1" x14ac:dyDescent="0.25"/>
    <row r="1262" ht="15" hidden="1" customHeight="1" x14ac:dyDescent="0.25"/>
    <row r="1263" ht="15" hidden="1" customHeight="1" x14ac:dyDescent="0.25"/>
    <row r="1264" ht="15" hidden="1" customHeight="1" x14ac:dyDescent="0.25"/>
    <row r="1265" ht="15" hidden="1" customHeight="1" x14ac:dyDescent="0.25"/>
    <row r="1266" ht="15" hidden="1" customHeight="1" x14ac:dyDescent="0.25"/>
    <row r="1267" ht="15" hidden="1" customHeight="1" x14ac:dyDescent="0.25"/>
    <row r="1268" ht="15" hidden="1" customHeight="1" x14ac:dyDescent="0.25"/>
    <row r="1269" ht="15" hidden="1" customHeight="1" x14ac:dyDescent="0.25"/>
    <row r="1270" ht="15" hidden="1" customHeight="1" x14ac:dyDescent="0.25"/>
    <row r="1271" ht="15" hidden="1" customHeight="1" x14ac:dyDescent="0.25"/>
    <row r="1272" ht="15" hidden="1" customHeight="1" x14ac:dyDescent="0.25"/>
    <row r="1273" ht="15" hidden="1" customHeight="1" x14ac:dyDescent="0.25"/>
    <row r="1274" ht="15" hidden="1" customHeight="1" x14ac:dyDescent="0.25"/>
    <row r="1275" ht="15" hidden="1" customHeight="1" x14ac:dyDescent="0.25"/>
    <row r="1276" ht="15" hidden="1" customHeight="1" x14ac:dyDescent="0.25"/>
    <row r="1277" ht="15" hidden="1" customHeight="1" x14ac:dyDescent="0.25"/>
    <row r="1278" ht="15" hidden="1" customHeight="1" x14ac:dyDescent="0.25"/>
    <row r="1279" ht="15" hidden="1" customHeight="1" x14ac:dyDescent="0.25"/>
    <row r="1280" ht="15" hidden="1" customHeight="1" x14ac:dyDescent="0.25"/>
    <row r="1281" ht="15" hidden="1" customHeight="1" x14ac:dyDescent="0.25"/>
    <row r="1282" ht="15" hidden="1" customHeight="1" x14ac:dyDescent="0.25"/>
    <row r="1283" ht="15" hidden="1" customHeight="1" x14ac:dyDescent="0.25"/>
    <row r="1284" ht="15" hidden="1" customHeight="1" x14ac:dyDescent="0.25"/>
    <row r="1285" ht="15" hidden="1" customHeight="1" x14ac:dyDescent="0.25"/>
    <row r="1286" ht="15" hidden="1" customHeight="1" x14ac:dyDescent="0.25"/>
    <row r="1287" ht="15" hidden="1" customHeight="1" x14ac:dyDescent="0.25"/>
    <row r="1288" ht="15" hidden="1" customHeight="1" x14ac:dyDescent="0.25"/>
    <row r="1289" ht="15" hidden="1" customHeight="1" x14ac:dyDescent="0.25"/>
    <row r="1290" ht="15" hidden="1" customHeight="1" x14ac:dyDescent="0.25"/>
    <row r="1291" ht="15" hidden="1" customHeight="1" x14ac:dyDescent="0.25"/>
    <row r="1292" ht="15" hidden="1" customHeight="1" x14ac:dyDescent="0.25"/>
    <row r="1293" ht="15" hidden="1" customHeight="1" x14ac:dyDescent="0.25"/>
    <row r="1294" ht="15" hidden="1" customHeight="1" x14ac:dyDescent="0.25"/>
    <row r="1295" ht="15" hidden="1" customHeight="1" x14ac:dyDescent="0.25"/>
    <row r="1296" ht="15" hidden="1" customHeight="1" x14ac:dyDescent="0.25"/>
    <row r="1297" ht="15" hidden="1" customHeight="1" x14ac:dyDescent="0.25"/>
    <row r="1298" ht="15" hidden="1" customHeight="1" x14ac:dyDescent="0.25"/>
    <row r="1299" ht="15" hidden="1" customHeight="1" x14ac:dyDescent="0.25"/>
    <row r="1300" ht="15" hidden="1" customHeight="1" x14ac:dyDescent="0.25"/>
    <row r="1301" ht="15" hidden="1" customHeight="1" x14ac:dyDescent="0.25"/>
    <row r="1302" ht="15" hidden="1" customHeight="1" x14ac:dyDescent="0.25"/>
    <row r="1303" ht="15" hidden="1" customHeight="1" x14ac:dyDescent="0.25"/>
    <row r="1304" ht="15" hidden="1" customHeight="1" x14ac:dyDescent="0.25"/>
    <row r="1305" ht="15" hidden="1" customHeight="1" x14ac:dyDescent="0.25"/>
    <row r="1306" ht="15" hidden="1" customHeight="1" x14ac:dyDescent="0.25"/>
    <row r="1307" ht="15" hidden="1" customHeight="1" x14ac:dyDescent="0.25"/>
    <row r="1308" ht="15" hidden="1" customHeight="1" x14ac:dyDescent="0.25"/>
    <row r="1309" ht="15" hidden="1" customHeight="1" x14ac:dyDescent="0.25"/>
    <row r="1310" ht="15" hidden="1" customHeight="1" x14ac:dyDescent="0.25"/>
    <row r="1311" ht="15" hidden="1" customHeight="1" x14ac:dyDescent="0.25"/>
    <row r="1312" ht="15" hidden="1" customHeight="1" x14ac:dyDescent="0.25"/>
    <row r="1313" ht="15" hidden="1" customHeight="1" x14ac:dyDescent="0.25"/>
    <row r="1314" ht="15" hidden="1" customHeight="1" x14ac:dyDescent="0.25"/>
    <row r="1315" ht="15" hidden="1" customHeight="1" x14ac:dyDescent="0.25"/>
    <row r="1316" ht="15" hidden="1" customHeight="1" x14ac:dyDescent="0.25"/>
    <row r="1317" ht="15" hidden="1" customHeight="1" x14ac:dyDescent="0.25"/>
    <row r="1318" ht="15" hidden="1" customHeight="1" x14ac:dyDescent="0.25"/>
    <row r="1319" ht="15" hidden="1" customHeight="1" x14ac:dyDescent="0.25"/>
    <row r="1320" ht="15" hidden="1" customHeight="1" x14ac:dyDescent="0.25"/>
    <row r="1321" ht="15" hidden="1" customHeight="1" x14ac:dyDescent="0.25"/>
    <row r="1322" ht="15" hidden="1" customHeight="1" x14ac:dyDescent="0.25"/>
    <row r="1323" ht="15" hidden="1" customHeight="1" x14ac:dyDescent="0.25"/>
    <row r="1324" ht="15" hidden="1" customHeight="1" x14ac:dyDescent="0.25"/>
    <row r="1325" ht="15" hidden="1" customHeight="1" x14ac:dyDescent="0.25"/>
    <row r="1326" ht="15" hidden="1" customHeight="1" x14ac:dyDescent="0.25"/>
    <row r="1327" ht="15" hidden="1" customHeight="1" x14ac:dyDescent="0.25"/>
    <row r="1328" ht="15" hidden="1" customHeight="1" x14ac:dyDescent="0.25"/>
    <row r="1329" ht="15" hidden="1" customHeight="1" x14ac:dyDescent="0.25"/>
    <row r="1330" ht="15" hidden="1" customHeight="1" x14ac:dyDescent="0.25"/>
    <row r="1331" ht="15" hidden="1" customHeight="1" x14ac:dyDescent="0.25"/>
    <row r="1332" ht="15" hidden="1" customHeight="1" x14ac:dyDescent="0.25"/>
    <row r="1333" ht="15" hidden="1" customHeight="1" x14ac:dyDescent="0.25"/>
    <row r="1334" ht="15" hidden="1" customHeight="1" x14ac:dyDescent="0.25"/>
    <row r="1335" ht="15" hidden="1" customHeight="1" x14ac:dyDescent="0.25"/>
    <row r="1336" ht="15" hidden="1" customHeight="1" x14ac:dyDescent="0.25"/>
    <row r="1337" ht="15" hidden="1" customHeight="1" x14ac:dyDescent="0.25"/>
    <row r="1338" ht="15" hidden="1" customHeight="1" x14ac:dyDescent="0.25"/>
    <row r="1339" ht="15" hidden="1" customHeight="1" x14ac:dyDescent="0.25"/>
    <row r="1340" ht="15" hidden="1" customHeight="1" x14ac:dyDescent="0.25"/>
    <row r="1341" ht="15" hidden="1" customHeight="1" x14ac:dyDescent="0.25"/>
    <row r="1342" ht="15" hidden="1" customHeight="1" x14ac:dyDescent="0.25"/>
    <row r="1343" ht="15" hidden="1" customHeight="1" x14ac:dyDescent="0.25"/>
    <row r="1344" ht="15" hidden="1" customHeight="1" x14ac:dyDescent="0.25"/>
    <row r="1345" ht="15" hidden="1" customHeight="1" x14ac:dyDescent="0.25"/>
    <row r="1346" ht="15" hidden="1" customHeight="1" x14ac:dyDescent="0.25"/>
    <row r="1347" ht="15" hidden="1" customHeight="1" x14ac:dyDescent="0.25"/>
    <row r="1348" ht="15" hidden="1" customHeight="1" x14ac:dyDescent="0.25"/>
    <row r="1349" ht="15" hidden="1" customHeight="1" x14ac:dyDescent="0.25"/>
    <row r="1350" ht="15" hidden="1" customHeight="1" x14ac:dyDescent="0.25"/>
    <row r="1351" ht="15" hidden="1" customHeight="1" x14ac:dyDescent="0.25"/>
    <row r="1352" ht="15" hidden="1" customHeight="1" x14ac:dyDescent="0.25"/>
    <row r="1353" ht="15" hidden="1" customHeight="1" x14ac:dyDescent="0.25"/>
    <row r="1354" ht="15" hidden="1" customHeight="1" x14ac:dyDescent="0.25"/>
    <row r="1355" ht="15" hidden="1" customHeight="1" x14ac:dyDescent="0.25"/>
    <row r="1356" ht="15" hidden="1" customHeight="1" x14ac:dyDescent="0.25"/>
    <row r="1357" ht="15" hidden="1" customHeight="1" x14ac:dyDescent="0.25"/>
    <row r="1358" ht="15" hidden="1" customHeight="1" x14ac:dyDescent="0.25"/>
    <row r="1359" ht="15" hidden="1" customHeight="1" x14ac:dyDescent="0.25"/>
    <row r="1360" ht="15" hidden="1" customHeight="1" x14ac:dyDescent="0.25"/>
    <row r="1361" ht="15" hidden="1" customHeight="1" x14ac:dyDescent="0.25"/>
    <row r="1362" ht="15" hidden="1" customHeight="1" x14ac:dyDescent="0.25"/>
    <row r="1363" ht="15" hidden="1" customHeight="1" x14ac:dyDescent="0.25"/>
    <row r="1364" ht="15" hidden="1" customHeight="1" x14ac:dyDescent="0.25"/>
    <row r="1365" ht="15" hidden="1" customHeight="1" x14ac:dyDescent="0.25"/>
    <row r="1366" ht="15" hidden="1" customHeight="1" x14ac:dyDescent="0.25"/>
    <row r="1367" ht="15" hidden="1" customHeight="1" x14ac:dyDescent="0.25"/>
    <row r="1368" ht="15" hidden="1" customHeight="1" x14ac:dyDescent="0.25"/>
    <row r="1369" ht="15" hidden="1" customHeight="1" x14ac:dyDescent="0.25"/>
    <row r="1370" ht="15" hidden="1" customHeight="1" x14ac:dyDescent="0.25"/>
    <row r="1371" ht="15" hidden="1" customHeight="1" x14ac:dyDescent="0.25"/>
    <row r="1372" ht="15" hidden="1" customHeight="1" x14ac:dyDescent="0.25"/>
    <row r="1373" ht="15" hidden="1" customHeight="1" x14ac:dyDescent="0.25"/>
    <row r="1374" ht="15" hidden="1" customHeight="1" x14ac:dyDescent="0.25"/>
    <row r="1375" ht="15" hidden="1" customHeight="1" x14ac:dyDescent="0.25"/>
    <row r="1376" ht="15" hidden="1" customHeight="1" x14ac:dyDescent="0.25"/>
    <row r="1377" ht="15" hidden="1" customHeight="1" x14ac:dyDescent="0.25"/>
    <row r="1378" ht="15" hidden="1" customHeight="1" x14ac:dyDescent="0.25"/>
    <row r="1379" ht="15" hidden="1" customHeight="1" x14ac:dyDescent="0.25"/>
    <row r="1380" ht="15" hidden="1" customHeight="1" x14ac:dyDescent="0.25"/>
    <row r="1381" ht="15" hidden="1" customHeight="1" x14ac:dyDescent="0.25"/>
    <row r="1382" ht="15" hidden="1" customHeight="1" x14ac:dyDescent="0.25"/>
    <row r="1383" ht="15" hidden="1" customHeight="1" x14ac:dyDescent="0.25"/>
    <row r="1384" ht="15" hidden="1" customHeight="1" x14ac:dyDescent="0.25"/>
    <row r="1385" ht="15" hidden="1" customHeight="1" x14ac:dyDescent="0.25"/>
    <row r="1386" ht="15" hidden="1" customHeight="1" x14ac:dyDescent="0.25"/>
    <row r="1387" ht="15" hidden="1" customHeight="1" x14ac:dyDescent="0.25"/>
    <row r="1388" ht="15" hidden="1" customHeight="1" x14ac:dyDescent="0.25"/>
    <row r="1389" ht="15" hidden="1" customHeight="1" x14ac:dyDescent="0.25"/>
    <row r="1390" ht="15" hidden="1" customHeight="1" x14ac:dyDescent="0.25"/>
    <row r="1391" ht="15" hidden="1" customHeight="1" x14ac:dyDescent="0.25"/>
    <row r="1392" ht="15" hidden="1" customHeight="1" x14ac:dyDescent="0.25"/>
    <row r="1393" ht="15" hidden="1" customHeight="1" x14ac:dyDescent="0.25"/>
    <row r="1394" ht="15" hidden="1" customHeight="1" x14ac:dyDescent="0.25"/>
    <row r="1395" ht="15" hidden="1" customHeight="1" x14ac:dyDescent="0.25"/>
    <row r="1396" ht="15" hidden="1" customHeight="1" x14ac:dyDescent="0.25"/>
    <row r="1397" ht="15" hidden="1" customHeight="1" x14ac:dyDescent="0.25"/>
    <row r="1398" ht="15" hidden="1" customHeight="1" x14ac:dyDescent="0.25"/>
    <row r="1399" ht="15" hidden="1" customHeight="1" x14ac:dyDescent="0.25"/>
    <row r="1400" ht="15" hidden="1" customHeight="1" x14ac:dyDescent="0.25"/>
    <row r="1401" ht="15" hidden="1" customHeight="1" x14ac:dyDescent="0.25"/>
    <row r="1402" ht="15" hidden="1" customHeight="1" x14ac:dyDescent="0.25"/>
    <row r="1403" ht="15" hidden="1" customHeight="1" x14ac:dyDescent="0.25"/>
    <row r="1404" ht="15" hidden="1" customHeight="1" x14ac:dyDescent="0.25"/>
    <row r="1405" ht="15" hidden="1" customHeight="1" x14ac:dyDescent="0.25"/>
    <row r="1406" ht="15" hidden="1" customHeight="1" x14ac:dyDescent="0.25"/>
    <row r="1407" ht="15" hidden="1" customHeight="1" x14ac:dyDescent="0.25"/>
    <row r="1408" ht="15" hidden="1" customHeight="1" x14ac:dyDescent="0.25"/>
    <row r="1409" ht="15" hidden="1" customHeight="1" x14ac:dyDescent="0.25"/>
    <row r="1410" ht="15" hidden="1" customHeight="1" x14ac:dyDescent="0.25"/>
    <row r="1411" ht="15" hidden="1" customHeight="1" x14ac:dyDescent="0.25"/>
    <row r="1412" ht="15" hidden="1" customHeight="1" x14ac:dyDescent="0.25"/>
    <row r="1413" ht="15" hidden="1" customHeight="1" x14ac:dyDescent="0.25"/>
    <row r="1414" ht="15" hidden="1" customHeight="1" x14ac:dyDescent="0.25"/>
    <row r="1415" ht="15" hidden="1" customHeight="1" x14ac:dyDescent="0.25"/>
    <row r="1416" ht="15" hidden="1" customHeight="1" x14ac:dyDescent="0.25"/>
    <row r="1417" ht="15" hidden="1" customHeight="1" x14ac:dyDescent="0.25"/>
    <row r="1418" ht="15" hidden="1" customHeight="1" x14ac:dyDescent="0.25"/>
    <row r="1419" ht="15" hidden="1" customHeight="1" x14ac:dyDescent="0.25"/>
    <row r="1420" ht="15" hidden="1" customHeight="1" x14ac:dyDescent="0.25"/>
    <row r="1421" ht="15" hidden="1" customHeight="1" x14ac:dyDescent="0.25"/>
    <row r="1422" ht="15" hidden="1" customHeight="1" x14ac:dyDescent="0.25"/>
    <row r="1423" ht="15" hidden="1" customHeight="1" x14ac:dyDescent="0.25"/>
    <row r="1424" ht="15" hidden="1" customHeight="1" x14ac:dyDescent="0.25"/>
    <row r="1425" ht="15" hidden="1" customHeight="1" x14ac:dyDescent="0.25"/>
    <row r="1426" ht="15" hidden="1" customHeight="1" x14ac:dyDescent="0.25"/>
    <row r="1427" ht="15" hidden="1" customHeight="1" x14ac:dyDescent="0.25"/>
    <row r="1428" ht="15" hidden="1" customHeight="1" x14ac:dyDescent="0.25"/>
    <row r="1429" ht="15" hidden="1" customHeight="1" x14ac:dyDescent="0.25"/>
    <row r="1430" ht="15" hidden="1" customHeight="1" x14ac:dyDescent="0.25"/>
    <row r="1431" ht="15" hidden="1" customHeight="1" x14ac:dyDescent="0.25"/>
    <row r="1432" ht="15" hidden="1" customHeight="1" x14ac:dyDescent="0.25"/>
    <row r="1433" ht="15" hidden="1" customHeight="1" x14ac:dyDescent="0.25"/>
    <row r="1434" ht="15" hidden="1" customHeight="1" x14ac:dyDescent="0.25"/>
    <row r="1435" ht="15" hidden="1" customHeight="1" x14ac:dyDescent="0.25"/>
    <row r="1436" ht="15" hidden="1" customHeight="1" x14ac:dyDescent="0.25"/>
    <row r="1437" ht="15" hidden="1" customHeight="1" x14ac:dyDescent="0.25"/>
    <row r="1438" ht="15" hidden="1" customHeight="1" x14ac:dyDescent="0.25"/>
    <row r="1439" ht="15" hidden="1" customHeight="1" x14ac:dyDescent="0.25"/>
    <row r="1440" ht="15" hidden="1" customHeight="1" x14ac:dyDescent="0.25"/>
    <row r="1441" ht="15" hidden="1" customHeight="1" x14ac:dyDescent="0.25"/>
    <row r="1442" ht="15" hidden="1" customHeight="1" x14ac:dyDescent="0.25"/>
    <row r="1443" ht="15" hidden="1" customHeight="1" x14ac:dyDescent="0.25"/>
    <row r="1444" ht="15" hidden="1" customHeight="1" x14ac:dyDescent="0.25"/>
    <row r="1445" ht="15" hidden="1" customHeight="1" x14ac:dyDescent="0.25"/>
    <row r="1446" ht="15" hidden="1" customHeight="1" x14ac:dyDescent="0.25"/>
    <row r="1447" ht="15" hidden="1" customHeight="1" x14ac:dyDescent="0.25"/>
    <row r="1448" ht="15" hidden="1" customHeight="1" x14ac:dyDescent="0.25"/>
    <row r="1449" ht="15" hidden="1" customHeight="1" x14ac:dyDescent="0.25"/>
    <row r="1450" ht="15" hidden="1" customHeight="1" x14ac:dyDescent="0.25"/>
    <row r="1451" ht="15" hidden="1" customHeight="1" x14ac:dyDescent="0.25"/>
    <row r="1452" ht="15" hidden="1" customHeight="1" x14ac:dyDescent="0.25"/>
    <row r="1453" ht="15" hidden="1" customHeight="1" x14ac:dyDescent="0.25"/>
    <row r="1454" ht="15" hidden="1" customHeight="1" x14ac:dyDescent="0.25"/>
    <row r="1455" ht="15" hidden="1" customHeight="1" x14ac:dyDescent="0.25"/>
    <row r="1456" ht="15" hidden="1" customHeight="1" x14ac:dyDescent="0.25"/>
    <row r="1457" ht="15" hidden="1" customHeight="1" x14ac:dyDescent="0.25"/>
    <row r="1458" ht="15" hidden="1" customHeight="1" x14ac:dyDescent="0.25"/>
    <row r="1459" ht="15" hidden="1" customHeight="1" x14ac:dyDescent="0.25"/>
    <row r="1460" ht="15" hidden="1" customHeight="1" x14ac:dyDescent="0.25"/>
    <row r="1461" ht="15" hidden="1" customHeight="1" x14ac:dyDescent="0.25"/>
    <row r="1462" ht="15" hidden="1" customHeight="1" x14ac:dyDescent="0.25"/>
    <row r="1463" ht="15" hidden="1" customHeight="1" x14ac:dyDescent="0.25"/>
    <row r="1464" ht="15" hidden="1" customHeight="1" x14ac:dyDescent="0.25"/>
    <row r="1465" ht="15" hidden="1" customHeight="1" x14ac:dyDescent="0.25"/>
    <row r="1466" ht="15" hidden="1" customHeight="1" x14ac:dyDescent="0.25"/>
    <row r="1467" ht="15" hidden="1" customHeight="1" x14ac:dyDescent="0.25"/>
    <row r="1468" ht="15" hidden="1" customHeight="1" x14ac:dyDescent="0.25"/>
    <row r="1469" ht="15" hidden="1" customHeight="1" x14ac:dyDescent="0.25"/>
    <row r="1470" ht="15" hidden="1" customHeight="1" x14ac:dyDescent="0.25"/>
    <row r="1471" ht="15" hidden="1" customHeight="1" x14ac:dyDescent="0.25"/>
    <row r="1472" ht="15" hidden="1" customHeight="1" x14ac:dyDescent="0.25"/>
    <row r="1473" ht="15" hidden="1" customHeight="1" x14ac:dyDescent="0.25"/>
    <row r="1474" ht="15" hidden="1" customHeight="1" x14ac:dyDescent="0.25"/>
    <row r="1475" ht="15" hidden="1" customHeight="1" x14ac:dyDescent="0.25"/>
    <row r="1476" ht="15" hidden="1" customHeight="1" x14ac:dyDescent="0.25"/>
    <row r="1477" ht="15" hidden="1" customHeight="1" x14ac:dyDescent="0.25"/>
    <row r="1478" ht="15" hidden="1" customHeight="1" x14ac:dyDescent="0.25"/>
    <row r="1479" ht="15" hidden="1" customHeight="1" x14ac:dyDescent="0.25"/>
    <row r="1480" ht="15" hidden="1" customHeight="1" x14ac:dyDescent="0.25"/>
    <row r="1481" ht="15" hidden="1" customHeight="1" x14ac:dyDescent="0.25"/>
    <row r="1482" ht="15" hidden="1" customHeight="1" x14ac:dyDescent="0.25"/>
    <row r="1483" ht="15" hidden="1" customHeight="1" x14ac:dyDescent="0.25"/>
    <row r="1484" ht="15" hidden="1" customHeight="1" x14ac:dyDescent="0.25"/>
    <row r="1485" ht="15" hidden="1" customHeight="1" x14ac:dyDescent="0.25"/>
    <row r="1486" ht="15" hidden="1" customHeight="1" x14ac:dyDescent="0.25"/>
    <row r="1487" ht="15" hidden="1" customHeight="1" x14ac:dyDescent="0.25"/>
    <row r="1488" ht="15" hidden="1" customHeight="1" x14ac:dyDescent="0.25"/>
    <row r="1489" ht="15" hidden="1" customHeight="1" x14ac:dyDescent="0.25"/>
    <row r="1490" ht="15" hidden="1" customHeight="1" x14ac:dyDescent="0.25"/>
    <row r="1491" ht="15" hidden="1" customHeight="1" x14ac:dyDescent="0.25"/>
    <row r="1492" ht="15" hidden="1" customHeight="1" x14ac:dyDescent="0.25"/>
    <row r="1493" ht="15" hidden="1" customHeight="1" x14ac:dyDescent="0.25"/>
    <row r="1494" ht="15" hidden="1" customHeight="1" x14ac:dyDescent="0.25"/>
    <row r="1495" ht="15" hidden="1" customHeight="1" x14ac:dyDescent="0.25"/>
    <row r="1496" ht="15" hidden="1" customHeight="1" x14ac:dyDescent="0.25"/>
    <row r="1497" ht="15" hidden="1" customHeight="1" x14ac:dyDescent="0.25"/>
    <row r="1498" ht="15" hidden="1" customHeight="1" x14ac:dyDescent="0.25"/>
    <row r="1499" ht="15" hidden="1" customHeight="1" x14ac:dyDescent="0.25"/>
    <row r="1500" ht="15" hidden="1" customHeight="1" x14ac:dyDescent="0.25"/>
    <row r="1501" ht="15" hidden="1" customHeight="1" x14ac:dyDescent="0.25"/>
    <row r="1502" ht="15" hidden="1" customHeight="1" x14ac:dyDescent="0.25"/>
    <row r="1503" ht="15" hidden="1" customHeight="1" x14ac:dyDescent="0.25"/>
    <row r="1504" ht="15" hidden="1" customHeight="1" x14ac:dyDescent="0.25"/>
    <row r="1505" ht="15" hidden="1" customHeight="1" x14ac:dyDescent="0.25"/>
    <row r="1506" ht="15" hidden="1" customHeight="1" x14ac:dyDescent="0.25"/>
    <row r="1507" ht="15" hidden="1" customHeight="1" x14ac:dyDescent="0.25"/>
    <row r="1508" ht="15" hidden="1" customHeight="1" x14ac:dyDescent="0.25"/>
    <row r="1509" ht="15" hidden="1" customHeight="1" x14ac:dyDescent="0.25"/>
    <row r="1510" ht="15" hidden="1" customHeight="1" x14ac:dyDescent="0.25"/>
    <row r="1511" ht="15" hidden="1" customHeight="1" x14ac:dyDescent="0.25"/>
    <row r="1512" ht="15" hidden="1" customHeight="1" x14ac:dyDescent="0.25"/>
    <row r="1513" ht="15" hidden="1" customHeight="1" x14ac:dyDescent="0.25"/>
    <row r="1514" ht="15" hidden="1" customHeight="1" x14ac:dyDescent="0.25"/>
    <row r="1515" ht="15" hidden="1" customHeight="1" x14ac:dyDescent="0.25"/>
    <row r="1516" ht="15" hidden="1" customHeight="1" x14ac:dyDescent="0.25"/>
    <row r="1517" ht="15" hidden="1" customHeight="1" x14ac:dyDescent="0.25"/>
    <row r="1518" ht="15" hidden="1" customHeight="1" x14ac:dyDescent="0.25"/>
    <row r="1519" ht="15" hidden="1" customHeight="1" x14ac:dyDescent="0.25"/>
    <row r="1520" ht="15" hidden="1" customHeight="1" x14ac:dyDescent="0.25"/>
    <row r="1521" ht="15" hidden="1" customHeight="1" x14ac:dyDescent="0.25"/>
    <row r="1522" ht="15" hidden="1" customHeight="1" x14ac:dyDescent="0.25"/>
    <row r="1523" ht="15" hidden="1" customHeight="1" x14ac:dyDescent="0.25"/>
    <row r="1524" ht="15" hidden="1" customHeight="1" x14ac:dyDescent="0.25"/>
    <row r="1525" ht="15" hidden="1" customHeight="1" x14ac:dyDescent="0.25"/>
    <row r="1526" ht="15" hidden="1" customHeight="1" x14ac:dyDescent="0.25"/>
    <row r="1527" ht="15" hidden="1" customHeight="1" x14ac:dyDescent="0.25"/>
    <row r="1528" ht="15" hidden="1" customHeight="1" x14ac:dyDescent="0.25"/>
    <row r="1529" ht="15" hidden="1" customHeight="1" x14ac:dyDescent="0.25"/>
    <row r="1530" ht="15" hidden="1" customHeight="1" x14ac:dyDescent="0.25"/>
    <row r="1531" ht="15" hidden="1" customHeight="1" x14ac:dyDescent="0.25"/>
    <row r="1532" ht="15" hidden="1" customHeight="1" x14ac:dyDescent="0.25"/>
    <row r="1533" ht="15" hidden="1" customHeight="1" x14ac:dyDescent="0.25"/>
    <row r="1534" ht="15" hidden="1" customHeight="1" x14ac:dyDescent="0.25"/>
    <row r="1535" ht="15" hidden="1" customHeight="1" x14ac:dyDescent="0.25"/>
    <row r="1536" ht="15" hidden="1" customHeight="1" x14ac:dyDescent="0.25"/>
    <row r="1537" ht="15" hidden="1" customHeight="1" x14ac:dyDescent="0.25"/>
    <row r="1538" ht="15" hidden="1" customHeight="1" x14ac:dyDescent="0.25"/>
    <row r="1539" ht="15" hidden="1" customHeight="1" x14ac:dyDescent="0.25"/>
    <row r="1540" ht="15" hidden="1" customHeight="1" x14ac:dyDescent="0.25"/>
    <row r="1541" ht="15" hidden="1" customHeight="1" x14ac:dyDescent="0.25"/>
    <row r="1542" ht="15" hidden="1" customHeight="1" x14ac:dyDescent="0.25"/>
    <row r="1543" ht="15" hidden="1" customHeight="1" x14ac:dyDescent="0.25"/>
    <row r="1544" ht="15" hidden="1" customHeight="1" x14ac:dyDescent="0.25"/>
    <row r="1545" ht="15" hidden="1" customHeight="1" x14ac:dyDescent="0.25"/>
    <row r="1546" ht="15" hidden="1" customHeight="1" x14ac:dyDescent="0.25"/>
    <row r="1547" ht="15" hidden="1" customHeight="1" x14ac:dyDescent="0.25"/>
    <row r="1548" ht="15" hidden="1" customHeight="1" x14ac:dyDescent="0.25"/>
    <row r="1549" ht="15" hidden="1" customHeight="1" x14ac:dyDescent="0.25"/>
    <row r="1550" ht="15" hidden="1" customHeight="1" x14ac:dyDescent="0.25"/>
    <row r="1551" ht="15" hidden="1" customHeight="1" x14ac:dyDescent="0.25"/>
    <row r="1552" ht="15" hidden="1" customHeight="1" x14ac:dyDescent="0.25"/>
    <row r="1553" ht="15" hidden="1" customHeight="1" x14ac:dyDescent="0.25"/>
    <row r="1554" ht="15" hidden="1" customHeight="1" x14ac:dyDescent="0.25"/>
    <row r="1555" ht="15" hidden="1" customHeight="1" x14ac:dyDescent="0.25"/>
    <row r="1556" ht="15" hidden="1" customHeight="1" x14ac:dyDescent="0.25"/>
    <row r="1557" ht="15" hidden="1" customHeight="1" x14ac:dyDescent="0.25"/>
    <row r="1558" ht="15" hidden="1" customHeight="1" x14ac:dyDescent="0.25"/>
    <row r="1559" ht="15" hidden="1" customHeight="1" x14ac:dyDescent="0.25"/>
    <row r="1560" ht="15" hidden="1" customHeight="1" x14ac:dyDescent="0.25"/>
    <row r="1561" ht="15" hidden="1" customHeight="1" x14ac:dyDescent="0.25"/>
    <row r="1562" ht="15" hidden="1" customHeight="1" x14ac:dyDescent="0.25"/>
    <row r="1563" ht="15" hidden="1" customHeight="1" x14ac:dyDescent="0.25"/>
    <row r="1564" ht="15" hidden="1" customHeight="1" x14ac:dyDescent="0.25"/>
    <row r="1565" ht="15" hidden="1" customHeight="1" x14ac:dyDescent="0.25"/>
    <row r="1566" ht="15" hidden="1" customHeight="1" x14ac:dyDescent="0.25"/>
    <row r="1567" ht="15" hidden="1" customHeight="1" x14ac:dyDescent="0.25"/>
    <row r="1568" ht="15" hidden="1" customHeight="1" x14ac:dyDescent="0.25"/>
    <row r="1569" ht="15" hidden="1" customHeight="1" x14ac:dyDescent="0.25"/>
    <row r="1570" ht="15" hidden="1" customHeight="1" x14ac:dyDescent="0.25"/>
    <row r="1571" ht="15" hidden="1" customHeight="1" x14ac:dyDescent="0.25"/>
    <row r="1572" ht="15" hidden="1" customHeight="1" x14ac:dyDescent="0.25"/>
    <row r="1573" ht="15" hidden="1" customHeight="1" x14ac:dyDescent="0.25"/>
    <row r="1574" ht="15" hidden="1" customHeight="1" x14ac:dyDescent="0.25"/>
    <row r="1575" ht="15" hidden="1" customHeight="1" x14ac:dyDescent="0.25"/>
    <row r="1576" ht="15" hidden="1" customHeight="1" x14ac:dyDescent="0.25"/>
    <row r="1577" ht="15" hidden="1" customHeight="1" x14ac:dyDescent="0.25"/>
    <row r="1578" ht="15" hidden="1" customHeight="1" x14ac:dyDescent="0.25"/>
    <row r="1579" ht="15" hidden="1" customHeight="1" x14ac:dyDescent="0.25"/>
    <row r="1580" ht="15" hidden="1" customHeight="1" x14ac:dyDescent="0.25"/>
    <row r="1581" ht="15" hidden="1" customHeight="1" x14ac:dyDescent="0.25"/>
    <row r="1582" ht="15" hidden="1" customHeight="1" x14ac:dyDescent="0.25"/>
    <row r="1583" ht="15" hidden="1" customHeight="1" x14ac:dyDescent="0.25"/>
    <row r="1584" ht="15" hidden="1" customHeight="1" x14ac:dyDescent="0.25"/>
    <row r="1585" ht="15" hidden="1" customHeight="1" x14ac:dyDescent="0.25"/>
    <row r="1586" ht="15" hidden="1" customHeight="1" x14ac:dyDescent="0.25"/>
    <row r="1587" ht="15" hidden="1" customHeight="1" x14ac:dyDescent="0.25"/>
    <row r="1588" ht="15" hidden="1" customHeight="1" x14ac:dyDescent="0.25"/>
    <row r="1589" ht="15" hidden="1" customHeight="1" x14ac:dyDescent="0.25"/>
    <row r="1590" ht="15" hidden="1" customHeight="1" x14ac:dyDescent="0.25"/>
    <row r="1591" ht="15" hidden="1" customHeight="1" x14ac:dyDescent="0.25"/>
    <row r="1592" ht="15" hidden="1" customHeight="1" x14ac:dyDescent="0.25"/>
    <row r="1593" ht="15" hidden="1" customHeight="1" x14ac:dyDescent="0.25"/>
    <row r="1594" ht="15" hidden="1" customHeight="1" x14ac:dyDescent="0.25"/>
    <row r="1595" ht="15" hidden="1" customHeight="1" x14ac:dyDescent="0.25"/>
    <row r="1596" ht="15" hidden="1" customHeight="1" x14ac:dyDescent="0.25"/>
    <row r="1597" ht="15" hidden="1" customHeight="1" x14ac:dyDescent="0.25"/>
    <row r="1598" ht="15" hidden="1" customHeight="1" x14ac:dyDescent="0.25"/>
    <row r="1599" ht="15" hidden="1" customHeight="1" x14ac:dyDescent="0.25"/>
    <row r="1600" ht="15" hidden="1" customHeight="1" x14ac:dyDescent="0.25"/>
    <row r="1601" ht="15" hidden="1" customHeight="1" x14ac:dyDescent="0.25"/>
    <row r="1602" ht="15" hidden="1" customHeight="1" x14ac:dyDescent="0.25"/>
    <row r="1603" ht="15" hidden="1" customHeight="1" x14ac:dyDescent="0.25"/>
    <row r="1604" ht="15" hidden="1" customHeight="1" x14ac:dyDescent="0.25"/>
    <row r="1605" ht="15" hidden="1" customHeight="1" x14ac:dyDescent="0.25"/>
    <row r="1606" ht="15" hidden="1" customHeight="1" x14ac:dyDescent="0.25"/>
    <row r="1607" ht="15" hidden="1" customHeight="1" x14ac:dyDescent="0.25"/>
    <row r="1608" ht="15" hidden="1" customHeight="1" x14ac:dyDescent="0.25"/>
    <row r="1609" ht="15" hidden="1" customHeight="1" x14ac:dyDescent="0.25"/>
    <row r="1610" ht="15" hidden="1" customHeight="1" x14ac:dyDescent="0.25"/>
    <row r="1611" ht="15" hidden="1" customHeight="1" x14ac:dyDescent="0.25"/>
    <row r="1612" ht="15" hidden="1" customHeight="1" x14ac:dyDescent="0.25"/>
    <row r="1613" ht="15" hidden="1" customHeight="1" x14ac:dyDescent="0.25"/>
    <row r="1614" ht="15" hidden="1" customHeight="1" x14ac:dyDescent="0.25"/>
    <row r="1615" ht="15" hidden="1" customHeight="1" x14ac:dyDescent="0.25"/>
    <row r="1616" ht="15" hidden="1" customHeight="1" x14ac:dyDescent="0.25"/>
    <row r="1617" ht="15" hidden="1" customHeight="1" x14ac:dyDescent="0.25"/>
    <row r="1618" ht="15" hidden="1" customHeight="1" x14ac:dyDescent="0.25"/>
    <row r="1619" ht="15" hidden="1" customHeight="1" x14ac:dyDescent="0.25"/>
    <row r="1620" ht="15" hidden="1" customHeight="1" x14ac:dyDescent="0.25"/>
    <row r="1621" ht="15" hidden="1" customHeight="1" x14ac:dyDescent="0.25"/>
    <row r="1622" ht="15" hidden="1" customHeight="1" x14ac:dyDescent="0.25"/>
    <row r="1623" ht="15" hidden="1" customHeight="1" x14ac:dyDescent="0.25"/>
    <row r="1624" ht="15" hidden="1" customHeight="1" x14ac:dyDescent="0.25"/>
    <row r="1625" ht="15" hidden="1" customHeight="1" x14ac:dyDescent="0.25"/>
    <row r="1626" ht="15" hidden="1" customHeight="1" x14ac:dyDescent="0.25"/>
    <row r="1627" ht="15" hidden="1" customHeight="1" x14ac:dyDescent="0.25"/>
    <row r="1628" ht="15" hidden="1" customHeight="1" x14ac:dyDescent="0.25"/>
    <row r="1629" ht="15" hidden="1" customHeight="1" x14ac:dyDescent="0.25"/>
    <row r="1630" ht="15" hidden="1" customHeight="1" x14ac:dyDescent="0.25"/>
    <row r="1631" ht="15" hidden="1" customHeight="1" x14ac:dyDescent="0.25"/>
    <row r="1632" ht="15" hidden="1" customHeight="1" x14ac:dyDescent="0.25"/>
    <row r="1633" ht="15" hidden="1" customHeight="1" x14ac:dyDescent="0.25"/>
    <row r="1634" ht="15" hidden="1" customHeight="1" x14ac:dyDescent="0.25"/>
    <row r="1635" ht="15" hidden="1" customHeight="1" x14ac:dyDescent="0.25"/>
    <row r="1636" ht="15" hidden="1" customHeight="1" x14ac:dyDescent="0.25"/>
    <row r="1637" ht="15" hidden="1" customHeight="1" x14ac:dyDescent="0.25"/>
    <row r="1638" ht="15" hidden="1" customHeight="1" x14ac:dyDescent="0.25"/>
    <row r="1639" ht="15" hidden="1" customHeight="1" x14ac:dyDescent="0.25"/>
    <row r="1640" ht="15" hidden="1" customHeight="1" x14ac:dyDescent="0.25"/>
    <row r="1641" ht="15" hidden="1" customHeight="1" x14ac:dyDescent="0.25"/>
    <row r="1642" ht="15" hidden="1" customHeight="1" x14ac:dyDescent="0.25"/>
    <row r="1643" ht="15" hidden="1" customHeight="1" x14ac:dyDescent="0.25"/>
    <row r="1644" ht="15" hidden="1" customHeight="1" x14ac:dyDescent="0.25"/>
    <row r="1645" ht="15" hidden="1" customHeight="1" x14ac:dyDescent="0.25"/>
    <row r="1646" ht="15" hidden="1" customHeight="1" x14ac:dyDescent="0.25"/>
    <row r="1647" ht="15" hidden="1" customHeight="1" x14ac:dyDescent="0.25"/>
    <row r="1648" ht="15" hidden="1" customHeight="1" x14ac:dyDescent="0.25"/>
    <row r="1649" ht="15" hidden="1" customHeight="1" x14ac:dyDescent="0.25"/>
    <row r="1650" ht="15" hidden="1" customHeight="1" x14ac:dyDescent="0.25"/>
    <row r="1651" ht="15" hidden="1" customHeight="1" x14ac:dyDescent="0.25"/>
    <row r="1652" ht="15" hidden="1" customHeight="1" x14ac:dyDescent="0.25"/>
    <row r="1653" ht="15" hidden="1" customHeight="1" x14ac:dyDescent="0.25"/>
    <row r="1654" ht="15" hidden="1" customHeight="1" x14ac:dyDescent="0.25"/>
    <row r="1655" ht="15" hidden="1" customHeight="1" x14ac:dyDescent="0.25"/>
    <row r="1656" ht="15" hidden="1" customHeight="1" x14ac:dyDescent="0.25"/>
    <row r="1657" ht="15" hidden="1" customHeight="1" x14ac:dyDescent="0.25"/>
    <row r="1658" ht="15" hidden="1" customHeight="1" x14ac:dyDescent="0.25"/>
    <row r="1659" ht="15" hidden="1" customHeight="1" x14ac:dyDescent="0.25"/>
    <row r="1660" ht="15" hidden="1" customHeight="1" x14ac:dyDescent="0.25"/>
    <row r="1661" ht="15" hidden="1" customHeight="1" x14ac:dyDescent="0.25"/>
    <row r="1662" ht="15" hidden="1" customHeight="1" x14ac:dyDescent="0.25"/>
    <row r="1663" ht="15" hidden="1" customHeight="1" x14ac:dyDescent="0.25"/>
    <row r="1664" ht="15" hidden="1" customHeight="1" x14ac:dyDescent="0.25"/>
    <row r="1665" ht="15" hidden="1" customHeight="1" x14ac:dyDescent="0.25"/>
    <row r="1666" ht="15" hidden="1" customHeight="1" x14ac:dyDescent="0.25"/>
    <row r="1667" ht="15" hidden="1" customHeight="1" x14ac:dyDescent="0.25"/>
    <row r="1668" ht="15" hidden="1" customHeight="1" x14ac:dyDescent="0.25"/>
    <row r="1669" ht="15" hidden="1" customHeight="1" x14ac:dyDescent="0.25"/>
    <row r="1670" ht="15" hidden="1" customHeight="1" x14ac:dyDescent="0.25"/>
    <row r="1671" ht="15" hidden="1" customHeight="1" x14ac:dyDescent="0.25"/>
    <row r="1672" ht="15" hidden="1" customHeight="1" x14ac:dyDescent="0.25"/>
    <row r="1673" ht="15" hidden="1" customHeight="1" x14ac:dyDescent="0.25"/>
    <row r="1674" ht="15" hidden="1" customHeight="1" x14ac:dyDescent="0.25"/>
    <row r="1675" ht="15" hidden="1" customHeight="1" x14ac:dyDescent="0.25"/>
    <row r="1676" ht="15" hidden="1" customHeight="1" x14ac:dyDescent="0.25"/>
    <row r="1677" ht="15" hidden="1" customHeight="1" x14ac:dyDescent="0.25"/>
    <row r="1678" ht="15" hidden="1" customHeight="1" x14ac:dyDescent="0.25"/>
    <row r="1679" ht="15" hidden="1" customHeight="1" x14ac:dyDescent="0.25"/>
    <row r="1680" ht="15" hidden="1" customHeight="1" x14ac:dyDescent="0.25"/>
    <row r="1681" ht="15" hidden="1" customHeight="1" x14ac:dyDescent="0.25"/>
    <row r="1682" ht="15" hidden="1" customHeight="1" x14ac:dyDescent="0.25"/>
    <row r="1683" ht="15" hidden="1" customHeight="1" x14ac:dyDescent="0.25"/>
    <row r="1684" ht="15" hidden="1" customHeight="1" x14ac:dyDescent="0.25"/>
    <row r="1685" ht="15" hidden="1" customHeight="1" x14ac:dyDescent="0.25"/>
    <row r="1686" ht="15" hidden="1" customHeight="1" x14ac:dyDescent="0.25"/>
    <row r="1687" ht="15" hidden="1" customHeight="1" x14ac:dyDescent="0.25"/>
    <row r="1688" ht="15" hidden="1" customHeight="1" x14ac:dyDescent="0.25"/>
    <row r="1689" ht="15" hidden="1" customHeight="1" x14ac:dyDescent="0.25"/>
    <row r="1690" ht="15" hidden="1" customHeight="1" x14ac:dyDescent="0.25"/>
    <row r="1691" ht="15" hidden="1" customHeight="1" x14ac:dyDescent="0.25"/>
    <row r="1692" ht="15" hidden="1" customHeight="1" x14ac:dyDescent="0.25"/>
    <row r="1693" ht="15" hidden="1" customHeight="1" x14ac:dyDescent="0.25"/>
    <row r="1694" ht="15" hidden="1" customHeight="1" x14ac:dyDescent="0.25"/>
    <row r="1695" ht="15" hidden="1" customHeight="1" x14ac:dyDescent="0.25"/>
    <row r="1696" ht="15" hidden="1" customHeight="1" x14ac:dyDescent="0.25"/>
    <row r="1697" ht="15" hidden="1" customHeight="1" x14ac:dyDescent="0.25"/>
    <row r="1698" ht="15" hidden="1" customHeight="1" x14ac:dyDescent="0.25"/>
    <row r="1699" ht="15" hidden="1" customHeight="1" x14ac:dyDescent="0.25"/>
    <row r="1700" ht="15" hidden="1" customHeight="1" x14ac:dyDescent="0.25"/>
    <row r="1701" ht="15" hidden="1" customHeight="1" x14ac:dyDescent="0.25"/>
    <row r="1702" ht="15" hidden="1" customHeight="1" x14ac:dyDescent="0.25"/>
    <row r="1703" ht="15" hidden="1" customHeight="1" x14ac:dyDescent="0.25"/>
    <row r="1704" ht="15" hidden="1" customHeight="1" x14ac:dyDescent="0.25"/>
    <row r="1705" ht="15" hidden="1" customHeight="1" x14ac:dyDescent="0.25"/>
    <row r="1706" ht="15" hidden="1" customHeight="1" x14ac:dyDescent="0.25"/>
    <row r="1707" ht="15" hidden="1" customHeight="1" x14ac:dyDescent="0.25"/>
    <row r="1708" ht="15" hidden="1" customHeight="1" x14ac:dyDescent="0.25"/>
    <row r="1709" ht="15" hidden="1" customHeight="1" x14ac:dyDescent="0.25"/>
    <row r="1710" ht="15" hidden="1" customHeight="1" x14ac:dyDescent="0.25"/>
    <row r="1711" ht="15" hidden="1" customHeight="1" x14ac:dyDescent="0.25"/>
    <row r="1712" ht="15" hidden="1" customHeight="1" x14ac:dyDescent="0.25"/>
    <row r="1713" ht="15" hidden="1" customHeight="1" x14ac:dyDescent="0.25"/>
    <row r="1714" ht="15" hidden="1" customHeight="1" x14ac:dyDescent="0.25"/>
    <row r="1715" ht="15" hidden="1" customHeight="1" x14ac:dyDescent="0.25"/>
    <row r="1716" ht="15" hidden="1" customHeight="1" x14ac:dyDescent="0.25"/>
    <row r="1717" ht="15" hidden="1" customHeight="1" x14ac:dyDescent="0.25"/>
    <row r="1718" ht="15" hidden="1" customHeight="1" x14ac:dyDescent="0.25"/>
    <row r="1719" ht="15" hidden="1" customHeight="1" x14ac:dyDescent="0.25"/>
    <row r="1720" ht="15" hidden="1" customHeight="1" x14ac:dyDescent="0.25"/>
    <row r="1721" ht="15" hidden="1" customHeight="1" x14ac:dyDescent="0.25"/>
    <row r="1722" ht="15" hidden="1" customHeight="1" x14ac:dyDescent="0.25"/>
    <row r="1723" ht="15" hidden="1" customHeight="1" x14ac:dyDescent="0.25"/>
    <row r="1724" ht="15" hidden="1" customHeight="1" x14ac:dyDescent="0.25"/>
    <row r="1725" ht="15" hidden="1" customHeight="1" x14ac:dyDescent="0.25"/>
    <row r="1726" ht="15" hidden="1" customHeight="1" x14ac:dyDescent="0.25"/>
    <row r="1727" ht="15" hidden="1" customHeight="1" x14ac:dyDescent="0.25"/>
    <row r="1728" ht="15" hidden="1" customHeight="1" x14ac:dyDescent="0.25"/>
    <row r="1729" ht="15" hidden="1" customHeight="1" x14ac:dyDescent="0.25"/>
    <row r="1730" ht="15" hidden="1" customHeight="1" x14ac:dyDescent="0.25"/>
    <row r="1731" ht="15" hidden="1" customHeight="1" x14ac:dyDescent="0.25"/>
    <row r="1732" ht="15" hidden="1" customHeight="1" x14ac:dyDescent="0.25"/>
    <row r="1733" ht="15" hidden="1" customHeight="1" x14ac:dyDescent="0.25"/>
    <row r="1734" ht="15" hidden="1" customHeight="1" x14ac:dyDescent="0.25"/>
    <row r="1735" ht="15" hidden="1" customHeight="1" x14ac:dyDescent="0.25"/>
    <row r="1736" ht="15" hidden="1" customHeight="1" x14ac:dyDescent="0.25"/>
    <row r="1737" ht="15" hidden="1" customHeight="1" x14ac:dyDescent="0.25"/>
    <row r="1738" ht="15" hidden="1" customHeight="1" x14ac:dyDescent="0.25"/>
    <row r="1739" ht="15" hidden="1" customHeight="1" x14ac:dyDescent="0.25"/>
    <row r="1740" ht="15" hidden="1" customHeight="1" x14ac:dyDescent="0.25"/>
    <row r="1741" ht="15" hidden="1" customHeight="1" x14ac:dyDescent="0.25"/>
    <row r="1742" ht="15" hidden="1" customHeight="1" x14ac:dyDescent="0.25"/>
    <row r="1743" ht="15" hidden="1" customHeight="1" x14ac:dyDescent="0.25"/>
    <row r="1744" ht="15" hidden="1" customHeight="1" x14ac:dyDescent="0.25"/>
    <row r="1745" ht="15" hidden="1" customHeight="1" x14ac:dyDescent="0.25"/>
    <row r="1746" ht="15" hidden="1" customHeight="1" x14ac:dyDescent="0.25"/>
    <row r="1747" ht="15" hidden="1" customHeight="1" x14ac:dyDescent="0.25"/>
    <row r="1748" ht="15" hidden="1" customHeight="1" x14ac:dyDescent="0.25"/>
    <row r="1749" ht="15" hidden="1" customHeight="1" x14ac:dyDescent="0.25"/>
    <row r="1750" ht="15" hidden="1" customHeight="1" x14ac:dyDescent="0.25"/>
    <row r="1751" ht="15" hidden="1" customHeight="1" x14ac:dyDescent="0.25"/>
    <row r="1752" ht="15" hidden="1" customHeight="1" x14ac:dyDescent="0.25"/>
    <row r="1753" ht="15" hidden="1" customHeight="1" x14ac:dyDescent="0.25"/>
    <row r="1754" ht="15" hidden="1" customHeight="1" x14ac:dyDescent="0.25"/>
    <row r="1755" ht="15" hidden="1" customHeight="1" x14ac:dyDescent="0.25"/>
    <row r="1756" ht="15" hidden="1" customHeight="1" x14ac:dyDescent="0.25"/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3073" r:id="rId4" name="TIButton1">
          <controlPr defaultSize="0" print="0" autoLine="0" autoPict="0" r:id="rId5">
            <anchor moveWithCells="1">
              <from>
                <xdr:col>4</xdr:col>
                <xdr:colOff>314325</xdr:colOff>
                <xdr:row>15</xdr:row>
                <xdr:rowOff>171450</xdr:rowOff>
              </from>
              <to>
                <xdr:col>4</xdr:col>
                <xdr:colOff>1276350</xdr:colOff>
                <xdr:row>17</xdr:row>
                <xdr:rowOff>142875</xdr:rowOff>
              </to>
            </anchor>
          </controlPr>
        </control>
      </mc:Choice>
      <mc:Fallback>
        <control shapeId="3073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B20:B47"/>
  <sheetViews>
    <sheetView topLeftCell="A10" workbookViewId="0"/>
  </sheetViews>
  <sheetFormatPr defaultColWidth="11.42578125" defaultRowHeight="15" x14ac:dyDescent="0.25"/>
  <sheetData>
    <row r="20" spans="2:2" x14ac:dyDescent="0.25">
      <c r="B20" t="s">
        <v>8</v>
      </c>
    </row>
    <row r="21" spans="2:2" x14ac:dyDescent="0.25">
      <c r="B21" t="s">
        <v>9</v>
      </c>
    </row>
    <row r="22" spans="2:2" x14ac:dyDescent="0.25">
      <c r="B22" t="s">
        <v>10</v>
      </c>
    </row>
    <row r="23" spans="2:2" x14ac:dyDescent="0.25">
      <c r="B23" t="s">
        <v>11</v>
      </c>
    </row>
    <row r="24" spans="2:2" x14ac:dyDescent="0.25">
      <c r="B24" t="s">
        <v>12</v>
      </c>
    </row>
    <row r="25" spans="2:2" x14ac:dyDescent="0.25">
      <c r="B25" t="s">
        <v>13</v>
      </c>
    </row>
    <row r="26" spans="2:2" x14ac:dyDescent="0.25">
      <c r="B26" t="s">
        <v>14</v>
      </c>
    </row>
    <row r="27" spans="2:2" x14ac:dyDescent="0.25">
      <c r="B27" t="s">
        <v>15</v>
      </c>
    </row>
    <row r="28" spans="2:2" x14ac:dyDescent="0.25">
      <c r="B28" t="s">
        <v>16</v>
      </c>
    </row>
    <row r="29" spans="2:2" x14ac:dyDescent="0.25">
      <c r="B29" t="s">
        <v>17</v>
      </c>
    </row>
    <row r="30" spans="2:2" x14ac:dyDescent="0.25">
      <c r="B30" t="s">
        <v>18</v>
      </c>
    </row>
    <row r="31" spans="2:2" x14ac:dyDescent="0.25">
      <c r="B31" t="s">
        <v>45</v>
      </c>
    </row>
    <row r="32" spans="2:2" x14ac:dyDescent="0.25">
      <c r="B32" t="s">
        <v>46</v>
      </c>
    </row>
    <row r="33" spans="2:2" x14ac:dyDescent="0.25">
      <c r="B33" t="s">
        <v>47</v>
      </c>
    </row>
    <row r="34" spans="2:2" x14ac:dyDescent="0.25">
      <c r="B34" t="s">
        <v>19</v>
      </c>
    </row>
    <row r="35" spans="2:2" x14ac:dyDescent="0.25">
      <c r="B35" t="s">
        <v>20</v>
      </c>
    </row>
    <row r="36" spans="2:2" x14ac:dyDescent="0.25">
      <c r="B36" t="s">
        <v>21</v>
      </c>
    </row>
    <row r="37" spans="2:2" x14ac:dyDescent="0.25">
      <c r="B37" t="s">
        <v>22</v>
      </c>
    </row>
    <row r="38" spans="2:2" x14ac:dyDescent="0.25">
      <c r="B38" t="s">
        <v>23</v>
      </c>
    </row>
    <row r="39" spans="2:2" x14ac:dyDescent="0.25">
      <c r="B39" t="s">
        <v>24</v>
      </c>
    </row>
    <row r="40" spans="2:2" x14ac:dyDescent="0.25">
      <c r="B40" t="s">
        <v>25</v>
      </c>
    </row>
    <row r="41" spans="2:2" x14ac:dyDescent="0.25">
      <c r="B41" t="s">
        <v>26</v>
      </c>
    </row>
    <row r="42" spans="2:2" x14ac:dyDescent="0.25">
      <c r="B42" t="s">
        <v>27</v>
      </c>
    </row>
    <row r="43" spans="2:2" x14ac:dyDescent="0.25">
      <c r="B43" t="s">
        <v>28</v>
      </c>
    </row>
    <row r="44" spans="2:2" x14ac:dyDescent="0.25">
      <c r="B44" t="s">
        <v>29</v>
      </c>
    </row>
    <row r="45" spans="2:2" x14ac:dyDescent="0.25">
      <c r="B45" t="s">
        <v>30</v>
      </c>
    </row>
    <row r="46" spans="2:2" x14ac:dyDescent="0.25">
      <c r="B46" t="s">
        <v>31</v>
      </c>
    </row>
    <row r="47" spans="2:2" x14ac:dyDescent="0.25">
      <c r="B4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19</vt:i4>
      </vt:variant>
    </vt:vector>
  </HeadingPairs>
  <TitlesOfParts>
    <vt:vector size="22" baseType="lpstr">
      <vt:lpstr>Entries</vt:lpstr>
      <vt:lpstr>Comments</vt:lpstr>
      <vt:lpstr>{AR}01</vt:lpstr>
      <vt:lpstr>pactuality</vt:lpstr>
      <vt:lpstr>pactuality1</vt:lpstr>
      <vt:lpstr>pconfiguration</vt:lpstr>
      <vt:lpstr>pconfiguration1</vt:lpstr>
      <vt:lpstr>pcountry</vt:lpstr>
      <vt:lpstr>pcurrency</vt:lpstr>
      <vt:lpstr>pmarket_actor</vt:lpstr>
      <vt:lpstr>porigin_company</vt:lpstr>
      <vt:lpstr>ppourcentage</vt:lpstr>
      <vt:lpstr>ppourcentage1</vt:lpstr>
      <vt:lpstr>pprev_ic_mapping</vt:lpstr>
      <vt:lpstr>pqty</vt:lpstr>
      <vt:lpstr>punit_price</vt:lpstr>
      <vt:lpstr>Comments!TM1RPTDATARNGARPT1</vt:lpstr>
      <vt:lpstr>Entries!TM1RPTDATARNGARPT1</vt:lpstr>
      <vt:lpstr>Comments!TM1RPTFMTIDCOL</vt:lpstr>
      <vt:lpstr>Entries!TM1RPTFMTIDCOL</vt:lpstr>
      <vt:lpstr>Comments!TM1RPTFMTRNG</vt:lpstr>
      <vt:lpstr>Entries!TM1RPTFMTRNG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2016-02-02T08:06:22Z</dcterms:created>
  <dcterms:modified xsi:type="dcterms:W3CDTF">2022-01-25T10:26:49Z</dcterms:modified>
</cp:coreProperties>
</file>