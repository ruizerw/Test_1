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15390" windowHeight="5535" tabRatio="497"/>
  </bookViews>
  <sheets>
    <sheet name="Report" sheetId="1" r:id="rId1"/>
    <sheet name="{AR}01" sheetId="2" state="hidden" r:id="rId2"/>
  </sheets>
  <definedNames>
    <definedName name="TM1REBUILDOPTION">1</definedName>
    <definedName name="TM1RPTDATARNGARPT1" localSheetId="0">Report!$28:$28</definedName>
    <definedName name="TM1RPTFMTIDCOL" localSheetId="0">Report!$A$1:$A$8</definedName>
    <definedName name="TM1RPTFMTRNG" localSheetId="0">Report!$B$1:$X$8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B9" i="1"/>
  <c r="C18" i="1"/>
  <c r="C19" i="1"/>
  <c r="V25" i="1"/>
  <c r="C21" i="1"/>
  <c r="S25" i="1"/>
  <c r="N25" i="1"/>
  <c r="K25" i="1"/>
  <c r="F25" i="1"/>
  <c r="C25" i="1"/>
  <c r="B28" i="1"/>
  <c r="C13" i="1"/>
  <c r="C14" i="1"/>
  <c r="C15" i="1"/>
  <c r="V28" i="1"/>
  <c r="S28" i="1"/>
  <c r="Y28" i="1"/>
  <c r="N28" i="1"/>
  <c r="K28" i="1"/>
  <c r="Q28" i="1"/>
  <c r="F28" i="1"/>
  <c r="C28" i="1"/>
  <c r="I28" i="1"/>
  <c r="X28" i="1"/>
  <c r="W28" i="1"/>
  <c r="U28" i="1"/>
  <c r="T28" i="1"/>
  <c r="O28" i="1"/>
  <c r="P28" i="1"/>
  <c r="L28" i="1"/>
  <c r="M28" i="1"/>
  <c r="H28" i="1"/>
  <c r="G28" i="1"/>
  <c r="E28" i="1"/>
  <c r="D28" i="1"/>
  <c r="Z28" i="1"/>
  <c r="R28" i="1"/>
  <c r="J28" i="1"/>
  <c r="A28" i="1"/>
  <c r="A5" i="1"/>
  <c r="A4" i="1"/>
  <c r="A3" i="1"/>
  <c r="A2" i="1"/>
</calcChain>
</file>

<file path=xl/sharedStrings.xml><?xml version="1.0" encoding="utf-8"?>
<sst xmlns="http://schemas.openxmlformats.org/spreadsheetml/2006/main" count="73" uniqueCount="44">
  <si>
    <t>Currency</t>
  </si>
  <si>
    <t>Prev_IC_mapping</t>
  </si>
  <si>
    <t>Origin_Company</t>
  </si>
  <si>
    <t>Country</t>
  </si>
  <si>
    <t>KUHN Sales</t>
  </si>
  <si>
    <t>KUHN_Scope</t>
  </si>
  <si>
    <t>QTY</t>
  </si>
  <si>
    <t>Unit.Price</t>
  </si>
  <si>
    <t>SALES</t>
  </si>
  <si>
    <t>TOTAL PRODUCT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</si>
  <si>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</si>
  <si>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</si>
  <si>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</si>
  <si>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</si>
  <si>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</si>
  <si>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</si>
  <si>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</si>
  <si>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</si>
  <si>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</si>
  <si>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</si>
  <si>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</si>
  <si>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</si>
  <si>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</si>
  <si>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</si>
  <si>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</si>
  <si>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</si>
  <si>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</si>
  <si>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</si>
  <si>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</si>
  <si>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</si>
  <si>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</si>
  <si>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</si>
  <si>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</si>
  <si>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</si>
  <si>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</si>
  <si>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</si>
  <si>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</si>
  <si>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</si>
  <si>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</si>
  <si>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</si>
  <si>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</si>
  <si>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Market Share %</t>
  </si>
  <si>
    <t>MARKET SHARES - 3 PERIODS (BUD meet.2019)</t>
  </si>
  <si>
    <t>Market_Actor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</si>
</sst>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6" formatCode="0.0&quot; &quot;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Adobe Heiti Std R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4" fontId="4" fillId="0" borderId="0" xfId="0" applyNumberFormat="1" applyFont="1"/>
    <xf numFmtId="9" fontId="4" fillId="2" borderId="0" xfId="1" applyFont="1" applyFill="1"/>
    <xf numFmtId="0" fontId="0" fillId="2" borderId="1" xfId="0" applyFill="1" applyBorder="1"/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2" xfId="0" applyFill="1" applyBorder="1"/>
    <xf numFmtId="0" fontId="3" fillId="7" borderId="15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164" fontId="0" fillId="2" borderId="1" xfId="0" applyNumberFormat="1" applyFill="1" applyBorder="1" applyAlignment="1"/>
    <xf numFmtId="3" fontId="5" fillId="2" borderId="4" xfId="0" applyNumberFormat="1" applyFont="1" applyFill="1" applyBorder="1"/>
    <xf numFmtId="3" fontId="5" fillId="2" borderId="7" xfId="0" applyNumberFormat="1" applyFont="1" applyFill="1" applyBorder="1"/>
    <xf numFmtId="3" fontId="5" fillId="2" borderId="5" xfId="0" applyNumberFormat="1" applyFont="1" applyFill="1" applyBorder="1"/>
    <xf numFmtId="3" fontId="5" fillId="3" borderId="8" xfId="0" applyNumberFormat="1" applyFont="1" applyFill="1" applyBorder="1"/>
    <xf numFmtId="3" fontId="5" fillId="3" borderId="0" xfId="0" applyNumberFormat="1" applyFont="1" applyFill="1" applyBorder="1"/>
    <xf numFmtId="3" fontId="5" fillId="3" borderId="9" xfId="0" applyNumberFormat="1" applyFont="1" applyFill="1" applyBorder="1"/>
    <xf numFmtId="3" fontId="5" fillId="4" borderId="8" xfId="0" applyNumberFormat="1" applyFont="1" applyFill="1" applyBorder="1"/>
    <xf numFmtId="3" fontId="5" fillId="4" borderId="0" xfId="0" applyNumberFormat="1" applyFont="1" applyFill="1" applyBorder="1"/>
    <xf numFmtId="3" fontId="5" fillId="4" borderId="9" xfId="0" applyNumberFormat="1" applyFont="1" applyFill="1" applyBorder="1"/>
    <xf numFmtId="3" fontId="5" fillId="5" borderId="8" xfId="0" applyNumberFormat="1" applyFont="1" applyFill="1" applyBorder="1"/>
    <xf numFmtId="3" fontId="5" fillId="5" borderId="0" xfId="0" applyNumberFormat="1" applyFont="1" applyFill="1" applyBorder="1"/>
    <xf numFmtId="3" fontId="5" fillId="5" borderId="9" xfId="0" applyNumberFormat="1" applyFont="1" applyFill="1" applyBorder="1"/>
    <xf numFmtId="3" fontId="5" fillId="6" borderId="10" xfId="0" applyNumberFormat="1" applyFont="1" applyFill="1" applyBorder="1"/>
    <xf numFmtId="3" fontId="5" fillId="6" borderId="11" xfId="0" applyNumberFormat="1" applyFont="1" applyFill="1" applyBorder="1"/>
    <xf numFmtId="3" fontId="5" fillId="6" borderId="12" xfId="0" applyNumberFormat="1" applyFont="1" applyFill="1" applyBorder="1"/>
    <xf numFmtId="0" fontId="0" fillId="8" borderId="0" xfId="0" applyFill="1" applyBorder="1"/>
    <xf numFmtId="0" fontId="0" fillId="9" borderId="0" xfId="0" applyFill="1"/>
    <xf numFmtId="0" fontId="2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vertical="center"/>
    </xf>
    <xf numFmtId="9" fontId="6" fillId="2" borderId="23" xfId="1" applyFont="1" applyFill="1" applyBorder="1"/>
    <xf numFmtId="0" fontId="3" fillId="7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center"/>
    </xf>
    <xf numFmtId="166" fontId="6" fillId="2" borderId="18" xfId="0" applyNumberFormat="1" applyFont="1" applyFill="1" applyBorder="1"/>
    <xf numFmtId="166" fontId="6" fillId="3" borderId="19" xfId="0" applyNumberFormat="1" applyFont="1" applyFill="1" applyBorder="1"/>
    <xf numFmtId="166" fontId="6" fillId="4" borderId="19" xfId="0" applyNumberFormat="1" applyFont="1" applyFill="1" applyBorder="1"/>
    <xf numFmtId="166" fontId="6" fillId="5" borderId="19" xfId="0" applyNumberFormat="1" applyFont="1" applyFill="1" applyBorder="1"/>
    <xf numFmtId="166" fontId="6" fillId="6" borderId="20" xfId="0" applyNumberFormat="1" applyFont="1" applyFill="1" applyBorder="1"/>
    <xf numFmtId="0" fontId="3" fillId="7" borderId="34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wrapText="1"/>
    </xf>
    <xf numFmtId="0" fontId="3" fillId="7" borderId="26" xfId="0" applyFont="1" applyFill="1" applyBorder="1" applyAlignment="1">
      <alignment horizontal="center" wrapText="1"/>
    </xf>
    <xf numFmtId="0" fontId="3" fillId="7" borderId="27" xfId="0" applyFont="1" applyFill="1" applyBorder="1" applyAlignment="1">
      <alignment horizontal="center" wrapText="1"/>
    </xf>
    <xf numFmtId="0" fontId="3" fillId="7" borderId="28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14" xfId="0" applyFont="1" applyFill="1" applyBorder="1" applyAlignment="1">
      <alignment horizontal="center" wrapText="1"/>
    </xf>
    <xf numFmtId="0" fontId="3" fillId="7" borderId="29" xfId="0" applyFont="1" applyFill="1" applyBorder="1" applyAlignment="1">
      <alignment horizontal="center" wrapText="1"/>
    </xf>
    <xf numFmtId="0" fontId="3" fillId="7" borderId="30" xfId="0" applyFont="1" applyFill="1" applyBorder="1" applyAlignment="1">
      <alignment horizontal="center" wrapText="1"/>
    </xf>
    <xf numFmtId="0" fontId="3" fillId="7" borderId="3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974"/>
  <ax:ocxPr ax:name="_ExtentY" ax:value="232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5</xdr:col>
          <xdr:colOff>733425</xdr:colOff>
          <xdr:row>21</xdr:row>
          <xdr:rowOff>66675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161925</xdr:colOff>
      <xdr:row>9</xdr:row>
      <xdr:rowOff>142875</xdr:rowOff>
    </xdr:from>
    <xdr:to>
      <xdr:col>11</xdr:col>
      <xdr:colOff>261319</xdr:colOff>
      <xdr:row>14</xdr:row>
      <xdr:rowOff>129676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0" y="142875"/>
          <a:ext cx="1794844" cy="93930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9</xdr:row>
      <xdr:rowOff>180975</xdr:rowOff>
    </xdr:from>
    <xdr:to>
      <xdr:col>1</xdr:col>
      <xdr:colOff>1382097</xdr:colOff>
      <xdr:row>15</xdr:row>
      <xdr:rowOff>670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1" y="180975"/>
          <a:ext cx="1343996" cy="962695"/>
        </a:xfrm>
        <a:prstGeom prst="rect">
          <a:avLst/>
        </a:prstGeom>
      </xdr:spPr>
    </xdr:pic>
    <xdr:clientData/>
  </xdr:twoCellAnchor>
  <xdr:twoCellAnchor editAs="oneCell">
    <xdr:from>
      <xdr:col>1</xdr:col>
      <xdr:colOff>3482799</xdr:colOff>
      <xdr:row>9</xdr:row>
      <xdr:rowOff>19050</xdr:rowOff>
    </xdr:from>
    <xdr:to>
      <xdr:col>8</xdr:col>
      <xdr:colOff>95250</xdr:colOff>
      <xdr:row>15</xdr:row>
      <xdr:rowOff>38100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82799" y="19050"/>
          <a:ext cx="8080551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O28"/>
  <sheetViews>
    <sheetView showGridLines="0" tabSelected="1" topLeftCell="B1" zoomScaleNormal="100" workbookViewId="0">
      <pane xSplit="1" ySplit="27" topLeftCell="C28" activePane="bottomRight" state="frozen"/>
      <selection activeCell="B10" sqref="B10"/>
      <selection pane="topRight" activeCell="C10" sqref="C10"/>
      <selection pane="bottomLeft" activeCell="B28" sqref="B28"/>
      <selection pane="bottomRight" activeCell="C22" sqref="C22"/>
    </sheetView>
  </sheetViews>
  <sheetFormatPr defaultColWidth="0" defaultRowHeight="15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5.7109375" customWidth="1"/>
    <col min="6" max="6" width="12.7109375" customWidth="1"/>
    <col min="7" max="7" width="14.7109375" customWidth="1"/>
    <col min="8" max="8" width="25.7109375" customWidth="1"/>
    <col min="9" max="11" width="12.7109375" customWidth="1"/>
    <col min="12" max="12" width="14.7109375" customWidth="1"/>
    <col min="13" max="13" width="25.7109375" customWidth="1"/>
    <col min="14" max="14" width="12.7109375" customWidth="1"/>
    <col min="15" max="15" width="14.7109375" customWidth="1"/>
    <col min="16" max="16" width="25.7109375" customWidth="1"/>
    <col min="17" max="19" width="12.7109375" customWidth="1"/>
    <col min="20" max="20" width="14.7109375" customWidth="1"/>
    <col min="21" max="21" width="25.7109375" customWidth="1"/>
    <col min="22" max="22" width="12.7109375" customWidth="1"/>
    <col min="23" max="23" width="14.7109375" customWidth="1"/>
    <col min="24" max="24" width="25.7109375" customWidth="1"/>
    <col min="25" max="26" width="12.7109375" customWidth="1"/>
    <col min="27" max="1003" width="0" hidden="1" customWidth="1"/>
    <col min="1004" max="16384" width="11.5703125" hidden="1"/>
  </cols>
  <sheetData>
    <row r="1" spans="1:26" hidden="1">
      <c r="A1" t="s">
        <v>39</v>
      </c>
    </row>
    <row r="2" spans="1:26" hidden="1">
      <c r="A2">
        <f>0</f>
        <v>0</v>
      </c>
      <c r="B2" s="3"/>
      <c r="C2" s="15"/>
      <c r="D2" s="16"/>
      <c r="E2" s="17"/>
      <c r="F2" s="15"/>
      <c r="G2" s="16"/>
      <c r="H2" s="16"/>
      <c r="I2" s="38"/>
      <c r="J2" s="38"/>
      <c r="K2" s="16"/>
      <c r="L2" s="16"/>
      <c r="M2" s="17"/>
      <c r="N2" s="15"/>
      <c r="O2" s="16"/>
      <c r="P2" s="16"/>
      <c r="Q2" s="38"/>
      <c r="R2" s="38"/>
      <c r="S2" s="16"/>
      <c r="T2" s="16"/>
      <c r="U2" s="17"/>
      <c r="V2" s="15"/>
      <c r="W2" s="16"/>
      <c r="X2" s="16"/>
      <c r="Y2" s="38"/>
      <c r="Z2" s="38"/>
    </row>
    <row r="3" spans="1:26" hidden="1">
      <c r="A3">
        <f>1</f>
        <v>1</v>
      </c>
      <c r="B3" s="4"/>
      <c r="C3" s="18"/>
      <c r="D3" s="19"/>
      <c r="E3" s="20"/>
      <c r="F3" s="18"/>
      <c r="G3" s="19"/>
      <c r="H3" s="19"/>
      <c r="I3" s="39"/>
      <c r="J3" s="39"/>
      <c r="K3" s="19"/>
      <c r="L3" s="19"/>
      <c r="M3" s="20"/>
      <c r="N3" s="18"/>
      <c r="O3" s="19"/>
      <c r="P3" s="19"/>
      <c r="Q3" s="39"/>
      <c r="R3" s="39"/>
      <c r="S3" s="19"/>
      <c r="T3" s="19"/>
      <c r="U3" s="20"/>
      <c r="V3" s="18"/>
      <c r="W3" s="19"/>
      <c r="X3" s="19"/>
      <c r="Y3" s="39"/>
      <c r="Z3" s="39"/>
    </row>
    <row r="4" spans="1:26" hidden="1">
      <c r="A4">
        <f>2</f>
        <v>2</v>
      </c>
      <c r="B4" s="5"/>
      <c r="C4" s="21"/>
      <c r="D4" s="22"/>
      <c r="E4" s="23"/>
      <c r="F4" s="21"/>
      <c r="G4" s="22"/>
      <c r="H4" s="22"/>
      <c r="I4" s="40"/>
      <c r="J4" s="40"/>
      <c r="K4" s="22"/>
      <c r="L4" s="22"/>
      <c r="M4" s="23"/>
      <c r="N4" s="21"/>
      <c r="O4" s="22"/>
      <c r="P4" s="22"/>
      <c r="Q4" s="40"/>
      <c r="R4" s="40"/>
      <c r="S4" s="22"/>
      <c r="T4" s="22"/>
      <c r="U4" s="23"/>
      <c r="V4" s="21"/>
      <c r="W4" s="22"/>
      <c r="X4" s="22"/>
      <c r="Y4" s="40"/>
      <c r="Z4" s="40"/>
    </row>
    <row r="5" spans="1:26" hidden="1">
      <c r="A5">
        <f>3</f>
        <v>3</v>
      </c>
      <c r="B5" s="6"/>
      <c r="C5" s="24"/>
      <c r="D5" s="25"/>
      <c r="E5" s="26"/>
      <c r="F5" s="24"/>
      <c r="G5" s="25"/>
      <c r="H5" s="25"/>
      <c r="I5" s="41"/>
      <c r="J5" s="41"/>
      <c r="K5" s="25"/>
      <c r="L5" s="25"/>
      <c r="M5" s="26"/>
      <c r="N5" s="24"/>
      <c r="O5" s="25"/>
      <c r="P5" s="25"/>
      <c r="Q5" s="41"/>
      <c r="R5" s="41"/>
      <c r="S5" s="25"/>
      <c r="T5" s="25"/>
      <c r="U5" s="26"/>
      <c r="V5" s="24"/>
      <c r="W5" s="25"/>
      <c r="X5" s="25"/>
      <c r="Y5" s="41"/>
      <c r="Z5" s="41"/>
    </row>
    <row r="6" spans="1:26" hidden="1">
      <c r="A6" t="s">
        <v>37</v>
      </c>
      <c r="B6" s="7"/>
      <c r="C6" s="27"/>
      <c r="D6" s="28"/>
      <c r="E6" s="29"/>
      <c r="F6" s="27"/>
      <c r="G6" s="28"/>
      <c r="H6" s="28"/>
      <c r="I6" s="42"/>
      <c r="J6" s="42"/>
      <c r="K6" s="28"/>
      <c r="L6" s="28"/>
      <c r="M6" s="29"/>
      <c r="N6" s="27"/>
      <c r="O6" s="28"/>
      <c r="P6" s="28"/>
      <c r="Q6" s="42"/>
      <c r="R6" s="42"/>
      <c r="S6" s="28"/>
      <c r="T6" s="28"/>
      <c r="U6" s="29"/>
      <c r="V6" s="27"/>
      <c r="W6" s="28"/>
      <c r="X6" s="28"/>
      <c r="Y6" s="42"/>
      <c r="Z6" s="42"/>
    </row>
    <row r="7" spans="1:26" hidden="1">
      <c r="A7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t="s">
        <v>40</v>
      </c>
    </row>
    <row r="9" spans="1:26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26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30"/>
      <c r="B13" s="30" t="s">
        <v>0</v>
      </c>
      <c r="C13" s="30" t="str">
        <f ca="1">_xll.SUBNM("CXMD:Currency","","CD_LC")</f>
        <v>CD_LC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>
      <c r="A14" s="30"/>
      <c r="B14" s="30" t="s">
        <v>43</v>
      </c>
      <c r="C14" s="30" t="str">
        <f ca="1">_xll.SUBNM("CXMD:Market_Actor","","KUHN_Market")</f>
        <v>KUHN_Market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>
      <c r="A15" s="30"/>
      <c r="B15" s="30" t="s">
        <v>1</v>
      </c>
      <c r="C15" s="30" t="str">
        <f ca="1">_xll.SUBNM("CXMD:Prev_IC_mapping","","99 - Kuhn Group")</f>
        <v>99 - Kuhn Group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idden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idden="1">
      <c r="B18" s="32" t="s">
        <v>0</v>
      </c>
      <c r="C18" s="31" t="str">
        <f ca="1">_xll.SUBNM("CXMD:Currency","Par défaut","CD_LC","Description EN")</f>
        <v>Local currency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idden="1">
      <c r="B19" s="32" t="s">
        <v>1</v>
      </c>
      <c r="C19" s="31" t="str">
        <f ca="1">_xll.SUBNM("CXMD:DIM_Prev_IC_mapping","","Others")</f>
        <v>Others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9.899999999999999" customHeight="1">
      <c r="B20" s="34" t="s">
        <v>42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>
      <c r="B21" s="32" t="s">
        <v>2</v>
      </c>
      <c r="C21" s="33" t="str">
        <f ca="1">_xll.SUBNM("CXMD:DIM_Origin_Company","","KUHN GERMANY","Name EN")</f>
        <v>KUHN GERMANY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>
      <c r="B22" s="32" t="s">
        <v>3</v>
      </c>
      <c r="C22" s="33" t="str">
        <f ca="1">_xll.SUBNM("CXMD:DIM_Country","Total Country SOM","C-101","Country Name")</f>
        <v>ALLEMAGNE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idden="1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7.15" customHeight="1" thickBot="1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45" customHeight="1">
      <c r="B25" s="31"/>
      <c r="C25" s="47" t="str">
        <f ca="1">_xll.SUBNM("CXMD:Actuality","Actuality_Market_Share","AC2018","Description EN")</f>
        <v>AC2018</v>
      </c>
      <c r="D25" s="48"/>
      <c r="E25" s="49"/>
      <c r="F25" s="47" t="str">
        <f ca="1">_xll.SUBNM("CXMD:Actuality","Actuality_Market_Share","AC2018","Description EN")</f>
        <v>AC2018</v>
      </c>
      <c r="G25" s="48"/>
      <c r="H25" s="50"/>
      <c r="I25" s="43" t="s">
        <v>41</v>
      </c>
      <c r="J25" s="44"/>
      <c r="K25" s="55" t="str">
        <f ca="1">_xll.SUBNM("CXMD:Actuality","Actuality_Market_Share","FC3_2019","Description EN")</f>
        <v>FC3_2019</v>
      </c>
      <c r="L25" s="48"/>
      <c r="M25" s="49"/>
      <c r="N25" s="47" t="str">
        <f ca="1">_xll.SUBNM("CXMD:Actuality","Actuality_Market_Share","FC3_2019","Description EN")</f>
        <v>FC3_2019</v>
      </c>
      <c r="O25" s="48"/>
      <c r="P25" s="50"/>
      <c r="Q25" s="43" t="s">
        <v>41</v>
      </c>
      <c r="R25" s="44"/>
      <c r="S25" s="55" t="str">
        <f ca="1">_xll.SUBNM("CXMD:Actuality","Actuality_Market_Share","BU2020Draft","Description EN")</f>
        <v>BU2020Draft</v>
      </c>
      <c r="T25" s="48"/>
      <c r="U25" s="49"/>
      <c r="V25" s="47" t="str">
        <f ca="1">_xll.SUBNM("CXMD:Actuality","Actuality_Market_Share","BU2020Draft","Description EN")</f>
        <v>BU2020Draft</v>
      </c>
      <c r="W25" s="48"/>
      <c r="X25" s="50"/>
      <c r="Y25" s="43" t="s">
        <v>41</v>
      </c>
      <c r="Z25" s="44"/>
    </row>
    <row r="26" spans="1:26">
      <c r="B26" s="31"/>
      <c r="C26" s="51" t="s">
        <v>4</v>
      </c>
      <c r="D26" s="52"/>
      <c r="E26" s="53"/>
      <c r="F26" s="51" t="s">
        <v>5</v>
      </c>
      <c r="G26" s="52"/>
      <c r="H26" s="54"/>
      <c r="I26" s="45"/>
      <c r="J26" s="46"/>
      <c r="K26" s="56" t="s">
        <v>4</v>
      </c>
      <c r="L26" s="52"/>
      <c r="M26" s="53"/>
      <c r="N26" s="51" t="s">
        <v>5</v>
      </c>
      <c r="O26" s="52"/>
      <c r="P26" s="54"/>
      <c r="Q26" s="45"/>
      <c r="R26" s="46"/>
      <c r="S26" s="56" t="s">
        <v>4</v>
      </c>
      <c r="T26" s="52"/>
      <c r="U26" s="53"/>
      <c r="V26" s="51" t="s">
        <v>5</v>
      </c>
      <c r="W26" s="52"/>
      <c r="X26" s="54"/>
      <c r="Y26" s="45"/>
      <c r="Z26" s="46"/>
    </row>
    <row r="27" spans="1:26" ht="15.75" thickBot="1">
      <c r="B27" s="31"/>
      <c r="C27" s="8" t="s">
        <v>6</v>
      </c>
      <c r="D27" s="9" t="s">
        <v>7</v>
      </c>
      <c r="E27" s="10" t="s">
        <v>8</v>
      </c>
      <c r="F27" s="8" t="s">
        <v>6</v>
      </c>
      <c r="G27" s="9" t="s">
        <v>7</v>
      </c>
      <c r="H27" s="11" t="s">
        <v>8</v>
      </c>
      <c r="I27" s="13" t="s">
        <v>6</v>
      </c>
      <c r="J27" s="13" t="s">
        <v>8</v>
      </c>
      <c r="K27" s="12" t="s">
        <v>6</v>
      </c>
      <c r="L27" s="9" t="s">
        <v>7</v>
      </c>
      <c r="M27" s="10" t="s">
        <v>8</v>
      </c>
      <c r="N27" s="8" t="s">
        <v>6</v>
      </c>
      <c r="O27" s="9" t="s">
        <v>7</v>
      </c>
      <c r="P27" s="11" t="s">
        <v>8</v>
      </c>
      <c r="Q27" s="36" t="s">
        <v>6</v>
      </c>
      <c r="R27" s="13" t="s">
        <v>8</v>
      </c>
      <c r="S27" s="12" t="s">
        <v>6</v>
      </c>
      <c r="T27" s="9" t="s">
        <v>7</v>
      </c>
      <c r="U27" s="10" t="s">
        <v>8</v>
      </c>
      <c r="V27" s="8" t="s">
        <v>6</v>
      </c>
      <c r="W27" s="9" t="s">
        <v>7</v>
      </c>
      <c r="X27" s="11" t="s">
        <v>8</v>
      </c>
      <c r="Y27" s="37" t="s">
        <v>6</v>
      </c>
      <c r="Z27" s="13" t="s">
        <v>8</v>
      </c>
    </row>
    <row r="28" spans="1:26">
      <c r="A28" t="str">
        <f ca="1">IF(_xll.TM1RPTELISCONSOLIDATED($B$28,$B28),IF(_xll.TM1RPTELLEV($B$28,$B28)&lt;=3,_xll.TM1RPTELLEV($B$28,$B28),"D"),"N")</f>
        <v>N</v>
      </c>
      <c r="B28" s="14" t="str">
        <f ca="1">_xll.TM1RPTROW($B$9,"CXMD:DIM_Configuration","Product_Line","","Description EN",0)</f>
        <v/>
      </c>
      <c r="C28" s="15" t="str">
        <f ca="1">_xll.DBRW($B$9,$C$18,$C$19,C$26,C$25,$C$21,$C$22,$B28,C$27)</f>
        <v/>
      </c>
      <c r="D28" s="16" t="str">
        <f ca="1">_xll.DBRW($B$9,$C$18,$C$19,C$26,C$25,$C$21,$C$22,$B28,D$27)</f>
        <v/>
      </c>
      <c r="E28" s="17" t="str">
        <f ca="1">_xll.DBRW($B$9,$C$18,$C$19,C$26,C$25,$C$21,$C$22,$B28,E$27)</f>
        <v/>
      </c>
      <c r="F28" s="15" t="str">
        <f ca="1">_xll.DBRW($B$9,$C$18,$C$19,F$26,F$25,$C$21,$C$22,$B28,F$27)</f>
        <v/>
      </c>
      <c r="G28" s="16" t="str">
        <f ca="1">_xll.DBRW($B$9,$C$18,$C$19,F$26,F$25,$C$21,$C$22,$B28,G$27)</f>
        <v/>
      </c>
      <c r="H28" s="16" t="str">
        <f ca="1">_xll.DBRW($B$9,$C$18,$C$19,F$26,F$25,$C$21,$C$22,$B28,H$27)</f>
        <v/>
      </c>
      <c r="I28" s="38" t="e">
        <f ca="1">IF(F28&lt;&gt;0,C28/F28,0)</f>
        <v>#VALUE!</v>
      </c>
      <c r="J28" s="38" t="e">
        <f ca="1">IF(H28&lt;&gt;0,E28/H28,0)</f>
        <v>#VALUE!</v>
      </c>
      <c r="K28" s="16" t="str">
        <f ca="1">_xll.DBRW($B$9,$C$18,$C$19,K$26,K$25,$C$21,$C$22,$B28,K$27)</f>
        <v/>
      </c>
      <c r="L28" s="16" t="str">
        <f ca="1">_xll.DBRW($B$9,$C$18,$C$19,K$26,K$25,$C$21,$C$22,$B28,L$27)</f>
        <v/>
      </c>
      <c r="M28" s="17" t="str">
        <f ca="1">_xll.DBRW($B$9,$C$18,$C$19,K$26,K$25,$C$21,$C$22,$B28,M$27)</f>
        <v/>
      </c>
      <c r="N28" s="15" t="str">
        <f ca="1">_xll.DBRW($B$9,$C$18,$C$19,N$26,N$25,$C$21,$C$22,$B28,N$27)</f>
        <v/>
      </c>
      <c r="O28" s="16" t="str">
        <f ca="1">_xll.DBRW($B$9,$C$18,$C$19,N$26,N$25,$C$21,$C$22,$B28,O$27)</f>
        <v/>
      </c>
      <c r="P28" s="16" t="str">
        <f ca="1">_xll.DBRW($B$9,$C$18,$C$19,N$26,N$25,$C$21,$C$22,$B28,P$27)</f>
        <v/>
      </c>
      <c r="Q28" s="38" t="e">
        <f ca="1">IF(N28&lt;&gt;0,K28/N28,0)</f>
        <v>#VALUE!</v>
      </c>
      <c r="R28" s="38" t="e">
        <f ca="1">IF(P28&lt;&gt;0,M28/P28,0)</f>
        <v>#VALUE!</v>
      </c>
      <c r="S28" s="16" t="str">
        <f ca="1">_xll.DBRW($B$9,$C$18,$C$19,S$26,S$25,$C$21,$C$22,$B28,S$27)</f>
        <v/>
      </c>
      <c r="T28" s="16" t="str">
        <f ca="1">_xll.DBRW($B$9,$C$18,$C$19,S$26,S$25,$C$21,$C$22,$B28,T$27)</f>
        <v/>
      </c>
      <c r="U28" s="17" t="str">
        <f ca="1">_xll.DBRW($B$9,$C$18,$C$19,S$26,S$25,$C$21,$C$22,$B28,U$27)</f>
        <v/>
      </c>
      <c r="V28" s="15" t="str">
        <f ca="1">_xll.DBRW($B$9,$C$18,$C$19,V$26,V$25,$C$21,$C$22,$B28,V$27)</f>
        <v/>
      </c>
      <c r="W28" s="16" t="str">
        <f ca="1">_xll.DBRW($B$9,$C$18,$C$19,V$26,V$25,$C$21,$C$22,$B28,W$27)</f>
        <v/>
      </c>
      <c r="X28" s="16" t="str">
        <f ca="1">_xll.DBRW($B$9,$C$18,$C$19,V$26,V$25,$C$21,$C$22,$B28,X$27)</f>
        <v/>
      </c>
      <c r="Y28" s="35" t="e">
        <f ca="1">IF(V28&lt;&gt;0,S28/V28,0)</f>
        <v>#VALUE!</v>
      </c>
      <c r="Z28" s="2" t="e">
        <f ca="1">IF(X28&lt;&gt;0,U28/X28,0)</f>
        <v>#VALUE!</v>
      </c>
    </row>
  </sheetData>
  <mergeCells count="15">
    <mergeCell ref="I25:J26"/>
    <mergeCell ref="Q25:R26"/>
    <mergeCell ref="Y25:Z26"/>
    <mergeCell ref="C25:E25"/>
    <mergeCell ref="F25:H25"/>
    <mergeCell ref="C26:E26"/>
    <mergeCell ref="F26:H26"/>
    <mergeCell ref="K25:M25"/>
    <mergeCell ref="K26:M26"/>
    <mergeCell ref="N26:P26"/>
    <mergeCell ref="N25:P25"/>
    <mergeCell ref="S26:U26"/>
    <mergeCell ref="S25:U25"/>
    <mergeCell ref="V26:X26"/>
    <mergeCell ref="V25:X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733425</xdr:colOff>
                <xdr:row>21</xdr:row>
                <xdr:rowOff>66675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/>
  <sheetData>
    <row r="20" spans="6:6">
      <c r="F20" t="s">
        <v>9</v>
      </c>
    </row>
    <row r="21" spans="6:6">
      <c r="F21" t="s">
        <v>10</v>
      </c>
    </row>
    <row r="22" spans="6:6">
      <c r="F22" t="s">
        <v>11</v>
      </c>
    </row>
    <row r="23" spans="6:6">
      <c r="F23" t="s">
        <v>12</v>
      </c>
    </row>
    <row r="24" spans="6:6">
      <c r="F24" t="s">
        <v>13</v>
      </c>
    </row>
    <row r="25" spans="6:6">
      <c r="F25" t="s">
        <v>14</v>
      </c>
    </row>
    <row r="26" spans="6:6">
      <c r="F26" t="s">
        <v>15</v>
      </c>
    </row>
    <row r="27" spans="6:6">
      <c r="F27" t="s">
        <v>16</v>
      </c>
    </row>
    <row r="28" spans="6:6">
      <c r="F28" t="s">
        <v>17</v>
      </c>
    </row>
    <row r="29" spans="6:6">
      <c r="F29" t="s">
        <v>18</v>
      </c>
    </row>
    <row r="30" spans="6:6">
      <c r="F30" t="s">
        <v>19</v>
      </c>
    </row>
    <row r="31" spans="6:6">
      <c r="F31" t="s">
        <v>20</v>
      </c>
    </row>
    <row r="32" spans="6:6">
      <c r="F32" t="s">
        <v>21</v>
      </c>
    </row>
    <row r="33" spans="6:6">
      <c r="F33" t="s">
        <v>22</v>
      </c>
    </row>
    <row r="34" spans="6:6">
      <c r="F34" t="s">
        <v>23</v>
      </c>
    </row>
    <row r="35" spans="6:6">
      <c r="F35" t="s">
        <v>24</v>
      </c>
    </row>
    <row r="36" spans="6:6">
      <c r="F36" t="s">
        <v>25</v>
      </c>
    </row>
    <row r="37" spans="6:6">
      <c r="F37" t="s">
        <v>26</v>
      </c>
    </row>
    <row r="38" spans="6:6">
      <c r="F38" t="s">
        <v>27</v>
      </c>
    </row>
    <row r="39" spans="6:6">
      <c r="F39" t="s">
        <v>28</v>
      </c>
    </row>
    <row r="40" spans="6:6">
      <c r="F40" t="s">
        <v>29</v>
      </c>
    </row>
    <row r="41" spans="6:6">
      <c r="F41" t="s">
        <v>30</v>
      </c>
    </row>
    <row r="42" spans="6:6">
      <c r="F42" t="s">
        <v>31</v>
      </c>
    </row>
    <row r="43" spans="6:6">
      <c r="F43" t="s">
        <v>32</v>
      </c>
    </row>
    <row r="44" spans="6:6">
      <c r="F44" t="s">
        <v>33</v>
      </c>
    </row>
    <row r="45" spans="6:6">
      <c r="F45" t="s">
        <v>34</v>
      </c>
    </row>
    <row r="46" spans="6:6">
      <c r="F46" t="s">
        <v>35</v>
      </c>
    </row>
    <row r="47" spans="6:6">
      <c r="F4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{AR}01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2016-12-01T15:25:04Z</dcterms:created>
  <dcterms:modified xsi:type="dcterms:W3CDTF">2022-01-25T09:08:25Z</dcterms:modified>
</cp:coreProperties>
</file>