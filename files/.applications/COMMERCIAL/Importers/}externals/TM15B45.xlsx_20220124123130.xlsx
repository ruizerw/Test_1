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23040" windowHeight="9975"/>
  </bookViews>
  <sheets>
    <sheet name="Feuil1" sheetId="1" r:id="rId1"/>
  </sheets>
  <definedNames>
    <definedName name="TM1REBUILDOPTION">1</definedName>
    <definedName name="TM1RPTDATARNGARPT1" localSheetId="0">Feuil1!$28:$28</definedName>
    <definedName name="TM1RPTFMTIDCOL" localSheetId="0">Feuil1!$A$1:$A$8</definedName>
    <definedName name="TM1RPTFMTRNG" localSheetId="0">Feuil1!$C$1:$M$8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D18" i="1"/>
  <c r="L26" i="1"/>
  <c r="D17" i="1"/>
  <c r="D23" i="1"/>
  <c r="D16" i="1"/>
  <c r="O26" i="1"/>
  <c r="I26" i="1"/>
  <c r="F26" i="1"/>
  <c r="D26" i="1"/>
  <c r="C28" i="1"/>
  <c r="P28" i="1"/>
  <c r="O28" i="1"/>
  <c r="M28" i="1"/>
  <c r="L28" i="1"/>
  <c r="J28" i="1"/>
  <c r="I28" i="1"/>
  <c r="G28" i="1"/>
  <c r="F28" i="1"/>
  <c r="E28" i="1"/>
  <c r="D28" i="1"/>
  <c r="Q28" i="1"/>
  <c r="H28" i="1"/>
  <c r="K28" i="1"/>
  <c r="N28" i="1"/>
  <c r="A28" i="1"/>
  <c r="A5" i="1"/>
  <c r="A4" i="1"/>
  <c r="A3" i="1"/>
  <c r="A2" i="1"/>
</calcChain>
</file>

<file path=xl/sharedStrings.xml><?xml version="1.0" encoding="utf-8"?>
<sst xmlns="http://schemas.openxmlformats.org/spreadsheetml/2006/main" count="23" uniqueCount="12">
  <si>
    <t>Customer_Supplier</t>
  </si>
  <si>
    <t>Origin_Company</t>
  </si>
  <si>
    <t>Month</t>
  </si>
  <si>
    <t>Allocation</t>
  </si>
  <si>
    <t>QTY</t>
  </si>
  <si>
    <t>SALES</t>
  </si>
  <si>
    <t>D</t>
  </si>
  <si>
    <t>N</t>
  </si>
  <si>
    <t>[Begin Format Range]</t>
  </si>
  <si>
    <t>[End Format Range]</t>
  </si>
  <si>
    <t>SALES % N-1</t>
  </si>
  <si>
    <t>Importers invoiced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</si>
</sst>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3" fontId="4" fillId="0" borderId="0" xfId="0" applyNumberFormat="1" applyFont="1"/>
    <xf numFmtId="0" fontId="0" fillId="4" borderId="0" xfId="0" applyFill="1"/>
    <xf numFmtId="0" fontId="0" fillId="5" borderId="0" xfId="0" applyFill="1"/>
    <xf numFmtId="0" fontId="0" fillId="6" borderId="0" xfId="0" applyFill="1"/>
    <xf numFmtId="3" fontId="5" fillId="2" borderId="1" xfId="0" applyNumberFormat="1" applyFont="1" applyFill="1" applyBorder="1"/>
    <xf numFmtId="3" fontId="5" fillId="2" borderId="2" xfId="0" applyNumberFormat="1" applyFont="1" applyFill="1" applyBorder="1"/>
    <xf numFmtId="3" fontId="5" fillId="2" borderId="8" xfId="0" applyNumberFormat="1" applyFont="1" applyFill="1" applyBorder="1"/>
    <xf numFmtId="9" fontId="6" fillId="2" borderId="7" xfId="1" applyFont="1" applyFill="1" applyBorder="1"/>
    <xf numFmtId="3" fontId="5" fillId="3" borderId="3" xfId="0" applyNumberFormat="1" applyFont="1" applyFill="1" applyBorder="1"/>
    <xf numFmtId="3" fontId="5" fillId="3" borderId="4" xfId="0" applyNumberFormat="1" applyFont="1" applyFill="1" applyBorder="1"/>
    <xf numFmtId="3" fontId="5" fillId="3" borderId="0" xfId="0" applyNumberFormat="1" applyFont="1" applyFill="1" applyBorder="1"/>
    <xf numFmtId="9" fontId="6" fillId="3" borderId="7" xfId="1" applyFont="1" applyFill="1" applyBorder="1"/>
    <xf numFmtId="3" fontId="5" fillId="4" borderId="3" xfId="0" applyNumberFormat="1" applyFont="1" applyFill="1" applyBorder="1"/>
    <xf numFmtId="3" fontId="5" fillId="4" borderId="4" xfId="0" applyNumberFormat="1" applyFont="1" applyFill="1" applyBorder="1"/>
    <xf numFmtId="3" fontId="5" fillId="4" borderId="0" xfId="0" applyNumberFormat="1" applyFont="1" applyFill="1" applyBorder="1"/>
    <xf numFmtId="9" fontId="6" fillId="4" borderId="7" xfId="1" applyFont="1" applyFill="1" applyBorder="1"/>
    <xf numFmtId="3" fontId="5" fillId="5" borderId="3" xfId="0" applyNumberFormat="1" applyFont="1" applyFill="1" applyBorder="1"/>
    <xf numFmtId="3" fontId="5" fillId="5" borderId="4" xfId="0" applyNumberFormat="1" applyFont="1" applyFill="1" applyBorder="1"/>
    <xf numFmtId="3" fontId="5" fillId="5" borderId="0" xfId="0" applyNumberFormat="1" applyFont="1" applyFill="1" applyBorder="1"/>
    <xf numFmtId="9" fontId="6" fillId="5" borderId="7" xfId="1" applyFont="1" applyFill="1" applyBorder="1"/>
    <xf numFmtId="3" fontId="5" fillId="6" borderId="5" xfId="0" applyNumberFormat="1" applyFont="1" applyFill="1" applyBorder="1"/>
    <xf numFmtId="3" fontId="5" fillId="6" borderId="6" xfId="0" applyNumberFormat="1" applyFont="1" applyFill="1" applyBorder="1"/>
    <xf numFmtId="3" fontId="5" fillId="6" borderId="9" xfId="0" applyNumberFormat="1" applyFont="1" applyFill="1" applyBorder="1"/>
    <xf numFmtId="9" fontId="6" fillId="6" borderId="7" xfId="1" applyFont="1" applyFill="1" applyBorder="1"/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0" fillId="0" borderId="0" xfId="0" applyFill="1"/>
    <xf numFmtId="0" fontId="0" fillId="8" borderId="0" xfId="0" applyFill="1"/>
    <xf numFmtId="0" fontId="0" fillId="9" borderId="0" xfId="0" applyFill="1"/>
    <xf numFmtId="0" fontId="2" fillId="9" borderId="0" xfId="0" applyFont="1" applyFill="1"/>
    <xf numFmtId="0" fontId="7" fillId="9" borderId="0" xfId="0" applyFont="1" applyFill="1"/>
    <xf numFmtId="0" fontId="8" fillId="9" borderId="0" xfId="0" applyFont="1" applyFill="1"/>
    <xf numFmtId="164" fontId="0" fillId="2" borderId="0" xfId="0" applyNumberFormat="1" applyFill="1" applyAlignment="1"/>
    <xf numFmtId="0" fontId="9" fillId="9" borderId="0" xfId="0" applyFont="1" applyFill="1"/>
    <xf numFmtId="0" fontId="3" fillId="7" borderId="1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19050</xdr:rowOff>
    </xdr:from>
    <xdr:to>
      <xdr:col>10</xdr:col>
      <xdr:colOff>411480</xdr:colOff>
      <xdr:row>14</xdr:row>
      <xdr:rowOff>3810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327005" cy="9372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8</xdr:col>
          <xdr:colOff>628650</xdr:colOff>
          <xdr:row>24</xdr:row>
          <xdr:rowOff>66675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R28"/>
  <sheetViews>
    <sheetView showGridLines="0" tabSelected="1" topLeftCell="C1" workbookViewId="0">
      <pane xSplit="1" ySplit="27" topLeftCell="D28" activePane="bottomRight" state="frozen"/>
      <selection activeCell="C1" sqref="C1"/>
      <selection pane="topRight" activeCell="D1" sqref="D1"/>
      <selection pane="bottomLeft" activeCell="C23" sqref="C23"/>
      <selection pane="bottomRight" activeCell="D16" sqref="D16"/>
    </sheetView>
  </sheetViews>
  <sheetFormatPr defaultColWidth="0" defaultRowHeight="15" x14ac:dyDescent="0.25"/>
  <cols>
    <col min="1" max="1" width="18.7109375" hidden="1" customWidth="1"/>
    <col min="2" max="2" width="0" hidden="1" customWidth="1"/>
    <col min="3" max="3" width="50.7109375" customWidth="1"/>
    <col min="4" max="4" width="12.7109375" customWidth="1"/>
    <col min="5" max="5" width="15.7109375" customWidth="1"/>
    <col min="6" max="6" width="12.7109375" customWidth="1"/>
    <col min="7" max="7" width="15.7109375" customWidth="1"/>
    <col min="8" max="9" width="12.7109375" customWidth="1"/>
    <col min="10" max="10" width="15.7109375" customWidth="1"/>
    <col min="11" max="12" width="12.7109375" customWidth="1"/>
    <col min="13" max="13" width="15.7109375" customWidth="1"/>
    <col min="14" max="14" width="16.140625" customWidth="1"/>
    <col min="15" max="15" width="12.7109375" style="29" customWidth="1"/>
    <col min="16" max="16" width="15.7109375" customWidth="1"/>
    <col min="17" max="17" width="16.140625" customWidth="1"/>
    <col min="18" max="18" width="0.85546875" customWidth="1"/>
    <col min="19" max="16384" width="7.5703125" hidden="1"/>
  </cols>
  <sheetData>
    <row r="1" spans="1:18" hidden="1" x14ac:dyDescent="0.25">
      <c r="A1" t="s">
        <v>8</v>
      </c>
    </row>
    <row r="2" spans="1:18" hidden="1" x14ac:dyDescent="0.25">
      <c r="A2">
        <f>0</f>
        <v>0</v>
      </c>
      <c r="C2" s="1"/>
      <c r="D2" s="7"/>
      <c r="E2" s="8"/>
      <c r="F2" s="7"/>
      <c r="G2" s="9"/>
      <c r="H2" s="10"/>
      <c r="I2" s="9"/>
      <c r="J2" s="9"/>
      <c r="K2" s="10"/>
      <c r="L2" s="9"/>
      <c r="M2" s="9"/>
      <c r="N2" s="10"/>
      <c r="O2" s="9"/>
      <c r="P2" s="9"/>
      <c r="Q2" s="10"/>
    </row>
    <row r="3" spans="1:18" hidden="1" x14ac:dyDescent="0.25">
      <c r="A3">
        <f>1</f>
        <v>1</v>
      </c>
      <c r="C3" s="2"/>
      <c r="D3" s="11"/>
      <c r="E3" s="12"/>
      <c r="F3" s="11"/>
      <c r="G3" s="13"/>
      <c r="H3" s="14"/>
      <c r="I3" s="13"/>
      <c r="J3" s="13"/>
      <c r="K3" s="14"/>
      <c r="L3" s="13"/>
      <c r="M3" s="13"/>
      <c r="N3" s="14"/>
      <c r="O3" s="13"/>
      <c r="P3" s="13"/>
      <c r="Q3" s="14"/>
    </row>
    <row r="4" spans="1:18" hidden="1" x14ac:dyDescent="0.25">
      <c r="A4">
        <f>2</f>
        <v>2</v>
      </c>
      <c r="C4" s="4"/>
      <c r="D4" s="15"/>
      <c r="E4" s="16"/>
      <c r="F4" s="15"/>
      <c r="G4" s="17"/>
      <c r="H4" s="18"/>
      <c r="I4" s="17"/>
      <c r="J4" s="17"/>
      <c r="K4" s="18"/>
      <c r="L4" s="17"/>
      <c r="M4" s="17"/>
      <c r="N4" s="18"/>
      <c r="O4" s="17"/>
      <c r="P4" s="17"/>
      <c r="Q4" s="18"/>
    </row>
    <row r="5" spans="1:18" hidden="1" x14ac:dyDescent="0.25">
      <c r="A5">
        <f>3</f>
        <v>3</v>
      </c>
      <c r="C5" s="5"/>
      <c r="D5" s="19"/>
      <c r="E5" s="20"/>
      <c r="F5" s="19"/>
      <c r="G5" s="21"/>
      <c r="H5" s="22"/>
      <c r="I5" s="21"/>
      <c r="J5" s="21"/>
      <c r="K5" s="22"/>
      <c r="L5" s="21"/>
      <c r="M5" s="21"/>
      <c r="N5" s="22"/>
      <c r="O5" s="21"/>
      <c r="P5" s="21"/>
      <c r="Q5" s="22"/>
    </row>
    <row r="6" spans="1:18" hidden="1" x14ac:dyDescent="0.25">
      <c r="A6" t="s">
        <v>6</v>
      </c>
      <c r="C6" s="6"/>
      <c r="D6" s="23"/>
      <c r="E6" s="24"/>
      <c r="F6" s="23"/>
      <c r="G6" s="25"/>
      <c r="H6" s="26"/>
      <c r="I6" s="25"/>
      <c r="J6" s="25"/>
      <c r="K6" s="26"/>
      <c r="L6" s="25"/>
      <c r="M6" s="25"/>
      <c r="N6" s="26"/>
      <c r="O6" s="25"/>
      <c r="P6" s="25"/>
      <c r="Q6" s="26"/>
    </row>
    <row r="7" spans="1:18" hidden="1" x14ac:dyDescent="0.25">
      <c r="A7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 hidden="1" x14ac:dyDescent="0.25">
      <c r="A8" t="s">
        <v>9</v>
      </c>
    </row>
    <row r="9" spans="1:18" ht="45" hidden="1" customHeight="1" x14ac:dyDescent="0.25">
      <c r="C9" t="str">
        <f ca="1">_xll.TM1RPTVIEW("CXMD:FTM_DATA_MARGIN:ARPT1", 1, _xll.TM1RPTTITLE("CXMD:Month",$D$18), _xll.TM1RPTTITLE("CXMD:DIM_Origin_Company",$D$17), _xll.TM1RPTTITLE("CXMD:DIM_Allocation",$D$23), _xll.TM1RPTTITLE("CXMD:DIM_Customer_Supplier",$D$16),TM1RPTFMTRNG,TM1RPTFMTIDCOL)</f>
        <v>CXMD:FTM_DATA_MARGIN:ARPT1</v>
      </c>
    </row>
    <row r="10" spans="1:18" x14ac:dyDescent="0.25"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x14ac:dyDescent="0.25"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18" x14ac:dyDescent="0.25"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</row>
    <row r="13" spans="1:18" x14ac:dyDescent="0.25"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1:18" x14ac:dyDescent="0.25"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s="31" customFormat="1" ht="18.75" x14ac:dyDescent="0.3">
      <c r="C15" s="34" t="s">
        <v>11</v>
      </c>
    </row>
    <row r="16" spans="1:18" s="31" customFormat="1" x14ac:dyDescent="0.25">
      <c r="C16" s="32" t="s">
        <v>0</v>
      </c>
      <c r="D16" s="33" t="str">
        <f ca="1">_xll.SUBNM("CXMD:DIM_Customer_Supplier","","9148470 - REESINK","Code-Name")</f>
        <v>9148470 - REESINK</v>
      </c>
    </row>
    <row r="17" spans="1:17" s="31" customFormat="1" x14ac:dyDescent="0.25">
      <c r="C17" s="32" t="s">
        <v>1</v>
      </c>
      <c r="D17" s="33" t="str">
        <f ca="1">_xll.SUBNM("CXMD:DIM_Origin_Company","","KUHN","Name EN")</f>
        <v>KUHN</v>
      </c>
    </row>
    <row r="18" spans="1:17" s="31" customFormat="1" x14ac:dyDescent="0.25">
      <c r="C18" s="32" t="s">
        <v>2</v>
      </c>
      <c r="D18" s="33" t="str">
        <f ca="1">_xll.SUBNM("CXMD:Month","","Total_Month")</f>
        <v>Total_Month</v>
      </c>
    </row>
    <row r="19" spans="1:17" s="31" customFormat="1" hidden="1" x14ac:dyDescent="0.25">
      <c r="C19" s="32"/>
      <c r="D19" s="33"/>
    </row>
    <row r="20" spans="1:17" s="31" customFormat="1" hidden="1" x14ac:dyDescent="0.25">
      <c r="C20" s="32"/>
    </row>
    <row r="21" spans="1:17" s="31" customFormat="1" hidden="1" x14ac:dyDescent="0.25">
      <c r="C21" s="32"/>
    </row>
    <row r="22" spans="1:17" s="31" customFormat="1" hidden="1" x14ac:dyDescent="0.25">
      <c r="C22" s="32"/>
    </row>
    <row r="23" spans="1:17" s="31" customFormat="1" hidden="1" x14ac:dyDescent="0.25">
      <c r="C23" s="32" t="s">
        <v>3</v>
      </c>
      <c r="D23" s="31" t="str">
        <f ca="1">_xll.SUBNM("CXMD:DIM_Allocation","","Total Allocation","Allocation EN")</f>
        <v>Total Allocation</v>
      </c>
    </row>
    <row r="24" spans="1:17" s="31" customFormat="1" hidden="1" x14ac:dyDescent="0.25">
      <c r="C24" s="36"/>
    </row>
    <row r="25" spans="1:17" s="31" customFormat="1" x14ac:dyDescent="0.25">
      <c r="C25" s="36"/>
    </row>
    <row r="26" spans="1:17" x14ac:dyDescent="0.25">
      <c r="C26" s="31"/>
      <c r="D26" s="37" t="str">
        <f ca="1">_xll.SUBNM("CXMD:Actuality","Actuality","AC2015","Description EN")</f>
        <v>AC2015</v>
      </c>
      <c r="E26" s="38"/>
      <c r="F26" s="37" t="str">
        <f ca="1">_xll.SUBNM("CXMD:Actuality","Actuality","AC2016","Description EN")</f>
        <v>AC2016</v>
      </c>
      <c r="G26" s="38"/>
      <c r="H26" s="39" t="s">
        <v>10</v>
      </c>
      <c r="I26" s="37" t="str">
        <f ca="1">_xll.SUBNM("CXMD:Actuality","Actuality","AC2017","Description EN")</f>
        <v>AC2017</v>
      </c>
      <c r="J26" s="38"/>
      <c r="K26" s="39" t="s">
        <v>10</v>
      </c>
      <c r="L26" s="37" t="str">
        <f ca="1">_xll.SUBNM("CXMD:Actuality","Actuality","AC2018","Description EN")</f>
        <v>AC2018</v>
      </c>
      <c r="M26" s="38"/>
      <c r="N26" s="39" t="s">
        <v>10</v>
      </c>
      <c r="O26" s="37" t="str">
        <f ca="1">_xll.SUBNM("CXMD:Actuality","","AC2019","Description EN")</f>
        <v>AC2019</v>
      </c>
      <c r="P26" s="38"/>
      <c r="Q26" s="39" t="s">
        <v>10</v>
      </c>
    </row>
    <row r="27" spans="1:17" x14ac:dyDescent="0.25">
      <c r="C27" s="31"/>
      <c r="D27" s="27" t="s">
        <v>4</v>
      </c>
      <c r="E27" s="28" t="s">
        <v>5</v>
      </c>
      <c r="F27" s="27" t="s">
        <v>4</v>
      </c>
      <c r="G27" s="28" t="s">
        <v>5</v>
      </c>
      <c r="H27" s="40"/>
      <c r="I27" s="27" t="s">
        <v>4</v>
      </c>
      <c r="J27" s="28" t="s">
        <v>5</v>
      </c>
      <c r="K27" s="40"/>
      <c r="L27" s="27" t="s">
        <v>4</v>
      </c>
      <c r="M27" s="28" t="s">
        <v>5</v>
      </c>
      <c r="N27" s="40"/>
      <c r="O27" s="27" t="s">
        <v>4</v>
      </c>
      <c r="P27" s="28" t="s">
        <v>5</v>
      </c>
      <c r="Q27" s="40"/>
    </row>
    <row r="28" spans="1:17" x14ac:dyDescent="0.25">
      <c r="A28" t="str">
        <f ca="1">IF(_xll.TM1RPTELISCONSOLIDATED($C$28,$C28),IF(_xll.TM1RPTELLEV($C$28,$C28)&lt;=3,_xll.TM1RPTELLEV($C$28,$C28),"D"),"N")</f>
        <v>N</v>
      </c>
      <c r="C28" s="35" t="str">
        <f ca="1">_xll.TM1RPTROW($C$9,"CXMD:DIM_Configuration","Product_Line","","Description EN",0)</f>
        <v/>
      </c>
      <c r="D28" s="7" t="str">
        <f ca="1">_xll.DBRW($C$9,$D$18,D$26,$D$17,$D$23,$D$16,$C28,D$27)</f>
        <v/>
      </c>
      <c r="E28" s="8" t="str">
        <f ca="1">_xll.DBRW($C$9,$D$18,D$26,$D$17,$D$23,$D$16,$C28,E$27)</f>
        <v/>
      </c>
      <c r="F28" s="7" t="str">
        <f ca="1">_xll.DBRW($C$9,$D$18,F$26,$D$17,$D$23,$D$16,$C28,F$27)</f>
        <v/>
      </c>
      <c r="G28" s="9" t="str">
        <f ca="1">_xll.DBRW($C$9,$D$18,F$26,$D$17,$D$23,$D$16,$C28,G$27)</f>
        <v/>
      </c>
      <c r="H28" s="10" t="e">
        <f ca="1">IF(E28&lt;&gt;0,G28/E28-1,0)</f>
        <v>#VALUE!</v>
      </c>
      <c r="I28" s="9" t="str">
        <f ca="1">_xll.DBRW($C$9,$D$18,I$26,$D$17,$D$23,$D$16,$C28,I$27)</f>
        <v/>
      </c>
      <c r="J28" s="9" t="str">
        <f ca="1">_xll.DBRW($C$9,$D$18,I$26,$D$17,$D$23,$D$16,$C28,J$27)</f>
        <v/>
      </c>
      <c r="K28" s="10" t="e">
        <f ca="1">IF(G28&lt;&gt;0,J28/G28-1,0)</f>
        <v>#VALUE!</v>
      </c>
      <c r="L28" s="9" t="str">
        <f ca="1">_xll.DBRW($C$9,$D$18,L$26,$D$17,$D$23,$D$16,$C28,L$27)</f>
        <v/>
      </c>
      <c r="M28" s="9" t="str">
        <f ca="1">_xll.DBRW($C$9,$D$18,L$26,$D$17,$D$23,$D$16,$C28,M$27)</f>
        <v/>
      </c>
      <c r="N28" s="10" t="e">
        <f ca="1">IF(J28&lt;&gt;0,M28/J28-1,0)</f>
        <v>#VALUE!</v>
      </c>
      <c r="O28" s="9" t="str">
        <f ca="1">_xll.DBRW($C$9,$D$18,O$26,$D$17,$D$23,$D$16,$C28,O$27)</f>
        <v/>
      </c>
      <c r="P28" s="9" t="str">
        <f ca="1">_xll.DBRW($C$9,$D$18,O$26,$D$17,$D$23,$D$16,$C28,P$27)</f>
        <v/>
      </c>
      <c r="Q28" s="10" t="e">
        <f ca="1">IF(M28&lt;&gt;0,P28/M28-1,0)</f>
        <v>#VALUE!</v>
      </c>
    </row>
  </sheetData>
  <mergeCells count="9">
    <mergeCell ref="O26:P26"/>
    <mergeCell ref="Q26:Q27"/>
    <mergeCell ref="F26:G26"/>
    <mergeCell ref="D26:E26"/>
    <mergeCell ref="H26:H27"/>
    <mergeCell ref="K26:K27"/>
    <mergeCell ref="N26:N27"/>
    <mergeCell ref="L26:M26"/>
    <mergeCell ref="I26:J26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8</xdr:col>
                <xdr:colOff>0</xdr:colOff>
                <xdr:row>17</xdr:row>
                <xdr:rowOff>0</xdr:rowOff>
              </from>
              <to>
                <xdr:col>8</xdr:col>
                <xdr:colOff>628650</xdr:colOff>
                <xdr:row>24</xdr:row>
                <xdr:rowOff>66675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2017-05-05T09:42:36Z</dcterms:created>
  <dcterms:modified xsi:type="dcterms:W3CDTF">2022-01-24T12:31:24Z</dcterms:modified>
</cp:coreProperties>
</file>