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27\"/>
    </mc:Choice>
  </mc:AlternateContent>
  <bookViews>
    <workbookView xWindow="0" yWindow="0" windowWidth="19200" windowHeight="7170"/>
  </bookViews>
  <sheets>
    <sheet name="Feuil1" sheetId="4" r:id="rId1"/>
    <sheet name="{AR}21" sheetId="5" state="hidden" r:id="rId2"/>
    <sheet name="{AR}31" sheetId="6" state="hidden" r:id="rId3"/>
  </sheets>
  <definedNames>
    <definedName name="TM1REBUILDOPTION">1</definedName>
    <definedName name="TM1RPTDATARNGARPT1" localSheetId="0">Feuil1!$29:$29</definedName>
    <definedName name="TM1RPTFMTIDCOL" localSheetId="0">Feuil1!$A$1:$A$8</definedName>
    <definedName name="TM1RPTFMTRNG" localSheetId="0">Feuil1!$B$1:$J$8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4" l="1"/>
  <c r="C21" i="4"/>
  <c r="G27" i="4"/>
  <c r="C23" i="4"/>
  <c r="C24" i="4"/>
  <c r="J27" i="4"/>
  <c r="I27" i="4"/>
  <c r="E27" i="4"/>
  <c r="F27" i="4"/>
  <c r="D27" i="4"/>
  <c r="B29" i="4"/>
  <c r="C29" i="4"/>
  <c r="J29" i="4"/>
  <c r="I29" i="4"/>
  <c r="E29" i="4"/>
  <c r="F29" i="4"/>
  <c r="G29" i="4"/>
  <c r="D29" i="4"/>
  <c r="K29" i="4"/>
  <c r="H29" i="4"/>
  <c r="A29" i="4"/>
  <c r="A5" i="4"/>
  <c r="A4" i="4"/>
  <c r="A3" i="4"/>
  <c r="A2" i="4"/>
</calcChain>
</file>

<file path=xl/sharedStrings.xml><?xml version="1.0" encoding="utf-8"?>
<sst xmlns="http://schemas.openxmlformats.org/spreadsheetml/2006/main" count="46" uniqueCount="40">
  <si>
    <t>Month</t>
  </si>
  <si>
    <t>Allocation</t>
  </si>
  <si>
    <t>Customer_Supplier</t>
  </si>
  <si>
    <t>QTY</t>
  </si>
  <si>
    <t>SALES</t>
  </si>
  <si>
    <t>KUHN UKRAINE</t>
  </si>
  <si>
    <t>KUHN POLAND</t>
  </si>
  <si>
    <t>KUHN ITALY</t>
  </si>
  <si>
    <t>KUHN AUSTRALIA</t>
  </si>
  <si>
    <t>KUHN SPAIN</t>
  </si>
  <si>
    <t>KUHN GERMANY</t>
  </si>
  <si>
    <t>KUHN UK</t>
  </si>
  <si>
    <t>KUHN CHINA</t>
  </si>
  <si>
    <t>D</t>
  </si>
  <si>
    <t>N</t>
  </si>
  <si>
    <t>[Begin Format Range]</t>
  </si>
  <si>
    <t>[End Format Range]</t>
  </si>
  <si>
    <t>KUHN RUSSIA</t>
  </si>
  <si>
    <t>SALES %</t>
  </si>
  <si>
    <t>N-1</t>
  </si>
  <si>
    <t>Attention! All values are in Local Currency!</t>
  </si>
  <si>
    <t>KUHN BRAZIL</t>
  </si>
  <si>
    <t>KHU Forecast and Budget per BUD</t>
  </si>
  <si>
    <t>L - LAB - Ploughing</t>
  </si>
  <si>
    <t>F - CRP - Mounted reversible ploughs</t>
  </si>
  <si>
    <t>F - SSP - Semi-mounted conventional ploughs</t>
  </si>
  <si>
    <t>F - CROT - Rotary ploughs</t>
  </si>
  <si>
    <t>F - F-CPR - Deep working cultivators</t>
  </si>
  <si>
    <t>SF - SF-CPR_A -Sub soilers</t>
  </si>
  <si>
    <t>SF - SF-CPR_B -Soil looseners</t>
  </si>
  <si>
    <t>SF - SF-CPR_C -Discs / tines cultivators</t>
  </si>
  <si>
    <t>SF - SF-CPR_D -Tines cultivators</t>
  </si>
  <si>
    <t>F - F-DCH - Stubble cultivators</t>
  </si>
  <si>
    <t>SF - SF-DCH_A -Stubble cultivators with discs</t>
  </si>
  <si>
    <t>SF - SF-DCH_B -Stubble cultivators with tines</t>
  </si>
  <si>
    <t>SF - PC-F-DCH -Stubble cultivators</t>
  </si>
  <si>
    <t>F - F-CCR - Disc harrows</t>
  </si>
  <si>
    <t>F - F-STL - Strip-Till</t>
  </si>
  <si>
    <t>SF - SF-PLS_A -Seed bed cultivators</t>
  </si>
  <si>
    <t>F - F-SMP - Pneumatic precision seed drills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</si>
</sst>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- &quot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3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FFFF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  <border>
      <left/>
      <right style="thick">
        <color rgb="FFFFFF00"/>
      </right>
      <top style="thick">
        <color rgb="FFFFFF00"/>
      </top>
      <bottom style="thick">
        <color rgb="FFFFFF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9" fontId="6" fillId="2" borderId="0" xfId="1" applyFont="1" applyFill="1"/>
    <xf numFmtId="0" fontId="0" fillId="4" borderId="0" xfId="0" applyFill="1"/>
    <xf numFmtId="3" fontId="6" fillId="2" borderId="0" xfId="0" applyNumberFormat="1" applyFont="1" applyFill="1" applyBorder="1"/>
    <xf numFmtId="3" fontId="6" fillId="3" borderId="0" xfId="0" applyNumberFormat="1" applyFont="1" applyFill="1" applyBorder="1"/>
    <xf numFmtId="3" fontId="6" fillId="6" borderId="0" xfId="0" applyNumberFormat="1" applyFont="1" applyFill="1" applyBorder="1"/>
    <xf numFmtId="3" fontId="6" fillId="7" borderId="0" xfId="0" applyNumberFormat="1" applyFont="1" applyFill="1" applyBorder="1"/>
    <xf numFmtId="3" fontId="6" fillId="3" borderId="2" xfId="0" applyNumberFormat="1" applyFont="1" applyFill="1" applyBorder="1"/>
    <xf numFmtId="3" fontId="6" fillId="7" borderId="2" xfId="0" applyNumberFormat="1" applyFont="1" applyFill="1" applyBorder="1"/>
    <xf numFmtId="3" fontId="6" fillId="6" borderId="2" xfId="0" applyNumberFormat="1" applyFont="1" applyFill="1" applyBorder="1"/>
    <xf numFmtId="3" fontId="6" fillId="2" borderId="2" xfId="0" applyNumberFormat="1" applyFont="1" applyFill="1" applyBorder="1"/>
    <xf numFmtId="3" fontId="6" fillId="3" borderId="3" xfId="0" applyNumberFormat="1" applyFont="1" applyFill="1" applyBorder="1"/>
    <xf numFmtId="3" fontId="6" fillId="6" borderId="3" xfId="0" applyNumberFormat="1" applyFont="1" applyFill="1" applyBorder="1"/>
    <xf numFmtId="3" fontId="6" fillId="7" borderId="3" xfId="0" applyNumberFormat="1" applyFont="1" applyFill="1" applyBorder="1"/>
    <xf numFmtId="9" fontId="6" fillId="2" borderId="4" xfId="1" applyFont="1" applyFill="1" applyBorder="1"/>
    <xf numFmtId="9" fontId="6" fillId="3" borderId="4" xfId="1" applyFont="1" applyFill="1" applyBorder="1"/>
    <xf numFmtId="9" fontId="6" fillId="6" borderId="4" xfId="1" applyFont="1" applyFill="1" applyBorder="1"/>
    <xf numFmtId="9" fontId="6" fillId="7" borderId="4" xfId="1" applyFont="1" applyFill="1" applyBorder="1"/>
    <xf numFmtId="9" fontId="6" fillId="0" borderId="4" xfId="1" applyFont="1" applyBorder="1"/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7" fillId="4" borderId="0" xfId="0" applyFont="1" applyFill="1"/>
    <xf numFmtId="0" fontId="2" fillId="4" borderId="0" xfId="0" applyFont="1" applyFill="1"/>
    <xf numFmtId="0" fontId="0" fillId="4" borderId="1" xfId="0" applyFill="1" applyBorder="1"/>
    <xf numFmtId="0" fontId="8" fillId="4" borderId="11" xfId="0" applyFont="1" applyFill="1" applyBorder="1"/>
    <xf numFmtId="0" fontId="0" fillId="4" borderId="12" xfId="0" applyFill="1" applyBorder="1"/>
    <xf numFmtId="3" fontId="6" fillId="2" borderId="3" xfId="0" applyNumberFormat="1" applyFont="1" applyFill="1" applyBorder="1"/>
    <xf numFmtId="0" fontId="0" fillId="0" borderId="0" xfId="0" applyBorder="1"/>
    <xf numFmtId="3" fontId="6" fillId="0" borderId="3" xfId="0" applyNumberFormat="1" applyFont="1" applyBorder="1"/>
    <xf numFmtId="3" fontId="6" fillId="0" borderId="2" xfId="0" applyNumberFormat="1" applyFont="1" applyBorder="1"/>
    <xf numFmtId="3" fontId="6" fillId="0" borderId="0" xfId="0" applyNumberFormat="1" applyFont="1" applyBorder="1"/>
    <xf numFmtId="0" fontId="0" fillId="4" borderId="0" xfId="0" applyFill="1" applyBorder="1"/>
    <xf numFmtId="0" fontId="0" fillId="2" borderId="2" xfId="0" applyFill="1" applyBorder="1"/>
    <xf numFmtId="0" fontId="0" fillId="3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0" borderId="2" xfId="0" applyBorder="1"/>
    <xf numFmtId="0" fontId="3" fillId="2" borderId="0" xfId="0" applyFont="1" applyFill="1" applyBorder="1"/>
    <xf numFmtId="0" fontId="0" fillId="2" borderId="0" xfId="0" applyFill="1" applyBorder="1"/>
    <xf numFmtId="49" fontId="3" fillId="2" borderId="0" xfId="0" applyNumberFormat="1" applyFont="1" applyFill="1" applyBorder="1" applyAlignment="1"/>
    <xf numFmtId="164" fontId="0" fillId="2" borderId="2" xfId="0" applyNumberForma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15241</xdr:rowOff>
    </xdr:from>
    <xdr:to>
      <xdr:col>9</xdr:col>
      <xdr:colOff>777241</xdr:colOff>
      <xdr:row>14</xdr:row>
      <xdr:rowOff>86363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1"/>
          <a:ext cx="12885420" cy="100838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16</xdr:row>
          <xdr:rowOff>28576</xdr:rowOff>
        </xdr:from>
        <xdr:to>
          <xdr:col>4</xdr:col>
          <xdr:colOff>514350</xdr:colOff>
          <xdr:row>18</xdr:row>
          <xdr:rowOff>28576</xdr:rowOff>
        </xdr:to>
        <xdr:sp macro="" textlink="">
          <xdr:nvSpPr>
            <xdr:cNvPr id="2049" name="TI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M416"/>
  <sheetViews>
    <sheetView showGridLines="0" tabSelected="1" topLeftCell="B10" workbookViewId="0">
      <selection activeCell="B17" sqref="B17"/>
    </sheetView>
  </sheetViews>
  <sheetFormatPr defaultColWidth="0" defaultRowHeight="15" zeroHeight="1" x14ac:dyDescent="0.25"/>
  <cols>
    <col min="1" max="1" width="18.7109375" hidden="1" customWidth="1"/>
    <col min="2" max="2" width="31.85546875" customWidth="1"/>
    <col min="3" max="3" width="45.7109375" customWidth="1"/>
    <col min="4" max="7" width="17.140625" customWidth="1"/>
    <col min="8" max="8" width="13.28515625" customWidth="1"/>
    <col min="9" max="10" width="17.140625" customWidth="1"/>
    <col min="11" max="11" width="13.28515625" customWidth="1"/>
    <col min="12" max="12" width="0.85546875" customWidth="1"/>
    <col min="13" max="1001" width="0" hidden="1" customWidth="1"/>
    <col min="1002" max="16384" width="11.5703125" hidden="1"/>
  </cols>
  <sheetData>
    <row r="1" spans="1:11" ht="16.149999999999999" hidden="1" customHeight="1" x14ac:dyDescent="0.3">
      <c r="A1" t="s">
        <v>15</v>
      </c>
      <c r="D1" s="33"/>
      <c r="E1" s="33"/>
      <c r="F1" s="33"/>
      <c r="G1" s="33"/>
      <c r="I1" s="33"/>
      <c r="J1" s="33"/>
    </row>
    <row r="2" spans="1:11" ht="16.149999999999999" hidden="1" customHeight="1" x14ac:dyDescent="0.3">
      <c r="A2">
        <f>0</f>
        <v>0</v>
      </c>
      <c r="B2" s="43"/>
      <c r="C2" s="38"/>
      <c r="D2" s="3"/>
      <c r="E2" s="10"/>
      <c r="F2" s="32"/>
      <c r="G2" s="3"/>
      <c r="H2" s="14"/>
      <c r="I2" s="3"/>
      <c r="J2" s="3"/>
      <c r="K2" s="14"/>
    </row>
    <row r="3" spans="1:11" ht="16.149999999999999" hidden="1" customHeight="1" x14ac:dyDescent="0.3">
      <c r="A3">
        <f>1</f>
        <v>1</v>
      </c>
      <c r="B3" s="44"/>
      <c r="C3" s="39"/>
      <c r="D3" s="4"/>
      <c r="E3" s="7"/>
      <c r="F3" s="11"/>
      <c r="G3" s="4"/>
      <c r="H3" s="15"/>
      <c r="I3" s="4"/>
      <c r="J3" s="4"/>
      <c r="K3" s="15"/>
    </row>
    <row r="4" spans="1:11" ht="16.149999999999999" hidden="1" customHeight="1" x14ac:dyDescent="0.3">
      <c r="A4">
        <f>2</f>
        <v>2</v>
      </c>
      <c r="B4" s="44"/>
      <c r="C4" s="40"/>
      <c r="D4" s="5"/>
      <c r="E4" s="9"/>
      <c r="F4" s="12"/>
      <c r="G4" s="5"/>
      <c r="H4" s="16"/>
      <c r="I4" s="5"/>
      <c r="J4" s="5"/>
      <c r="K4" s="16"/>
    </row>
    <row r="5" spans="1:11" ht="16.149999999999999" hidden="1" customHeight="1" x14ac:dyDescent="0.3">
      <c r="A5">
        <f>3</f>
        <v>3</v>
      </c>
      <c r="B5" s="44"/>
      <c r="C5" s="41"/>
      <c r="D5" s="6"/>
      <c r="E5" s="8"/>
      <c r="F5" s="13"/>
      <c r="G5" s="6"/>
      <c r="H5" s="17"/>
      <c r="I5" s="6"/>
      <c r="J5" s="6"/>
      <c r="K5" s="17"/>
    </row>
    <row r="6" spans="1:11" ht="16.149999999999999" hidden="1" customHeight="1" x14ac:dyDescent="0.3">
      <c r="A6" t="s">
        <v>13</v>
      </c>
      <c r="B6" s="44"/>
      <c r="C6" s="39"/>
      <c r="D6" s="4"/>
      <c r="E6" s="7"/>
      <c r="F6" s="11"/>
      <c r="G6" s="4"/>
      <c r="H6" s="15"/>
      <c r="I6" s="4"/>
      <c r="J6" s="4"/>
      <c r="K6" s="15"/>
    </row>
    <row r="7" spans="1:11" ht="16.149999999999999" hidden="1" customHeight="1" x14ac:dyDescent="0.3">
      <c r="A7" t="s">
        <v>14</v>
      </c>
      <c r="B7" s="44"/>
      <c r="C7" s="42"/>
      <c r="D7" s="34"/>
      <c r="E7" s="35"/>
      <c r="F7" s="34"/>
      <c r="G7" s="36"/>
      <c r="H7" s="18"/>
      <c r="I7" s="36"/>
      <c r="J7" s="36"/>
      <c r="K7" s="18"/>
    </row>
    <row r="8" spans="1:11" ht="16.149999999999999" hidden="1" customHeight="1" x14ac:dyDescent="0.3">
      <c r="A8" t="s">
        <v>16</v>
      </c>
      <c r="B8" s="2"/>
      <c r="C8" s="2"/>
      <c r="D8" s="37"/>
      <c r="E8" s="37"/>
      <c r="F8" s="37"/>
      <c r="G8" s="37"/>
      <c r="H8" s="2"/>
      <c r="I8" s="37"/>
      <c r="J8" s="37"/>
      <c r="K8" s="2"/>
    </row>
    <row r="9" spans="1:11" ht="16.149999999999999" hidden="1" customHeight="1" x14ac:dyDescent="0.25">
      <c r="B9" s="2" t="str">
        <f ca="1">_xll.TM1RPTVIEW("CXMD:FTM_DATA_MARGIN:ARPT1", 1, _xll.TM1RPTTITLE("CXMD:Month",$C$21), _xll.TM1RPTTITLE("CXMD:DIM_Allocation",$C$23), _xll.TM1RPTTITLE("CXMD:DIM_Customer_Supplier",$C$24),TM1RPTFMTRNG,TM1RPTFMTIDCOL)</f>
        <v>CXMD:FTM_DATA_MARGIN:ARPT1</v>
      </c>
      <c r="C9" s="2"/>
      <c r="D9" s="2"/>
      <c r="E9" s="2"/>
      <c r="F9" s="2"/>
      <c r="G9" s="2"/>
      <c r="H9" s="2"/>
      <c r="I9" s="2"/>
      <c r="J9" s="2"/>
      <c r="K9" s="2"/>
    </row>
    <row r="10" spans="1:11" ht="16.149999999999999" customHeight="1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.4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4.4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4.4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4.4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4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9.5" x14ac:dyDescent="0.3">
      <c r="B16" s="27" t="s">
        <v>22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B18" s="25"/>
      <c r="C18" s="26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B19" s="25"/>
      <c r="C19" s="26"/>
      <c r="D19" s="2"/>
      <c r="E19" s="2"/>
      <c r="F19" s="2"/>
      <c r="G19" s="2"/>
      <c r="H19" s="2"/>
      <c r="I19" s="2"/>
      <c r="J19" s="2"/>
      <c r="K19" s="2"/>
    </row>
    <row r="20" spans="1:11" hidden="1" x14ac:dyDescent="0.25">
      <c r="B20" s="25"/>
      <c r="C20" s="28"/>
      <c r="D20" s="2"/>
      <c r="E20" s="2"/>
      <c r="F20" s="2"/>
      <c r="G20" s="2"/>
      <c r="H20" s="2"/>
      <c r="I20" s="2"/>
      <c r="J20" s="2"/>
      <c r="K20" s="2"/>
    </row>
    <row r="21" spans="1:11" hidden="1" x14ac:dyDescent="0.25">
      <c r="B21" s="25" t="s">
        <v>0</v>
      </c>
      <c r="C21" s="26" t="str">
        <f ca="1">_xll.SUBNM("CXMD:Month","","Total_Month")</f>
        <v>Total_Month</v>
      </c>
      <c r="D21" s="2"/>
      <c r="E21" s="2"/>
      <c r="F21" s="2"/>
      <c r="G21" s="2"/>
      <c r="H21" s="2"/>
      <c r="I21" s="2"/>
      <c r="J21" s="2"/>
      <c r="K21" s="2"/>
    </row>
    <row r="22" spans="1:11" hidden="1" x14ac:dyDescent="0.25">
      <c r="B22" s="25"/>
      <c r="C22" s="26"/>
      <c r="D22" s="2"/>
      <c r="E22" s="2"/>
      <c r="F22" s="2"/>
      <c r="G22" s="2"/>
      <c r="H22" s="2"/>
      <c r="I22" s="2"/>
      <c r="J22" s="2"/>
      <c r="K22" s="2"/>
    </row>
    <row r="23" spans="1:11" hidden="1" x14ac:dyDescent="0.25">
      <c r="B23" s="25" t="s">
        <v>1</v>
      </c>
      <c r="C23" s="26" t="str">
        <f ca="1">_xll.SUBNM("CXMD:DIM_Allocation","","Total Allocation")</f>
        <v>Total Allocation</v>
      </c>
      <c r="D23" s="2"/>
      <c r="E23" s="2"/>
      <c r="F23" s="2"/>
      <c r="G23" s="2"/>
      <c r="H23" s="2"/>
      <c r="I23" s="2"/>
      <c r="J23" s="2"/>
      <c r="K23" s="2"/>
    </row>
    <row r="24" spans="1:11" hidden="1" x14ac:dyDescent="0.25">
      <c r="B24" s="25" t="s">
        <v>2</v>
      </c>
      <c r="C24" s="26" t="str">
        <f ca="1">_xll.SUBNM("CXMD:DIM_Customer_Supplier","","Others")</f>
        <v>Others</v>
      </c>
      <c r="D24" s="2"/>
      <c r="E24" s="2"/>
      <c r="F24" s="2"/>
      <c r="G24" s="2"/>
      <c r="H24" s="2"/>
      <c r="I24" s="2"/>
      <c r="J24" s="2"/>
      <c r="K24" s="2"/>
    </row>
    <row r="25" spans="1:11" ht="15.75" hidden="1" thickBot="1" x14ac:dyDescent="0.3">
      <c r="B25" s="29"/>
      <c r="C25" s="29"/>
      <c r="D25" s="2"/>
      <c r="E25" s="2"/>
      <c r="F25" s="2"/>
      <c r="G25" s="2"/>
      <c r="H25" s="2"/>
      <c r="I25" s="2"/>
      <c r="J25" s="2"/>
      <c r="K25" s="2"/>
    </row>
    <row r="26" spans="1:11" ht="18.75" thickTop="1" thickBot="1" x14ac:dyDescent="0.35">
      <c r="B26" s="30" t="s">
        <v>20</v>
      </c>
      <c r="C26" s="31"/>
      <c r="D26" s="2"/>
      <c r="E26" s="2"/>
      <c r="F26" s="2"/>
      <c r="G26" s="2"/>
      <c r="H26" s="2"/>
      <c r="I26" s="2"/>
      <c r="J26" s="2"/>
      <c r="K26" s="2"/>
    </row>
    <row r="27" spans="1:11" thickTop="1" x14ac:dyDescent="0.3">
      <c r="B27" s="2"/>
      <c r="C27" s="2"/>
      <c r="D27" s="19" t="str">
        <f ca="1">_xll.SUBNM("CXMD:Actuality","Actuality_PREV_MARGIN","AC2017","Description EN")</f>
        <v>AC2017</v>
      </c>
      <c r="E27" s="19" t="str">
        <f ca="1">_xll.SUBNM("CXMD:Actuality","Actuality_PREV_MARGIN","AC2017","Description EN")</f>
        <v>AC2017</v>
      </c>
      <c r="F27" s="19" t="str">
        <f ca="1">_xll.SUBNM("CXMD:Actuality","Actuality_PREV_MARGIN","FC3_2018","Description EN")</f>
        <v>FC3_2018</v>
      </c>
      <c r="G27" s="19" t="str">
        <f ca="1">_xll.SUBNM("CXMD:Actuality","Actuality_PREV_MARGIN","FC3_2018","Description EN")</f>
        <v>FC3_2018</v>
      </c>
      <c r="H27" s="23" t="s">
        <v>18</v>
      </c>
      <c r="I27" s="19" t="str">
        <f ca="1">_xll.SUBNM("CXMD:Actuality","Actuality_PREV_MARGIN","BU2019Draft","Description EN")</f>
        <v>BU2019draft</v>
      </c>
      <c r="J27" s="19" t="str">
        <f ca="1">_xll.SUBNM("CXMD:Actuality","Actuality_PREV_MARGIN","BU2019Draft","Description EN")</f>
        <v>BU2019draft</v>
      </c>
      <c r="K27" s="23" t="s">
        <v>18</v>
      </c>
    </row>
    <row r="28" spans="1:11" thickBot="1" x14ac:dyDescent="0.35">
      <c r="B28" s="2"/>
      <c r="C28" s="2"/>
      <c r="D28" s="20" t="s">
        <v>3</v>
      </c>
      <c r="E28" s="21" t="s">
        <v>4</v>
      </c>
      <c r="F28" s="20" t="s">
        <v>3</v>
      </c>
      <c r="G28" s="21" t="s">
        <v>4</v>
      </c>
      <c r="H28" s="24" t="s">
        <v>19</v>
      </c>
      <c r="I28" s="22" t="s">
        <v>3</v>
      </c>
      <c r="J28" s="21" t="s">
        <v>4</v>
      </c>
      <c r="K28" s="24" t="s">
        <v>19</v>
      </c>
    </row>
    <row r="29" spans="1:11" x14ac:dyDescent="0.25">
      <c r="A29" t="str">
        <f ca="1">IF(_xll.TM1RPTELISCONSOLIDATED($C$29,$C29),IF(_xll.TM1RPTELLEV($C$29,$C29)&lt;=3,_xll.TM1RPTELLEV($C$29,$C29),"D"),"N")</f>
        <v>N</v>
      </c>
      <c r="B29" s="45" t="str">
        <f ca="1">_xll.TM1RPTROW($B$9,"CXMD:DIM_Origin_Company","",'{AR}21'!$B$22:$B$32,"Name EN",0)</f>
        <v/>
      </c>
      <c r="C29" s="46" t="str">
        <f ca="1">_xll.TM1RPTROW($B$9,"CXMD:DIM_Configuration","",'{AR}31'!$C$22:$C$38,"Description EN",0)</f>
        <v/>
      </c>
      <c r="D29" s="3" t="str">
        <f ca="1">_xll.DBRW($B$9,$C$21,D$27,$B29,$C$23,$C$24,$C29,D$28)</f>
        <v/>
      </c>
      <c r="E29" s="10" t="str">
        <f ca="1">_xll.DBRW($B$9,$C$21,E$27,$B29,$C$23,$C$24,$C29,E$28)</f>
        <v/>
      </c>
      <c r="F29" s="32" t="str">
        <f ca="1">_xll.DBRW($B$9,$C$21,F$27,$B29,$C$23,$C$24,$C29,F$28)</f>
        <v/>
      </c>
      <c r="G29" s="3" t="str">
        <f ca="1">_xll.DBRW($B$9,$C$21,G$27,$B29,$C$23,$C$24,$C29,G$28)</f>
        <v/>
      </c>
      <c r="H29" s="14" t="e">
        <f ca="1">IF(E29&lt;&gt;0,(G29-E29)/E29,0)</f>
        <v>#VALUE!</v>
      </c>
      <c r="I29" s="3" t="str">
        <f ca="1">_xll.DBRW($B$9,$C$21,I$27,$B29,$C$23,$C$24,$C29,I$28)</f>
        <v/>
      </c>
      <c r="J29" s="3" t="str">
        <f ca="1">_xll.DBRW($B$9,$C$21,J$27,$B29,$C$23,$C$24,$C29,J$28)</f>
        <v/>
      </c>
      <c r="K29" s="1" t="e">
        <f ca="1">IF(G29&lt;&gt;0,(J29-G29)/G29,0)</f>
        <v>#VALUE!</v>
      </c>
    </row>
    <row r="30" spans="1:11" hidden="1" x14ac:dyDescent="0.25"/>
    <row r="31" spans="1:11" hidden="1" x14ac:dyDescent="0.25"/>
    <row r="32" spans="1:11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TIButton1">
          <controlPr defaultSize="0" print="0" autoLine="0" autoPict="0" r:id="rId4">
            <anchor moveWithCells="1">
              <from>
                <xdr:col>3</xdr:col>
                <xdr:colOff>800100</xdr:colOff>
                <xdr:row>16</xdr:row>
                <xdr:rowOff>28575</xdr:rowOff>
              </from>
              <to>
                <xdr:col>4</xdr:col>
                <xdr:colOff>514350</xdr:colOff>
                <xdr:row>18</xdr:row>
                <xdr:rowOff>28575</xdr:rowOff>
              </to>
            </anchor>
          </controlPr>
        </control>
      </mc:Choice>
      <mc:Fallback>
        <control shapeId="2049" r:id="rId3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:B31"/>
  <sheetViews>
    <sheetView topLeftCell="A13" workbookViewId="0"/>
  </sheetViews>
  <sheetFormatPr defaultColWidth="11.42578125" defaultRowHeight="15" x14ac:dyDescent="0.25"/>
  <sheetData>
    <row r="22" spans="2:2" x14ac:dyDescent="0.3">
      <c r="B22" t="s">
        <v>12</v>
      </c>
    </row>
    <row r="23" spans="2:2" x14ac:dyDescent="0.3">
      <c r="B23" t="s">
        <v>11</v>
      </c>
    </row>
    <row r="24" spans="2:2" x14ac:dyDescent="0.3">
      <c r="B24" t="s">
        <v>21</v>
      </c>
    </row>
    <row r="25" spans="2:2" x14ac:dyDescent="0.3">
      <c r="B25" t="s">
        <v>10</v>
      </c>
    </row>
    <row r="26" spans="2:2" x14ac:dyDescent="0.3">
      <c r="B26" t="s">
        <v>9</v>
      </c>
    </row>
    <row r="27" spans="2:2" x14ac:dyDescent="0.3">
      <c r="B27" t="s">
        <v>8</v>
      </c>
    </row>
    <row r="28" spans="2:2" x14ac:dyDescent="0.3">
      <c r="B28" t="s">
        <v>7</v>
      </c>
    </row>
    <row r="29" spans="2:2" x14ac:dyDescent="0.3">
      <c r="B29" t="s">
        <v>6</v>
      </c>
    </row>
    <row r="30" spans="2:2" x14ac:dyDescent="0.3">
      <c r="B30" t="s">
        <v>17</v>
      </c>
    </row>
    <row r="31" spans="2:2" x14ac:dyDescent="0.3">
      <c r="B3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2:C38"/>
  <sheetViews>
    <sheetView topLeftCell="A19" workbookViewId="0">
      <selection activeCell="C38" sqref="C38"/>
    </sheetView>
  </sheetViews>
  <sheetFormatPr defaultColWidth="11.42578125" defaultRowHeight="15" x14ac:dyDescent="0.25"/>
  <sheetData>
    <row r="22" spans="3:3" x14ac:dyDescent="0.3">
      <c r="C22" t="s">
        <v>23</v>
      </c>
    </row>
    <row r="23" spans="3:3" x14ac:dyDescent="0.3">
      <c r="C23" t="s">
        <v>24</v>
      </c>
    </row>
    <row r="24" spans="3:3" x14ac:dyDescent="0.3">
      <c r="C24" t="s">
        <v>25</v>
      </c>
    </row>
    <row r="25" spans="3:3" x14ac:dyDescent="0.3">
      <c r="C25" t="s">
        <v>26</v>
      </c>
    </row>
    <row r="26" spans="3:3" x14ac:dyDescent="0.3">
      <c r="C26" t="s">
        <v>27</v>
      </c>
    </row>
    <row r="27" spans="3:3" x14ac:dyDescent="0.3">
      <c r="C27" t="s">
        <v>28</v>
      </c>
    </row>
    <row r="28" spans="3:3" x14ac:dyDescent="0.3">
      <c r="C28" t="s">
        <v>29</v>
      </c>
    </row>
    <row r="29" spans="3:3" x14ac:dyDescent="0.3">
      <c r="C29" t="s">
        <v>30</v>
      </c>
    </row>
    <row r="30" spans="3:3" x14ac:dyDescent="0.3">
      <c r="C30" t="s">
        <v>31</v>
      </c>
    </row>
    <row r="31" spans="3:3" x14ac:dyDescent="0.3">
      <c r="C31" t="s">
        <v>32</v>
      </c>
    </row>
    <row r="32" spans="3:3" x14ac:dyDescent="0.3">
      <c r="C32" t="s">
        <v>33</v>
      </c>
    </row>
    <row r="33" spans="3:3" x14ac:dyDescent="0.3">
      <c r="C33" t="s">
        <v>34</v>
      </c>
    </row>
    <row r="34" spans="3:3" x14ac:dyDescent="0.3">
      <c r="C34" t="s">
        <v>35</v>
      </c>
    </row>
    <row r="35" spans="3:3" x14ac:dyDescent="0.3">
      <c r="C35" t="s">
        <v>36</v>
      </c>
    </row>
    <row r="36" spans="3:3" x14ac:dyDescent="0.3">
      <c r="C36" t="s">
        <v>37</v>
      </c>
    </row>
    <row r="37" spans="3:3" x14ac:dyDescent="0.3">
      <c r="C37" t="s">
        <v>38</v>
      </c>
    </row>
    <row r="38" spans="3:3" x14ac:dyDescent="0.3">
      <c r="C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Feuil1</vt:lpstr>
      <vt:lpstr>{AR}21</vt:lpstr>
      <vt:lpstr>{AR}31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2019-01-15T10:04:11Z</dcterms:created>
  <dcterms:modified xsi:type="dcterms:W3CDTF">2022-01-24T10:10:48Z</dcterms:modified>
</cp:coreProperties>
</file>