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9200" windowHeight="7170"/>
  </bookViews>
  <sheets>
    <sheet name="Feuil1" sheetId="4" r:id="rId1"/>
    <sheet name="{AR}21" sheetId="5" state="hidden" r:id="rId2"/>
    <sheet name="{AR}31" sheetId="6" state="hidden" r:id="rId3"/>
  </sheets>
  <definedNames>
    <definedName name="TM1REBUILDOPTION">1</definedName>
    <definedName name="TM1RPTDATARNGARPT1" localSheetId="0">Feuil1!$29:$116</definedName>
    <definedName name="TM1RPTFMTIDCOL" localSheetId="0">Feuil1!$A$1:$A$8</definedName>
    <definedName name="TM1RPTFMTRNG" localSheetId="0">Feuil1!$B$1:$J$8</definedName>
  </definedNames>
  <calcPr calcId="162913" concurrentCalc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6" i="4" l="1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B9" i="4"/>
  <c r="C21" i="4"/>
  <c r="G27" i="4"/>
  <c r="C23" i="4"/>
  <c r="C24" i="4"/>
  <c r="G116" i="4"/>
  <c r="J27" i="4"/>
  <c r="J116" i="4"/>
  <c r="K116" i="4"/>
  <c r="I27" i="4"/>
  <c r="I116" i="4"/>
  <c r="E27" i="4"/>
  <c r="E116" i="4"/>
  <c r="H116" i="4"/>
  <c r="F27" i="4"/>
  <c r="F116" i="4"/>
  <c r="D27" i="4"/>
  <c r="D116" i="4"/>
  <c r="G115" i="4"/>
  <c r="J115" i="4"/>
  <c r="K115" i="4"/>
  <c r="I115" i="4"/>
  <c r="E115" i="4"/>
  <c r="H115" i="4"/>
  <c r="F115" i="4"/>
  <c r="D115" i="4"/>
  <c r="G114" i="4"/>
  <c r="J114" i="4"/>
  <c r="K114" i="4"/>
  <c r="I114" i="4"/>
  <c r="E114" i="4"/>
  <c r="H114" i="4"/>
  <c r="F114" i="4"/>
  <c r="D114" i="4"/>
  <c r="G113" i="4"/>
  <c r="J113" i="4"/>
  <c r="K113" i="4"/>
  <c r="I113" i="4"/>
  <c r="E113" i="4"/>
  <c r="H113" i="4"/>
  <c r="F113" i="4"/>
  <c r="D113" i="4"/>
  <c r="G112" i="4"/>
  <c r="J112" i="4"/>
  <c r="K112" i="4"/>
  <c r="I112" i="4"/>
  <c r="E112" i="4"/>
  <c r="H112" i="4"/>
  <c r="F112" i="4"/>
  <c r="D112" i="4"/>
  <c r="G111" i="4"/>
  <c r="J111" i="4"/>
  <c r="K111" i="4"/>
  <c r="I111" i="4"/>
  <c r="E111" i="4"/>
  <c r="H111" i="4"/>
  <c r="F111" i="4"/>
  <c r="D111" i="4"/>
  <c r="G110" i="4"/>
  <c r="J110" i="4"/>
  <c r="K110" i="4"/>
  <c r="I110" i="4"/>
  <c r="E110" i="4"/>
  <c r="H110" i="4"/>
  <c r="F110" i="4"/>
  <c r="D110" i="4"/>
  <c r="G109" i="4"/>
  <c r="J109" i="4"/>
  <c r="K109" i="4"/>
  <c r="I109" i="4"/>
  <c r="E109" i="4"/>
  <c r="H109" i="4"/>
  <c r="F109" i="4"/>
  <c r="D109" i="4"/>
  <c r="G108" i="4"/>
  <c r="J108" i="4"/>
  <c r="K108" i="4"/>
  <c r="I108" i="4"/>
  <c r="E108" i="4"/>
  <c r="H108" i="4"/>
  <c r="F108" i="4"/>
  <c r="D108" i="4"/>
  <c r="G107" i="4"/>
  <c r="J107" i="4"/>
  <c r="K107" i="4"/>
  <c r="I107" i="4"/>
  <c r="E107" i="4"/>
  <c r="H107" i="4"/>
  <c r="F107" i="4"/>
  <c r="D107" i="4"/>
  <c r="G106" i="4"/>
  <c r="J106" i="4"/>
  <c r="K106" i="4"/>
  <c r="I106" i="4"/>
  <c r="E106" i="4"/>
  <c r="H106" i="4"/>
  <c r="F106" i="4"/>
  <c r="D106" i="4"/>
  <c r="G105" i="4"/>
  <c r="J105" i="4"/>
  <c r="K105" i="4"/>
  <c r="I105" i="4"/>
  <c r="E105" i="4"/>
  <c r="H105" i="4"/>
  <c r="F105" i="4"/>
  <c r="D105" i="4"/>
  <c r="G104" i="4"/>
  <c r="J104" i="4"/>
  <c r="K104" i="4"/>
  <c r="I104" i="4"/>
  <c r="E104" i="4"/>
  <c r="H104" i="4"/>
  <c r="F104" i="4"/>
  <c r="D104" i="4"/>
  <c r="G103" i="4"/>
  <c r="J103" i="4"/>
  <c r="K103" i="4"/>
  <c r="I103" i="4"/>
  <c r="E103" i="4"/>
  <c r="H103" i="4"/>
  <c r="F103" i="4"/>
  <c r="D103" i="4"/>
  <c r="G102" i="4"/>
  <c r="J102" i="4"/>
  <c r="K102" i="4"/>
  <c r="I102" i="4"/>
  <c r="E102" i="4"/>
  <c r="H102" i="4"/>
  <c r="F102" i="4"/>
  <c r="D102" i="4"/>
  <c r="G101" i="4"/>
  <c r="J101" i="4"/>
  <c r="K101" i="4"/>
  <c r="I101" i="4"/>
  <c r="E101" i="4"/>
  <c r="H101" i="4"/>
  <c r="F101" i="4"/>
  <c r="D101" i="4"/>
  <c r="G100" i="4"/>
  <c r="J100" i="4"/>
  <c r="K100" i="4"/>
  <c r="I100" i="4"/>
  <c r="E100" i="4"/>
  <c r="H100" i="4"/>
  <c r="F100" i="4"/>
  <c r="D100" i="4"/>
  <c r="G99" i="4"/>
  <c r="J99" i="4"/>
  <c r="K99" i="4"/>
  <c r="I99" i="4"/>
  <c r="E99" i="4"/>
  <c r="H99" i="4"/>
  <c r="F99" i="4"/>
  <c r="D99" i="4"/>
  <c r="G98" i="4"/>
  <c r="J98" i="4"/>
  <c r="K98" i="4"/>
  <c r="I98" i="4"/>
  <c r="E98" i="4"/>
  <c r="H98" i="4"/>
  <c r="F98" i="4"/>
  <c r="D98" i="4"/>
  <c r="G97" i="4"/>
  <c r="J97" i="4"/>
  <c r="K97" i="4"/>
  <c r="I97" i="4"/>
  <c r="E97" i="4"/>
  <c r="H97" i="4"/>
  <c r="F97" i="4"/>
  <c r="D97" i="4"/>
  <c r="G96" i="4"/>
  <c r="J96" i="4"/>
  <c r="K96" i="4"/>
  <c r="I96" i="4"/>
  <c r="E96" i="4"/>
  <c r="H96" i="4"/>
  <c r="F96" i="4"/>
  <c r="D96" i="4"/>
  <c r="G95" i="4"/>
  <c r="J95" i="4"/>
  <c r="K95" i="4"/>
  <c r="I95" i="4"/>
  <c r="E95" i="4"/>
  <c r="H95" i="4"/>
  <c r="F95" i="4"/>
  <c r="D95" i="4"/>
  <c r="G94" i="4"/>
  <c r="J94" i="4"/>
  <c r="K94" i="4"/>
  <c r="I94" i="4"/>
  <c r="E94" i="4"/>
  <c r="H94" i="4"/>
  <c r="F94" i="4"/>
  <c r="D94" i="4"/>
  <c r="G93" i="4"/>
  <c r="J93" i="4"/>
  <c r="K93" i="4"/>
  <c r="I93" i="4"/>
  <c r="E93" i="4"/>
  <c r="H93" i="4"/>
  <c r="F93" i="4"/>
  <c r="D93" i="4"/>
  <c r="G92" i="4"/>
  <c r="J92" i="4"/>
  <c r="K92" i="4"/>
  <c r="I92" i="4"/>
  <c r="E92" i="4"/>
  <c r="H92" i="4"/>
  <c r="F92" i="4"/>
  <c r="D92" i="4"/>
  <c r="G91" i="4"/>
  <c r="J91" i="4"/>
  <c r="K91" i="4"/>
  <c r="I91" i="4"/>
  <c r="E91" i="4"/>
  <c r="H91" i="4"/>
  <c r="F91" i="4"/>
  <c r="D91" i="4"/>
  <c r="G90" i="4"/>
  <c r="J90" i="4"/>
  <c r="K90" i="4"/>
  <c r="I90" i="4"/>
  <c r="E90" i="4"/>
  <c r="H90" i="4"/>
  <c r="F90" i="4"/>
  <c r="D90" i="4"/>
  <c r="G89" i="4"/>
  <c r="J89" i="4"/>
  <c r="K89" i="4"/>
  <c r="I89" i="4"/>
  <c r="E89" i="4"/>
  <c r="H89" i="4"/>
  <c r="F89" i="4"/>
  <c r="D89" i="4"/>
  <c r="G88" i="4"/>
  <c r="J88" i="4"/>
  <c r="K88" i="4"/>
  <c r="I88" i="4"/>
  <c r="E88" i="4"/>
  <c r="H88" i="4"/>
  <c r="F88" i="4"/>
  <c r="D88" i="4"/>
  <c r="G87" i="4"/>
  <c r="J87" i="4"/>
  <c r="K87" i="4"/>
  <c r="I87" i="4"/>
  <c r="E87" i="4"/>
  <c r="H87" i="4"/>
  <c r="F87" i="4"/>
  <c r="D87" i="4"/>
  <c r="G86" i="4"/>
  <c r="J86" i="4"/>
  <c r="K86" i="4"/>
  <c r="I86" i="4"/>
  <c r="E86" i="4"/>
  <c r="H86" i="4"/>
  <c r="F86" i="4"/>
  <c r="D86" i="4"/>
  <c r="G85" i="4"/>
  <c r="J85" i="4"/>
  <c r="K85" i="4"/>
  <c r="I85" i="4"/>
  <c r="E85" i="4"/>
  <c r="H85" i="4"/>
  <c r="F85" i="4"/>
  <c r="D85" i="4"/>
  <c r="G84" i="4"/>
  <c r="J84" i="4"/>
  <c r="K84" i="4"/>
  <c r="I84" i="4"/>
  <c r="E84" i="4"/>
  <c r="H84" i="4"/>
  <c r="F84" i="4"/>
  <c r="D84" i="4"/>
  <c r="G83" i="4"/>
  <c r="J83" i="4"/>
  <c r="K83" i="4"/>
  <c r="I83" i="4"/>
  <c r="E83" i="4"/>
  <c r="H83" i="4"/>
  <c r="F83" i="4"/>
  <c r="D83" i="4"/>
  <c r="G82" i="4"/>
  <c r="J82" i="4"/>
  <c r="K82" i="4"/>
  <c r="I82" i="4"/>
  <c r="E82" i="4"/>
  <c r="H82" i="4"/>
  <c r="F82" i="4"/>
  <c r="D82" i="4"/>
  <c r="G81" i="4"/>
  <c r="J81" i="4"/>
  <c r="K81" i="4"/>
  <c r="I81" i="4"/>
  <c r="E81" i="4"/>
  <c r="H81" i="4"/>
  <c r="F81" i="4"/>
  <c r="D81" i="4"/>
  <c r="G80" i="4"/>
  <c r="J80" i="4"/>
  <c r="K80" i="4"/>
  <c r="I80" i="4"/>
  <c r="E80" i="4"/>
  <c r="H80" i="4"/>
  <c r="F80" i="4"/>
  <c r="D80" i="4"/>
  <c r="G79" i="4"/>
  <c r="J79" i="4"/>
  <c r="K79" i="4"/>
  <c r="I79" i="4"/>
  <c r="E79" i="4"/>
  <c r="H79" i="4"/>
  <c r="F79" i="4"/>
  <c r="D79" i="4"/>
  <c r="G78" i="4"/>
  <c r="J78" i="4"/>
  <c r="K78" i="4"/>
  <c r="I78" i="4"/>
  <c r="E78" i="4"/>
  <c r="H78" i="4"/>
  <c r="F78" i="4"/>
  <c r="D78" i="4"/>
  <c r="G77" i="4"/>
  <c r="J77" i="4"/>
  <c r="K77" i="4"/>
  <c r="I77" i="4"/>
  <c r="E77" i="4"/>
  <c r="H77" i="4"/>
  <c r="F77" i="4"/>
  <c r="D77" i="4"/>
  <c r="G76" i="4"/>
  <c r="J76" i="4"/>
  <c r="K76" i="4"/>
  <c r="I76" i="4"/>
  <c r="E76" i="4"/>
  <c r="H76" i="4"/>
  <c r="F76" i="4"/>
  <c r="D76" i="4"/>
  <c r="G75" i="4"/>
  <c r="J75" i="4"/>
  <c r="K75" i="4"/>
  <c r="I75" i="4"/>
  <c r="E75" i="4"/>
  <c r="H75" i="4"/>
  <c r="F75" i="4"/>
  <c r="D75" i="4"/>
  <c r="G74" i="4"/>
  <c r="J74" i="4"/>
  <c r="K74" i="4"/>
  <c r="I74" i="4"/>
  <c r="E74" i="4"/>
  <c r="H74" i="4"/>
  <c r="F74" i="4"/>
  <c r="D74" i="4"/>
  <c r="G73" i="4"/>
  <c r="J73" i="4"/>
  <c r="K73" i="4"/>
  <c r="I73" i="4"/>
  <c r="E73" i="4"/>
  <c r="H73" i="4"/>
  <c r="F73" i="4"/>
  <c r="D73" i="4"/>
  <c r="G72" i="4"/>
  <c r="J72" i="4"/>
  <c r="K72" i="4"/>
  <c r="I72" i="4"/>
  <c r="E72" i="4"/>
  <c r="H72" i="4"/>
  <c r="F72" i="4"/>
  <c r="D72" i="4"/>
  <c r="G71" i="4"/>
  <c r="J71" i="4"/>
  <c r="K71" i="4"/>
  <c r="I71" i="4"/>
  <c r="E71" i="4"/>
  <c r="H71" i="4"/>
  <c r="F71" i="4"/>
  <c r="D71" i="4"/>
  <c r="G70" i="4"/>
  <c r="J70" i="4"/>
  <c r="K70" i="4"/>
  <c r="I70" i="4"/>
  <c r="E70" i="4"/>
  <c r="H70" i="4"/>
  <c r="F70" i="4"/>
  <c r="D70" i="4"/>
  <c r="G69" i="4"/>
  <c r="J69" i="4"/>
  <c r="K69" i="4"/>
  <c r="I69" i="4"/>
  <c r="E69" i="4"/>
  <c r="H69" i="4"/>
  <c r="F69" i="4"/>
  <c r="D69" i="4"/>
  <c r="G68" i="4"/>
  <c r="J68" i="4"/>
  <c r="K68" i="4"/>
  <c r="I68" i="4"/>
  <c r="E68" i="4"/>
  <c r="H68" i="4"/>
  <c r="F68" i="4"/>
  <c r="D68" i="4"/>
  <c r="G67" i="4"/>
  <c r="J67" i="4"/>
  <c r="K67" i="4"/>
  <c r="I67" i="4"/>
  <c r="E67" i="4"/>
  <c r="H67" i="4"/>
  <c r="F67" i="4"/>
  <c r="D67" i="4"/>
  <c r="G66" i="4"/>
  <c r="J66" i="4"/>
  <c r="K66" i="4"/>
  <c r="I66" i="4"/>
  <c r="E66" i="4"/>
  <c r="H66" i="4"/>
  <c r="F66" i="4"/>
  <c r="D66" i="4"/>
  <c r="G65" i="4"/>
  <c r="J65" i="4"/>
  <c r="K65" i="4"/>
  <c r="I65" i="4"/>
  <c r="E65" i="4"/>
  <c r="H65" i="4"/>
  <c r="F65" i="4"/>
  <c r="D65" i="4"/>
  <c r="G64" i="4"/>
  <c r="J64" i="4"/>
  <c r="K64" i="4"/>
  <c r="I64" i="4"/>
  <c r="E64" i="4"/>
  <c r="H64" i="4"/>
  <c r="F64" i="4"/>
  <c r="D64" i="4"/>
  <c r="G63" i="4"/>
  <c r="J63" i="4"/>
  <c r="K63" i="4"/>
  <c r="I63" i="4"/>
  <c r="E63" i="4"/>
  <c r="H63" i="4"/>
  <c r="F63" i="4"/>
  <c r="D63" i="4"/>
  <c r="G62" i="4"/>
  <c r="J62" i="4"/>
  <c r="K62" i="4"/>
  <c r="I62" i="4"/>
  <c r="E62" i="4"/>
  <c r="H62" i="4"/>
  <c r="F62" i="4"/>
  <c r="D62" i="4"/>
  <c r="G61" i="4"/>
  <c r="J61" i="4"/>
  <c r="K61" i="4"/>
  <c r="I61" i="4"/>
  <c r="E61" i="4"/>
  <c r="H61" i="4"/>
  <c r="F61" i="4"/>
  <c r="D61" i="4"/>
  <c r="G60" i="4"/>
  <c r="J60" i="4"/>
  <c r="K60" i="4"/>
  <c r="I60" i="4"/>
  <c r="E60" i="4"/>
  <c r="H60" i="4"/>
  <c r="F60" i="4"/>
  <c r="D60" i="4"/>
  <c r="G59" i="4"/>
  <c r="J59" i="4"/>
  <c r="K59" i="4"/>
  <c r="I59" i="4"/>
  <c r="E59" i="4"/>
  <c r="H59" i="4"/>
  <c r="F59" i="4"/>
  <c r="D59" i="4"/>
  <c r="G58" i="4"/>
  <c r="J58" i="4"/>
  <c r="K58" i="4"/>
  <c r="I58" i="4"/>
  <c r="E58" i="4"/>
  <c r="H58" i="4"/>
  <c r="F58" i="4"/>
  <c r="D58" i="4"/>
  <c r="G57" i="4"/>
  <c r="J57" i="4"/>
  <c r="K57" i="4"/>
  <c r="I57" i="4"/>
  <c r="E57" i="4"/>
  <c r="H57" i="4"/>
  <c r="F57" i="4"/>
  <c r="D57" i="4"/>
  <c r="G56" i="4"/>
  <c r="J56" i="4"/>
  <c r="K56" i="4"/>
  <c r="I56" i="4"/>
  <c r="E56" i="4"/>
  <c r="H56" i="4"/>
  <c r="F56" i="4"/>
  <c r="D56" i="4"/>
  <c r="G55" i="4"/>
  <c r="J55" i="4"/>
  <c r="K55" i="4"/>
  <c r="I55" i="4"/>
  <c r="E55" i="4"/>
  <c r="H55" i="4"/>
  <c r="F55" i="4"/>
  <c r="D55" i="4"/>
  <c r="G54" i="4"/>
  <c r="J54" i="4"/>
  <c r="K54" i="4"/>
  <c r="I54" i="4"/>
  <c r="E54" i="4"/>
  <c r="H54" i="4"/>
  <c r="F54" i="4"/>
  <c r="D54" i="4"/>
  <c r="G53" i="4"/>
  <c r="J53" i="4"/>
  <c r="K53" i="4"/>
  <c r="I53" i="4"/>
  <c r="E53" i="4"/>
  <c r="H53" i="4"/>
  <c r="F53" i="4"/>
  <c r="D53" i="4"/>
  <c r="G52" i="4"/>
  <c r="J52" i="4"/>
  <c r="K52" i="4"/>
  <c r="I52" i="4"/>
  <c r="E52" i="4"/>
  <c r="H52" i="4"/>
  <c r="F52" i="4"/>
  <c r="D52" i="4"/>
  <c r="G51" i="4"/>
  <c r="J51" i="4"/>
  <c r="K51" i="4"/>
  <c r="I51" i="4"/>
  <c r="E51" i="4"/>
  <c r="H51" i="4"/>
  <c r="F51" i="4"/>
  <c r="D51" i="4"/>
  <c r="G50" i="4"/>
  <c r="J50" i="4"/>
  <c r="K50" i="4"/>
  <c r="I50" i="4"/>
  <c r="E50" i="4"/>
  <c r="H50" i="4"/>
  <c r="F50" i="4"/>
  <c r="D50" i="4"/>
  <c r="G49" i="4"/>
  <c r="J49" i="4"/>
  <c r="K49" i="4"/>
  <c r="I49" i="4"/>
  <c r="E49" i="4"/>
  <c r="H49" i="4"/>
  <c r="F49" i="4"/>
  <c r="D49" i="4"/>
  <c r="G48" i="4"/>
  <c r="J48" i="4"/>
  <c r="K48" i="4"/>
  <c r="I48" i="4"/>
  <c r="E48" i="4"/>
  <c r="H48" i="4"/>
  <c r="F48" i="4"/>
  <c r="D48" i="4"/>
  <c r="G47" i="4"/>
  <c r="J47" i="4"/>
  <c r="K47" i="4"/>
  <c r="I47" i="4"/>
  <c r="E47" i="4"/>
  <c r="H47" i="4"/>
  <c r="F47" i="4"/>
  <c r="D47" i="4"/>
  <c r="G46" i="4"/>
  <c r="J46" i="4"/>
  <c r="K46" i="4"/>
  <c r="I46" i="4"/>
  <c r="E46" i="4"/>
  <c r="H46" i="4"/>
  <c r="F46" i="4"/>
  <c r="D46" i="4"/>
  <c r="G45" i="4"/>
  <c r="J45" i="4"/>
  <c r="K45" i="4"/>
  <c r="I45" i="4"/>
  <c r="E45" i="4"/>
  <c r="H45" i="4"/>
  <c r="F45" i="4"/>
  <c r="D45" i="4"/>
  <c r="G44" i="4"/>
  <c r="J44" i="4"/>
  <c r="K44" i="4"/>
  <c r="I44" i="4"/>
  <c r="E44" i="4"/>
  <c r="H44" i="4"/>
  <c r="F44" i="4"/>
  <c r="D44" i="4"/>
  <c r="G43" i="4"/>
  <c r="J43" i="4"/>
  <c r="K43" i="4"/>
  <c r="I43" i="4"/>
  <c r="E43" i="4"/>
  <c r="H43" i="4"/>
  <c r="F43" i="4"/>
  <c r="D43" i="4"/>
  <c r="G42" i="4"/>
  <c r="J42" i="4"/>
  <c r="K42" i="4"/>
  <c r="I42" i="4"/>
  <c r="E42" i="4"/>
  <c r="H42" i="4"/>
  <c r="F42" i="4"/>
  <c r="D42" i="4"/>
  <c r="G41" i="4"/>
  <c r="J41" i="4"/>
  <c r="K41" i="4"/>
  <c r="I41" i="4"/>
  <c r="E41" i="4"/>
  <c r="H41" i="4"/>
  <c r="F41" i="4"/>
  <c r="D41" i="4"/>
  <c r="G40" i="4"/>
  <c r="J40" i="4"/>
  <c r="K40" i="4"/>
  <c r="I40" i="4"/>
  <c r="E40" i="4"/>
  <c r="H40" i="4"/>
  <c r="F40" i="4"/>
  <c r="D40" i="4"/>
  <c r="G39" i="4"/>
  <c r="J39" i="4"/>
  <c r="K39" i="4"/>
  <c r="I39" i="4"/>
  <c r="E39" i="4"/>
  <c r="H39" i="4"/>
  <c r="F39" i="4"/>
  <c r="D39" i="4"/>
  <c r="G38" i="4"/>
  <c r="J38" i="4"/>
  <c r="K38" i="4"/>
  <c r="I38" i="4"/>
  <c r="E38" i="4"/>
  <c r="H38" i="4"/>
  <c r="F38" i="4"/>
  <c r="D38" i="4"/>
  <c r="G37" i="4"/>
  <c r="J37" i="4"/>
  <c r="K37" i="4"/>
  <c r="I37" i="4"/>
  <c r="E37" i="4"/>
  <c r="H37" i="4"/>
  <c r="F37" i="4"/>
  <c r="D37" i="4"/>
  <c r="G36" i="4"/>
  <c r="J36" i="4"/>
  <c r="K36" i="4"/>
  <c r="I36" i="4"/>
  <c r="E36" i="4"/>
  <c r="H36" i="4"/>
  <c r="F36" i="4"/>
  <c r="D36" i="4"/>
  <c r="G35" i="4"/>
  <c r="J35" i="4"/>
  <c r="K35" i="4"/>
  <c r="I35" i="4"/>
  <c r="E35" i="4"/>
  <c r="H35" i="4"/>
  <c r="F35" i="4"/>
  <c r="D35" i="4"/>
  <c r="G34" i="4"/>
  <c r="J34" i="4"/>
  <c r="K34" i="4"/>
  <c r="I34" i="4"/>
  <c r="E34" i="4"/>
  <c r="H34" i="4"/>
  <c r="F34" i="4"/>
  <c r="D34" i="4"/>
  <c r="G33" i="4"/>
  <c r="J33" i="4"/>
  <c r="K33" i="4"/>
  <c r="I33" i="4"/>
  <c r="E33" i="4"/>
  <c r="H33" i="4"/>
  <c r="F33" i="4"/>
  <c r="D33" i="4"/>
  <c r="G32" i="4"/>
  <c r="J32" i="4"/>
  <c r="K32" i="4"/>
  <c r="I32" i="4"/>
  <c r="E32" i="4"/>
  <c r="H32" i="4"/>
  <c r="F32" i="4"/>
  <c r="D32" i="4"/>
  <c r="G31" i="4"/>
  <c r="J31" i="4"/>
  <c r="K31" i="4"/>
  <c r="I31" i="4"/>
  <c r="E31" i="4"/>
  <c r="H31" i="4"/>
  <c r="F31" i="4"/>
  <c r="D31" i="4"/>
  <c r="G30" i="4"/>
  <c r="J30" i="4"/>
  <c r="K30" i="4"/>
  <c r="I30" i="4"/>
  <c r="E30" i="4"/>
  <c r="H30" i="4"/>
  <c r="F30" i="4"/>
  <c r="D30" i="4"/>
  <c r="C29" i="4"/>
  <c r="B29" i="4"/>
  <c r="J29" i="4"/>
  <c r="I29" i="4"/>
  <c r="F29" i="4"/>
  <c r="G29" i="4"/>
  <c r="E29" i="4"/>
  <c r="D29" i="4"/>
  <c r="K29" i="4"/>
  <c r="H29" i="4"/>
  <c r="A29" i="4"/>
  <c r="A5" i="4"/>
  <c r="A4" i="4"/>
  <c r="A3" i="4"/>
  <c r="A2" i="4"/>
</calcChain>
</file>

<file path=xl/sharedStrings.xml><?xml version="1.0" encoding="utf-8"?>
<sst xmlns="http://schemas.openxmlformats.org/spreadsheetml/2006/main" count="212" uniqueCount="32">
  <si>
    <t>Month</t>
  </si>
  <si>
    <t>Allocation</t>
  </si>
  <si>
    <t>Customer_Supplier</t>
  </si>
  <si>
    <t>QTY</t>
  </si>
  <si>
    <t>SALES</t>
  </si>
  <si>
    <t>KUHN UKRAINE</t>
  </si>
  <si>
    <t>KUHN POLAND</t>
  </si>
  <si>
    <t>KUHN ITALY</t>
  </si>
  <si>
    <t>KUHN AUSTRALIA</t>
  </si>
  <si>
    <t>KUHN SPAIN</t>
  </si>
  <si>
    <t>KUHN GERMANY</t>
  </si>
  <si>
    <t>KUHN UK</t>
  </si>
  <si>
    <t>KUHN CHINA</t>
  </si>
  <si>
    <t>D</t>
  </si>
  <si>
    <t>N</t>
  </si>
  <si>
    <t>[Begin Format Range]</t>
  </si>
  <si>
    <t>[End Format Range]</t>
  </si>
  <si>
    <t>KUHN RUSSIA</t>
  </si>
  <si>
    <t>SALES %</t>
  </si>
  <si>
    <t>N-1</t>
  </si>
  <si>
    <t>Attention! All values are in Local Currency!</t>
  </si>
  <si>
    <t>KUHN BRAZIL</t>
  </si>
  <si>
    <t>KAU Forecast and Budget per BUD</t>
  </si>
  <si>
    <t>KUHN MONTANA</t>
  </si>
  <si>
    <t>L - CDE - Bedding &amp; Feeding</t>
  </si>
  <si>
    <t>F - BAC - Offset arm Verge Shredders</t>
  </si>
  <si>
    <t>F - FD - Hedge and Grass Cutters</t>
  </si>
  <si>
    <t>F - BAV - Rotary Toppers</t>
  </si>
  <si>
    <t>F - DES - Silage Cutters</t>
  </si>
  <si>
    <t>F - EUR - TMR Mixers</t>
  </si>
  <si>
    <t>F - SP - Self-Propelled TMR Mixers</t>
  </si>
  <si>
    <t>F - PPD - Straw Blowers &amp; Feeders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</si>
</sst>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+ &quot;@"/>
    <numFmt numFmtId="165" formatCode="&quot;- &quot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rgb="FFBDD6E7"/>
      <name val="Calibri"/>
      <family val="2"/>
      <scheme val="minor"/>
    </font>
    <font>
      <sz val="11"/>
      <color rgb="FFBDD6E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6" fillId="2" borderId="0" xfId="1" applyFont="1" applyFill="1"/>
    <xf numFmtId="0" fontId="0" fillId="4" borderId="0" xfId="0" applyFill="1"/>
    <xf numFmtId="3" fontId="6" fillId="2" borderId="0" xfId="0" applyNumberFormat="1" applyFont="1" applyFill="1" applyBorder="1"/>
    <xf numFmtId="3" fontId="6" fillId="3" borderId="0" xfId="0" applyNumberFormat="1" applyFont="1" applyFill="1" applyBorder="1"/>
    <xf numFmtId="3" fontId="6" fillId="6" borderId="0" xfId="0" applyNumberFormat="1" applyFont="1" applyFill="1" applyBorder="1"/>
    <xf numFmtId="3" fontId="6" fillId="7" borderId="0" xfId="0" applyNumberFormat="1" applyFont="1" applyFill="1" applyBorder="1"/>
    <xf numFmtId="3" fontId="6" fillId="3" borderId="2" xfId="0" applyNumberFormat="1" applyFont="1" applyFill="1" applyBorder="1"/>
    <xf numFmtId="3" fontId="6" fillId="7" borderId="2" xfId="0" applyNumberFormat="1" applyFont="1" applyFill="1" applyBorder="1"/>
    <xf numFmtId="3" fontId="6" fillId="6" borderId="2" xfId="0" applyNumberFormat="1" applyFont="1" applyFill="1" applyBorder="1"/>
    <xf numFmtId="3" fontId="6" fillId="2" borderId="2" xfId="0" applyNumberFormat="1" applyFont="1" applyFill="1" applyBorder="1"/>
    <xf numFmtId="3" fontId="6" fillId="3" borderId="3" xfId="0" applyNumberFormat="1" applyFont="1" applyFill="1" applyBorder="1"/>
    <xf numFmtId="3" fontId="6" fillId="6" borderId="3" xfId="0" applyNumberFormat="1" applyFont="1" applyFill="1" applyBorder="1"/>
    <xf numFmtId="3" fontId="6" fillId="7" borderId="3" xfId="0" applyNumberFormat="1" applyFont="1" applyFill="1" applyBorder="1"/>
    <xf numFmtId="9" fontId="6" fillId="2" borderId="4" xfId="1" applyFont="1" applyFill="1" applyBorder="1"/>
    <xf numFmtId="9" fontId="6" fillId="3" borderId="4" xfId="1" applyFont="1" applyFill="1" applyBorder="1"/>
    <xf numFmtId="9" fontId="6" fillId="6" borderId="4" xfId="1" applyFont="1" applyFill="1" applyBorder="1"/>
    <xf numFmtId="9" fontId="6" fillId="7" borderId="4" xfId="1" applyFont="1" applyFill="1" applyBorder="1"/>
    <xf numFmtId="9" fontId="6" fillId="0" borderId="4" xfId="1" applyFont="1" applyBorder="1"/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0" fillId="4" borderId="1" xfId="0" applyFill="1" applyBorder="1"/>
    <xf numFmtId="0" fontId="8" fillId="4" borderId="11" xfId="0" applyFont="1" applyFill="1" applyBorder="1"/>
    <xf numFmtId="0" fontId="0" fillId="4" borderId="12" xfId="0" applyFill="1" applyBorder="1"/>
    <xf numFmtId="3" fontId="6" fillId="2" borderId="3" xfId="0" applyNumberFormat="1" applyFont="1" applyFill="1" applyBorder="1"/>
    <xf numFmtId="0" fontId="0" fillId="0" borderId="0" xfId="0" applyBorder="1"/>
    <xf numFmtId="3" fontId="6" fillId="0" borderId="3" xfId="0" applyNumberFormat="1" applyFont="1" applyBorder="1"/>
    <xf numFmtId="3" fontId="6" fillId="0" borderId="2" xfId="0" applyNumberFormat="1" applyFont="1" applyBorder="1"/>
    <xf numFmtId="3" fontId="6" fillId="0" borderId="0" xfId="0" applyNumberFormat="1" applyFont="1" applyBorder="1"/>
    <xf numFmtId="0" fontId="0" fillId="4" borderId="0" xfId="0" applyFill="1" applyBorder="1"/>
    <xf numFmtId="0" fontId="0" fillId="2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Border="1"/>
    <xf numFmtId="0" fontId="3" fillId="2" borderId="0" xfId="0" applyFont="1" applyFill="1" applyBorder="1"/>
    <xf numFmtId="0" fontId="0" fillId="2" borderId="0" xfId="0" applyFill="1" applyBorder="1"/>
    <xf numFmtId="49" fontId="3" fillId="2" borderId="0" xfId="0" applyNumberFormat="1" applyFont="1" applyFill="1" applyBorder="1" applyAlignment="1"/>
    <xf numFmtId="164" fontId="0" fillId="2" borderId="2" xfId="0" applyNumberFormat="1" applyFill="1" applyBorder="1" applyAlignment="1"/>
    <xf numFmtId="165" fontId="0" fillId="2" borderId="2" xfId="0" applyNumberFormat="1" applyFill="1" applyBorder="1" applyAlignment="1"/>
    <xf numFmtId="164" fontId="0" fillId="3" borderId="2" xfId="0" applyNumberFormat="1" applyFill="1" applyBorder="1" applyAlignment="1">
      <alignment horizontal="left" indent="1"/>
    </xf>
    <xf numFmtId="49" fontId="9" fillId="2" borderId="0" xfId="0" applyNumberFormat="1" applyFont="1" applyFill="1" applyBorder="1" applyAlignment="1"/>
    <xf numFmtId="49" fontId="10" fillId="2" borderId="0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15241</xdr:rowOff>
    </xdr:from>
    <xdr:to>
      <xdr:col>9</xdr:col>
      <xdr:colOff>777241</xdr:colOff>
      <xdr:row>14</xdr:row>
      <xdr:rowOff>86363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1"/>
          <a:ext cx="12885420" cy="10083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M307"/>
  <sheetViews>
    <sheetView showGridLines="0" tabSelected="1" topLeftCell="B10" workbookViewId="0">
      <selection activeCell="B9" sqref="A9:XFD9"/>
    </sheetView>
  </sheetViews>
  <sheetFormatPr defaultColWidth="0" defaultRowHeight="15" zeroHeight="1" x14ac:dyDescent="0.25"/>
  <cols>
    <col min="1" max="1" width="18.7109375" hidden="1" customWidth="1"/>
    <col min="2" max="2" width="31.85546875" customWidth="1"/>
    <col min="3" max="3" width="45.7109375" customWidth="1"/>
    <col min="4" max="7" width="17.140625" customWidth="1"/>
    <col min="8" max="8" width="13.28515625" customWidth="1"/>
    <col min="9" max="10" width="17.140625" customWidth="1"/>
    <col min="11" max="11" width="13.28515625" customWidth="1"/>
    <col min="12" max="12" width="0.85546875" customWidth="1"/>
    <col min="13" max="1001" width="0" hidden="1" customWidth="1"/>
    <col min="1002" max="16384" width="11.5703125" hidden="1"/>
  </cols>
  <sheetData>
    <row r="1" spans="1:11" ht="16.149999999999999" hidden="1" customHeight="1" x14ac:dyDescent="0.25">
      <c r="A1" t="s">
        <v>15</v>
      </c>
      <c r="D1" s="33"/>
      <c r="E1" s="33"/>
      <c r="F1" s="33"/>
      <c r="G1" s="33"/>
      <c r="I1" s="33"/>
      <c r="J1" s="33"/>
    </row>
    <row r="2" spans="1:11" ht="16.149999999999999" hidden="1" customHeight="1" x14ac:dyDescent="0.25">
      <c r="A2">
        <f>0</f>
        <v>0</v>
      </c>
      <c r="B2" s="43"/>
      <c r="C2" s="38"/>
      <c r="D2" s="3"/>
      <c r="E2" s="10"/>
      <c r="F2" s="32"/>
      <c r="G2" s="3"/>
      <c r="H2" s="14"/>
      <c r="I2" s="3"/>
      <c r="J2" s="3"/>
      <c r="K2" s="14"/>
    </row>
    <row r="3" spans="1:11" ht="16.149999999999999" hidden="1" customHeight="1" x14ac:dyDescent="0.25">
      <c r="A3">
        <f>1</f>
        <v>1</v>
      </c>
      <c r="B3" s="44"/>
      <c r="C3" s="39"/>
      <c r="D3" s="4"/>
      <c r="E3" s="7"/>
      <c r="F3" s="11"/>
      <c r="G3" s="4"/>
      <c r="H3" s="15"/>
      <c r="I3" s="4"/>
      <c r="J3" s="4"/>
      <c r="K3" s="15"/>
    </row>
    <row r="4" spans="1:11" ht="16.149999999999999" hidden="1" customHeight="1" x14ac:dyDescent="0.25">
      <c r="A4">
        <f>2</f>
        <v>2</v>
      </c>
      <c r="B4" s="44"/>
      <c r="C4" s="40"/>
      <c r="D4" s="5"/>
      <c r="E4" s="9"/>
      <c r="F4" s="12"/>
      <c r="G4" s="5"/>
      <c r="H4" s="16"/>
      <c r="I4" s="5"/>
      <c r="J4" s="5"/>
      <c r="K4" s="16"/>
    </row>
    <row r="5" spans="1:11" ht="16.149999999999999" hidden="1" customHeight="1" x14ac:dyDescent="0.25">
      <c r="A5">
        <f>3</f>
        <v>3</v>
      </c>
      <c r="B5" s="44"/>
      <c r="C5" s="41"/>
      <c r="D5" s="6"/>
      <c r="E5" s="8"/>
      <c r="F5" s="13"/>
      <c r="G5" s="6"/>
      <c r="H5" s="17"/>
      <c r="I5" s="6"/>
      <c r="J5" s="6"/>
      <c r="K5" s="17"/>
    </row>
    <row r="6" spans="1:11" ht="16.149999999999999" hidden="1" customHeight="1" x14ac:dyDescent="0.25">
      <c r="A6" t="s">
        <v>13</v>
      </c>
      <c r="B6" s="44"/>
      <c r="C6" s="39"/>
      <c r="D6" s="4"/>
      <c r="E6" s="7"/>
      <c r="F6" s="11"/>
      <c r="G6" s="4"/>
      <c r="H6" s="15"/>
      <c r="I6" s="4"/>
      <c r="J6" s="4"/>
      <c r="K6" s="15"/>
    </row>
    <row r="7" spans="1:11" ht="16.149999999999999" hidden="1" customHeight="1" x14ac:dyDescent="0.25">
      <c r="A7" t="s">
        <v>14</v>
      </c>
      <c r="B7" s="44"/>
      <c r="C7" s="42"/>
      <c r="D7" s="34"/>
      <c r="E7" s="35"/>
      <c r="F7" s="34"/>
      <c r="G7" s="36"/>
      <c r="H7" s="18"/>
      <c r="I7" s="36"/>
      <c r="J7" s="36"/>
      <c r="K7" s="18"/>
    </row>
    <row r="8" spans="1:11" ht="16.149999999999999" hidden="1" customHeight="1" x14ac:dyDescent="0.25">
      <c r="A8" t="s">
        <v>16</v>
      </c>
      <c r="B8" s="2"/>
      <c r="C8" s="2"/>
      <c r="D8" s="37"/>
      <c r="E8" s="37"/>
      <c r="F8" s="37"/>
      <c r="G8" s="37"/>
      <c r="H8" s="2"/>
      <c r="I8" s="37"/>
      <c r="J8" s="37"/>
      <c r="K8" s="2"/>
    </row>
    <row r="9" spans="1:11" ht="16.149999999999999" hidden="1" customHeight="1" x14ac:dyDescent="0.25">
      <c r="B9" s="2" t="str">
        <f ca="1">_xll.TM1RPTVIEW("CXMD:FTM_DATA_MARGIN:ARPT1", 0,_xll.TM1RPTTITLE("CXMD:Month",$C$21), _xll.TM1RPTTITLE("CXMD:DIM_Allocation",$C$23), _xll.TM1RPTTITLE("CXMD:DIM_Customer_Supplier",$C$24),TM1RPTFMTRNG,TM1RPTFMTIDCOL)</f>
        <v>CXMD:FTM_DATA_MARGIN:ARPT1</v>
      </c>
      <c r="C9" s="2"/>
      <c r="D9" s="2"/>
      <c r="E9" s="2"/>
      <c r="F9" s="2"/>
      <c r="G9" s="2"/>
      <c r="H9" s="2"/>
      <c r="I9" s="2"/>
      <c r="J9" s="2"/>
      <c r="K9" s="2"/>
    </row>
    <row r="10" spans="1:11" ht="16.149999999999999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9.5" x14ac:dyDescent="0.3">
      <c r="B16" s="27" t="s">
        <v>22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hidden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B18" s="25"/>
      <c r="C18" s="26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B19" s="25"/>
      <c r="C19" s="26"/>
      <c r="D19" s="2"/>
      <c r="E19" s="2"/>
      <c r="F19" s="2"/>
      <c r="G19" s="2"/>
      <c r="H19" s="2"/>
      <c r="I19" s="2"/>
      <c r="J19" s="2"/>
      <c r="K19" s="2"/>
    </row>
    <row r="20" spans="1:11" hidden="1" x14ac:dyDescent="0.25">
      <c r="B20" s="25"/>
      <c r="C20" s="28"/>
      <c r="D20" s="2"/>
      <c r="E20" s="2"/>
      <c r="F20" s="2"/>
      <c r="G20" s="2"/>
      <c r="H20" s="2"/>
      <c r="I20" s="2"/>
      <c r="J20" s="2"/>
      <c r="K20" s="2"/>
    </row>
    <row r="21" spans="1:11" hidden="1" x14ac:dyDescent="0.25">
      <c r="B21" s="25" t="s">
        <v>0</v>
      </c>
      <c r="C21" s="26" t="str">
        <f ca="1">_xll.SUBNM("CXMD:Month","","Total_Month")</f>
        <v>Total_Month</v>
      </c>
      <c r="D21" s="2"/>
      <c r="E21" s="2"/>
      <c r="F21" s="2"/>
      <c r="G21" s="2"/>
      <c r="H21" s="2"/>
      <c r="I21" s="2"/>
      <c r="J21" s="2"/>
      <c r="K21" s="2"/>
    </row>
    <row r="22" spans="1:11" hidden="1" x14ac:dyDescent="0.25">
      <c r="B22" s="25"/>
      <c r="C22" s="26"/>
      <c r="D22" s="2"/>
      <c r="E22" s="2"/>
      <c r="F22" s="2"/>
      <c r="G22" s="2"/>
      <c r="H22" s="2"/>
      <c r="I22" s="2"/>
      <c r="J22" s="2"/>
      <c r="K22" s="2"/>
    </row>
    <row r="23" spans="1:11" hidden="1" x14ac:dyDescent="0.25">
      <c r="B23" s="25" t="s">
        <v>1</v>
      </c>
      <c r="C23" s="26" t="str">
        <f ca="1">_xll.SUBNM("CXMD:DIM_Allocation","","Total Allocation")</f>
        <v>Total Allocation</v>
      </c>
      <c r="D23" s="2"/>
      <c r="E23" s="2"/>
      <c r="F23" s="2"/>
      <c r="G23" s="2"/>
      <c r="H23" s="2"/>
      <c r="I23" s="2"/>
      <c r="J23" s="2"/>
      <c r="K23" s="2"/>
    </row>
    <row r="24" spans="1:11" hidden="1" x14ac:dyDescent="0.25">
      <c r="B24" s="25" t="s">
        <v>2</v>
      </c>
      <c r="C24" s="26" t="str">
        <f ca="1">_xll.SUBNM("CXMD:DIM_Customer_Supplier","","Others")</f>
        <v>Others</v>
      </c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B25" s="29"/>
      <c r="C25" s="29"/>
      <c r="D25" s="2"/>
      <c r="E25" s="2"/>
      <c r="F25" s="2"/>
      <c r="G25" s="2"/>
      <c r="H25" s="2"/>
      <c r="I25" s="2"/>
      <c r="J25" s="2"/>
      <c r="K25" s="2"/>
    </row>
    <row r="26" spans="1:11" ht="18.75" thickTop="1" thickBot="1" x14ac:dyDescent="0.35">
      <c r="B26" s="30" t="s">
        <v>20</v>
      </c>
      <c r="C26" s="31"/>
      <c r="D26" s="2"/>
      <c r="E26" s="2"/>
      <c r="F26" s="2"/>
      <c r="G26" s="2"/>
      <c r="H26" s="2"/>
      <c r="I26" s="2"/>
      <c r="J26" s="2"/>
      <c r="K26" s="2"/>
    </row>
    <row r="27" spans="1:11" ht="15.75" thickTop="1" x14ac:dyDescent="0.25">
      <c r="B27" s="2"/>
      <c r="C27" s="2"/>
      <c r="D27" s="19" t="str">
        <f ca="1">_xll.SUBNM("CXMD:Actuality","Actuality_PREV_MARGIN","AC2017","Description EN")</f>
        <v>AC2017</v>
      </c>
      <c r="E27" s="19" t="str">
        <f ca="1">_xll.SUBNM("CXMD:Actuality","Actuality_PREV_MARGIN","AC2017","Description EN")</f>
        <v>AC2017</v>
      </c>
      <c r="F27" s="19" t="str">
        <f ca="1">_xll.SUBNM("CXMD:Actuality","Actuality_PREV_MARGIN","FC3_2018","Description EN")</f>
        <v>FC3_2018</v>
      </c>
      <c r="G27" s="19" t="str">
        <f ca="1">_xll.SUBNM("CXMD:Actuality","Actuality_PREV_MARGIN","FC3_2018","Description EN")</f>
        <v>FC3_2018</v>
      </c>
      <c r="H27" s="23" t="s">
        <v>18</v>
      </c>
      <c r="I27" s="19" t="str">
        <f ca="1">_xll.SUBNM("CXMD:Actuality","Actuality_PREV_MARGIN","BU2019Draft","Description EN")</f>
        <v>BU2019draft</v>
      </c>
      <c r="J27" s="19" t="str">
        <f ca="1">_xll.SUBNM("CXMD:Actuality","Actuality_PREV_MARGIN","BU2019Draft","Description EN")</f>
        <v>BU2019draft</v>
      </c>
      <c r="K27" s="23" t="s">
        <v>18</v>
      </c>
    </row>
    <row r="28" spans="1:11" ht="15.75" thickBot="1" x14ac:dyDescent="0.3">
      <c r="B28" s="2"/>
      <c r="C28" s="2"/>
      <c r="D28" s="20" t="s">
        <v>3</v>
      </c>
      <c r="E28" s="21" t="s">
        <v>4</v>
      </c>
      <c r="F28" s="20" t="s">
        <v>3</v>
      </c>
      <c r="G28" s="21" t="s">
        <v>4</v>
      </c>
      <c r="H28" s="24" t="s">
        <v>19</v>
      </c>
      <c r="I28" s="22" t="s">
        <v>3</v>
      </c>
      <c r="J28" s="21" t="s">
        <v>4</v>
      </c>
      <c r="K28" s="24" t="s">
        <v>19</v>
      </c>
    </row>
    <row r="29" spans="1:11" x14ac:dyDescent="0.25">
      <c r="A29">
        <f ca="1">IF(_xll.TM1RPTELISCONSOLIDATED($C$29,$C29),IF(_xll.TM1RPTELLEV($C$29,$C29)&lt;=3,_xll.TM1RPTELLEV($C$29,$C29),"D"),"N")</f>
        <v>0</v>
      </c>
      <c r="B29" s="45" t="str">
        <f ca="1">_xll.TM1RPTROW($B$9,"CXMD:DIM_Origin_Company","",'{AR}21'!$B$22:$B$32,"Name EN",0)</f>
        <v>KUHN CHINA</v>
      </c>
      <c r="C29" s="46" t="str">
        <f ca="1">_xll.TM1RPTROW($B$9,"CXMD:DIM_Configuration","",'{AR}31'!$C$22:$C$39,"Description EN",0)</f>
        <v>F - BAC - Offset arm Verge Shredders</v>
      </c>
      <c r="D29" s="3">
        <f ca="1">_xll.DBRW($B$9,$C$21,D$27,$B29,$C$23,$C$24,$C29,D$28)</f>
        <v>0</v>
      </c>
      <c r="E29" s="10">
        <f ca="1">_xll.DBRW($B$9,$C$21,E$27,$B29,$C$23,$C$24,$C29,E$28)</f>
        <v>0</v>
      </c>
      <c r="F29" s="32">
        <f ca="1">_xll.DBRW($B$9,$C$21,F$27,$B29,$C$23,$C$24,$C29,F$28)</f>
        <v>0</v>
      </c>
      <c r="G29" s="3">
        <f ca="1">_xll.DBRW($B$9,$C$21,G$27,$B29,$C$23,$C$24,$C29,G$28)</f>
        <v>0</v>
      </c>
      <c r="H29" s="14">
        <f ca="1">IF(E29&lt;&gt;0,(G29-E29)/E29,0)</f>
        <v>0</v>
      </c>
      <c r="I29" s="3">
        <f ca="1">_xll.DBRW($B$9,$C$21,I$27,$B29,$C$23,$C$24,$C29,I$28)</f>
        <v>0</v>
      </c>
      <c r="J29" s="3">
        <f ca="1">_xll.DBRW($B$9,$C$21,J$27,$B29,$C$23,$C$24,$C29,J$28)</f>
        <v>0</v>
      </c>
      <c r="K29" s="1">
        <f ca="1">IF(G29&lt;&gt;0,(J29-G29)/G29,0)</f>
        <v>0</v>
      </c>
    </row>
    <row r="30" spans="1:11" x14ac:dyDescent="0.25">
      <c r="A30">
        <f ca="1">IF(_xll.TM1RPTELISCONSOLIDATED($C$29,$C30),IF(_xll.TM1RPTELLEV($C$29,$C30)&lt;=3,_xll.TM1RPTELLEV($C$29,$C30),"D"),"N")</f>
        <v>0</v>
      </c>
      <c r="B30" s="49" t="s">
        <v>12</v>
      </c>
      <c r="C30" s="46" t="s">
        <v>26</v>
      </c>
      <c r="D30" s="3">
        <f ca="1">_xll.DBRW($B$9,$C$21,D$27,$B30,$C$23,$C$24,$C30,D$28)</f>
        <v>0</v>
      </c>
      <c r="E30" s="10">
        <f ca="1">_xll.DBRW($B$9,$C$21,E$27,$B30,$C$23,$C$24,$C30,E$28)</f>
        <v>0</v>
      </c>
      <c r="F30" s="32">
        <f ca="1">_xll.DBRW($B$9,$C$21,F$27,$B30,$C$23,$C$24,$C30,F$28)</f>
        <v>0</v>
      </c>
      <c r="G30" s="3">
        <f ca="1">_xll.DBRW($B$9,$C$21,G$27,$B30,$C$23,$C$24,$C30,G$28)</f>
        <v>0</v>
      </c>
      <c r="H30" s="14">
        <f t="shared" ref="H30:H93" ca="1" si="0">IF(E30&lt;&gt;0,(G30-E30)/E30,0)</f>
        <v>0</v>
      </c>
      <c r="I30" s="3">
        <f ca="1">_xll.DBRW($B$9,$C$21,I$27,$B30,$C$23,$C$24,$C30,I$28)</f>
        <v>0</v>
      </c>
      <c r="J30" s="3">
        <f ca="1">_xll.DBRW($B$9,$C$21,J$27,$B30,$C$23,$C$24,$C30,J$28)</f>
        <v>0</v>
      </c>
      <c r="K30" s="1">
        <f t="shared" ref="K30:K93" ca="1" si="1">IF(G30&lt;&gt;0,(J30-G30)/G30,0)</f>
        <v>0</v>
      </c>
    </row>
    <row r="31" spans="1:11" x14ac:dyDescent="0.25">
      <c r="A31">
        <f ca="1">IF(_xll.TM1RPTELISCONSOLIDATED($C$29,$C31),IF(_xll.TM1RPTELLEV($C$29,$C31)&lt;=3,_xll.TM1RPTELLEV($C$29,$C31),"D"),"N")</f>
        <v>0</v>
      </c>
      <c r="B31" s="49" t="s">
        <v>12</v>
      </c>
      <c r="C31" s="46" t="s">
        <v>27</v>
      </c>
      <c r="D31" s="3">
        <f ca="1">_xll.DBRW($B$9,$C$21,D$27,$B31,$C$23,$C$24,$C31,D$28)</f>
        <v>0</v>
      </c>
      <c r="E31" s="10">
        <f ca="1">_xll.DBRW($B$9,$C$21,E$27,$B31,$C$23,$C$24,$C31,E$28)</f>
        <v>0</v>
      </c>
      <c r="F31" s="32">
        <f ca="1">_xll.DBRW($B$9,$C$21,F$27,$B31,$C$23,$C$24,$C31,F$28)</f>
        <v>0</v>
      </c>
      <c r="G31" s="3">
        <f ca="1">_xll.DBRW($B$9,$C$21,G$27,$B31,$C$23,$C$24,$C31,G$28)</f>
        <v>0</v>
      </c>
      <c r="H31" s="14">
        <f t="shared" ca="1" si="0"/>
        <v>0</v>
      </c>
      <c r="I31" s="3">
        <f ca="1">_xll.DBRW($B$9,$C$21,I$27,$B31,$C$23,$C$24,$C31,I$28)</f>
        <v>0</v>
      </c>
      <c r="J31" s="3">
        <f ca="1">_xll.DBRW($B$9,$C$21,J$27,$B31,$C$23,$C$24,$C31,J$28)</f>
        <v>0</v>
      </c>
      <c r="K31" s="1">
        <f t="shared" ca="1" si="1"/>
        <v>0</v>
      </c>
    </row>
    <row r="32" spans="1:11" x14ac:dyDescent="0.25">
      <c r="A32">
        <f ca="1">IF(_xll.TM1RPTELISCONSOLIDATED($C$29,$C32),IF(_xll.TM1RPTELLEV($C$29,$C32)&lt;=3,_xll.TM1RPTELLEV($C$29,$C32),"D"),"N")</f>
        <v>0</v>
      </c>
      <c r="B32" s="49" t="s">
        <v>12</v>
      </c>
      <c r="C32" s="47" t="s">
        <v>24</v>
      </c>
      <c r="D32" s="3">
        <f ca="1">_xll.DBRW($B$9,$C$21,D$27,$B32,$C$23,$C$24,$C32,D$28)</f>
        <v>0</v>
      </c>
      <c r="E32" s="10">
        <f ca="1">_xll.DBRW($B$9,$C$21,E$27,$B32,$C$23,$C$24,$C32,E$28)</f>
        <v>0</v>
      </c>
      <c r="F32" s="32">
        <f ca="1">_xll.DBRW($B$9,$C$21,F$27,$B32,$C$23,$C$24,$C32,F$28)</f>
        <v>0</v>
      </c>
      <c r="G32" s="3">
        <f ca="1">_xll.DBRW($B$9,$C$21,G$27,$B32,$C$23,$C$24,$C32,G$28)</f>
        <v>0</v>
      </c>
      <c r="H32" s="14">
        <f t="shared" ca="1" si="0"/>
        <v>0</v>
      </c>
      <c r="I32" s="3">
        <f ca="1">_xll.DBRW($B$9,$C$21,I$27,$B32,$C$23,$C$24,$C32,I$28)</f>
        <v>0</v>
      </c>
      <c r="J32" s="3">
        <f ca="1">_xll.DBRW($B$9,$C$21,J$27,$B32,$C$23,$C$24,$C32,J$28)</f>
        <v>0</v>
      </c>
      <c r="K32" s="1">
        <f t="shared" ca="1" si="1"/>
        <v>0</v>
      </c>
    </row>
    <row r="33" spans="1:11" x14ac:dyDescent="0.25">
      <c r="A33">
        <f ca="1">IF(_xll.TM1RPTELISCONSOLIDATED($C$29,$C33),IF(_xll.TM1RPTELLEV($C$29,$C33)&lt;=3,_xll.TM1RPTELLEV($C$29,$C33),"D"),"N")</f>
        <v>1</v>
      </c>
      <c r="B33" s="50" t="s">
        <v>12</v>
      </c>
      <c r="C33" s="48" t="s">
        <v>28</v>
      </c>
      <c r="D33" s="4">
        <f ca="1">_xll.DBRW($B$9,$C$21,D$27,$B33,$C$23,$C$24,$C33,D$28)</f>
        <v>0</v>
      </c>
      <c r="E33" s="7">
        <f ca="1">_xll.DBRW($B$9,$C$21,E$27,$B33,$C$23,$C$24,$C33,E$28)</f>
        <v>0</v>
      </c>
      <c r="F33" s="11">
        <f ca="1">_xll.DBRW($B$9,$C$21,F$27,$B33,$C$23,$C$24,$C33,F$28)</f>
        <v>0</v>
      </c>
      <c r="G33" s="4">
        <f ca="1">_xll.DBRW($B$9,$C$21,G$27,$B33,$C$23,$C$24,$C33,G$28)</f>
        <v>0</v>
      </c>
      <c r="H33" s="15">
        <f t="shared" ca="1" si="0"/>
        <v>0</v>
      </c>
      <c r="I33" s="4">
        <f ca="1">_xll.DBRW($B$9,$C$21,I$27,$B33,$C$23,$C$24,$C33,I$28)</f>
        <v>0</v>
      </c>
      <c r="J33" s="4">
        <f ca="1">_xll.DBRW($B$9,$C$21,J$27,$B33,$C$23,$C$24,$C33,J$28)</f>
        <v>0</v>
      </c>
      <c r="K33" s="1">
        <f t="shared" ca="1" si="1"/>
        <v>0</v>
      </c>
    </row>
    <row r="34" spans="1:11" x14ac:dyDescent="0.25">
      <c r="A34">
        <f ca="1">IF(_xll.TM1RPTELISCONSOLIDATED($C$29,$C34),IF(_xll.TM1RPTELLEV($C$29,$C34)&lt;=3,_xll.TM1RPTELLEV($C$29,$C34),"D"),"N")</f>
        <v>1</v>
      </c>
      <c r="B34" s="50" t="s">
        <v>12</v>
      </c>
      <c r="C34" s="48" t="s">
        <v>31</v>
      </c>
      <c r="D34" s="4">
        <f ca="1">_xll.DBRW($B$9,$C$21,D$27,$B34,$C$23,$C$24,$C34,D$28)</f>
        <v>0</v>
      </c>
      <c r="E34" s="7">
        <f ca="1">_xll.DBRW($B$9,$C$21,E$27,$B34,$C$23,$C$24,$C34,E$28)</f>
        <v>0</v>
      </c>
      <c r="F34" s="11">
        <f ca="1">_xll.DBRW($B$9,$C$21,F$27,$B34,$C$23,$C$24,$C34,F$28)</f>
        <v>0</v>
      </c>
      <c r="G34" s="4">
        <f ca="1">_xll.DBRW($B$9,$C$21,G$27,$B34,$C$23,$C$24,$C34,G$28)</f>
        <v>0</v>
      </c>
      <c r="H34" s="15">
        <f t="shared" ca="1" si="0"/>
        <v>0</v>
      </c>
      <c r="I34" s="4">
        <f ca="1">_xll.DBRW($B$9,$C$21,I$27,$B34,$C$23,$C$24,$C34,I$28)</f>
        <v>0</v>
      </c>
      <c r="J34" s="4">
        <f ca="1">_xll.DBRW($B$9,$C$21,J$27,$B34,$C$23,$C$24,$C34,J$28)</f>
        <v>0</v>
      </c>
      <c r="K34" s="1">
        <f t="shared" ca="1" si="1"/>
        <v>0</v>
      </c>
    </row>
    <row r="35" spans="1:11" x14ac:dyDescent="0.25">
      <c r="A35">
        <f ca="1">IF(_xll.TM1RPTELISCONSOLIDATED($C$29,$C35),IF(_xll.TM1RPTELLEV($C$29,$C35)&lt;=3,_xll.TM1RPTELLEV($C$29,$C35),"D"),"N")</f>
        <v>1</v>
      </c>
      <c r="B35" s="50" t="s">
        <v>12</v>
      </c>
      <c r="C35" s="48" t="s">
        <v>30</v>
      </c>
      <c r="D35" s="4">
        <f ca="1">_xll.DBRW($B$9,$C$21,D$27,$B35,$C$23,$C$24,$C35,D$28)</f>
        <v>0</v>
      </c>
      <c r="E35" s="7">
        <f ca="1">_xll.DBRW($B$9,$C$21,E$27,$B35,$C$23,$C$24,$C35,E$28)</f>
        <v>0</v>
      </c>
      <c r="F35" s="11">
        <f ca="1">_xll.DBRW($B$9,$C$21,F$27,$B35,$C$23,$C$24,$C35,F$28)</f>
        <v>0</v>
      </c>
      <c r="G35" s="4">
        <f ca="1">_xll.DBRW($B$9,$C$21,G$27,$B35,$C$23,$C$24,$C35,G$28)</f>
        <v>0</v>
      </c>
      <c r="H35" s="15">
        <f t="shared" ca="1" si="0"/>
        <v>0</v>
      </c>
      <c r="I35" s="4">
        <f ca="1">_xll.DBRW($B$9,$C$21,I$27,$B35,$C$23,$C$24,$C35,I$28)</f>
        <v>0</v>
      </c>
      <c r="J35" s="4">
        <f ca="1">_xll.DBRW($B$9,$C$21,J$27,$B35,$C$23,$C$24,$C35,J$28)</f>
        <v>0</v>
      </c>
      <c r="K35" s="1">
        <f t="shared" ca="1" si="1"/>
        <v>0</v>
      </c>
    </row>
    <row r="36" spans="1:11" x14ac:dyDescent="0.25">
      <c r="A36">
        <f ca="1">IF(_xll.TM1RPTELISCONSOLIDATED($C$29,$C36),IF(_xll.TM1RPTELLEV($C$29,$C36)&lt;=3,_xll.TM1RPTELLEV($C$29,$C36),"D"),"N")</f>
        <v>1</v>
      </c>
      <c r="B36" s="50" t="s">
        <v>12</v>
      </c>
      <c r="C36" s="48" t="s">
        <v>29</v>
      </c>
      <c r="D36" s="4">
        <f ca="1">_xll.DBRW($B$9,$C$21,D$27,$B36,$C$23,$C$24,$C36,D$28)</f>
        <v>0</v>
      </c>
      <c r="E36" s="7">
        <f ca="1">_xll.DBRW($B$9,$C$21,E$27,$B36,$C$23,$C$24,$C36,E$28)</f>
        <v>0</v>
      </c>
      <c r="F36" s="11">
        <f ca="1">_xll.DBRW($B$9,$C$21,F$27,$B36,$C$23,$C$24,$C36,F$28)</f>
        <v>0</v>
      </c>
      <c r="G36" s="4">
        <f ca="1">_xll.DBRW($B$9,$C$21,G$27,$B36,$C$23,$C$24,$C36,G$28)</f>
        <v>0</v>
      </c>
      <c r="H36" s="15">
        <f t="shared" ca="1" si="0"/>
        <v>0</v>
      </c>
      <c r="I36" s="4">
        <f ca="1">_xll.DBRW($B$9,$C$21,I$27,$B36,$C$23,$C$24,$C36,I$28)</f>
        <v>0</v>
      </c>
      <c r="J36" s="4">
        <f ca="1">_xll.DBRW($B$9,$C$21,J$27,$B36,$C$23,$C$24,$C36,J$28)</f>
        <v>0</v>
      </c>
      <c r="K36" s="1">
        <f t="shared" ca="1" si="1"/>
        <v>0</v>
      </c>
    </row>
    <row r="37" spans="1:11" x14ac:dyDescent="0.25">
      <c r="A37">
        <f ca="1">IF(_xll.TM1RPTELISCONSOLIDATED($C$29,$C37),IF(_xll.TM1RPTELLEV($C$29,$C37)&lt;=3,_xll.TM1RPTELLEV($C$29,$C37),"D"),"N")</f>
        <v>0</v>
      </c>
      <c r="B37" s="45" t="s">
        <v>11</v>
      </c>
      <c r="C37" s="46" t="s">
        <v>25</v>
      </c>
      <c r="D37" s="3">
        <f ca="1">_xll.DBRW($B$9,$C$21,D$27,$B37,$C$23,$C$24,$C37,D$28)</f>
        <v>0</v>
      </c>
      <c r="E37" s="10">
        <f ca="1">_xll.DBRW($B$9,$C$21,E$27,$B37,$C$23,$C$24,$C37,E$28)</f>
        <v>0</v>
      </c>
      <c r="F37" s="32">
        <f ca="1">_xll.DBRW($B$9,$C$21,F$27,$B37,$C$23,$C$24,$C37,F$28)</f>
        <v>0</v>
      </c>
      <c r="G37" s="3">
        <f ca="1">_xll.DBRW($B$9,$C$21,G$27,$B37,$C$23,$C$24,$C37,G$28)</f>
        <v>0</v>
      </c>
      <c r="H37" s="14">
        <f t="shared" ca="1" si="0"/>
        <v>0</v>
      </c>
      <c r="I37" s="3">
        <f ca="1">_xll.DBRW($B$9,$C$21,I$27,$B37,$C$23,$C$24,$C37,I$28)</f>
        <v>0</v>
      </c>
      <c r="J37" s="3">
        <f ca="1">_xll.DBRW($B$9,$C$21,J$27,$B37,$C$23,$C$24,$C37,J$28)</f>
        <v>0</v>
      </c>
      <c r="K37" s="1">
        <f t="shared" ca="1" si="1"/>
        <v>0</v>
      </c>
    </row>
    <row r="38" spans="1:11" x14ac:dyDescent="0.25">
      <c r="A38">
        <f ca="1">IF(_xll.TM1RPTELISCONSOLIDATED($C$29,$C38),IF(_xll.TM1RPTELLEV($C$29,$C38)&lt;=3,_xll.TM1RPTELLEV($C$29,$C38),"D"),"N")</f>
        <v>0</v>
      </c>
      <c r="B38" s="49" t="s">
        <v>11</v>
      </c>
      <c r="C38" s="46" t="s">
        <v>26</v>
      </c>
      <c r="D38" s="3">
        <f ca="1">_xll.DBRW($B$9,$C$21,D$27,$B38,$C$23,$C$24,$C38,D$28)</f>
        <v>0</v>
      </c>
      <c r="E38" s="10">
        <f ca="1">_xll.DBRW($B$9,$C$21,E$27,$B38,$C$23,$C$24,$C38,E$28)</f>
        <v>0</v>
      </c>
      <c r="F38" s="32">
        <f ca="1">_xll.DBRW($B$9,$C$21,F$27,$B38,$C$23,$C$24,$C38,F$28)</f>
        <v>0</v>
      </c>
      <c r="G38" s="3">
        <f ca="1">_xll.DBRW($B$9,$C$21,G$27,$B38,$C$23,$C$24,$C38,G$28)</f>
        <v>0</v>
      </c>
      <c r="H38" s="14">
        <f t="shared" ca="1" si="0"/>
        <v>0</v>
      </c>
      <c r="I38" s="3">
        <f ca="1">_xll.DBRW($B$9,$C$21,I$27,$B38,$C$23,$C$24,$C38,I$28)</f>
        <v>0</v>
      </c>
      <c r="J38" s="3">
        <f ca="1">_xll.DBRW($B$9,$C$21,J$27,$B38,$C$23,$C$24,$C38,J$28)</f>
        <v>0</v>
      </c>
      <c r="K38" s="1">
        <f t="shared" ca="1" si="1"/>
        <v>0</v>
      </c>
    </row>
    <row r="39" spans="1:11" x14ac:dyDescent="0.25">
      <c r="A39">
        <f ca="1">IF(_xll.TM1RPTELISCONSOLIDATED($C$29,$C39),IF(_xll.TM1RPTELLEV($C$29,$C39)&lt;=3,_xll.TM1RPTELLEV($C$29,$C39),"D"),"N")</f>
        <v>0</v>
      </c>
      <c r="B39" s="49" t="s">
        <v>11</v>
      </c>
      <c r="C39" s="46" t="s">
        <v>27</v>
      </c>
      <c r="D39" s="3">
        <f ca="1">_xll.DBRW($B$9,$C$21,D$27,$B39,$C$23,$C$24,$C39,D$28)</f>
        <v>0</v>
      </c>
      <c r="E39" s="10">
        <f ca="1">_xll.DBRW($B$9,$C$21,E$27,$B39,$C$23,$C$24,$C39,E$28)</f>
        <v>0</v>
      </c>
      <c r="F39" s="32">
        <f ca="1">_xll.DBRW($B$9,$C$21,F$27,$B39,$C$23,$C$24,$C39,F$28)</f>
        <v>0</v>
      </c>
      <c r="G39" s="3">
        <f ca="1">_xll.DBRW($B$9,$C$21,G$27,$B39,$C$23,$C$24,$C39,G$28)</f>
        <v>0</v>
      </c>
      <c r="H39" s="14">
        <f t="shared" ca="1" si="0"/>
        <v>0</v>
      </c>
      <c r="I39" s="3">
        <f ca="1">_xll.DBRW($B$9,$C$21,I$27,$B39,$C$23,$C$24,$C39,I$28)</f>
        <v>0</v>
      </c>
      <c r="J39" s="3">
        <f ca="1">_xll.DBRW($B$9,$C$21,J$27,$B39,$C$23,$C$24,$C39,J$28)</f>
        <v>0</v>
      </c>
      <c r="K39" s="1">
        <f t="shared" ca="1" si="1"/>
        <v>0</v>
      </c>
    </row>
    <row r="40" spans="1:11" x14ac:dyDescent="0.25">
      <c r="A40">
        <f ca="1">IF(_xll.TM1RPTELISCONSOLIDATED($C$29,$C40),IF(_xll.TM1RPTELLEV($C$29,$C40)&lt;=3,_xll.TM1RPTELLEV($C$29,$C40),"D"),"N")</f>
        <v>0</v>
      </c>
      <c r="B40" s="49" t="s">
        <v>11</v>
      </c>
      <c r="C40" s="47" t="s">
        <v>24</v>
      </c>
      <c r="D40" s="3">
        <f ca="1">_xll.DBRW($B$9,$C$21,D$27,$B40,$C$23,$C$24,$C40,D$28)</f>
        <v>0</v>
      </c>
      <c r="E40" s="10">
        <f ca="1">_xll.DBRW($B$9,$C$21,E$27,$B40,$C$23,$C$24,$C40,E$28)</f>
        <v>0</v>
      </c>
      <c r="F40" s="32">
        <f ca="1">_xll.DBRW($B$9,$C$21,F$27,$B40,$C$23,$C$24,$C40,F$28)</f>
        <v>0</v>
      </c>
      <c r="G40" s="3">
        <f ca="1">_xll.DBRW($B$9,$C$21,G$27,$B40,$C$23,$C$24,$C40,G$28)</f>
        <v>0</v>
      </c>
      <c r="H40" s="14">
        <f t="shared" ca="1" si="0"/>
        <v>0</v>
      </c>
      <c r="I40" s="3">
        <f ca="1">_xll.DBRW($B$9,$C$21,I$27,$B40,$C$23,$C$24,$C40,I$28)</f>
        <v>0</v>
      </c>
      <c r="J40" s="3">
        <f ca="1">_xll.DBRW($B$9,$C$21,J$27,$B40,$C$23,$C$24,$C40,J$28)</f>
        <v>0</v>
      </c>
      <c r="K40" s="1">
        <f t="shared" ca="1" si="1"/>
        <v>0</v>
      </c>
    </row>
    <row r="41" spans="1:11" x14ac:dyDescent="0.25">
      <c r="A41">
        <f ca="1">IF(_xll.TM1RPTELISCONSOLIDATED($C$29,$C41),IF(_xll.TM1RPTELLEV($C$29,$C41)&lt;=3,_xll.TM1RPTELLEV($C$29,$C41),"D"),"N")</f>
        <v>1</v>
      </c>
      <c r="B41" s="50" t="s">
        <v>11</v>
      </c>
      <c r="C41" s="48" t="s">
        <v>28</v>
      </c>
      <c r="D41" s="4">
        <f ca="1">_xll.DBRW($B$9,$C$21,D$27,$B41,$C$23,$C$24,$C41,D$28)</f>
        <v>0</v>
      </c>
      <c r="E41" s="7">
        <f ca="1">_xll.DBRW($B$9,$C$21,E$27,$B41,$C$23,$C$24,$C41,E$28)</f>
        <v>0</v>
      </c>
      <c r="F41" s="11">
        <f ca="1">_xll.DBRW($B$9,$C$21,F$27,$B41,$C$23,$C$24,$C41,F$28)</f>
        <v>0</v>
      </c>
      <c r="G41" s="4">
        <f ca="1">_xll.DBRW($B$9,$C$21,G$27,$B41,$C$23,$C$24,$C41,G$28)</f>
        <v>0</v>
      </c>
      <c r="H41" s="15">
        <f t="shared" ca="1" si="0"/>
        <v>0</v>
      </c>
      <c r="I41" s="4">
        <f ca="1">_xll.DBRW($B$9,$C$21,I$27,$B41,$C$23,$C$24,$C41,I$28)</f>
        <v>0</v>
      </c>
      <c r="J41" s="4">
        <f ca="1">_xll.DBRW($B$9,$C$21,J$27,$B41,$C$23,$C$24,$C41,J$28)</f>
        <v>0</v>
      </c>
      <c r="K41" s="1">
        <f t="shared" ca="1" si="1"/>
        <v>0</v>
      </c>
    </row>
    <row r="42" spans="1:11" x14ac:dyDescent="0.25">
      <c r="A42">
        <f ca="1">IF(_xll.TM1RPTELISCONSOLIDATED($C$29,$C42),IF(_xll.TM1RPTELLEV($C$29,$C42)&lt;=3,_xll.TM1RPTELLEV($C$29,$C42),"D"),"N")</f>
        <v>1</v>
      </c>
      <c r="B42" s="50" t="s">
        <v>11</v>
      </c>
      <c r="C42" s="48" t="s">
        <v>31</v>
      </c>
      <c r="D42" s="4">
        <f ca="1">_xll.DBRW($B$9,$C$21,D$27,$B42,$C$23,$C$24,$C42,D$28)</f>
        <v>0</v>
      </c>
      <c r="E42" s="7">
        <f ca="1">_xll.DBRW($B$9,$C$21,E$27,$B42,$C$23,$C$24,$C42,E$28)</f>
        <v>0</v>
      </c>
      <c r="F42" s="11">
        <f ca="1">_xll.DBRW($B$9,$C$21,F$27,$B42,$C$23,$C$24,$C42,F$28)</f>
        <v>0</v>
      </c>
      <c r="G42" s="4">
        <f ca="1">_xll.DBRW($B$9,$C$21,G$27,$B42,$C$23,$C$24,$C42,G$28)</f>
        <v>0</v>
      </c>
      <c r="H42" s="15">
        <f t="shared" ca="1" si="0"/>
        <v>0</v>
      </c>
      <c r="I42" s="4">
        <f ca="1">_xll.DBRW($B$9,$C$21,I$27,$B42,$C$23,$C$24,$C42,I$28)</f>
        <v>0</v>
      </c>
      <c r="J42" s="4">
        <f ca="1">_xll.DBRW($B$9,$C$21,J$27,$B42,$C$23,$C$24,$C42,J$28)</f>
        <v>0</v>
      </c>
      <c r="K42" s="1">
        <f t="shared" ca="1" si="1"/>
        <v>0</v>
      </c>
    </row>
    <row r="43" spans="1:11" x14ac:dyDescent="0.25">
      <c r="A43">
        <f ca="1">IF(_xll.TM1RPTELISCONSOLIDATED($C$29,$C43),IF(_xll.TM1RPTELLEV($C$29,$C43)&lt;=3,_xll.TM1RPTELLEV($C$29,$C43),"D"),"N")</f>
        <v>1</v>
      </c>
      <c r="B43" s="50" t="s">
        <v>11</v>
      </c>
      <c r="C43" s="48" t="s">
        <v>30</v>
      </c>
      <c r="D43" s="4">
        <f ca="1">_xll.DBRW($B$9,$C$21,D$27,$B43,$C$23,$C$24,$C43,D$28)</f>
        <v>0</v>
      </c>
      <c r="E43" s="7">
        <f ca="1">_xll.DBRW($B$9,$C$21,E$27,$B43,$C$23,$C$24,$C43,E$28)</f>
        <v>0</v>
      </c>
      <c r="F43" s="11">
        <f ca="1">_xll.DBRW($B$9,$C$21,F$27,$B43,$C$23,$C$24,$C43,F$28)</f>
        <v>0</v>
      </c>
      <c r="G43" s="4">
        <f ca="1">_xll.DBRW($B$9,$C$21,G$27,$B43,$C$23,$C$24,$C43,G$28)</f>
        <v>0</v>
      </c>
      <c r="H43" s="15">
        <f t="shared" ca="1" si="0"/>
        <v>0</v>
      </c>
      <c r="I43" s="4">
        <f ca="1">_xll.DBRW($B$9,$C$21,I$27,$B43,$C$23,$C$24,$C43,I$28)</f>
        <v>0</v>
      </c>
      <c r="J43" s="4">
        <f ca="1">_xll.DBRW($B$9,$C$21,J$27,$B43,$C$23,$C$24,$C43,J$28)</f>
        <v>0</v>
      </c>
      <c r="K43" s="1">
        <f t="shared" ca="1" si="1"/>
        <v>0</v>
      </c>
    </row>
    <row r="44" spans="1:11" x14ac:dyDescent="0.25">
      <c r="A44">
        <f ca="1">IF(_xll.TM1RPTELISCONSOLIDATED($C$29,$C44),IF(_xll.TM1RPTELLEV($C$29,$C44)&lt;=3,_xll.TM1RPTELLEV($C$29,$C44),"D"),"N")</f>
        <v>1</v>
      </c>
      <c r="B44" s="50" t="s">
        <v>11</v>
      </c>
      <c r="C44" s="48" t="s">
        <v>29</v>
      </c>
      <c r="D44" s="4">
        <f ca="1">_xll.DBRW($B$9,$C$21,D$27,$B44,$C$23,$C$24,$C44,D$28)</f>
        <v>0</v>
      </c>
      <c r="E44" s="7">
        <f ca="1">_xll.DBRW($B$9,$C$21,E$27,$B44,$C$23,$C$24,$C44,E$28)</f>
        <v>0</v>
      </c>
      <c r="F44" s="11">
        <f ca="1">_xll.DBRW($B$9,$C$21,F$27,$B44,$C$23,$C$24,$C44,F$28)</f>
        <v>0</v>
      </c>
      <c r="G44" s="4">
        <f ca="1">_xll.DBRW($B$9,$C$21,G$27,$B44,$C$23,$C$24,$C44,G$28)</f>
        <v>0</v>
      </c>
      <c r="H44" s="15">
        <f t="shared" ca="1" si="0"/>
        <v>0</v>
      </c>
      <c r="I44" s="4">
        <f ca="1">_xll.DBRW($B$9,$C$21,I$27,$B44,$C$23,$C$24,$C44,I$28)</f>
        <v>0</v>
      </c>
      <c r="J44" s="4">
        <f ca="1">_xll.DBRW($B$9,$C$21,J$27,$B44,$C$23,$C$24,$C44,J$28)</f>
        <v>0</v>
      </c>
      <c r="K44" s="1">
        <f t="shared" ca="1" si="1"/>
        <v>0</v>
      </c>
    </row>
    <row r="45" spans="1:11" x14ac:dyDescent="0.25">
      <c r="A45">
        <f ca="1">IF(_xll.TM1RPTELISCONSOLIDATED($C$29,$C45),IF(_xll.TM1RPTELLEV($C$29,$C45)&lt;=3,_xll.TM1RPTELLEV($C$29,$C45),"D"),"N")</f>
        <v>0</v>
      </c>
      <c r="B45" s="45" t="s">
        <v>21</v>
      </c>
      <c r="C45" s="46" t="s">
        <v>25</v>
      </c>
      <c r="D45" s="3">
        <f ca="1">_xll.DBRW($B$9,$C$21,D$27,$B45,$C$23,$C$24,$C45,D$28)</f>
        <v>0</v>
      </c>
      <c r="E45" s="10">
        <f ca="1">_xll.DBRW($B$9,$C$21,E$27,$B45,$C$23,$C$24,$C45,E$28)</f>
        <v>0</v>
      </c>
      <c r="F45" s="32">
        <f ca="1">_xll.DBRW($B$9,$C$21,F$27,$B45,$C$23,$C$24,$C45,F$28)</f>
        <v>0</v>
      </c>
      <c r="G45" s="3">
        <f ca="1">_xll.DBRW($B$9,$C$21,G$27,$B45,$C$23,$C$24,$C45,G$28)</f>
        <v>0</v>
      </c>
      <c r="H45" s="14">
        <f t="shared" ca="1" si="0"/>
        <v>0</v>
      </c>
      <c r="I45" s="3">
        <f ca="1">_xll.DBRW($B$9,$C$21,I$27,$B45,$C$23,$C$24,$C45,I$28)</f>
        <v>0</v>
      </c>
      <c r="J45" s="3">
        <f ca="1">_xll.DBRW($B$9,$C$21,J$27,$B45,$C$23,$C$24,$C45,J$28)</f>
        <v>0</v>
      </c>
      <c r="K45" s="1">
        <f t="shared" ca="1" si="1"/>
        <v>0</v>
      </c>
    </row>
    <row r="46" spans="1:11" x14ac:dyDescent="0.25">
      <c r="A46">
        <f ca="1">IF(_xll.TM1RPTELISCONSOLIDATED($C$29,$C46),IF(_xll.TM1RPTELLEV($C$29,$C46)&lt;=3,_xll.TM1RPTELLEV($C$29,$C46),"D"),"N")</f>
        <v>0</v>
      </c>
      <c r="B46" s="49" t="s">
        <v>21</v>
      </c>
      <c r="C46" s="46" t="s">
        <v>26</v>
      </c>
      <c r="D46" s="3">
        <f ca="1">_xll.DBRW($B$9,$C$21,D$27,$B46,$C$23,$C$24,$C46,D$28)</f>
        <v>0</v>
      </c>
      <c r="E46" s="10">
        <f ca="1">_xll.DBRW($B$9,$C$21,E$27,$B46,$C$23,$C$24,$C46,E$28)</f>
        <v>0</v>
      </c>
      <c r="F46" s="32">
        <f ca="1">_xll.DBRW($B$9,$C$21,F$27,$B46,$C$23,$C$24,$C46,F$28)</f>
        <v>0</v>
      </c>
      <c r="G46" s="3">
        <f ca="1">_xll.DBRW($B$9,$C$21,G$27,$B46,$C$23,$C$24,$C46,G$28)</f>
        <v>0</v>
      </c>
      <c r="H46" s="14">
        <f t="shared" ca="1" si="0"/>
        <v>0</v>
      </c>
      <c r="I46" s="3">
        <f ca="1">_xll.DBRW($B$9,$C$21,I$27,$B46,$C$23,$C$24,$C46,I$28)</f>
        <v>0</v>
      </c>
      <c r="J46" s="3">
        <f ca="1">_xll.DBRW($B$9,$C$21,J$27,$B46,$C$23,$C$24,$C46,J$28)</f>
        <v>0</v>
      </c>
      <c r="K46" s="1">
        <f t="shared" ca="1" si="1"/>
        <v>0</v>
      </c>
    </row>
    <row r="47" spans="1:11" x14ac:dyDescent="0.25">
      <c r="A47">
        <f ca="1">IF(_xll.TM1RPTELISCONSOLIDATED($C$29,$C47),IF(_xll.TM1RPTELLEV($C$29,$C47)&lt;=3,_xll.TM1RPTELLEV($C$29,$C47),"D"),"N")</f>
        <v>0</v>
      </c>
      <c r="B47" s="49" t="s">
        <v>21</v>
      </c>
      <c r="C47" s="46" t="s">
        <v>27</v>
      </c>
      <c r="D47" s="3">
        <f ca="1">_xll.DBRW($B$9,$C$21,D$27,$B47,$C$23,$C$24,$C47,D$28)</f>
        <v>0</v>
      </c>
      <c r="E47" s="10">
        <f ca="1">_xll.DBRW($B$9,$C$21,E$27,$B47,$C$23,$C$24,$C47,E$28)</f>
        <v>0</v>
      </c>
      <c r="F47" s="32">
        <f ca="1">_xll.DBRW($B$9,$C$21,F$27,$B47,$C$23,$C$24,$C47,F$28)</f>
        <v>0</v>
      </c>
      <c r="G47" s="3">
        <f ca="1">_xll.DBRW($B$9,$C$21,G$27,$B47,$C$23,$C$24,$C47,G$28)</f>
        <v>0</v>
      </c>
      <c r="H47" s="14">
        <f t="shared" ca="1" si="0"/>
        <v>0</v>
      </c>
      <c r="I47" s="3">
        <f ca="1">_xll.DBRW($B$9,$C$21,I$27,$B47,$C$23,$C$24,$C47,I$28)</f>
        <v>0</v>
      </c>
      <c r="J47" s="3">
        <f ca="1">_xll.DBRW($B$9,$C$21,J$27,$B47,$C$23,$C$24,$C47,J$28)</f>
        <v>0</v>
      </c>
      <c r="K47" s="1">
        <f t="shared" ca="1" si="1"/>
        <v>0</v>
      </c>
    </row>
    <row r="48" spans="1:11" x14ac:dyDescent="0.25">
      <c r="A48">
        <f ca="1">IF(_xll.TM1RPTELISCONSOLIDATED($C$29,$C48),IF(_xll.TM1RPTELLEV($C$29,$C48)&lt;=3,_xll.TM1RPTELLEV($C$29,$C48),"D"),"N")</f>
        <v>0</v>
      </c>
      <c r="B48" s="49" t="s">
        <v>21</v>
      </c>
      <c r="C48" s="47" t="s">
        <v>24</v>
      </c>
      <c r="D48" s="3">
        <f ca="1">_xll.DBRW($B$9,$C$21,D$27,$B48,$C$23,$C$24,$C48,D$28)</f>
        <v>0</v>
      </c>
      <c r="E48" s="10">
        <f ca="1">_xll.DBRW($B$9,$C$21,E$27,$B48,$C$23,$C$24,$C48,E$28)</f>
        <v>0</v>
      </c>
      <c r="F48" s="32">
        <f ca="1">_xll.DBRW($B$9,$C$21,F$27,$B48,$C$23,$C$24,$C48,F$28)</f>
        <v>0</v>
      </c>
      <c r="G48" s="3">
        <f ca="1">_xll.DBRW($B$9,$C$21,G$27,$B48,$C$23,$C$24,$C48,G$28)</f>
        <v>0</v>
      </c>
      <c r="H48" s="14">
        <f t="shared" ca="1" si="0"/>
        <v>0</v>
      </c>
      <c r="I48" s="3">
        <f ca="1">_xll.DBRW($B$9,$C$21,I$27,$B48,$C$23,$C$24,$C48,I$28)</f>
        <v>0</v>
      </c>
      <c r="J48" s="3">
        <f ca="1">_xll.DBRW($B$9,$C$21,J$27,$B48,$C$23,$C$24,$C48,J$28)</f>
        <v>0</v>
      </c>
      <c r="K48" s="1">
        <f t="shared" ca="1" si="1"/>
        <v>0</v>
      </c>
    </row>
    <row r="49" spans="1:11" x14ac:dyDescent="0.25">
      <c r="A49">
        <f ca="1">IF(_xll.TM1RPTELISCONSOLIDATED($C$29,$C49),IF(_xll.TM1RPTELLEV($C$29,$C49)&lt;=3,_xll.TM1RPTELLEV($C$29,$C49),"D"),"N")</f>
        <v>1</v>
      </c>
      <c r="B49" s="50" t="s">
        <v>21</v>
      </c>
      <c r="C49" s="48" t="s">
        <v>28</v>
      </c>
      <c r="D49" s="4">
        <f ca="1">_xll.DBRW($B$9,$C$21,D$27,$B49,$C$23,$C$24,$C49,D$28)</f>
        <v>0</v>
      </c>
      <c r="E49" s="7">
        <f ca="1">_xll.DBRW($B$9,$C$21,E$27,$B49,$C$23,$C$24,$C49,E$28)</f>
        <v>0</v>
      </c>
      <c r="F49" s="11">
        <f ca="1">_xll.DBRW($B$9,$C$21,F$27,$B49,$C$23,$C$24,$C49,F$28)</f>
        <v>0</v>
      </c>
      <c r="G49" s="4">
        <f ca="1">_xll.DBRW($B$9,$C$21,G$27,$B49,$C$23,$C$24,$C49,G$28)</f>
        <v>0</v>
      </c>
      <c r="H49" s="15">
        <f t="shared" ca="1" si="0"/>
        <v>0</v>
      </c>
      <c r="I49" s="4">
        <f ca="1">_xll.DBRW($B$9,$C$21,I$27,$B49,$C$23,$C$24,$C49,I$28)</f>
        <v>0</v>
      </c>
      <c r="J49" s="4">
        <f ca="1">_xll.DBRW($B$9,$C$21,J$27,$B49,$C$23,$C$24,$C49,J$28)</f>
        <v>0</v>
      </c>
      <c r="K49" s="1">
        <f t="shared" ca="1" si="1"/>
        <v>0</v>
      </c>
    </row>
    <row r="50" spans="1:11" x14ac:dyDescent="0.25">
      <c r="A50">
        <f ca="1">IF(_xll.TM1RPTELISCONSOLIDATED($C$29,$C50),IF(_xll.TM1RPTELLEV($C$29,$C50)&lt;=3,_xll.TM1RPTELLEV($C$29,$C50),"D"),"N")</f>
        <v>1</v>
      </c>
      <c r="B50" s="50" t="s">
        <v>21</v>
      </c>
      <c r="C50" s="48" t="s">
        <v>31</v>
      </c>
      <c r="D50" s="4">
        <f ca="1">_xll.DBRW($B$9,$C$21,D$27,$B50,$C$23,$C$24,$C50,D$28)</f>
        <v>0</v>
      </c>
      <c r="E50" s="7">
        <f ca="1">_xll.DBRW($B$9,$C$21,E$27,$B50,$C$23,$C$24,$C50,E$28)</f>
        <v>0</v>
      </c>
      <c r="F50" s="11">
        <f ca="1">_xll.DBRW($B$9,$C$21,F$27,$B50,$C$23,$C$24,$C50,F$28)</f>
        <v>0</v>
      </c>
      <c r="G50" s="4">
        <f ca="1">_xll.DBRW($B$9,$C$21,G$27,$B50,$C$23,$C$24,$C50,G$28)</f>
        <v>0</v>
      </c>
      <c r="H50" s="15">
        <f t="shared" ca="1" si="0"/>
        <v>0</v>
      </c>
      <c r="I50" s="4">
        <f ca="1">_xll.DBRW($B$9,$C$21,I$27,$B50,$C$23,$C$24,$C50,I$28)</f>
        <v>0</v>
      </c>
      <c r="J50" s="4">
        <f ca="1">_xll.DBRW($B$9,$C$21,J$27,$B50,$C$23,$C$24,$C50,J$28)</f>
        <v>0</v>
      </c>
      <c r="K50" s="1">
        <f t="shared" ca="1" si="1"/>
        <v>0</v>
      </c>
    </row>
    <row r="51" spans="1:11" x14ac:dyDescent="0.25">
      <c r="A51">
        <f ca="1">IF(_xll.TM1RPTELISCONSOLIDATED($C$29,$C51),IF(_xll.TM1RPTELLEV($C$29,$C51)&lt;=3,_xll.TM1RPTELLEV($C$29,$C51),"D"),"N")</f>
        <v>1</v>
      </c>
      <c r="B51" s="50" t="s">
        <v>21</v>
      </c>
      <c r="C51" s="48" t="s">
        <v>30</v>
      </c>
      <c r="D51" s="4">
        <f ca="1">_xll.DBRW($B$9,$C$21,D$27,$B51,$C$23,$C$24,$C51,D$28)</f>
        <v>0</v>
      </c>
      <c r="E51" s="7">
        <f ca="1">_xll.DBRW($B$9,$C$21,E$27,$B51,$C$23,$C$24,$C51,E$28)</f>
        <v>0</v>
      </c>
      <c r="F51" s="11">
        <f ca="1">_xll.DBRW($B$9,$C$21,F$27,$B51,$C$23,$C$24,$C51,F$28)</f>
        <v>0</v>
      </c>
      <c r="G51" s="4">
        <f ca="1">_xll.DBRW($B$9,$C$21,G$27,$B51,$C$23,$C$24,$C51,G$28)</f>
        <v>0</v>
      </c>
      <c r="H51" s="15">
        <f t="shared" ca="1" si="0"/>
        <v>0</v>
      </c>
      <c r="I51" s="4">
        <f ca="1">_xll.DBRW($B$9,$C$21,I$27,$B51,$C$23,$C$24,$C51,I$28)</f>
        <v>0</v>
      </c>
      <c r="J51" s="4">
        <f ca="1">_xll.DBRW($B$9,$C$21,J$27,$B51,$C$23,$C$24,$C51,J$28)</f>
        <v>0</v>
      </c>
      <c r="K51" s="1">
        <f t="shared" ca="1" si="1"/>
        <v>0</v>
      </c>
    </row>
    <row r="52" spans="1:11" x14ac:dyDescent="0.25">
      <c r="A52">
        <f ca="1">IF(_xll.TM1RPTELISCONSOLIDATED($C$29,$C52),IF(_xll.TM1RPTELLEV($C$29,$C52)&lt;=3,_xll.TM1RPTELLEV($C$29,$C52),"D"),"N")</f>
        <v>1</v>
      </c>
      <c r="B52" s="50" t="s">
        <v>21</v>
      </c>
      <c r="C52" s="48" t="s">
        <v>29</v>
      </c>
      <c r="D52" s="4">
        <f ca="1">_xll.DBRW($B$9,$C$21,D$27,$B52,$C$23,$C$24,$C52,D$28)</f>
        <v>0</v>
      </c>
      <c r="E52" s="7">
        <f ca="1">_xll.DBRW($B$9,$C$21,E$27,$B52,$C$23,$C$24,$C52,E$28)</f>
        <v>0</v>
      </c>
      <c r="F52" s="11">
        <f ca="1">_xll.DBRW($B$9,$C$21,F$27,$B52,$C$23,$C$24,$C52,F$28)</f>
        <v>0</v>
      </c>
      <c r="G52" s="4">
        <f ca="1">_xll.DBRW($B$9,$C$21,G$27,$B52,$C$23,$C$24,$C52,G$28)</f>
        <v>0</v>
      </c>
      <c r="H52" s="15">
        <f t="shared" ca="1" si="0"/>
        <v>0</v>
      </c>
      <c r="I52" s="4">
        <f ca="1">_xll.DBRW($B$9,$C$21,I$27,$B52,$C$23,$C$24,$C52,I$28)</f>
        <v>0</v>
      </c>
      <c r="J52" s="4">
        <f ca="1">_xll.DBRW($B$9,$C$21,J$27,$B52,$C$23,$C$24,$C52,J$28)</f>
        <v>0</v>
      </c>
      <c r="K52" s="1">
        <f t="shared" ca="1" si="1"/>
        <v>0</v>
      </c>
    </row>
    <row r="53" spans="1:11" x14ac:dyDescent="0.25">
      <c r="A53">
        <f ca="1">IF(_xll.TM1RPTELISCONSOLIDATED($C$29,$C53),IF(_xll.TM1RPTELLEV($C$29,$C53)&lt;=3,_xll.TM1RPTELLEV($C$29,$C53),"D"),"N")</f>
        <v>0</v>
      </c>
      <c r="B53" s="45" t="s">
        <v>10</v>
      </c>
      <c r="C53" s="46" t="s">
        <v>25</v>
      </c>
      <c r="D53" s="3">
        <f ca="1">_xll.DBRW($B$9,$C$21,D$27,$B53,$C$23,$C$24,$C53,D$28)</f>
        <v>0</v>
      </c>
      <c r="E53" s="10">
        <f ca="1">_xll.DBRW($B$9,$C$21,E$27,$B53,$C$23,$C$24,$C53,E$28)</f>
        <v>0</v>
      </c>
      <c r="F53" s="32">
        <f ca="1">_xll.DBRW($B$9,$C$21,F$27,$B53,$C$23,$C$24,$C53,F$28)</f>
        <v>0</v>
      </c>
      <c r="G53" s="3">
        <f ca="1">_xll.DBRW($B$9,$C$21,G$27,$B53,$C$23,$C$24,$C53,G$28)</f>
        <v>0</v>
      </c>
      <c r="H53" s="14">
        <f t="shared" ca="1" si="0"/>
        <v>0</v>
      </c>
      <c r="I53" s="3">
        <f ca="1">_xll.DBRW($B$9,$C$21,I$27,$B53,$C$23,$C$24,$C53,I$28)</f>
        <v>0</v>
      </c>
      <c r="J53" s="3">
        <f ca="1">_xll.DBRW($B$9,$C$21,J$27,$B53,$C$23,$C$24,$C53,J$28)</f>
        <v>0</v>
      </c>
      <c r="K53" s="1">
        <f t="shared" ca="1" si="1"/>
        <v>0</v>
      </c>
    </row>
    <row r="54" spans="1:11" x14ac:dyDescent="0.25">
      <c r="A54">
        <f ca="1">IF(_xll.TM1RPTELISCONSOLIDATED($C$29,$C54),IF(_xll.TM1RPTELLEV($C$29,$C54)&lt;=3,_xll.TM1RPTELLEV($C$29,$C54),"D"),"N")</f>
        <v>0</v>
      </c>
      <c r="B54" s="49" t="s">
        <v>10</v>
      </c>
      <c r="C54" s="46" t="s">
        <v>26</v>
      </c>
      <c r="D54" s="3">
        <f ca="1">_xll.DBRW($B$9,$C$21,D$27,$B54,$C$23,$C$24,$C54,D$28)</f>
        <v>0</v>
      </c>
      <c r="E54" s="10">
        <f ca="1">_xll.DBRW($B$9,$C$21,E$27,$B54,$C$23,$C$24,$C54,E$28)</f>
        <v>0</v>
      </c>
      <c r="F54" s="32">
        <f ca="1">_xll.DBRW($B$9,$C$21,F$27,$B54,$C$23,$C$24,$C54,F$28)</f>
        <v>0</v>
      </c>
      <c r="G54" s="3">
        <f ca="1">_xll.DBRW($B$9,$C$21,G$27,$B54,$C$23,$C$24,$C54,G$28)</f>
        <v>0</v>
      </c>
      <c r="H54" s="14">
        <f t="shared" ca="1" si="0"/>
        <v>0</v>
      </c>
      <c r="I54" s="3">
        <f ca="1">_xll.DBRW($B$9,$C$21,I$27,$B54,$C$23,$C$24,$C54,I$28)</f>
        <v>0</v>
      </c>
      <c r="J54" s="3">
        <f ca="1">_xll.DBRW($B$9,$C$21,J$27,$B54,$C$23,$C$24,$C54,J$28)</f>
        <v>0</v>
      </c>
      <c r="K54" s="1">
        <f t="shared" ca="1" si="1"/>
        <v>0</v>
      </c>
    </row>
    <row r="55" spans="1:11" x14ac:dyDescent="0.25">
      <c r="A55">
        <f ca="1">IF(_xll.TM1RPTELISCONSOLIDATED($C$29,$C55),IF(_xll.TM1RPTELLEV($C$29,$C55)&lt;=3,_xll.TM1RPTELLEV($C$29,$C55),"D"),"N")</f>
        <v>0</v>
      </c>
      <c r="B55" s="49" t="s">
        <v>10</v>
      </c>
      <c r="C55" s="46" t="s">
        <v>27</v>
      </c>
      <c r="D55" s="3">
        <f ca="1">_xll.DBRW($B$9,$C$21,D$27,$B55,$C$23,$C$24,$C55,D$28)</f>
        <v>0</v>
      </c>
      <c r="E55" s="10">
        <f ca="1">_xll.DBRW($B$9,$C$21,E$27,$B55,$C$23,$C$24,$C55,E$28)</f>
        <v>0</v>
      </c>
      <c r="F55" s="32">
        <f ca="1">_xll.DBRW($B$9,$C$21,F$27,$B55,$C$23,$C$24,$C55,F$28)</f>
        <v>0</v>
      </c>
      <c r="G55" s="3">
        <f ca="1">_xll.DBRW($B$9,$C$21,G$27,$B55,$C$23,$C$24,$C55,G$28)</f>
        <v>0</v>
      </c>
      <c r="H55" s="14">
        <f t="shared" ca="1" si="0"/>
        <v>0</v>
      </c>
      <c r="I55" s="3">
        <f ca="1">_xll.DBRW($B$9,$C$21,I$27,$B55,$C$23,$C$24,$C55,I$28)</f>
        <v>0</v>
      </c>
      <c r="J55" s="3">
        <f ca="1">_xll.DBRW($B$9,$C$21,J$27,$B55,$C$23,$C$24,$C55,J$28)</f>
        <v>0</v>
      </c>
      <c r="K55" s="1">
        <f t="shared" ca="1" si="1"/>
        <v>0</v>
      </c>
    </row>
    <row r="56" spans="1:11" x14ac:dyDescent="0.25">
      <c r="A56">
        <f ca="1">IF(_xll.TM1RPTELISCONSOLIDATED($C$29,$C56),IF(_xll.TM1RPTELLEV($C$29,$C56)&lt;=3,_xll.TM1RPTELLEV($C$29,$C56),"D"),"N")</f>
        <v>0</v>
      </c>
      <c r="B56" s="49" t="s">
        <v>10</v>
      </c>
      <c r="C56" s="47" t="s">
        <v>24</v>
      </c>
      <c r="D56" s="3">
        <f ca="1">_xll.DBRW($B$9,$C$21,D$27,$B56,$C$23,$C$24,$C56,D$28)</f>
        <v>0</v>
      </c>
      <c r="E56" s="10">
        <f ca="1">_xll.DBRW($B$9,$C$21,E$27,$B56,$C$23,$C$24,$C56,E$28)</f>
        <v>0</v>
      </c>
      <c r="F56" s="32">
        <f ca="1">_xll.DBRW($B$9,$C$21,F$27,$B56,$C$23,$C$24,$C56,F$28)</f>
        <v>0</v>
      </c>
      <c r="G56" s="3">
        <f ca="1">_xll.DBRW($B$9,$C$21,G$27,$B56,$C$23,$C$24,$C56,G$28)</f>
        <v>0</v>
      </c>
      <c r="H56" s="14">
        <f t="shared" ca="1" si="0"/>
        <v>0</v>
      </c>
      <c r="I56" s="3">
        <f ca="1">_xll.DBRW($B$9,$C$21,I$27,$B56,$C$23,$C$24,$C56,I$28)</f>
        <v>0</v>
      </c>
      <c r="J56" s="3">
        <f ca="1">_xll.DBRW($B$9,$C$21,J$27,$B56,$C$23,$C$24,$C56,J$28)</f>
        <v>0</v>
      </c>
      <c r="K56" s="1">
        <f t="shared" ca="1" si="1"/>
        <v>0</v>
      </c>
    </row>
    <row r="57" spans="1:11" x14ac:dyDescent="0.25">
      <c r="A57">
        <f ca="1">IF(_xll.TM1RPTELISCONSOLIDATED($C$29,$C57),IF(_xll.TM1RPTELLEV($C$29,$C57)&lt;=3,_xll.TM1RPTELLEV($C$29,$C57),"D"),"N")</f>
        <v>1</v>
      </c>
      <c r="B57" s="50" t="s">
        <v>10</v>
      </c>
      <c r="C57" s="48" t="s">
        <v>28</v>
      </c>
      <c r="D57" s="4">
        <f ca="1">_xll.DBRW($B$9,$C$21,D$27,$B57,$C$23,$C$24,$C57,D$28)</f>
        <v>0</v>
      </c>
      <c r="E57" s="7">
        <f ca="1">_xll.DBRW($B$9,$C$21,E$27,$B57,$C$23,$C$24,$C57,E$28)</f>
        <v>0</v>
      </c>
      <c r="F57" s="11">
        <f ca="1">_xll.DBRW($B$9,$C$21,F$27,$B57,$C$23,$C$24,$C57,F$28)</f>
        <v>0</v>
      </c>
      <c r="G57" s="4">
        <f ca="1">_xll.DBRW($B$9,$C$21,G$27,$B57,$C$23,$C$24,$C57,G$28)</f>
        <v>0</v>
      </c>
      <c r="H57" s="15">
        <f t="shared" ca="1" si="0"/>
        <v>0</v>
      </c>
      <c r="I57" s="4">
        <f ca="1">_xll.DBRW($B$9,$C$21,I$27,$B57,$C$23,$C$24,$C57,I$28)</f>
        <v>0</v>
      </c>
      <c r="J57" s="4">
        <f ca="1">_xll.DBRW($B$9,$C$21,J$27,$B57,$C$23,$C$24,$C57,J$28)</f>
        <v>0</v>
      </c>
      <c r="K57" s="1">
        <f t="shared" ca="1" si="1"/>
        <v>0</v>
      </c>
    </row>
    <row r="58" spans="1:11" x14ac:dyDescent="0.25">
      <c r="A58">
        <f ca="1">IF(_xll.TM1RPTELISCONSOLIDATED($C$29,$C58),IF(_xll.TM1RPTELLEV($C$29,$C58)&lt;=3,_xll.TM1RPTELLEV($C$29,$C58),"D"),"N")</f>
        <v>1</v>
      </c>
      <c r="B58" s="50" t="s">
        <v>10</v>
      </c>
      <c r="C58" s="48" t="s">
        <v>31</v>
      </c>
      <c r="D58" s="4">
        <f ca="1">_xll.DBRW($B$9,$C$21,D$27,$B58,$C$23,$C$24,$C58,D$28)</f>
        <v>0</v>
      </c>
      <c r="E58" s="7">
        <f ca="1">_xll.DBRW($B$9,$C$21,E$27,$B58,$C$23,$C$24,$C58,E$28)</f>
        <v>0</v>
      </c>
      <c r="F58" s="11">
        <f ca="1">_xll.DBRW($B$9,$C$21,F$27,$B58,$C$23,$C$24,$C58,F$28)</f>
        <v>0</v>
      </c>
      <c r="G58" s="4">
        <f ca="1">_xll.DBRW($B$9,$C$21,G$27,$B58,$C$23,$C$24,$C58,G$28)</f>
        <v>0</v>
      </c>
      <c r="H58" s="15">
        <f t="shared" ca="1" si="0"/>
        <v>0</v>
      </c>
      <c r="I58" s="4">
        <f ca="1">_xll.DBRW($B$9,$C$21,I$27,$B58,$C$23,$C$24,$C58,I$28)</f>
        <v>0</v>
      </c>
      <c r="J58" s="4">
        <f ca="1">_xll.DBRW($B$9,$C$21,J$27,$B58,$C$23,$C$24,$C58,J$28)</f>
        <v>0</v>
      </c>
      <c r="K58" s="1">
        <f t="shared" ca="1" si="1"/>
        <v>0</v>
      </c>
    </row>
    <row r="59" spans="1:11" x14ac:dyDescent="0.25">
      <c r="A59">
        <f ca="1">IF(_xll.TM1RPTELISCONSOLIDATED($C$29,$C59),IF(_xll.TM1RPTELLEV($C$29,$C59)&lt;=3,_xll.TM1RPTELLEV($C$29,$C59),"D"),"N")</f>
        <v>1</v>
      </c>
      <c r="B59" s="50" t="s">
        <v>10</v>
      </c>
      <c r="C59" s="48" t="s">
        <v>30</v>
      </c>
      <c r="D59" s="4">
        <f ca="1">_xll.DBRW($B$9,$C$21,D$27,$B59,$C$23,$C$24,$C59,D$28)</f>
        <v>0</v>
      </c>
      <c r="E59" s="7">
        <f ca="1">_xll.DBRW($B$9,$C$21,E$27,$B59,$C$23,$C$24,$C59,E$28)</f>
        <v>0</v>
      </c>
      <c r="F59" s="11">
        <f ca="1">_xll.DBRW($B$9,$C$21,F$27,$B59,$C$23,$C$24,$C59,F$28)</f>
        <v>0</v>
      </c>
      <c r="G59" s="4">
        <f ca="1">_xll.DBRW($B$9,$C$21,G$27,$B59,$C$23,$C$24,$C59,G$28)</f>
        <v>0</v>
      </c>
      <c r="H59" s="15">
        <f t="shared" ca="1" si="0"/>
        <v>0</v>
      </c>
      <c r="I59" s="4">
        <f ca="1">_xll.DBRW($B$9,$C$21,I$27,$B59,$C$23,$C$24,$C59,I$28)</f>
        <v>0</v>
      </c>
      <c r="J59" s="4">
        <f ca="1">_xll.DBRW($B$9,$C$21,J$27,$B59,$C$23,$C$24,$C59,J$28)</f>
        <v>0</v>
      </c>
      <c r="K59" s="1">
        <f t="shared" ca="1" si="1"/>
        <v>0</v>
      </c>
    </row>
    <row r="60" spans="1:11" x14ac:dyDescent="0.25">
      <c r="A60">
        <f ca="1">IF(_xll.TM1RPTELISCONSOLIDATED($C$29,$C60),IF(_xll.TM1RPTELLEV($C$29,$C60)&lt;=3,_xll.TM1RPTELLEV($C$29,$C60),"D"),"N")</f>
        <v>1</v>
      </c>
      <c r="B60" s="50" t="s">
        <v>10</v>
      </c>
      <c r="C60" s="48" t="s">
        <v>29</v>
      </c>
      <c r="D60" s="4">
        <f ca="1">_xll.DBRW($B$9,$C$21,D$27,$B60,$C$23,$C$24,$C60,D$28)</f>
        <v>0</v>
      </c>
      <c r="E60" s="7">
        <f ca="1">_xll.DBRW($B$9,$C$21,E$27,$B60,$C$23,$C$24,$C60,E$28)</f>
        <v>0</v>
      </c>
      <c r="F60" s="11">
        <f ca="1">_xll.DBRW($B$9,$C$21,F$27,$B60,$C$23,$C$24,$C60,F$28)</f>
        <v>0</v>
      </c>
      <c r="G60" s="4">
        <f ca="1">_xll.DBRW($B$9,$C$21,G$27,$B60,$C$23,$C$24,$C60,G$28)</f>
        <v>0</v>
      </c>
      <c r="H60" s="15">
        <f t="shared" ca="1" si="0"/>
        <v>0</v>
      </c>
      <c r="I60" s="4">
        <f ca="1">_xll.DBRW($B$9,$C$21,I$27,$B60,$C$23,$C$24,$C60,I$28)</f>
        <v>0</v>
      </c>
      <c r="J60" s="4">
        <f ca="1">_xll.DBRW($B$9,$C$21,J$27,$B60,$C$23,$C$24,$C60,J$28)</f>
        <v>0</v>
      </c>
      <c r="K60" s="1">
        <f t="shared" ca="1" si="1"/>
        <v>0</v>
      </c>
    </row>
    <row r="61" spans="1:11" x14ac:dyDescent="0.25">
      <c r="A61">
        <f ca="1">IF(_xll.TM1RPTELISCONSOLIDATED($C$29,$C61),IF(_xll.TM1RPTELLEV($C$29,$C61)&lt;=3,_xll.TM1RPTELLEV($C$29,$C61),"D"),"N")</f>
        <v>0</v>
      </c>
      <c r="B61" s="45" t="s">
        <v>9</v>
      </c>
      <c r="C61" s="46" t="s">
        <v>25</v>
      </c>
      <c r="D61" s="3">
        <f ca="1">_xll.DBRW($B$9,$C$21,D$27,$B61,$C$23,$C$24,$C61,D$28)</f>
        <v>0</v>
      </c>
      <c r="E61" s="10">
        <f ca="1">_xll.DBRW($B$9,$C$21,E$27,$B61,$C$23,$C$24,$C61,E$28)</f>
        <v>0</v>
      </c>
      <c r="F61" s="32">
        <f ca="1">_xll.DBRW($B$9,$C$21,F$27,$B61,$C$23,$C$24,$C61,F$28)</f>
        <v>0</v>
      </c>
      <c r="G61" s="3">
        <f ca="1">_xll.DBRW($B$9,$C$21,G$27,$B61,$C$23,$C$24,$C61,G$28)</f>
        <v>0</v>
      </c>
      <c r="H61" s="14">
        <f t="shared" ca="1" si="0"/>
        <v>0</v>
      </c>
      <c r="I61" s="3">
        <f ca="1">_xll.DBRW($B$9,$C$21,I$27,$B61,$C$23,$C$24,$C61,I$28)</f>
        <v>0</v>
      </c>
      <c r="J61" s="3">
        <f ca="1">_xll.DBRW($B$9,$C$21,J$27,$B61,$C$23,$C$24,$C61,J$28)</f>
        <v>0</v>
      </c>
      <c r="K61" s="1">
        <f t="shared" ca="1" si="1"/>
        <v>0</v>
      </c>
    </row>
    <row r="62" spans="1:11" x14ac:dyDescent="0.25">
      <c r="A62">
        <f ca="1">IF(_xll.TM1RPTELISCONSOLIDATED($C$29,$C62),IF(_xll.TM1RPTELLEV($C$29,$C62)&lt;=3,_xll.TM1RPTELLEV($C$29,$C62),"D"),"N")</f>
        <v>0</v>
      </c>
      <c r="B62" s="49" t="s">
        <v>9</v>
      </c>
      <c r="C62" s="46" t="s">
        <v>26</v>
      </c>
      <c r="D62" s="3">
        <f ca="1">_xll.DBRW($B$9,$C$21,D$27,$B62,$C$23,$C$24,$C62,D$28)</f>
        <v>0</v>
      </c>
      <c r="E62" s="10">
        <f ca="1">_xll.DBRW($B$9,$C$21,E$27,$B62,$C$23,$C$24,$C62,E$28)</f>
        <v>0</v>
      </c>
      <c r="F62" s="32">
        <f ca="1">_xll.DBRW($B$9,$C$21,F$27,$B62,$C$23,$C$24,$C62,F$28)</f>
        <v>0</v>
      </c>
      <c r="G62" s="3">
        <f ca="1">_xll.DBRW($B$9,$C$21,G$27,$B62,$C$23,$C$24,$C62,G$28)</f>
        <v>0</v>
      </c>
      <c r="H62" s="14">
        <f t="shared" ca="1" si="0"/>
        <v>0</v>
      </c>
      <c r="I62" s="3">
        <f ca="1">_xll.DBRW($B$9,$C$21,I$27,$B62,$C$23,$C$24,$C62,I$28)</f>
        <v>0</v>
      </c>
      <c r="J62" s="3">
        <f ca="1">_xll.DBRW($B$9,$C$21,J$27,$B62,$C$23,$C$24,$C62,J$28)</f>
        <v>0</v>
      </c>
      <c r="K62" s="1">
        <f t="shared" ca="1" si="1"/>
        <v>0</v>
      </c>
    </row>
    <row r="63" spans="1:11" x14ac:dyDescent="0.25">
      <c r="A63">
        <f ca="1">IF(_xll.TM1RPTELISCONSOLIDATED($C$29,$C63),IF(_xll.TM1RPTELLEV($C$29,$C63)&lt;=3,_xll.TM1RPTELLEV($C$29,$C63),"D"),"N")</f>
        <v>0</v>
      </c>
      <c r="B63" s="49" t="s">
        <v>9</v>
      </c>
      <c r="C63" s="46" t="s">
        <v>27</v>
      </c>
      <c r="D63" s="3">
        <f ca="1">_xll.DBRW($B$9,$C$21,D$27,$B63,$C$23,$C$24,$C63,D$28)</f>
        <v>0</v>
      </c>
      <c r="E63" s="10">
        <f ca="1">_xll.DBRW($B$9,$C$21,E$27,$B63,$C$23,$C$24,$C63,E$28)</f>
        <v>0</v>
      </c>
      <c r="F63" s="32">
        <f ca="1">_xll.DBRW($B$9,$C$21,F$27,$B63,$C$23,$C$24,$C63,F$28)</f>
        <v>0</v>
      </c>
      <c r="G63" s="3">
        <f ca="1">_xll.DBRW($B$9,$C$21,G$27,$B63,$C$23,$C$24,$C63,G$28)</f>
        <v>0</v>
      </c>
      <c r="H63" s="14">
        <f t="shared" ca="1" si="0"/>
        <v>0</v>
      </c>
      <c r="I63" s="3">
        <f ca="1">_xll.DBRW($B$9,$C$21,I$27,$B63,$C$23,$C$24,$C63,I$28)</f>
        <v>0</v>
      </c>
      <c r="J63" s="3">
        <f ca="1">_xll.DBRW($B$9,$C$21,J$27,$B63,$C$23,$C$24,$C63,J$28)</f>
        <v>0</v>
      </c>
      <c r="K63" s="1">
        <f t="shared" ca="1" si="1"/>
        <v>0</v>
      </c>
    </row>
    <row r="64" spans="1:11" x14ac:dyDescent="0.25">
      <c r="A64">
        <f ca="1">IF(_xll.TM1RPTELISCONSOLIDATED($C$29,$C64),IF(_xll.TM1RPTELLEV($C$29,$C64)&lt;=3,_xll.TM1RPTELLEV($C$29,$C64),"D"),"N")</f>
        <v>0</v>
      </c>
      <c r="B64" s="49" t="s">
        <v>9</v>
      </c>
      <c r="C64" s="47" t="s">
        <v>24</v>
      </c>
      <c r="D64" s="3">
        <f ca="1">_xll.DBRW($B$9,$C$21,D$27,$B64,$C$23,$C$24,$C64,D$28)</f>
        <v>0</v>
      </c>
      <c r="E64" s="10">
        <f ca="1">_xll.DBRW($B$9,$C$21,E$27,$B64,$C$23,$C$24,$C64,E$28)</f>
        <v>0</v>
      </c>
      <c r="F64" s="32">
        <f ca="1">_xll.DBRW($B$9,$C$21,F$27,$B64,$C$23,$C$24,$C64,F$28)</f>
        <v>0</v>
      </c>
      <c r="G64" s="3">
        <f ca="1">_xll.DBRW($B$9,$C$21,G$27,$B64,$C$23,$C$24,$C64,G$28)</f>
        <v>0</v>
      </c>
      <c r="H64" s="14">
        <f t="shared" ca="1" si="0"/>
        <v>0</v>
      </c>
      <c r="I64" s="3">
        <f ca="1">_xll.DBRW($B$9,$C$21,I$27,$B64,$C$23,$C$24,$C64,I$28)</f>
        <v>0</v>
      </c>
      <c r="J64" s="3">
        <f ca="1">_xll.DBRW($B$9,$C$21,J$27,$B64,$C$23,$C$24,$C64,J$28)</f>
        <v>0</v>
      </c>
      <c r="K64" s="1">
        <f t="shared" ca="1" si="1"/>
        <v>0</v>
      </c>
    </row>
    <row r="65" spans="1:11" x14ac:dyDescent="0.25">
      <c r="A65">
        <f ca="1">IF(_xll.TM1RPTELISCONSOLIDATED($C$29,$C65),IF(_xll.TM1RPTELLEV($C$29,$C65)&lt;=3,_xll.TM1RPTELLEV($C$29,$C65),"D"),"N")</f>
        <v>1</v>
      </c>
      <c r="B65" s="50" t="s">
        <v>9</v>
      </c>
      <c r="C65" s="48" t="s">
        <v>28</v>
      </c>
      <c r="D65" s="4">
        <f ca="1">_xll.DBRW($B$9,$C$21,D$27,$B65,$C$23,$C$24,$C65,D$28)</f>
        <v>0</v>
      </c>
      <c r="E65" s="7">
        <f ca="1">_xll.DBRW($B$9,$C$21,E$27,$B65,$C$23,$C$24,$C65,E$28)</f>
        <v>0</v>
      </c>
      <c r="F65" s="11">
        <f ca="1">_xll.DBRW($B$9,$C$21,F$27,$B65,$C$23,$C$24,$C65,F$28)</f>
        <v>0</v>
      </c>
      <c r="G65" s="4">
        <f ca="1">_xll.DBRW($B$9,$C$21,G$27,$B65,$C$23,$C$24,$C65,G$28)</f>
        <v>0</v>
      </c>
      <c r="H65" s="15">
        <f t="shared" ca="1" si="0"/>
        <v>0</v>
      </c>
      <c r="I65" s="4">
        <f ca="1">_xll.DBRW($B$9,$C$21,I$27,$B65,$C$23,$C$24,$C65,I$28)</f>
        <v>0</v>
      </c>
      <c r="J65" s="4">
        <f ca="1">_xll.DBRW($B$9,$C$21,J$27,$B65,$C$23,$C$24,$C65,J$28)</f>
        <v>0</v>
      </c>
      <c r="K65" s="1">
        <f t="shared" ca="1" si="1"/>
        <v>0</v>
      </c>
    </row>
    <row r="66" spans="1:11" x14ac:dyDescent="0.25">
      <c r="A66">
        <f ca="1">IF(_xll.TM1RPTELISCONSOLIDATED($C$29,$C66),IF(_xll.TM1RPTELLEV($C$29,$C66)&lt;=3,_xll.TM1RPTELLEV($C$29,$C66),"D"),"N")</f>
        <v>1</v>
      </c>
      <c r="B66" s="50" t="s">
        <v>9</v>
      </c>
      <c r="C66" s="48" t="s">
        <v>31</v>
      </c>
      <c r="D66" s="4">
        <f ca="1">_xll.DBRW($B$9,$C$21,D$27,$B66,$C$23,$C$24,$C66,D$28)</f>
        <v>0</v>
      </c>
      <c r="E66" s="7">
        <f ca="1">_xll.DBRW($B$9,$C$21,E$27,$B66,$C$23,$C$24,$C66,E$28)</f>
        <v>0</v>
      </c>
      <c r="F66" s="11">
        <f ca="1">_xll.DBRW($B$9,$C$21,F$27,$B66,$C$23,$C$24,$C66,F$28)</f>
        <v>0</v>
      </c>
      <c r="G66" s="4">
        <f ca="1">_xll.DBRW($B$9,$C$21,G$27,$B66,$C$23,$C$24,$C66,G$28)</f>
        <v>0</v>
      </c>
      <c r="H66" s="15">
        <f t="shared" ca="1" si="0"/>
        <v>0</v>
      </c>
      <c r="I66" s="4">
        <f ca="1">_xll.DBRW($B$9,$C$21,I$27,$B66,$C$23,$C$24,$C66,I$28)</f>
        <v>0</v>
      </c>
      <c r="J66" s="4">
        <f ca="1">_xll.DBRW($B$9,$C$21,J$27,$B66,$C$23,$C$24,$C66,J$28)</f>
        <v>0</v>
      </c>
      <c r="K66" s="1">
        <f t="shared" ca="1" si="1"/>
        <v>0</v>
      </c>
    </row>
    <row r="67" spans="1:11" x14ac:dyDescent="0.25">
      <c r="A67">
        <f ca="1">IF(_xll.TM1RPTELISCONSOLIDATED($C$29,$C67),IF(_xll.TM1RPTELLEV($C$29,$C67)&lt;=3,_xll.TM1RPTELLEV($C$29,$C67),"D"),"N")</f>
        <v>1</v>
      </c>
      <c r="B67" s="50" t="s">
        <v>9</v>
      </c>
      <c r="C67" s="48" t="s">
        <v>30</v>
      </c>
      <c r="D67" s="4">
        <f ca="1">_xll.DBRW($B$9,$C$21,D$27,$B67,$C$23,$C$24,$C67,D$28)</f>
        <v>0</v>
      </c>
      <c r="E67" s="7">
        <f ca="1">_xll.DBRW($B$9,$C$21,E$27,$B67,$C$23,$C$24,$C67,E$28)</f>
        <v>0</v>
      </c>
      <c r="F67" s="11">
        <f ca="1">_xll.DBRW($B$9,$C$21,F$27,$B67,$C$23,$C$24,$C67,F$28)</f>
        <v>0</v>
      </c>
      <c r="G67" s="4">
        <f ca="1">_xll.DBRW($B$9,$C$21,G$27,$B67,$C$23,$C$24,$C67,G$28)</f>
        <v>0</v>
      </c>
      <c r="H67" s="15">
        <f t="shared" ca="1" si="0"/>
        <v>0</v>
      </c>
      <c r="I67" s="4">
        <f ca="1">_xll.DBRW($B$9,$C$21,I$27,$B67,$C$23,$C$24,$C67,I$28)</f>
        <v>0</v>
      </c>
      <c r="J67" s="4">
        <f ca="1">_xll.DBRW($B$9,$C$21,J$27,$B67,$C$23,$C$24,$C67,J$28)</f>
        <v>0</v>
      </c>
      <c r="K67" s="1">
        <f t="shared" ca="1" si="1"/>
        <v>0</v>
      </c>
    </row>
    <row r="68" spans="1:11" x14ac:dyDescent="0.25">
      <c r="A68">
        <f ca="1">IF(_xll.TM1RPTELISCONSOLIDATED($C$29,$C68),IF(_xll.TM1RPTELLEV($C$29,$C68)&lt;=3,_xll.TM1RPTELLEV($C$29,$C68),"D"),"N")</f>
        <v>1</v>
      </c>
      <c r="B68" s="50" t="s">
        <v>9</v>
      </c>
      <c r="C68" s="48" t="s">
        <v>29</v>
      </c>
      <c r="D68" s="4">
        <f ca="1">_xll.DBRW($B$9,$C$21,D$27,$B68,$C$23,$C$24,$C68,D$28)</f>
        <v>0</v>
      </c>
      <c r="E68" s="7">
        <f ca="1">_xll.DBRW($B$9,$C$21,E$27,$B68,$C$23,$C$24,$C68,E$28)</f>
        <v>0</v>
      </c>
      <c r="F68" s="11">
        <f ca="1">_xll.DBRW($B$9,$C$21,F$27,$B68,$C$23,$C$24,$C68,F$28)</f>
        <v>0</v>
      </c>
      <c r="G68" s="4">
        <f ca="1">_xll.DBRW($B$9,$C$21,G$27,$B68,$C$23,$C$24,$C68,G$28)</f>
        <v>0</v>
      </c>
      <c r="H68" s="15">
        <f t="shared" ca="1" si="0"/>
        <v>0</v>
      </c>
      <c r="I68" s="4">
        <f ca="1">_xll.DBRW($B$9,$C$21,I$27,$B68,$C$23,$C$24,$C68,I$28)</f>
        <v>0</v>
      </c>
      <c r="J68" s="4">
        <f ca="1">_xll.DBRW($B$9,$C$21,J$27,$B68,$C$23,$C$24,$C68,J$28)</f>
        <v>0</v>
      </c>
      <c r="K68" s="1">
        <f t="shared" ca="1" si="1"/>
        <v>0</v>
      </c>
    </row>
    <row r="69" spans="1:11" x14ac:dyDescent="0.25">
      <c r="A69">
        <f ca="1">IF(_xll.TM1RPTELISCONSOLIDATED($C$29,$C69),IF(_xll.TM1RPTELLEV($C$29,$C69)&lt;=3,_xll.TM1RPTELLEV($C$29,$C69),"D"),"N")</f>
        <v>0</v>
      </c>
      <c r="B69" s="45" t="s">
        <v>8</v>
      </c>
      <c r="C69" s="46" t="s">
        <v>25</v>
      </c>
      <c r="D69" s="3">
        <f ca="1">_xll.DBRW($B$9,$C$21,D$27,$B69,$C$23,$C$24,$C69,D$28)</f>
        <v>0</v>
      </c>
      <c r="E69" s="10">
        <f ca="1">_xll.DBRW($B$9,$C$21,E$27,$B69,$C$23,$C$24,$C69,E$28)</f>
        <v>0</v>
      </c>
      <c r="F69" s="32">
        <f ca="1">_xll.DBRW($B$9,$C$21,F$27,$B69,$C$23,$C$24,$C69,F$28)</f>
        <v>0</v>
      </c>
      <c r="G69" s="3">
        <f ca="1">_xll.DBRW($B$9,$C$21,G$27,$B69,$C$23,$C$24,$C69,G$28)</f>
        <v>0</v>
      </c>
      <c r="H69" s="14">
        <f t="shared" ca="1" si="0"/>
        <v>0</v>
      </c>
      <c r="I69" s="3">
        <f ca="1">_xll.DBRW($B$9,$C$21,I$27,$B69,$C$23,$C$24,$C69,I$28)</f>
        <v>0</v>
      </c>
      <c r="J69" s="3">
        <f ca="1">_xll.DBRW($B$9,$C$21,J$27,$B69,$C$23,$C$24,$C69,J$28)</f>
        <v>0</v>
      </c>
      <c r="K69" s="1">
        <f t="shared" ca="1" si="1"/>
        <v>0</v>
      </c>
    </row>
    <row r="70" spans="1:11" x14ac:dyDescent="0.25">
      <c r="A70">
        <f ca="1">IF(_xll.TM1RPTELISCONSOLIDATED($C$29,$C70),IF(_xll.TM1RPTELLEV($C$29,$C70)&lt;=3,_xll.TM1RPTELLEV($C$29,$C70),"D"),"N")</f>
        <v>0</v>
      </c>
      <c r="B70" s="49" t="s">
        <v>8</v>
      </c>
      <c r="C70" s="46" t="s">
        <v>26</v>
      </c>
      <c r="D70" s="3">
        <f ca="1">_xll.DBRW($B$9,$C$21,D$27,$B70,$C$23,$C$24,$C70,D$28)</f>
        <v>0</v>
      </c>
      <c r="E70" s="10">
        <f ca="1">_xll.DBRW($B$9,$C$21,E$27,$B70,$C$23,$C$24,$C70,E$28)</f>
        <v>0</v>
      </c>
      <c r="F70" s="32">
        <f ca="1">_xll.DBRW($B$9,$C$21,F$27,$B70,$C$23,$C$24,$C70,F$28)</f>
        <v>0</v>
      </c>
      <c r="G70" s="3">
        <f ca="1">_xll.DBRW($B$9,$C$21,G$27,$B70,$C$23,$C$24,$C70,G$28)</f>
        <v>0</v>
      </c>
      <c r="H70" s="14">
        <f t="shared" ca="1" si="0"/>
        <v>0</v>
      </c>
      <c r="I70" s="3">
        <f ca="1">_xll.DBRW($B$9,$C$21,I$27,$B70,$C$23,$C$24,$C70,I$28)</f>
        <v>0</v>
      </c>
      <c r="J70" s="3">
        <f ca="1">_xll.DBRW($B$9,$C$21,J$27,$B70,$C$23,$C$24,$C70,J$28)</f>
        <v>0</v>
      </c>
      <c r="K70" s="1">
        <f t="shared" ca="1" si="1"/>
        <v>0</v>
      </c>
    </row>
    <row r="71" spans="1:11" x14ac:dyDescent="0.25">
      <c r="A71">
        <f ca="1">IF(_xll.TM1RPTELISCONSOLIDATED($C$29,$C71),IF(_xll.TM1RPTELLEV($C$29,$C71)&lt;=3,_xll.TM1RPTELLEV($C$29,$C71),"D"),"N")</f>
        <v>0</v>
      </c>
      <c r="B71" s="49" t="s">
        <v>8</v>
      </c>
      <c r="C71" s="46" t="s">
        <v>27</v>
      </c>
      <c r="D71" s="3">
        <f ca="1">_xll.DBRW($B$9,$C$21,D$27,$B71,$C$23,$C$24,$C71,D$28)</f>
        <v>0</v>
      </c>
      <c r="E71" s="10">
        <f ca="1">_xll.DBRW($B$9,$C$21,E$27,$B71,$C$23,$C$24,$C71,E$28)</f>
        <v>0</v>
      </c>
      <c r="F71" s="32">
        <f ca="1">_xll.DBRW($B$9,$C$21,F$27,$B71,$C$23,$C$24,$C71,F$28)</f>
        <v>0</v>
      </c>
      <c r="G71" s="3">
        <f ca="1">_xll.DBRW($B$9,$C$21,G$27,$B71,$C$23,$C$24,$C71,G$28)</f>
        <v>0</v>
      </c>
      <c r="H71" s="14">
        <f t="shared" ca="1" si="0"/>
        <v>0</v>
      </c>
      <c r="I71" s="3">
        <f ca="1">_xll.DBRW($B$9,$C$21,I$27,$B71,$C$23,$C$24,$C71,I$28)</f>
        <v>0</v>
      </c>
      <c r="J71" s="3">
        <f ca="1">_xll.DBRW($B$9,$C$21,J$27,$B71,$C$23,$C$24,$C71,J$28)</f>
        <v>0</v>
      </c>
      <c r="K71" s="1">
        <f t="shared" ca="1" si="1"/>
        <v>0</v>
      </c>
    </row>
    <row r="72" spans="1:11" x14ac:dyDescent="0.25">
      <c r="A72">
        <f ca="1">IF(_xll.TM1RPTELISCONSOLIDATED($C$29,$C72),IF(_xll.TM1RPTELLEV($C$29,$C72)&lt;=3,_xll.TM1RPTELLEV($C$29,$C72),"D"),"N")</f>
        <v>0</v>
      </c>
      <c r="B72" s="49" t="s">
        <v>8</v>
      </c>
      <c r="C72" s="47" t="s">
        <v>24</v>
      </c>
      <c r="D72" s="3">
        <f ca="1">_xll.DBRW($B$9,$C$21,D$27,$B72,$C$23,$C$24,$C72,D$28)</f>
        <v>0</v>
      </c>
      <c r="E72" s="10">
        <f ca="1">_xll.DBRW($B$9,$C$21,E$27,$B72,$C$23,$C$24,$C72,E$28)</f>
        <v>0</v>
      </c>
      <c r="F72" s="32">
        <f ca="1">_xll.DBRW($B$9,$C$21,F$27,$B72,$C$23,$C$24,$C72,F$28)</f>
        <v>0</v>
      </c>
      <c r="G72" s="3">
        <f ca="1">_xll.DBRW($B$9,$C$21,G$27,$B72,$C$23,$C$24,$C72,G$28)</f>
        <v>0</v>
      </c>
      <c r="H72" s="14">
        <f t="shared" ca="1" si="0"/>
        <v>0</v>
      </c>
      <c r="I72" s="3">
        <f ca="1">_xll.DBRW($B$9,$C$21,I$27,$B72,$C$23,$C$24,$C72,I$28)</f>
        <v>0</v>
      </c>
      <c r="J72" s="3">
        <f ca="1">_xll.DBRW($B$9,$C$21,J$27,$B72,$C$23,$C$24,$C72,J$28)</f>
        <v>0</v>
      </c>
      <c r="K72" s="1">
        <f t="shared" ca="1" si="1"/>
        <v>0</v>
      </c>
    </row>
    <row r="73" spans="1:11" x14ac:dyDescent="0.25">
      <c r="A73">
        <f ca="1">IF(_xll.TM1RPTELISCONSOLIDATED($C$29,$C73),IF(_xll.TM1RPTELLEV($C$29,$C73)&lt;=3,_xll.TM1RPTELLEV($C$29,$C73),"D"),"N")</f>
        <v>1</v>
      </c>
      <c r="B73" s="50" t="s">
        <v>8</v>
      </c>
      <c r="C73" s="48" t="s">
        <v>28</v>
      </c>
      <c r="D73" s="4">
        <f ca="1">_xll.DBRW($B$9,$C$21,D$27,$B73,$C$23,$C$24,$C73,D$28)</f>
        <v>0</v>
      </c>
      <c r="E73" s="7">
        <f ca="1">_xll.DBRW($B$9,$C$21,E$27,$B73,$C$23,$C$24,$C73,E$28)</f>
        <v>0</v>
      </c>
      <c r="F73" s="11">
        <f ca="1">_xll.DBRW($B$9,$C$21,F$27,$B73,$C$23,$C$24,$C73,F$28)</f>
        <v>0</v>
      </c>
      <c r="G73" s="4">
        <f ca="1">_xll.DBRW($B$9,$C$21,G$27,$B73,$C$23,$C$24,$C73,G$28)</f>
        <v>0</v>
      </c>
      <c r="H73" s="15">
        <f t="shared" ca="1" si="0"/>
        <v>0</v>
      </c>
      <c r="I73" s="4">
        <f ca="1">_xll.DBRW($B$9,$C$21,I$27,$B73,$C$23,$C$24,$C73,I$28)</f>
        <v>0</v>
      </c>
      <c r="J73" s="4">
        <f ca="1">_xll.DBRW($B$9,$C$21,J$27,$B73,$C$23,$C$24,$C73,J$28)</f>
        <v>0</v>
      </c>
      <c r="K73" s="1">
        <f t="shared" ca="1" si="1"/>
        <v>0</v>
      </c>
    </row>
    <row r="74" spans="1:11" x14ac:dyDescent="0.25">
      <c r="A74">
        <f ca="1">IF(_xll.TM1RPTELISCONSOLIDATED($C$29,$C74),IF(_xll.TM1RPTELLEV($C$29,$C74)&lt;=3,_xll.TM1RPTELLEV($C$29,$C74),"D"),"N")</f>
        <v>1</v>
      </c>
      <c r="B74" s="50" t="s">
        <v>8</v>
      </c>
      <c r="C74" s="48" t="s">
        <v>31</v>
      </c>
      <c r="D74" s="4">
        <f ca="1">_xll.DBRW($B$9,$C$21,D$27,$B74,$C$23,$C$24,$C74,D$28)</f>
        <v>0</v>
      </c>
      <c r="E74" s="7">
        <f ca="1">_xll.DBRW($B$9,$C$21,E$27,$B74,$C$23,$C$24,$C74,E$28)</f>
        <v>0</v>
      </c>
      <c r="F74" s="11">
        <f ca="1">_xll.DBRW($B$9,$C$21,F$27,$B74,$C$23,$C$24,$C74,F$28)</f>
        <v>0</v>
      </c>
      <c r="G74" s="4">
        <f ca="1">_xll.DBRW($B$9,$C$21,G$27,$B74,$C$23,$C$24,$C74,G$28)</f>
        <v>0</v>
      </c>
      <c r="H74" s="15">
        <f t="shared" ca="1" si="0"/>
        <v>0</v>
      </c>
      <c r="I74" s="4">
        <f ca="1">_xll.DBRW($B$9,$C$21,I$27,$B74,$C$23,$C$24,$C74,I$28)</f>
        <v>0</v>
      </c>
      <c r="J74" s="4">
        <f ca="1">_xll.DBRW($B$9,$C$21,J$27,$B74,$C$23,$C$24,$C74,J$28)</f>
        <v>0</v>
      </c>
      <c r="K74" s="1">
        <f t="shared" ca="1" si="1"/>
        <v>0</v>
      </c>
    </row>
    <row r="75" spans="1:11" x14ac:dyDescent="0.25">
      <c r="A75">
        <f ca="1">IF(_xll.TM1RPTELISCONSOLIDATED($C$29,$C75),IF(_xll.TM1RPTELLEV($C$29,$C75)&lt;=3,_xll.TM1RPTELLEV($C$29,$C75),"D"),"N")</f>
        <v>1</v>
      </c>
      <c r="B75" s="50" t="s">
        <v>8</v>
      </c>
      <c r="C75" s="48" t="s">
        <v>30</v>
      </c>
      <c r="D75" s="4">
        <f ca="1">_xll.DBRW($B$9,$C$21,D$27,$B75,$C$23,$C$24,$C75,D$28)</f>
        <v>0</v>
      </c>
      <c r="E75" s="7">
        <f ca="1">_xll.DBRW($B$9,$C$21,E$27,$B75,$C$23,$C$24,$C75,E$28)</f>
        <v>0</v>
      </c>
      <c r="F75" s="11">
        <f ca="1">_xll.DBRW($B$9,$C$21,F$27,$B75,$C$23,$C$24,$C75,F$28)</f>
        <v>0</v>
      </c>
      <c r="G75" s="4">
        <f ca="1">_xll.DBRW($B$9,$C$21,G$27,$B75,$C$23,$C$24,$C75,G$28)</f>
        <v>0</v>
      </c>
      <c r="H75" s="15">
        <f t="shared" ca="1" si="0"/>
        <v>0</v>
      </c>
      <c r="I75" s="4">
        <f ca="1">_xll.DBRW($B$9,$C$21,I$27,$B75,$C$23,$C$24,$C75,I$28)</f>
        <v>0</v>
      </c>
      <c r="J75" s="4">
        <f ca="1">_xll.DBRW($B$9,$C$21,J$27,$B75,$C$23,$C$24,$C75,J$28)</f>
        <v>0</v>
      </c>
      <c r="K75" s="1">
        <f t="shared" ca="1" si="1"/>
        <v>0</v>
      </c>
    </row>
    <row r="76" spans="1:11" x14ac:dyDescent="0.25">
      <c r="A76">
        <f ca="1">IF(_xll.TM1RPTELISCONSOLIDATED($C$29,$C76),IF(_xll.TM1RPTELLEV($C$29,$C76)&lt;=3,_xll.TM1RPTELLEV($C$29,$C76),"D"),"N")</f>
        <v>1</v>
      </c>
      <c r="B76" s="50" t="s">
        <v>8</v>
      </c>
      <c r="C76" s="48" t="s">
        <v>29</v>
      </c>
      <c r="D76" s="4">
        <f ca="1">_xll.DBRW($B$9,$C$21,D$27,$B76,$C$23,$C$24,$C76,D$28)</f>
        <v>0</v>
      </c>
      <c r="E76" s="7">
        <f ca="1">_xll.DBRW($B$9,$C$21,E$27,$B76,$C$23,$C$24,$C76,E$28)</f>
        <v>0</v>
      </c>
      <c r="F76" s="11">
        <f ca="1">_xll.DBRW($B$9,$C$21,F$27,$B76,$C$23,$C$24,$C76,F$28)</f>
        <v>0</v>
      </c>
      <c r="G76" s="4">
        <f ca="1">_xll.DBRW($B$9,$C$21,G$27,$B76,$C$23,$C$24,$C76,G$28)</f>
        <v>0</v>
      </c>
      <c r="H76" s="15">
        <f t="shared" ca="1" si="0"/>
        <v>0</v>
      </c>
      <c r="I76" s="4">
        <f ca="1">_xll.DBRW($B$9,$C$21,I$27,$B76,$C$23,$C$24,$C76,I$28)</f>
        <v>0</v>
      </c>
      <c r="J76" s="4">
        <f ca="1">_xll.DBRW($B$9,$C$21,J$27,$B76,$C$23,$C$24,$C76,J$28)</f>
        <v>0</v>
      </c>
      <c r="K76" s="1">
        <f t="shared" ca="1" si="1"/>
        <v>0</v>
      </c>
    </row>
    <row r="77" spans="1:11" x14ac:dyDescent="0.25">
      <c r="A77">
        <f ca="1">IF(_xll.TM1RPTELISCONSOLIDATED($C$29,$C77),IF(_xll.TM1RPTELLEV($C$29,$C77)&lt;=3,_xll.TM1RPTELLEV($C$29,$C77),"D"),"N")</f>
        <v>0</v>
      </c>
      <c r="B77" s="45" t="s">
        <v>7</v>
      </c>
      <c r="C77" s="46" t="s">
        <v>25</v>
      </c>
      <c r="D77" s="3">
        <f ca="1">_xll.DBRW($B$9,$C$21,D$27,$B77,$C$23,$C$24,$C77,D$28)</f>
        <v>0</v>
      </c>
      <c r="E77" s="10">
        <f ca="1">_xll.DBRW($B$9,$C$21,E$27,$B77,$C$23,$C$24,$C77,E$28)</f>
        <v>0</v>
      </c>
      <c r="F77" s="32">
        <f ca="1">_xll.DBRW($B$9,$C$21,F$27,$B77,$C$23,$C$24,$C77,F$28)</f>
        <v>0</v>
      </c>
      <c r="G77" s="3">
        <f ca="1">_xll.DBRW($B$9,$C$21,G$27,$B77,$C$23,$C$24,$C77,G$28)</f>
        <v>0</v>
      </c>
      <c r="H77" s="14">
        <f t="shared" ca="1" si="0"/>
        <v>0</v>
      </c>
      <c r="I77" s="3">
        <f ca="1">_xll.DBRW($B$9,$C$21,I$27,$B77,$C$23,$C$24,$C77,I$28)</f>
        <v>0</v>
      </c>
      <c r="J77" s="3">
        <f ca="1">_xll.DBRW($B$9,$C$21,J$27,$B77,$C$23,$C$24,$C77,J$28)</f>
        <v>0</v>
      </c>
      <c r="K77" s="1">
        <f t="shared" ca="1" si="1"/>
        <v>0</v>
      </c>
    </row>
    <row r="78" spans="1:11" x14ac:dyDescent="0.25">
      <c r="A78">
        <f ca="1">IF(_xll.TM1RPTELISCONSOLIDATED($C$29,$C78),IF(_xll.TM1RPTELLEV($C$29,$C78)&lt;=3,_xll.TM1RPTELLEV($C$29,$C78),"D"),"N")</f>
        <v>0</v>
      </c>
      <c r="B78" s="49" t="s">
        <v>7</v>
      </c>
      <c r="C78" s="46" t="s">
        <v>26</v>
      </c>
      <c r="D78" s="3">
        <f ca="1">_xll.DBRW($B$9,$C$21,D$27,$B78,$C$23,$C$24,$C78,D$28)</f>
        <v>0</v>
      </c>
      <c r="E78" s="10">
        <f ca="1">_xll.DBRW($B$9,$C$21,E$27,$B78,$C$23,$C$24,$C78,E$28)</f>
        <v>0</v>
      </c>
      <c r="F78" s="32">
        <f ca="1">_xll.DBRW($B$9,$C$21,F$27,$B78,$C$23,$C$24,$C78,F$28)</f>
        <v>0</v>
      </c>
      <c r="G78" s="3">
        <f ca="1">_xll.DBRW($B$9,$C$21,G$27,$B78,$C$23,$C$24,$C78,G$28)</f>
        <v>0</v>
      </c>
      <c r="H78" s="14">
        <f t="shared" ca="1" si="0"/>
        <v>0</v>
      </c>
      <c r="I78" s="3">
        <f ca="1">_xll.DBRW($B$9,$C$21,I$27,$B78,$C$23,$C$24,$C78,I$28)</f>
        <v>0</v>
      </c>
      <c r="J78" s="3">
        <f ca="1">_xll.DBRW($B$9,$C$21,J$27,$B78,$C$23,$C$24,$C78,J$28)</f>
        <v>0</v>
      </c>
      <c r="K78" s="1">
        <f t="shared" ca="1" si="1"/>
        <v>0</v>
      </c>
    </row>
    <row r="79" spans="1:11" x14ac:dyDescent="0.25">
      <c r="A79">
        <f ca="1">IF(_xll.TM1RPTELISCONSOLIDATED($C$29,$C79),IF(_xll.TM1RPTELLEV($C$29,$C79)&lt;=3,_xll.TM1RPTELLEV($C$29,$C79),"D"),"N")</f>
        <v>0</v>
      </c>
      <c r="B79" s="49" t="s">
        <v>7</v>
      </c>
      <c r="C79" s="46" t="s">
        <v>27</v>
      </c>
      <c r="D79" s="3">
        <f ca="1">_xll.DBRW($B$9,$C$21,D$27,$B79,$C$23,$C$24,$C79,D$28)</f>
        <v>0</v>
      </c>
      <c r="E79" s="10">
        <f ca="1">_xll.DBRW($B$9,$C$21,E$27,$B79,$C$23,$C$24,$C79,E$28)</f>
        <v>0</v>
      </c>
      <c r="F79" s="32">
        <f ca="1">_xll.DBRW($B$9,$C$21,F$27,$B79,$C$23,$C$24,$C79,F$28)</f>
        <v>0</v>
      </c>
      <c r="G79" s="3">
        <f ca="1">_xll.DBRW($B$9,$C$21,G$27,$B79,$C$23,$C$24,$C79,G$28)</f>
        <v>0</v>
      </c>
      <c r="H79" s="14">
        <f t="shared" ca="1" si="0"/>
        <v>0</v>
      </c>
      <c r="I79" s="3">
        <f ca="1">_xll.DBRW($B$9,$C$21,I$27,$B79,$C$23,$C$24,$C79,I$28)</f>
        <v>0</v>
      </c>
      <c r="J79" s="3">
        <f ca="1">_xll.DBRW($B$9,$C$21,J$27,$B79,$C$23,$C$24,$C79,J$28)</f>
        <v>0</v>
      </c>
      <c r="K79" s="1">
        <f t="shared" ca="1" si="1"/>
        <v>0</v>
      </c>
    </row>
    <row r="80" spans="1:11" x14ac:dyDescent="0.25">
      <c r="A80">
        <f ca="1">IF(_xll.TM1RPTELISCONSOLIDATED($C$29,$C80),IF(_xll.TM1RPTELLEV($C$29,$C80)&lt;=3,_xll.TM1RPTELLEV($C$29,$C80),"D"),"N")</f>
        <v>0</v>
      </c>
      <c r="B80" s="49" t="s">
        <v>7</v>
      </c>
      <c r="C80" s="47" t="s">
        <v>24</v>
      </c>
      <c r="D80" s="3">
        <f ca="1">_xll.DBRW($B$9,$C$21,D$27,$B80,$C$23,$C$24,$C80,D$28)</f>
        <v>0</v>
      </c>
      <c r="E80" s="10">
        <f ca="1">_xll.DBRW($B$9,$C$21,E$27,$B80,$C$23,$C$24,$C80,E$28)</f>
        <v>0</v>
      </c>
      <c r="F80" s="32">
        <f ca="1">_xll.DBRW($B$9,$C$21,F$27,$B80,$C$23,$C$24,$C80,F$28)</f>
        <v>0</v>
      </c>
      <c r="G80" s="3">
        <f ca="1">_xll.DBRW($B$9,$C$21,G$27,$B80,$C$23,$C$24,$C80,G$28)</f>
        <v>0</v>
      </c>
      <c r="H80" s="14">
        <f t="shared" ca="1" si="0"/>
        <v>0</v>
      </c>
      <c r="I80" s="3">
        <f ca="1">_xll.DBRW($B$9,$C$21,I$27,$B80,$C$23,$C$24,$C80,I$28)</f>
        <v>0</v>
      </c>
      <c r="J80" s="3">
        <f ca="1">_xll.DBRW($B$9,$C$21,J$27,$B80,$C$23,$C$24,$C80,J$28)</f>
        <v>0</v>
      </c>
      <c r="K80" s="1">
        <f t="shared" ca="1" si="1"/>
        <v>0</v>
      </c>
    </row>
    <row r="81" spans="1:11" x14ac:dyDescent="0.25">
      <c r="A81">
        <f ca="1">IF(_xll.TM1RPTELISCONSOLIDATED($C$29,$C81),IF(_xll.TM1RPTELLEV($C$29,$C81)&lt;=3,_xll.TM1RPTELLEV($C$29,$C81),"D"),"N")</f>
        <v>1</v>
      </c>
      <c r="B81" s="50" t="s">
        <v>7</v>
      </c>
      <c r="C81" s="48" t="s">
        <v>28</v>
      </c>
      <c r="D81" s="4">
        <f ca="1">_xll.DBRW($B$9,$C$21,D$27,$B81,$C$23,$C$24,$C81,D$28)</f>
        <v>0</v>
      </c>
      <c r="E81" s="7">
        <f ca="1">_xll.DBRW($B$9,$C$21,E$27,$B81,$C$23,$C$24,$C81,E$28)</f>
        <v>0</v>
      </c>
      <c r="F81" s="11">
        <f ca="1">_xll.DBRW($B$9,$C$21,F$27,$B81,$C$23,$C$24,$C81,F$28)</f>
        <v>0</v>
      </c>
      <c r="G81" s="4">
        <f ca="1">_xll.DBRW($B$9,$C$21,G$27,$B81,$C$23,$C$24,$C81,G$28)</f>
        <v>0</v>
      </c>
      <c r="H81" s="15">
        <f t="shared" ca="1" si="0"/>
        <v>0</v>
      </c>
      <c r="I81" s="4">
        <f ca="1">_xll.DBRW($B$9,$C$21,I$27,$B81,$C$23,$C$24,$C81,I$28)</f>
        <v>0</v>
      </c>
      <c r="J81" s="4">
        <f ca="1">_xll.DBRW($B$9,$C$21,J$27,$B81,$C$23,$C$24,$C81,J$28)</f>
        <v>0</v>
      </c>
      <c r="K81" s="1">
        <f t="shared" ca="1" si="1"/>
        <v>0</v>
      </c>
    </row>
    <row r="82" spans="1:11" x14ac:dyDescent="0.25">
      <c r="A82">
        <f ca="1">IF(_xll.TM1RPTELISCONSOLIDATED($C$29,$C82),IF(_xll.TM1RPTELLEV($C$29,$C82)&lt;=3,_xll.TM1RPTELLEV($C$29,$C82),"D"),"N")</f>
        <v>1</v>
      </c>
      <c r="B82" s="50" t="s">
        <v>7</v>
      </c>
      <c r="C82" s="48" t="s">
        <v>31</v>
      </c>
      <c r="D82" s="4">
        <f ca="1">_xll.DBRW($B$9,$C$21,D$27,$B82,$C$23,$C$24,$C82,D$28)</f>
        <v>0</v>
      </c>
      <c r="E82" s="7">
        <f ca="1">_xll.DBRW($B$9,$C$21,E$27,$B82,$C$23,$C$24,$C82,E$28)</f>
        <v>0</v>
      </c>
      <c r="F82" s="11">
        <f ca="1">_xll.DBRW($B$9,$C$21,F$27,$B82,$C$23,$C$24,$C82,F$28)</f>
        <v>0</v>
      </c>
      <c r="G82" s="4">
        <f ca="1">_xll.DBRW($B$9,$C$21,G$27,$B82,$C$23,$C$24,$C82,G$28)</f>
        <v>0</v>
      </c>
      <c r="H82" s="15">
        <f t="shared" ca="1" si="0"/>
        <v>0</v>
      </c>
      <c r="I82" s="4">
        <f ca="1">_xll.DBRW($B$9,$C$21,I$27,$B82,$C$23,$C$24,$C82,I$28)</f>
        <v>0</v>
      </c>
      <c r="J82" s="4">
        <f ca="1">_xll.DBRW($B$9,$C$21,J$27,$B82,$C$23,$C$24,$C82,J$28)</f>
        <v>0</v>
      </c>
      <c r="K82" s="1">
        <f t="shared" ca="1" si="1"/>
        <v>0</v>
      </c>
    </row>
    <row r="83" spans="1:11" x14ac:dyDescent="0.25">
      <c r="A83">
        <f ca="1">IF(_xll.TM1RPTELISCONSOLIDATED($C$29,$C83),IF(_xll.TM1RPTELLEV($C$29,$C83)&lt;=3,_xll.TM1RPTELLEV($C$29,$C83),"D"),"N")</f>
        <v>1</v>
      </c>
      <c r="B83" s="50" t="s">
        <v>7</v>
      </c>
      <c r="C83" s="48" t="s">
        <v>30</v>
      </c>
      <c r="D83" s="4">
        <f ca="1">_xll.DBRW($B$9,$C$21,D$27,$B83,$C$23,$C$24,$C83,D$28)</f>
        <v>0</v>
      </c>
      <c r="E83" s="7">
        <f ca="1">_xll.DBRW($B$9,$C$21,E$27,$B83,$C$23,$C$24,$C83,E$28)</f>
        <v>0</v>
      </c>
      <c r="F83" s="11">
        <f ca="1">_xll.DBRW($B$9,$C$21,F$27,$B83,$C$23,$C$24,$C83,F$28)</f>
        <v>0</v>
      </c>
      <c r="G83" s="4">
        <f ca="1">_xll.DBRW($B$9,$C$21,G$27,$B83,$C$23,$C$24,$C83,G$28)</f>
        <v>0</v>
      </c>
      <c r="H83" s="15">
        <f t="shared" ca="1" si="0"/>
        <v>0</v>
      </c>
      <c r="I83" s="4">
        <f ca="1">_xll.DBRW($B$9,$C$21,I$27,$B83,$C$23,$C$24,$C83,I$28)</f>
        <v>0</v>
      </c>
      <c r="J83" s="4">
        <f ca="1">_xll.DBRW($B$9,$C$21,J$27,$B83,$C$23,$C$24,$C83,J$28)</f>
        <v>0</v>
      </c>
      <c r="K83" s="1">
        <f t="shared" ca="1" si="1"/>
        <v>0</v>
      </c>
    </row>
    <row r="84" spans="1:11" x14ac:dyDescent="0.25">
      <c r="A84">
        <f ca="1">IF(_xll.TM1RPTELISCONSOLIDATED($C$29,$C84),IF(_xll.TM1RPTELLEV($C$29,$C84)&lt;=3,_xll.TM1RPTELLEV($C$29,$C84),"D"),"N")</f>
        <v>1</v>
      </c>
      <c r="B84" s="50" t="s">
        <v>7</v>
      </c>
      <c r="C84" s="48" t="s">
        <v>29</v>
      </c>
      <c r="D84" s="4">
        <f ca="1">_xll.DBRW($B$9,$C$21,D$27,$B84,$C$23,$C$24,$C84,D$28)</f>
        <v>0</v>
      </c>
      <c r="E84" s="7">
        <f ca="1">_xll.DBRW($B$9,$C$21,E$27,$B84,$C$23,$C$24,$C84,E$28)</f>
        <v>0</v>
      </c>
      <c r="F84" s="11">
        <f ca="1">_xll.DBRW($B$9,$C$21,F$27,$B84,$C$23,$C$24,$C84,F$28)</f>
        <v>0</v>
      </c>
      <c r="G84" s="4">
        <f ca="1">_xll.DBRW($B$9,$C$21,G$27,$B84,$C$23,$C$24,$C84,G$28)</f>
        <v>0</v>
      </c>
      <c r="H84" s="15">
        <f t="shared" ca="1" si="0"/>
        <v>0</v>
      </c>
      <c r="I84" s="4">
        <f ca="1">_xll.DBRW($B$9,$C$21,I$27,$B84,$C$23,$C$24,$C84,I$28)</f>
        <v>0</v>
      </c>
      <c r="J84" s="4">
        <f ca="1">_xll.DBRW($B$9,$C$21,J$27,$B84,$C$23,$C$24,$C84,J$28)</f>
        <v>0</v>
      </c>
      <c r="K84" s="1">
        <f t="shared" ca="1" si="1"/>
        <v>0</v>
      </c>
    </row>
    <row r="85" spans="1:11" x14ac:dyDescent="0.25">
      <c r="A85">
        <f ca="1">IF(_xll.TM1RPTELISCONSOLIDATED($C$29,$C85),IF(_xll.TM1RPTELLEV($C$29,$C85)&lt;=3,_xll.TM1RPTELLEV($C$29,$C85),"D"),"N")</f>
        <v>0</v>
      </c>
      <c r="B85" s="45" t="s">
        <v>6</v>
      </c>
      <c r="C85" s="46" t="s">
        <v>25</v>
      </c>
      <c r="D85" s="3">
        <f ca="1">_xll.DBRW($B$9,$C$21,D$27,$B85,$C$23,$C$24,$C85,D$28)</f>
        <v>0</v>
      </c>
      <c r="E85" s="10">
        <f ca="1">_xll.DBRW($B$9,$C$21,E$27,$B85,$C$23,$C$24,$C85,E$28)</f>
        <v>0</v>
      </c>
      <c r="F85" s="32">
        <f ca="1">_xll.DBRW($B$9,$C$21,F$27,$B85,$C$23,$C$24,$C85,F$28)</f>
        <v>0</v>
      </c>
      <c r="G85" s="3">
        <f ca="1">_xll.DBRW($B$9,$C$21,G$27,$B85,$C$23,$C$24,$C85,G$28)</f>
        <v>0</v>
      </c>
      <c r="H85" s="14">
        <f t="shared" ca="1" si="0"/>
        <v>0</v>
      </c>
      <c r="I85" s="3">
        <f ca="1">_xll.DBRW($B$9,$C$21,I$27,$B85,$C$23,$C$24,$C85,I$28)</f>
        <v>0</v>
      </c>
      <c r="J85" s="3">
        <f ca="1">_xll.DBRW($B$9,$C$21,J$27,$B85,$C$23,$C$24,$C85,J$28)</f>
        <v>0</v>
      </c>
      <c r="K85" s="1">
        <f t="shared" ca="1" si="1"/>
        <v>0</v>
      </c>
    </row>
    <row r="86" spans="1:11" x14ac:dyDescent="0.25">
      <c r="A86">
        <f ca="1">IF(_xll.TM1RPTELISCONSOLIDATED($C$29,$C86),IF(_xll.TM1RPTELLEV($C$29,$C86)&lt;=3,_xll.TM1RPTELLEV($C$29,$C86),"D"),"N")</f>
        <v>0</v>
      </c>
      <c r="B86" s="49" t="s">
        <v>6</v>
      </c>
      <c r="C86" s="46" t="s">
        <v>26</v>
      </c>
      <c r="D86" s="3">
        <f ca="1">_xll.DBRW($B$9,$C$21,D$27,$B86,$C$23,$C$24,$C86,D$28)</f>
        <v>0</v>
      </c>
      <c r="E86" s="10">
        <f ca="1">_xll.DBRW($B$9,$C$21,E$27,$B86,$C$23,$C$24,$C86,E$28)</f>
        <v>0</v>
      </c>
      <c r="F86" s="32">
        <f ca="1">_xll.DBRW($B$9,$C$21,F$27,$B86,$C$23,$C$24,$C86,F$28)</f>
        <v>0</v>
      </c>
      <c r="G86" s="3">
        <f ca="1">_xll.DBRW($B$9,$C$21,G$27,$B86,$C$23,$C$24,$C86,G$28)</f>
        <v>0</v>
      </c>
      <c r="H86" s="14">
        <f t="shared" ca="1" si="0"/>
        <v>0</v>
      </c>
      <c r="I86" s="3">
        <f ca="1">_xll.DBRW($B$9,$C$21,I$27,$B86,$C$23,$C$24,$C86,I$28)</f>
        <v>0</v>
      </c>
      <c r="J86" s="3">
        <f ca="1">_xll.DBRW($B$9,$C$21,J$27,$B86,$C$23,$C$24,$C86,J$28)</f>
        <v>0</v>
      </c>
      <c r="K86" s="1">
        <f t="shared" ca="1" si="1"/>
        <v>0</v>
      </c>
    </row>
    <row r="87" spans="1:11" x14ac:dyDescent="0.25">
      <c r="A87">
        <f ca="1">IF(_xll.TM1RPTELISCONSOLIDATED($C$29,$C87),IF(_xll.TM1RPTELLEV($C$29,$C87)&lt;=3,_xll.TM1RPTELLEV($C$29,$C87),"D"),"N")</f>
        <v>0</v>
      </c>
      <c r="B87" s="49" t="s">
        <v>6</v>
      </c>
      <c r="C87" s="46" t="s">
        <v>27</v>
      </c>
      <c r="D87" s="3">
        <f ca="1">_xll.DBRW($B$9,$C$21,D$27,$B87,$C$23,$C$24,$C87,D$28)</f>
        <v>0</v>
      </c>
      <c r="E87" s="10">
        <f ca="1">_xll.DBRW($B$9,$C$21,E$27,$B87,$C$23,$C$24,$C87,E$28)</f>
        <v>0</v>
      </c>
      <c r="F87" s="32">
        <f ca="1">_xll.DBRW($B$9,$C$21,F$27,$B87,$C$23,$C$24,$C87,F$28)</f>
        <v>0</v>
      </c>
      <c r="G87" s="3">
        <f ca="1">_xll.DBRW($B$9,$C$21,G$27,$B87,$C$23,$C$24,$C87,G$28)</f>
        <v>0</v>
      </c>
      <c r="H87" s="14">
        <f t="shared" ca="1" si="0"/>
        <v>0</v>
      </c>
      <c r="I87" s="3">
        <f ca="1">_xll.DBRW($B$9,$C$21,I$27,$B87,$C$23,$C$24,$C87,I$28)</f>
        <v>0</v>
      </c>
      <c r="J87" s="3">
        <f ca="1">_xll.DBRW($B$9,$C$21,J$27,$B87,$C$23,$C$24,$C87,J$28)</f>
        <v>0</v>
      </c>
      <c r="K87" s="1">
        <f t="shared" ca="1" si="1"/>
        <v>0</v>
      </c>
    </row>
    <row r="88" spans="1:11" x14ac:dyDescent="0.25">
      <c r="A88">
        <f ca="1">IF(_xll.TM1RPTELISCONSOLIDATED($C$29,$C88),IF(_xll.TM1RPTELLEV($C$29,$C88)&lt;=3,_xll.TM1RPTELLEV($C$29,$C88),"D"),"N")</f>
        <v>0</v>
      </c>
      <c r="B88" s="49" t="s">
        <v>6</v>
      </c>
      <c r="C88" s="47" t="s">
        <v>24</v>
      </c>
      <c r="D88" s="3">
        <f ca="1">_xll.DBRW($B$9,$C$21,D$27,$B88,$C$23,$C$24,$C88,D$28)</f>
        <v>0</v>
      </c>
      <c r="E88" s="10">
        <f ca="1">_xll.DBRW($B$9,$C$21,E$27,$B88,$C$23,$C$24,$C88,E$28)</f>
        <v>0</v>
      </c>
      <c r="F88" s="32">
        <f ca="1">_xll.DBRW($B$9,$C$21,F$27,$B88,$C$23,$C$24,$C88,F$28)</f>
        <v>0</v>
      </c>
      <c r="G88" s="3">
        <f ca="1">_xll.DBRW($B$9,$C$21,G$27,$B88,$C$23,$C$24,$C88,G$28)</f>
        <v>0</v>
      </c>
      <c r="H88" s="14">
        <f t="shared" ca="1" si="0"/>
        <v>0</v>
      </c>
      <c r="I88" s="3">
        <f ca="1">_xll.DBRW($B$9,$C$21,I$27,$B88,$C$23,$C$24,$C88,I$28)</f>
        <v>0</v>
      </c>
      <c r="J88" s="3">
        <f ca="1">_xll.DBRW($B$9,$C$21,J$27,$B88,$C$23,$C$24,$C88,J$28)</f>
        <v>0</v>
      </c>
      <c r="K88" s="1">
        <f t="shared" ca="1" si="1"/>
        <v>0</v>
      </c>
    </row>
    <row r="89" spans="1:11" x14ac:dyDescent="0.25">
      <c r="A89">
        <f ca="1">IF(_xll.TM1RPTELISCONSOLIDATED($C$29,$C89),IF(_xll.TM1RPTELLEV($C$29,$C89)&lt;=3,_xll.TM1RPTELLEV($C$29,$C89),"D"),"N")</f>
        <v>1</v>
      </c>
      <c r="B89" s="50" t="s">
        <v>6</v>
      </c>
      <c r="C89" s="48" t="s">
        <v>28</v>
      </c>
      <c r="D89" s="4">
        <f ca="1">_xll.DBRW($B$9,$C$21,D$27,$B89,$C$23,$C$24,$C89,D$28)</f>
        <v>0</v>
      </c>
      <c r="E89" s="7">
        <f ca="1">_xll.DBRW($B$9,$C$21,E$27,$B89,$C$23,$C$24,$C89,E$28)</f>
        <v>0</v>
      </c>
      <c r="F89" s="11">
        <f ca="1">_xll.DBRW($B$9,$C$21,F$27,$B89,$C$23,$C$24,$C89,F$28)</f>
        <v>0</v>
      </c>
      <c r="G89" s="4">
        <f ca="1">_xll.DBRW($B$9,$C$21,G$27,$B89,$C$23,$C$24,$C89,G$28)</f>
        <v>0</v>
      </c>
      <c r="H89" s="15">
        <f t="shared" ca="1" si="0"/>
        <v>0</v>
      </c>
      <c r="I89" s="4">
        <f ca="1">_xll.DBRW($B$9,$C$21,I$27,$B89,$C$23,$C$24,$C89,I$28)</f>
        <v>0</v>
      </c>
      <c r="J89" s="4">
        <f ca="1">_xll.DBRW($B$9,$C$21,J$27,$B89,$C$23,$C$24,$C89,J$28)</f>
        <v>0</v>
      </c>
      <c r="K89" s="1">
        <f t="shared" ca="1" si="1"/>
        <v>0</v>
      </c>
    </row>
    <row r="90" spans="1:11" x14ac:dyDescent="0.25">
      <c r="A90">
        <f ca="1">IF(_xll.TM1RPTELISCONSOLIDATED($C$29,$C90),IF(_xll.TM1RPTELLEV($C$29,$C90)&lt;=3,_xll.TM1RPTELLEV($C$29,$C90),"D"),"N")</f>
        <v>1</v>
      </c>
      <c r="B90" s="50" t="s">
        <v>6</v>
      </c>
      <c r="C90" s="48" t="s">
        <v>31</v>
      </c>
      <c r="D90" s="4">
        <f ca="1">_xll.DBRW($B$9,$C$21,D$27,$B90,$C$23,$C$24,$C90,D$28)</f>
        <v>0</v>
      </c>
      <c r="E90" s="7">
        <f ca="1">_xll.DBRW($B$9,$C$21,E$27,$B90,$C$23,$C$24,$C90,E$28)</f>
        <v>0</v>
      </c>
      <c r="F90" s="11">
        <f ca="1">_xll.DBRW($B$9,$C$21,F$27,$B90,$C$23,$C$24,$C90,F$28)</f>
        <v>0</v>
      </c>
      <c r="G90" s="4">
        <f ca="1">_xll.DBRW($B$9,$C$21,G$27,$B90,$C$23,$C$24,$C90,G$28)</f>
        <v>0</v>
      </c>
      <c r="H90" s="15">
        <f t="shared" ca="1" si="0"/>
        <v>0</v>
      </c>
      <c r="I90" s="4">
        <f ca="1">_xll.DBRW($B$9,$C$21,I$27,$B90,$C$23,$C$24,$C90,I$28)</f>
        <v>0</v>
      </c>
      <c r="J90" s="4">
        <f ca="1">_xll.DBRW($B$9,$C$21,J$27,$B90,$C$23,$C$24,$C90,J$28)</f>
        <v>0</v>
      </c>
      <c r="K90" s="1">
        <f t="shared" ca="1" si="1"/>
        <v>0</v>
      </c>
    </row>
    <row r="91" spans="1:11" x14ac:dyDescent="0.25">
      <c r="A91">
        <f ca="1">IF(_xll.TM1RPTELISCONSOLIDATED($C$29,$C91),IF(_xll.TM1RPTELLEV($C$29,$C91)&lt;=3,_xll.TM1RPTELLEV($C$29,$C91),"D"),"N")</f>
        <v>1</v>
      </c>
      <c r="B91" s="50" t="s">
        <v>6</v>
      </c>
      <c r="C91" s="48" t="s">
        <v>30</v>
      </c>
      <c r="D91" s="4">
        <f ca="1">_xll.DBRW($B$9,$C$21,D$27,$B91,$C$23,$C$24,$C91,D$28)</f>
        <v>0</v>
      </c>
      <c r="E91" s="7">
        <f ca="1">_xll.DBRW($B$9,$C$21,E$27,$B91,$C$23,$C$24,$C91,E$28)</f>
        <v>0</v>
      </c>
      <c r="F91" s="11">
        <f ca="1">_xll.DBRW($B$9,$C$21,F$27,$B91,$C$23,$C$24,$C91,F$28)</f>
        <v>0</v>
      </c>
      <c r="G91" s="4">
        <f ca="1">_xll.DBRW($B$9,$C$21,G$27,$B91,$C$23,$C$24,$C91,G$28)</f>
        <v>0</v>
      </c>
      <c r="H91" s="15">
        <f t="shared" ca="1" si="0"/>
        <v>0</v>
      </c>
      <c r="I91" s="4">
        <f ca="1">_xll.DBRW($B$9,$C$21,I$27,$B91,$C$23,$C$24,$C91,I$28)</f>
        <v>0</v>
      </c>
      <c r="J91" s="4">
        <f ca="1">_xll.DBRW($B$9,$C$21,J$27,$B91,$C$23,$C$24,$C91,J$28)</f>
        <v>0</v>
      </c>
      <c r="K91" s="1">
        <f t="shared" ca="1" si="1"/>
        <v>0</v>
      </c>
    </row>
    <row r="92" spans="1:11" x14ac:dyDescent="0.25">
      <c r="A92">
        <f ca="1">IF(_xll.TM1RPTELISCONSOLIDATED($C$29,$C92),IF(_xll.TM1RPTELLEV($C$29,$C92)&lt;=3,_xll.TM1RPTELLEV($C$29,$C92),"D"),"N")</f>
        <v>1</v>
      </c>
      <c r="B92" s="50" t="s">
        <v>6</v>
      </c>
      <c r="C92" s="48" t="s">
        <v>29</v>
      </c>
      <c r="D92" s="4">
        <f ca="1">_xll.DBRW($B$9,$C$21,D$27,$B92,$C$23,$C$24,$C92,D$28)</f>
        <v>0</v>
      </c>
      <c r="E92" s="7">
        <f ca="1">_xll.DBRW($B$9,$C$21,E$27,$B92,$C$23,$C$24,$C92,E$28)</f>
        <v>0</v>
      </c>
      <c r="F92" s="11">
        <f ca="1">_xll.DBRW($B$9,$C$21,F$27,$B92,$C$23,$C$24,$C92,F$28)</f>
        <v>0</v>
      </c>
      <c r="G92" s="4">
        <f ca="1">_xll.DBRW($B$9,$C$21,G$27,$B92,$C$23,$C$24,$C92,G$28)</f>
        <v>0</v>
      </c>
      <c r="H92" s="15">
        <f t="shared" ca="1" si="0"/>
        <v>0</v>
      </c>
      <c r="I92" s="4">
        <f ca="1">_xll.DBRW($B$9,$C$21,I$27,$B92,$C$23,$C$24,$C92,I$28)</f>
        <v>0</v>
      </c>
      <c r="J92" s="4">
        <f ca="1">_xll.DBRW($B$9,$C$21,J$27,$B92,$C$23,$C$24,$C92,J$28)</f>
        <v>0</v>
      </c>
      <c r="K92" s="1">
        <f t="shared" ca="1" si="1"/>
        <v>0</v>
      </c>
    </row>
    <row r="93" spans="1:11" x14ac:dyDescent="0.25">
      <c r="A93">
        <f ca="1">IF(_xll.TM1RPTELISCONSOLIDATED($C$29,$C93),IF(_xll.TM1RPTELLEV($C$29,$C93)&lt;=3,_xll.TM1RPTELLEV($C$29,$C93),"D"),"N")</f>
        <v>0</v>
      </c>
      <c r="B93" s="45" t="s">
        <v>17</v>
      </c>
      <c r="C93" s="46" t="s">
        <v>25</v>
      </c>
      <c r="D93" s="3">
        <f ca="1">_xll.DBRW($B$9,$C$21,D$27,$B93,$C$23,$C$24,$C93,D$28)</f>
        <v>0</v>
      </c>
      <c r="E93" s="10">
        <f ca="1">_xll.DBRW($B$9,$C$21,E$27,$B93,$C$23,$C$24,$C93,E$28)</f>
        <v>0</v>
      </c>
      <c r="F93" s="32">
        <f ca="1">_xll.DBRW($B$9,$C$21,F$27,$B93,$C$23,$C$24,$C93,F$28)</f>
        <v>0</v>
      </c>
      <c r="G93" s="3">
        <f ca="1">_xll.DBRW($B$9,$C$21,G$27,$B93,$C$23,$C$24,$C93,G$28)</f>
        <v>0</v>
      </c>
      <c r="H93" s="14">
        <f t="shared" ca="1" si="0"/>
        <v>0</v>
      </c>
      <c r="I93" s="3">
        <f ca="1">_xll.DBRW($B$9,$C$21,I$27,$B93,$C$23,$C$24,$C93,I$28)</f>
        <v>0</v>
      </c>
      <c r="J93" s="3">
        <f ca="1">_xll.DBRW($B$9,$C$21,J$27,$B93,$C$23,$C$24,$C93,J$28)</f>
        <v>0</v>
      </c>
      <c r="K93" s="1">
        <f t="shared" ca="1" si="1"/>
        <v>0</v>
      </c>
    </row>
    <row r="94" spans="1:11" x14ac:dyDescent="0.25">
      <c r="A94">
        <f ca="1">IF(_xll.TM1RPTELISCONSOLIDATED($C$29,$C94),IF(_xll.TM1RPTELLEV($C$29,$C94)&lt;=3,_xll.TM1RPTELLEV($C$29,$C94),"D"),"N")</f>
        <v>0</v>
      </c>
      <c r="B94" s="49" t="s">
        <v>17</v>
      </c>
      <c r="C94" s="46" t="s">
        <v>26</v>
      </c>
      <c r="D94" s="3">
        <f ca="1">_xll.DBRW($B$9,$C$21,D$27,$B94,$C$23,$C$24,$C94,D$28)</f>
        <v>0</v>
      </c>
      <c r="E94" s="10">
        <f ca="1">_xll.DBRW($B$9,$C$21,E$27,$B94,$C$23,$C$24,$C94,E$28)</f>
        <v>0</v>
      </c>
      <c r="F94" s="32">
        <f ca="1">_xll.DBRW($B$9,$C$21,F$27,$B94,$C$23,$C$24,$C94,F$28)</f>
        <v>0</v>
      </c>
      <c r="G94" s="3">
        <f ca="1">_xll.DBRW($B$9,$C$21,G$27,$B94,$C$23,$C$24,$C94,G$28)</f>
        <v>0</v>
      </c>
      <c r="H94" s="14">
        <f t="shared" ref="H94:H116" ca="1" si="2">IF(E94&lt;&gt;0,(G94-E94)/E94,0)</f>
        <v>0</v>
      </c>
      <c r="I94" s="3">
        <f ca="1">_xll.DBRW($B$9,$C$21,I$27,$B94,$C$23,$C$24,$C94,I$28)</f>
        <v>0</v>
      </c>
      <c r="J94" s="3">
        <f ca="1">_xll.DBRW($B$9,$C$21,J$27,$B94,$C$23,$C$24,$C94,J$28)</f>
        <v>0</v>
      </c>
      <c r="K94" s="1">
        <f t="shared" ref="K94:K116" ca="1" si="3">IF(G94&lt;&gt;0,(J94-G94)/G94,0)</f>
        <v>0</v>
      </c>
    </row>
    <row r="95" spans="1:11" x14ac:dyDescent="0.25">
      <c r="A95">
        <f ca="1">IF(_xll.TM1RPTELISCONSOLIDATED($C$29,$C95),IF(_xll.TM1RPTELLEV($C$29,$C95)&lt;=3,_xll.TM1RPTELLEV($C$29,$C95),"D"),"N")</f>
        <v>0</v>
      </c>
      <c r="B95" s="49" t="s">
        <v>17</v>
      </c>
      <c r="C95" s="46" t="s">
        <v>27</v>
      </c>
      <c r="D95" s="3">
        <f ca="1">_xll.DBRW($B$9,$C$21,D$27,$B95,$C$23,$C$24,$C95,D$28)</f>
        <v>0</v>
      </c>
      <c r="E95" s="10">
        <f ca="1">_xll.DBRW($B$9,$C$21,E$27,$B95,$C$23,$C$24,$C95,E$28)</f>
        <v>0</v>
      </c>
      <c r="F95" s="32">
        <f ca="1">_xll.DBRW($B$9,$C$21,F$27,$B95,$C$23,$C$24,$C95,F$28)</f>
        <v>0</v>
      </c>
      <c r="G95" s="3">
        <f ca="1">_xll.DBRW($B$9,$C$21,G$27,$B95,$C$23,$C$24,$C95,G$28)</f>
        <v>0</v>
      </c>
      <c r="H95" s="14">
        <f t="shared" ca="1" si="2"/>
        <v>0</v>
      </c>
      <c r="I95" s="3">
        <f ca="1">_xll.DBRW($B$9,$C$21,I$27,$B95,$C$23,$C$24,$C95,I$28)</f>
        <v>0</v>
      </c>
      <c r="J95" s="3">
        <f ca="1">_xll.DBRW($B$9,$C$21,J$27,$B95,$C$23,$C$24,$C95,J$28)</f>
        <v>0</v>
      </c>
      <c r="K95" s="1">
        <f t="shared" ca="1" si="3"/>
        <v>0</v>
      </c>
    </row>
    <row r="96" spans="1:11" x14ac:dyDescent="0.25">
      <c r="A96">
        <f ca="1">IF(_xll.TM1RPTELISCONSOLIDATED($C$29,$C96),IF(_xll.TM1RPTELLEV($C$29,$C96)&lt;=3,_xll.TM1RPTELLEV($C$29,$C96),"D"),"N")</f>
        <v>0</v>
      </c>
      <c r="B96" s="49" t="s">
        <v>17</v>
      </c>
      <c r="C96" s="47" t="s">
        <v>24</v>
      </c>
      <c r="D96" s="3">
        <f ca="1">_xll.DBRW($B$9,$C$21,D$27,$B96,$C$23,$C$24,$C96,D$28)</f>
        <v>0</v>
      </c>
      <c r="E96" s="10">
        <f ca="1">_xll.DBRW($B$9,$C$21,E$27,$B96,$C$23,$C$24,$C96,E$28)</f>
        <v>0</v>
      </c>
      <c r="F96" s="32">
        <f ca="1">_xll.DBRW($B$9,$C$21,F$27,$B96,$C$23,$C$24,$C96,F$28)</f>
        <v>0</v>
      </c>
      <c r="G96" s="3">
        <f ca="1">_xll.DBRW($B$9,$C$21,G$27,$B96,$C$23,$C$24,$C96,G$28)</f>
        <v>0</v>
      </c>
      <c r="H96" s="14">
        <f t="shared" ca="1" si="2"/>
        <v>0</v>
      </c>
      <c r="I96" s="3">
        <f ca="1">_xll.DBRW($B$9,$C$21,I$27,$B96,$C$23,$C$24,$C96,I$28)</f>
        <v>0</v>
      </c>
      <c r="J96" s="3">
        <f ca="1">_xll.DBRW($B$9,$C$21,J$27,$B96,$C$23,$C$24,$C96,J$28)</f>
        <v>0</v>
      </c>
      <c r="K96" s="1">
        <f t="shared" ca="1" si="3"/>
        <v>0</v>
      </c>
    </row>
    <row r="97" spans="1:11" x14ac:dyDescent="0.25">
      <c r="A97">
        <f ca="1">IF(_xll.TM1RPTELISCONSOLIDATED($C$29,$C97),IF(_xll.TM1RPTELLEV($C$29,$C97)&lt;=3,_xll.TM1RPTELLEV($C$29,$C97),"D"),"N")</f>
        <v>1</v>
      </c>
      <c r="B97" s="50" t="s">
        <v>17</v>
      </c>
      <c r="C97" s="48" t="s">
        <v>28</v>
      </c>
      <c r="D97" s="4">
        <f ca="1">_xll.DBRW($B$9,$C$21,D$27,$B97,$C$23,$C$24,$C97,D$28)</f>
        <v>0</v>
      </c>
      <c r="E97" s="7">
        <f ca="1">_xll.DBRW($B$9,$C$21,E$27,$B97,$C$23,$C$24,$C97,E$28)</f>
        <v>0</v>
      </c>
      <c r="F97" s="11">
        <f ca="1">_xll.DBRW($B$9,$C$21,F$27,$B97,$C$23,$C$24,$C97,F$28)</f>
        <v>0</v>
      </c>
      <c r="G97" s="4">
        <f ca="1">_xll.DBRW($B$9,$C$21,G$27,$B97,$C$23,$C$24,$C97,G$28)</f>
        <v>0</v>
      </c>
      <c r="H97" s="15">
        <f t="shared" ca="1" si="2"/>
        <v>0</v>
      </c>
      <c r="I97" s="4">
        <f ca="1">_xll.DBRW($B$9,$C$21,I$27,$B97,$C$23,$C$24,$C97,I$28)</f>
        <v>0</v>
      </c>
      <c r="J97" s="4">
        <f ca="1">_xll.DBRW($B$9,$C$21,J$27,$B97,$C$23,$C$24,$C97,J$28)</f>
        <v>0</v>
      </c>
      <c r="K97" s="1">
        <f t="shared" ca="1" si="3"/>
        <v>0</v>
      </c>
    </row>
    <row r="98" spans="1:11" x14ac:dyDescent="0.25">
      <c r="A98">
        <f ca="1">IF(_xll.TM1RPTELISCONSOLIDATED($C$29,$C98),IF(_xll.TM1RPTELLEV($C$29,$C98)&lt;=3,_xll.TM1RPTELLEV($C$29,$C98),"D"),"N")</f>
        <v>1</v>
      </c>
      <c r="B98" s="50" t="s">
        <v>17</v>
      </c>
      <c r="C98" s="48" t="s">
        <v>31</v>
      </c>
      <c r="D98" s="4">
        <f ca="1">_xll.DBRW($B$9,$C$21,D$27,$B98,$C$23,$C$24,$C98,D$28)</f>
        <v>0</v>
      </c>
      <c r="E98" s="7">
        <f ca="1">_xll.DBRW($B$9,$C$21,E$27,$B98,$C$23,$C$24,$C98,E$28)</f>
        <v>0</v>
      </c>
      <c r="F98" s="11">
        <f ca="1">_xll.DBRW($B$9,$C$21,F$27,$B98,$C$23,$C$24,$C98,F$28)</f>
        <v>0</v>
      </c>
      <c r="G98" s="4">
        <f ca="1">_xll.DBRW($B$9,$C$21,G$27,$B98,$C$23,$C$24,$C98,G$28)</f>
        <v>0</v>
      </c>
      <c r="H98" s="15">
        <f t="shared" ca="1" si="2"/>
        <v>0</v>
      </c>
      <c r="I98" s="4">
        <f ca="1">_xll.DBRW($B$9,$C$21,I$27,$B98,$C$23,$C$24,$C98,I$28)</f>
        <v>0</v>
      </c>
      <c r="J98" s="4">
        <f ca="1">_xll.DBRW($B$9,$C$21,J$27,$B98,$C$23,$C$24,$C98,J$28)</f>
        <v>0</v>
      </c>
      <c r="K98" s="1">
        <f t="shared" ca="1" si="3"/>
        <v>0</v>
      </c>
    </row>
    <row r="99" spans="1:11" x14ac:dyDescent="0.25">
      <c r="A99">
        <f ca="1">IF(_xll.TM1RPTELISCONSOLIDATED($C$29,$C99),IF(_xll.TM1RPTELLEV($C$29,$C99)&lt;=3,_xll.TM1RPTELLEV($C$29,$C99),"D"),"N")</f>
        <v>1</v>
      </c>
      <c r="B99" s="50" t="s">
        <v>17</v>
      </c>
      <c r="C99" s="48" t="s">
        <v>30</v>
      </c>
      <c r="D99" s="4">
        <f ca="1">_xll.DBRW($B$9,$C$21,D$27,$B99,$C$23,$C$24,$C99,D$28)</f>
        <v>0</v>
      </c>
      <c r="E99" s="7">
        <f ca="1">_xll.DBRW($B$9,$C$21,E$27,$B99,$C$23,$C$24,$C99,E$28)</f>
        <v>0</v>
      </c>
      <c r="F99" s="11">
        <f ca="1">_xll.DBRW($B$9,$C$21,F$27,$B99,$C$23,$C$24,$C99,F$28)</f>
        <v>0</v>
      </c>
      <c r="G99" s="4">
        <f ca="1">_xll.DBRW($B$9,$C$21,G$27,$B99,$C$23,$C$24,$C99,G$28)</f>
        <v>0</v>
      </c>
      <c r="H99" s="15">
        <f t="shared" ca="1" si="2"/>
        <v>0</v>
      </c>
      <c r="I99" s="4">
        <f ca="1">_xll.DBRW($B$9,$C$21,I$27,$B99,$C$23,$C$24,$C99,I$28)</f>
        <v>0</v>
      </c>
      <c r="J99" s="4">
        <f ca="1">_xll.DBRW($B$9,$C$21,J$27,$B99,$C$23,$C$24,$C99,J$28)</f>
        <v>0</v>
      </c>
      <c r="K99" s="1">
        <f t="shared" ca="1" si="3"/>
        <v>0</v>
      </c>
    </row>
    <row r="100" spans="1:11" x14ac:dyDescent="0.25">
      <c r="A100">
        <f ca="1">IF(_xll.TM1RPTELISCONSOLIDATED($C$29,$C100),IF(_xll.TM1RPTELLEV($C$29,$C100)&lt;=3,_xll.TM1RPTELLEV($C$29,$C100),"D"),"N")</f>
        <v>1</v>
      </c>
      <c r="B100" s="50" t="s">
        <v>17</v>
      </c>
      <c r="C100" s="48" t="s">
        <v>29</v>
      </c>
      <c r="D100" s="4">
        <f ca="1">_xll.DBRW($B$9,$C$21,D$27,$B100,$C$23,$C$24,$C100,D$28)</f>
        <v>0</v>
      </c>
      <c r="E100" s="7">
        <f ca="1">_xll.DBRW($B$9,$C$21,E$27,$B100,$C$23,$C$24,$C100,E$28)</f>
        <v>0</v>
      </c>
      <c r="F100" s="11">
        <f ca="1">_xll.DBRW($B$9,$C$21,F$27,$B100,$C$23,$C$24,$C100,F$28)</f>
        <v>0</v>
      </c>
      <c r="G100" s="4">
        <f ca="1">_xll.DBRW($B$9,$C$21,G$27,$B100,$C$23,$C$24,$C100,G$28)</f>
        <v>0</v>
      </c>
      <c r="H100" s="15">
        <f t="shared" ca="1" si="2"/>
        <v>0</v>
      </c>
      <c r="I100" s="4">
        <f ca="1">_xll.DBRW($B$9,$C$21,I$27,$B100,$C$23,$C$24,$C100,I$28)</f>
        <v>0</v>
      </c>
      <c r="J100" s="4">
        <f ca="1">_xll.DBRW($B$9,$C$21,J$27,$B100,$C$23,$C$24,$C100,J$28)</f>
        <v>0</v>
      </c>
      <c r="K100" s="1">
        <f t="shared" ca="1" si="3"/>
        <v>0</v>
      </c>
    </row>
    <row r="101" spans="1:11" x14ac:dyDescent="0.25">
      <c r="A101">
        <f ca="1">IF(_xll.TM1RPTELISCONSOLIDATED($C$29,$C101),IF(_xll.TM1RPTELLEV($C$29,$C101)&lt;=3,_xll.TM1RPTELLEV($C$29,$C101),"D"),"N")</f>
        <v>0</v>
      </c>
      <c r="B101" s="45" t="s">
        <v>5</v>
      </c>
      <c r="C101" s="46" t="s">
        <v>25</v>
      </c>
      <c r="D101" s="3">
        <f ca="1">_xll.DBRW($B$9,$C$21,D$27,$B101,$C$23,$C$24,$C101,D$28)</f>
        <v>0</v>
      </c>
      <c r="E101" s="10">
        <f ca="1">_xll.DBRW($B$9,$C$21,E$27,$B101,$C$23,$C$24,$C101,E$28)</f>
        <v>0</v>
      </c>
      <c r="F101" s="32">
        <f ca="1">_xll.DBRW($B$9,$C$21,F$27,$B101,$C$23,$C$24,$C101,F$28)</f>
        <v>0</v>
      </c>
      <c r="G101" s="3">
        <f ca="1">_xll.DBRW($B$9,$C$21,G$27,$B101,$C$23,$C$24,$C101,G$28)</f>
        <v>0</v>
      </c>
      <c r="H101" s="14">
        <f t="shared" ca="1" si="2"/>
        <v>0</v>
      </c>
      <c r="I101" s="3">
        <f ca="1">_xll.DBRW($B$9,$C$21,I$27,$B101,$C$23,$C$24,$C101,I$28)</f>
        <v>0</v>
      </c>
      <c r="J101" s="3">
        <f ca="1">_xll.DBRW($B$9,$C$21,J$27,$B101,$C$23,$C$24,$C101,J$28)</f>
        <v>0</v>
      </c>
      <c r="K101" s="1">
        <f t="shared" ca="1" si="3"/>
        <v>0</v>
      </c>
    </row>
    <row r="102" spans="1:11" x14ac:dyDescent="0.25">
      <c r="A102">
        <f ca="1">IF(_xll.TM1RPTELISCONSOLIDATED($C$29,$C102),IF(_xll.TM1RPTELLEV($C$29,$C102)&lt;=3,_xll.TM1RPTELLEV($C$29,$C102),"D"),"N")</f>
        <v>0</v>
      </c>
      <c r="B102" s="49" t="s">
        <v>5</v>
      </c>
      <c r="C102" s="46" t="s">
        <v>26</v>
      </c>
      <c r="D102" s="3">
        <f ca="1">_xll.DBRW($B$9,$C$21,D$27,$B102,$C$23,$C$24,$C102,D$28)</f>
        <v>0</v>
      </c>
      <c r="E102" s="10">
        <f ca="1">_xll.DBRW($B$9,$C$21,E$27,$B102,$C$23,$C$24,$C102,E$28)</f>
        <v>0</v>
      </c>
      <c r="F102" s="32">
        <f ca="1">_xll.DBRW($B$9,$C$21,F$27,$B102,$C$23,$C$24,$C102,F$28)</f>
        <v>0</v>
      </c>
      <c r="G102" s="3">
        <f ca="1">_xll.DBRW($B$9,$C$21,G$27,$B102,$C$23,$C$24,$C102,G$28)</f>
        <v>0</v>
      </c>
      <c r="H102" s="14">
        <f t="shared" ca="1" si="2"/>
        <v>0</v>
      </c>
      <c r="I102" s="3">
        <f ca="1">_xll.DBRW($B$9,$C$21,I$27,$B102,$C$23,$C$24,$C102,I$28)</f>
        <v>0</v>
      </c>
      <c r="J102" s="3">
        <f ca="1">_xll.DBRW($B$9,$C$21,J$27,$B102,$C$23,$C$24,$C102,J$28)</f>
        <v>0</v>
      </c>
      <c r="K102" s="1">
        <f t="shared" ca="1" si="3"/>
        <v>0</v>
      </c>
    </row>
    <row r="103" spans="1:11" x14ac:dyDescent="0.25">
      <c r="A103">
        <f ca="1">IF(_xll.TM1RPTELISCONSOLIDATED($C$29,$C103),IF(_xll.TM1RPTELLEV($C$29,$C103)&lt;=3,_xll.TM1RPTELLEV($C$29,$C103),"D"),"N")</f>
        <v>0</v>
      </c>
      <c r="B103" s="49" t="s">
        <v>5</v>
      </c>
      <c r="C103" s="46" t="s">
        <v>27</v>
      </c>
      <c r="D103" s="3">
        <f ca="1">_xll.DBRW($B$9,$C$21,D$27,$B103,$C$23,$C$24,$C103,D$28)</f>
        <v>0</v>
      </c>
      <c r="E103" s="10">
        <f ca="1">_xll.DBRW($B$9,$C$21,E$27,$B103,$C$23,$C$24,$C103,E$28)</f>
        <v>0</v>
      </c>
      <c r="F103" s="32">
        <f ca="1">_xll.DBRW($B$9,$C$21,F$27,$B103,$C$23,$C$24,$C103,F$28)</f>
        <v>0</v>
      </c>
      <c r="G103" s="3">
        <f ca="1">_xll.DBRW($B$9,$C$21,G$27,$B103,$C$23,$C$24,$C103,G$28)</f>
        <v>0</v>
      </c>
      <c r="H103" s="14">
        <f t="shared" ca="1" si="2"/>
        <v>0</v>
      </c>
      <c r="I103" s="3">
        <f ca="1">_xll.DBRW($B$9,$C$21,I$27,$B103,$C$23,$C$24,$C103,I$28)</f>
        <v>0</v>
      </c>
      <c r="J103" s="3">
        <f ca="1">_xll.DBRW($B$9,$C$21,J$27,$B103,$C$23,$C$24,$C103,J$28)</f>
        <v>0</v>
      </c>
      <c r="K103" s="1">
        <f t="shared" ca="1" si="3"/>
        <v>0</v>
      </c>
    </row>
    <row r="104" spans="1:11" x14ac:dyDescent="0.25">
      <c r="A104">
        <f ca="1">IF(_xll.TM1RPTELISCONSOLIDATED($C$29,$C104),IF(_xll.TM1RPTELLEV($C$29,$C104)&lt;=3,_xll.TM1RPTELLEV($C$29,$C104),"D"),"N")</f>
        <v>0</v>
      </c>
      <c r="B104" s="49" t="s">
        <v>5</v>
      </c>
      <c r="C104" s="47" t="s">
        <v>24</v>
      </c>
      <c r="D104" s="3">
        <f ca="1">_xll.DBRW($B$9,$C$21,D$27,$B104,$C$23,$C$24,$C104,D$28)</f>
        <v>0</v>
      </c>
      <c r="E104" s="10">
        <f ca="1">_xll.DBRW($B$9,$C$21,E$27,$B104,$C$23,$C$24,$C104,E$28)</f>
        <v>0</v>
      </c>
      <c r="F104" s="32">
        <f ca="1">_xll.DBRW($B$9,$C$21,F$27,$B104,$C$23,$C$24,$C104,F$28)</f>
        <v>0</v>
      </c>
      <c r="G104" s="3">
        <f ca="1">_xll.DBRW($B$9,$C$21,G$27,$B104,$C$23,$C$24,$C104,G$28)</f>
        <v>0</v>
      </c>
      <c r="H104" s="14">
        <f t="shared" ca="1" si="2"/>
        <v>0</v>
      </c>
      <c r="I104" s="3">
        <f ca="1">_xll.DBRW($B$9,$C$21,I$27,$B104,$C$23,$C$24,$C104,I$28)</f>
        <v>0</v>
      </c>
      <c r="J104" s="3">
        <f ca="1">_xll.DBRW($B$9,$C$21,J$27,$B104,$C$23,$C$24,$C104,J$28)</f>
        <v>0</v>
      </c>
      <c r="K104" s="1">
        <f t="shared" ca="1" si="3"/>
        <v>0</v>
      </c>
    </row>
    <row r="105" spans="1:11" x14ac:dyDescent="0.25">
      <c r="A105">
        <f ca="1">IF(_xll.TM1RPTELISCONSOLIDATED($C$29,$C105),IF(_xll.TM1RPTELLEV($C$29,$C105)&lt;=3,_xll.TM1RPTELLEV($C$29,$C105),"D"),"N")</f>
        <v>1</v>
      </c>
      <c r="B105" s="50" t="s">
        <v>5</v>
      </c>
      <c r="C105" s="48" t="s">
        <v>28</v>
      </c>
      <c r="D105" s="4">
        <f ca="1">_xll.DBRW($B$9,$C$21,D$27,$B105,$C$23,$C$24,$C105,D$28)</f>
        <v>0</v>
      </c>
      <c r="E105" s="7">
        <f ca="1">_xll.DBRW($B$9,$C$21,E$27,$B105,$C$23,$C$24,$C105,E$28)</f>
        <v>0</v>
      </c>
      <c r="F105" s="11">
        <f ca="1">_xll.DBRW($B$9,$C$21,F$27,$B105,$C$23,$C$24,$C105,F$28)</f>
        <v>0</v>
      </c>
      <c r="G105" s="4">
        <f ca="1">_xll.DBRW($B$9,$C$21,G$27,$B105,$C$23,$C$24,$C105,G$28)</f>
        <v>0</v>
      </c>
      <c r="H105" s="15">
        <f t="shared" ca="1" si="2"/>
        <v>0</v>
      </c>
      <c r="I105" s="4">
        <f ca="1">_xll.DBRW($B$9,$C$21,I$27,$B105,$C$23,$C$24,$C105,I$28)</f>
        <v>0</v>
      </c>
      <c r="J105" s="4">
        <f ca="1">_xll.DBRW($B$9,$C$21,J$27,$B105,$C$23,$C$24,$C105,J$28)</f>
        <v>0</v>
      </c>
      <c r="K105" s="1">
        <f t="shared" ca="1" si="3"/>
        <v>0</v>
      </c>
    </row>
    <row r="106" spans="1:11" x14ac:dyDescent="0.25">
      <c r="A106">
        <f ca="1">IF(_xll.TM1RPTELISCONSOLIDATED($C$29,$C106),IF(_xll.TM1RPTELLEV($C$29,$C106)&lt;=3,_xll.TM1RPTELLEV($C$29,$C106),"D"),"N")</f>
        <v>1</v>
      </c>
      <c r="B106" s="50" t="s">
        <v>5</v>
      </c>
      <c r="C106" s="48" t="s">
        <v>31</v>
      </c>
      <c r="D106" s="4">
        <f ca="1">_xll.DBRW($B$9,$C$21,D$27,$B106,$C$23,$C$24,$C106,D$28)</f>
        <v>0</v>
      </c>
      <c r="E106" s="7">
        <f ca="1">_xll.DBRW($B$9,$C$21,E$27,$B106,$C$23,$C$24,$C106,E$28)</f>
        <v>0</v>
      </c>
      <c r="F106" s="11">
        <f ca="1">_xll.DBRW($B$9,$C$21,F$27,$B106,$C$23,$C$24,$C106,F$28)</f>
        <v>0</v>
      </c>
      <c r="G106" s="4">
        <f ca="1">_xll.DBRW($B$9,$C$21,G$27,$B106,$C$23,$C$24,$C106,G$28)</f>
        <v>0</v>
      </c>
      <c r="H106" s="15">
        <f t="shared" ca="1" si="2"/>
        <v>0</v>
      </c>
      <c r="I106" s="4">
        <f ca="1">_xll.DBRW($B$9,$C$21,I$27,$B106,$C$23,$C$24,$C106,I$28)</f>
        <v>0</v>
      </c>
      <c r="J106" s="4">
        <f ca="1">_xll.DBRW($B$9,$C$21,J$27,$B106,$C$23,$C$24,$C106,J$28)</f>
        <v>0</v>
      </c>
      <c r="K106" s="1">
        <f t="shared" ca="1" si="3"/>
        <v>0</v>
      </c>
    </row>
    <row r="107" spans="1:11" x14ac:dyDescent="0.25">
      <c r="A107">
        <f ca="1">IF(_xll.TM1RPTELISCONSOLIDATED($C$29,$C107),IF(_xll.TM1RPTELLEV($C$29,$C107)&lt;=3,_xll.TM1RPTELLEV($C$29,$C107),"D"),"N")</f>
        <v>1</v>
      </c>
      <c r="B107" s="50" t="s">
        <v>5</v>
      </c>
      <c r="C107" s="48" t="s">
        <v>30</v>
      </c>
      <c r="D107" s="4">
        <f ca="1">_xll.DBRW($B$9,$C$21,D$27,$B107,$C$23,$C$24,$C107,D$28)</f>
        <v>0</v>
      </c>
      <c r="E107" s="7">
        <f ca="1">_xll.DBRW($B$9,$C$21,E$27,$B107,$C$23,$C$24,$C107,E$28)</f>
        <v>0</v>
      </c>
      <c r="F107" s="11">
        <f ca="1">_xll.DBRW($B$9,$C$21,F$27,$B107,$C$23,$C$24,$C107,F$28)</f>
        <v>0</v>
      </c>
      <c r="G107" s="4">
        <f ca="1">_xll.DBRW($B$9,$C$21,G$27,$B107,$C$23,$C$24,$C107,G$28)</f>
        <v>0</v>
      </c>
      <c r="H107" s="15">
        <f t="shared" ca="1" si="2"/>
        <v>0</v>
      </c>
      <c r="I107" s="4">
        <f ca="1">_xll.DBRW($B$9,$C$21,I$27,$B107,$C$23,$C$24,$C107,I$28)</f>
        <v>0</v>
      </c>
      <c r="J107" s="4">
        <f ca="1">_xll.DBRW($B$9,$C$21,J$27,$B107,$C$23,$C$24,$C107,J$28)</f>
        <v>0</v>
      </c>
      <c r="K107" s="1">
        <f t="shared" ca="1" si="3"/>
        <v>0</v>
      </c>
    </row>
    <row r="108" spans="1:11" x14ac:dyDescent="0.25">
      <c r="A108">
        <f ca="1">IF(_xll.TM1RPTELISCONSOLIDATED($C$29,$C108),IF(_xll.TM1RPTELLEV($C$29,$C108)&lt;=3,_xll.TM1RPTELLEV($C$29,$C108),"D"),"N")</f>
        <v>1</v>
      </c>
      <c r="B108" s="50" t="s">
        <v>5</v>
      </c>
      <c r="C108" s="48" t="s">
        <v>29</v>
      </c>
      <c r="D108" s="4">
        <f ca="1">_xll.DBRW($B$9,$C$21,D$27,$B108,$C$23,$C$24,$C108,D$28)</f>
        <v>0</v>
      </c>
      <c r="E108" s="7">
        <f ca="1">_xll.DBRW($B$9,$C$21,E$27,$B108,$C$23,$C$24,$C108,E$28)</f>
        <v>0</v>
      </c>
      <c r="F108" s="11">
        <f ca="1">_xll.DBRW($B$9,$C$21,F$27,$B108,$C$23,$C$24,$C108,F$28)</f>
        <v>0</v>
      </c>
      <c r="G108" s="4">
        <f ca="1">_xll.DBRW($B$9,$C$21,G$27,$B108,$C$23,$C$24,$C108,G$28)</f>
        <v>0</v>
      </c>
      <c r="H108" s="15">
        <f t="shared" ca="1" si="2"/>
        <v>0</v>
      </c>
      <c r="I108" s="4">
        <f ca="1">_xll.DBRW($B$9,$C$21,I$27,$B108,$C$23,$C$24,$C108,I$28)</f>
        <v>0</v>
      </c>
      <c r="J108" s="4">
        <f ca="1">_xll.DBRW($B$9,$C$21,J$27,$B108,$C$23,$C$24,$C108,J$28)</f>
        <v>0</v>
      </c>
      <c r="K108" s="1">
        <f t="shared" ca="1" si="3"/>
        <v>0</v>
      </c>
    </row>
    <row r="109" spans="1:11" x14ac:dyDescent="0.25">
      <c r="A109">
        <f ca="1">IF(_xll.TM1RPTELISCONSOLIDATED($C$29,$C109),IF(_xll.TM1RPTELLEV($C$29,$C109)&lt;=3,_xll.TM1RPTELLEV($C$29,$C109),"D"),"N")</f>
        <v>0</v>
      </c>
      <c r="B109" s="45" t="s">
        <v>23</v>
      </c>
      <c r="C109" s="46" t="s">
        <v>25</v>
      </c>
      <c r="D109" s="3">
        <f ca="1">_xll.DBRW($B$9,$C$21,D$27,$B109,$C$23,$C$24,$C109,D$28)</f>
        <v>0</v>
      </c>
      <c r="E109" s="10">
        <f ca="1">_xll.DBRW($B$9,$C$21,E$27,$B109,$C$23,$C$24,$C109,E$28)</f>
        <v>0</v>
      </c>
      <c r="F109" s="32">
        <f ca="1">_xll.DBRW($B$9,$C$21,F$27,$B109,$C$23,$C$24,$C109,F$28)</f>
        <v>0</v>
      </c>
      <c r="G109" s="3">
        <f ca="1">_xll.DBRW($B$9,$C$21,G$27,$B109,$C$23,$C$24,$C109,G$28)</f>
        <v>0</v>
      </c>
      <c r="H109" s="14">
        <f t="shared" ca="1" si="2"/>
        <v>0</v>
      </c>
      <c r="I109" s="3">
        <f ca="1">_xll.DBRW($B$9,$C$21,I$27,$B109,$C$23,$C$24,$C109,I$28)</f>
        <v>0</v>
      </c>
      <c r="J109" s="3">
        <f ca="1">_xll.DBRW($B$9,$C$21,J$27,$B109,$C$23,$C$24,$C109,J$28)</f>
        <v>0</v>
      </c>
      <c r="K109" s="1">
        <f t="shared" ca="1" si="3"/>
        <v>0</v>
      </c>
    </row>
    <row r="110" spans="1:11" x14ac:dyDescent="0.25">
      <c r="A110">
        <f ca="1">IF(_xll.TM1RPTELISCONSOLIDATED($C$29,$C110),IF(_xll.TM1RPTELLEV($C$29,$C110)&lt;=3,_xll.TM1RPTELLEV($C$29,$C110),"D"),"N")</f>
        <v>0</v>
      </c>
      <c r="B110" s="49" t="s">
        <v>23</v>
      </c>
      <c r="C110" s="46" t="s">
        <v>26</v>
      </c>
      <c r="D110" s="3">
        <f ca="1">_xll.DBRW($B$9,$C$21,D$27,$B110,$C$23,$C$24,$C110,D$28)</f>
        <v>0</v>
      </c>
      <c r="E110" s="10">
        <f ca="1">_xll.DBRW($B$9,$C$21,E$27,$B110,$C$23,$C$24,$C110,E$28)</f>
        <v>0</v>
      </c>
      <c r="F110" s="32">
        <f ca="1">_xll.DBRW($B$9,$C$21,F$27,$B110,$C$23,$C$24,$C110,F$28)</f>
        <v>0</v>
      </c>
      <c r="G110" s="3">
        <f ca="1">_xll.DBRW($B$9,$C$21,G$27,$B110,$C$23,$C$24,$C110,G$28)</f>
        <v>0</v>
      </c>
      <c r="H110" s="14">
        <f t="shared" ca="1" si="2"/>
        <v>0</v>
      </c>
      <c r="I110" s="3">
        <f ca="1">_xll.DBRW($B$9,$C$21,I$27,$B110,$C$23,$C$24,$C110,I$28)</f>
        <v>0</v>
      </c>
      <c r="J110" s="3">
        <f ca="1">_xll.DBRW($B$9,$C$21,J$27,$B110,$C$23,$C$24,$C110,J$28)</f>
        <v>0</v>
      </c>
      <c r="K110" s="1">
        <f t="shared" ca="1" si="3"/>
        <v>0</v>
      </c>
    </row>
    <row r="111" spans="1:11" x14ac:dyDescent="0.25">
      <c r="A111">
        <f ca="1">IF(_xll.TM1RPTELISCONSOLIDATED($C$29,$C111),IF(_xll.TM1RPTELLEV($C$29,$C111)&lt;=3,_xll.TM1RPTELLEV($C$29,$C111),"D"),"N")</f>
        <v>0</v>
      </c>
      <c r="B111" s="49" t="s">
        <v>23</v>
      </c>
      <c r="C111" s="46" t="s">
        <v>27</v>
      </c>
      <c r="D111" s="3">
        <f ca="1">_xll.DBRW($B$9,$C$21,D$27,$B111,$C$23,$C$24,$C111,D$28)</f>
        <v>0</v>
      </c>
      <c r="E111" s="10">
        <f ca="1">_xll.DBRW($B$9,$C$21,E$27,$B111,$C$23,$C$24,$C111,E$28)</f>
        <v>0</v>
      </c>
      <c r="F111" s="32">
        <f ca="1">_xll.DBRW($B$9,$C$21,F$27,$B111,$C$23,$C$24,$C111,F$28)</f>
        <v>0</v>
      </c>
      <c r="G111" s="3">
        <f ca="1">_xll.DBRW($B$9,$C$21,G$27,$B111,$C$23,$C$24,$C111,G$28)</f>
        <v>0</v>
      </c>
      <c r="H111" s="14">
        <f t="shared" ca="1" si="2"/>
        <v>0</v>
      </c>
      <c r="I111" s="3">
        <f ca="1">_xll.DBRW($B$9,$C$21,I$27,$B111,$C$23,$C$24,$C111,I$28)</f>
        <v>0</v>
      </c>
      <c r="J111" s="3">
        <f ca="1">_xll.DBRW($B$9,$C$21,J$27,$B111,$C$23,$C$24,$C111,J$28)</f>
        <v>0</v>
      </c>
      <c r="K111" s="1">
        <f t="shared" ca="1" si="3"/>
        <v>0</v>
      </c>
    </row>
    <row r="112" spans="1:11" x14ac:dyDescent="0.25">
      <c r="A112">
        <f ca="1">IF(_xll.TM1RPTELISCONSOLIDATED($C$29,$C112),IF(_xll.TM1RPTELLEV($C$29,$C112)&lt;=3,_xll.TM1RPTELLEV($C$29,$C112),"D"),"N")</f>
        <v>0</v>
      </c>
      <c r="B112" s="49" t="s">
        <v>23</v>
      </c>
      <c r="C112" s="47" t="s">
        <v>24</v>
      </c>
      <c r="D112" s="3">
        <f ca="1">_xll.DBRW($B$9,$C$21,D$27,$B112,$C$23,$C$24,$C112,D$28)</f>
        <v>0</v>
      </c>
      <c r="E112" s="10">
        <f ca="1">_xll.DBRW($B$9,$C$21,E$27,$B112,$C$23,$C$24,$C112,E$28)</f>
        <v>0</v>
      </c>
      <c r="F112" s="32">
        <f ca="1">_xll.DBRW($B$9,$C$21,F$27,$B112,$C$23,$C$24,$C112,F$28)</f>
        <v>0</v>
      </c>
      <c r="G112" s="3">
        <f ca="1">_xll.DBRW($B$9,$C$21,G$27,$B112,$C$23,$C$24,$C112,G$28)</f>
        <v>0</v>
      </c>
      <c r="H112" s="14">
        <f t="shared" ca="1" si="2"/>
        <v>0</v>
      </c>
      <c r="I112" s="3">
        <f ca="1">_xll.DBRW($B$9,$C$21,I$27,$B112,$C$23,$C$24,$C112,I$28)</f>
        <v>0</v>
      </c>
      <c r="J112" s="3">
        <f ca="1">_xll.DBRW($B$9,$C$21,J$27,$B112,$C$23,$C$24,$C112,J$28)</f>
        <v>0</v>
      </c>
      <c r="K112" s="1">
        <f t="shared" ca="1" si="3"/>
        <v>0</v>
      </c>
    </row>
    <row r="113" spans="1:11" x14ac:dyDescent="0.25">
      <c r="A113">
        <f ca="1">IF(_xll.TM1RPTELISCONSOLIDATED($C$29,$C113),IF(_xll.TM1RPTELLEV($C$29,$C113)&lt;=3,_xll.TM1RPTELLEV($C$29,$C113),"D"),"N")</f>
        <v>1</v>
      </c>
      <c r="B113" s="50" t="s">
        <v>23</v>
      </c>
      <c r="C113" s="48" t="s">
        <v>28</v>
      </c>
      <c r="D113" s="4">
        <f ca="1">_xll.DBRW($B$9,$C$21,D$27,$B113,$C$23,$C$24,$C113,D$28)</f>
        <v>0</v>
      </c>
      <c r="E113" s="7">
        <f ca="1">_xll.DBRW($B$9,$C$21,E$27,$B113,$C$23,$C$24,$C113,E$28)</f>
        <v>0</v>
      </c>
      <c r="F113" s="11">
        <f ca="1">_xll.DBRW($B$9,$C$21,F$27,$B113,$C$23,$C$24,$C113,F$28)</f>
        <v>0</v>
      </c>
      <c r="G113" s="4">
        <f ca="1">_xll.DBRW($B$9,$C$21,G$27,$B113,$C$23,$C$24,$C113,G$28)</f>
        <v>0</v>
      </c>
      <c r="H113" s="15">
        <f t="shared" ca="1" si="2"/>
        <v>0</v>
      </c>
      <c r="I113" s="4">
        <f ca="1">_xll.DBRW($B$9,$C$21,I$27,$B113,$C$23,$C$24,$C113,I$28)</f>
        <v>0</v>
      </c>
      <c r="J113" s="4">
        <f ca="1">_xll.DBRW($B$9,$C$21,J$27,$B113,$C$23,$C$24,$C113,J$28)</f>
        <v>0</v>
      </c>
      <c r="K113" s="1">
        <f t="shared" ca="1" si="3"/>
        <v>0</v>
      </c>
    </row>
    <row r="114" spans="1:11" x14ac:dyDescent="0.25">
      <c r="A114">
        <f ca="1">IF(_xll.TM1RPTELISCONSOLIDATED($C$29,$C114),IF(_xll.TM1RPTELLEV($C$29,$C114)&lt;=3,_xll.TM1RPTELLEV($C$29,$C114),"D"),"N")</f>
        <v>1</v>
      </c>
      <c r="B114" s="50" t="s">
        <v>23</v>
      </c>
      <c r="C114" s="48" t="s">
        <v>31</v>
      </c>
      <c r="D114" s="4">
        <f ca="1">_xll.DBRW($B$9,$C$21,D$27,$B114,$C$23,$C$24,$C114,D$28)</f>
        <v>0</v>
      </c>
      <c r="E114" s="7">
        <f ca="1">_xll.DBRW($B$9,$C$21,E$27,$B114,$C$23,$C$24,$C114,E$28)</f>
        <v>0</v>
      </c>
      <c r="F114" s="11">
        <f ca="1">_xll.DBRW($B$9,$C$21,F$27,$B114,$C$23,$C$24,$C114,F$28)</f>
        <v>0</v>
      </c>
      <c r="G114" s="4">
        <f ca="1">_xll.DBRW($B$9,$C$21,G$27,$B114,$C$23,$C$24,$C114,G$28)</f>
        <v>0</v>
      </c>
      <c r="H114" s="15">
        <f t="shared" ca="1" si="2"/>
        <v>0</v>
      </c>
      <c r="I114" s="4">
        <f ca="1">_xll.DBRW($B$9,$C$21,I$27,$B114,$C$23,$C$24,$C114,I$28)</f>
        <v>0</v>
      </c>
      <c r="J114" s="4">
        <f ca="1">_xll.DBRW($B$9,$C$21,J$27,$B114,$C$23,$C$24,$C114,J$28)</f>
        <v>0</v>
      </c>
      <c r="K114" s="1">
        <f t="shared" ca="1" si="3"/>
        <v>0</v>
      </c>
    </row>
    <row r="115" spans="1:11" x14ac:dyDescent="0.25">
      <c r="A115">
        <f ca="1">IF(_xll.TM1RPTELISCONSOLIDATED($C$29,$C115),IF(_xll.TM1RPTELLEV($C$29,$C115)&lt;=3,_xll.TM1RPTELLEV($C$29,$C115),"D"),"N")</f>
        <v>1</v>
      </c>
      <c r="B115" s="50" t="s">
        <v>23</v>
      </c>
      <c r="C115" s="48" t="s">
        <v>30</v>
      </c>
      <c r="D115" s="4">
        <f ca="1">_xll.DBRW($B$9,$C$21,D$27,$B115,$C$23,$C$24,$C115,D$28)</f>
        <v>0</v>
      </c>
      <c r="E115" s="7">
        <f ca="1">_xll.DBRW($B$9,$C$21,E$27,$B115,$C$23,$C$24,$C115,E$28)</f>
        <v>0</v>
      </c>
      <c r="F115" s="11">
        <f ca="1">_xll.DBRW($B$9,$C$21,F$27,$B115,$C$23,$C$24,$C115,F$28)</f>
        <v>0</v>
      </c>
      <c r="G115" s="4">
        <f ca="1">_xll.DBRW($B$9,$C$21,G$27,$B115,$C$23,$C$24,$C115,G$28)</f>
        <v>0</v>
      </c>
      <c r="H115" s="15">
        <f t="shared" ca="1" si="2"/>
        <v>0</v>
      </c>
      <c r="I115" s="4">
        <f ca="1">_xll.DBRW($B$9,$C$21,I$27,$B115,$C$23,$C$24,$C115,I$28)</f>
        <v>0</v>
      </c>
      <c r="J115" s="4">
        <f ca="1">_xll.DBRW($B$9,$C$21,J$27,$B115,$C$23,$C$24,$C115,J$28)</f>
        <v>0</v>
      </c>
      <c r="K115" s="1">
        <f t="shared" ca="1" si="3"/>
        <v>0</v>
      </c>
    </row>
    <row r="116" spans="1:11" x14ac:dyDescent="0.25">
      <c r="A116">
        <f ca="1">IF(_xll.TM1RPTELISCONSOLIDATED($C$29,$C116),IF(_xll.TM1RPTELLEV($C$29,$C116)&lt;=3,_xll.TM1RPTELLEV($C$29,$C116),"D"),"N")</f>
        <v>1</v>
      </c>
      <c r="B116" s="50" t="s">
        <v>23</v>
      </c>
      <c r="C116" s="48" t="s">
        <v>29</v>
      </c>
      <c r="D116" s="4">
        <f ca="1">_xll.DBRW($B$9,$C$21,D$27,$B116,$C$23,$C$24,$C116,D$28)</f>
        <v>0</v>
      </c>
      <c r="E116" s="7">
        <f ca="1">_xll.DBRW($B$9,$C$21,E$27,$B116,$C$23,$C$24,$C116,E$28)</f>
        <v>0</v>
      </c>
      <c r="F116" s="11">
        <f ca="1">_xll.DBRW($B$9,$C$21,F$27,$B116,$C$23,$C$24,$C116,F$28)</f>
        <v>0</v>
      </c>
      <c r="G116" s="4">
        <f ca="1">_xll.DBRW($B$9,$C$21,G$27,$B116,$C$23,$C$24,$C116,G$28)</f>
        <v>0</v>
      </c>
      <c r="H116" s="15">
        <f t="shared" ca="1" si="2"/>
        <v>0</v>
      </c>
      <c r="I116" s="4">
        <f ca="1">_xll.DBRW($B$9,$C$21,I$27,$B116,$C$23,$C$24,$C116,I$28)</f>
        <v>0</v>
      </c>
      <c r="J116" s="4">
        <f ca="1">_xll.DBRW($B$9,$C$21,J$27,$B116,$C$23,$C$24,$C116,J$28)</f>
        <v>0</v>
      </c>
      <c r="K116" s="1">
        <f t="shared" ca="1" si="3"/>
        <v>0</v>
      </c>
    </row>
    <row r="117" spans="1:11" hidden="1" x14ac:dyDescent="0.25"/>
    <row r="118" spans="1:11" hidden="1" x14ac:dyDescent="0.25"/>
    <row r="119" spans="1:11" hidden="1" x14ac:dyDescent="0.25"/>
    <row r="120" spans="1:11" hidden="1" x14ac:dyDescent="0.25"/>
    <row r="121" spans="1:11" hidden="1" x14ac:dyDescent="0.25"/>
    <row r="122" spans="1:11" hidden="1" x14ac:dyDescent="0.25"/>
    <row r="123" spans="1:11" hidden="1" x14ac:dyDescent="0.25"/>
    <row r="124" spans="1:11" hidden="1" x14ac:dyDescent="0.25"/>
    <row r="125" spans="1:11" hidden="1" x14ac:dyDescent="0.25"/>
    <row r="126" spans="1:11" hidden="1" x14ac:dyDescent="0.25"/>
    <row r="127" spans="1:11" hidden="1" x14ac:dyDescent="0.25"/>
    <row r="128" spans="1:11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32"/>
  <sheetViews>
    <sheetView topLeftCell="A13" workbookViewId="0"/>
  </sheetViews>
  <sheetFormatPr defaultColWidth="11.42578125" defaultRowHeight="15" x14ac:dyDescent="0.25"/>
  <cols>
    <col min="2" max="2" width="16.42578125" bestFit="1" customWidth="1"/>
  </cols>
  <sheetData>
    <row r="22" spans="2:2" x14ac:dyDescent="0.25">
      <c r="B22" t="s">
        <v>12</v>
      </c>
    </row>
    <row r="23" spans="2:2" x14ac:dyDescent="0.25">
      <c r="B23" t="s">
        <v>11</v>
      </c>
    </row>
    <row r="24" spans="2:2" x14ac:dyDescent="0.25">
      <c r="B24" t="s">
        <v>21</v>
      </c>
    </row>
    <row r="25" spans="2:2" x14ac:dyDescent="0.25">
      <c r="B25" t="s">
        <v>10</v>
      </c>
    </row>
    <row r="26" spans="2:2" x14ac:dyDescent="0.25">
      <c r="B26" t="s">
        <v>9</v>
      </c>
    </row>
    <row r="27" spans="2:2" x14ac:dyDescent="0.25">
      <c r="B27" t="s">
        <v>8</v>
      </c>
    </row>
    <row r="28" spans="2:2" x14ac:dyDescent="0.25">
      <c r="B28" t="s">
        <v>7</v>
      </c>
    </row>
    <row r="29" spans="2:2" x14ac:dyDescent="0.25">
      <c r="B29" t="s">
        <v>6</v>
      </c>
    </row>
    <row r="30" spans="2:2" x14ac:dyDescent="0.25">
      <c r="B30" t="s">
        <v>17</v>
      </c>
    </row>
    <row r="31" spans="2:2" x14ac:dyDescent="0.25">
      <c r="B31" t="s">
        <v>5</v>
      </c>
    </row>
    <row r="32" spans="2:2" x14ac:dyDescent="0.25">
      <c r="B3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29"/>
  <sheetViews>
    <sheetView topLeftCell="A19" workbookViewId="0"/>
  </sheetViews>
  <sheetFormatPr defaultColWidth="11.42578125" defaultRowHeight="15" x14ac:dyDescent="0.25"/>
  <sheetData>
    <row r="22" spans="3:3" x14ac:dyDescent="0.25">
      <c r="C22" t="s">
        <v>25</v>
      </c>
    </row>
    <row r="23" spans="3:3" x14ac:dyDescent="0.25">
      <c r="C23" t="s">
        <v>26</v>
      </c>
    </row>
    <row r="24" spans="3:3" x14ac:dyDescent="0.25">
      <c r="C24" t="s">
        <v>27</v>
      </c>
    </row>
    <row r="25" spans="3:3" x14ac:dyDescent="0.25">
      <c r="C25" t="s">
        <v>24</v>
      </c>
    </row>
    <row r="26" spans="3:3" x14ac:dyDescent="0.25">
      <c r="C26" t="s">
        <v>28</v>
      </c>
    </row>
    <row r="27" spans="3:3" x14ac:dyDescent="0.25">
      <c r="C27" t="s">
        <v>31</v>
      </c>
    </row>
    <row r="28" spans="3:3" x14ac:dyDescent="0.25">
      <c r="C28" t="s">
        <v>30</v>
      </c>
    </row>
    <row r="29" spans="3:3" x14ac:dyDescent="0.25">
      <c r="C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{AR}21</vt:lpstr>
      <vt:lpstr>{AR}31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2019-01-15T10:04:11Z</dcterms:created>
  <dcterms:modified xsi:type="dcterms:W3CDTF">2022-01-24T09:36:01Z</dcterms:modified>
</cp:coreProperties>
</file>