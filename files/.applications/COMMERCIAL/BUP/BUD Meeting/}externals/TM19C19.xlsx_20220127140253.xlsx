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9200" windowHeight="7170"/>
  </bookViews>
  <sheets>
    <sheet name="Market Shares BUD" sheetId="1" r:id="rId1"/>
    <sheet name="{AR}01" sheetId="2" state="hidden" r:id="rId2"/>
  </sheets>
  <definedNames>
    <definedName name="TM1REBUILDOPTION">1</definedName>
    <definedName name="TM1RPTDATARNGARPT1" localSheetId="0">'Market Shares BUD'!$26:$26</definedName>
    <definedName name="TM1RPTFMTIDCOL" localSheetId="0">'Market Shares BUD'!$A$1:$A$8</definedName>
    <definedName name="TM1RPTFMTRNG" localSheetId="0">'Market Shares BUD'!$B$1:$S$8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8" i="1"/>
  <c r="C19" i="1"/>
  <c r="R23" i="1"/>
  <c r="C20" i="1"/>
  <c r="P23" i="1"/>
  <c r="L23" i="1"/>
  <c r="J23" i="1"/>
  <c r="F23" i="1"/>
  <c r="D23" i="1"/>
  <c r="C26" i="1"/>
  <c r="B26" i="1"/>
  <c r="S26" i="1"/>
  <c r="Q26" i="1"/>
  <c r="U26" i="1"/>
  <c r="R26" i="1"/>
  <c r="P26" i="1"/>
  <c r="T26" i="1"/>
  <c r="M26" i="1"/>
  <c r="K26" i="1"/>
  <c r="O26" i="1"/>
  <c r="L26" i="1"/>
  <c r="J26" i="1"/>
  <c r="N26" i="1"/>
  <c r="G26" i="1"/>
  <c r="E26" i="1"/>
  <c r="I26" i="1"/>
  <c r="F26" i="1"/>
  <c r="D26" i="1"/>
  <c r="H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<sst xmlns="http://schemas.openxmlformats.org/spreadsheetml/2006/main" count="50" uniqueCount="25">
  <si>
    <t>Currency</t>
  </si>
  <si>
    <t>Prev_IC_mapping</t>
  </si>
  <si>
    <t>Country</t>
  </si>
  <si>
    <t>KUHN Sales</t>
  </si>
  <si>
    <t>KUHN_Scope</t>
  </si>
  <si>
    <t>QTY</t>
  </si>
  <si>
    <t>SALES</t>
  </si>
  <si>
    <t>KUHN CHINA</t>
  </si>
  <si>
    <t>KUHN UK</t>
  </si>
  <si>
    <t>KUHN GERMANY</t>
  </si>
  <si>
    <t>KUHN SPAIN</t>
  </si>
  <si>
    <t>KUHN AUSTRALIA</t>
  </si>
  <si>
    <t>KUHN ITALY</t>
  </si>
  <si>
    <t>KUHN POLAND</t>
  </si>
  <si>
    <t>KUHN RUSSIA</t>
  </si>
  <si>
    <t>KUHN UKRAINE</t>
  </si>
  <si>
    <t>D</t>
  </si>
  <si>
    <t>N</t>
  </si>
  <si>
    <t>[Begin Format Range]</t>
  </si>
  <si>
    <t>[End Format Range]</t>
  </si>
  <si>
    <t>Market shares %</t>
  </si>
  <si>
    <t xml:space="preserve">Attention! The values are always in Local Currency! </t>
  </si>
  <si>
    <t>KUHN BRAZIL</t>
  </si>
  <si>
    <t>KUHN MONTANA</t>
  </si>
  <si>
    <t>KAU MARKET SHARES per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</si>
</sst>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FF0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49" fontId="3" fillId="2" borderId="1" xfId="0" applyNumberFormat="1" applyFont="1" applyFill="1" applyBorder="1" applyAlignment="1"/>
    <xf numFmtId="0" fontId="0" fillId="4" borderId="0" xfId="0" applyFill="1"/>
    <xf numFmtId="0" fontId="0" fillId="5" borderId="0" xfId="0" applyFill="1"/>
    <xf numFmtId="9" fontId="5" fillId="2" borderId="0" xfId="1" applyFont="1" applyFill="1"/>
    <xf numFmtId="9" fontId="5" fillId="2" borderId="4" xfId="1" applyFont="1" applyFill="1" applyBorder="1"/>
    <xf numFmtId="9" fontId="5" fillId="3" borderId="4" xfId="1" applyFont="1" applyFill="1" applyBorder="1"/>
    <xf numFmtId="9" fontId="5" fillId="4" borderId="4" xfId="1" applyFont="1" applyFill="1" applyBorder="1"/>
    <xf numFmtId="9" fontId="5" fillId="5" borderId="4" xfId="1" applyFont="1" applyFill="1" applyBorder="1"/>
    <xf numFmtId="4" fontId="5" fillId="0" borderId="4" xfId="0" applyNumberFormat="1" applyFont="1" applyBorder="1"/>
    <xf numFmtId="9" fontId="5" fillId="2" borderId="5" xfId="1" applyFont="1" applyFill="1" applyBorder="1"/>
    <xf numFmtId="9" fontId="5" fillId="3" borderId="5" xfId="1" applyFont="1" applyFill="1" applyBorder="1"/>
    <xf numFmtId="9" fontId="5" fillId="4" borderId="5" xfId="1" applyFont="1" applyFill="1" applyBorder="1"/>
    <xf numFmtId="9" fontId="5" fillId="5" borderId="5" xfId="1" applyFont="1" applyFill="1" applyBorder="1"/>
    <xf numFmtId="4" fontId="5" fillId="0" borderId="5" xfId="0" applyNumberFormat="1" applyFont="1" applyBorder="1"/>
    <xf numFmtId="3" fontId="5" fillId="2" borderId="2" xfId="0" applyNumberFormat="1" applyFont="1" applyFill="1" applyBorder="1"/>
    <xf numFmtId="3" fontId="5" fillId="2" borderId="3" xfId="0" applyNumberFormat="1" applyFont="1" applyFill="1" applyBorder="1"/>
    <xf numFmtId="3" fontId="5" fillId="2" borderId="0" xfId="0" applyNumberFormat="1" applyFont="1" applyFill="1"/>
    <xf numFmtId="3" fontId="5" fillId="3" borderId="2" xfId="0" applyNumberFormat="1" applyFont="1" applyFill="1" applyBorder="1"/>
    <xf numFmtId="3" fontId="5" fillId="3" borderId="3" xfId="0" applyNumberFormat="1" applyFont="1" applyFill="1" applyBorder="1"/>
    <xf numFmtId="3" fontId="5" fillId="3" borderId="0" xfId="0" applyNumberFormat="1" applyFont="1" applyFill="1"/>
    <xf numFmtId="3" fontId="5" fillId="4" borderId="2" xfId="0" applyNumberFormat="1" applyFont="1" applyFill="1" applyBorder="1"/>
    <xf numFmtId="3" fontId="5" fillId="4" borderId="3" xfId="0" applyNumberFormat="1" applyFont="1" applyFill="1" applyBorder="1"/>
    <xf numFmtId="3" fontId="5" fillId="4" borderId="0" xfId="0" applyNumberFormat="1" applyFont="1" applyFill="1"/>
    <xf numFmtId="3" fontId="5" fillId="5" borderId="2" xfId="0" applyNumberFormat="1" applyFont="1" applyFill="1" applyBorder="1"/>
    <xf numFmtId="3" fontId="5" fillId="5" borderId="3" xfId="0" applyNumberFormat="1" applyFont="1" applyFill="1" applyBorder="1"/>
    <xf numFmtId="3" fontId="5" fillId="5" borderId="0" xfId="0" applyNumberFormat="1" applyFont="1" applyFill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0" fontId="6" fillId="7" borderId="0" xfId="0" applyFont="1" applyFill="1"/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17" xfId="0" applyFill="1" applyBorder="1"/>
    <xf numFmtId="0" fontId="7" fillId="7" borderId="19" xfId="0" applyFont="1" applyFill="1" applyBorder="1"/>
    <xf numFmtId="164" fontId="0" fillId="2" borderId="0" xfId="0" applyNumberFormat="1" applyFill="1" applyAlignment="1"/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514350</xdr:colOff>
          <xdr:row>20</xdr:row>
          <xdr:rowOff>28575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15</xdr:col>
      <xdr:colOff>365760</xdr:colOff>
      <xdr:row>16</xdr:row>
      <xdr:rowOff>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80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R287"/>
  <sheetViews>
    <sheetView showGridLines="0" tabSelected="1" topLeftCell="B10" workbookViewId="0">
      <pane xSplit="2" ySplit="16" topLeftCell="D26" activePane="bottomRight" state="frozen"/>
      <selection activeCell="B10" sqref="B10"/>
      <selection pane="topRight" activeCell="D10" sqref="D10"/>
      <selection pane="bottomLeft" activeCell="B26" sqref="B26"/>
      <selection pane="bottomRight" activeCell="C18" sqref="C18"/>
    </sheetView>
  </sheetViews>
  <sheetFormatPr defaultColWidth="0" defaultRowHeight="15" zeroHeight="1" x14ac:dyDescent="0.25"/>
  <cols>
    <col min="1" max="1" width="18.7109375" hidden="1" customWidth="1"/>
    <col min="2" max="2" width="28.28515625" bestFit="1" customWidth="1"/>
    <col min="3" max="3" width="45" customWidth="1"/>
    <col min="4" max="4" width="12.7109375" customWidth="1"/>
    <col min="5" max="5" width="15.7109375" customWidth="1"/>
    <col min="6" max="6" width="12.7109375" customWidth="1"/>
    <col min="7" max="7" width="15.7109375" customWidth="1"/>
    <col min="8" max="9" width="10.7109375" customWidth="1"/>
    <col min="10" max="10" width="12.7109375" customWidth="1"/>
    <col min="11" max="11" width="15.7109375" customWidth="1"/>
    <col min="12" max="12" width="12.7109375" customWidth="1"/>
    <col min="13" max="13" width="15.7109375" customWidth="1"/>
    <col min="14" max="15" width="10.7109375" customWidth="1"/>
    <col min="16" max="16" width="12.7109375" customWidth="1"/>
    <col min="17" max="17" width="15.7109375" customWidth="1"/>
    <col min="18" max="18" width="12.7109375" customWidth="1"/>
    <col min="19" max="19" width="15.7109375" customWidth="1"/>
    <col min="20" max="21" width="10.7109375" customWidth="1"/>
    <col min="22" max="22" width="1" customWidth="1"/>
    <col min="23" max="1006" width="0" hidden="1" customWidth="1"/>
    <col min="1007" max="16384" width="11.5703125" hidden="1"/>
  </cols>
  <sheetData>
    <row r="1" spans="1:21" ht="14.45" hidden="1" x14ac:dyDescent="0.3">
      <c r="A1" t="s">
        <v>18</v>
      </c>
    </row>
    <row r="2" spans="1:21" ht="14.45" hidden="1" x14ac:dyDescent="0.3">
      <c r="A2">
        <f>0</f>
        <v>0</v>
      </c>
      <c r="B2" s="2"/>
      <c r="C2" s="1"/>
      <c r="D2" s="19"/>
      <c r="E2" s="20"/>
      <c r="F2" s="21"/>
      <c r="G2" s="21"/>
      <c r="H2" s="14"/>
      <c r="I2" s="9"/>
      <c r="J2" s="19"/>
      <c r="K2" s="20"/>
      <c r="L2" s="21"/>
      <c r="M2" s="21"/>
      <c r="N2" s="14"/>
      <c r="O2" s="9"/>
      <c r="P2" s="19"/>
      <c r="Q2" s="20"/>
      <c r="R2" s="21"/>
      <c r="S2" s="21"/>
      <c r="T2" s="14"/>
      <c r="U2" s="9"/>
    </row>
    <row r="3" spans="1:21" ht="14.45" hidden="1" x14ac:dyDescent="0.3">
      <c r="A3">
        <f>1</f>
        <v>1</v>
      </c>
      <c r="B3" s="3"/>
      <c r="C3" s="4"/>
      <c r="D3" s="22"/>
      <c r="E3" s="23"/>
      <c r="F3" s="24"/>
      <c r="G3" s="24"/>
      <c r="H3" s="15"/>
      <c r="I3" s="10"/>
      <c r="J3" s="22"/>
      <c r="K3" s="23"/>
      <c r="L3" s="24"/>
      <c r="M3" s="24"/>
      <c r="N3" s="15"/>
      <c r="O3" s="10"/>
      <c r="P3" s="22"/>
      <c r="Q3" s="23"/>
      <c r="R3" s="24"/>
      <c r="S3" s="24"/>
      <c r="T3" s="15"/>
      <c r="U3" s="10"/>
    </row>
    <row r="4" spans="1:21" ht="14.45" hidden="1" x14ac:dyDescent="0.3">
      <c r="A4">
        <f>2</f>
        <v>2</v>
      </c>
      <c r="B4" s="3"/>
      <c r="C4" s="6"/>
      <c r="D4" s="25"/>
      <c r="E4" s="26"/>
      <c r="F4" s="27"/>
      <c r="G4" s="27"/>
      <c r="H4" s="16"/>
      <c r="I4" s="11"/>
      <c r="J4" s="25"/>
      <c r="K4" s="26"/>
      <c r="L4" s="27"/>
      <c r="M4" s="27"/>
      <c r="N4" s="16"/>
      <c r="O4" s="11"/>
      <c r="P4" s="25"/>
      <c r="Q4" s="26"/>
      <c r="R4" s="27"/>
      <c r="S4" s="27"/>
      <c r="T4" s="16"/>
      <c r="U4" s="11"/>
    </row>
    <row r="5" spans="1:21" ht="14.45" hidden="1" x14ac:dyDescent="0.3">
      <c r="A5">
        <f>3</f>
        <v>3</v>
      </c>
      <c r="B5" s="3"/>
      <c r="C5" s="7"/>
      <c r="D5" s="28"/>
      <c r="E5" s="29"/>
      <c r="F5" s="30"/>
      <c r="G5" s="30"/>
      <c r="H5" s="17"/>
      <c r="I5" s="12"/>
      <c r="J5" s="28"/>
      <c r="K5" s="29"/>
      <c r="L5" s="30"/>
      <c r="M5" s="30"/>
      <c r="N5" s="17"/>
      <c r="O5" s="12"/>
      <c r="P5" s="28"/>
      <c r="Q5" s="29"/>
      <c r="R5" s="30"/>
      <c r="S5" s="30"/>
      <c r="T5" s="17"/>
      <c r="U5" s="12"/>
    </row>
    <row r="6" spans="1:21" ht="14.45" hidden="1" x14ac:dyDescent="0.3">
      <c r="A6" t="s">
        <v>16</v>
      </c>
      <c r="B6" s="3"/>
      <c r="C6" s="4"/>
      <c r="D6" s="22"/>
      <c r="E6" s="23"/>
      <c r="F6" s="24"/>
      <c r="G6" s="24"/>
      <c r="H6" s="15"/>
      <c r="I6" s="10"/>
      <c r="J6" s="22"/>
      <c r="K6" s="23"/>
      <c r="L6" s="24"/>
      <c r="M6" s="24"/>
      <c r="N6" s="15"/>
      <c r="O6" s="10"/>
      <c r="P6" s="22"/>
      <c r="Q6" s="23"/>
      <c r="R6" s="24"/>
      <c r="S6" s="24"/>
      <c r="T6" s="15"/>
      <c r="U6" s="10"/>
    </row>
    <row r="7" spans="1:21" ht="14.45" hidden="1" x14ac:dyDescent="0.3">
      <c r="A7" t="s">
        <v>17</v>
      </c>
      <c r="B7" s="3"/>
      <c r="D7" s="31"/>
      <c r="E7" s="32"/>
      <c r="F7" s="33"/>
      <c r="G7" s="33"/>
      <c r="H7" s="18"/>
      <c r="I7" s="13"/>
      <c r="J7" s="31"/>
      <c r="K7" s="32"/>
      <c r="L7" s="33"/>
      <c r="M7" s="33"/>
      <c r="N7" s="18"/>
      <c r="O7" s="13"/>
      <c r="P7" s="31"/>
      <c r="Q7" s="32"/>
      <c r="R7" s="33"/>
      <c r="S7" s="33"/>
      <c r="T7" s="18"/>
      <c r="U7" s="13"/>
    </row>
    <row r="8" spans="1:21" ht="14.45" hidden="1" x14ac:dyDescent="0.3">
      <c r="A8" t="s">
        <v>19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spans="1:21" ht="14.45" hidden="1" x14ac:dyDescent="0.3">
      <c r="B9" s="39" t="str">
        <f ca="1">_xll.TM1RPTVIEW("CXMD:OTC_DATA_MARKET_ANALYSIS:ARPT1", 1, _xll.TM1RPTTITLE("CXMD:Currency",$C$18), _xll.TM1RPTTITLE("CXMD:DIM_Prev_IC_mapping",$C$19), _xll.TM1RPTTITLE("CXMD:DIM_Country",$C$20),TM1RPTFMTRNG,TM1RPTFMTIDCOL)</f>
        <v>CXMD:OTC_DATA_MARKET_ANALYSIS:ARPT1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ht="14.45" x14ac:dyDescent="0.3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1:21" ht="14.45" x14ac:dyDescent="0.3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spans="1:21" ht="14.45" x14ac:dyDescent="0.3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spans="1:21" ht="14.45" x14ac:dyDescent="0.3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spans="1:21" ht="14.45" x14ac:dyDescent="0.3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spans="1:21" ht="14.45" x14ac:dyDescent="0.3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ht="14.45" x14ac:dyDescent="0.3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spans="1:21" ht="19.5" x14ac:dyDescent="0.3">
      <c r="B17" s="42" t="s">
        <v>24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spans="1:21" x14ac:dyDescent="0.25">
      <c r="B18" s="40" t="s">
        <v>0</v>
      </c>
      <c r="C18" s="41" t="str">
        <f ca="1">_xll.SUBNM("CXMD:Currency","","CD_LC")</f>
        <v>CD_LC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1" hidden="1" x14ac:dyDescent="0.25">
      <c r="B19" s="40" t="s">
        <v>1</v>
      </c>
      <c r="C19" s="39" t="str">
        <f ca="1">_xll.SUBNM("CXMD:DIM_Prev_IC_mapping","","Others")</f>
        <v>Others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spans="1:21" hidden="1" x14ac:dyDescent="0.25">
      <c r="B20" s="40" t="s">
        <v>2</v>
      </c>
      <c r="C20" s="39" t="str">
        <f ca="1">_xll.SUBNM("CXMD:DIM_Country","","Total Country")</f>
        <v>Total Country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spans="1:21" ht="15.75" thickBot="1" x14ac:dyDescent="0.3">
      <c r="B21" s="43"/>
      <c r="C21" s="43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:21" ht="18.75" thickTop="1" thickBot="1" x14ac:dyDescent="0.35">
      <c r="B22" s="47" t="s">
        <v>21</v>
      </c>
      <c r="C22" s="46"/>
      <c r="D22" s="4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spans="1:21" ht="14.45" customHeight="1" thickTop="1" x14ac:dyDescent="0.25">
      <c r="B23" s="39"/>
      <c r="C23" s="44"/>
      <c r="D23" s="49" t="str">
        <f ca="1">_xll.SUBNM("CXMD:Actuality","Actuality_Market_Share","AC2017","Description EN")</f>
        <v>AC2017</v>
      </c>
      <c r="E23" s="50"/>
      <c r="F23" s="49" t="str">
        <f ca="1">_xll.SUBNM("CXMD:Actuality","Actuality_Market_Share","AC2017","Description EN")</f>
        <v>AC2017</v>
      </c>
      <c r="G23" s="50"/>
      <c r="H23" s="56" t="s">
        <v>20</v>
      </c>
      <c r="I23" s="54" t="s">
        <v>20</v>
      </c>
      <c r="J23" s="49" t="str">
        <f ca="1">_xll.SUBNM("CXMD:Actuality","Actuality_Market_Share","FC3_2018","Description EN")</f>
        <v>FC3_2018</v>
      </c>
      <c r="K23" s="50"/>
      <c r="L23" s="49" t="str">
        <f ca="1">_xll.SUBNM("CXMD:Actuality","Actuality_Market_Share","FC3_2018","Description EN")</f>
        <v>FC3_2018</v>
      </c>
      <c r="M23" s="50"/>
      <c r="N23" s="56" t="s">
        <v>20</v>
      </c>
      <c r="O23" s="54" t="s">
        <v>20</v>
      </c>
      <c r="P23" s="49" t="str">
        <f ca="1">_xll.SUBNM("CXMD:Actuality","Actuality_Market_Share","BU2019draft","Description EN")</f>
        <v>BU2019draft</v>
      </c>
      <c r="Q23" s="50"/>
      <c r="R23" s="49" t="str">
        <f ca="1">_xll.SUBNM("CXMD:Actuality","Actuality_Market_Share","BU2019draft","Description EN")</f>
        <v>BU2019draft</v>
      </c>
      <c r="S23" s="50"/>
      <c r="T23" s="56" t="s">
        <v>20</v>
      </c>
      <c r="U23" s="54" t="s">
        <v>20</v>
      </c>
    </row>
    <row r="24" spans="1:21" x14ac:dyDescent="0.25">
      <c r="B24" s="39"/>
      <c r="C24" s="39"/>
      <c r="D24" s="51" t="s">
        <v>3</v>
      </c>
      <c r="E24" s="52"/>
      <c r="F24" s="52" t="s">
        <v>4</v>
      </c>
      <c r="G24" s="53"/>
      <c r="H24" s="57"/>
      <c r="I24" s="55"/>
      <c r="J24" s="51" t="s">
        <v>3</v>
      </c>
      <c r="K24" s="52"/>
      <c r="L24" s="52" t="s">
        <v>4</v>
      </c>
      <c r="M24" s="53"/>
      <c r="N24" s="57"/>
      <c r="O24" s="55"/>
      <c r="P24" s="51" t="s">
        <v>3</v>
      </c>
      <c r="Q24" s="52"/>
      <c r="R24" s="52" t="s">
        <v>4</v>
      </c>
      <c r="S24" s="53"/>
      <c r="T24" s="57"/>
      <c r="U24" s="55"/>
    </row>
    <row r="25" spans="1:21" ht="15.75" thickBot="1" x14ac:dyDescent="0.3">
      <c r="B25" s="39"/>
      <c r="C25" s="39"/>
      <c r="D25" s="34" t="s">
        <v>5</v>
      </c>
      <c r="E25" s="35" t="s">
        <v>6</v>
      </c>
      <c r="F25" s="35" t="s">
        <v>5</v>
      </c>
      <c r="G25" s="36" t="s">
        <v>6</v>
      </c>
      <c r="H25" s="37" t="s">
        <v>5</v>
      </c>
      <c r="I25" s="38" t="s">
        <v>6</v>
      </c>
      <c r="J25" s="34" t="s">
        <v>5</v>
      </c>
      <c r="K25" s="35" t="s">
        <v>6</v>
      </c>
      <c r="L25" s="35" t="s">
        <v>5</v>
      </c>
      <c r="M25" s="36" t="s">
        <v>6</v>
      </c>
      <c r="N25" s="37" t="s">
        <v>5</v>
      </c>
      <c r="O25" s="38" t="s">
        <v>6</v>
      </c>
      <c r="P25" s="34" t="s">
        <v>5</v>
      </c>
      <c r="Q25" s="35" t="s">
        <v>6</v>
      </c>
      <c r="R25" s="35" t="s">
        <v>5</v>
      </c>
      <c r="S25" s="36" t="s">
        <v>6</v>
      </c>
      <c r="T25" s="37" t="s">
        <v>5</v>
      </c>
      <c r="U25" s="38" t="s">
        <v>6</v>
      </c>
    </row>
    <row r="26" spans="1:21" x14ac:dyDescent="0.25">
      <c r="A26" t="str">
        <f ca="1">IF(_xll.TM1RPTELISCONSOLIDATED($C$26,$C26),IF(_xll.TM1RPTELLEV($C$26,$C26)&lt;=3,_xll.TM1RPTELLEV($C$26,$C26),"D"),"N")</f>
        <v>N</v>
      </c>
      <c r="B26" s="5" t="str">
        <f ca="1">_xll.TM1RPTROW($B$9,"CXMD:DIM_Origin_Company","",'{AR}01'!$B$19:$B$29,"Name EN",1)</f>
        <v/>
      </c>
      <c r="C26" s="48" t="str">
        <f ca="1">_xll.TM1RPTROW($B$9,"CXMD:DIM_Configuration","KAU_Product","","Description EN",0)</f>
        <v/>
      </c>
      <c r="D26" s="19" t="str">
        <f ca="1">_xll.DBRW($B$9,$C$18,$C$19,D$24,D$23,$B26,$C$20,$C26,D$25)</f>
        <v/>
      </c>
      <c r="E26" s="20" t="str">
        <f ca="1">_xll.DBRW($B$9,$C$18,$C$19,D$24,D$23,$B26,$C$20,$C26,E$25)</f>
        <v/>
      </c>
      <c r="F26" s="21" t="str">
        <f ca="1">_xll.DBRW($B$9,$C$18,$C$19,F$24,F$23,$B26,$C$20,$C26,F$25)</f>
        <v/>
      </c>
      <c r="G26" s="21" t="str">
        <f ca="1">_xll.DBRW($B$9,$C$18,$C$19,F$24,F$23,$B26,$C$20,$C26,G$25)</f>
        <v/>
      </c>
      <c r="H26" s="14" t="e">
        <f ca="1">IF(F26&lt;&gt;0,D26/F26,0)</f>
        <v>#VALUE!</v>
      </c>
      <c r="I26" s="9" t="e">
        <f ca="1">IF(G26&lt;&gt;0,E26/G26,0)</f>
        <v>#VALUE!</v>
      </c>
      <c r="J26" s="19" t="str">
        <f ca="1">_xll.DBRW($B$9,$C$18,$C$19,J$24,J$23,$B26,$C$20,$C26,J$25)</f>
        <v/>
      </c>
      <c r="K26" s="20" t="str">
        <f ca="1">_xll.DBRW($B$9,$C$18,$C$19,J$24,J$23,$B26,$C$20,$C26,K$25)</f>
        <v/>
      </c>
      <c r="L26" s="21" t="str">
        <f ca="1">_xll.DBRW($B$9,$C$18,$C$19,L$24,L$23,$B26,$C$20,$C26,L$25)</f>
        <v/>
      </c>
      <c r="M26" s="21" t="str">
        <f ca="1">_xll.DBRW($B$9,$C$18,$C$19,L$24,L$23,$B26,$C$20,$C26,M$25)</f>
        <v/>
      </c>
      <c r="N26" s="14" t="e">
        <f ca="1">IF(L26&lt;&gt;0,J26/L26,0)</f>
        <v>#VALUE!</v>
      </c>
      <c r="O26" s="9" t="e">
        <f ca="1">IF(M26&lt;&gt;0,K26/M26,0)</f>
        <v>#VALUE!</v>
      </c>
      <c r="P26" s="19" t="str">
        <f ca="1">_xll.DBRW($B$9,$C$18,$C$19,P$24,P$23,$B26,$C$20,$C26,P$25)</f>
        <v/>
      </c>
      <c r="Q26" s="20" t="str">
        <f ca="1">_xll.DBRW($B$9,$C$18,$C$19,P$24,P$23,$B26,$C$20,$C26,Q$25)</f>
        <v/>
      </c>
      <c r="R26" s="21" t="str">
        <f ca="1">_xll.DBRW($B$9,$C$18,$C$19,R$24,R$23,$B26,$C$20,$C26,R$25)</f>
        <v/>
      </c>
      <c r="S26" s="21" t="str">
        <f ca="1">_xll.DBRW($B$9,$C$18,$C$19,R$24,R$23,$B26,$C$20,$C26,S$25)</f>
        <v/>
      </c>
      <c r="T26" s="8" t="e">
        <f ca="1">IF(R26&lt;&gt;0,P26/R26,0)</f>
        <v>#VALUE!</v>
      </c>
      <c r="U26" s="8" t="e">
        <f ca="1">IF(S26&lt;&gt;0,Q26/S26,0)</f>
        <v>#VALUE!</v>
      </c>
    </row>
    <row r="27" spans="1:21" hidden="1" x14ac:dyDescent="0.25"/>
    <row r="28" spans="1:21" hidden="1" x14ac:dyDescent="0.25"/>
    <row r="29" spans="1:21" hidden="1" x14ac:dyDescent="0.25"/>
    <row r="30" spans="1:21" hidden="1" x14ac:dyDescent="0.25"/>
    <row r="31" spans="1:21" hidden="1" x14ac:dyDescent="0.25"/>
    <row r="32" spans="1:2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</sheetData>
  <mergeCells count="18">
    <mergeCell ref="U23:U24"/>
    <mergeCell ref="H23:H24"/>
    <mergeCell ref="I23:I24"/>
    <mergeCell ref="N23:N24"/>
    <mergeCell ref="O23:O24"/>
    <mergeCell ref="T23:T24"/>
    <mergeCell ref="R24:S24"/>
    <mergeCell ref="R23:S23"/>
    <mergeCell ref="D24:E24"/>
    <mergeCell ref="F24:G24"/>
    <mergeCell ref="J24:K24"/>
    <mergeCell ref="L24:M24"/>
    <mergeCell ref="P24:Q24"/>
    <mergeCell ref="D23:E23"/>
    <mergeCell ref="F23:G23"/>
    <mergeCell ref="J23:K23"/>
    <mergeCell ref="L23:M23"/>
    <mergeCell ref="P23:Q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514350</xdr:colOff>
                <xdr:row>20</xdr:row>
                <xdr:rowOff>28575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29"/>
  <sheetViews>
    <sheetView topLeftCell="A10" workbookViewId="0"/>
  </sheetViews>
  <sheetFormatPr defaultColWidth="11.42578125" defaultRowHeight="15" x14ac:dyDescent="0.25"/>
  <sheetData>
    <row r="19" spans="2:2" x14ac:dyDescent="0.3">
      <c r="B19" t="s">
        <v>7</v>
      </c>
    </row>
    <row r="20" spans="2:2" x14ac:dyDescent="0.3">
      <c r="B20" t="s">
        <v>8</v>
      </c>
    </row>
    <row r="21" spans="2:2" x14ac:dyDescent="0.3">
      <c r="B21" t="s">
        <v>22</v>
      </c>
    </row>
    <row r="22" spans="2:2" x14ac:dyDescent="0.3">
      <c r="B22" t="s">
        <v>9</v>
      </c>
    </row>
    <row r="23" spans="2:2" x14ac:dyDescent="0.3">
      <c r="B23" t="s">
        <v>10</v>
      </c>
    </row>
    <row r="24" spans="2:2" x14ac:dyDescent="0.3">
      <c r="B24" t="s">
        <v>11</v>
      </c>
    </row>
    <row r="25" spans="2:2" x14ac:dyDescent="0.3">
      <c r="B25" t="s">
        <v>12</v>
      </c>
    </row>
    <row r="26" spans="2:2" x14ac:dyDescent="0.3">
      <c r="B26" t="s">
        <v>13</v>
      </c>
    </row>
    <row r="27" spans="2:2" x14ac:dyDescent="0.3">
      <c r="B27" t="s">
        <v>14</v>
      </c>
    </row>
    <row r="28" spans="2:2" x14ac:dyDescent="0.3">
      <c r="B28" t="s">
        <v>15</v>
      </c>
    </row>
    <row r="29" spans="2:2" x14ac:dyDescent="0.3">
      <c r="B2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Market Shares BUD</vt:lpstr>
      <vt:lpstr>{AR}01</vt:lpstr>
      <vt:lpstr>'Market Shares BUD'!TM1RPTDATARNGARPT1</vt:lpstr>
      <vt:lpstr>'Market Shares BUD'!TM1RPTFMTIDCOL</vt:lpstr>
      <vt:lpstr>'Market Shares BUD'!TM1RPTFMTRNG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2019-01-14T09:20:42Z</dcterms:created>
  <dcterms:modified xsi:type="dcterms:W3CDTF">2022-01-27T14:02:46Z</dcterms:modified>
</cp:coreProperties>
</file>