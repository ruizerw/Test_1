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19200" windowHeight="7170"/>
  </bookViews>
  <sheets>
    <sheet name="Feuil1" sheetId="1" r:id="rId1"/>
  </sheets>
  <definedNames>
    <definedName name="TM1REBUILDOPTION">1</definedName>
    <definedName name="TM1RPTDATARNGARPT1" localSheetId="0">Feuil1!$27:$27</definedName>
    <definedName name="TM1RPTFMTIDCOL" localSheetId="0">Feuil1!$A$1:$A$8</definedName>
    <definedName name="TM1RPTFMTRNG" localSheetId="0">Feuil1!$D$1:$H$8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19" i="1"/>
  <c r="F25" i="1"/>
  <c r="E18" i="1"/>
  <c r="E20" i="1"/>
  <c r="E21" i="1"/>
  <c r="H25" i="1"/>
  <c r="E25" i="1"/>
  <c r="G25" i="1"/>
  <c r="D27" i="1"/>
  <c r="E27" i="1"/>
  <c r="F27" i="1"/>
  <c r="G27" i="1"/>
  <c r="H27" i="1"/>
  <c r="E16" i="1"/>
  <c r="E17" i="1"/>
  <c r="I27" i="1"/>
  <c r="J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<sst xmlns="http://schemas.openxmlformats.org/spreadsheetml/2006/main" count="19" uniqueCount="15">
  <si>
    <t>Current_Year</t>
  </si>
  <si>
    <t>Current_Month</t>
  </si>
  <si>
    <t>Month</t>
  </si>
  <si>
    <t>Origin_Company</t>
  </si>
  <si>
    <t>Allocation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</si>
  <si>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</si>
  <si>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</si>
  <si>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</si>
  <si>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</si>
  <si>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</si>
  <si>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</si>
  <si>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</si>
  <si>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OBJECTIVE</t>
  </si>
  <si>
    <t>REALIZED</t>
  </si>
  <si>
    <t>Objective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</si>
</sst>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&quot; &quot;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3" fontId="5" fillId="0" borderId="0" xfId="0" applyNumberFormat="1" applyFont="1"/>
    <xf numFmtId="164" fontId="0" fillId="2" borderId="0" xfId="0" applyNumberFormat="1" applyFill="1" applyAlignment="1"/>
    <xf numFmtId="3" fontId="6" fillId="2" borderId="1" xfId="0" applyNumberFormat="1" applyFont="1" applyFill="1" applyBorder="1"/>
    <xf numFmtId="3" fontId="6" fillId="2" borderId="2" xfId="0" applyNumberFormat="1" applyFont="1" applyFill="1" applyBorder="1"/>
    <xf numFmtId="3" fontId="6" fillId="2" borderId="7" xfId="0" applyNumberFormat="1" applyFont="1" applyFill="1" applyBorder="1"/>
    <xf numFmtId="166" fontId="7" fillId="2" borderId="9" xfId="1" applyNumberFormat="1" applyFont="1" applyFill="1" applyBorder="1"/>
    <xf numFmtId="166" fontId="7" fillId="2" borderId="10" xfId="1" applyNumberFormat="1" applyFont="1" applyFill="1" applyBorder="1"/>
    <xf numFmtId="3" fontId="6" fillId="3" borderId="3" xfId="0" applyNumberFormat="1" applyFont="1" applyFill="1" applyBorder="1"/>
    <xf numFmtId="3" fontId="6" fillId="3" borderId="4" xfId="0" applyNumberFormat="1" applyFont="1" applyFill="1" applyBorder="1"/>
    <xf numFmtId="3" fontId="6" fillId="3" borderId="0" xfId="0" applyNumberFormat="1" applyFont="1" applyFill="1" applyBorder="1"/>
    <xf numFmtId="166" fontId="7" fillId="3" borderId="9" xfId="1" applyNumberFormat="1" applyFont="1" applyFill="1" applyBorder="1"/>
    <xf numFmtId="166" fontId="7" fillId="3" borderId="10" xfId="1" applyNumberFormat="1" applyFont="1" applyFill="1" applyBorder="1"/>
    <xf numFmtId="3" fontId="6" fillId="3" borderId="5" xfId="0" applyNumberFormat="1" applyFont="1" applyFill="1" applyBorder="1"/>
    <xf numFmtId="3" fontId="6" fillId="3" borderId="6" xfId="0" applyNumberFormat="1" applyFont="1" applyFill="1" applyBorder="1"/>
    <xf numFmtId="3" fontId="6" fillId="3" borderId="8" xfId="0" applyNumberFormat="1" applyFont="1" applyFill="1" applyBorder="1"/>
    <xf numFmtId="0" fontId="0" fillId="5" borderId="0" xfId="0" applyFill="1"/>
    <xf numFmtId="0" fontId="0" fillId="6" borderId="0" xfId="0" applyFill="1"/>
    <xf numFmtId="0" fontId="3" fillId="6" borderId="0" xfId="0" applyFont="1" applyFill="1"/>
    <xf numFmtId="0" fontId="2" fillId="6" borderId="0" xfId="0" applyFont="1" applyFill="1"/>
    <xf numFmtId="0" fontId="0" fillId="0" borderId="0" xfId="0" applyFill="1"/>
    <xf numFmtId="9" fontId="6" fillId="0" borderId="0" xfId="1" applyFont="1"/>
    <xf numFmtId="0" fontId="4" fillId="7" borderId="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18</xdr:row>
          <xdr:rowOff>0</xdr:rowOff>
        </xdr:from>
        <xdr:to>
          <xdr:col>7</xdr:col>
          <xdr:colOff>933450</xdr:colOff>
          <xdr:row>20</xdr:row>
          <xdr:rowOff>114300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22860</xdr:rowOff>
    </xdr:from>
    <xdr:to>
      <xdr:col>10</xdr:col>
      <xdr:colOff>0</xdr:colOff>
      <xdr:row>13</xdr:row>
      <xdr:rowOff>175260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966978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58"/>
  <sheetViews>
    <sheetView showGridLines="0" tabSelected="1" topLeftCell="D10" workbookViewId="0">
      <selection activeCell="D9" sqref="D9"/>
    </sheetView>
  </sheetViews>
  <sheetFormatPr defaultColWidth="0" defaultRowHeight="15" zeroHeight="1" x14ac:dyDescent="0.25"/>
  <cols>
    <col min="1" max="1" width="18.7109375" hidden="1" customWidth="1"/>
    <col min="2" max="3" width="0" hidden="1" customWidth="1"/>
    <col min="4" max="4" width="50.7109375" customWidth="1"/>
    <col min="5" max="5" width="14.7109375" customWidth="1"/>
    <col min="6" max="6" width="18.7109375" customWidth="1"/>
    <col min="7" max="7" width="14.7109375" customWidth="1"/>
    <col min="8" max="8" width="18.7109375" customWidth="1"/>
    <col min="9" max="10" width="11.5703125" customWidth="1"/>
    <col min="11" max="11" width="0.7109375" style="22" customWidth="1"/>
    <col min="12" max="1000" width="0" hidden="1" customWidth="1"/>
    <col min="1001" max="16384" width="11.5703125" hidden="1"/>
  </cols>
  <sheetData>
    <row r="1" spans="1:11" ht="14.45" hidden="1" x14ac:dyDescent="0.3">
      <c r="A1" t="s">
        <v>10</v>
      </c>
    </row>
    <row r="2" spans="1:11" ht="14.45" hidden="1" x14ac:dyDescent="0.3">
      <c r="A2">
        <f>0</f>
        <v>0</v>
      </c>
      <c r="D2" s="1"/>
      <c r="E2" s="5"/>
      <c r="F2" s="6"/>
      <c r="G2" s="5"/>
      <c r="H2" s="7"/>
      <c r="I2" s="8"/>
      <c r="J2" s="9"/>
    </row>
    <row r="3" spans="1:11" ht="14.45" hidden="1" x14ac:dyDescent="0.3">
      <c r="A3">
        <f>1</f>
        <v>1</v>
      </c>
      <c r="D3" s="2"/>
      <c r="E3" s="10"/>
      <c r="F3" s="11"/>
      <c r="G3" s="10"/>
      <c r="H3" s="12"/>
      <c r="I3" s="13"/>
      <c r="J3" s="14"/>
    </row>
    <row r="4" spans="1:11" ht="14.45" hidden="1" x14ac:dyDescent="0.3">
      <c r="A4">
        <f>2</f>
        <v>2</v>
      </c>
      <c r="D4" s="2"/>
      <c r="E4" s="10"/>
      <c r="F4" s="11"/>
      <c r="G4" s="10"/>
      <c r="H4" s="12"/>
      <c r="I4" s="13"/>
      <c r="J4" s="14"/>
    </row>
    <row r="5" spans="1:11" ht="14.45" hidden="1" x14ac:dyDescent="0.3">
      <c r="A5">
        <f>3</f>
        <v>3</v>
      </c>
      <c r="D5" s="2"/>
      <c r="E5" s="10"/>
      <c r="F5" s="11"/>
      <c r="G5" s="10"/>
      <c r="H5" s="12"/>
      <c r="I5" s="13"/>
      <c r="J5" s="14"/>
    </row>
    <row r="6" spans="1:11" ht="14.45" hidden="1" x14ac:dyDescent="0.3">
      <c r="A6" t="s">
        <v>8</v>
      </c>
      <c r="D6" s="2"/>
      <c r="E6" s="15"/>
      <c r="F6" s="16"/>
      <c r="G6" s="15"/>
      <c r="H6" s="17"/>
      <c r="I6" s="13"/>
      <c r="J6" s="14"/>
    </row>
    <row r="7" spans="1:11" ht="14.45" hidden="1" x14ac:dyDescent="0.3">
      <c r="A7" t="s">
        <v>9</v>
      </c>
      <c r="E7" s="3"/>
      <c r="F7" s="3"/>
      <c r="G7" s="3"/>
      <c r="H7" s="3"/>
    </row>
    <row r="8" spans="1:11" ht="14.45" hidden="1" x14ac:dyDescent="0.3">
      <c r="A8" t="s">
        <v>11</v>
      </c>
    </row>
    <row r="9" spans="1:11" ht="14.45" hidden="1" x14ac:dyDescent="0.3">
      <c r="D9" t="str">
        <f ca="1">_xll.TM1RPTVIEW("CXMD:FTM_DATA_MARGIN:ARPT1", 1, _xll.TM1RPTTITLE("CXMD:Month",$E$19), _xll.TM1RPTTITLE("CXMD:DIM_Origin_Company",$E$18),_xll.TM1RPTTITLE("CXMD:DIM_Allocation",$E$20), _xll.TM1RPTTITLE("CXMD:DIM_Customer_Supplier",$E$21),TM1RPTFMTRNG,TM1RPTFMTIDCOL)</f>
        <v>CXMD:FTM_DATA_MARGIN:ARPT1</v>
      </c>
    </row>
    <row r="10" spans="1:11" s="18" customFormat="1" ht="14.45" x14ac:dyDescent="0.3">
      <c r="K10" s="22"/>
    </row>
    <row r="11" spans="1:11" s="18" customFormat="1" ht="14.45" x14ac:dyDescent="0.3">
      <c r="K11" s="22"/>
    </row>
    <row r="12" spans="1:11" s="18" customFormat="1" ht="14.45" x14ac:dyDescent="0.3">
      <c r="K12" s="22"/>
    </row>
    <row r="13" spans="1:11" s="18" customFormat="1" ht="14.45" x14ac:dyDescent="0.3">
      <c r="K13" s="22"/>
    </row>
    <row r="14" spans="1:11" s="18" customFormat="1" ht="14.45" x14ac:dyDescent="0.3">
      <c r="K14" s="22"/>
    </row>
    <row r="15" spans="1:11" s="19" customFormat="1" ht="14.45" x14ac:dyDescent="0.3">
      <c r="K15" s="22"/>
    </row>
    <row r="16" spans="1:11" s="19" customFormat="1" ht="14.45" hidden="1" x14ac:dyDescent="0.3">
      <c r="D16" s="20" t="s">
        <v>0</v>
      </c>
      <c r="E16" s="19" t="str">
        <f ca="1">_xll.SUBNM("CXMD:Current_Year","","1")</f>
        <v>1</v>
      </c>
      <c r="K16" s="22"/>
    </row>
    <row r="17" spans="1:11" s="19" customFormat="1" ht="14.45" hidden="1" x14ac:dyDescent="0.3">
      <c r="D17" s="20" t="s">
        <v>1</v>
      </c>
      <c r="E17" s="19" t="str">
        <f ca="1">_xll.SUBNM("CXMD:Current_Month","","1")</f>
        <v>1</v>
      </c>
      <c r="K17" s="22"/>
    </row>
    <row r="18" spans="1:11" s="19" customFormat="1" ht="14.45" x14ac:dyDescent="0.3">
      <c r="D18" s="20" t="s">
        <v>3</v>
      </c>
      <c r="E18" s="21" t="str">
        <f ca="1">_xll.SUBNM("CXMD:DIM_Origin_Company","","Kuhn Huard","Name EN")</f>
        <v>KUHN HUARD</v>
      </c>
      <c r="F18" s="21"/>
      <c r="K18" s="22"/>
    </row>
    <row r="19" spans="1:11" s="19" customFormat="1" ht="14.45" x14ac:dyDescent="0.3">
      <c r="D19" s="20" t="s">
        <v>2</v>
      </c>
      <c r="E19" s="21" t="str">
        <f ca="1">_xll.SUBNM("CXMD:Month","","Total_Month")</f>
        <v>Total_Month</v>
      </c>
      <c r="F19" s="21"/>
      <c r="K19" s="22"/>
    </row>
    <row r="20" spans="1:11" s="19" customFormat="1" hidden="1" x14ac:dyDescent="0.25">
      <c r="D20" s="20" t="s">
        <v>4</v>
      </c>
      <c r="E20" s="21" t="str">
        <f ca="1">_xll.SUBNM("CXMD:DIM_Allocation","","Total Allocation")</f>
        <v>Total Allocation</v>
      </c>
      <c r="F20" s="21"/>
      <c r="K20" s="22"/>
    </row>
    <row r="21" spans="1:11" s="19" customFormat="1" ht="14.45" x14ac:dyDescent="0.3">
      <c r="D21" s="20" t="s">
        <v>5</v>
      </c>
      <c r="E21" s="21" t="str">
        <f ca="1">_xll.SUBNM("CXMD:DIM_Customer_Supplier","","Total_Customer_Supplier")</f>
        <v>Total_Customer_Supplier</v>
      </c>
      <c r="F21" s="21"/>
      <c r="K21" s="22"/>
    </row>
    <row r="22" spans="1:11" s="19" customFormat="1" ht="14.45" x14ac:dyDescent="0.3">
      <c r="D22" s="20"/>
      <c r="E22" s="21"/>
      <c r="F22" s="21"/>
      <c r="K22" s="22"/>
    </row>
    <row r="23" spans="1:11" s="19" customFormat="1" ht="14.45" x14ac:dyDescent="0.3">
      <c r="K23" s="22"/>
    </row>
    <row r="24" spans="1:11" ht="14.45" x14ac:dyDescent="0.3">
      <c r="D24" s="19"/>
      <c r="E24" s="27" t="s">
        <v>12</v>
      </c>
      <c r="F24" s="27"/>
      <c r="G24" s="27" t="s">
        <v>13</v>
      </c>
      <c r="H24" s="27"/>
      <c r="I24" s="19"/>
      <c r="J24" s="19"/>
    </row>
    <row r="25" spans="1:11" ht="16.899999999999999" customHeight="1" x14ac:dyDescent="0.3">
      <c r="D25" s="19"/>
      <c r="E25" s="24" t="str">
        <f ca="1">_xll.SUBNM("CXMD:Actuality","","BU2019","Description EN")</f>
        <v>BU2019</v>
      </c>
      <c r="F25" s="24" t="str">
        <f ca="1">_xll.SUBNM("CXMD:Actuality","","BU2019","Description EN")</f>
        <v>BU2019</v>
      </c>
      <c r="G25" s="24" t="str">
        <f ca="1">_xll.SUBNM("CXMD:Actuality","","AC2019","Description EN")</f>
        <v>AC2019</v>
      </c>
      <c r="H25" s="24" t="str">
        <f ca="1">_xll.SUBNM("CXMD:Actuality","","AC2019","Description EN")</f>
        <v>AC2019</v>
      </c>
      <c r="I25" s="28" t="s">
        <v>14</v>
      </c>
      <c r="J25" s="29"/>
    </row>
    <row r="26" spans="1:11" x14ac:dyDescent="0.25">
      <c r="D26" s="19"/>
      <c r="E26" s="25" t="s">
        <v>6</v>
      </c>
      <c r="F26" s="26" t="s">
        <v>7</v>
      </c>
      <c r="G26" s="25" t="s">
        <v>6</v>
      </c>
      <c r="H26" s="26" t="s">
        <v>7</v>
      </c>
      <c r="I26" s="25" t="s">
        <v>6</v>
      </c>
      <c r="J26" s="26" t="s">
        <v>7</v>
      </c>
    </row>
    <row r="27" spans="1:11" x14ac:dyDescent="0.25">
      <c r="A27" t="str">
        <f ca="1">IF(_xll.TM1RPTELISCONSOLIDATED($D$27,$D27),IF(_xll.TM1RPTELLEV($D$27,$D27)&lt;=3,_xll.TM1RPTELLEV($D$27,$D27),"D"),"N")</f>
        <v>N</v>
      </c>
      <c r="D27" s="4" t="str">
        <f ca="1">_xll.TM1RPTROW($D$9,"CXMD:DIM_Configuration","Product_Line","","Description EN",0)</f>
        <v/>
      </c>
      <c r="E27" s="5" t="str">
        <f ca="1">_xll.DBRW($D$9,$E$19,E$25,$E$18,$E$20,$E$21,$D27,E$26)</f>
        <v/>
      </c>
      <c r="F27" s="6" t="str">
        <f ca="1">_xll.DBRW($D$9,$E$19,F$25,$E$18,$E$20,$E$21,$D27,F$26)</f>
        <v/>
      </c>
      <c r="G27" s="5" t="str">
        <f ca="1">_xll.DBRW($D$9,$E$19,G$25,$E$18,$E$20,$E$21,$D27,G$26)</f>
        <v/>
      </c>
      <c r="H27" s="7" t="str">
        <f ca="1">_xll.DBRW($D$9,$E$19,H$25,$E$18,$E$20,$E$21,$D27,H$26)</f>
        <v/>
      </c>
      <c r="I27" s="23" t="e">
        <f ca="1">IF(E27&lt;&gt;0,G27/E27,0)</f>
        <v>#VALUE!</v>
      </c>
      <c r="J27" s="23" t="e">
        <f ca="1">IF(F27&lt;&gt;0,H27/F27,0)</f>
        <v>#VALUE!</v>
      </c>
    </row>
    <row r="28" spans="1:11" hidden="1" x14ac:dyDescent="0.25"/>
    <row r="29" spans="1:11" hidden="1" x14ac:dyDescent="0.25"/>
    <row r="30" spans="1:11" hidden="1" x14ac:dyDescent="0.25"/>
    <row r="31" spans="1:11" hidden="1" x14ac:dyDescent="0.25"/>
    <row r="32" spans="1:11" hidden="1" x14ac:dyDescent="0.25"/>
    <row r="33" hidden="1" x14ac:dyDescent="0.25"/>
    <row r="34" hidden="1" x14ac:dyDescent="0.25"/>
    <row r="35" hidden="1" x14ac:dyDescent="0.25"/>
    <row r="36" hidden="1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</sheetData>
  <mergeCells count="3">
    <mergeCell ref="E24:F24"/>
    <mergeCell ref="G24:H24"/>
    <mergeCell ref="I25:J25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IButton1">
          <controlPr defaultSize="0" print="0" autoLine="0" autoPict="0" r:id="rId4">
            <anchor moveWithCells="1">
              <from>
                <xdr:col>7</xdr:col>
                <xdr:colOff>19050</xdr:colOff>
                <xdr:row>18</xdr:row>
                <xdr:rowOff>0</xdr:rowOff>
              </from>
              <to>
                <xdr:col>7</xdr:col>
                <xdr:colOff>933450</xdr:colOff>
                <xdr:row>20</xdr:row>
                <xdr:rowOff>114300</xdr:rowOff>
              </to>
            </anchor>
          </controlPr>
        </control>
      </mc:Choice>
      <mc:Fallback>
        <control shapeId="1025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2017-05-04T09:17:30Z</dcterms:created>
  <dcterms:modified xsi:type="dcterms:W3CDTF">2022-01-24T10:56:55Z</dcterms:modified>
</cp:coreProperties>
</file>