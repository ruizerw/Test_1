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0" yWindow="0" windowWidth="12270" windowHeight="5250"/>
  </bookViews>
  <sheets>
    <sheet name="Feuil1" sheetId="1" r:id="rId1"/>
    <sheet name="{AR}01" sheetId="2" state="hidden" r:id="rId2"/>
    <sheet name="{AR}11" sheetId="3" state="hidden" r:id="rId3"/>
  </sheets>
  <definedNames>
    <definedName name="TM1REBUILDOPTION">1</definedName>
    <definedName name="TM1RPTDATARNGARPT1" localSheetId="0">Feuil1!$23:$23</definedName>
    <definedName name="TM1RPTFMTIDCOL" localSheetId="0">Feuil1!$A$1:$A$8</definedName>
    <definedName name="TM1RPTFMTRNG" localSheetId="0">Feuil1!$B$1:$I$8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7" i="1"/>
  <c r="C18" i="1"/>
  <c r="J21" i="1"/>
  <c r="C16" i="1"/>
  <c r="G21" i="1"/>
  <c r="D21" i="1"/>
  <c r="C23" i="1"/>
  <c r="B23" i="1"/>
  <c r="L23" i="1"/>
  <c r="K23" i="1"/>
  <c r="J23" i="1"/>
  <c r="G23" i="1"/>
  <c r="I23" i="1"/>
  <c r="H23" i="1"/>
  <c r="E23" i="1"/>
  <c r="F23" i="1"/>
  <c r="D23" i="1"/>
  <c r="A23" i="1"/>
  <c r="A5" i="1"/>
  <c r="A4" i="1"/>
  <c r="A3" i="1"/>
  <c r="A2" i="1"/>
</calcChain>
</file>

<file path=xl/sharedStrings.xml><?xml version="1.0" encoding="utf-8"?>
<sst xmlns="http://schemas.openxmlformats.org/spreadsheetml/2006/main" count="29" uniqueCount="23">
  <si>
    <t>Origin_Company</t>
  </si>
  <si>
    <t>Currency</t>
  </si>
  <si>
    <t>Prev_IC_mapping</t>
  </si>
  <si>
    <t>KUHN Key Figures</t>
  </si>
  <si>
    <t>QTY</t>
  </si>
  <si>
    <t>Unit.Price</t>
  </si>
  <si>
    <t>SALES</t>
  </si>
  <si>
    <t>Total Country SOM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</si>
  <si>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</si>
  <si>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</si>
  <si>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</si>
  <si>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</si>
  <si>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</si>
  <si>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</si>
  <si>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</si>
  <si>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</si>
  <si>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TOTAL PRODUCT</t>
  </si>
  <si>
    <t>D</t>
  </si>
  <si>
    <t>N</t>
  </si>
  <si>
    <t>[Begin Format Range]</t>
  </si>
  <si>
    <t>[End Format Range]</t>
  </si>
  <si>
    <t>BUP INVOICED SALES</t>
  </si>
  <si>
    <t>Market_Actor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</si>
</sst>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0" fillId="2" borderId="1" xfId="0" applyFill="1" applyBorder="1"/>
    <xf numFmtId="0" fontId="0" fillId="3" borderId="0" xfId="0" applyFill="1"/>
    <xf numFmtId="164" fontId="2" fillId="2" borderId="1" xfId="0" applyNumberFormat="1" applyFont="1" applyFill="1" applyBorder="1" applyAlignment="1"/>
    <xf numFmtId="165" fontId="0" fillId="2" borderId="0" xfId="0" applyNumberFormat="1" applyFill="1" applyAlignment="1"/>
    <xf numFmtId="4" fontId="4" fillId="0" borderId="0" xfId="0" applyNumberFormat="1" applyFont="1"/>
    <xf numFmtId="3" fontId="4" fillId="2" borderId="8" xfId="0" applyNumberFormat="1" applyFont="1" applyFill="1" applyBorder="1"/>
    <xf numFmtId="3" fontId="4" fillId="2" borderId="0" xfId="0" applyNumberFormat="1" applyFont="1" applyFill="1" applyBorder="1"/>
    <xf numFmtId="3" fontId="4" fillId="2" borderId="9" xfId="0" applyNumberFormat="1" applyFont="1" applyFill="1" applyBorder="1"/>
    <xf numFmtId="3" fontId="4" fillId="3" borderId="8" xfId="0" applyNumberFormat="1" applyFont="1" applyFill="1" applyBorder="1"/>
    <xf numFmtId="3" fontId="4" fillId="3" borderId="0" xfId="0" applyNumberFormat="1" applyFont="1" applyFill="1" applyBorder="1"/>
    <xf numFmtId="3" fontId="4" fillId="3" borderId="9" xfId="0" applyNumberFormat="1" applyFont="1" applyFill="1" applyBorder="1"/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2" fillId="6" borderId="0" xfId="0" applyFont="1" applyFill="1"/>
    <xf numFmtId="0" fontId="1" fillId="6" borderId="0" xfId="0" applyFont="1" applyFill="1"/>
    <xf numFmtId="0" fontId="5" fillId="6" borderId="0" xfId="0" applyFont="1" applyFill="1"/>
    <xf numFmtId="0" fontId="3" fillId="6" borderId="0" xfId="0" applyFont="1" applyFill="1" applyBorder="1" applyAlignment="1"/>
    <xf numFmtId="0" fontId="0" fillId="0" borderId="0" xfId="0" applyFill="1"/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175260</xdr:rowOff>
    </xdr:from>
    <xdr:to>
      <xdr:col>6</xdr:col>
      <xdr:colOff>838200</xdr:colOff>
      <xdr:row>13</xdr:row>
      <xdr:rowOff>158115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8140"/>
          <a:ext cx="10515600" cy="89916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1047749</xdr:colOff>
          <xdr:row>15</xdr:row>
          <xdr:rowOff>0</xdr:rowOff>
        </xdr:from>
        <xdr:to>
          <xdr:col>4</xdr:col>
          <xdr:colOff>847724</xdr:colOff>
          <xdr:row>18</xdr:row>
          <xdr:rowOff>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M23"/>
  <sheetViews>
    <sheetView showGridLines="0" tabSelected="1" workbookViewId="0">
      <pane xSplit="3" ySplit="22" topLeftCell="D23" activePane="bottomRight" state="frozen"/>
      <selection activeCell="B10" sqref="B10"/>
      <selection pane="topRight" activeCell="D10" sqref="D10"/>
      <selection pane="bottomLeft" activeCell="B23" sqref="B23"/>
      <selection pane="bottomRight" activeCell="A9" sqref="A9:XFD9"/>
    </sheetView>
  </sheetViews>
  <sheetFormatPr defaultColWidth="0" defaultRowHeight="15" x14ac:dyDescent="0.25"/>
  <cols>
    <col min="1" max="1" width="18.7109375" hidden="1" customWidth="1"/>
    <col min="2" max="2" width="30.7109375" customWidth="1"/>
    <col min="3" max="3" width="60.7109375" customWidth="1"/>
    <col min="4" max="4" width="15.7109375" customWidth="1"/>
    <col min="5" max="5" width="12.7109375" customWidth="1"/>
    <col min="6" max="6" width="20.7109375" customWidth="1"/>
    <col min="7" max="7" width="15.7109375" customWidth="1"/>
    <col min="8" max="8" width="12.7109375" customWidth="1"/>
    <col min="9" max="9" width="20.7109375" customWidth="1"/>
    <col min="10" max="10" width="15.7109375" customWidth="1"/>
    <col min="11" max="11" width="12.7109375" style="23" customWidth="1"/>
    <col min="12" max="12" width="20.7109375" style="23" customWidth="1"/>
    <col min="13" max="13" width="0.7109375" style="23" customWidth="1"/>
    <col min="14" max="16384" width="11.5703125" style="23" hidden="1"/>
  </cols>
  <sheetData>
    <row r="1" spans="1:13" ht="14.45" hidden="1" x14ac:dyDescent="0.3">
      <c r="A1" t="s">
        <v>19</v>
      </c>
    </row>
    <row r="2" spans="1:13" ht="14.45" hidden="1" x14ac:dyDescent="0.3">
      <c r="A2">
        <f>0</f>
        <v>0</v>
      </c>
      <c r="B2" s="2"/>
      <c r="C2" s="1"/>
      <c r="D2" s="8"/>
      <c r="E2" s="9"/>
      <c r="F2" s="10"/>
      <c r="G2" s="8"/>
      <c r="H2" s="9"/>
      <c r="I2" s="10"/>
      <c r="J2" s="8"/>
      <c r="K2" s="9"/>
      <c r="L2" s="10"/>
    </row>
    <row r="3" spans="1:13" ht="14.45" hidden="1" x14ac:dyDescent="0.3">
      <c r="A3">
        <f>1</f>
        <v>1</v>
      </c>
      <c r="B3" s="3"/>
      <c r="C3" s="4"/>
      <c r="D3" s="11"/>
      <c r="E3" s="12"/>
      <c r="F3" s="13"/>
      <c r="G3" s="11"/>
      <c r="H3" s="12"/>
      <c r="I3" s="13"/>
      <c r="J3" s="11"/>
      <c r="K3" s="12"/>
      <c r="L3" s="13"/>
    </row>
    <row r="4" spans="1:13" ht="14.45" hidden="1" x14ac:dyDescent="0.3">
      <c r="A4">
        <f>2</f>
        <v>2</v>
      </c>
      <c r="B4" s="3"/>
      <c r="C4" s="4"/>
      <c r="D4" s="11"/>
      <c r="E4" s="12"/>
      <c r="F4" s="13"/>
      <c r="G4" s="11"/>
      <c r="H4" s="12"/>
      <c r="I4" s="13"/>
      <c r="J4" s="11"/>
      <c r="K4" s="12"/>
      <c r="L4" s="13"/>
    </row>
    <row r="5" spans="1:13" ht="14.45" hidden="1" x14ac:dyDescent="0.3">
      <c r="A5">
        <f>3</f>
        <v>3</v>
      </c>
      <c r="B5" s="3"/>
      <c r="C5" s="4"/>
      <c r="D5" s="11"/>
      <c r="E5" s="12"/>
      <c r="F5" s="13"/>
      <c r="G5" s="11"/>
      <c r="H5" s="12"/>
      <c r="I5" s="13"/>
      <c r="J5" s="11"/>
      <c r="K5" s="12"/>
      <c r="L5" s="13"/>
    </row>
    <row r="6" spans="1:13" ht="14.45" hidden="1" x14ac:dyDescent="0.3">
      <c r="A6" t="s">
        <v>17</v>
      </c>
      <c r="B6" s="3"/>
      <c r="C6" s="4"/>
      <c r="D6" s="11"/>
      <c r="E6" s="12"/>
      <c r="F6" s="13"/>
      <c r="G6" s="11"/>
      <c r="H6" s="12"/>
      <c r="I6" s="13"/>
      <c r="J6" s="11"/>
      <c r="K6" s="12"/>
      <c r="L6" s="13"/>
    </row>
    <row r="7" spans="1:13" ht="14.45" hidden="1" x14ac:dyDescent="0.3">
      <c r="A7" t="s">
        <v>18</v>
      </c>
      <c r="B7" s="3"/>
      <c r="D7" s="7"/>
      <c r="E7" s="7"/>
      <c r="F7" s="7"/>
      <c r="G7" s="7"/>
      <c r="H7" s="7"/>
      <c r="I7" s="7"/>
    </row>
    <row r="8" spans="1:13" ht="14.45" hidden="1" x14ac:dyDescent="0.3">
      <c r="A8" s="18" t="s">
        <v>20</v>
      </c>
      <c r="B8" s="18"/>
      <c r="C8" s="18"/>
      <c r="D8" s="18"/>
      <c r="E8" s="18"/>
      <c r="F8" s="18"/>
      <c r="G8" s="18"/>
      <c r="H8" s="18"/>
      <c r="I8" s="18"/>
      <c r="J8" s="18"/>
    </row>
    <row r="9" spans="1:13" hidden="1" x14ac:dyDescent="0.25">
      <c r="A9" s="18"/>
      <c r="B9" s="18" t="str">
        <f ca="1">_xll.TM1RPTVIEW("CXMD:OTC_DATA_MARKET_ANALYSIS:ARPT1", 1, _xll.TM1RPTTITLE("CXMD:Currency",$C$17), _xll.TM1RPTTITLE("CXMD:DIM_Prev_IC_mapping",$C$18), _xll.TM1RPTTITLE("CXMD:DIM_Origin_Company",$C$16),TM1RPTFMTRNG,TM1RPTFMTIDCOL)</f>
        <v>CXMD:OTC_DATA_MARKET_ANALYSIS:ARPT1</v>
      </c>
      <c r="C9" s="18"/>
      <c r="D9" s="18"/>
      <c r="E9" s="18"/>
      <c r="F9" s="18"/>
      <c r="G9" s="18"/>
      <c r="H9" s="18"/>
      <c r="I9" s="18"/>
      <c r="J9" s="18"/>
    </row>
    <row r="10" spans="1:13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4.45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4.45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4.45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4.45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9.899999999999999" x14ac:dyDescent="0.4">
      <c r="A15" s="18"/>
      <c r="B15" s="21" t="s">
        <v>21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4.45" x14ac:dyDescent="0.3">
      <c r="A16" s="18"/>
      <c r="B16" s="19" t="s">
        <v>0</v>
      </c>
      <c r="C16" s="20" t="str">
        <f ca="1">_xll.SUBNM("CXMD:DIM_Origin_Company","","KUHN HUARD","Name EN")</f>
        <v>KUHN HUARD</v>
      </c>
      <c r="D16" s="18"/>
      <c r="F16" s="18"/>
      <c r="G16" s="18"/>
      <c r="H16" s="18"/>
      <c r="I16" s="18"/>
      <c r="J16" s="18"/>
      <c r="K16" s="18"/>
      <c r="L16" s="18"/>
      <c r="M16" s="18"/>
    </row>
    <row r="17" spans="1:13" ht="14.45" x14ac:dyDescent="0.3">
      <c r="A17" s="18"/>
      <c r="B17" s="19" t="s">
        <v>1</v>
      </c>
      <c r="C17" s="20" t="str">
        <f ca="1">_xll.SUBNM("CXMD:Currency","","CD_LC")</f>
        <v>CD_LC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4.45" customHeight="1" x14ac:dyDescent="0.3">
      <c r="A18" s="18"/>
      <c r="B18" s="19" t="s">
        <v>2</v>
      </c>
      <c r="C18" s="20" t="str">
        <f ca="1">_xll.SUBNM("CXMD:DIM_Prev_IC_mapping","","Total_Customer_Supplier")</f>
        <v>Total_Customer_Supplier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6" hidden="1" customHeight="1" x14ac:dyDescent="0.3">
      <c r="A19" s="18"/>
      <c r="B19" s="19" t="s">
        <v>22</v>
      </c>
      <c r="C19" s="22" t="s">
        <v>3</v>
      </c>
      <c r="D19" s="22"/>
      <c r="E19" s="22"/>
      <c r="F19" s="18"/>
      <c r="G19" s="18"/>
      <c r="H19" s="18"/>
      <c r="I19" s="18"/>
      <c r="J19" s="18"/>
      <c r="K19" s="18"/>
      <c r="L19" s="18"/>
      <c r="M19" s="18"/>
    </row>
    <row r="20" spans="1:13" thickBot="1" x14ac:dyDescent="0.3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4.45" x14ac:dyDescent="0.3">
      <c r="B21" s="18"/>
      <c r="C21" s="18"/>
      <c r="D21" s="24" t="str">
        <f ca="1">_xll.SUBNM("CXMD:Actuality","","AC2017","Description EN")</f>
        <v>AC2017</v>
      </c>
      <c r="E21" s="25"/>
      <c r="F21" s="26"/>
      <c r="G21" s="24" t="str">
        <f ca="1">_xll.SUBNM("CXMD:Actuality","","AC2018","Description EN")</f>
        <v>AC2018</v>
      </c>
      <c r="H21" s="25"/>
      <c r="I21" s="26"/>
      <c r="J21" s="24" t="str">
        <f ca="1">_xll.SUBNM("CXMD:Actuality","","AC2019","Description EN")</f>
        <v>AC2019</v>
      </c>
      <c r="K21" s="25"/>
      <c r="L21" s="26"/>
    </row>
    <row r="22" spans="1:13" ht="15.75" thickBot="1" x14ac:dyDescent="0.3">
      <c r="B22" s="18"/>
      <c r="C22" s="18"/>
      <c r="D22" s="14" t="s">
        <v>4</v>
      </c>
      <c r="E22" s="15" t="s">
        <v>5</v>
      </c>
      <c r="F22" s="16" t="s">
        <v>6</v>
      </c>
      <c r="G22" s="14" t="s">
        <v>4</v>
      </c>
      <c r="H22" s="15" t="s">
        <v>5</v>
      </c>
      <c r="I22" s="16" t="s">
        <v>6</v>
      </c>
      <c r="J22" s="14" t="s">
        <v>4</v>
      </c>
      <c r="K22" s="15" t="s">
        <v>5</v>
      </c>
      <c r="L22" s="16" t="s">
        <v>6</v>
      </c>
    </row>
    <row r="23" spans="1:13" x14ac:dyDescent="0.25">
      <c r="A23" t="str">
        <f ca="1">IF(_xll.TM1RPTELISCONSOLIDATED($C$23,$C23),IF(_xll.TM1RPTELLEV($C$23,$C23)&lt;=3,_xll.TM1RPTELLEV($C$23,$C23),"D"),"N")</f>
        <v>N</v>
      </c>
      <c r="B23" s="5" t="str">
        <f ca="1">_xll.TM1RPTROW($B$9,"CXMD:DIM_Country","Total Country SOM","","Description",0)</f>
        <v/>
      </c>
      <c r="C23" s="6" t="str">
        <f ca="1">_xll.TM1RPTROW($B$9,"CXMD:DIM_Configuration","Total","","Description EN",0)</f>
        <v/>
      </c>
      <c r="D23" s="8" t="str">
        <f ca="1">_xll.DBRW($B$9,$C$17,$C$18,C$19,D$21,$C$16,$B23,$C23,D$22)</f>
        <v/>
      </c>
      <c r="E23" s="9" t="str">
        <f ca="1">_xll.DBRW($B$9,$C$17,$C$18,C$19,D$21,$C$16,$B23,$C23,E$22)</f>
        <v/>
      </c>
      <c r="F23" s="10" t="str">
        <f ca="1">_xll.DBRW($B$9,$C$17,$C$18,C$19,D$21,$C$16,$B23,$C23,F$22)</f>
        <v/>
      </c>
      <c r="G23" s="8" t="str">
        <f ca="1">_xll.DBRW($B$9,$C$17,$C$18,C$19,G$21,$C$16,$B23,$C23,G$22)</f>
        <v/>
      </c>
      <c r="H23" s="9" t="str">
        <f ca="1">_xll.DBRW($B$9,$C$17,$C$18,C$19,G$21,$C$16,$B23,$C23,H$22)</f>
        <v/>
      </c>
      <c r="I23" s="10" t="str">
        <f ca="1">_xll.DBRW($B$9,$C$17,$C$18,C$19,G$21,$C$16,$B23,$C23,I$22)</f>
        <v/>
      </c>
      <c r="J23" s="8" t="str">
        <f ca="1">_xll.DBRW($B$9,$C$17,$C$18,C$19,J$21,$C$16,$B23,$C23,J$22)</f>
        <v/>
      </c>
      <c r="K23" s="9" t="str">
        <f ca="1">_xll.DBRW($B$9,$C$17,$C$18,C$19,J$21,$C$16,$B23,$C23,K$22)</f>
        <v/>
      </c>
      <c r="L23" s="10" t="str">
        <f ca="1">_xll.DBRW($B$9,$C$17,$C$18,C$19,J$21,$C$16,$B23,$C23,L$22)</f>
        <v/>
      </c>
    </row>
  </sheetData>
  <mergeCells count="3">
    <mergeCell ref="G21:I21"/>
    <mergeCell ref="D21:F21"/>
    <mergeCell ref="J21:L21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3</xdr:col>
                <xdr:colOff>1047750</xdr:colOff>
                <xdr:row>15</xdr:row>
                <xdr:rowOff>0</xdr:rowOff>
              </from>
              <to>
                <xdr:col>4</xdr:col>
                <xdr:colOff>847725</xdr:colOff>
                <xdr:row>18</xdr:row>
                <xdr:rowOff>0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27"/>
  <sheetViews>
    <sheetView workbookViewId="0"/>
  </sheetViews>
  <sheetFormatPr defaultColWidth="11.42578125" defaultRowHeight="15" x14ac:dyDescent="0.25"/>
  <sheetData>
    <row r="19" spans="2:2" x14ac:dyDescent="0.3">
      <c r="B19" t="s">
        <v>7</v>
      </c>
    </row>
    <row r="20" spans="2:2" x14ac:dyDescent="0.3">
      <c r="B20" t="s">
        <v>8</v>
      </c>
    </row>
    <row r="21" spans="2:2" x14ac:dyDescent="0.3">
      <c r="B21" t="s">
        <v>9</v>
      </c>
    </row>
    <row r="22" spans="2:2" x14ac:dyDescent="0.3">
      <c r="B22" t="s">
        <v>10</v>
      </c>
    </row>
    <row r="23" spans="2:2" x14ac:dyDescent="0.3">
      <c r="B23" t="s">
        <v>11</v>
      </c>
    </row>
    <row r="24" spans="2:2" x14ac:dyDescent="0.3">
      <c r="B24" t="s">
        <v>12</v>
      </c>
    </row>
    <row r="25" spans="2:2" x14ac:dyDescent="0.3">
      <c r="B25" t="s">
        <v>13</v>
      </c>
    </row>
    <row r="26" spans="2:2" x14ac:dyDescent="0.3">
      <c r="B26" t="s">
        <v>14</v>
      </c>
    </row>
    <row r="27" spans="2:2" x14ac:dyDescent="0.3">
      <c r="B2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"/>
  <sheetViews>
    <sheetView workbookViewId="0"/>
  </sheetViews>
  <sheetFormatPr defaultColWidth="11.42578125" defaultRowHeight="15" x14ac:dyDescent="0.25"/>
  <sheetData>
    <row r="19" spans="3:3" x14ac:dyDescent="0.3">
      <c r="C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Feuil1</vt:lpstr>
      <vt:lpstr>{AR}01</vt:lpstr>
      <vt:lpstr>{AR}11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2017-04-23T08:05:18Z</dcterms:created>
  <dcterms:modified xsi:type="dcterms:W3CDTF">2022-01-31T08:43:39Z</dcterms:modified>
</cp:coreProperties>
</file>