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v191\AppData\Local\Temp\27\"/>
    </mc:Choice>
  </mc:AlternateContent>
  <bookViews>
    <workbookView xWindow="0" yWindow="0" windowWidth="19200" windowHeight="7170"/>
  </bookViews>
  <sheets>
    <sheet name="Feuil1" sheetId="1" r:id="rId1"/>
  </sheets>
  <definedNames>
    <definedName name="TM1REBUILDOPTION">1</definedName>
    <definedName name="TM1RPTDATARNGARPT1" localSheetId="0">Feuil1!$24:$24</definedName>
    <definedName name="TM1RPTFMTIDCOL" localSheetId="0">Feuil1!$A$1:$A$8</definedName>
    <definedName name="TM1RPTFMTRNG" localSheetId="0">Feuil1!$I$1:$S$8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1" l="1"/>
  <c r="J17" i="1"/>
  <c r="O22" i="1"/>
  <c r="J15" i="1"/>
  <c r="J19" i="1"/>
  <c r="J16" i="1"/>
  <c r="R22" i="1"/>
  <c r="L22" i="1"/>
  <c r="J22" i="1"/>
  <c r="I24" i="1"/>
  <c r="S24" i="1"/>
  <c r="R24" i="1"/>
  <c r="P24" i="1"/>
  <c r="O24" i="1"/>
  <c r="M24" i="1"/>
  <c r="L24" i="1"/>
  <c r="K24" i="1"/>
  <c r="J24" i="1"/>
  <c r="T24" i="1"/>
  <c r="Q24" i="1"/>
  <c r="N24" i="1"/>
  <c r="A24" i="1"/>
  <c r="A5" i="1"/>
  <c r="A4" i="1"/>
  <c r="A3" i="1"/>
  <c r="A2" i="1"/>
</calcChain>
</file>

<file path=xl/sharedStrings.xml><?xml version="1.0" encoding="utf-8"?>
<sst xmlns="http://schemas.openxmlformats.org/spreadsheetml/2006/main" count="20" uniqueCount="12">
  <si>
    <t>Origin_Company</t>
  </si>
  <si>
    <t>Customer_Supplier</t>
  </si>
  <si>
    <t>Month</t>
  </si>
  <si>
    <t>Allocation</t>
  </si>
  <si>
    <t>QTY</t>
  </si>
  <si>
    <t>SALES</t>
  </si>
  <si>
    <t>D</t>
  </si>
  <si>
    <t>N</t>
  </si>
  <si>
    <t>[Begin Format Range]</t>
  </si>
  <si>
    <t>[End Format Range]</t>
  </si>
  <si>
    <t>SALES % N-1</t>
  </si>
  <si>
    <t>Invoiced sales per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</si>
</sst>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- &quot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C8C8C8"/>
        <bgColor indexed="64"/>
      </patternFill>
    </fill>
  </fills>
  <borders count="12">
    <border>
      <left/>
      <right/>
      <top/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0" fillId="2" borderId="0" xfId="0" applyFill="1"/>
    <xf numFmtId="0" fontId="0" fillId="3" borderId="0" xfId="0" applyFill="1"/>
    <xf numFmtId="3" fontId="5" fillId="0" borderId="0" xfId="0" applyNumberFormat="1" applyFont="1"/>
    <xf numFmtId="164" fontId="0" fillId="2" borderId="0" xfId="0" applyNumberFormat="1" applyFill="1" applyAlignment="1"/>
    <xf numFmtId="9" fontId="6" fillId="2" borderId="0" xfId="1" applyFont="1" applyFill="1"/>
    <xf numFmtId="3" fontId="6" fillId="2" borderId="2" xfId="0" applyNumberFormat="1" applyFont="1" applyFill="1" applyBorder="1"/>
    <xf numFmtId="3" fontId="6" fillId="2" borderId="3" xfId="0" applyNumberFormat="1" applyFont="1" applyFill="1" applyBorder="1"/>
    <xf numFmtId="3" fontId="6" fillId="2" borderId="8" xfId="0" applyNumberFormat="1" applyFont="1" applyFill="1" applyBorder="1"/>
    <xf numFmtId="9" fontId="7" fillId="2" borderId="1" xfId="1" applyFont="1" applyFill="1" applyBorder="1"/>
    <xf numFmtId="3" fontId="6" fillId="3" borderId="4" xfId="0" applyNumberFormat="1" applyFont="1" applyFill="1" applyBorder="1"/>
    <xf numFmtId="3" fontId="6" fillId="3" borderId="5" xfId="0" applyNumberFormat="1" applyFont="1" applyFill="1" applyBorder="1"/>
    <xf numFmtId="3" fontId="6" fillId="3" borderId="0" xfId="0" applyNumberFormat="1" applyFont="1" applyFill="1" applyBorder="1"/>
    <xf numFmtId="9" fontId="7" fillId="3" borderId="1" xfId="1" applyFont="1" applyFill="1" applyBorder="1"/>
    <xf numFmtId="0" fontId="0" fillId="4" borderId="0" xfId="0" applyFill="1"/>
    <xf numFmtId="0" fontId="0" fillId="5" borderId="0" xfId="0" applyFill="1"/>
    <xf numFmtId="3" fontId="6" fillId="5" borderId="4" xfId="0" applyNumberFormat="1" applyFont="1" applyFill="1" applyBorder="1"/>
    <xf numFmtId="3" fontId="6" fillId="5" borderId="5" xfId="0" applyNumberFormat="1" applyFont="1" applyFill="1" applyBorder="1"/>
    <xf numFmtId="3" fontId="6" fillId="5" borderId="0" xfId="0" applyNumberFormat="1" applyFont="1" applyFill="1" applyBorder="1"/>
    <xf numFmtId="9" fontId="7" fillId="5" borderId="1" xfId="1" applyFont="1" applyFill="1" applyBorder="1"/>
    <xf numFmtId="0" fontId="0" fillId="6" borderId="0" xfId="0" applyFill="1"/>
    <xf numFmtId="3" fontId="6" fillId="6" borderId="4" xfId="0" applyNumberFormat="1" applyFont="1" applyFill="1" applyBorder="1"/>
    <xf numFmtId="3" fontId="6" fillId="6" borderId="5" xfId="0" applyNumberFormat="1" applyFont="1" applyFill="1" applyBorder="1"/>
    <xf numFmtId="3" fontId="6" fillId="6" borderId="0" xfId="0" applyNumberFormat="1" applyFont="1" applyFill="1" applyBorder="1"/>
    <xf numFmtId="9" fontId="7" fillId="6" borderId="1" xfId="1" applyFont="1" applyFill="1" applyBorder="1"/>
    <xf numFmtId="0" fontId="0" fillId="0" borderId="0" xfId="0" applyFill="1"/>
    <xf numFmtId="3" fontId="6" fillId="0" borderId="6" xfId="0" applyNumberFormat="1" applyFont="1" applyFill="1" applyBorder="1"/>
    <xf numFmtId="3" fontId="6" fillId="0" borderId="7" xfId="0" applyNumberFormat="1" applyFont="1" applyFill="1" applyBorder="1"/>
    <xf numFmtId="3" fontId="6" fillId="0" borderId="9" xfId="0" applyNumberFormat="1" applyFont="1" applyFill="1" applyBorder="1"/>
    <xf numFmtId="9" fontId="7" fillId="0" borderId="1" xfId="1" applyFont="1" applyFill="1" applyBorder="1"/>
    <xf numFmtId="0" fontId="4" fillId="7" borderId="6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0" fillId="8" borderId="0" xfId="0" applyFill="1"/>
    <xf numFmtId="0" fontId="3" fillId="4" borderId="0" xfId="0" applyFont="1" applyFill="1"/>
    <xf numFmtId="0" fontId="2" fillId="4" borderId="0" xfId="0" applyFont="1" applyFill="1"/>
    <xf numFmtId="0" fontId="8" fillId="4" borderId="0" xfId="0" applyFont="1" applyFill="1"/>
    <xf numFmtId="0" fontId="4" fillId="7" borderId="10" xfId="0" applyFont="1" applyFill="1" applyBorder="1" applyAlignment="1">
      <alignment horizontal="center" vertical="top" wrapText="1"/>
    </xf>
    <xf numFmtId="0" fontId="4" fillId="7" borderId="11" xfId="0" applyFont="1" applyFill="1" applyBorder="1" applyAlignment="1">
      <alignment horizontal="center" vertical="top" wrapText="1"/>
    </xf>
    <xf numFmtId="0" fontId="4" fillId="7" borderId="2" xfId="0" applyFont="1" applyFill="1" applyBorder="1" applyAlignment="1">
      <alignment horizontal="center" wrapText="1"/>
    </xf>
    <xf numFmtId="0" fontId="4" fillId="7" borderId="3" xfId="0" applyFont="1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461"/>
  <ax:ocxPr ax:name="_ExtentY" ax:value="1270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10,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1"/>
  <ax:ocxPr ax:name="ShowFailureMessage" ax:value="1"/>
  <ax:ocxPr ax:name="TargetWorkbookName" ax:value=""/>
  <ax:ocxPr ax:name="TargetWorksheetName" ax:value="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15241</xdr:rowOff>
    </xdr:from>
    <xdr:to>
      <xdr:col>12</xdr:col>
      <xdr:colOff>509271</xdr:colOff>
      <xdr:row>13</xdr:row>
      <xdr:rowOff>1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1161"/>
          <a:ext cx="7512051" cy="71628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15</xdr:row>
          <xdr:rowOff>0</xdr:rowOff>
        </xdr:from>
        <xdr:to>
          <xdr:col>14</xdr:col>
          <xdr:colOff>104775</xdr:colOff>
          <xdr:row>17</xdr:row>
          <xdr:rowOff>142875</xdr:rowOff>
        </xdr:to>
        <xdr:sp macro="" textlink="">
          <xdr:nvSpPr>
            <xdr:cNvPr id="1026" name="TIButton1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ALO24"/>
  <sheetViews>
    <sheetView showGridLines="0" tabSelected="1" topLeftCell="I10" workbookViewId="0">
      <selection activeCell="J15" sqref="J15"/>
    </sheetView>
  </sheetViews>
  <sheetFormatPr defaultColWidth="0" defaultRowHeight="15" x14ac:dyDescent="0.25"/>
  <cols>
    <col min="1" max="1" width="18.7109375" hidden="1" customWidth="1"/>
    <col min="2" max="8" width="0" hidden="1" customWidth="1"/>
    <col min="9" max="9" width="60.7109375" customWidth="1"/>
    <col min="10" max="10" width="12.7109375" customWidth="1"/>
    <col min="11" max="11" width="15.7109375" customWidth="1"/>
    <col min="12" max="12" width="12.7109375" customWidth="1"/>
    <col min="13" max="13" width="15.7109375" customWidth="1"/>
    <col min="14" max="14" width="10.7109375" customWidth="1"/>
    <col min="15" max="15" width="12.7109375" customWidth="1"/>
    <col min="16" max="16" width="15.7109375" customWidth="1"/>
    <col min="17" max="17" width="10.7109375" customWidth="1"/>
    <col min="18" max="18" width="12.7109375" customWidth="1"/>
    <col min="19" max="19" width="15.7109375" customWidth="1"/>
    <col min="20" max="20" width="10.7109375" customWidth="1"/>
    <col min="21" max="21" width="0.7109375" customWidth="1"/>
    <col min="22" max="1003" width="0" hidden="1" customWidth="1"/>
    <col min="1004" max="16384" width="11.5703125" hidden="1"/>
  </cols>
  <sheetData>
    <row r="1" spans="1:21" ht="14.45" hidden="1" x14ac:dyDescent="0.3">
      <c r="A1" t="s">
        <v>8</v>
      </c>
    </row>
    <row r="2" spans="1:21" ht="14.45" hidden="1" x14ac:dyDescent="0.3">
      <c r="A2">
        <f>0</f>
        <v>0</v>
      </c>
      <c r="I2" s="1"/>
      <c r="J2" s="6"/>
      <c r="K2" s="7"/>
      <c r="L2" s="6"/>
      <c r="M2" s="8"/>
      <c r="N2" s="9"/>
      <c r="O2" s="8"/>
      <c r="P2" s="8"/>
      <c r="Q2" s="9"/>
      <c r="R2" s="8"/>
      <c r="S2" s="8"/>
      <c r="T2" s="9"/>
    </row>
    <row r="3" spans="1:21" ht="14.45" hidden="1" x14ac:dyDescent="0.3">
      <c r="A3">
        <f>1</f>
        <v>1</v>
      </c>
      <c r="I3" s="2"/>
      <c r="J3" s="10"/>
      <c r="K3" s="11"/>
      <c r="L3" s="10"/>
      <c r="M3" s="12"/>
      <c r="N3" s="13"/>
      <c r="O3" s="12"/>
      <c r="P3" s="12"/>
      <c r="Q3" s="13"/>
      <c r="R3" s="12"/>
      <c r="S3" s="12"/>
      <c r="T3" s="13"/>
    </row>
    <row r="4" spans="1:21" ht="14.45" hidden="1" x14ac:dyDescent="0.3">
      <c r="A4">
        <f>2</f>
        <v>2</v>
      </c>
      <c r="I4" s="20"/>
      <c r="J4" s="21"/>
      <c r="K4" s="22"/>
      <c r="L4" s="21"/>
      <c r="M4" s="23"/>
      <c r="N4" s="24"/>
      <c r="O4" s="23"/>
      <c r="P4" s="23"/>
      <c r="Q4" s="24"/>
      <c r="R4" s="23"/>
      <c r="S4" s="23"/>
      <c r="T4" s="24"/>
    </row>
    <row r="5" spans="1:21" ht="14.45" hidden="1" x14ac:dyDescent="0.3">
      <c r="A5" s="15">
        <f>3</f>
        <v>3</v>
      </c>
      <c r="B5" s="15"/>
      <c r="C5" s="15"/>
      <c r="D5" s="15"/>
      <c r="E5" s="15"/>
      <c r="F5" s="15"/>
      <c r="G5" s="15"/>
      <c r="H5" s="15"/>
      <c r="I5" s="15"/>
      <c r="J5" s="16"/>
      <c r="K5" s="17"/>
      <c r="L5" s="16"/>
      <c r="M5" s="18"/>
      <c r="N5" s="19"/>
      <c r="O5" s="18"/>
      <c r="P5" s="18"/>
      <c r="Q5" s="19"/>
      <c r="R5" s="18"/>
      <c r="S5" s="18"/>
      <c r="T5" s="19"/>
    </row>
    <row r="6" spans="1:21" ht="14.45" hidden="1" x14ac:dyDescent="0.3">
      <c r="A6" s="25" t="s">
        <v>6</v>
      </c>
      <c r="B6" s="25"/>
      <c r="C6" s="25"/>
      <c r="D6" s="25"/>
      <c r="E6" s="25"/>
      <c r="F6" s="25"/>
      <c r="G6" s="25"/>
      <c r="H6" s="25"/>
      <c r="I6" s="25"/>
      <c r="J6" s="26"/>
      <c r="K6" s="27"/>
      <c r="L6" s="26"/>
      <c r="M6" s="28"/>
      <c r="N6" s="29"/>
      <c r="O6" s="28"/>
      <c r="P6" s="28"/>
      <c r="Q6" s="29"/>
      <c r="R6" s="28"/>
      <c r="S6" s="28"/>
      <c r="T6" s="29"/>
    </row>
    <row r="7" spans="1:21" ht="14.45" hidden="1" x14ac:dyDescent="0.3">
      <c r="A7" t="s">
        <v>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1" ht="14.45" hidden="1" x14ac:dyDescent="0.3">
      <c r="A8" t="s">
        <v>9</v>
      </c>
    </row>
    <row r="9" spans="1:21" ht="14.45" hidden="1" x14ac:dyDescent="0.3">
      <c r="I9" t="str">
        <f ca="1">_xll.TM1RPTVIEW("CXMD:FTM_DATA_MARGIN:ARPT1", 1, _xll.TM1RPTTITLE("CXMD:Month",$J$17), _xll.TM1RPTTITLE("CXMD:DIM_Origin_Company",$J$15), _xll.TM1RPTTITLE("CXMD:DIM_Allocation",$J$19), _xll.TM1RPTTITLE("CXMD:DIM_Customer_Supplier",$J$16),TM1RPTFMTRNG,TM1RPTFMTIDCOL)</f>
        <v>CXMD:FTM_DATA_MARGIN:ARPT1</v>
      </c>
    </row>
    <row r="10" spans="1:21" ht="14.45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</row>
    <row r="11" spans="1:21" ht="14.45" x14ac:dyDescent="0.3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</row>
    <row r="12" spans="1:21" ht="14.45" x14ac:dyDescent="0.3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</row>
    <row r="13" spans="1:21" ht="14.45" x14ac:dyDescent="0.3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25"/>
    </row>
    <row r="14" spans="1:21" s="14" customFormat="1" ht="19.899999999999999" x14ac:dyDescent="0.4">
      <c r="I14" s="35" t="s">
        <v>11</v>
      </c>
      <c r="U14" s="25"/>
    </row>
    <row r="15" spans="1:21" s="14" customFormat="1" ht="14.45" x14ac:dyDescent="0.3">
      <c r="I15" s="33" t="s">
        <v>0</v>
      </c>
      <c r="J15" s="34" t="str">
        <f ca="1">_xll.SUBNM("CXMD:DIM_Origin_Company","","KUHN HUARD","Name EN")</f>
        <v>KUHN HUARD</v>
      </c>
      <c r="U15" s="25"/>
    </row>
    <row r="16" spans="1:21" s="14" customFormat="1" ht="14.45" hidden="1" x14ac:dyDescent="0.3">
      <c r="I16" s="33" t="s">
        <v>1</v>
      </c>
      <c r="J16" s="34" t="str">
        <f ca="1">_xll.SUBNM("CXMD:DIM_Customer_Supplier","","Total_Customer_Supplier")</f>
        <v>Total_Customer_Supplier</v>
      </c>
      <c r="N16"/>
      <c r="U16" s="25"/>
    </row>
    <row r="17" spans="1:21" s="14" customFormat="1" ht="14.45" x14ac:dyDescent="0.3">
      <c r="I17" s="33" t="s">
        <v>2</v>
      </c>
      <c r="J17" s="34" t="str">
        <f ca="1">_xll.SUBNM("CXMD:Month","","Total_Month")</f>
        <v>Total_Month</v>
      </c>
      <c r="U17" s="25"/>
    </row>
    <row r="18" spans="1:21" s="14" customFormat="1" ht="14.45" x14ac:dyDescent="0.3">
      <c r="I18" s="33"/>
      <c r="J18" s="34"/>
      <c r="U18" s="25"/>
    </row>
    <row r="19" spans="1:21" s="14" customFormat="1" ht="14.45" hidden="1" x14ac:dyDescent="0.3">
      <c r="I19" s="33" t="s">
        <v>3</v>
      </c>
      <c r="J19" s="14" t="str">
        <f ca="1">_xll.SUBNM("CXMD:DIM_Allocation","","Total Allocation")</f>
        <v>Total Allocation</v>
      </c>
      <c r="U19" s="25"/>
    </row>
    <row r="20" spans="1:21" s="14" customFormat="1" ht="14.45" x14ac:dyDescent="0.3">
      <c r="U20" s="25"/>
    </row>
    <row r="21" spans="1:21" s="14" customFormat="1" ht="14.45" x14ac:dyDescent="0.3">
      <c r="U21" s="25"/>
    </row>
    <row r="22" spans="1:21" x14ac:dyDescent="0.25">
      <c r="I22" s="14"/>
      <c r="J22" s="38" t="str">
        <f ca="1">_xll.SUBNM("CXMD:Actuality","","AC2016","Description EN")</f>
        <v>AC2016</v>
      </c>
      <c r="K22" s="39"/>
      <c r="L22" s="38" t="str">
        <f ca="1">_xll.SUBNM("CXMD:Actuality","","AC2017","Description EN")</f>
        <v>AC2017</v>
      </c>
      <c r="M22" s="39"/>
      <c r="N22" s="36" t="s">
        <v>10</v>
      </c>
      <c r="O22" s="38" t="str">
        <f ca="1">_xll.SUBNM("CXMD:Actuality","","AC2018","Description EN")</f>
        <v>AC2018</v>
      </c>
      <c r="P22" s="39"/>
      <c r="Q22" s="36" t="s">
        <v>10</v>
      </c>
      <c r="R22" s="38" t="str">
        <f ca="1">_xll.SUBNM("CXMD:Actuality","","AC2019","Description EN")</f>
        <v>AC2019</v>
      </c>
      <c r="S22" s="39"/>
      <c r="T22" s="36" t="s">
        <v>10</v>
      </c>
    </row>
    <row r="23" spans="1:21" x14ac:dyDescent="0.25">
      <c r="I23" s="14"/>
      <c r="J23" s="30" t="s">
        <v>4</v>
      </c>
      <c r="K23" s="31" t="s">
        <v>5</v>
      </c>
      <c r="L23" s="30" t="s">
        <v>4</v>
      </c>
      <c r="M23" s="31" t="s">
        <v>5</v>
      </c>
      <c r="N23" s="37"/>
      <c r="O23" s="30" t="s">
        <v>4</v>
      </c>
      <c r="P23" s="31" t="s">
        <v>5</v>
      </c>
      <c r="Q23" s="37"/>
      <c r="R23" s="30" t="s">
        <v>4</v>
      </c>
      <c r="S23" s="31" t="s">
        <v>5</v>
      </c>
      <c r="T23" s="37"/>
    </row>
    <row r="24" spans="1:21" x14ac:dyDescent="0.25">
      <c r="A24" t="str">
        <f ca="1">IF(_xll.TM1RPTELISCONSOLIDATED($I$24,$I24),IF(_xll.TM1RPTELLEV($I$24,$I24)&lt;=3,_xll.TM1RPTELLEV($I$24,$I24),"D"),"N")</f>
        <v>N</v>
      </c>
      <c r="I24" s="4" t="str">
        <f ca="1">_xll.TM1RPTROW($I$9,"CXMD:DIM_Configuration","Product_Line","","Description EN",0)</f>
        <v/>
      </c>
      <c r="J24" s="6" t="str">
        <f ca="1">_xll.DBRW($I$9,$J$17,J$22,$J$15,$J$19,$J$16,$I24,J$23)</f>
        <v/>
      </c>
      <c r="K24" s="7" t="str">
        <f ca="1">_xll.DBRW($I$9,$J$17,J$22,$J$15,$J$19,$J$16,$I24,K$23)</f>
        <v/>
      </c>
      <c r="L24" s="6" t="str">
        <f ca="1">_xll.DBRW($I$9,$J$17,L$22,$J$15,$J$19,$J$16,$I24,L$23)</f>
        <v/>
      </c>
      <c r="M24" s="8" t="str">
        <f ca="1">_xll.DBRW($I$9,$J$17,L$22,$J$15,$J$19,$J$16,$I24,M$23)</f>
        <v/>
      </c>
      <c r="N24" s="9" t="e">
        <f ca="1">IF(K24&lt;&gt;0,M24/K24-1,0)</f>
        <v>#VALUE!</v>
      </c>
      <c r="O24" s="8" t="str">
        <f ca="1">_xll.DBRW($I$9,$J$17,O$22,$J$15,$J$19,$J$16,$I24,O$23)</f>
        <v/>
      </c>
      <c r="P24" s="8" t="str">
        <f ca="1">_xll.DBRW($I$9,$J$17,O$22,$J$15,$J$19,$J$16,$I24,P$23)</f>
        <v/>
      </c>
      <c r="Q24" s="9" t="e">
        <f ca="1">IF(M24&lt;&gt;0,P24/M24-1,0)</f>
        <v>#VALUE!</v>
      </c>
      <c r="R24" s="8" t="str">
        <f ca="1">_xll.DBRW($I$9,$J$17,R$22,$J$15,$J$19,$J$16,$I24,R$23)</f>
        <v/>
      </c>
      <c r="S24" s="8" t="str">
        <f ca="1">_xll.DBRW($I$9,$J$17,R$22,$J$15,$J$19,$J$16,$I24,S$23)</f>
        <v/>
      </c>
      <c r="T24" s="5" t="e">
        <f ca="1">IF(P24&lt;&gt;0,S24/P24-1,0)</f>
        <v>#VALUE!</v>
      </c>
    </row>
  </sheetData>
  <mergeCells count="7">
    <mergeCell ref="N22:N23"/>
    <mergeCell ref="Q22:Q23"/>
    <mergeCell ref="T22:T23"/>
    <mergeCell ref="J22:K22"/>
    <mergeCell ref="L22:M22"/>
    <mergeCell ref="O22:P22"/>
    <mergeCell ref="R22:S22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6" r:id="rId4" name="TIButton1">
          <controlPr defaultSize="0" print="0" autoLine="0" autoPict="0" r:id="rId5">
            <anchor moveWithCells="1">
              <from>
                <xdr:col>13</xdr:col>
                <xdr:colOff>0</xdr:colOff>
                <xdr:row>15</xdr:row>
                <xdr:rowOff>0</xdr:rowOff>
              </from>
              <to>
                <xdr:col>14</xdr:col>
                <xdr:colOff>104775</xdr:colOff>
                <xdr:row>17</xdr:row>
                <xdr:rowOff>142875</xdr:rowOff>
              </to>
            </anchor>
          </controlPr>
        </control>
      </mc:Choice>
      <mc:Fallback>
        <control shapeId="1026" r:id="rId4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Feuil1</vt:lpstr>
      <vt:lpstr>Feuil1!TM1RPTDATARNGARPT1</vt:lpstr>
      <vt:lpstr>Feuil1!TM1RPTFMTIDCOL</vt:lpstr>
      <vt:lpstr>Feuil1!TM1RPTFMTRNG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 KRUPP</dc:creator>
  <cp:lastModifiedBy>Serveurs COGNOS</cp:lastModifiedBy>
  <dcterms:created xsi:type="dcterms:W3CDTF">2017-05-09T09:33:55Z</dcterms:created>
  <dcterms:modified xsi:type="dcterms:W3CDTF">2022-01-24T12:12:17Z</dcterms:modified>
</cp:coreProperties>
</file>