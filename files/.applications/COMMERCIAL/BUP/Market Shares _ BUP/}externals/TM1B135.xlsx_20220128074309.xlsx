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4005" yWindow="1965" windowWidth="21840" windowHeight="12270"/>
  </bookViews>
  <sheets>
    <sheet name="QTY" sheetId="1" r:id="rId1"/>
    <sheet name="Comments" sheetId="7" r:id="rId2"/>
    <sheet name="Unit Price" sheetId="9" r:id="rId3"/>
    <sheet name="Sales" sheetId="6" r:id="rId4"/>
  </sheets>
  <definedNames>
    <definedName name="actuality">QTY!$H$16</definedName>
    <definedName name="configuration">QTY!$C$18</definedName>
    <definedName name="country">QTY!$H$18</definedName>
    <definedName name="currency">QTY!$C$16</definedName>
    <definedName name="market_actor">QTY!$H$17</definedName>
    <definedName name="origin_company">QTY!$C$17</definedName>
    <definedName name="prev_ic_mapping">QTY!$C$19</definedName>
    <definedName name="TM1REBUILDOPTION">1</definedName>
    <definedName name="TM1RPTDATARNGARPT1" localSheetId="1">Comments!$24:$32</definedName>
    <definedName name="TM1RPTDATARNGARPT1" localSheetId="0">QTY!$26:$26</definedName>
    <definedName name="TM1RPTDATARNGARPT1" localSheetId="3">Sales!$26:$34</definedName>
    <definedName name="TM1RPTDATARNGARPT1" localSheetId="2">'Unit Price'!$26:$34</definedName>
    <definedName name="TM1RPTFMTIDCOL" localSheetId="1">Comments!$A$1:$A$8</definedName>
    <definedName name="TM1RPTFMTIDCOL" localSheetId="0">QTY!$A$1:$A$8</definedName>
    <definedName name="TM1RPTFMTIDCOL" localSheetId="3">Sales!$A$1:$A$8</definedName>
    <definedName name="TM1RPTFMTIDCOL" localSheetId="2">'Unit Price'!$A$1:$A$8</definedName>
    <definedName name="TM1RPTFMTRNG" localSheetId="1">Comments!$B$1:$N$8</definedName>
    <definedName name="TM1RPTFMTRNG" localSheetId="0">QTY!$B$1:$T$8</definedName>
    <definedName name="TM1RPTFMTRNG" localSheetId="3">Sales!$B$1:$T$8</definedName>
    <definedName name="TM1RPTFMTRNG" localSheetId="2">'Unit Price'!$B$1:$T$8</definedName>
    <definedName name="unit_price_global">QTY!$H$19</definedName>
  </definedNames>
  <calcPr calcId="162913" calcMode="manual" concurrentCalc="0"/>
</workbook>
</file>

<file path=xl/calcChain.xml><?xml version="1.0" encoding="utf-8"?>
<calcChain xmlns="http://schemas.openxmlformats.org/spreadsheetml/2006/main">
  <c r="C18" i="7" l="1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R24" i="1"/>
  <c r="R24" i="6"/>
  <c r="R22" i="1"/>
  <c r="R22" i="6"/>
  <c r="C17" i="1"/>
  <c r="C17" i="6"/>
  <c r="C18" i="1"/>
  <c r="C18" i="6"/>
  <c r="R34" i="6"/>
  <c r="S24" i="1"/>
  <c r="S24" i="6"/>
  <c r="S34" i="6"/>
  <c r="T34" i="6"/>
  <c r="O24" i="1"/>
  <c r="O24" i="6"/>
  <c r="O22" i="1"/>
  <c r="O22" i="6"/>
  <c r="O34" i="6"/>
  <c r="P24" i="1"/>
  <c r="P24" i="6"/>
  <c r="P34" i="6"/>
  <c r="Q34" i="6"/>
  <c r="L24" i="1"/>
  <c r="L24" i="6"/>
  <c r="L22" i="1"/>
  <c r="L22" i="6"/>
  <c r="L34" i="6"/>
  <c r="M24" i="1"/>
  <c r="M24" i="6"/>
  <c r="M34" i="6"/>
  <c r="N34" i="6"/>
  <c r="I24" i="1"/>
  <c r="I24" i="6"/>
  <c r="I22" i="1"/>
  <c r="I22" i="6"/>
  <c r="I34" i="6"/>
  <c r="J24" i="1"/>
  <c r="J24" i="6"/>
  <c r="J34" i="6"/>
  <c r="K34" i="6"/>
  <c r="F24" i="1"/>
  <c r="F24" i="6"/>
  <c r="F22" i="1"/>
  <c r="F22" i="6"/>
  <c r="F34" i="6"/>
  <c r="G24" i="1"/>
  <c r="G24" i="6"/>
  <c r="G34" i="6"/>
  <c r="H34" i="6"/>
  <c r="C24" i="1"/>
  <c r="C24" i="6"/>
  <c r="C22" i="1"/>
  <c r="C22" i="6"/>
  <c r="C34" i="6"/>
  <c r="D24" i="1"/>
  <c r="D24" i="6"/>
  <c r="D34" i="6"/>
  <c r="E34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A34" i="9"/>
  <c r="A33" i="9"/>
  <c r="A32" i="9"/>
  <c r="A31" i="9"/>
  <c r="A30" i="9"/>
  <c r="A29" i="9"/>
  <c r="A28" i="9"/>
  <c r="A27" i="9"/>
  <c r="B9" i="9"/>
  <c r="C16" i="9"/>
  <c r="C19" i="9"/>
  <c r="R24" i="9"/>
  <c r="R22" i="9"/>
  <c r="C17" i="9"/>
  <c r="C18" i="9"/>
  <c r="R34" i="9"/>
  <c r="S24" i="9"/>
  <c r="S34" i="9"/>
  <c r="T34" i="9"/>
  <c r="O24" i="9"/>
  <c r="O22" i="9"/>
  <c r="O34" i="9"/>
  <c r="P24" i="9"/>
  <c r="P34" i="9"/>
  <c r="Q34" i="9"/>
  <c r="L24" i="9"/>
  <c r="L22" i="9"/>
  <c r="L34" i="9"/>
  <c r="M24" i="9"/>
  <c r="M34" i="9"/>
  <c r="N34" i="9"/>
  <c r="I24" i="9"/>
  <c r="I22" i="9"/>
  <c r="I34" i="9"/>
  <c r="J24" i="9"/>
  <c r="J34" i="9"/>
  <c r="K34" i="9"/>
  <c r="F24" i="9"/>
  <c r="F22" i="9"/>
  <c r="F34" i="9"/>
  <c r="G24" i="9"/>
  <c r="G34" i="9"/>
  <c r="H34" i="9"/>
  <c r="C24" i="9"/>
  <c r="C22" i="9"/>
  <c r="C34" i="9"/>
  <c r="D24" i="9"/>
  <c r="D34" i="9"/>
  <c r="E34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R28" i="9"/>
  <c r="S28" i="9"/>
  <c r="T28" i="9"/>
  <c r="O28" i="9"/>
  <c r="P28" i="9"/>
  <c r="Q28" i="9"/>
  <c r="L28" i="9"/>
  <c r="M28" i="9"/>
  <c r="N28" i="9"/>
  <c r="I28" i="9"/>
  <c r="J28" i="9"/>
  <c r="K28" i="9"/>
  <c r="F28" i="9"/>
  <c r="G28" i="9"/>
  <c r="H28" i="9"/>
  <c r="C28" i="9"/>
  <c r="D28" i="9"/>
  <c r="E28" i="9"/>
  <c r="R27" i="9"/>
  <c r="S27" i="9"/>
  <c r="T27" i="9"/>
  <c r="O27" i="9"/>
  <c r="P27" i="9"/>
  <c r="Q27" i="9"/>
  <c r="L27" i="9"/>
  <c r="M27" i="9"/>
  <c r="N27" i="9"/>
  <c r="I27" i="9"/>
  <c r="J27" i="9"/>
  <c r="K27" i="9"/>
  <c r="F27" i="9"/>
  <c r="G27" i="9"/>
  <c r="H27" i="9"/>
  <c r="C27" i="9"/>
  <c r="D27" i="9"/>
  <c r="E27" i="9"/>
  <c r="A32" i="7"/>
  <c r="A31" i="7"/>
  <c r="A30" i="7"/>
  <c r="A29" i="7"/>
  <c r="A28" i="7"/>
  <c r="A27" i="7"/>
  <c r="A26" i="7"/>
  <c r="A25" i="7"/>
  <c r="B9" i="7"/>
  <c r="C15" i="7"/>
  <c r="M21" i="7"/>
  <c r="C16" i="7"/>
  <c r="C17" i="7"/>
  <c r="N32" i="7"/>
  <c r="M32" i="7"/>
  <c r="K21" i="7"/>
  <c r="L32" i="7"/>
  <c r="K32" i="7"/>
  <c r="I21" i="7"/>
  <c r="J32" i="7"/>
  <c r="I32" i="7"/>
  <c r="G21" i="7"/>
  <c r="H32" i="7"/>
  <c r="G32" i="7"/>
  <c r="E21" i="7"/>
  <c r="F32" i="7"/>
  <c r="E32" i="7"/>
  <c r="C21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B26" i="6"/>
  <c r="B26" i="9"/>
  <c r="B24" i="7"/>
  <c r="H18" i="1"/>
  <c r="B9" i="1"/>
  <c r="B26" i="1"/>
  <c r="H17" i="1"/>
  <c r="H16" i="1"/>
  <c r="R26" i="9"/>
  <c r="S26" i="9"/>
  <c r="T26" i="9"/>
  <c r="O26" i="9"/>
  <c r="P26" i="9"/>
  <c r="Q26" i="9"/>
  <c r="L26" i="9"/>
  <c r="M26" i="9"/>
  <c r="N26" i="9"/>
  <c r="I26" i="9"/>
  <c r="J26" i="9"/>
  <c r="K26" i="9"/>
  <c r="F26" i="9"/>
  <c r="G26" i="9"/>
  <c r="H26" i="9"/>
  <c r="C26" i="9"/>
  <c r="D26" i="9"/>
  <c r="E26" i="9"/>
  <c r="A26" i="9"/>
  <c r="A5" i="9"/>
  <c r="A4" i="9"/>
  <c r="A3" i="9"/>
  <c r="A2" i="9"/>
  <c r="N24" i="7"/>
  <c r="L24" i="7"/>
  <c r="J24" i="7"/>
  <c r="H24" i="7"/>
  <c r="F24" i="7"/>
  <c r="D24" i="7"/>
  <c r="M24" i="7"/>
  <c r="K24" i="7"/>
  <c r="I24" i="7"/>
  <c r="G24" i="7"/>
  <c r="E24" i="7"/>
  <c r="C24" i="7"/>
  <c r="A24" i="7"/>
  <c r="A5" i="7"/>
  <c r="A4" i="7"/>
  <c r="A3" i="7"/>
  <c r="A2" i="7"/>
  <c r="S26" i="6"/>
  <c r="R26" i="6"/>
  <c r="P26" i="6"/>
  <c r="O26" i="6"/>
  <c r="M26" i="6"/>
  <c r="L26" i="6"/>
  <c r="J26" i="6"/>
  <c r="I26" i="6"/>
  <c r="G26" i="6"/>
  <c r="F26" i="6"/>
  <c r="D26" i="6"/>
  <c r="C26" i="6"/>
  <c r="T26" i="6"/>
  <c r="Q26" i="6"/>
  <c r="N26" i="6"/>
  <c r="K26" i="6"/>
  <c r="H26" i="6"/>
  <c r="E26" i="6"/>
  <c r="A26" i="6"/>
  <c r="A5" i="6"/>
  <c r="A4" i="6"/>
  <c r="A3" i="6"/>
  <c r="A2" i="6"/>
  <c r="C26" i="1"/>
  <c r="R26" i="1"/>
  <c r="S26" i="1"/>
  <c r="T26" i="1"/>
  <c r="O26" i="1"/>
  <c r="P26" i="1"/>
  <c r="Q26" i="1"/>
  <c r="L26" i="1"/>
  <c r="M26" i="1"/>
  <c r="N26" i="1"/>
  <c r="I26" i="1"/>
  <c r="J26" i="1"/>
  <c r="K26" i="1"/>
  <c r="F26" i="1"/>
  <c r="G26" i="1"/>
  <c r="H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<sst xmlns="http://schemas.openxmlformats.org/spreadsheetml/2006/main" count="142" uniqueCount="31">
  <si>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</si>
  <si>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</si>
  <si>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</si>
  <si>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</si>
  <si>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</si>
  <si>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</si>
  <si>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</si>
  <si>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</si>
  <si>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</si>
  <si>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</si>
  <si>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</si>
  <si>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</si>
  <si>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</si>
  <si>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</si>
  <si>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</si>
  <si>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</si>
  <si>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</si>
  <si>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</si>
  <si>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</si>
  <si>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Market Share (qty)</t>
  </si>
  <si>
    <t>Market Share (sales)</t>
  </si>
  <si>
    <t>KUHN_Scope</t>
  </si>
  <si>
    <t>KUHN Sales</t>
  </si>
  <si>
    <t>Comments</t>
  </si>
  <si>
    <t>Market Share (Comments)</t>
  </si>
  <si>
    <t>Unit.Price</t>
  </si>
  <si>
    <t>Market Share (Unit Prices)</t>
  </si>
  <si>
    <t>Country</t>
  </si>
  <si>
    <t>Global Unit Price :</t>
  </si>
  <si>
    <t>Actuality</t>
  </si>
  <si>
    <t>Market 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</si>
</sst>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9" fontId="3" fillId="6" borderId="2" xfId="0" applyNumberFormat="1" applyFont="1" applyFill="1" applyBorder="1" applyAlignment="1">
      <alignment horizontal="center"/>
    </xf>
    <xf numFmtId="9" fontId="3" fillId="6" borderId="2" xfId="1" applyNumberFormat="1" applyFont="1" applyFill="1" applyBorder="1" applyAlignment="1">
      <alignment horizontal="center"/>
    </xf>
    <xf numFmtId="9" fontId="3" fillId="6" borderId="5" xfId="1" applyNumberFormat="1" applyFont="1" applyFill="1" applyBorder="1" applyAlignment="1">
      <alignment horizontal="center"/>
    </xf>
    <xf numFmtId="0" fontId="5" fillId="6" borderId="1" xfId="0" applyFont="1" applyFill="1" applyBorder="1"/>
    <xf numFmtId="9" fontId="3" fillId="6" borderId="2" xfId="1" applyNumberFormat="1" applyFont="1" applyFill="1" applyBorder="1"/>
    <xf numFmtId="0" fontId="3" fillId="6" borderId="2" xfId="0" applyFont="1" applyFill="1" applyBorder="1"/>
    <xf numFmtId="0" fontId="4" fillId="6" borderId="1" xfId="0" applyFont="1" applyFill="1" applyBorder="1"/>
    <xf numFmtId="9" fontId="4" fillId="6" borderId="2" xfId="1" applyNumberFormat="1" applyFont="1" applyFill="1" applyBorder="1"/>
    <xf numFmtId="0" fontId="4" fillId="6" borderId="3" xfId="0" applyFont="1" applyFill="1" applyBorder="1"/>
    <xf numFmtId="9" fontId="4" fillId="6" borderId="5" xfId="1" applyNumberFormat="1" applyFont="1" applyFill="1" applyBorder="1"/>
    <xf numFmtId="2" fontId="4" fillId="6" borderId="2" xfId="0" applyNumberFormat="1" applyFont="1" applyFill="1" applyBorder="1"/>
    <xf numFmtId="165" fontId="0" fillId="2" borderId="2" xfId="0" applyNumberFormat="1" applyFill="1" applyBorder="1" applyAlignment="1"/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223"/>
  <ax:ocxPr ax:name="_ExtentY" ax:value="3889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08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76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223"/>
  <ax:ocxPr ax:name="_ExtentY" ax:value="3889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187370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7</xdr:col>
          <xdr:colOff>714375</xdr:colOff>
          <xdr:row>20</xdr:row>
          <xdr:rowOff>95250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15</xdr:row>
          <xdr:rowOff>95250</xdr:rowOff>
        </xdr:from>
        <xdr:to>
          <xdr:col>5</xdr:col>
          <xdr:colOff>704850</xdr:colOff>
          <xdr:row>16</xdr:row>
          <xdr:rowOff>152400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838200</xdr:colOff>
          <xdr:row>19</xdr:row>
          <xdr:rowOff>66675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4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6.emf"/><Relationship Id="rId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34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6" customWidth="1"/>
    <col min="6" max="7" width="16.7109375" customWidth="1"/>
    <col min="8" max="8" width="17.7109375" style="36" bestFit="1" customWidth="1"/>
    <col min="9" max="10" width="16.7109375" customWidth="1"/>
    <col min="11" max="11" width="10.7109375" style="36" customWidth="1"/>
    <col min="12" max="13" width="16.7109375" customWidth="1"/>
    <col min="14" max="14" width="10.7109375" style="36" customWidth="1"/>
    <col min="15" max="16" width="16.7109375" customWidth="1"/>
    <col min="17" max="17" width="10.7109375" style="36" customWidth="1"/>
    <col min="18" max="19" width="16.7109375" customWidth="1"/>
    <col min="20" max="20" width="10.7109375" style="36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t="13.5" hidden="1" customHeight="1" x14ac:dyDescent="0.25">
      <c r="A1" t="s">
        <v>15</v>
      </c>
    </row>
    <row r="2" spans="1:20" ht="21.75" hidden="1" customHeight="1" x14ac:dyDescent="0.25">
      <c r="A2">
        <f>0</f>
        <v>0</v>
      </c>
      <c r="B2" s="16"/>
      <c r="C2" s="1"/>
      <c r="D2" s="1"/>
      <c r="E2" s="37"/>
      <c r="F2" s="1"/>
      <c r="G2" s="1"/>
      <c r="H2" s="37"/>
      <c r="I2" s="1"/>
      <c r="J2" s="1"/>
      <c r="K2" s="37"/>
      <c r="L2" s="1"/>
      <c r="M2" s="1"/>
      <c r="N2" s="37"/>
      <c r="O2" s="1"/>
      <c r="P2" s="1"/>
      <c r="Q2" s="37"/>
      <c r="R2" s="1"/>
      <c r="S2" s="1"/>
      <c r="T2" s="37"/>
    </row>
    <row r="3" spans="1:20" ht="26.25" hidden="1" customHeight="1" x14ac:dyDescent="0.25">
      <c r="A3">
        <f>1</f>
        <v>1</v>
      </c>
      <c r="B3" s="17"/>
      <c r="C3" s="2"/>
      <c r="D3" s="2"/>
      <c r="E3" s="38"/>
      <c r="F3" s="2"/>
      <c r="G3" s="2"/>
      <c r="H3" s="38"/>
      <c r="I3" s="2"/>
      <c r="J3" s="2"/>
      <c r="K3" s="38"/>
      <c r="L3" s="2"/>
      <c r="M3" s="2"/>
      <c r="N3" s="38"/>
      <c r="O3" s="2"/>
      <c r="P3" s="2"/>
      <c r="Q3" s="38"/>
      <c r="R3" s="2"/>
      <c r="S3" s="2"/>
      <c r="T3" s="38"/>
    </row>
    <row r="4" spans="1:20" ht="25.5" hidden="1" customHeight="1" x14ac:dyDescent="0.25">
      <c r="A4">
        <f>2</f>
        <v>2</v>
      </c>
      <c r="B4" s="18"/>
      <c r="C4" s="4"/>
      <c r="D4" s="4"/>
      <c r="E4" s="39"/>
      <c r="F4" s="4"/>
      <c r="G4" s="4"/>
      <c r="H4" s="39"/>
      <c r="I4" s="4"/>
      <c r="J4" s="4"/>
      <c r="K4" s="39"/>
      <c r="L4" s="4"/>
      <c r="M4" s="4"/>
      <c r="N4" s="39"/>
      <c r="O4" s="4"/>
      <c r="P4" s="4"/>
      <c r="Q4" s="39"/>
      <c r="R4" s="4"/>
      <c r="S4" s="4"/>
      <c r="T4" s="39"/>
    </row>
    <row r="5" spans="1:20" ht="36" hidden="1" customHeight="1" x14ac:dyDescent="0.25">
      <c r="A5">
        <f>3</f>
        <v>3</v>
      </c>
      <c r="B5" s="19"/>
      <c r="C5" s="5"/>
      <c r="D5" s="5"/>
      <c r="E5" s="40"/>
      <c r="F5" s="5"/>
      <c r="G5" s="5"/>
      <c r="H5" s="40"/>
      <c r="I5" s="5"/>
      <c r="J5" s="5"/>
      <c r="K5" s="40"/>
      <c r="L5" s="5"/>
      <c r="M5" s="5"/>
      <c r="N5" s="40"/>
      <c r="O5" s="5"/>
      <c r="P5" s="5"/>
      <c r="Q5" s="40"/>
      <c r="R5" s="5"/>
      <c r="S5" s="5"/>
      <c r="T5" s="40"/>
    </row>
    <row r="6" spans="1:20" ht="25.5" hidden="1" customHeight="1" x14ac:dyDescent="0.25">
      <c r="A6" t="s">
        <v>13</v>
      </c>
      <c r="B6" s="17"/>
      <c r="C6" s="2"/>
      <c r="D6" s="2"/>
      <c r="E6" s="38"/>
      <c r="F6" s="2"/>
      <c r="G6" s="2"/>
      <c r="H6" s="38"/>
      <c r="I6" s="2"/>
      <c r="J6" s="2"/>
      <c r="K6" s="38"/>
      <c r="L6" s="2"/>
      <c r="M6" s="2"/>
      <c r="N6" s="38"/>
      <c r="O6" s="2"/>
      <c r="P6" s="2"/>
      <c r="Q6" s="38"/>
      <c r="R6" s="2"/>
      <c r="S6" s="2"/>
      <c r="T6" s="38"/>
    </row>
    <row r="7" spans="1:20" ht="28.5" hidden="1" customHeight="1" x14ac:dyDescent="0.25">
      <c r="A7" t="s">
        <v>14</v>
      </c>
      <c r="B7" s="20"/>
      <c r="C7" s="3"/>
      <c r="D7" s="3"/>
      <c r="E7" s="41"/>
      <c r="F7" s="3"/>
      <c r="G7" s="3"/>
      <c r="H7" s="41"/>
      <c r="I7" s="3"/>
      <c r="J7" s="3"/>
      <c r="K7" s="41"/>
      <c r="L7" s="3"/>
      <c r="M7" s="3"/>
      <c r="N7" s="41"/>
      <c r="O7" s="3"/>
      <c r="P7" s="3"/>
      <c r="Q7" s="41"/>
      <c r="R7" s="3"/>
      <c r="S7" s="3"/>
      <c r="T7" s="41"/>
    </row>
    <row r="8" spans="1:20" ht="26.25" hidden="1" customHeight="1" x14ac:dyDescent="0.25">
      <c r="A8" t="s">
        <v>16</v>
      </c>
    </row>
    <row r="9" spans="1:20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42"/>
      <c r="F10" s="9"/>
      <c r="G10" s="9"/>
      <c r="H10" s="42"/>
      <c r="I10" s="9"/>
      <c r="J10" s="9"/>
      <c r="K10" s="42"/>
      <c r="L10" s="9"/>
      <c r="M10" s="9"/>
      <c r="N10" s="42"/>
      <c r="O10" s="9"/>
      <c r="P10" s="9"/>
      <c r="Q10" s="42"/>
      <c r="R10" s="9"/>
      <c r="S10" s="9"/>
      <c r="T10" s="42"/>
    </row>
    <row r="11" spans="1:20" x14ac:dyDescent="0.25">
      <c r="B11" s="9"/>
      <c r="C11" s="9"/>
      <c r="D11" s="9"/>
      <c r="E11" s="42"/>
      <c r="F11" s="9"/>
      <c r="G11" s="9"/>
      <c r="H11" s="42"/>
      <c r="I11" s="9"/>
      <c r="J11" s="9"/>
      <c r="K11" s="42"/>
      <c r="L11" s="9"/>
      <c r="M11" s="9"/>
      <c r="N11" s="42"/>
      <c r="O11" s="9"/>
      <c r="P11" s="9"/>
      <c r="Q11" s="42"/>
      <c r="R11" s="9"/>
      <c r="S11" s="9"/>
      <c r="T11" s="42"/>
    </row>
    <row r="12" spans="1:20" x14ac:dyDescent="0.25">
      <c r="B12" s="9"/>
      <c r="C12" s="9"/>
      <c r="D12" s="9"/>
      <c r="E12" s="42"/>
      <c r="F12" s="9"/>
      <c r="G12" s="9"/>
      <c r="H12" s="42"/>
      <c r="I12" s="9"/>
      <c r="J12" s="9"/>
      <c r="K12" s="42"/>
      <c r="L12" s="9"/>
      <c r="M12" s="9"/>
      <c r="N12" s="42"/>
      <c r="O12" s="9"/>
      <c r="P12" s="9"/>
      <c r="Q12" s="42"/>
      <c r="R12" s="9"/>
      <c r="S12" s="9"/>
      <c r="T12" s="42"/>
    </row>
    <row r="13" spans="1:20" x14ac:dyDescent="0.25">
      <c r="B13" s="9"/>
      <c r="C13" s="9"/>
      <c r="D13" s="9"/>
      <c r="E13" s="42"/>
      <c r="F13" s="9"/>
      <c r="G13" s="9"/>
      <c r="H13" s="42"/>
      <c r="I13" s="9"/>
      <c r="J13" s="9"/>
      <c r="K13" s="42"/>
      <c r="L13" s="9"/>
      <c r="M13" s="9"/>
      <c r="N13" s="42"/>
      <c r="O13" s="9"/>
      <c r="P13" s="9"/>
      <c r="Q13" s="42"/>
      <c r="R13" s="9"/>
      <c r="S13" s="9"/>
      <c r="T13" s="42"/>
    </row>
    <row r="14" spans="1:20" hidden="1" x14ac:dyDescent="0.25">
      <c r="B14" s="9"/>
      <c r="C14" s="9"/>
      <c r="D14" s="9"/>
      <c r="E14" s="42"/>
      <c r="F14" s="9"/>
      <c r="G14" s="9"/>
      <c r="H14" s="42"/>
      <c r="I14" s="9"/>
      <c r="J14" s="9"/>
      <c r="K14" s="42"/>
      <c r="L14" s="9"/>
      <c r="M14" s="9"/>
      <c r="N14" s="42"/>
      <c r="O14" s="9"/>
      <c r="P14" s="9"/>
      <c r="Q14" s="42"/>
      <c r="R14" s="9"/>
      <c r="S14" s="9"/>
      <c r="T14" s="42"/>
    </row>
    <row r="15" spans="1:20" hidden="1" x14ac:dyDescent="0.25">
      <c r="B15" s="9"/>
      <c r="C15" s="9"/>
      <c r="D15" s="9"/>
      <c r="E15" s="42"/>
      <c r="F15" s="9"/>
      <c r="G15" s="9"/>
      <c r="H15" s="42"/>
      <c r="I15" s="9"/>
      <c r="J15" s="9"/>
      <c r="K15" s="42"/>
      <c r="L15" s="9"/>
      <c r="M15" s="9"/>
      <c r="N15" s="42"/>
      <c r="O15" s="9"/>
      <c r="P15" s="9"/>
      <c r="Q15" s="42"/>
      <c r="R15" s="9"/>
      <c r="S15" s="9"/>
      <c r="T15" s="42"/>
    </row>
    <row r="16" spans="1:20" x14ac:dyDescent="0.25">
      <c r="B16" s="8" t="s">
        <v>0</v>
      </c>
      <c r="C16" s="6" t="str">
        <f ca="1">_xll.SUBNM("CXMD:Currency","Par Défaut","CD_LC","Description EN")</f>
        <v>Local currency</v>
      </c>
      <c r="D16" s="7"/>
      <c r="E16" s="43"/>
      <c r="F16" s="7"/>
      <c r="G16" s="47" t="s">
        <v>29</v>
      </c>
      <c r="H16" s="48" t="str">
        <f ca="1">_xll.SUBNM("CXMD:Actuality","","Total_Actuals","Description EN")</f>
        <v>Total_Actuals</v>
      </c>
      <c r="I16" s="7"/>
      <c r="J16" s="7"/>
      <c r="K16" s="43"/>
      <c r="L16" s="7"/>
      <c r="M16" s="7"/>
      <c r="N16" s="43"/>
      <c r="O16" s="7"/>
      <c r="P16" s="7"/>
      <c r="Q16" s="43"/>
      <c r="R16" s="7"/>
      <c r="S16" s="7"/>
      <c r="T16" s="43"/>
    </row>
    <row r="17" spans="1:20" x14ac:dyDescent="0.25">
      <c r="B17" s="8" t="s">
        <v>1</v>
      </c>
      <c r="C17" s="6" t="str">
        <f ca="1">_xll.SUBNM("CXMD:DIM_Origin_Company","","SILVA","Name EN")</f>
        <v>SILVA</v>
      </c>
      <c r="D17" s="7"/>
      <c r="E17" s="43"/>
      <c r="F17" s="7"/>
      <c r="G17" s="47" t="s">
        <v>30</v>
      </c>
      <c r="H17" s="49" t="str">
        <f ca="1">_xll.SUBNM("CXMD:Market_Actor","","Global_Market","Description")</f>
        <v>Global_Market</v>
      </c>
      <c r="I17" s="7"/>
      <c r="J17" s="7"/>
      <c r="K17" s="43"/>
      <c r="L17" s="7"/>
      <c r="M17" s="7"/>
      <c r="N17" s="43"/>
      <c r="O17" s="7"/>
      <c r="P17" s="7"/>
      <c r="Q17" s="43"/>
      <c r="R17" s="7"/>
      <c r="S17" s="7"/>
      <c r="T17" s="43"/>
    </row>
    <row r="18" spans="1:20" x14ac:dyDescent="0.25">
      <c r="B18" s="8" t="s">
        <v>2</v>
      </c>
      <c r="C18" s="6" t="str">
        <f ca="1">_xll.SUBNM("CXMD:DIM_Configuration","","TOTAL PRODUCT","Description EN")</f>
        <v>TOTAL PRODUCT</v>
      </c>
      <c r="D18" s="7"/>
      <c r="E18" s="43"/>
      <c r="F18" s="7"/>
      <c r="G18" s="47" t="s">
        <v>27</v>
      </c>
      <c r="H18" s="49" t="str">
        <f ca="1">_xll.SUBNM("CXMD:DIM_Country","Total Country SOM","Total Country SOM","Description")</f>
        <v>Total Country SOM</v>
      </c>
      <c r="I18" s="7"/>
      <c r="J18" s="7"/>
      <c r="K18" s="43"/>
      <c r="L18" s="7"/>
      <c r="M18" s="7"/>
      <c r="N18" s="43"/>
      <c r="O18" s="7"/>
      <c r="P18" s="7"/>
      <c r="Q18" s="43"/>
      <c r="R18" s="7"/>
      <c r="S18" s="7"/>
      <c r="T18" s="43"/>
    </row>
    <row r="19" spans="1:20" ht="21" x14ac:dyDescent="0.35">
      <c r="B19" s="8" t="s">
        <v>3</v>
      </c>
      <c r="C19" s="6" t="str">
        <f ca="1">_xll.SUBNM("CXMD:DIM_Prev_IC_mapping","","99 - Kuhn Group","Groupement_Alias")</f>
        <v>99 - Kuhn Group</v>
      </c>
      <c r="D19" s="7"/>
      <c r="E19" s="43"/>
      <c r="F19" s="7"/>
      <c r="G19" s="47" t="s">
        <v>28</v>
      </c>
      <c r="H19" s="54">
        <v>0</v>
      </c>
      <c r="I19" s="7"/>
      <c r="J19" s="10" t="s">
        <v>19</v>
      </c>
      <c r="K19" s="43"/>
      <c r="L19" s="7"/>
      <c r="M19" s="7"/>
      <c r="N19" s="43"/>
      <c r="O19" s="7"/>
      <c r="P19" s="7"/>
      <c r="Q19" s="43"/>
      <c r="R19" s="7"/>
      <c r="S19" s="7"/>
      <c r="T19" s="43"/>
    </row>
    <row r="20" spans="1:20" x14ac:dyDescent="0.25">
      <c r="B20" s="7"/>
      <c r="C20" s="7"/>
      <c r="D20" s="7"/>
      <c r="E20" s="43"/>
      <c r="F20" s="7"/>
      <c r="G20" s="50"/>
      <c r="H20" s="51"/>
      <c r="I20" s="7"/>
      <c r="J20" s="7"/>
      <c r="K20" s="43"/>
      <c r="L20" s="7"/>
      <c r="M20" s="7"/>
      <c r="N20" s="43"/>
      <c r="O20" s="7"/>
      <c r="P20" s="7"/>
      <c r="Q20" s="43"/>
      <c r="R20" s="7"/>
      <c r="S20" s="7"/>
      <c r="T20" s="43"/>
    </row>
    <row r="21" spans="1:20" x14ac:dyDescent="0.25">
      <c r="B21" s="7"/>
      <c r="C21" s="7"/>
      <c r="D21" s="7"/>
      <c r="E21" s="43"/>
      <c r="F21" s="7"/>
      <c r="G21" s="52"/>
      <c r="H21" s="53"/>
      <c r="I21" s="7"/>
      <c r="J21" s="7"/>
      <c r="K21" s="43"/>
      <c r="L21" s="7"/>
      <c r="M21" s="7"/>
      <c r="N21" s="43"/>
      <c r="O21" s="7"/>
      <c r="P21" s="7"/>
      <c r="Q21" s="43"/>
      <c r="R21" s="7"/>
      <c r="S21" s="7"/>
      <c r="T21" s="43"/>
    </row>
    <row r="22" spans="1:20" x14ac:dyDescent="0.25">
      <c r="B22" s="7"/>
      <c r="C22" s="58" t="str">
        <f ca="1">_xll.SUBNM("CXMD:Actuality","Actuality_Market_Share","AC2016","Description EN")</f>
        <v>AC2016</v>
      </c>
      <c r="D22" s="56"/>
      <c r="E22" s="57"/>
      <c r="F22" s="58" t="str">
        <f ca="1">_xll.SUBNM("CXMD:Actuality","Actuality_Market_Share","FC3_2017","Description EN")</f>
        <v>FC3_2017</v>
      </c>
      <c r="G22" s="56"/>
      <c r="H22" s="57"/>
      <c r="I22" s="58" t="str">
        <f ca="1">_xll.SUBNM("CXMD:Actuality","Actuality_Market_Share","PL2018 (update 2017)","Description EN")</f>
        <v>PL2018 (update 2017)</v>
      </c>
      <c r="J22" s="56"/>
      <c r="K22" s="57"/>
      <c r="L22" s="58" t="str">
        <f ca="1">_xll.SUBNM("CXMD:Actuality","Actuality_Market_Share","PL2019 (update 2017)","Description EN")</f>
        <v>PL2019 (update 2017)</v>
      </c>
      <c r="M22" s="56"/>
      <c r="N22" s="57"/>
      <c r="O22" s="58" t="str">
        <f ca="1">_xll.SUBNM("CXMD:Actuality","Actuality_Market_Share","PL2020 (update 2017)","Description EN")</f>
        <v>PL2020 (update 2017)</v>
      </c>
      <c r="P22" s="56"/>
      <c r="Q22" s="57"/>
      <c r="R22" s="56" t="str">
        <f ca="1">_xll.SUBNM("CXMD:Actuality","Actuality_Market_Share","PL2021 (update 2017)","Description EN")</f>
        <v>PL2021 (update 2017)</v>
      </c>
      <c r="S22" s="56"/>
      <c r="T22" s="57"/>
    </row>
    <row r="23" spans="1:20" x14ac:dyDescent="0.25">
      <c r="B23" s="7"/>
      <c r="C23" s="11"/>
      <c r="D23" s="12"/>
      <c r="E23" s="44"/>
      <c r="F23" s="11"/>
      <c r="G23" s="12"/>
      <c r="H23" s="44"/>
      <c r="I23" s="11"/>
      <c r="J23" s="12"/>
      <c r="K23" s="44"/>
      <c r="L23" s="11"/>
      <c r="M23" s="12"/>
      <c r="N23" s="44"/>
      <c r="O23" s="11"/>
      <c r="P23" s="12"/>
      <c r="Q23" s="44"/>
      <c r="R23" s="12"/>
      <c r="S23" s="12"/>
      <c r="T23" s="44"/>
    </row>
    <row r="24" spans="1:20" x14ac:dyDescent="0.25">
      <c r="B24" s="7"/>
      <c r="C24" s="11" t="str">
        <f ca="1">_xll.SUBNM("CXMD:Market_Actor","Market_Actor","Kuhn_scope","Description")</f>
        <v>KUHN_Scope</v>
      </c>
      <c r="D24" s="12" t="str">
        <f ca="1">_xll.SUBNM("CXMD:Market_Actor","Market_Actor","KUHN SOM","Description")</f>
        <v>KUHN Sales</v>
      </c>
      <c r="E24" s="45" t="s">
        <v>17</v>
      </c>
      <c r="F24" s="11" t="str">
        <f ca="1">_xll.SUBNM("CXMD:Market_Actor","Market_Actor","Kuhn_scope","Description")</f>
        <v>KUHN_Scope</v>
      </c>
      <c r="G24" s="12" t="str">
        <f ca="1">_xll.SUBNM("CXMD:Market_Actor","Market_Actor","KUHN SOM","Description")</f>
        <v>KUHN Sales</v>
      </c>
      <c r="H24" s="45" t="s">
        <v>17</v>
      </c>
      <c r="I24" s="11" t="str">
        <f ca="1">_xll.SUBNM("CXMD:Market_Actor","Market_Actor","Kuhn_scope","Description")</f>
        <v>KUHN_Scope</v>
      </c>
      <c r="J24" s="12" t="str">
        <f ca="1">_xll.SUBNM("CXMD:Market_Actor","Market_Actor","KUHN SOM","Description")</f>
        <v>KUHN Sales</v>
      </c>
      <c r="K24" s="45" t="s">
        <v>17</v>
      </c>
      <c r="L24" s="11" t="str">
        <f ca="1">_xll.SUBNM("CXMD:Market_Actor","Market_Actor","Kuhn_scope","Description")</f>
        <v>KUHN_Scope</v>
      </c>
      <c r="M24" s="12" t="str">
        <f ca="1">_xll.SUBNM("CXMD:Market_Actor","Market_Actor","KUHN SOM","Description")</f>
        <v>KUHN Sales</v>
      </c>
      <c r="N24" s="45" t="s">
        <v>17</v>
      </c>
      <c r="O24" s="11" t="str">
        <f ca="1">_xll.SUBNM("CXMD:Market_Actor","Market_Actor","Kuhn_scope","Description")</f>
        <v>KUHN_Scope</v>
      </c>
      <c r="P24" s="12" t="str">
        <f ca="1">_xll.SUBNM("CXMD:Market_Actor","Market_Actor","KUHN SOM","Description")</f>
        <v>KUHN Sales</v>
      </c>
      <c r="Q24" s="45" t="s">
        <v>17</v>
      </c>
      <c r="R24" s="12" t="str">
        <f ca="1">_xll.SUBNM("CXMD:Market_Actor","Market_Actor","Kuhn_scope","Description")</f>
        <v>KUHN_Scope</v>
      </c>
      <c r="S24" s="12" t="str">
        <f ca="1">_xll.SUBNM("CXMD:Market_Actor","Market_Actor","KUHN SOM","Description")</f>
        <v>KUHN Sales</v>
      </c>
      <c r="T24" s="45" t="s">
        <v>17</v>
      </c>
    </row>
    <row r="25" spans="1:20" x14ac:dyDescent="0.25">
      <c r="B25" s="7"/>
      <c r="C25" s="13" t="s">
        <v>4</v>
      </c>
      <c r="D25" s="14" t="s">
        <v>4</v>
      </c>
      <c r="E25" s="46"/>
      <c r="F25" s="13" t="s">
        <v>4</v>
      </c>
      <c r="G25" s="14" t="s">
        <v>4</v>
      </c>
      <c r="H25" s="46"/>
      <c r="I25" s="13" t="s">
        <v>4</v>
      </c>
      <c r="J25" s="14" t="s">
        <v>4</v>
      </c>
      <c r="K25" s="46"/>
      <c r="L25" s="13" t="s">
        <v>4</v>
      </c>
      <c r="M25" s="14" t="s">
        <v>4</v>
      </c>
      <c r="N25" s="46"/>
      <c r="O25" s="13" t="s">
        <v>4</v>
      </c>
      <c r="P25" s="14" t="s">
        <v>4</v>
      </c>
      <c r="Q25" s="46"/>
      <c r="R25" s="14" t="s">
        <v>4</v>
      </c>
      <c r="S25" s="14" t="s">
        <v>4</v>
      </c>
      <c r="T25" s="46"/>
    </row>
    <row r="26" spans="1:20" x14ac:dyDescent="0.25">
      <c r="A26">
        <f ca="1">IF(_xll.TM1RPTELISCONSOLIDATED($B$26,$B26),IF(_xll.TM1RPTELLEV($B$26,$B26)&lt;=3,_xll.TM1RPTELLEV($B$26,$B26),"D"),"N")</f>
        <v>0</v>
      </c>
      <c r="B26" s="55" t="str">
        <f ca="1">_xll.TM1RPTROW($B$9,"CXMD:DIM_Country","Total Country SOM",H18,"Description",0)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7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7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7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7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7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7">
        <f ca="1">IF(R26&lt;&gt;0,S26/R26,0)</f>
        <v>0</v>
      </c>
    </row>
    <row r="27" spans="1:20" hidden="1" x14ac:dyDescent="0.25"/>
    <row r="28" spans="1:20" hidden="1" x14ac:dyDescent="0.25"/>
    <row r="29" spans="1:20" hidden="1" x14ac:dyDescent="0.25"/>
    <row r="30" spans="1:20" hidden="1" x14ac:dyDescent="0.25"/>
    <row r="31" spans="1:20" hidden="1" x14ac:dyDescent="0.25"/>
    <row r="32" spans="1:20" hidden="1" x14ac:dyDescent="0.25"/>
    <row r="33" hidden="1" x14ac:dyDescent="0.25"/>
    <row r="34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7</xdr:col>
                <xdr:colOff>714375</xdr:colOff>
                <xdr:row>20</xdr:row>
                <xdr:rowOff>95250</xdr:rowOff>
              </to>
            </anchor>
          </controlPr>
        </control>
      </mc:Choice>
      <mc:Fallback>
        <control shapeId="1026" r:id="rId6" name="TI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L64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B57" sqref="A57:XFD64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4" width="21" customWidth="1"/>
    <col min="15" max="15" width="2.5703125" customWidth="1"/>
    <col min="16" max="1000" width="0" hidden="1" customWidth="1"/>
    <col min="1001" max="16384" width="11.42578125" hidden="1"/>
  </cols>
  <sheetData>
    <row r="1" spans="1:14" hidden="1" x14ac:dyDescent="0.25">
      <c r="A1" t="s">
        <v>15</v>
      </c>
    </row>
    <row r="2" spans="1:14" hidden="1" x14ac:dyDescent="0.25">
      <c r="A2">
        <f>0</f>
        <v>0</v>
      </c>
      <c r="B2" s="16"/>
      <c r="C2" s="22"/>
      <c r="D2" s="31"/>
      <c r="E2" s="22"/>
      <c r="F2" s="31"/>
      <c r="G2" s="22"/>
      <c r="H2" s="31"/>
      <c r="I2" s="22"/>
      <c r="J2" s="31"/>
      <c r="K2" s="22"/>
      <c r="L2" s="31"/>
      <c r="M2" s="22"/>
      <c r="N2" s="31"/>
    </row>
    <row r="3" spans="1:14" hidden="1" x14ac:dyDescent="0.25">
      <c r="A3">
        <f>1</f>
        <v>1</v>
      </c>
      <c r="B3" s="17"/>
      <c r="C3" s="23"/>
      <c r="D3" s="32"/>
      <c r="E3" s="23"/>
      <c r="F3" s="32"/>
      <c r="G3" s="23"/>
      <c r="H3" s="32"/>
      <c r="I3" s="23"/>
      <c r="J3" s="32"/>
      <c r="K3" s="23"/>
      <c r="L3" s="32"/>
      <c r="M3" s="23"/>
      <c r="N3" s="32"/>
    </row>
    <row r="4" spans="1:14" hidden="1" x14ac:dyDescent="0.25">
      <c r="A4">
        <f>2</f>
        <v>2</v>
      </c>
      <c r="B4" s="29"/>
      <c r="C4" s="4"/>
      <c r="D4" s="29"/>
      <c r="E4" s="4"/>
      <c r="F4" s="29"/>
      <c r="G4" s="4"/>
      <c r="H4" s="29"/>
      <c r="I4" s="4"/>
      <c r="J4" s="29"/>
      <c r="K4" s="4"/>
      <c r="L4" s="29"/>
      <c r="M4" s="4"/>
      <c r="N4" s="29"/>
    </row>
    <row r="5" spans="1:14" hidden="1" x14ac:dyDescent="0.25">
      <c r="A5">
        <f>3</f>
        <v>3</v>
      </c>
      <c r="B5" s="30"/>
      <c r="C5" s="5"/>
      <c r="D5" s="30"/>
      <c r="E5" s="5"/>
      <c r="F5" s="30"/>
      <c r="G5" s="5"/>
      <c r="H5" s="30"/>
      <c r="I5" s="5"/>
      <c r="J5" s="30"/>
      <c r="K5" s="5"/>
      <c r="L5" s="30"/>
      <c r="M5" s="5"/>
      <c r="N5" s="30"/>
    </row>
    <row r="6" spans="1:14" hidden="1" x14ac:dyDescent="0.25">
      <c r="A6" t="s">
        <v>13</v>
      </c>
      <c r="B6" s="17"/>
      <c r="C6" s="23"/>
      <c r="D6" s="32"/>
      <c r="E6" s="23"/>
      <c r="F6" s="32"/>
      <c r="G6" s="23"/>
      <c r="H6" s="32"/>
      <c r="I6" s="23"/>
      <c r="J6" s="32"/>
      <c r="K6" s="23"/>
      <c r="L6" s="32"/>
      <c r="M6" s="23"/>
      <c r="N6" s="32"/>
    </row>
    <row r="7" spans="1:14" hidden="1" x14ac:dyDescent="0.25">
      <c r="A7" t="s">
        <v>14</v>
      </c>
      <c r="B7" s="20"/>
      <c r="C7" s="24"/>
      <c r="D7" s="33"/>
      <c r="E7" s="24"/>
      <c r="F7" s="33"/>
      <c r="G7" s="24"/>
      <c r="H7" s="33"/>
      <c r="I7" s="24"/>
      <c r="J7" s="33"/>
      <c r="K7" s="24"/>
      <c r="L7" s="33"/>
      <c r="M7" s="24"/>
      <c r="N7" s="33"/>
    </row>
    <row r="8" spans="1:14" hidden="1" x14ac:dyDescent="0.25">
      <c r="A8" t="s">
        <v>16</v>
      </c>
    </row>
    <row r="9" spans="1:14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_xll.TM1RPTTITLE("CXMD:DIM_Configuration",$C$17),TM1RPTFMTRNG,TM1RPTFMTIDCOL)</f>
        <v>CXMD:OTC_DATA_MARKET_ANALYSIS_COMMENTS:ARPT1</v>
      </c>
    </row>
    <row r="10" spans="1:14" x14ac:dyDescent="0.25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x14ac:dyDescent="0.25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x14ac:dyDescent="0.2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x14ac:dyDescent="0.2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6.95" customHeight="1" x14ac:dyDescent="0.2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4" hidden="1" x14ac:dyDescent="0.25">
      <c r="B15" s="27" t="s">
        <v>0</v>
      </c>
      <c r="C15" s="28" t="str">
        <f ca="1">_xll.SUBNM("CXMD:Currency","Par défaut","CD_LC","Description EN")</f>
        <v>Local currency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4" x14ac:dyDescent="0.25">
      <c r="B16" s="27" t="s">
        <v>1</v>
      </c>
      <c r="C16" s="28" t="str">
        <f ca="1">QTY!C17</f>
        <v>SILVA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1:14" ht="21" x14ac:dyDescent="0.35">
      <c r="B17" s="27" t="s">
        <v>2</v>
      </c>
      <c r="C17" s="28" t="str">
        <f ca="1">QTY!C18</f>
        <v>TOTAL PRODUCT</v>
      </c>
      <c r="D17" s="26"/>
      <c r="E17" s="26"/>
      <c r="F17" s="26"/>
      <c r="G17" s="10"/>
      <c r="H17" s="10" t="s">
        <v>24</v>
      </c>
      <c r="I17" s="26"/>
      <c r="J17" s="26"/>
      <c r="K17" s="26"/>
      <c r="L17" s="26"/>
      <c r="M17" s="26"/>
      <c r="N17" s="26"/>
    </row>
    <row r="18" spans="1:14" hidden="1" x14ac:dyDescent="0.25">
      <c r="B18" s="27" t="s">
        <v>3</v>
      </c>
      <c r="C18" s="28" t="str">
        <f ca="1">_xll.SUBNM("CXMD:DIM_Prev_IC_mapping","","99 - Kuhn Group","Groupement_Alias")</f>
        <v>99 - Kuhn Group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1:14" x14ac:dyDescent="0.25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x14ac:dyDescent="0.2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x14ac:dyDescent="0.25">
      <c r="B21" s="26"/>
      <c r="C21" s="59" t="str">
        <f ca="1">QTY!C22</f>
        <v>AC2016</v>
      </c>
      <c r="D21" s="60"/>
      <c r="E21" s="59" t="str">
        <f ca="1">QTY!F22</f>
        <v>FC3_2017</v>
      </c>
      <c r="F21" s="60"/>
      <c r="G21" s="59" t="str">
        <f ca="1">QTY!I22</f>
        <v>PL2018 (update 2017)</v>
      </c>
      <c r="H21" s="60"/>
      <c r="I21" s="59" t="str">
        <f ca="1">QTY!L22</f>
        <v>PL2019 (update 2017)</v>
      </c>
      <c r="J21" s="60"/>
      <c r="K21" s="59" t="str">
        <f ca="1">QTY!O22</f>
        <v>PL2020 (update 2017)</v>
      </c>
      <c r="L21" s="60"/>
      <c r="M21" s="59" t="str">
        <f ca="1">QTY!R22</f>
        <v>PL2021 (update 2017)</v>
      </c>
      <c r="N21" s="60"/>
    </row>
    <row r="22" spans="1:14" x14ac:dyDescent="0.25">
      <c r="B22" s="26"/>
      <c r="C22" s="34" t="s">
        <v>21</v>
      </c>
      <c r="D22" s="35" t="s">
        <v>22</v>
      </c>
      <c r="E22" s="34" t="s">
        <v>21</v>
      </c>
      <c r="F22" s="35" t="s">
        <v>22</v>
      </c>
      <c r="G22" s="34" t="s">
        <v>21</v>
      </c>
      <c r="H22" s="35" t="s">
        <v>22</v>
      </c>
      <c r="I22" s="34" t="s">
        <v>21</v>
      </c>
      <c r="J22" s="35" t="s">
        <v>22</v>
      </c>
      <c r="K22" s="34" t="s">
        <v>21</v>
      </c>
      <c r="L22" s="35" t="s">
        <v>22</v>
      </c>
      <c r="M22" s="34" t="s">
        <v>21</v>
      </c>
      <c r="N22" s="35" t="s">
        <v>22</v>
      </c>
    </row>
    <row r="23" spans="1:14" x14ac:dyDescent="0.25">
      <c r="B23" s="26"/>
      <c r="C23" s="34" t="s">
        <v>23</v>
      </c>
      <c r="D23" s="35" t="s">
        <v>23</v>
      </c>
      <c r="E23" s="34" t="s">
        <v>23</v>
      </c>
      <c r="F23" s="35" t="s">
        <v>23</v>
      </c>
      <c r="G23" s="34" t="s">
        <v>23</v>
      </c>
      <c r="H23" s="35" t="s">
        <v>23</v>
      </c>
      <c r="I23" s="34" t="s">
        <v>23</v>
      </c>
      <c r="J23" s="35" t="s">
        <v>23</v>
      </c>
      <c r="K23" s="34" t="s">
        <v>23</v>
      </c>
      <c r="L23" s="35" t="s">
        <v>23</v>
      </c>
      <c r="M23" s="34" t="s">
        <v>23</v>
      </c>
      <c r="N23" s="35" t="s">
        <v>23</v>
      </c>
    </row>
    <row r="24" spans="1:14" x14ac:dyDescent="0.25">
      <c r="A24">
        <f ca="1">IF(_xll.TM1RPTELISCONSOLIDATED($B$24,$B24),IF(_xll.TM1RPTELLEV($B$24,$B24)&lt;=3,_xll.TM1RPTELLEV($B$24,$B24),"D"),"N")</f>
        <v>0</v>
      </c>
      <c r="B24" s="15" t="str">
        <f ca="1">_xll.TM1RPTROW($B$9,"CXMD:DIM_Country","Total Country SOM","","Description",0)</f>
        <v>Total Country SOM</v>
      </c>
      <c r="C24" s="22" t="str">
        <f ca="1">_xll.DBRW($B$9,$C$15,$C$18,C$22,C$21,$C$16,$B24,$C$17,C$23)</f>
        <v/>
      </c>
      <c r="D24" s="31" t="str">
        <f ca="1">_xll.DBRW($B$9,$C$15,$C$18,D$22,C$21,$C$16,$B24,$C$17,D$23)</f>
        <v/>
      </c>
      <c r="E24" s="22" t="str">
        <f ca="1">_xll.DBRW($B$9,$C$15,$C$18,E$22,E$21,$C$16,$B24,$C$17,E$23)</f>
        <v/>
      </c>
      <c r="F24" s="31" t="str">
        <f ca="1">_xll.DBRW($B$9,$C$15,$C$18,F$22,E$21,$C$16,$B24,$C$17,F$23)</f>
        <v/>
      </c>
      <c r="G24" s="22" t="str">
        <f ca="1">_xll.DBRW($B$9,$C$15,$C$18,G$22,G$21,$C$16,$B24,$C$17,G$23)</f>
        <v/>
      </c>
      <c r="H24" s="31" t="str">
        <f ca="1">_xll.DBRW($B$9,$C$15,$C$18,H$22,G$21,$C$16,$B24,$C$17,H$23)</f>
        <v/>
      </c>
      <c r="I24" s="22" t="str">
        <f ca="1">_xll.DBRW($B$9,$C$15,$C$18,I$22,I$21,$C$16,$B24,$C$17,I$23)</f>
        <v/>
      </c>
      <c r="J24" s="31" t="str">
        <f ca="1">_xll.DBRW($B$9,$C$15,$C$18,J$22,I$21,$C$16,$B24,$C$17,J$23)</f>
        <v/>
      </c>
      <c r="K24" s="22" t="str">
        <f ca="1">_xll.DBRW($B$9,$C$15,$C$18,K$22,K$21,$C$16,$B24,$C$17,K$23)</f>
        <v/>
      </c>
      <c r="L24" s="31" t="str">
        <f ca="1">_xll.DBRW($B$9,$C$15,$C$18,L$22,K$21,$C$16,$B24,$C$17,L$23)</f>
        <v/>
      </c>
      <c r="M24" s="22" t="str">
        <f ca="1">_xll.DBRW($B$9,$C$15,$C$18,M$22,M$21,$C$16,$B24,$C$17,M$23)</f>
        <v/>
      </c>
      <c r="N24" s="31" t="str">
        <f ca="1">_xll.DBRW($B$9,$C$15,$C$18,N$22,M$21,$C$16,$B24,$C$17,N$23)</f>
        <v/>
      </c>
    </row>
    <row r="25" spans="1:14" x14ac:dyDescent="0.25">
      <c r="A25">
        <f ca="1">IF(_xll.TM1RPTELISCONSOLIDATED($B$24,$B25),IF(_xll.TM1RPTELLEV($B$24,$B25)&lt;=3,_xll.TM1RPTELLEV($B$24,$B25),"D"),"N")</f>
        <v>1</v>
      </c>
      <c r="B25" s="21" t="s">
        <v>12</v>
      </c>
      <c r="C25" s="23" t="str">
        <f ca="1">_xll.DBRW($B$9,$C$15,$C$18,C$22,C$21,$C$16,$B25,$C$17,C$23)</f>
        <v/>
      </c>
      <c r="D25" s="32" t="str">
        <f ca="1">_xll.DBRW($B$9,$C$15,$C$18,D$22,C$21,$C$16,$B25,$C$17,D$23)</f>
        <v/>
      </c>
      <c r="E25" s="23" t="str">
        <f ca="1">_xll.DBRW($B$9,$C$15,$C$18,E$22,E$21,$C$16,$B25,$C$17,E$23)</f>
        <v/>
      </c>
      <c r="F25" s="32" t="str">
        <f ca="1">_xll.DBRW($B$9,$C$15,$C$18,F$22,E$21,$C$16,$B25,$C$17,F$23)</f>
        <v/>
      </c>
      <c r="G25" s="23" t="str">
        <f ca="1">_xll.DBRW($B$9,$C$15,$C$18,G$22,G$21,$C$16,$B25,$C$17,G$23)</f>
        <v/>
      </c>
      <c r="H25" s="32" t="str">
        <f ca="1">_xll.DBRW($B$9,$C$15,$C$18,H$22,G$21,$C$16,$B25,$C$17,H$23)</f>
        <v/>
      </c>
      <c r="I25" s="23" t="str">
        <f ca="1">_xll.DBRW($B$9,$C$15,$C$18,I$22,I$21,$C$16,$B25,$C$17,I$23)</f>
        <v/>
      </c>
      <c r="J25" s="32" t="str">
        <f ca="1">_xll.DBRW($B$9,$C$15,$C$18,J$22,I$21,$C$16,$B25,$C$17,J$23)</f>
        <v/>
      </c>
      <c r="K25" s="23" t="str">
        <f ca="1">_xll.DBRW($B$9,$C$15,$C$18,K$22,K$21,$C$16,$B25,$C$17,K$23)</f>
        <v/>
      </c>
      <c r="L25" s="32" t="str">
        <f ca="1">_xll.DBRW($B$9,$C$15,$C$18,L$22,K$21,$C$16,$B25,$C$17,L$23)</f>
        <v/>
      </c>
      <c r="M25" s="23" t="str">
        <f ca="1">_xll.DBRW($B$9,$C$15,$C$18,M$22,M$21,$C$16,$B25,$C$17,M$23)</f>
        <v/>
      </c>
      <c r="N25" s="32" t="str">
        <f ca="1">_xll.DBRW($B$9,$C$15,$C$18,N$22,M$21,$C$16,$B25,$C$17,N$23)</f>
        <v/>
      </c>
    </row>
    <row r="26" spans="1:14" x14ac:dyDescent="0.25">
      <c r="A26">
        <f ca="1">IF(_xll.TM1RPTELISCONSOLIDATED($B$24,$B26),IF(_xll.TM1RPTELLEV($B$24,$B26)&lt;=3,_xll.TM1RPTELLEV($B$24,$B26),"D"),"N")</f>
        <v>1</v>
      </c>
      <c r="B26" s="21" t="s">
        <v>5</v>
      </c>
      <c r="C26" s="23" t="str">
        <f ca="1">_xll.DBRW($B$9,$C$15,$C$18,C$22,C$21,$C$16,$B26,$C$17,C$23)</f>
        <v/>
      </c>
      <c r="D26" s="32" t="str">
        <f ca="1">_xll.DBRW($B$9,$C$15,$C$18,D$22,C$21,$C$16,$B26,$C$17,D$23)</f>
        <v/>
      </c>
      <c r="E26" s="23" t="str">
        <f ca="1">_xll.DBRW($B$9,$C$15,$C$18,E$22,E$21,$C$16,$B26,$C$17,E$23)</f>
        <v/>
      </c>
      <c r="F26" s="32" t="str">
        <f ca="1">_xll.DBRW($B$9,$C$15,$C$18,F$22,E$21,$C$16,$B26,$C$17,F$23)</f>
        <v/>
      </c>
      <c r="G26" s="23" t="str">
        <f ca="1">_xll.DBRW($B$9,$C$15,$C$18,G$22,G$21,$C$16,$B26,$C$17,G$23)</f>
        <v/>
      </c>
      <c r="H26" s="32" t="str">
        <f ca="1">_xll.DBRW($B$9,$C$15,$C$18,H$22,G$21,$C$16,$B26,$C$17,H$23)</f>
        <v/>
      </c>
      <c r="I26" s="23" t="str">
        <f ca="1">_xll.DBRW($B$9,$C$15,$C$18,I$22,I$21,$C$16,$B26,$C$17,I$23)</f>
        <v/>
      </c>
      <c r="J26" s="32" t="str">
        <f ca="1">_xll.DBRW($B$9,$C$15,$C$18,J$22,I$21,$C$16,$B26,$C$17,J$23)</f>
        <v/>
      </c>
      <c r="K26" s="23" t="str">
        <f ca="1">_xll.DBRW($B$9,$C$15,$C$18,K$22,K$21,$C$16,$B26,$C$17,K$23)</f>
        <v/>
      </c>
      <c r="L26" s="32" t="str">
        <f ca="1">_xll.DBRW($B$9,$C$15,$C$18,L$22,K$21,$C$16,$B26,$C$17,L$23)</f>
        <v/>
      </c>
      <c r="M26" s="23" t="str">
        <f ca="1">_xll.DBRW($B$9,$C$15,$C$18,M$22,M$21,$C$16,$B26,$C$17,M$23)</f>
        <v/>
      </c>
      <c r="N26" s="32" t="str">
        <f ca="1">_xll.DBRW($B$9,$C$15,$C$18,N$22,M$21,$C$16,$B26,$C$17,N$23)</f>
        <v/>
      </c>
    </row>
    <row r="27" spans="1:14" x14ac:dyDescent="0.25">
      <c r="A27">
        <f ca="1">IF(_xll.TM1RPTELISCONSOLIDATED($B$24,$B27),IF(_xll.TM1RPTELLEV($B$24,$B27)&lt;=3,_xll.TM1RPTELLEV($B$24,$B27),"D"),"N")</f>
        <v>1</v>
      </c>
      <c r="B27" s="21" t="s">
        <v>6</v>
      </c>
      <c r="C27" s="23" t="str">
        <f ca="1">_xll.DBRW($B$9,$C$15,$C$18,C$22,C$21,$C$16,$B27,$C$17,C$23)</f>
        <v/>
      </c>
      <c r="D27" s="32" t="str">
        <f ca="1">_xll.DBRW($B$9,$C$15,$C$18,D$22,C$21,$C$16,$B27,$C$17,D$23)</f>
        <v/>
      </c>
      <c r="E27" s="23" t="str">
        <f ca="1">_xll.DBRW($B$9,$C$15,$C$18,E$22,E$21,$C$16,$B27,$C$17,E$23)</f>
        <v/>
      </c>
      <c r="F27" s="32" t="str">
        <f ca="1">_xll.DBRW($B$9,$C$15,$C$18,F$22,E$21,$C$16,$B27,$C$17,F$23)</f>
        <v/>
      </c>
      <c r="G27" s="23" t="str">
        <f ca="1">_xll.DBRW($B$9,$C$15,$C$18,G$22,G$21,$C$16,$B27,$C$17,G$23)</f>
        <v/>
      </c>
      <c r="H27" s="32" t="str">
        <f ca="1">_xll.DBRW($B$9,$C$15,$C$18,H$22,G$21,$C$16,$B27,$C$17,H$23)</f>
        <v/>
      </c>
      <c r="I27" s="23" t="str">
        <f ca="1">_xll.DBRW($B$9,$C$15,$C$18,I$22,I$21,$C$16,$B27,$C$17,I$23)</f>
        <v/>
      </c>
      <c r="J27" s="32" t="str">
        <f ca="1">_xll.DBRW($B$9,$C$15,$C$18,J$22,I$21,$C$16,$B27,$C$17,J$23)</f>
        <v/>
      </c>
      <c r="K27" s="23" t="str">
        <f ca="1">_xll.DBRW($B$9,$C$15,$C$18,K$22,K$21,$C$16,$B27,$C$17,K$23)</f>
        <v/>
      </c>
      <c r="L27" s="32" t="str">
        <f ca="1">_xll.DBRW($B$9,$C$15,$C$18,L$22,K$21,$C$16,$B27,$C$17,L$23)</f>
        <v/>
      </c>
      <c r="M27" s="23" t="str">
        <f ca="1">_xll.DBRW($B$9,$C$15,$C$18,M$22,M$21,$C$16,$B27,$C$17,M$23)</f>
        <v/>
      </c>
      <c r="N27" s="32" t="str">
        <f ca="1">_xll.DBRW($B$9,$C$15,$C$18,N$22,M$21,$C$16,$B27,$C$17,N$23)</f>
        <v/>
      </c>
    </row>
    <row r="28" spans="1:14" x14ac:dyDescent="0.25">
      <c r="A28">
        <f ca="1">IF(_xll.TM1RPTELISCONSOLIDATED($B$24,$B28),IF(_xll.TM1RPTELLEV($B$24,$B28)&lt;=3,_xll.TM1RPTELLEV($B$24,$B28),"D"),"N")</f>
        <v>1</v>
      </c>
      <c r="B28" s="21" t="s">
        <v>7</v>
      </c>
      <c r="C28" s="23" t="str">
        <f ca="1">_xll.DBRW($B$9,$C$15,$C$18,C$22,C$21,$C$16,$B28,$C$17,C$23)</f>
        <v/>
      </c>
      <c r="D28" s="32" t="str">
        <f ca="1">_xll.DBRW($B$9,$C$15,$C$18,D$22,C$21,$C$16,$B28,$C$17,D$23)</f>
        <v/>
      </c>
      <c r="E28" s="23" t="str">
        <f ca="1">_xll.DBRW($B$9,$C$15,$C$18,E$22,E$21,$C$16,$B28,$C$17,E$23)</f>
        <v/>
      </c>
      <c r="F28" s="32" t="str">
        <f ca="1">_xll.DBRW($B$9,$C$15,$C$18,F$22,E$21,$C$16,$B28,$C$17,F$23)</f>
        <v/>
      </c>
      <c r="G28" s="23" t="str">
        <f ca="1">_xll.DBRW($B$9,$C$15,$C$18,G$22,G$21,$C$16,$B28,$C$17,G$23)</f>
        <v/>
      </c>
      <c r="H28" s="32" t="str">
        <f ca="1">_xll.DBRW($B$9,$C$15,$C$18,H$22,G$21,$C$16,$B28,$C$17,H$23)</f>
        <v/>
      </c>
      <c r="I28" s="23" t="str">
        <f ca="1">_xll.DBRW($B$9,$C$15,$C$18,I$22,I$21,$C$16,$B28,$C$17,I$23)</f>
        <v/>
      </c>
      <c r="J28" s="32" t="str">
        <f ca="1">_xll.DBRW($B$9,$C$15,$C$18,J$22,I$21,$C$16,$B28,$C$17,J$23)</f>
        <v/>
      </c>
      <c r="K28" s="23" t="str">
        <f ca="1">_xll.DBRW($B$9,$C$15,$C$18,K$22,K$21,$C$16,$B28,$C$17,K$23)</f>
        <v/>
      </c>
      <c r="L28" s="32" t="str">
        <f ca="1">_xll.DBRW($B$9,$C$15,$C$18,L$22,K$21,$C$16,$B28,$C$17,L$23)</f>
        <v/>
      </c>
      <c r="M28" s="23" t="str">
        <f ca="1">_xll.DBRW($B$9,$C$15,$C$18,M$22,M$21,$C$16,$B28,$C$17,M$23)</f>
        <v/>
      </c>
      <c r="N28" s="32" t="str">
        <f ca="1">_xll.DBRW($B$9,$C$15,$C$18,N$22,M$21,$C$16,$B28,$C$17,N$23)</f>
        <v/>
      </c>
    </row>
    <row r="29" spans="1:14" x14ac:dyDescent="0.25">
      <c r="A29">
        <f ca="1">IF(_xll.TM1RPTELISCONSOLIDATED($B$24,$B29),IF(_xll.TM1RPTELLEV($B$24,$B29)&lt;=3,_xll.TM1RPTELLEV($B$24,$B29),"D"),"N")</f>
        <v>1</v>
      </c>
      <c r="B29" s="21" t="s">
        <v>8</v>
      </c>
      <c r="C29" s="23" t="str">
        <f ca="1">_xll.DBRW($B$9,$C$15,$C$18,C$22,C$21,$C$16,$B29,$C$17,C$23)</f>
        <v/>
      </c>
      <c r="D29" s="32" t="str">
        <f ca="1">_xll.DBRW($B$9,$C$15,$C$18,D$22,C$21,$C$16,$B29,$C$17,D$23)</f>
        <v/>
      </c>
      <c r="E29" s="23" t="str">
        <f ca="1">_xll.DBRW($B$9,$C$15,$C$18,E$22,E$21,$C$16,$B29,$C$17,E$23)</f>
        <v/>
      </c>
      <c r="F29" s="32" t="str">
        <f ca="1">_xll.DBRW($B$9,$C$15,$C$18,F$22,E$21,$C$16,$B29,$C$17,F$23)</f>
        <v/>
      </c>
      <c r="G29" s="23" t="str">
        <f ca="1">_xll.DBRW($B$9,$C$15,$C$18,G$22,G$21,$C$16,$B29,$C$17,G$23)</f>
        <v/>
      </c>
      <c r="H29" s="32" t="str">
        <f ca="1">_xll.DBRW($B$9,$C$15,$C$18,H$22,G$21,$C$16,$B29,$C$17,H$23)</f>
        <v/>
      </c>
      <c r="I29" s="23" t="str">
        <f ca="1">_xll.DBRW($B$9,$C$15,$C$18,I$22,I$21,$C$16,$B29,$C$17,I$23)</f>
        <v/>
      </c>
      <c r="J29" s="32" t="str">
        <f ca="1">_xll.DBRW($B$9,$C$15,$C$18,J$22,I$21,$C$16,$B29,$C$17,J$23)</f>
        <v/>
      </c>
      <c r="K29" s="23" t="str">
        <f ca="1">_xll.DBRW($B$9,$C$15,$C$18,K$22,K$21,$C$16,$B29,$C$17,K$23)</f>
        <v/>
      </c>
      <c r="L29" s="32" t="str">
        <f ca="1">_xll.DBRW($B$9,$C$15,$C$18,L$22,K$21,$C$16,$B29,$C$17,L$23)</f>
        <v/>
      </c>
      <c r="M29" s="23" t="str">
        <f ca="1">_xll.DBRW($B$9,$C$15,$C$18,M$22,M$21,$C$16,$B29,$C$17,M$23)</f>
        <v/>
      </c>
      <c r="N29" s="32" t="str">
        <f ca="1">_xll.DBRW($B$9,$C$15,$C$18,N$22,M$21,$C$16,$B29,$C$17,N$23)</f>
        <v/>
      </c>
    </row>
    <row r="30" spans="1:14" x14ac:dyDescent="0.25">
      <c r="A30">
        <f ca="1">IF(_xll.TM1RPTELISCONSOLIDATED($B$24,$B30),IF(_xll.TM1RPTELLEV($B$24,$B30)&lt;=3,_xll.TM1RPTELLEV($B$24,$B30),"D"),"N")</f>
        <v>1</v>
      </c>
      <c r="B30" s="21" t="s">
        <v>9</v>
      </c>
      <c r="C30" s="23" t="str">
        <f ca="1">_xll.DBRW($B$9,$C$15,$C$18,C$22,C$21,$C$16,$B30,$C$17,C$23)</f>
        <v/>
      </c>
      <c r="D30" s="32" t="str">
        <f ca="1">_xll.DBRW($B$9,$C$15,$C$18,D$22,C$21,$C$16,$B30,$C$17,D$23)</f>
        <v/>
      </c>
      <c r="E30" s="23" t="str">
        <f ca="1">_xll.DBRW($B$9,$C$15,$C$18,E$22,E$21,$C$16,$B30,$C$17,E$23)</f>
        <v/>
      </c>
      <c r="F30" s="32" t="str">
        <f ca="1">_xll.DBRW($B$9,$C$15,$C$18,F$22,E$21,$C$16,$B30,$C$17,F$23)</f>
        <v/>
      </c>
      <c r="G30" s="23" t="str">
        <f ca="1">_xll.DBRW($B$9,$C$15,$C$18,G$22,G$21,$C$16,$B30,$C$17,G$23)</f>
        <v/>
      </c>
      <c r="H30" s="32" t="str">
        <f ca="1">_xll.DBRW($B$9,$C$15,$C$18,H$22,G$21,$C$16,$B30,$C$17,H$23)</f>
        <v/>
      </c>
      <c r="I30" s="23" t="str">
        <f ca="1">_xll.DBRW($B$9,$C$15,$C$18,I$22,I$21,$C$16,$B30,$C$17,I$23)</f>
        <v/>
      </c>
      <c r="J30" s="32" t="str">
        <f ca="1">_xll.DBRW($B$9,$C$15,$C$18,J$22,I$21,$C$16,$B30,$C$17,J$23)</f>
        <v/>
      </c>
      <c r="K30" s="23" t="str">
        <f ca="1">_xll.DBRW($B$9,$C$15,$C$18,K$22,K$21,$C$16,$B30,$C$17,K$23)</f>
        <v/>
      </c>
      <c r="L30" s="32" t="str">
        <f ca="1">_xll.DBRW($B$9,$C$15,$C$18,L$22,K$21,$C$16,$B30,$C$17,L$23)</f>
        <v/>
      </c>
      <c r="M30" s="23" t="str">
        <f ca="1">_xll.DBRW($B$9,$C$15,$C$18,M$22,M$21,$C$16,$B30,$C$17,M$23)</f>
        <v/>
      </c>
      <c r="N30" s="32" t="str">
        <f ca="1">_xll.DBRW($B$9,$C$15,$C$18,N$22,M$21,$C$16,$B30,$C$17,N$23)</f>
        <v/>
      </c>
    </row>
    <row r="31" spans="1:14" x14ac:dyDescent="0.25">
      <c r="A31">
        <f ca="1">IF(_xll.TM1RPTELISCONSOLIDATED($B$24,$B31),IF(_xll.TM1RPTELLEV($B$24,$B31)&lt;=3,_xll.TM1RPTELLEV($B$24,$B31),"D"),"N")</f>
        <v>1</v>
      </c>
      <c r="B31" s="21" t="s">
        <v>10</v>
      </c>
      <c r="C31" s="23" t="str">
        <f ca="1">_xll.DBRW($B$9,$C$15,$C$18,C$22,C$21,$C$16,$B31,$C$17,C$23)</f>
        <v/>
      </c>
      <c r="D31" s="32" t="str">
        <f ca="1">_xll.DBRW($B$9,$C$15,$C$18,D$22,C$21,$C$16,$B31,$C$17,D$23)</f>
        <v/>
      </c>
      <c r="E31" s="23" t="str">
        <f ca="1">_xll.DBRW($B$9,$C$15,$C$18,E$22,E$21,$C$16,$B31,$C$17,E$23)</f>
        <v/>
      </c>
      <c r="F31" s="32" t="str">
        <f ca="1">_xll.DBRW($B$9,$C$15,$C$18,F$22,E$21,$C$16,$B31,$C$17,F$23)</f>
        <v/>
      </c>
      <c r="G31" s="23" t="str">
        <f ca="1">_xll.DBRW($B$9,$C$15,$C$18,G$22,G$21,$C$16,$B31,$C$17,G$23)</f>
        <v/>
      </c>
      <c r="H31" s="32" t="str">
        <f ca="1">_xll.DBRW($B$9,$C$15,$C$18,H$22,G$21,$C$16,$B31,$C$17,H$23)</f>
        <v/>
      </c>
      <c r="I31" s="23" t="str">
        <f ca="1">_xll.DBRW($B$9,$C$15,$C$18,I$22,I$21,$C$16,$B31,$C$17,I$23)</f>
        <v/>
      </c>
      <c r="J31" s="32" t="str">
        <f ca="1">_xll.DBRW($B$9,$C$15,$C$18,J$22,I$21,$C$16,$B31,$C$17,J$23)</f>
        <v/>
      </c>
      <c r="K31" s="23" t="str">
        <f ca="1">_xll.DBRW($B$9,$C$15,$C$18,K$22,K$21,$C$16,$B31,$C$17,K$23)</f>
        <v/>
      </c>
      <c r="L31" s="32" t="str">
        <f ca="1">_xll.DBRW($B$9,$C$15,$C$18,L$22,K$21,$C$16,$B31,$C$17,L$23)</f>
        <v/>
      </c>
      <c r="M31" s="23" t="str">
        <f ca="1">_xll.DBRW($B$9,$C$15,$C$18,M$22,M$21,$C$16,$B31,$C$17,M$23)</f>
        <v/>
      </c>
      <c r="N31" s="32" t="str">
        <f ca="1">_xll.DBRW($B$9,$C$15,$C$18,N$22,M$21,$C$16,$B31,$C$17,N$23)</f>
        <v/>
      </c>
    </row>
    <row r="32" spans="1:14" x14ac:dyDescent="0.25">
      <c r="A32">
        <f ca="1">IF(_xll.TM1RPTELISCONSOLIDATED($B$24,$B32),IF(_xll.TM1RPTELLEV($B$24,$B32)&lt;=3,_xll.TM1RPTELLEV($B$24,$B32),"D"),"N")</f>
        <v>1</v>
      </c>
      <c r="B32" s="21" t="s">
        <v>11</v>
      </c>
      <c r="C32" s="23" t="str">
        <f ca="1">_xll.DBRW($B$9,$C$15,$C$18,C$22,C$21,$C$16,$B32,$C$17,C$23)</f>
        <v/>
      </c>
      <c r="D32" s="32" t="str">
        <f ca="1">_xll.DBRW($B$9,$C$15,$C$18,D$22,C$21,$C$16,$B32,$C$17,D$23)</f>
        <v/>
      </c>
      <c r="E32" s="23" t="str">
        <f ca="1">_xll.DBRW($B$9,$C$15,$C$18,E$22,E$21,$C$16,$B32,$C$17,E$23)</f>
        <v/>
      </c>
      <c r="F32" s="32" t="str">
        <f ca="1">_xll.DBRW($B$9,$C$15,$C$18,F$22,E$21,$C$16,$B32,$C$17,F$23)</f>
        <v/>
      </c>
      <c r="G32" s="23" t="str">
        <f ca="1">_xll.DBRW($B$9,$C$15,$C$18,G$22,G$21,$C$16,$B32,$C$17,G$23)</f>
        <v/>
      </c>
      <c r="H32" s="32" t="str">
        <f ca="1">_xll.DBRW($B$9,$C$15,$C$18,H$22,G$21,$C$16,$B32,$C$17,H$23)</f>
        <v/>
      </c>
      <c r="I32" s="23" t="str">
        <f ca="1">_xll.DBRW($B$9,$C$15,$C$18,I$22,I$21,$C$16,$B32,$C$17,I$23)</f>
        <v/>
      </c>
      <c r="J32" s="32" t="str">
        <f ca="1">_xll.DBRW($B$9,$C$15,$C$18,J$22,I$21,$C$16,$B32,$C$17,J$23)</f>
        <v/>
      </c>
      <c r="K32" s="23" t="str">
        <f ca="1">_xll.DBRW($B$9,$C$15,$C$18,K$22,K$21,$C$16,$B32,$C$17,K$23)</f>
        <v/>
      </c>
      <c r="L32" s="32" t="str">
        <f ca="1">_xll.DBRW($B$9,$C$15,$C$18,L$22,K$21,$C$16,$B32,$C$17,L$23)</f>
        <v/>
      </c>
      <c r="M32" s="23" t="str">
        <f ca="1">_xll.DBRW($B$9,$C$15,$C$18,M$22,M$21,$C$16,$B32,$C$17,M$23)</f>
        <v/>
      </c>
      <c r="N32" s="32" t="str">
        <f ca="1">_xll.DBRW($B$9,$C$15,$C$18,N$22,M$21,$C$16,$B32,$C$17,N$23)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</sheetData>
  <mergeCells count="6">
    <mergeCell ref="C21:D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5</xdr:col>
                <xdr:colOff>9525</xdr:colOff>
                <xdr:row>15</xdr:row>
                <xdr:rowOff>95250</xdr:rowOff>
              </from>
              <to>
                <xdr:col>5</xdr:col>
                <xdr:colOff>704850</xdr:colOff>
                <xdr:row>16</xdr:row>
                <xdr:rowOff>152400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W66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B34" sqref="B34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6" customWidth="1"/>
    <col min="6" max="7" width="16.7109375" customWidth="1"/>
    <col min="8" max="8" width="10.7109375" style="36" customWidth="1"/>
    <col min="9" max="10" width="16.7109375" customWidth="1"/>
    <col min="11" max="11" width="10.7109375" style="36" customWidth="1"/>
    <col min="12" max="13" width="16.7109375" customWidth="1"/>
    <col min="14" max="14" width="10.7109375" style="36" customWidth="1"/>
    <col min="15" max="16" width="16.7109375" customWidth="1"/>
    <col min="17" max="17" width="10.7109375" style="36" customWidth="1"/>
    <col min="18" max="19" width="16.7109375" customWidth="1"/>
    <col min="20" max="20" width="10.7109375" style="36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6"/>
      <c r="C2" s="1"/>
      <c r="D2" s="1"/>
      <c r="E2" s="37"/>
      <c r="F2" s="1"/>
      <c r="G2" s="1"/>
      <c r="H2" s="37"/>
      <c r="I2" s="1"/>
      <c r="J2" s="1"/>
      <c r="K2" s="37"/>
      <c r="L2" s="1"/>
      <c r="M2" s="1"/>
      <c r="N2" s="37"/>
      <c r="O2" s="1"/>
      <c r="P2" s="1"/>
      <c r="Q2" s="37"/>
      <c r="R2" s="1"/>
      <c r="S2" s="1"/>
      <c r="T2" s="37"/>
    </row>
    <row r="3" spans="1:20" hidden="1" x14ac:dyDescent="0.25">
      <c r="A3">
        <f>1</f>
        <v>1</v>
      </c>
      <c r="B3" s="17"/>
      <c r="C3" s="2"/>
      <c r="D3" s="2"/>
      <c r="E3" s="38"/>
      <c r="F3" s="2"/>
      <c r="G3" s="2"/>
      <c r="H3" s="38"/>
      <c r="I3" s="2"/>
      <c r="J3" s="2"/>
      <c r="K3" s="38"/>
      <c r="L3" s="2"/>
      <c r="M3" s="2"/>
      <c r="N3" s="38"/>
      <c r="O3" s="2"/>
      <c r="P3" s="2"/>
      <c r="Q3" s="38"/>
      <c r="R3" s="2"/>
      <c r="S3" s="2"/>
      <c r="T3" s="38"/>
    </row>
    <row r="4" spans="1:20" hidden="1" x14ac:dyDescent="0.25">
      <c r="A4">
        <f>2</f>
        <v>2</v>
      </c>
      <c r="B4" s="18"/>
      <c r="C4" s="4"/>
      <c r="D4" s="4"/>
      <c r="E4" s="39"/>
      <c r="F4" s="4"/>
      <c r="G4" s="4"/>
      <c r="H4" s="39"/>
      <c r="I4" s="4"/>
      <c r="J4" s="4"/>
      <c r="K4" s="39"/>
      <c r="L4" s="4"/>
      <c r="M4" s="4"/>
      <c r="N4" s="39"/>
      <c r="O4" s="4"/>
      <c r="P4" s="4"/>
      <c r="Q4" s="39"/>
      <c r="R4" s="4"/>
      <c r="S4" s="4"/>
      <c r="T4" s="39"/>
    </row>
    <row r="5" spans="1:20" hidden="1" x14ac:dyDescent="0.25">
      <c r="A5">
        <f>3</f>
        <v>3</v>
      </c>
      <c r="B5" s="19"/>
      <c r="C5" s="5"/>
      <c r="D5" s="5"/>
      <c r="E5" s="40"/>
      <c r="F5" s="5"/>
      <c r="G5" s="5"/>
      <c r="H5" s="40"/>
      <c r="I5" s="5"/>
      <c r="J5" s="5"/>
      <c r="K5" s="40"/>
      <c r="L5" s="5"/>
      <c r="M5" s="5"/>
      <c r="N5" s="40"/>
      <c r="O5" s="5"/>
      <c r="P5" s="5"/>
      <c r="Q5" s="40"/>
      <c r="R5" s="5"/>
      <c r="S5" s="5"/>
      <c r="T5" s="40"/>
    </row>
    <row r="6" spans="1:20" hidden="1" x14ac:dyDescent="0.25">
      <c r="A6" t="s">
        <v>13</v>
      </c>
      <c r="B6" s="17"/>
      <c r="C6" s="2"/>
      <c r="D6" s="2"/>
      <c r="E6" s="38"/>
      <c r="F6" s="2"/>
      <c r="G6" s="2"/>
      <c r="H6" s="38"/>
      <c r="I6" s="2"/>
      <c r="J6" s="2"/>
      <c r="K6" s="38"/>
      <c r="L6" s="2"/>
      <c r="M6" s="2"/>
      <c r="N6" s="38"/>
      <c r="O6" s="2"/>
      <c r="P6" s="2"/>
      <c r="Q6" s="38"/>
      <c r="R6" s="2"/>
      <c r="S6" s="2"/>
      <c r="T6" s="38"/>
    </row>
    <row r="7" spans="1:20" hidden="1" x14ac:dyDescent="0.25">
      <c r="A7" t="s">
        <v>14</v>
      </c>
      <c r="B7" s="20"/>
      <c r="C7" s="3"/>
      <c r="D7" s="3"/>
      <c r="E7" s="41"/>
      <c r="F7" s="3"/>
      <c r="G7" s="3"/>
      <c r="H7" s="41"/>
      <c r="I7" s="3"/>
      <c r="J7" s="3"/>
      <c r="K7" s="41"/>
      <c r="L7" s="3"/>
      <c r="M7" s="3"/>
      <c r="N7" s="41"/>
      <c r="O7" s="3"/>
      <c r="P7" s="3"/>
      <c r="Q7" s="41"/>
      <c r="R7" s="3"/>
      <c r="S7" s="3"/>
      <c r="T7" s="41"/>
    </row>
    <row r="8" spans="1:20" hidden="1" x14ac:dyDescent="0.25">
      <c r="A8" t="s">
        <v>16</v>
      </c>
    </row>
    <row r="9" spans="1:20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42"/>
      <c r="F10" s="9"/>
      <c r="G10" s="9"/>
      <c r="H10" s="42"/>
      <c r="I10" s="9"/>
      <c r="J10" s="9"/>
      <c r="K10" s="42"/>
      <c r="L10" s="9"/>
      <c r="M10" s="9"/>
      <c r="N10" s="42"/>
      <c r="O10" s="9"/>
      <c r="P10" s="9"/>
      <c r="Q10" s="42"/>
      <c r="R10" s="9"/>
      <c r="S10" s="9"/>
      <c r="T10" s="42"/>
    </row>
    <row r="11" spans="1:20" x14ac:dyDescent="0.25">
      <c r="B11" s="9"/>
      <c r="C11" s="9"/>
      <c r="D11" s="9"/>
      <c r="E11" s="42"/>
      <c r="F11" s="9"/>
      <c r="G11" s="9"/>
      <c r="H11" s="42"/>
      <c r="I11" s="9"/>
      <c r="J11" s="9"/>
      <c r="K11" s="42"/>
      <c r="L11" s="9"/>
      <c r="M11" s="9"/>
      <c r="N11" s="42"/>
      <c r="O11" s="9"/>
      <c r="P11" s="9"/>
      <c r="Q11" s="42"/>
      <c r="R11" s="9"/>
      <c r="S11" s="9"/>
      <c r="T11" s="42"/>
    </row>
    <row r="12" spans="1:20" x14ac:dyDescent="0.25">
      <c r="B12" s="9"/>
      <c r="C12" s="9"/>
      <c r="D12" s="9"/>
      <c r="E12" s="42"/>
      <c r="F12" s="9"/>
      <c r="G12" s="9"/>
      <c r="H12" s="42"/>
      <c r="I12" s="9"/>
      <c r="J12" s="9"/>
      <c r="K12" s="42"/>
      <c r="L12" s="9"/>
      <c r="M12" s="9"/>
      <c r="N12" s="42"/>
      <c r="O12" s="9"/>
      <c r="P12" s="9"/>
      <c r="Q12" s="42"/>
      <c r="R12" s="9"/>
      <c r="S12" s="9"/>
      <c r="T12" s="42"/>
    </row>
    <row r="13" spans="1:20" x14ac:dyDescent="0.25">
      <c r="B13" s="9"/>
      <c r="C13" s="9"/>
      <c r="D13" s="9"/>
      <c r="E13" s="42"/>
      <c r="F13" s="9"/>
      <c r="G13" s="9"/>
      <c r="H13" s="42"/>
      <c r="I13" s="9"/>
      <c r="J13" s="9"/>
      <c r="K13" s="42"/>
      <c r="L13" s="9"/>
      <c r="M13" s="9"/>
      <c r="N13" s="42"/>
      <c r="O13" s="9"/>
      <c r="P13" s="9"/>
      <c r="Q13" s="42"/>
      <c r="R13" s="9"/>
      <c r="S13" s="9"/>
      <c r="T13" s="42"/>
    </row>
    <row r="14" spans="1:20" hidden="1" x14ac:dyDescent="0.25">
      <c r="B14" s="9"/>
      <c r="C14" s="9"/>
      <c r="D14" s="9"/>
      <c r="E14" s="42"/>
      <c r="F14" s="9"/>
      <c r="G14" s="9"/>
      <c r="H14" s="42"/>
      <c r="I14" s="9"/>
      <c r="J14" s="9"/>
      <c r="K14" s="42"/>
      <c r="L14" s="9"/>
      <c r="M14" s="9"/>
      <c r="N14" s="42"/>
      <c r="O14" s="9"/>
      <c r="P14" s="9"/>
      <c r="Q14" s="42"/>
      <c r="R14" s="9"/>
      <c r="S14" s="9"/>
      <c r="T14" s="42"/>
    </row>
    <row r="15" spans="1:20" hidden="1" x14ac:dyDescent="0.25">
      <c r="B15" s="9"/>
      <c r="C15" s="9"/>
      <c r="D15" s="9"/>
      <c r="E15" s="42"/>
      <c r="F15" s="9"/>
      <c r="G15" s="9"/>
      <c r="H15" s="42"/>
      <c r="I15" s="9"/>
      <c r="J15" s="9"/>
      <c r="K15" s="42"/>
      <c r="L15" s="9"/>
      <c r="M15" s="9"/>
      <c r="N15" s="42"/>
      <c r="O15" s="9"/>
      <c r="P15" s="9"/>
      <c r="Q15" s="42"/>
      <c r="R15" s="9"/>
      <c r="S15" s="9"/>
      <c r="T15" s="42"/>
    </row>
    <row r="16" spans="1:20" x14ac:dyDescent="0.25">
      <c r="B16" s="8" t="s">
        <v>0</v>
      </c>
      <c r="C16" s="6" t="str">
        <f ca="1">QTY!C16</f>
        <v>Local currency</v>
      </c>
      <c r="D16" s="7"/>
      <c r="E16" s="43"/>
      <c r="F16" s="7"/>
      <c r="G16" s="7"/>
      <c r="H16" s="43"/>
      <c r="I16" s="7"/>
      <c r="J16" s="7"/>
      <c r="K16" s="43"/>
      <c r="L16" s="7"/>
      <c r="M16" s="7"/>
      <c r="N16" s="43"/>
      <c r="O16" s="7"/>
      <c r="P16" s="7"/>
      <c r="Q16" s="43"/>
      <c r="R16" s="7"/>
      <c r="S16" s="7"/>
      <c r="T16" s="43"/>
    </row>
    <row r="17" spans="1:20" x14ac:dyDescent="0.25">
      <c r="B17" s="8" t="s">
        <v>1</v>
      </c>
      <c r="C17" s="6" t="str">
        <f ca="1">QTY!C17</f>
        <v>SILVA</v>
      </c>
      <c r="D17" s="7"/>
      <c r="E17" s="43"/>
      <c r="F17" s="7"/>
      <c r="G17" s="7"/>
      <c r="H17" s="43"/>
      <c r="I17" s="7"/>
      <c r="J17" s="7"/>
      <c r="K17" s="43"/>
      <c r="L17" s="7"/>
      <c r="M17" s="7"/>
      <c r="N17" s="43"/>
      <c r="O17" s="7"/>
      <c r="P17" s="7"/>
      <c r="Q17" s="43"/>
      <c r="R17" s="7"/>
      <c r="S17" s="7"/>
      <c r="T17" s="43"/>
    </row>
    <row r="18" spans="1:20" x14ac:dyDescent="0.25">
      <c r="B18" s="8" t="s">
        <v>2</v>
      </c>
      <c r="C18" s="6" t="str">
        <f ca="1">QTY!C18</f>
        <v>TOTAL PRODUCT</v>
      </c>
      <c r="D18" s="7"/>
      <c r="E18" s="43"/>
      <c r="F18" s="7"/>
      <c r="G18" s="7"/>
      <c r="H18" s="43"/>
      <c r="I18" s="7"/>
      <c r="J18" s="7"/>
      <c r="K18" s="43"/>
      <c r="L18" s="7"/>
      <c r="M18" s="7"/>
      <c r="N18" s="43"/>
      <c r="O18" s="7"/>
      <c r="P18" s="7"/>
      <c r="Q18" s="43"/>
      <c r="R18" s="7"/>
      <c r="S18" s="7"/>
      <c r="T18" s="43"/>
    </row>
    <row r="19" spans="1:20" ht="21" x14ac:dyDescent="0.35">
      <c r="B19" s="8" t="s">
        <v>3</v>
      </c>
      <c r="C19" s="6" t="str">
        <f ca="1">QTY!C19</f>
        <v>99 - Kuhn Group</v>
      </c>
      <c r="D19" s="7"/>
      <c r="E19" s="43"/>
      <c r="F19" s="7"/>
      <c r="G19" s="7"/>
      <c r="H19" s="43"/>
      <c r="I19" s="7"/>
      <c r="J19" s="10" t="s">
        <v>26</v>
      </c>
      <c r="K19" s="43"/>
      <c r="L19" s="7"/>
      <c r="M19" s="7"/>
      <c r="N19" s="43"/>
      <c r="O19" s="7"/>
      <c r="P19" s="7"/>
      <c r="Q19" s="43"/>
      <c r="R19" s="7"/>
      <c r="S19" s="7"/>
      <c r="T19" s="43"/>
    </row>
    <row r="20" spans="1:20" x14ac:dyDescent="0.25">
      <c r="B20" s="7"/>
      <c r="C20" s="7"/>
      <c r="D20" s="7"/>
      <c r="E20" s="43"/>
      <c r="F20" s="7"/>
      <c r="G20" s="7"/>
      <c r="H20" s="43"/>
      <c r="I20" s="7"/>
      <c r="J20" s="7"/>
      <c r="K20" s="43"/>
      <c r="L20" s="7"/>
      <c r="M20" s="7"/>
      <c r="N20" s="43"/>
      <c r="O20" s="7"/>
      <c r="P20" s="7"/>
      <c r="Q20" s="43"/>
      <c r="R20" s="7"/>
      <c r="S20" s="7"/>
      <c r="T20" s="43"/>
    </row>
    <row r="21" spans="1:20" x14ac:dyDescent="0.25">
      <c r="B21" s="7"/>
      <c r="C21" s="7"/>
      <c r="D21" s="7"/>
      <c r="E21" s="43"/>
      <c r="F21" s="7"/>
      <c r="G21" s="7"/>
      <c r="H21" s="43"/>
      <c r="I21" s="7"/>
      <c r="J21" s="7"/>
      <c r="K21" s="43"/>
      <c r="L21" s="7"/>
      <c r="M21" s="7"/>
      <c r="N21" s="43"/>
      <c r="O21" s="7"/>
      <c r="P21" s="7"/>
      <c r="Q21" s="43"/>
      <c r="R21" s="7"/>
      <c r="S21" s="7"/>
      <c r="T21" s="43"/>
    </row>
    <row r="22" spans="1:20" x14ac:dyDescent="0.25">
      <c r="B22" s="7"/>
      <c r="C22" s="58" t="str">
        <f ca="1">QTY!C22</f>
        <v>AC2016</v>
      </c>
      <c r="D22" s="56"/>
      <c r="E22" s="57"/>
      <c r="F22" s="58" t="str">
        <f ca="1">QTY!F22</f>
        <v>FC3_2017</v>
      </c>
      <c r="G22" s="56"/>
      <c r="H22" s="57"/>
      <c r="I22" s="58" t="str">
        <f ca="1">QTY!I22</f>
        <v>PL2018 (update 2017)</v>
      </c>
      <c r="J22" s="56"/>
      <c r="K22" s="57"/>
      <c r="L22" s="58" t="str">
        <f ca="1">QTY!L22</f>
        <v>PL2019 (update 2017)</v>
      </c>
      <c r="M22" s="56"/>
      <c r="N22" s="57"/>
      <c r="O22" s="58" t="str">
        <f ca="1">QTY!O22</f>
        <v>PL2020 (update 2017)</v>
      </c>
      <c r="P22" s="56"/>
      <c r="Q22" s="57"/>
      <c r="R22" s="56" t="str">
        <f ca="1">QTY!R22</f>
        <v>PL2021 (update 2017)</v>
      </c>
      <c r="S22" s="56"/>
      <c r="T22" s="57"/>
    </row>
    <row r="23" spans="1:20" x14ac:dyDescent="0.25">
      <c r="B23" s="7"/>
      <c r="C23" s="11"/>
      <c r="D23" s="12"/>
      <c r="E23" s="44"/>
      <c r="F23" s="11"/>
      <c r="G23" s="12"/>
      <c r="H23" s="44"/>
      <c r="I23" s="11"/>
      <c r="J23" s="12"/>
      <c r="K23" s="44"/>
      <c r="L23" s="11"/>
      <c r="M23" s="12"/>
      <c r="N23" s="44"/>
      <c r="O23" s="11"/>
      <c r="P23" s="12"/>
      <c r="Q23" s="44"/>
      <c r="R23" s="12"/>
      <c r="S23" s="12"/>
      <c r="T23" s="44"/>
    </row>
    <row r="24" spans="1:20" x14ac:dyDescent="0.25">
      <c r="B24" s="7"/>
      <c r="C24" s="11" t="str">
        <f ca="1">QTY!C24</f>
        <v>KUHN_Scope</v>
      </c>
      <c r="D24" s="12" t="str">
        <f ca="1">QTY!D24</f>
        <v>KUHN Sales</v>
      </c>
      <c r="E24" s="45" t="s">
        <v>17</v>
      </c>
      <c r="F24" s="11" t="str">
        <f ca="1">QTY!F24</f>
        <v>KUHN_Scope</v>
      </c>
      <c r="G24" s="12" t="str">
        <f ca="1">QTY!G24</f>
        <v>KUHN Sales</v>
      </c>
      <c r="H24" s="45" t="s">
        <v>17</v>
      </c>
      <c r="I24" s="11" t="str">
        <f ca="1">QTY!I24</f>
        <v>KUHN_Scope</v>
      </c>
      <c r="J24" s="12" t="str">
        <f ca="1">QTY!J24</f>
        <v>KUHN Sales</v>
      </c>
      <c r="K24" s="45" t="s">
        <v>17</v>
      </c>
      <c r="L24" s="11" t="str">
        <f ca="1">QTY!L24</f>
        <v>KUHN_Scope</v>
      </c>
      <c r="M24" s="12" t="str">
        <f ca="1">QTY!M24</f>
        <v>KUHN Sales</v>
      </c>
      <c r="N24" s="45" t="s">
        <v>17</v>
      </c>
      <c r="O24" s="11" t="str">
        <f ca="1">QTY!O24</f>
        <v>KUHN_Scope</v>
      </c>
      <c r="P24" s="12" t="str">
        <f ca="1">QTY!P24</f>
        <v>KUHN Sales</v>
      </c>
      <c r="Q24" s="45" t="s">
        <v>17</v>
      </c>
      <c r="R24" s="12" t="str">
        <f ca="1">QTY!R24</f>
        <v>KUHN_Scope</v>
      </c>
      <c r="S24" s="12" t="str">
        <f ca="1">QTY!S24</f>
        <v>KUHN Sales</v>
      </c>
      <c r="T24" s="45" t="s">
        <v>17</v>
      </c>
    </row>
    <row r="25" spans="1:20" x14ac:dyDescent="0.25">
      <c r="B25" s="7"/>
      <c r="C25" s="13" t="s">
        <v>25</v>
      </c>
      <c r="D25" s="14" t="s">
        <v>25</v>
      </c>
      <c r="E25" s="46"/>
      <c r="F25" s="13" t="s">
        <v>25</v>
      </c>
      <c r="G25" s="14" t="s">
        <v>25</v>
      </c>
      <c r="H25" s="46"/>
      <c r="I25" s="13" t="s">
        <v>25</v>
      </c>
      <c r="J25" s="14" t="s">
        <v>25</v>
      </c>
      <c r="K25" s="46"/>
      <c r="L25" s="13" t="s">
        <v>25</v>
      </c>
      <c r="M25" s="14" t="s">
        <v>25</v>
      </c>
      <c r="N25" s="46"/>
      <c r="O25" s="13" t="s">
        <v>25</v>
      </c>
      <c r="P25" s="14" t="s">
        <v>25</v>
      </c>
      <c r="Q25" s="46"/>
      <c r="R25" s="13" t="s">
        <v>25</v>
      </c>
      <c r="S25" s="14" t="s">
        <v>25</v>
      </c>
      <c r="T25" s="46"/>
    </row>
    <row r="26" spans="1:20" x14ac:dyDescent="0.25">
      <c r="A26" t="str">
        <f ca="1">IF(_xll.TM1RPTELISCONSOLIDATED($B$26,$B26),IF(_xll.TM1RPTELLEV($B$26,$B26)&lt;=3,_xll.TM1RPTELLEV($B$26,$B26),"D"),"N")</f>
        <v>N</v>
      </c>
      <c r="B26" s="15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7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7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7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7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7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7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21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8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8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8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8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8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8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21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8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8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8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8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8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8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21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8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8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8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8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8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8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21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8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8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8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8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8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8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21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8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8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8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8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8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8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21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8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8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8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8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8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8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21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8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8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8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8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8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8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21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8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8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8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8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8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8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126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838200</xdr:colOff>
                <xdr:row>19</xdr:row>
                <xdr:rowOff>66675</xdr:rowOff>
              </to>
            </anchor>
          </controlPr>
        </control>
      </mc:Choice>
      <mc:Fallback>
        <control shapeId="1126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W66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B34" sqref="B34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6" customWidth="1"/>
    <col min="6" max="7" width="16.7109375" customWidth="1"/>
    <col min="8" max="8" width="10.7109375" style="36" customWidth="1"/>
    <col min="9" max="10" width="16.7109375" customWidth="1"/>
    <col min="11" max="11" width="10.7109375" style="36" customWidth="1"/>
    <col min="12" max="13" width="16.7109375" customWidth="1"/>
    <col min="14" max="14" width="10.7109375" style="36" customWidth="1"/>
    <col min="15" max="16" width="16.7109375" customWidth="1"/>
    <col min="17" max="17" width="10.7109375" style="36" customWidth="1"/>
    <col min="18" max="19" width="16.7109375" customWidth="1"/>
    <col min="20" max="20" width="10.7109375" style="36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6"/>
      <c r="C2" s="1"/>
      <c r="D2" s="1"/>
      <c r="E2" s="37"/>
      <c r="F2" s="1"/>
      <c r="G2" s="1"/>
      <c r="H2" s="37"/>
      <c r="I2" s="1"/>
      <c r="J2" s="1"/>
      <c r="K2" s="37"/>
      <c r="L2" s="1"/>
      <c r="M2" s="1"/>
      <c r="N2" s="37"/>
      <c r="O2" s="1"/>
      <c r="P2" s="1"/>
      <c r="Q2" s="37"/>
      <c r="R2" s="1"/>
      <c r="S2" s="1"/>
      <c r="T2" s="37"/>
    </row>
    <row r="3" spans="1:20" hidden="1" x14ac:dyDescent="0.25">
      <c r="A3">
        <f>1</f>
        <v>1</v>
      </c>
      <c r="B3" s="17"/>
      <c r="C3" s="2"/>
      <c r="D3" s="2"/>
      <c r="E3" s="38"/>
      <c r="F3" s="2"/>
      <c r="G3" s="2"/>
      <c r="H3" s="38"/>
      <c r="I3" s="2"/>
      <c r="J3" s="2"/>
      <c r="K3" s="38"/>
      <c r="L3" s="2"/>
      <c r="M3" s="2"/>
      <c r="N3" s="38"/>
      <c r="O3" s="2"/>
      <c r="P3" s="2"/>
      <c r="Q3" s="38"/>
      <c r="R3" s="2"/>
      <c r="S3" s="2"/>
      <c r="T3" s="38"/>
    </row>
    <row r="4" spans="1:20" hidden="1" x14ac:dyDescent="0.25">
      <c r="A4">
        <f>2</f>
        <v>2</v>
      </c>
      <c r="B4" s="18"/>
      <c r="C4" s="4"/>
      <c r="D4" s="4"/>
      <c r="E4" s="39"/>
      <c r="F4" s="4"/>
      <c r="G4" s="4"/>
      <c r="H4" s="39"/>
      <c r="I4" s="4"/>
      <c r="J4" s="4"/>
      <c r="K4" s="39"/>
      <c r="L4" s="4"/>
      <c r="M4" s="4"/>
      <c r="N4" s="39"/>
      <c r="O4" s="4"/>
      <c r="P4" s="4"/>
      <c r="Q4" s="39"/>
      <c r="R4" s="4"/>
      <c r="S4" s="4"/>
      <c r="T4" s="39"/>
    </row>
    <row r="5" spans="1:20" hidden="1" x14ac:dyDescent="0.25">
      <c r="A5">
        <f>3</f>
        <v>3</v>
      </c>
      <c r="B5" s="19"/>
      <c r="C5" s="5"/>
      <c r="D5" s="5"/>
      <c r="E5" s="40"/>
      <c r="F5" s="5"/>
      <c r="G5" s="5"/>
      <c r="H5" s="40"/>
      <c r="I5" s="5"/>
      <c r="J5" s="5"/>
      <c r="K5" s="40"/>
      <c r="L5" s="5"/>
      <c r="M5" s="5"/>
      <c r="N5" s="40"/>
      <c r="O5" s="5"/>
      <c r="P5" s="5"/>
      <c r="Q5" s="40"/>
      <c r="R5" s="5"/>
      <c r="S5" s="5"/>
      <c r="T5" s="40"/>
    </row>
    <row r="6" spans="1:20" hidden="1" x14ac:dyDescent="0.25">
      <c r="A6" t="s">
        <v>13</v>
      </c>
      <c r="B6" s="17"/>
      <c r="C6" s="2"/>
      <c r="D6" s="2"/>
      <c r="E6" s="38"/>
      <c r="F6" s="2"/>
      <c r="G6" s="2"/>
      <c r="H6" s="38"/>
      <c r="I6" s="2"/>
      <c r="J6" s="2"/>
      <c r="K6" s="38"/>
      <c r="L6" s="2"/>
      <c r="M6" s="2"/>
      <c r="N6" s="38"/>
      <c r="O6" s="2"/>
      <c r="P6" s="2"/>
      <c r="Q6" s="38"/>
      <c r="R6" s="2"/>
      <c r="S6" s="2"/>
      <c r="T6" s="38"/>
    </row>
    <row r="7" spans="1:20" hidden="1" x14ac:dyDescent="0.25">
      <c r="A7" t="s">
        <v>14</v>
      </c>
      <c r="B7" s="20"/>
      <c r="C7" s="3"/>
      <c r="D7" s="3"/>
      <c r="E7" s="41"/>
      <c r="F7" s="3"/>
      <c r="G7" s="3"/>
      <c r="H7" s="41"/>
      <c r="I7" s="3"/>
      <c r="J7" s="3"/>
      <c r="K7" s="41"/>
      <c r="L7" s="3"/>
      <c r="M7" s="3"/>
      <c r="N7" s="41"/>
      <c r="O7" s="3"/>
      <c r="P7" s="3"/>
      <c r="Q7" s="41"/>
      <c r="R7" s="3"/>
      <c r="S7" s="3"/>
      <c r="T7" s="41"/>
    </row>
    <row r="8" spans="1:20" hidden="1" x14ac:dyDescent="0.25">
      <c r="A8" t="s">
        <v>16</v>
      </c>
    </row>
    <row r="9" spans="1:20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42"/>
      <c r="F10" s="9"/>
      <c r="G10" s="9"/>
      <c r="H10" s="42"/>
      <c r="I10" s="9"/>
      <c r="J10" s="9"/>
      <c r="K10" s="42"/>
      <c r="L10" s="9"/>
      <c r="M10" s="9"/>
      <c r="N10" s="42"/>
      <c r="O10" s="9"/>
      <c r="P10" s="9"/>
      <c r="Q10" s="42"/>
      <c r="R10" s="9"/>
      <c r="S10" s="9"/>
      <c r="T10" s="42"/>
    </row>
    <row r="11" spans="1:20" x14ac:dyDescent="0.25">
      <c r="B11" s="9"/>
      <c r="C11" s="9"/>
      <c r="D11" s="9"/>
      <c r="E11" s="42"/>
      <c r="F11" s="9"/>
      <c r="G11" s="9"/>
      <c r="H11" s="42"/>
      <c r="I11" s="9"/>
      <c r="J11" s="9"/>
      <c r="K11" s="42"/>
      <c r="L11" s="9"/>
      <c r="M11" s="9"/>
      <c r="N11" s="42"/>
      <c r="O11" s="9"/>
      <c r="P11" s="9"/>
      <c r="Q11" s="42"/>
      <c r="R11" s="9"/>
      <c r="S11" s="9"/>
      <c r="T11" s="42"/>
    </row>
    <row r="12" spans="1:20" x14ac:dyDescent="0.25">
      <c r="B12" s="9"/>
      <c r="C12" s="9"/>
      <c r="D12" s="9"/>
      <c r="E12" s="42"/>
      <c r="F12" s="9"/>
      <c r="G12" s="9"/>
      <c r="H12" s="42"/>
      <c r="I12" s="9"/>
      <c r="J12" s="9"/>
      <c r="K12" s="42"/>
      <c r="L12" s="9"/>
      <c r="M12" s="9"/>
      <c r="N12" s="42"/>
      <c r="O12" s="9"/>
      <c r="P12" s="9"/>
      <c r="Q12" s="42"/>
      <c r="R12" s="9"/>
      <c r="S12" s="9"/>
      <c r="T12" s="42"/>
    </row>
    <row r="13" spans="1:20" x14ac:dyDescent="0.25">
      <c r="B13" s="9"/>
      <c r="C13" s="9"/>
      <c r="D13" s="9"/>
      <c r="E13" s="42"/>
      <c r="F13" s="9"/>
      <c r="G13" s="9"/>
      <c r="H13" s="42"/>
      <c r="I13" s="9"/>
      <c r="J13" s="9"/>
      <c r="K13" s="42"/>
      <c r="L13" s="9"/>
      <c r="M13" s="9"/>
      <c r="N13" s="42"/>
      <c r="O13" s="9"/>
      <c r="P13" s="9"/>
      <c r="Q13" s="42"/>
      <c r="R13" s="9"/>
      <c r="S13" s="9"/>
      <c r="T13" s="42"/>
    </row>
    <row r="14" spans="1:20" hidden="1" x14ac:dyDescent="0.25">
      <c r="B14" s="9"/>
      <c r="C14" s="9"/>
      <c r="D14" s="9"/>
      <c r="E14" s="42"/>
      <c r="F14" s="9"/>
      <c r="G14" s="9"/>
      <c r="H14" s="42"/>
      <c r="I14" s="9"/>
      <c r="J14" s="9"/>
      <c r="K14" s="42"/>
      <c r="L14" s="9"/>
      <c r="M14" s="9"/>
      <c r="N14" s="42"/>
      <c r="O14" s="9"/>
      <c r="P14" s="9"/>
      <c r="Q14" s="42"/>
      <c r="R14" s="9"/>
      <c r="S14" s="9"/>
      <c r="T14" s="42"/>
    </row>
    <row r="15" spans="1:20" hidden="1" x14ac:dyDescent="0.25">
      <c r="B15" s="9"/>
      <c r="C15" s="9"/>
      <c r="D15" s="9"/>
      <c r="E15" s="42"/>
      <c r="F15" s="9"/>
      <c r="G15" s="9"/>
      <c r="H15" s="42"/>
      <c r="I15" s="9"/>
      <c r="J15" s="9"/>
      <c r="K15" s="42"/>
      <c r="L15" s="9"/>
      <c r="M15" s="9"/>
      <c r="N15" s="42"/>
      <c r="O15" s="9"/>
      <c r="P15" s="9"/>
      <c r="Q15" s="42"/>
      <c r="R15" s="9"/>
      <c r="S15" s="9"/>
      <c r="T15" s="42"/>
    </row>
    <row r="16" spans="1:20" x14ac:dyDescent="0.25">
      <c r="B16" s="8" t="s">
        <v>0</v>
      </c>
      <c r="C16" s="6" t="str">
        <f ca="1">QTY!C16</f>
        <v>Local currency</v>
      </c>
      <c r="D16" s="7"/>
      <c r="E16" s="43"/>
      <c r="F16" s="7"/>
      <c r="G16" s="7"/>
      <c r="H16" s="43"/>
      <c r="I16" s="7"/>
      <c r="J16" s="7"/>
      <c r="K16" s="43"/>
      <c r="L16" s="7"/>
      <c r="M16" s="7"/>
      <c r="N16" s="43"/>
      <c r="O16" s="7"/>
      <c r="P16" s="7"/>
      <c r="Q16" s="43"/>
      <c r="R16" s="7"/>
      <c r="S16" s="7"/>
      <c r="T16" s="43"/>
    </row>
    <row r="17" spans="1:20" x14ac:dyDescent="0.25">
      <c r="B17" s="8" t="s">
        <v>1</v>
      </c>
      <c r="C17" s="6" t="str">
        <f ca="1">QTY!C17</f>
        <v>SILVA</v>
      </c>
      <c r="D17" s="7"/>
      <c r="E17" s="43"/>
      <c r="F17" s="7"/>
      <c r="G17" s="7"/>
      <c r="H17" s="43"/>
      <c r="I17" s="7"/>
      <c r="J17" s="7"/>
      <c r="K17" s="43"/>
      <c r="L17" s="7"/>
      <c r="M17" s="7"/>
      <c r="N17" s="43"/>
      <c r="O17" s="7"/>
      <c r="P17" s="7"/>
      <c r="Q17" s="43"/>
      <c r="R17" s="7"/>
      <c r="S17" s="7"/>
      <c r="T17" s="43"/>
    </row>
    <row r="18" spans="1:20" x14ac:dyDescent="0.25">
      <c r="B18" s="8" t="s">
        <v>2</v>
      </c>
      <c r="C18" s="6" t="str">
        <f ca="1">QTY!C18</f>
        <v>TOTAL PRODUCT</v>
      </c>
      <c r="D18" s="7"/>
      <c r="E18" s="43"/>
      <c r="F18" s="7"/>
      <c r="G18" s="7"/>
      <c r="H18" s="43"/>
      <c r="I18" s="7"/>
      <c r="J18" s="7"/>
      <c r="K18" s="43"/>
      <c r="L18" s="7"/>
      <c r="M18" s="7"/>
      <c r="N18" s="43"/>
      <c r="O18" s="7"/>
      <c r="P18" s="7"/>
      <c r="Q18" s="43"/>
      <c r="R18" s="7"/>
      <c r="S18" s="7"/>
      <c r="T18" s="43"/>
    </row>
    <row r="19" spans="1:20" ht="21" x14ac:dyDescent="0.35">
      <c r="B19" s="8" t="s">
        <v>3</v>
      </c>
      <c r="C19" s="6" t="str">
        <f ca="1">QTY!C19</f>
        <v>99 - Kuhn Group</v>
      </c>
      <c r="D19" s="7"/>
      <c r="E19" s="43"/>
      <c r="F19" s="7"/>
      <c r="G19" s="7"/>
      <c r="H19" s="43"/>
      <c r="I19" s="7"/>
      <c r="J19" s="10" t="s">
        <v>20</v>
      </c>
      <c r="K19" s="43"/>
      <c r="L19" s="7"/>
      <c r="M19" s="7"/>
      <c r="N19" s="43"/>
      <c r="O19" s="7"/>
      <c r="P19" s="7"/>
      <c r="Q19" s="43"/>
      <c r="R19" s="7"/>
      <c r="S19" s="7"/>
      <c r="T19" s="43"/>
    </row>
    <row r="20" spans="1:20" x14ac:dyDescent="0.25">
      <c r="B20" s="7"/>
      <c r="C20" s="7"/>
      <c r="D20" s="7"/>
      <c r="E20" s="43"/>
      <c r="F20" s="7"/>
      <c r="G20" s="7"/>
      <c r="H20" s="43"/>
      <c r="I20" s="7"/>
      <c r="J20" s="7"/>
      <c r="K20" s="43"/>
      <c r="L20" s="7"/>
      <c r="M20" s="7"/>
      <c r="N20" s="43"/>
      <c r="O20" s="7"/>
      <c r="P20" s="7"/>
      <c r="Q20" s="43"/>
      <c r="R20" s="7"/>
      <c r="S20" s="7"/>
      <c r="T20" s="43"/>
    </row>
    <row r="21" spans="1:20" x14ac:dyDescent="0.25">
      <c r="B21" s="7"/>
      <c r="C21" s="7"/>
      <c r="D21" s="7"/>
      <c r="E21" s="43"/>
      <c r="F21" s="7"/>
      <c r="G21" s="7"/>
      <c r="H21" s="43"/>
      <c r="I21" s="7"/>
      <c r="J21" s="7"/>
      <c r="K21" s="43"/>
      <c r="L21" s="7"/>
      <c r="M21" s="7"/>
      <c r="N21" s="43"/>
      <c r="O21" s="7"/>
      <c r="P21" s="7"/>
      <c r="Q21" s="43"/>
      <c r="R21" s="7"/>
      <c r="S21" s="7"/>
      <c r="T21" s="43"/>
    </row>
    <row r="22" spans="1:20" x14ac:dyDescent="0.25">
      <c r="B22" s="7"/>
      <c r="C22" s="58" t="str">
        <f ca="1">QTY!C22</f>
        <v>AC2016</v>
      </c>
      <c r="D22" s="56"/>
      <c r="E22" s="57"/>
      <c r="F22" s="58" t="str">
        <f ca="1">QTY!F22</f>
        <v>FC3_2017</v>
      </c>
      <c r="G22" s="56"/>
      <c r="H22" s="57"/>
      <c r="I22" s="58" t="str">
        <f ca="1">QTY!I22</f>
        <v>PL2018 (update 2017)</v>
      </c>
      <c r="J22" s="56"/>
      <c r="K22" s="57"/>
      <c r="L22" s="58" t="str">
        <f ca="1">QTY!L22</f>
        <v>PL2019 (update 2017)</v>
      </c>
      <c r="M22" s="56"/>
      <c r="N22" s="57"/>
      <c r="O22" s="58" t="str">
        <f ca="1">QTY!O22</f>
        <v>PL2020 (update 2017)</v>
      </c>
      <c r="P22" s="56"/>
      <c r="Q22" s="57"/>
      <c r="R22" s="56" t="str">
        <f ca="1">QTY!R22</f>
        <v>PL2021 (update 2017)</v>
      </c>
      <c r="S22" s="56"/>
      <c r="T22" s="57"/>
    </row>
    <row r="23" spans="1:20" x14ac:dyDescent="0.25">
      <c r="B23" s="7"/>
      <c r="C23" s="11"/>
      <c r="D23" s="12"/>
      <c r="E23" s="44"/>
      <c r="F23" s="11"/>
      <c r="G23" s="12"/>
      <c r="H23" s="44"/>
      <c r="I23" s="11"/>
      <c r="J23" s="12"/>
      <c r="K23" s="44"/>
      <c r="L23" s="11"/>
      <c r="M23" s="12"/>
      <c r="N23" s="44"/>
      <c r="O23" s="11"/>
      <c r="P23" s="12"/>
      <c r="Q23" s="44"/>
      <c r="R23" s="12"/>
      <c r="S23" s="12"/>
      <c r="T23" s="44"/>
    </row>
    <row r="24" spans="1:20" x14ac:dyDescent="0.25">
      <c r="B24" s="7"/>
      <c r="C24" s="11" t="str">
        <f ca="1">QTY!C24</f>
        <v>KUHN_Scope</v>
      </c>
      <c r="D24" s="12" t="str">
        <f ca="1">QTY!D24</f>
        <v>KUHN Sales</v>
      </c>
      <c r="E24" s="45" t="s">
        <v>17</v>
      </c>
      <c r="F24" s="11" t="str">
        <f ca="1">QTY!F24</f>
        <v>KUHN_Scope</v>
      </c>
      <c r="G24" s="12" t="str">
        <f ca="1">QTY!G24</f>
        <v>KUHN Sales</v>
      </c>
      <c r="H24" s="45" t="s">
        <v>17</v>
      </c>
      <c r="I24" s="11" t="str">
        <f ca="1">QTY!I24</f>
        <v>KUHN_Scope</v>
      </c>
      <c r="J24" s="12" t="str">
        <f ca="1">QTY!J24</f>
        <v>KUHN Sales</v>
      </c>
      <c r="K24" s="45" t="s">
        <v>17</v>
      </c>
      <c r="L24" s="11" t="str">
        <f ca="1">QTY!L24</f>
        <v>KUHN_Scope</v>
      </c>
      <c r="M24" s="12" t="str">
        <f ca="1">QTY!M24</f>
        <v>KUHN Sales</v>
      </c>
      <c r="N24" s="45" t="s">
        <v>17</v>
      </c>
      <c r="O24" s="11" t="str">
        <f ca="1">QTY!O24</f>
        <v>KUHN_Scope</v>
      </c>
      <c r="P24" s="12" t="str">
        <f ca="1">QTY!P24</f>
        <v>KUHN Sales</v>
      </c>
      <c r="Q24" s="45" t="s">
        <v>17</v>
      </c>
      <c r="R24" s="12" t="str">
        <f ca="1">QTY!R24</f>
        <v>KUHN_Scope</v>
      </c>
      <c r="S24" s="12" t="str">
        <f ca="1">QTY!S24</f>
        <v>KUHN Sales</v>
      </c>
      <c r="T24" s="45" t="s">
        <v>17</v>
      </c>
    </row>
    <row r="25" spans="1:20" x14ac:dyDescent="0.25">
      <c r="B25" s="7"/>
      <c r="C25" s="13" t="s">
        <v>18</v>
      </c>
      <c r="D25" s="14" t="s">
        <v>18</v>
      </c>
      <c r="E25" s="46"/>
      <c r="F25" s="13" t="s">
        <v>18</v>
      </c>
      <c r="G25" s="14" t="s">
        <v>18</v>
      </c>
      <c r="H25" s="46"/>
      <c r="I25" s="13" t="s">
        <v>18</v>
      </c>
      <c r="J25" s="14" t="s">
        <v>18</v>
      </c>
      <c r="K25" s="46"/>
      <c r="L25" s="13" t="s">
        <v>18</v>
      </c>
      <c r="M25" s="14" t="s">
        <v>18</v>
      </c>
      <c r="N25" s="46"/>
      <c r="O25" s="13" t="s">
        <v>18</v>
      </c>
      <c r="P25" s="14" t="s">
        <v>18</v>
      </c>
      <c r="Q25" s="46"/>
      <c r="R25" s="14" t="s">
        <v>18</v>
      </c>
      <c r="S25" s="14" t="s">
        <v>18</v>
      </c>
      <c r="T25" s="46"/>
    </row>
    <row r="26" spans="1:20" x14ac:dyDescent="0.25">
      <c r="A26" t="str">
        <f ca="1">IF(_xll.TM1RPTELISCONSOLIDATED($B$26,$B26),IF(_xll.TM1RPTELLEV($B$26,$B26)&lt;=3,_xll.TM1RPTELLEV($B$26,$B26),"D"),"N")</f>
        <v>N</v>
      </c>
      <c r="B26" s="15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7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7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7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7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7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7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21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8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8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8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8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8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8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21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8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8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8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8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8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8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21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8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8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8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8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8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8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21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8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8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8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8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8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8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21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8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8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8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8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8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8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21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8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8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8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8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8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8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21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8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8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8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8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8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8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21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8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8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8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8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8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8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Comments</vt:lpstr>
      <vt:lpstr>Unit Price</vt:lpstr>
      <vt:lpstr>Sales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2022-01-28T09:18:53Z</dcterms:modified>
</cp:coreProperties>
</file>