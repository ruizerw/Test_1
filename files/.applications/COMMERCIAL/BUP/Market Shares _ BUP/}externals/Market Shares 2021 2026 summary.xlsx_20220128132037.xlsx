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drawings/drawing3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drawings/drawing4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v191\Desktop\"/>
    </mc:Choice>
  </mc:AlternateContent>
  <bookViews>
    <workbookView xWindow="0" yWindow="0" windowWidth="12240" windowHeight="5505"/>
  </bookViews>
  <sheets>
    <sheet name="QTY" sheetId="1" r:id="rId1"/>
    <sheet name="Unit Price" sheetId="4" r:id="rId2"/>
    <sheet name="Sales" sheetId="5" r:id="rId3"/>
    <sheet name="{AR}01" sheetId="2" state="hidden" r:id="rId4"/>
    <sheet name="{AR}11" sheetId="3" state="hidden" r:id="rId5"/>
    <sheet name="Comments" sheetId="6" r:id="rId6"/>
    <sheet name="{AR}21" sheetId="7" state="hidden" r:id="rId7"/>
    <sheet name="{AR}31" sheetId="8" state="hidden" r:id="rId8"/>
  </sheets>
  <definedNames>
    <definedName name="TM1REBUILDOPTION">1</definedName>
    <definedName name="TM1RPTDATARNGARPT1" localSheetId="5">Comments!$22:$228</definedName>
    <definedName name="TM1RPTDATARNGARPT1" localSheetId="0">QTY!$23:$23</definedName>
    <definedName name="TM1RPTDATARNGARPT1" localSheetId="2">Sales!$23:$23</definedName>
    <definedName name="TM1RPTDATARNGARPT1" localSheetId="1">'Unit Price'!$23:$23</definedName>
    <definedName name="TM1RPTFMTIDCOL" localSheetId="5">Comments!$A$1:$A$8</definedName>
    <definedName name="TM1RPTFMTIDCOL" localSheetId="0">QTY!$A$1:$A$8</definedName>
    <definedName name="TM1RPTFMTIDCOL" localSheetId="2">Sales!$A$1:$A$8</definedName>
    <definedName name="TM1RPTFMTIDCOL" localSheetId="1">'Unit Price'!$A$1:$A$8</definedName>
    <definedName name="TM1RPTFMTRNG" localSheetId="5">Comments!$B$1:$Q$8</definedName>
    <definedName name="TM1RPTFMTRNG" localSheetId="0">QTY!$B$1:$W$8</definedName>
    <definedName name="TM1RPTFMTRNG" localSheetId="2">Sales!$B$1:$W$8</definedName>
    <definedName name="TM1RPTFMTRNG" localSheetId="1">'Unit Price'!$B$1:$W$8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28" i="6" l="1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B9" i="6"/>
  <c r="C14" i="6"/>
  <c r="C15" i="6"/>
  <c r="V20" i="1"/>
  <c r="P19" i="6"/>
  <c r="C15" i="1"/>
  <c r="C16" i="6"/>
  <c r="Q228" i="6"/>
  <c r="P228" i="6"/>
  <c r="S20" i="1"/>
  <c r="N19" i="6"/>
  <c r="O228" i="6"/>
  <c r="N228" i="6"/>
  <c r="P20" i="1"/>
  <c r="L19" i="6"/>
  <c r="M228" i="6"/>
  <c r="L228" i="6"/>
  <c r="M20" i="1"/>
  <c r="J19" i="6"/>
  <c r="K228" i="6"/>
  <c r="J228" i="6"/>
  <c r="J20" i="1"/>
  <c r="H19" i="6"/>
  <c r="I228" i="6"/>
  <c r="H228" i="6"/>
  <c r="G20" i="1"/>
  <c r="F19" i="6"/>
  <c r="G228" i="6"/>
  <c r="F228" i="6"/>
  <c r="D20" i="1"/>
  <c r="D19" i="6"/>
  <c r="E228" i="6"/>
  <c r="D228" i="6"/>
  <c r="Q227" i="6"/>
  <c r="P227" i="6"/>
  <c r="O227" i="6"/>
  <c r="N227" i="6"/>
  <c r="M227" i="6"/>
  <c r="L227" i="6"/>
  <c r="K227" i="6"/>
  <c r="J227" i="6"/>
  <c r="I227" i="6"/>
  <c r="H227" i="6"/>
  <c r="G227" i="6"/>
  <c r="F227" i="6"/>
  <c r="E227" i="6"/>
  <c r="D227" i="6"/>
  <c r="Q226" i="6"/>
  <c r="P226" i="6"/>
  <c r="O226" i="6"/>
  <c r="N226" i="6"/>
  <c r="M226" i="6"/>
  <c r="L226" i="6"/>
  <c r="K226" i="6"/>
  <c r="J226" i="6"/>
  <c r="I226" i="6"/>
  <c r="H226" i="6"/>
  <c r="G226" i="6"/>
  <c r="F226" i="6"/>
  <c r="E226" i="6"/>
  <c r="D226" i="6"/>
  <c r="Q225" i="6"/>
  <c r="P225" i="6"/>
  <c r="O225" i="6"/>
  <c r="N225" i="6"/>
  <c r="M225" i="6"/>
  <c r="L225" i="6"/>
  <c r="K225" i="6"/>
  <c r="J225" i="6"/>
  <c r="I225" i="6"/>
  <c r="H225" i="6"/>
  <c r="G225" i="6"/>
  <c r="F225" i="6"/>
  <c r="E225" i="6"/>
  <c r="D225" i="6"/>
  <c r="Q224" i="6"/>
  <c r="P224" i="6"/>
  <c r="O224" i="6"/>
  <c r="N224" i="6"/>
  <c r="M224" i="6"/>
  <c r="L224" i="6"/>
  <c r="K224" i="6"/>
  <c r="J224" i="6"/>
  <c r="I224" i="6"/>
  <c r="H224" i="6"/>
  <c r="G224" i="6"/>
  <c r="F224" i="6"/>
  <c r="E224" i="6"/>
  <c r="D224" i="6"/>
  <c r="Q223" i="6"/>
  <c r="P223" i="6"/>
  <c r="O223" i="6"/>
  <c r="N223" i="6"/>
  <c r="M223" i="6"/>
  <c r="L223" i="6"/>
  <c r="K223" i="6"/>
  <c r="J223" i="6"/>
  <c r="I223" i="6"/>
  <c r="H223" i="6"/>
  <c r="G223" i="6"/>
  <c r="F223" i="6"/>
  <c r="E223" i="6"/>
  <c r="D223" i="6"/>
  <c r="Q222" i="6"/>
  <c r="P222" i="6"/>
  <c r="O222" i="6"/>
  <c r="N222" i="6"/>
  <c r="M222" i="6"/>
  <c r="L222" i="6"/>
  <c r="K222" i="6"/>
  <c r="J222" i="6"/>
  <c r="I222" i="6"/>
  <c r="H222" i="6"/>
  <c r="G222" i="6"/>
  <c r="F222" i="6"/>
  <c r="E222" i="6"/>
  <c r="D222" i="6"/>
  <c r="Q221" i="6"/>
  <c r="P221" i="6"/>
  <c r="O221" i="6"/>
  <c r="N221" i="6"/>
  <c r="M221" i="6"/>
  <c r="L221" i="6"/>
  <c r="K221" i="6"/>
  <c r="J221" i="6"/>
  <c r="I221" i="6"/>
  <c r="H221" i="6"/>
  <c r="G221" i="6"/>
  <c r="F221" i="6"/>
  <c r="E221" i="6"/>
  <c r="D221" i="6"/>
  <c r="Q220" i="6"/>
  <c r="P220" i="6"/>
  <c r="O220" i="6"/>
  <c r="N220" i="6"/>
  <c r="M220" i="6"/>
  <c r="L220" i="6"/>
  <c r="K220" i="6"/>
  <c r="J220" i="6"/>
  <c r="I220" i="6"/>
  <c r="H220" i="6"/>
  <c r="G220" i="6"/>
  <c r="F220" i="6"/>
  <c r="E220" i="6"/>
  <c r="D220" i="6"/>
  <c r="Q219" i="6"/>
  <c r="P219" i="6"/>
  <c r="O219" i="6"/>
  <c r="N219" i="6"/>
  <c r="M219" i="6"/>
  <c r="L219" i="6"/>
  <c r="K219" i="6"/>
  <c r="J219" i="6"/>
  <c r="I219" i="6"/>
  <c r="H219" i="6"/>
  <c r="G219" i="6"/>
  <c r="F219" i="6"/>
  <c r="E219" i="6"/>
  <c r="D219" i="6"/>
  <c r="Q218" i="6"/>
  <c r="P218" i="6"/>
  <c r="O218" i="6"/>
  <c r="N218" i="6"/>
  <c r="M218" i="6"/>
  <c r="L218" i="6"/>
  <c r="K218" i="6"/>
  <c r="J218" i="6"/>
  <c r="I218" i="6"/>
  <c r="H218" i="6"/>
  <c r="G218" i="6"/>
  <c r="F218" i="6"/>
  <c r="E218" i="6"/>
  <c r="D218" i="6"/>
  <c r="Q217" i="6"/>
  <c r="P217" i="6"/>
  <c r="O217" i="6"/>
  <c r="N217" i="6"/>
  <c r="M217" i="6"/>
  <c r="L217" i="6"/>
  <c r="K217" i="6"/>
  <c r="J217" i="6"/>
  <c r="I217" i="6"/>
  <c r="H217" i="6"/>
  <c r="G217" i="6"/>
  <c r="F217" i="6"/>
  <c r="E217" i="6"/>
  <c r="D217" i="6"/>
  <c r="Q216" i="6"/>
  <c r="P216" i="6"/>
  <c r="O216" i="6"/>
  <c r="N216" i="6"/>
  <c r="M216" i="6"/>
  <c r="L216" i="6"/>
  <c r="K216" i="6"/>
  <c r="J216" i="6"/>
  <c r="I216" i="6"/>
  <c r="H216" i="6"/>
  <c r="G216" i="6"/>
  <c r="F216" i="6"/>
  <c r="E216" i="6"/>
  <c r="D216" i="6"/>
  <c r="Q215" i="6"/>
  <c r="P215" i="6"/>
  <c r="O215" i="6"/>
  <c r="N215" i="6"/>
  <c r="M215" i="6"/>
  <c r="L215" i="6"/>
  <c r="K215" i="6"/>
  <c r="J215" i="6"/>
  <c r="I215" i="6"/>
  <c r="H215" i="6"/>
  <c r="G215" i="6"/>
  <c r="F215" i="6"/>
  <c r="E215" i="6"/>
  <c r="D215" i="6"/>
  <c r="Q214" i="6"/>
  <c r="P214" i="6"/>
  <c r="O214" i="6"/>
  <c r="N214" i="6"/>
  <c r="M214" i="6"/>
  <c r="L214" i="6"/>
  <c r="K214" i="6"/>
  <c r="J214" i="6"/>
  <c r="I214" i="6"/>
  <c r="H214" i="6"/>
  <c r="G214" i="6"/>
  <c r="F214" i="6"/>
  <c r="E214" i="6"/>
  <c r="D214" i="6"/>
  <c r="Q213" i="6"/>
  <c r="P213" i="6"/>
  <c r="O213" i="6"/>
  <c r="N213" i="6"/>
  <c r="M213" i="6"/>
  <c r="L213" i="6"/>
  <c r="K213" i="6"/>
  <c r="J213" i="6"/>
  <c r="I213" i="6"/>
  <c r="H213" i="6"/>
  <c r="G213" i="6"/>
  <c r="F213" i="6"/>
  <c r="E213" i="6"/>
  <c r="D213" i="6"/>
  <c r="Q212" i="6"/>
  <c r="P212" i="6"/>
  <c r="O212" i="6"/>
  <c r="N212" i="6"/>
  <c r="M212" i="6"/>
  <c r="L212" i="6"/>
  <c r="K212" i="6"/>
  <c r="J212" i="6"/>
  <c r="I212" i="6"/>
  <c r="H212" i="6"/>
  <c r="G212" i="6"/>
  <c r="F212" i="6"/>
  <c r="E212" i="6"/>
  <c r="D212" i="6"/>
  <c r="Q211" i="6"/>
  <c r="P211" i="6"/>
  <c r="O211" i="6"/>
  <c r="N211" i="6"/>
  <c r="M211" i="6"/>
  <c r="L211" i="6"/>
  <c r="K211" i="6"/>
  <c r="J211" i="6"/>
  <c r="I211" i="6"/>
  <c r="H211" i="6"/>
  <c r="G211" i="6"/>
  <c r="F211" i="6"/>
  <c r="E211" i="6"/>
  <c r="D211" i="6"/>
  <c r="Q210" i="6"/>
  <c r="P210" i="6"/>
  <c r="O210" i="6"/>
  <c r="N210" i="6"/>
  <c r="M210" i="6"/>
  <c r="L210" i="6"/>
  <c r="K210" i="6"/>
  <c r="J210" i="6"/>
  <c r="I210" i="6"/>
  <c r="H210" i="6"/>
  <c r="G210" i="6"/>
  <c r="F210" i="6"/>
  <c r="E210" i="6"/>
  <c r="D210" i="6"/>
  <c r="Q209" i="6"/>
  <c r="P209" i="6"/>
  <c r="O209" i="6"/>
  <c r="N209" i="6"/>
  <c r="M209" i="6"/>
  <c r="L209" i="6"/>
  <c r="K209" i="6"/>
  <c r="J209" i="6"/>
  <c r="I209" i="6"/>
  <c r="H209" i="6"/>
  <c r="G209" i="6"/>
  <c r="F209" i="6"/>
  <c r="E209" i="6"/>
  <c r="D209" i="6"/>
  <c r="Q208" i="6"/>
  <c r="P208" i="6"/>
  <c r="O208" i="6"/>
  <c r="N208" i="6"/>
  <c r="M208" i="6"/>
  <c r="L208" i="6"/>
  <c r="K208" i="6"/>
  <c r="J208" i="6"/>
  <c r="I208" i="6"/>
  <c r="H208" i="6"/>
  <c r="G208" i="6"/>
  <c r="F208" i="6"/>
  <c r="E208" i="6"/>
  <c r="D208" i="6"/>
  <c r="Q207" i="6"/>
  <c r="P207" i="6"/>
  <c r="O207" i="6"/>
  <c r="N207" i="6"/>
  <c r="M207" i="6"/>
  <c r="L207" i="6"/>
  <c r="K207" i="6"/>
  <c r="J207" i="6"/>
  <c r="I207" i="6"/>
  <c r="H207" i="6"/>
  <c r="G207" i="6"/>
  <c r="F207" i="6"/>
  <c r="E207" i="6"/>
  <c r="D207" i="6"/>
  <c r="Q206" i="6"/>
  <c r="P206" i="6"/>
  <c r="O206" i="6"/>
  <c r="N206" i="6"/>
  <c r="M206" i="6"/>
  <c r="L206" i="6"/>
  <c r="K206" i="6"/>
  <c r="J206" i="6"/>
  <c r="I206" i="6"/>
  <c r="H206" i="6"/>
  <c r="G206" i="6"/>
  <c r="F206" i="6"/>
  <c r="E206" i="6"/>
  <c r="D206" i="6"/>
  <c r="Q205" i="6"/>
  <c r="P205" i="6"/>
  <c r="O205" i="6"/>
  <c r="N205" i="6"/>
  <c r="M205" i="6"/>
  <c r="L205" i="6"/>
  <c r="K205" i="6"/>
  <c r="J205" i="6"/>
  <c r="I205" i="6"/>
  <c r="H205" i="6"/>
  <c r="G205" i="6"/>
  <c r="F205" i="6"/>
  <c r="E205" i="6"/>
  <c r="D205" i="6"/>
  <c r="Q204" i="6"/>
  <c r="P204" i="6"/>
  <c r="O204" i="6"/>
  <c r="N204" i="6"/>
  <c r="M204" i="6"/>
  <c r="L204" i="6"/>
  <c r="K204" i="6"/>
  <c r="J204" i="6"/>
  <c r="I204" i="6"/>
  <c r="H204" i="6"/>
  <c r="G204" i="6"/>
  <c r="F204" i="6"/>
  <c r="E204" i="6"/>
  <c r="D204" i="6"/>
  <c r="Q203" i="6"/>
  <c r="P203" i="6"/>
  <c r="O203" i="6"/>
  <c r="N203" i="6"/>
  <c r="M203" i="6"/>
  <c r="L203" i="6"/>
  <c r="K203" i="6"/>
  <c r="J203" i="6"/>
  <c r="I203" i="6"/>
  <c r="H203" i="6"/>
  <c r="G203" i="6"/>
  <c r="F203" i="6"/>
  <c r="E203" i="6"/>
  <c r="D203" i="6"/>
  <c r="Q202" i="6"/>
  <c r="P202" i="6"/>
  <c r="O202" i="6"/>
  <c r="N202" i="6"/>
  <c r="M202" i="6"/>
  <c r="L202" i="6"/>
  <c r="K202" i="6"/>
  <c r="J202" i="6"/>
  <c r="I202" i="6"/>
  <c r="H202" i="6"/>
  <c r="G202" i="6"/>
  <c r="F202" i="6"/>
  <c r="E202" i="6"/>
  <c r="D202" i="6"/>
  <c r="Q201" i="6"/>
  <c r="P201" i="6"/>
  <c r="O201" i="6"/>
  <c r="N201" i="6"/>
  <c r="M201" i="6"/>
  <c r="L201" i="6"/>
  <c r="K201" i="6"/>
  <c r="J201" i="6"/>
  <c r="I201" i="6"/>
  <c r="H201" i="6"/>
  <c r="G201" i="6"/>
  <c r="F201" i="6"/>
  <c r="E201" i="6"/>
  <c r="D201" i="6"/>
  <c r="Q200" i="6"/>
  <c r="P200" i="6"/>
  <c r="O200" i="6"/>
  <c r="N200" i="6"/>
  <c r="M200" i="6"/>
  <c r="L200" i="6"/>
  <c r="K200" i="6"/>
  <c r="J200" i="6"/>
  <c r="I200" i="6"/>
  <c r="H200" i="6"/>
  <c r="G200" i="6"/>
  <c r="F200" i="6"/>
  <c r="E200" i="6"/>
  <c r="D200" i="6"/>
  <c r="Q199" i="6"/>
  <c r="P199" i="6"/>
  <c r="O199" i="6"/>
  <c r="N199" i="6"/>
  <c r="M199" i="6"/>
  <c r="L199" i="6"/>
  <c r="K199" i="6"/>
  <c r="J199" i="6"/>
  <c r="I199" i="6"/>
  <c r="H199" i="6"/>
  <c r="G199" i="6"/>
  <c r="F199" i="6"/>
  <c r="E199" i="6"/>
  <c r="D199" i="6"/>
  <c r="Q198" i="6"/>
  <c r="P198" i="6"/>
  <c r="O198" i="6"/>
  <c r="N198" i="6"/>
  <c r="M198" i="6"/>
  <c r="L198" i="6"/>
  <c r="K198" i="6"/>
  <c r="J198" i="6"/>
  <c r="I198" i="6"/>
  <c r="H198" i="6"/>
  <c r="G198" i="6"/>
  <c r="F198" i="6"/>
  <c r="E198" i="6"/>
  <c r="D198" i="6"/>
  <c r="Q197" i="6"/>
  <c r="P197" i="6"/>
  <c r="O197" i="6"/>
  <c r="N197" i="6"/>
  <c r="M197" i="6"/>
  <c r="L197" i="6"/>
  <c r="K197" i="6"/>
  <c r="J197" i="6"/>
  <c r="I197" i="6"/>
  <c r="H197" i="6"/>
  <c r="G197" i="6"/>
  <c r="F197" i="6"/>
  <c r="E197" i="6"/>
  <c r="D197" i="6"/>
  <c r="Q196" i="6"/>
  <c r="P196" i="6"/>
  <c r="O196" i="6"/>
  <c r="N196" i="6"/>
  <c r="M196" i="6"/>
  <c r="L196" i="6"/>
  <c r="K196" i="6"/>
  <c r="J196" i="6"/>
  <c r="I196" i="6"/>
  <c r="H196" i="6"/>
  <c r="G196" i="6"/>
  <c r="F196" i="6"/>
  <c r="E196" i="6"/>
  <c r="D196" i="6"/>
  <c r="Q195" i="6"/>
  <c r="P195" i="6"/>
  <c r="O195" i="6"/>
  <c r="N195" i="6"/>
  <c r="M195" i="6"/>
  <c r="L195" i="6"/>
  <c r="K195" i="6"/>
  <c r="J195" i="6"/>
  <c r="I195" i="6"/>
  <c r="H195" i="6"/>
  <c r="G195" i="6"/>
  <c r="F195" i="6"/>
  <c r="E195" i="6"/>
  <c r="D195" i="6"/>
  <c r="Q194" i="6"/>
  <c r="P194" i="6"/>
  <c r="O194" i="6"/>
  <c r="N194" i="6"/>
  <c r="M194" i="6"/>
  <c r="L194" i="6"/>
  <c r="K194" i="6"/>
  <c r="J194" i="6"/>
  <c r="I194" i="6"/>
  <c r="H194" i="6"/>
  <c r="G194" i="6"/>
  <c r="F194" i="6"/>
  <c r="E194" i="6"/>
  <c r="D194" i="6"/>
  <c r="Q193" i="6"/>
  <c r="P193" i="6"/>
  <c r="O193" i="6"/>
  <c r="N193" i="6"/>
  <c r="M193" i="6"/>
  <c r="L193" i="6"/>
  <c r="K193" i="6"/>
  <c r="J193" i="6"/>
  <c r="I193" i="6"/>
  <c r="H193" i="6"/>
  <c r="G193" i="6"/>
  <c r="F193" i="6"/>
  <c r="E193" i="6"/>
  <c r="D193" i="6"/>
  <c r="Q192" i="6"/>
  <c r="P192" i="6"/>
  <c r="O192" i="6"/>
  <c r="N192" i="6"/>
  <c r="M192" i="6"/>
  <c r="L192" i="6"/>
  <c r="K192" i="6"/>
  <c r="J192" i="6"/>
  <c r="I192" i="6"/>
  <c r="H192" i="6"/>
  <c r="G192" i="6"/>
  <c r="F192" i="6"/>
  <c r="E192" i="6"/>
  <c r="D192" i="6"/>
  <c r="Q191" i="6"/>
  <c r="P191" i="6"/>
  <c r="O191" i="6"/>
  <c r="N191" i="6"/>
  <c r="M191" i="6"/>
  <c r="L191" i="6"/>
  <c r="K191" i="6"/>
  <c r="J191" i="6"/>
  <c r="I191" i="6"/>
  <c r="H191" i="6"/>
  <c r="G191" i="6"/>
  <c r="F191" i="6"/>
  <c r="E191" i="6"/>
  <c r="D191" i="6"/>
  <c r="Q190" i="6"/>
  <c r="P190" i="6"/>
  <c r="O190" i="6"/>
  <c r="N190" i="6"/>
  <c r="M190" i="6"/>
  <c r="L190" i="6"/>
  <c r="K190" i="6"/>
  <c r="J190" i="6"/>
  <c r="I190" i="6"/>
  <c r="H190" i="6"/>
  <c r="G190" i="6"/>
  <c r="F190" i="6"/>
  <c r="E190" i="6"/>
  <c r="D190" i="6"/>
  <c r="Q189" i="6"/>
  <c r="P189" i="6"/>
  <c r="O189" i="6"/>
  <c r="N189" i="6"/>
  <c r="M189" i="6"/>
  <c r="L189" i="6"/>
  <c r="K189" i="6"/>
  <c r="J189" i="6"/>
  <c r="I189" i="6"/>
  <c r="H189" i="6"/>
  <c r="G189" i="6"/>
  <c r="F189" i="6"/>
  <c r="E189" i="6"/>
  <c r="D189" i="6"/>
  <c r="Q188" i="6"/>
  <c r="P188" i="6"/>
  <c r="O188" i="6"/>
  <c r="N188" i="6"/>
  <c r="M188" i="6"/>
  <c r="L188" i="6"/>
  <c r="K188" i="6"/>
  <c r="J188" i="6"/>
  <c r="I188" i="6"/>
  <c r="H188" i="6"/>
  <c r="G188" i="6"/>
  <c r="F188" i="6"/>
  <c r="E188" i="6"/>
  <c r="D188" i="6"/>
  <c r="Q187" i="6"/>
  <c r="P187" i="6"/>
  <c r="O187" i="6"/>
  <c r="N187" i="6"/>
  <c r="M187" i="6"/>
  <c r="L187" i="6"/>
  <c r="K187" i="6"/>
  <c r="J187" i="6"/>
  <c r="I187" i="6"/>
  <c r="H187" i="6"/>
  <c r="G187" i="6"/>
  <c r="F187" i="6"/>
  <c r="E187" i="6"/>
  <c r="D187" i="6"/>
  <c r="Q186" i="6"/>
  <c r="P186" i="6"/>
  <c r="O186" i="6"/>
  <c r="N186" i="6"/>
  <c r="M186" i="6"/>
  <c r="L186" i="6"/>
  <c r="K186" i="6"/>
  <c r="J186" i="6"/>
  <c r="I186" i="6"/>
  <c r="H186" i="6"/>
  <c r="G186" i="6"/>
  <c r="F186" i="6"/>
  <c r="E186" i="6"/>
  <c r="D186" i="6"/>
  <c r="Q185" i="6"/>
  <c r="P185" i="6"/>
  <c r="O185" i="6"/>
  <c r="N185" i="6"/>
  <c r="M185" i="6"/>
  <c r="L185" i="6"/>
  <c r="K185" i="6"/>
  <c r="J185" i="6"/>
  <c r="I185" i="6"/>
  <c r="H185" i="6"/>
  <c r="G185" i="6"/>
  <c r="F185" i="6"/>
  <c r="E185" i="6"/>
  <c r="D185" i="6"/>
  <c r="Q184" i="6"/>
  <c r="P184" i="6"/>
  <c r="O184" i="6"/>
  <c r="N184" i="6"/>
  <c r="M184" i="6"/>
  <c r="L184" i="6"/>
  <c r="K184" i="6"/>
  <c r="J184" i="6"/>
  <c r="I184" i="6"/>
  <c r="H184" i="6"/>
  <c r="G184" i="6"/>
  <c r="F184" i="6"/>
  <c r="E184" i="6"/>
  <c r="D184" i="6"/>
  <c r="Q183" i="6"/>
  <c r="P183" i="6"/>
  <c r="O183" i="6"/>
  <c r="N183" i="6"/>
  <c r="M183" i="6"/>
  <c r="L183" i="6"/>
  <c r="K183" i="6"/>
  <c r="J183" i="6"/>
  <c r="I183" i="6"/>
  <c r="H183" i="6"/>
  <c r="G183" i="6"/>
  <c r="F183" i="6"/>
  <c r="E183" i="6"/>
  <c r="D183" i="6"/>
  <c r="Q182" i="6"/>
  <c r="P182" i="6"/>
  <c r="O182" i="6"/>
  <c r="N182" i="6"/>
  <c r="M182" i="6"/>
  <c r="L182" i="6"/>
  <c r="K182" i="6"/>
  <c r="J182" i="6"/>
  <c r="I182" i="6"/>
  <c r="H182" i="6"/>
  <c r="G182" i="6"/>
  <c r="F182" i="6"/>
  <c r="E182" i="6"/>
  <c r="D182" i="6"/>
  <c r="Q181" i="6"/>
  <c r="P181" i="6"/>
  <c r="O181" i="6"/>
  <c r="N181" i="6"/>
  <c r="M181" i="6"/>
  <c r="L181" i="6"/>
  <c r="K181" i="6"/>
  <c r="J181" i="6"/>
  <c r="I181" i="6"/>
  <c r="H181" i="6"/>
  <c r="G181" i="6"/>
  <c r="F181" i="6"/>
  <c r="E181" i="6"/>
  <c r="D181" i="6"/>
  <c r="Q180" i="6"/>
  <c r="P180" i="6"/>
  <c r="O180" i="6"/>
  <c r="N180" i="6"/>
  <c r="M180" i="6"/>
  <c r="L180" i="6"/>
  <c r="K180" i="6"/>
  <c r="J180" i="6"/>
  <c r="I180" i="6"/>
  <c r="H180" i="6"/>
  <c r="G180" i="6"/>
  <c r="F180" i="6"/>
  <c r="E180" i="6"/>
  <c r="D180" i="6"/>
  <c r="Q179" i="6"/>
  <c r="P179" i="6"/>
  <c r="O179" i="6"/>
  <c r="N179" i="6"/>
  <c r="M179" i="6"/>
  <c r="L179" i="6"/>
  <c r="K179" i="6"/>
  <c r="J179" i="6"/>
  <c r="I179" i="6"/>
  <c r="H179" i="6"/>
  <c r="G179" i="6"/>
  <c r="F179" i="6"/>
  <c r="E179" i="6"/>
  <c r="D179" i="6"/>
  <c r="Q178" i="6"/>
  <c r="P178" i="6"/>
  <c r="O178" i="6"/>
  <c r="N178" i="6"/>
  <c r="M178" i="6"/>
  <c r="L178" i="6"/>
  <c r="K178" i="6"/>
  <c r="J178" i="6"/>
  <c r="I178" i="6"/>
  <c r="H178" i="6"/>
  <c r="G178" i="6"/>
  <c r="F178" i="6"/>
  <c r="E178" i="6"/>
  <c r="D178" i="6"/>
  <c r="Q177" i="6"/>
  <c r="P177" i="6"/>
  <c r="O177" i="6"/>
  <c r="N177" i="6"/>
  <c r="M177" i="6"/>
  <c r="L177" i="6"/>
  <c r="K177" i="6"/>
  <c r="J177" i="6"/>
  <c r="I177" i="6"/>
  <c r="H177" i="6"/>
  <c r="G177" i="6"/>
  <c r="F177" i="6"/>
  <c r="E177" i="6"/>
  <c r="D177" i="6"/>
  <c r="Q176" i="6"/>
  <c r="P176" i="6"/>
  <c r="O176" i="6"/>
  <c r="N176" i="6"/>
  <c r="M176" i="6"/>
  <c r="L176" i="6"/>
  <c r="K176" i="6"/>
  <c r="J176" i="6"/>
  <c r="I176" i="6"/>
  <c r="H176" i="6"/>
  <c r="G176" i="6"/>
  <c r="F176" i="6"/>
  <c r="E176" i="6"/>
  <c r="D176" i="6"/>
  <c r="Q175" i="6"/>
  <c r="P175" i="6"/>
  <c r="O175" i="6"/>
  <c r="N175" i="6"/>
  <c r="M175" i="6"/>
  <c r="L175" i="6"/>
  <c r="K175" i="6"/>
  <c r="J175" i="6"/>
  <c r="I175" i="6"/>
  <c r="H175" i="6"/>
  <c r="G175" i="6"/>
  <c r="F175" i="6"/>
  <c r="E175" i="6"/>
  <c r="D175" i="6"/>
  <c r="Q174" i="6"/>
  <c r="P174" i="6"/>
  <c r="O174" i="6"/>
  <c r="N174" i="6"/>
  <c r="M174" i="6"/>
  <c r="L174" i="6"/>
  <c r="K174" i="6"/>
  <c r="J174" i="6"/>
  <c r="I174" i="6"/>
  <c r="H174" i="6"/>
  <c r="G174" i="6"/>
  <c r="F174" i="6"/>
  <c r="E174" i="6"/>
  <c r="D174" i="6"/>
  <c r="Q173" i="6"/>
  <c r="P173" i="6"/>
  <c r="O173" i="6"/>
  <c r="N173" i="6"/>
  <c r="M173" i="6"/>
  <c r="L173" i="6"/>
  <c r="K173" i="6"/>
  <c r="J173" i="6"/>
  <c r="I173" i="6"/>
  <c r="H173" i="6"/>
  <c r="G173" i="6"/>
  <c r="F173" i="6"/>
  <c r="E173" i="6"/>
  <c r="D173" i="6"/>
  <c r="Q172" i="6"/>
  <c r="P172" i="6"/>
  <c r="O172" i="6"/>
  <c r="N172" i="6"/>
  <c r="M172" i="6"/>
  <c r="L172" i="6"/>
  <c r="K172" i="6"/>
  <c r="J172" i="6"/>
  <c r="I172" i="6"/>
  <c r="H172" i="6"/>
  <c r="G172" i="6"/>
  <c r="F172" i="6"/>
  <c r="E172" i="6"/>
  <c r="D172" i="6"/>
  <c r="Q171" i="6"/>
  <c r="P171" i="6"/>
  <c r="O171" i="6"/>
  <c r="N171" i="6"/>
  <c r="M171" i="6"/>
  <c r="L171" i="6"/>
  <c r="K171" i="6"/>
  <c r="J171" i="6"/>
  <c r="I171" i="6"/>
  <c r="H171" i="6"/>
  <c r="G171" i="6"/>
  <c r="F171" i="6"/>
  <c r="E171" i="6"/>
  <c r="D171" i="6"/>
  <c r="Q170" i="6"/>
  <c r="P170" i="6"/>
  <c r="O170" i="6"/>
  <c r="N170" i="6"/>
  <c r="M170" i="6"/>
  <c r="L170" i="6"/>
  <c r="K170" i="6"/>
  <c r="J170" i="6"/>
  <c r="I170" i="6"/>
  <c r="H170" i="6"/>
  <c r="G170" i="6"/>
  <c r="F170" i="6"/>
  <c r="E170" i="6"/>
  <c r="D170" i="6"/>
  <c r="Q169" i="6"/>
  <c r="P169" i="6"/>
  <c r="O169" i="6"/>
  <c r="N169" i="6"/>
  <c r="M169" i="6"/>
  <c r="L169" i="6"/>
  <c r="K169" i="6"/>
  <c r="J169" i="6"/>
  <c r="I169" i="6"/>
  <c r="H169" i="6"/>
  <c r="G169" i="6"/>
  <c r="F169" i="6"/>
  <c r="E169" i="6"/>
  <c r="D169" i="6"/>
  <c r="Q168" i="6"/>
  <c r="P168" i="6"/>
  <c r="O168" i="6"/>
  <c r="N168" i="6"/>
  <c r="M168" i="6"/>
  <c r="L168" i="6"/>
  <c r="K168" i="6"/>
  <c r="J168" i="6"/>
  <c r="I168" i="6"/>
  <c r="H168" i="6"/>
  <c r="G168" i="6"/>
  <c r="F168" i="6"/>
  <c r="E168" i="6"/>
  <c r="D168" i="6"/>
  <c r="Q167" i="6"/>
  <c r="P167" i="6"/>
  <c r="O167" i="6"/>
  <c r="N167" i="6"/>
  <c r="M167" i="6"/>
  <c r="L167" i="6"/>
  <c r="K167" i="6"/>
  <c r="J167" i="6"/>
  <c r="I167" i="6"/>
  <c r="H167" i="6"/>
  <c r="G167" i="6"/>
  <c r="F167" i="6"/>
  <c r="E167" i="6"/>
  <c r="D167" i="6"/>
  <c r="Q166" i="6"/>
  <c r="P166" i="6"/>
  <c r="O166" i="6"/>
  <c r="N166" i="6"/>
  <c r="M166" i="6"/>
  <c r="L166" i="6"/>
  <c r="K166" i="6"/>
  <c r="J166" i="6"/>
  <c r="I166" i="6"/>
  <c r="H166" i="6"/>
  <c r="G166" i="6"/>
  <c r="F166" i="6"/>
  <c r="E166" i="6"/>
  <c r="D166" i="6"/>
  <c r="Q165" i="6"/>
  <c r="P165" i="6"/>
  <c r="O165" i="6"/>
  <c r="N165" i="6"/>
  <c r="M165" i="6"/>
  <c r="L165" i="6"/>
  <c r="K165" i="6"/>
  <c r="J165" i="6"/>
  <c r="I165" i="6"/>
  <c r="H165" i="6"/>
  <c r="G165" i="6"/>
  <c r="F165" i="6"/>
  <c r="E165" i="6"/>
  <c r="D165" i="6"/>
  <c r="Q164" i="6"/>
  <c r="P164" i="6"/>
  <c r="O164" i="6"/>
  <c r="N164" i="6"/>
  <c r="M164" i="6"/>
  <c r="L164" i="6"/>
  <c r="K164" i="6"/>
  <c r="J164" i="6"/>
  <c r="I164" i="6"/>
  <c r="H164" i="6"/>
  <c r="G164" i="6"/>
  <c r="F164" i="6"/>
  <c r="E164" i="6"/>
  <c r="D164" i="6"/>
  <c r="Q163" i="6"/>
  <c r="P163" i="6"/>
  <c r="O163" i="6"/>
  <c r="N163" i="6"/>
  <c r="M163" i="6"/>
  <c r="L163" i="6"/>
  <c r="K163" i="6"/>
  <c r="J163" i="6"/>
  <c r="I163" i="6"/>
  <c r="H163" i="6"/>
  <c r="G163" i="6"/>
  <c r="F163" i="6"/>
  <c r="E163" i="6"/>
  <c r="D163" i="6"/>
  <c r="Q162" i="6"/>
  <c r="P162" i="6"/>
  <c r="O162" i="6"/>
  <c r="N162" i="6"/>
  <c r="M162" i="6"/>
  <c r="L162" i="6"/>
  <c r="K162" i="6"/>
  <c r="J162" i="6"/>
  <c r="I162" i="6"/>
  <c r="H162" i="6"/>
  <c r="G162" i="6"/>
  <c r="F162" i="6"/>
  <c r="E162" i="6"/>
  <c r="D162" i="6"/>
  <c r="Q161" i="6"/>
  <c r="P161" i="6"/>
  <c r="O161" i="6"/>
  <c r="N161" i="6"/>
  <c r="M161" i="6"/>
  <c r="L161" i="6"/>
  <c r="K161" i="6"/>
  <c r="J161" i="6"/>
  <c r="I161" i="6"/>
  <c r="H161" i="6"/>
  <c r="G161" i="6"/>
  <c r="F161" i="6"/>
  <c r="E161" i="6"/>
  <c r="D161" i="6"/>
  <c r="Q160" i="6"/>
  <c r="P160" i="6"/>
  <c r="O160" i="6"/>
  <c r="N160" i="6"/>
  <c r="M160" i="6"/>
  <c r="L160" i="6"/>
  <c r="K160" i="6"/>
  <c r="J160" i="6"/>
  <c r="I160" i="6"/>
  <c r="H160" i="6"/>
  <c r="G160" i="6"/>
  <c r="F160" i="6"/>
  <c r="E160" i="6"/>
  <c r="D160" i="6"/>
  <c r="Q159" i="6"/>
  <c r="P159" i="6"/>
  <c r="O159" i="6"/>
  <c r="N159" i="6"/>
  <c r="M159" i="6"/>
  <c r="L159" i="6"/>
  <c r="K159" i="6"/>
  <c r="J159" i="6"/>
  <c r="I159" i="6"/>
  <c r="H159" i="6"/>
  <c r="G159" i="6"/>
  <c r="F159" i="6"/>
  <c r="E159" i="6"/>
  <c r="D159" i="6"/>
  <c r="Q158" i="6"/>
  <c r="P158" i="6"/>
  <c r="O158" i="6"/>
  <c r="N158" i="6"/>
  <c r="M158" i="6"/>
  <c r="L158" i="6"/>
  <c r="K158" i="6"/>
  <c r="J158" i="6"/>
  <c r="I158" i="6"/>
  <c r="H158" i="6"/>
  <c r="G158" i="6"/>
  <c r="F158" i="6"/>
  <c r="E158" i="6"/>
  <c r="D158" i="6"/>
  <c r="Q157" i="6"/>
  <c r="P157" i="6"/>
  <c r="O157" i="6"/>
  <c r="N157" i="6"/>
  <c r="M157" i="6"/>
  <c r="L157" i="6"/>
  <c r="K157" i="6"/>
  <c r="J157" i="6"/>
  <c r="I157" i="6"/>
  <c r="H157" i="6"/>
  <c r="G157" i="6"/>
  <c r="F157" i="6"/>
  <c r="E157" i="6"/>
  <c r="D157" i="6"/>
  <c r="Q156" i="6"/>
  <c r="P156" i="6"/>
  <c r="O156" i="6"/>
  <c r="N156" i="6"/>
  <c r="M156" i="6"/>
  <c r="L156" i="6"/>
  <c r="K156" i="6"/>
  <c r="J156" i="6"/>
  <c r="I156" i="6"/>
  <c r="H156" i="6"/>
  <c r="G156" i="6"/>
  <c r="F156" i="6"/>
  <c r="E156" i="6"/>
  <c r="D156" i="6"/>
  <c r="Q155" i="6"/>
  <c r="P155" i="6"/>
  <c r="O155" i="6"/>
  <c r="N155" i="6"/>
  <c r="M155" i="6"/>
  <c r="L155" i="6"/>
  <c r="K155" i="6"/>
  <c r="J155" i="6"/>
  <c r="I155" i="6"/>
  <c r="H155" i="6"/>
  <c r="G155" i="6"/>
  <c r="F155" i="6"/>
  <c r="E155" i="6"/>
  <c r="D155" i="6"/>
  <c r="Q154" i="6"/>
  <c r="P154" i="6"/>
  <c r="O154" i="6"/>
  <c r="N154" i="6"/>
  <c r="M154" i="6"/>
  <c r="L154" i="6"/>
  <c r="K154" i="6"/>
  <c r="J154" i="6"/>
  <c r="I154" i="6"/>
  <c r="H154" i="6"/>
  <c r="G154" i="6"/>
  <c r="F154" i="6"/>
  <c r="E154" i="6"/>
  <c r="D154" i="6"/>
  <c r="Q153" i="6"/>
  <c r="P153" i="6"/>
  <c r="O153" i="6"/>
  <c r="N153" i="6"/>
  <c r="M153" i="6"/>
  <c r="L153" i="6"/>
  <c r="K153" i="6"/>
  <c r="J153" i="6"/>
  <c r="I153" i="6"/>
  <c r="H153" i="6"/>
  <c r="G153" i="6"/>
  <c r="F153" i="6"/>
  <c r="E153" i="6"/>
  <c r="D153" i="6"/>
  <c r="Q152" i="6"/>
  <c r="P152" i="6"/>
  <c r="O152" i="6"/>
  <c r="N152" i="6"/>
  <c r="M152" i="6"/>
  <c r="L152" i="6"/>
  <c r="K152" i="6"/>
  <c r="J152" i="6"/>
  <c r="I152" i="6"/>
  <c r="H152" i="6"/>
  <c r="G152" i="6"/>
  <c r="F152" i="6"/>
  <c r="E152" i="6"/>
  <c r="D152" i="6"/>
  <c r="Q151" i="6"/>
  <c r="P151" i="6"/>
  <c r="O151" i="6"/>
  <c r="N151" i="6"/>
  <c r="M151" i="6"/>
  <c r="L151" i="6"/>
  <c r="K151" i="6"/>
  <c r="J151" i="6"/>
  <c r="I151" i="6"/>
  <c r="H151" i="6"/>
  <c r="G151" i="6"/>
  <c r="F151" i="6"/>
  <c r="E151" i="6"/>
  <c r="D151" i="6"/>
  <c r="Q150" i="6"/>
  <c r="P150" i="6"/>
  <c r="O150" i="6"/>
  <c r="N150" i="6"/>
  <c r="M150" i="6"/>
  <c r="L150" i="6"/>
  <c r="K150" i="6"/>
  <c r="J150" i="6"/>
  <c r="I150" i="6"/>
  <c r="H150" i="6"/>
  <c r="G150" i="6"/>
  <c r="F150" i="6"/>
  <c r="E150" i="6"/>
  <c r="D150" i="6"/>
  <c r="Q149" i="6"/>
  <c r="P149" i="6"/>
  <c r="O149" i="6"/>
  <c r="N149" i="6"/>
  <c r="M149" i="6"/>
  <c r="L149" i="6"/>
  <c r="K149" i="6"/>
  <c r="J149" i="6"/>
  <c r="I149" i="6"/>
  <c r="H149" i="6"/>
  <c r="G149" i="6"/>
  <c r="F149" i="6"/>
  <c r="E149" i="6"/>
  <c r="D149" i="6"/>
  <c r="Q148" i="6"/>
  <c r="P148" i="6"/>
  <c r="O148" i="6"/>
  <c r="N148" i="6"/>
  <c r="M148" i="6"/>
  <c r="L148" i="6"/>
  <c r="K148" i="6"/>
  <c r="J148" i="6"/>
  <c r="I148" i="6"/>
  <c r="H148" i="6"/>
  <c r="G148" i="6"/>
  <c r="F148" i="6"/>
  <c r="E148" i="6"/>
  <c r="D148" i="6"/>
  <c r="Q147" i="6"/>
  <c r="P147" i="6"/>
  <c r="O147" i="6"/>
  <c r="N147" i="6"/>
  <c r="M147" i="6"/>
  <c r="L147" i="6"/>
  <c r="K147" i="6"/>
  <c r="J147" i="6"/>
  <c r="I147" i="6"/>
  <c r="H147" i="6"/>
  <c r="G147" i="6"/>
  <c r="F147" i="6"/>
  <c r="E147" i="6"/>
  <c r="D147" i="6"/>
  <c r="Q146" i="6"/>
  <c r="P146" i="6"/>
  <c r="O146" i="6"/>
  <c r="N146" i="6"/>
  <c r="M146" i="6"/>
  <c r="L146" i="6"/>
  <c r="K146" i="6"/>
  <c r="J146" i="6"/>
  <c r="I146" i="6"/>
  <c r="H146" i="6"/>
  <c r="G146" i="6"/>
  <c r="F146" i="6"/>
  <c r="E146" i="6"/>
  <c r="D146" i="6"/>
  <c r="Q145" i="6"/>
  <c r="P145" i="6"/>
  <c r="O145" i="6"/>
  <c r="N145" i="6"/>
  <c r="M145" i="6"/>
  <c r="L145" i="6"/>
  <c r="K145" i="6"/>
  <c r="J145" i="6"/>
  <c r="I145" i="6"/>
  <c r="H145" i="6"/>
  <c r="G145" i="6"/>
  <c r="F145" i="6"/>
  <c r="E145" i="6"/>
  <c r="D145" i="6"/>
  <c r="Q144" i="6"/>
  <c r="P144" i="6"/>
  <c r="O144" i="6"/>
  <c r="N144" i="6"/>
  <c r="M144" i="6"/>
  <c r="L144" i="6"/>
  <c r="K144" i="6"/>
  <c r="J144" i="6"/>
  <c r="I144" i="6"/>
  <c r="H144" i="6"/>
  <c r="G144" i="6"/>
  <c r="F144" i="6"/>
  <c r="E144" i="6"/>
  <c r="D144" i="6"/>
  <c r="Q143" i="6"/>
  <c r="P143" i="6"/>
  <c r="O143" i="6"/>
  <c r="N143" i="6"/>
  <c r="M143" i="6"/>
  <c r="L143" i="6"/>
  <c r="K143" i="6"/>
  <c r="J143" i="6"/>
  <c r="I143" i="6"/>
  <c r="H143" i="6"/>
  <c r="G143" i="6"/>
  <c r="F143" i="6"/>
  <c r="E143" i="6"/>
  <c r="D143" i="6"/>
  <c r="Q142" i="6"/>
  <c r="P142" i="6"/>
  <c r="O142" i="6"/>
  <c r="N142" i="6"/>
  <c r="M142" i="6"/>
  <c r="L142" i="6"/>
  <c r="K142" i="6"/>
  <c r="J142" i="6"/>
  <c r="I142" i="6"/>
  <c r="H142" i="6"/>
  <c r="G142" i="6"/>
  <c r="F142" i="6"/>
  <c r="E142" i="6"/>
  <c r="D142" i="6"/>
  <c r="Q141" i="6"/>
  <c r="P141" i="6"/>
  <c r="O141" i="6"/>
  <c r="N141" i="6"/>
  <c r="M141" i="6"/>
  <c r="L141" i="6"/>
  <c r="K141" i="6"/>
  <c r="J141" i="6"/>
  <c r="I141" i="6"/>
  <c r="H141" i="6"/>
  <c r="G141" i="6"/>
  <c r="F141" i="6"/>
  <c r="E141" i="6"/>
  <c r="D141" i="6"/>
  <c r="Q140" i="6"/>
  <c r="P140" i="6"/>
  <c r="O140" i="6"/>
  <c r="N140" i="6"/>
  <c r="M140" i="6"/>
  <c r="L140" i="6"/>
  <c r="K140" i="6"/>
  <c r="J140" i="6"/>
  <c r="I140" i="6"/>
  <c r="H140" i="6"/>
  <c r="G140" i="6"/>
  <c r="F140" i="6"/>
  <c r="E140" i="6"/>
  <c r="D140" i="6"/>
  <c r="Q139" i="6"/>
  <c r="P139" i="6"/>
  <c r="O139" i="6"/>
  <c r="N139" i="6"/>
  <c r="M139" i="6"/>
  <c r="L139" i="6"/>
  <c r="K139" i="6"/>
  <c r="J139" i="6"/>
  <c r="I139" i="6"/>
  <c r="H139" i="6"/>
  <c r="G139" i="6"/>
  <c r="F139" i="6"/>
  <c r="E139" i="6"/>
  <c r="D139" i="6"/>
  <c r="Q138" i="6"/>
  <c r="P138" i="6"/>
  <c r="O138" i="6"/>
  <c r="N138" i="6"/>
  <c r="M138" i="6"/>
  <c r="L138" i="6"/>
  <c r="K138" i="6"/>
  <c r="J138" i="6"/>
  <c r="I138" i="6"/>
  <c r="H138" i="6"/>
  <c r="G138" i="6"/>
  <c r="F138" i="6"/>
  <c r="E138" i="6"/>
  <c r="D138" i="6"/>
  <c r="Q137" i="6"/>
  <c r="P137" i="6"/>
  <c r="O137" i="6"/>
  <c r="N137" i="6"/>
  <c r="M137" i="6"/>
  <c r="L137" i="6"/>
  <c r="K137" i="6"/>
  <c r="J137" i="6"/>
  <c r="I137" i="6"/>
  <c r="H137" i="6"/>
  <c r="G137" i="6"/>
  <c r="F137" i="6"/>
  <c r="E137" i="6"/>
  <c r="D137" i="6"/>
  <c r="Q136" i="6"/>
  <c r="P136" i="6"/>
  <c r="O136" i="6"/>
  <c r="N136" i="6"/>
  <c r="M136" i="6"/>
  <c r="L136" i="6"/>
  <c r="K136" i="6"/>
  <c r="J136" i="6"/>
  <c r="I136" i="6"/>
  <c r="H136" i="6"/>
  <c r="G136" i="6"/>
  <c r="F136" i="6"/>
  <c r="E136" i="6"/>
  <c r="D136" i="6"/>
  <c r="Q135" i="6"/>
  <c r="P135" i="6"/>
  <c r="O135" i="6"/>
  <c r="N135" i="6"/>
  <c r="M135" i="6"/>
  <c r="L135" i="6"/>
  <c r="K135" i="6"/>
  <c r="J135" i="6"/>
  <c r="I135" i="6"/>
  <c r="H135" i="6"/>
  <c r="G135" i="6"/>
  <c r="F135" i="6"/>
  <c r="E135" i="6"/>
  <c r="D135" i="6"/>
  <c r="Q134" i="6"/>
  <c r="P134" i="6"/>
  <c r="O134" i="6"/>
  <c r="N134" i="6"/>
  <c r="M134" i="6"/>
  <c r="L134" i="6"/>
  <c r="K134" i="6"/>
  <c r="J134" i="6"/>
  <c r="I134" i="6"/>
  <c r="H134" i="6"/>
  <c r="G134" i="6"/>
  <c r="F134" i="6"/>
  <c r="E134" i="6"/>
  <c r="D134" i="6"/>
  <c r="Q133" i="6"/>
  <c r="P133" i="6"/>
  <c r="O133" i="6"/>
  <c r="N133" i="6"/>
  <c r="M133" i="6"/>
  <c r="L133" i="6"/>
  <c r="K133" i="6"/>
  <c r="J133" i="6"/>
  <c r="I133" i="6"/>
  <c r="H133" i="6"/>
  <c r="G133" i="6"/>
  <c r="F133" i="6"/>
  <c r="E133" i="6"/>
  <c r="D133" i="6"/>
  <c r="Q132" i="6"/>
  <c r="P132" i="6"/>
  <c r="O132" i="6"/>
  <c r="N132" i="6"/>
  <c r="M132" i="6"/>
  <c r="L132" i="6"/>
  <c r="K132" i="6"/>
  <c r="J132" i="6"/>
  <c r="I132" i="6"/>
  <c r="H132" i="6"/>
  <c r="G132" i="6"/>
  <c r="F132" i="6"/>
  <c r="E132" i="6"/>
  <c r="D132" i="6"/>
  <c r="Q131" i="6"/>
  <c r="P131" i="6"/>
  <c r="O131" i="6"/>
  <c r="N131" i="6"/>
  <c r="M131" i="6"/>
  <c r="L131" i="6"/>
  <c r="K131" i="6"/>
  <c r="J131" i="6"/>
  <c r="I131" i="6"/>
  <c r="H131" i="6"/>
  <c r="G131" i="6"/>
  <c r="F131" i="6"/>
  <c r="E131" i="6"/>
  <c r="D131" i="6"/>
  <c r="Q130" i="6"/>
  <c r="P130" i="6"/>
  <c r="O130" i="6"/>
  <c r="N130" i="6"/>
  <c r="M130" i="6"/>
  <c r="L130" i="6"/>
  <c r="K130" i="6"/>
  <c r="J130" i="6"/>
  <c r="I130" i="6"/>
  <c r="H130" i="6"/>
  <c r="G130" i="6"/>
  <c r="F130" i="6"/>
  <c r="E130" i="6"/>
  <c r="D130" i="6"/>
  <c r="Q129" i="6"/>
  <c r="P129" i="6"/>
  <c r="O129" i="6"/>
  <c r="N129" i="6"/>
  <c r="M129" i="6"/>
  <c r="L129" i="6"/>
  <c r="K129" i="6"/>
  <c r="J129" i="6"/>
  <c r="I129" i="6"/>
  <c r="H129" i="6"/>
  <c r="G129" i="6"/>
  <c r="F129" i="6"/>
  <c r="E129" i="6"/>
  <c r="D129" i="6"/>
  <c r="Q128" i="6"/>
  <c r="P128" i="6"/>
  <c r="O128" i="6"/>
  <c r="N128" i="6"/>
  <c r="M128" i="6"/>
  <c r="L128" i="6"/>
  <c r="K128" i="6"/>
  <c r="J128" i="6"/>
  <c r="I128" i="6"/>
  <c r="H128" i="6"/>
  <c r="G128" i="6"/>
  <c r="F128" i="6"/>
  <c r="E128" i="6"/>
  <c r="D128" i="6"/>
  <c r="Q127" i="6"/>
  <c r="P127" i="6"/>
  <c r="O127" i="6"/>
  <c r="N127" i="6"/>
  <c r="M127" i="6"/>
  <c r="L127" i="6"/>
  <c r="K127" i="6"/>
  <c r="J127" i="6"/>
  <c r="I127" i="6"/>
  <c r="H127" i="6"/>
  <c r="G127" i="6"/>
  <c r="F127" i="6"/>
  <c r="E127" i="6"/>
  <c r="D127" i="6"/>
  <c r="Q126" i="6"/>
  <c r="P126" i="6"/>
  <c r="O126" i="6"/>
  <c r="N126" i="6"/>
  <c r="M126" i="6"/>
  <c r="L126" i="6"/>
  <c r="K126" i="6"/>
  <c r="J126" i="6"/>
  <c r="I126" i="6"/>
  <c r="H126" i="6"/>
  <c r="G126" i="6"/>
  <c r="F126" i="6"/>
  <c r="E126" i="6"/>
  <c r="D126" i="6"/>
  <c r="Q125" i="6"/>
  <c r="P125" i="6"/>
  <c r="O125" i="6"/>
  <c r="N125" i="6"/>
  <c r="M125" i="6"/>
  <c r="L125" i="6"/>
  <c r="K125" i="6"/>
  <c r="J125" i="6"/>
  <c r="I125" i="6"/>
  <c r="H125" i="6"/>
  <c r="G125" i="6"/>
  <c r="F125" i="6"/>
  <c r="E125" i="6"/>
  <c r="D125" i="6"/>
  <c r="Q124" i="6"/>
  <c r="P124" i="6"/>
  <c r="O124" i="6"/>
  <c r="N124" i="6"/>
  <c r="M124" i="6"/>
  <c r="L124" i="6"/>
  <c r="K124" i="6"/>
  <c r="J124" i="6"/>
  <c r="I124" i="6"/>
  <c r="H124" i="6"/>
  <c r="G124" i="6"/>
  <c r="F124" i="6"/>
  <c r="E124" i="6"/>
  <c r="D124" i="6"/>
  <c r="Q123" i="6"/>
  <c r="P123" i="6"/>
  <c r="O123" i="6"/>
  <c r="N123" i="6"/>
  <c r="M123" i="6"/>
  <c r="L123" i="6"/>
  <c r="K123" i="6"/>
  <c r="J123" i="6"/>
  <c r="I123" i="6"/>
  <c r="H123" i="6"/>
  <c r="G123" i="6"/>
  <c r="F123" i="6"/>
  <c r="E123" i="6"/>
  <c r="D123" i="6"/>
  <c r="Q122" i="6"/>
  <c r="P122" i="6"/>
  <c r="O122" i="6"/>
  <c r="N122" i="6"/>
  <c r="M122" i="6"/>
  <c r="L122" i="6"/>
  <c r="K122" i="6"/>
  <c r="J122" i="6"/>
  <c r="I122" i="6"/>
  <c r="H122" i="6"/>
  <c r="G122" i="6"/>
  <c r="F122" i="6"/>
  <c r="E122" i="6"/>
  <c r="D122" i="6"/>
  <c r="Q121" i="6"/>
  <c r="P121" i="6"/>
  <c r="O121" i="6"/>
  <c r="N121" i="6"/>
  <c r="M121" i="6"/>
  <c r="L121" i="6"/>
  <c r="K121" i="6"/>
  <c r="J121" i="6"/>
  <c r="I121" i="6"/>
  <c r="H121" i="6"/>
  <c r="G121" i="6"/>
  <c r="F121" i="6"/>
  <c r="E121" i="6"/>
  <c r="D121" i="6"/>
  <c r="Q120" i="6"/>
  <c r="P120" i="6"/>
  <c r="O120" i="6"/>
  <c r="N120" i="6"/>
  <c r="M120" i="6"/>
  <c r="L120" i="6"/>
  <c r="K120" i="6"/>
  <c r="J120" i="6"/>
  <c r="I120" i="6"/>
  <c r="H120" i="6"/>
  <c r="G120" i="6"/>
  <c r="F120" i="6"/>
  <c r="E120" i="6"/>
  <c r="D120" i="6"/>
  <c r="Q119" i="6"/>
  <c r="P119" i="6"/>
  <c r="O119" i="6"/>
  <c r="N119" i="6"/>
  <c r="M119" i="6"/>
  <c r="L119" i="6"/>
  <c r="K119" i="6"/>
  <c r="J119" i="6"/>
  <c r="I119" i="6"/>
  <c r="H119" i="6"/>
  <c r="G119" i="6"/>
  <c r="F119" i="6"/>
  <c r="E119" i="6"/>
  <c r="D119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14" i="6"/>
  <c r="P114" i="6"/>
  <c r="O114" i="6"/>
  <c r="N114" i="6"/>
  <c r="M114" i="6"/>
  <c r="L114" i="6"/>
  <c r="K114" i="6"/>
  <c r="J114" i="6"/>
  <c r="I114" i="6"/>
  <c r="H114" i="6"/>
  <c r="G114" i="6"/>
  <c r="F114" i="6"/>
  <c r="E114" i="6"/>
  <c r="D114" i="6"/>
  <c r="Q113" i="6"/>
  <c r="P113" i="6"/>
  <c r="O113" i="6"/>
  <c r="N113" i="6"/>
  <c r="M113" i="6"/>
  <c r="L113" i="6"/>
  <c r="K113" i="6"/>
  <c r="J113" i="6"/>
  <c r="I113" i="6"/>
  <c r="H113" i="6"/>
  <c r="G113" i="6"/>
  <c r="F113" i="6"/>
  <c r="E113" i="6"/>
  <c r="D113" i="6"/>
  <c r="Q112" i="6"/>
  <c r="P112" i="6"/>
  <c r="O112" i="6"/>
  <c r="N112" i="6"/>
  <c r="M112" i="6"/>
  <c r="L112" i="6"/>
  <c r="K112" i="6"/>
  <c r="J112" i="6"/>
  <c r="I112" i="6"/>
  <c r="H112" i="6"/>
  <c r="G112" i="6"/>
  <c r="F112" i="6"/>
  <c r="E112" i="6"/>
  <c r="D112" i="6"/>
  <c r="Q111" i="6"/>
  <c r="P111" i="6"/>
  <c r="O111" i="6"/>
  <c r="N111" i="6"/>
  <c r="M111" i="6"/>
  <c r="L111" i="6"/>
  <c r="K111" i="6"/>
  <c r="J111" i="6"/>
  <c r="I111" i="6"/>
  <c r="H111" i="6"/>
  <c r="G111" i="6"/>
  <c r="F111" i="6"/>
  <c r="E111" i="6"/>
  <c r="D111" i="6"/>
  <c r="Q110" i="6"/>
  <c r="P110" i="6"/>
  <c r="O110" i="6"/>
  <c r="N110" i="6"/>
  <c r="M110" i="6"/>
  <c r="L110" i="6"/>
  <c r="K110" i="6"/>
  <c r="J110" i="6"/>
  <c r="I110" i="6"/>
  <c r="H110" i="6"/>
  <c r="G110" i="6"/>
  <c r="F110" i="6"/>
  <c r="E110" i="6"/>
  <c r="D110" i="6"/>
  <c r="Q109" i="6"/>
  <c r="P109" i="6"/>
  <c r="O109" i="6"/>
  <c r="N109" i="6"/>
  <c r="M109" i="6"/>
  <c r="L109" i="6"/>
  <c r="K109" i="6"/>
  <c r="J109" i="6"/>
  <c r="I109" i="6"/>
  <c r="H109" i="6"/>
  <c r="G109" i="6"/>
  <c r="F109" i="6"/>
  <c r="E109" i="6"/>
  <c r="D109" i="6"/>
  <c r="Q108" i="6"/>
  <c r="P108" i="6"/>
  <c r="O108" i="6"/>
  <c r="N108" i="6"/>
  <c r="M108" i="6"/>
  <c r="L108" i="6"/>
  <c r="K108" i="6"/>
  <c r="J108" i="6"/>
  <c r="I108" i="6"/>
  <c r="H108" i="6"/>
  <c r="G108" i="6"/>
  <c r="F108" i="6"/>
  <c r="E108" i="6"/>
  <c r="D108" i="6"/>
  <c r="Q107" i="6"/>
  <c r="P107" i="6"/>
  <c r="O107" i="6"/>
  <c r="N107" i="6"/>
  <c r="M107" i="6"/>
  <c r="L107" i="6"/>
  <c r="K107" i="6"/>
  <c r="J107" i="6"/>
  <c r="I107" i="6"/>
  <c r="H107" i="6"/>
  <c r="G107" i="6"/>
  <c r="F107" i="6"/>
  <c r="E107" i="6"/>
  <c r="D107" i="6"/>
  <c r="Q106" i="6"/>
  <c r="P106" i="6"/>
  <c r="O106" i="6"/>
  <c r="N106" i="6"/>
  <c r="M106" i="6"/>
  <c r="L106" i="6"/>
  <c r="K106" i="6"/>
  <c r="J106" i="6"/>
  <c r="I106" i="6"/>
  <c r="H106" i="6"/>
  <c r="G106" i="6"/>
  <c r="F106" i="6"/>
  <c r="E106" i="6"/>
  <c r="D106" i="6"/>
  <c r="Q105" i="6"/>
  <c r="P105" i="6"/>
  <c r="O105" i="6"/>
  <c r="N105" i="6"/>
  <c r="M105" i="6"/>
  <c r="L105" i="6"/>
  <c r="K105" i="6"/>
  <c r="J105" i="6"/>
  <c r="I105" i="6"/>
  <c r="H105" i="6"/>
  <c r="G105" i="6"/>
  <c r="F105" i="6"/>
  <c r="E105" i="6"/>
  <c r="D105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Q100" i="6"/>
  <c r="P100" i="6"/>
  <c r="O100" i="6"/>
  <c r="N100" i="6"/>
  <c r="M100" i="6"/>
  <c r="L100" i="6"/>
  <c r="K100" i="6"/>
  <c r="J100" i="6"/>
  <c r="I100" i="6"/>
  <c r="H100" i="6"/>
  <c r="G100" i="6"/>
  <c r="F100" i="6"/>
  <c r="E100" i="6"/>
  <c r="D100" i="6"/>
  <c r="Q99" i="6"/>
  <c r="P99" i="6"/>
  <c r="O99" i="6"/>
  <c r="N99" i="6"/>
  <c r="M99" i="6"/>
  <c r="L99" i="6"/>
  <c r="K99" i="6"/>
  <c r="J99" i="6"/>
  <c r="I99" i="6"/>
  <c r="H99" i="6"/>
  <c r="G99" i="6"/>
  <c r="F99" i="6"/>
  <c r="E99" i="6"/>
  <c r="D99" i="6"/>
  <c r="Q98" i="6"/>
  <c r="P98" i="6"/>
  <c r="O98" i="6"/>
  <c r="N98" i="6"/>
  <c r="M98" i="6"/>
  <c r="L98" i="6"/>
  <c r="K98" i="6"/>
  <c r="J98" i="6"/>
  <c r="I98" i="6"/>
  <c r="H98" i="6"/>
  <c r="G98" i="6"/>
  <c r="F98" i="6"/>
  <c r="E98" i="6"/>
  <c r="D98" i="6"/>
  <c r="Q97" i="6"/>
  <c r="P97" i="6"/>
  <c r="O97" i="6"/>
  <c r="N97" i="6"/>
  <c r="M97" i="6"/>
  <c r="L97" i="6"/>
  <c r="K97" i="6"/>
  <c r="J97" i="6"/>
  <c r="I97" i="6"/>
  <c r="H97" i="6"/>
  <c r="G97" i="6"/>
  <c r="F97" i="6"/>
  <c r="E97" i="6"/>
  <c r="D97" i="6"/>
  <c r="Q96" i="6"/>
  <c r="P96" i="6"/>
  <c r="O96" i="6"/>
  <c r="N96" i="6"/>
  <c r="M96" i="6"/>
  <c r="L96" i="6"/>
  <c r="K96" i="6"/>
  <c r="J96" i="6"/>
  <c r="I96" i="6"/>
  <c r="H96" i="6"/>
  <c r="G96" i="6"/>
  <c r="F96" i="6"/>
  <c r="E96" i="6"/>
  <c r="D96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Q94" i="6"/>
  <c r="P94" i="6"/>
  <c r="O94" i="6"/>
  <c r="N94" i="6"/>
  <c r="M94" i="6"/>
  <c r="L94" i="6"/>
  <c r="K94" i="6"/>
  <c r="J94" i="6"/>
  <c r="I94" i="6"/>
  <c r="H94" i="6"/>
  <c r="G94" i="6"/>
  <c r="F94" i="6"/>
  <c r="E94" i="6"/>
  <c r="D94" i="6"/>
  <c r="Q93" i="6"/>
  <c r="P93" i="6"/>
  <c r="O93" i="6"/>
  <c r="N93" i="6"/>
  <c r="M93" i="6"/>
  <c r="L93" i="6"/>
  <c r="K93" i="6"/>
  <c r="J93" i="6"/>
  <c r="I93" i="6"/>
  <c r="H93" i="6"/>
  <c r="G93" i="6"/>
  <c r="F93" i="6"/>
  <c r="E93" i="6"/>
  <c r="D93" i="6"/>
  <c r="Q92" i="6"/>
  <c r="P92" i="6"/>
  <c r="O92" i="6"/>
  <c r="N92" i="6"/>
  <c r="M92" i="6"/>
  <c r="L92" i="6"/>
  <c r="K92" i="6"/>
  <c r="J92" i="6"/>
  <c r="I92" i="6"/>
  <c r="H92" i="6"/>
  <c r="G92" i="6"/>
  <c r="F92" i="6"/>
  <c r="E92" i="6"/>
  <c r="D92" i="6"/>
  <c r="Q91" i="6"/>
  <c r="P91" i="6"/>
  <c r="O91" i="6"/>
  <c r="N91" i="6"/>
  <c r="M91" i="6"/>
  <c r="L91" i="6"/>
  <c r="K91" i="6"/>
  <c r="J91" i="6"/>
  <c r="I91" i="6"/>
  <c r="H91" i="6"/>
  <c r="G91" i="6"/>
  <c r="F91" i="6"/>
  <c r="E91" i="6"/>
  <c r="D91" i="6"/>
  <c r="Q90" i="6"/>
  <c r="P90" i="6"/>
  <c r="O90" i="6"/>
  <c r="N90" i="6"/>
  <c r="M90" i="6"/>
  <c r="L90" i="6"/>
  <c r="K90" i="6"/>
  <c r="J90" i="6"/>
  <c r="I90" i="6"/>
  <c r="H90" i="6"/>
  <c r="G90" i="6"/>
  <c r="F90" i="6"/>
  <c r="E90" i="6"/>
  <c r="D90" i="6"/>
  <c r="Q89" i="6"/>
  <c r="P89" i="6"/>
  <c r="O89" i="6"/>
  <c r="N89" i="6"/>
  <c r="M89" i="6"/>
  <c r="L89" i="6"/>
  <c r="K89" i="6"/>
  <c r="J89" i="6"/>
  <c r="I89" i="6"/>
  <c r="H89" i="6"/>
  <c r="G89" i="6"/>
  <c r="F89" i="6"/>
  <c r="E89" i="6"/>
  <c r="D89" i="6"/>
  <c r="Q88" i="6"/>
  <c r="P88" i="6"/>
  <c r="O88" i="6"/>
  <c r="N88" i="6"/>
  <c r="M88" i="6"/>
  <c r="L88" i="6"/>
  <c r="K88" i="6"/>
  <c r="J88" i="6"/>
  <c r="I88" i="6"/>
  <c r="H88" i="6"/>
  <c r="G88" i="6"/>
  <c r="F88" i="6"/>
  <c r="E88" i="6"/>
  <c r="D88" i="6"/>
  <c r="Q87" i="6"/>
  <c r="P87" i="6"/>
  <c r="O87" i="6"/>
  <c r="N87" i="6"/>
  <c r="M87" i="6"/>
  <c r="L87" i="6"/>
  <c r="K87" i="6"/>
  <c r="J87" i="6"/>
  <c r="I87" i="6"/>
  <c r="H87" i="6"/>
  <c r="G87" i="6"/>
  <c r="F87" i="6"/>
  <c r="E87" i="6"/>
  <c r="D87" i="6"/>
  <c r="Q86" i="6"/>
  <c r="P86" i="6"/>
  <c r="O86" i="6"/>
  <c r="N86" i="6"/>
  <c r="M86" i="6"/>
  <c r="L86" i="6"/>
  <c r="K86" i="6"/>
  <c r="J86" i="6"/>
  <c r="I86" i="6"/>
  <c r="H86" i="6"/>
  <c r="G86" i="6"/>
  <c r="F86" i="6"/>
  <c r="E86" i="6"/>
  <c r="D86" i="6"/>
  <c r="Q85" i="6"/>
  <c r="P85" i="6"/>
  <c r="O85" i="6"/>
  <c r="N85" i="6"/>
  <c r="M85" i="6"/>
  <c r="L85" i="6"/>
  <c r="K85" i="6"/>
  <c r="J85" i="6"/>
  <c r="I85" i="6"/>
  <c r="H85" i="6"/>
  <c r="G85" i="6"/>
  <c r="F85" i="6"/>
  <c r="E85" i="6"/>
  <c r="D85" i="6"/>
  <c r="Q84" i="6"/>
  <c r="P84" i="6"/>
  <c r="O84" i="6"/>
  <c r="N84" i="6"/>
  <c r="M84" i="6"/>
  <c r="L84" i="6"/>
  <c r="K84" i="6"/>
  <c r="J84" i="6"/>
  <c r="I84" i="6"/>
  <c r="H84" i="6"/>
  <c r="G84" i="6"/>
  <c r="F84" i="6"/>
  <c r="E84" i="6"/>
  <c r="D84" i="6"/>
  <c r="Q83" i="6"/>
  <c r="P83" i="6"/>
  <c r="O83" i="6"/>
  <c r="N83" i="6"/>
  <c r="M83" i="6"/>
  <c r="L83" i="6"/>
  <c r="K83" i="6"/>
  <c r="J83" i="6"/>
  <c r="I83" i="6"/>
  <c r="H83" i="6"/>
  <c r="G83" i="6"/>
  <c r="F83" i="6"/>
  <c r="E83" i="6"/>
  <c r="D83" i="6"/>
  <c r="Q82" i="6"/>
  <c r="P82" i="6"/>
  <c r="O82" i="6"/>
  <c r="N82" i="6"/>
  <c r="M82" i="6"/>
  <c r="L82" i="6"/>
  <c r="K82" i="6"/>
  <c r="J82" i="6"/>
  <c r="I82" i="6"/>
  <c r="H82" i="6"/>
  <c r="G82" i="6"/>
  <c r="F82" i="6"/>
  <c r="E82" i="6"/>
  <c r="D82" i="6"/>
  <c r="Q81" i="6"/>
  <c r="P81" i="6"/>
  <c r="O81" i="6"/>
  <c r="N81" i="6"/>
  <c r="M81" i="6"/>
  <c r="L81" i="6"/>
  <c r="K81" i="6"/>
  <c r="J81" i="6"/>
  <c r="I81" i="6"/>
  <c r="H81" i="6"/>
  <c r="G81" i="6"/>
  <c r="F81" i="6"/>
  <c r="E81" i="6"/>
  <c r="D81" i="6"/>
  <c r="Q80" i="6"/>
  <c r="P80" i="6"/>
  <c r="O80" i="6"/>
  <c r="N80" i="6"/>
  <c r="M80" i="6"/>
  <c r="L80" i="6"/>
  <c r="K80" i="6"/>
  <c r="J80" i="6"/>
  <c r="I80" i="6"/>
  <c r="H80" i="6"/>
  <c r="G80" i="6"/>
  <c r="F80" i="6"/>
  <c r="E80" i="6"/>
  <c r="D80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D79" i="6"/>
  <c r="Q78" i="6"/>
  <c r="P78" i="6"/>
  <c r="O78" i="6"/>
  <c r="N78" i="6"/>
  <c r="M78" i="6"/>
  <c r="L78" i="6"/>
  <c r="K78" i="6"/>
  <c r="J78" i="6"/>
  <c r="I78" i="6"/>
  <c r="H78" i="6"/>
  <c r="G78" i="6"/>
  <c r="F78" i="6"/>
  <c r="E78" i="6"/>
  <c r="D78" i="6"/>
  <c r="Q77" i="6"/>
  <c r="P77" i="6"/>
  <c r="O77" i="6"/>
  <c r="N77" i="6"/>
  <c r="M77" i="6"/>
  <c r="L77" i="6"/>
  <c r="K77" i="6"/>
  <c r="J77" i="6"/>
  <c r="I77" i="6"/>
  <c r="H77" i="6"/>
  <c r="G77" i="6"/>
  <c r="F77" i="6"/>
  <c r="E77" i="6"/>
  <c r="D77" i="6"/>
  <c r="Q76" i="6"/>
  <c r="P76" i="6"/>
  <c r="O76" i="6"/>
  <c r="N76" i="6"/>
  <c r="M76" i="6"/>
  <c r="L76" i="6"/>
  <c r="K76" i="6"/>
  <c r="J76" i="6"/>
  <c r="I76" i="6"/>
  <c r="H76" i="6"/>
  <c r="G76" i="6"/>
  <c r="F76" i="6"/>
  <c r="E76" i="6"/>
  <c r="D76" i="6"/>
  <c r="Q75" i="6"/>
  <c r="P75" i="6"/>
  <c r="O75" i="6"/>
  <c r="N75" i="6"/>
  <c r="M75" i="6"/>
  <c r="L75" i="6"/>
  <c r="K75" i="6"/>
  <c r="J75" i="6"/>
  <c r="I75" i="6"/>
  <c r="H75" i="6"/>
  <c r="G75" i="6"/>
  <c r="F75" i="6"/>
  <c r="E75" i="6"/>
  <c r="D75" i="6"/>
  <c r="Q74" i="6"/>
  <c r="P74" i="6"/>
  <c r="O74" i="6"/>
  <c r="N74" i="6"/>
  <c r="M74" i="6"/>
  <c r="L74" i="6"/>
  <c r="K74" i="6"/>
  <c r="J74" i="6"/>
  <c r="I74" i="6"/>
  <c r="H74" i="6"/>
  <c r="G74" i="6"/>
  <c r="F74" i="6"/>
  <c r="E74" i="6"/>
  <c r="D74" i="6"/>
  <c r="Q73" i="6"/>
  <c r="P73" i="6"/>
  <c r="O73" i="6"/>
  <c r="N73" i="6"/>
  <c r="M73" i="6"/>
  <c r="L73" i="6"/>
  <c r="K73" i="6"/>
  <c r="J73" i="6"/>
  <c r="I73" i="6"/>
  <c r="H73" i="6"/>
  <c r="G73" i="6"/>
  <c r="F73" i="6"/>
  <c r="E73" i="6"/>
  <c r="D73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D72" i="6"/>
  <c r="Q71" i="6"/>
  <c r="P71" i="6"/>
  <c r="O71" i="6"/>
  <c r="N71" i="6"/>
  <c r="M71" i="6"/>
  <c r="L71" i="6"/>
  <c r="K71" i="6"/>
  <c r="J71" i="6"/>
  <c r="I71" i="6"/>
  <c r="H71" i="6"/>
  <c r="G71" i="6"/>
  <c r="F71" i="6"/>
  <c r="E71" i="6"/>
  <c r="D71" i="6"/>
  <c r="Q70" i="6"/>
  <c r="P70" i="6"/>
  <c r="O70" i="6"/>
  <c r="N70" i="6"/>
  <c r="M70" i="6"/>
  <c r="L70" i="6"/>
  <c r="K70" i="6"/>
  <c r="J70" i="6"/>
  <c r="I70" i="6"/>
  <c r="H70" i="6"/>
  <c r="G70" i="6"/>
  <c r="F70" i="6"/>
  <c r="E70" i="6"/>
  <c r="D70" i="6"/>
  <c r="Q69" i="6"/>
  <c r="P69" i="6"/>
  <c r="O69" i="6"/>
  <c r="N69" i="6"/>
  <c r="M69" i="6"/>
  <c r="L69" i="6"/>
  <c r="K69" i="6"/>
  <c r="J69" i="6"/>
  <c r="I69" i="6"/>
  <c r="H69" i="6"/>
  <c r="G69" i="6"/>
  <c r="F69" i="6"/>
  <c r="E69" i="6"/>
  <c r="D69" i="6"/>
  <c r="Q68" i="6"/>
  <c r="P68" i="6"/>
  <c r="O68" i="6"/>
  <c r="N68" i="6"/>
  <c r="M68" i="6"/>
  <c r="L68" i="6"/>
  <c r="K68" i="6"/>
  <c r="J68" i="6"/>
  <c r="I68" i="6"/>
  <c r="H68" i="6"/>
  <c r="G68" i="6"/>
  <c r="F68" i="6"/>
  <c r="E68" i="6"/>
  <c r="D68" i="6"/>
  <c r="Q67" i="6"/>
  <c r="P67" i="6"/>
  <c r="O67" i="6"/>
  <c r="N67" i="6"/>
  <c r="M67" i="6"/>
  <c r="L67" i="6"/>
  <c r="K67" i="6"/>
  <c r="J67" i="6"/>
  <c r="I67" i="6"/>
  <c r="H67" i="6"/>
  <c r="G67" i="6"/>
  <c r="F67" i="6"/>
  <c r="E67" i="6"/>
  <c r="D67" i="6"/>
  <c r="Q66" i="6"/>
  <c r="P66" i="6"/>
  <c r="O66" i="6"/>
  <c r="N66" i="6"/>
  <c r="M66" i="6"/>
  <c r="L66" i="6"/>
  <c r="K66" i="6"/>
  <c r="J66" i="6"/>
  <c r="I66" i="6"/>
  <c r="H66" i="6"/>
  <c r="G66" i="6"/>
  <c r="F66" i="6"/>
  <c r="E66" i="6"/>
  <c r="D66" i="6"/>
  <c r="Q65" i="6"/>
  <c r="P65" i="6"/>
  <c r="O65" i="6"/>
  <c r="N65" i="6"/>
  <c r="M65" i="6"/>
  <c r="L65" i="6"/>
  <c r="K65" i="6"/>
  <c r="J65" i="6"/>
  <c r="I65" i="6"/>
  <c r="H65" i="6"/>
  <c r="G65" i="6"/>
  <c r="F65" i="6"/>
  <c r="E65" i="6"/>
  <c r="D65" i="6"/>
  <c r="Q64" i="6"/>
  <c r="P64" i="6"/>
  <c r="O64" i="6"/>
  <c r="N64" i="6"/>
  <c r="M64" i="6"/>
  <c r="L64" i="6"/>
  <c r="K64" i="6"/>
  <c r="J64" i="6"/>
  <c r="I64" i="6"/>
  <c r="H64" i="6"/>
  <c r="G64" i="6"/>
  <c r="F64" i="6"/>
  <c r="E64" i="6"/>
  <c r="D64" i="6"/>
  <c r="Q63" i="6"/>
  <c r="P63" i="6"/>
  <c r="O63" i="6"/>
  <c r="N63" i="6"/>
  <c r="M63" i="6"/>
  <c r="L63" i="6"/>
  <c r="K63" i="6"/>
  <c r="J63" i="6"/>
  <c r="I63" i="6"/>
  <c r="H63" i="6"/>
  <c r="G63" i="6"/>
  <c r="F63" i="6"/>
  <c r="E63" i="6"/>
  <c r="D63" i="6"/>
  <c r="Q62" i="6"/>
  <c r="P62" i="6"/>
  <c r="O62" i="6"/>
  <c r="N62" i="6"/>
  <c r="M62" i="6"/>
  <c r="L62" i="6"/>
  <c r="K62" i="6"/>
  <c r="J62" i="6"/>
  <c r="I62" i="6"/>
  <c r="H62" i="6"/>
  <c r="G62" i="6"/>
  <c r="F62" i="6"/>
  <c r="E62" i="6"/>
  <c r="D62" i="6"/>
  <c r="Q61" i="6"/>
  <c r="P61" i="6"/>
  <c r="O61" i="6"/>
  <c r="N61" i="6"/>
  <c r="M61" i="6"/>
  <c r="L61" i="6"/>
  <c r="K61" i="6"/>
  <c r="J61" i="6"/>
  <c r="I61" i="6"/>
  <c r="H61" i="6"/>
  <c r="G61" i="6"/>
  <c r="F61" i="6"/>
  <c r="E61" i="6"/>
  <c r="D61" i="6"/>
  <c r="Q60" i="6"/>
  <c r="P60" i="6"/>
  <c r="O60" i="6"/>
  <c r="N60" i="6"/>
  <c r="M60" i="6"/>
  <c r="L60" i="6"/>
  <c r="K60" i="6"/>
  <c r="J60" i="6"/>
  <c r="I60" i="6"/>
  <c r="H60" i="6"/>
  <c r="G60" i="6"/>
  <c r="F60" i="6"/>
  <c r="E60" i="6"/>
  <c r="D60" i="6"/>
  <c r="Q59" i="6"/>
  <c r="P59" i="6"/>
  <c r="O59" i="6"/>
  <c r="N59" i="6"/>
  <c r="M59" i="6"/>
  <c r="L59" i="6"/>
  <c r="K59" i="6"/>
  <c r="J59" i="6"/>
  <c r="I59" i="6"/>
  <c r="H59" i="6"/>
  <c r="G59" i="6"/>
  <c r="F59" i="6"/>
  <c r="E59" i="6"/>
  <c r="D59" i="6"/>
  <c r="Q58" i="6"/>
  <c r="P58" i="6"/>
  <c r="O58" i="6"/>
  <c r="N58" i="6"/>
  <c r="M58" i="6"/>
  <c r="L58" i="6"/>
  <c r="K58" i="6"/>
  <c r="J58" i="6"/>
  <c r="I58" i="6"/>
  <c r="H58" i="6"/>
  <c r="G58" i="6"/>
  <c r="F58" i="6"/>
  <c r="E58" i="6"/>
  <c r="D58" i="6"/>
  <c r="Q57" i="6"/>
  <c r="P57" i="6"/>
  <c r="O57" i="6"/>
  <c r="N57" i="6"/>
  <c r="M57" i="6"/>
  <c r="L57" i="6"/>
  <c r="K57" i="6"/>
  <c r="J57" i="6"/>
  <c r="I57" i="6"/>
  <c r="H57" i="6"/>
  <c r="G57" i="6"/>
  <c r="F57" i="6"/>
  <c r="E57" i="6"/>
  <c r="D57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D56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D53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D51" i="6"/>
  <c r="Q50" i="6"/>
  <c r="P50" i="6"/>
  <c r="O50" i="6"/>
  <c r="N50" i="6"/>
  <c r="M50" i="6"/>
  <c r="L50" i="6"/>
  <c r="K50" i="6"/>
  <c r="J50" i="6"/>
  <c r="I50" i="6"/>
  <c r="H50" i="6"/>
  <c r="G50" i="6"/>
  <c r="F50" i="6"/>
  <c r="E50" i="6"/>
  <c r="D50" i="6"/>
  <c r="Q49" i="6"/>
  <c r="P49" i="6"/>
  <c r="O49" i="6"/>
  <c r="N49" i="6"/>
  <c r="M49" i="6"/>
  <c r="L49" i="6"/>
  <c r="K49" i="6"/>
  <c r="J49" i="6"/>
  <c r="I49" i="6"/>
  <c r="H49" i="6"/>
  <c r="G49" i="6"/>
  <c r="F49" i="6"/>
  <c r="E49" i="6"/>
  <c r="D49" i="6"/>
  <c r="Q48" i="6"/>
  <c r="P48" i="6"/>
  <c r="O48" i="6"/>
  <c r="N48" i="6"/>
  <c r="M48" i="6"/>
  <c r="L48" i="6"/>
  <c r="K48" i="6"/>
  <c r="J48" i="6"/>
  <c r="I48" i="6"/>
  <c r="H48" i="6"/>
  <c r="G48" i="6"/>
  <c r="F48" i="6"/>
  <c r="E48" i="6"/>
  <c r="D48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D47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2" i="6"/>
  <c r="B22" i="6"/>
  <c r="B9" i="5"/>
  <c r="C16" i="1"/>
  <c r="C16" i="5"/>
  <c r="C17" i="1"/>
  <c r="C17" i="5"/>
  <c r="V20" i="5"/>
  <c r="C15" i="5"/>
  <c r="S20" i="5"/>
  <c r="P20" i="5"/>
  <c r="M20" i="5"/>
  <c r="J20" i="5"/>
  <c r="G20" i="5"/>
  <c r="D20" i="5"/>
  <c r="C23" i="5"/>
  <c r="B23" i="5"/>
  <c r="B9" i="4"/>
  <c r="C16" i="4"/>
  <c r="C17" i="4"/>
  <c r="V20" i="4"/>
  <c r="C15" i="4"/>
  <c r="S20" i="4"/>
  <c r="P20" i="4"/>
  <c r="M20" i="4"/>
  <c r="J20" i="4"/>
  <c r="G20" i="4"/>
  <c r="D20" i="4"/>
  <c r="C23" i="4"/>
  <c r="B23" i="4"/>
  <c r="B9" i="1"/>
  <c r="C23" i="1"/>
  <c r="B23" i="1"/>
  <c r="G22" i="6"/>
  <c r="F22" i="6"/>
  <c r="G23" i="5"/>
  <c r="H23" i="5"/>
  <c r="I23" i="5"/>
  <c r="G23" i="4"/>
  <c r="H23" i="4"/>
  <c r="I23" i="4"/>
  <c r="G23" i="1"/>
  <c r="H23" i="1"/>
  <c r="I23" i="1"/>
  <c r="Q22" i="6"/>
  <c r="P22" i="6"/>
  <c r="O22" i="6"/>
  <c r="N22" i="6"/>
  <c r="M22" i="6"/>
  <c r="L22" i="6"/>
  <c r="K22" i="6"/>
  <c r="J22" i="6"/>
  <c r="I22" i="6"/>
  <c r="H22" i="6"/>
  <c r="E22" i="6"/>
  <c r="D22" i="6"/>
  <c r="A22" i="6"/>
  <c r="A5" i="6"/>
  <c r="A4" i="6"/>
  <c r="A3" i="6"/>
  <c r="A2" i="6"/>
  <c r="D23" i="5"/>
  <c r="D23" i="4"/>
  <c r="V23" i="5"/>
  <c r="W23" i="5"/>
  <c r="X23" i="5"/>
  <c r="S23" i="5"/>
  <c r="T23" i="5"/>
  <c r="U23" i="5"/>
  <c r="P23" i="5"/>
  <c r="Q23" i="5"/>
  <c r="R23" i="5"/>
  <c r="M23" i="5"/>
  <c r="N23" i="5"/>
  <c r="O23" i="5"/>
  <c r="J23" i="5"/>
  <c r="K23" i="5"/>
  <c r="L23" i="5"/>
  <c r="E23" i="5"/>
  <c r="F23" i="5"/>
  <c r="A23" i="5"/>
  <c r="A5" i="5"/>
  <c r="A4" i="5"/>
  <c r="A3" i="5"/>
  <c r="A2" i="5"/>
  <c r="V23" i="4"/>
  <c r="W23" i="4"/>
  <c r="X23" i="4"/>
  <c r="S23" i="4"/>
  <c r="T23" i="4"/>
  <c r="U23" i="4"/>
  <c r="P23" i="4"/>
  <c r="Q23" i="4"/>
  <c r="R23" i="4"/>
  <c r="M23" i="4"/>
  <c r="N23" i="4"/>
  <c r="O23" i="4"/>
  <c r="J23" i="4"/>
  <c r="K23" i="4"/>
  <c r="L23" i="4"/>
  <c r="E23" i="4"/>
  <c r="F23" i="4"/>
  <c r="A23" i="4"/>
  <c r="A5" i="4"/>
  <c r="A4" i="4"/>
  <c r="A3" i="4"/>
  <c r="A2" i="4"/>
  <c r="V23" i="1"/>
  <c r="W23" i="1"/>
  <c r="X23" i="1"/>
  <c r="S23" i="1"/>
  <c r="T23" i="1"/>
  <c r="U23" i="1"/>
  <c r="P23" i="1"/>
  <c r="Q23" i="1"/>
  <c r="R23" i="1"/>
  <c r="M23" i="1"/>
  <c r="N23" i="1"/>
  <c r="O23" i="1"/>
  <c r="J23" i="1"/>
  <c r="K23" i="1"/>
  <c r="L23" i="1"/>
  <c r="D23" i="1"/>
  <c r="E23" i="1"/>
  <c r="F23" i="1"/>
  <c r="A23" i="1"/>
  <c r="A5" i="1"/>
  <c r="A4" i="1"/>
  <c r="A3" i="1"/>
  <c r="A2" i="1"/>
</calcChain>
</file>

<file path=xl/sharedStrings.xml><?xml version="1.0" encoding="utf-8"?>
<sst xmlns="http://schemas.openxmlformats.org/spreadsheetml/2006/main" count="650" uniqueCount="76">
  <si>
    <t>Origin_Company</t>
  </si>
  <si>
    <t>Currency</t>
  </si>
  <si>
    <t>Prev_IC_mapping</t>
  </si>
  <si>
    <t>KUHN_Scope</t>
  </si>
  <si>
    <t>KUHN Sales</t>
  </si>
  <si>
    <t>QTY</t>
  </si>
  <si>
    <t>TOTAL PRODUCT</t>
  </si>
  <si>
    <t>L - 000 -</t>
  </si>
  <si>
    <t>L - 700000 - PLOUGHING</t>
  </si>
  <si>
    <t>L - 701000 - TILLAGE</t>
  </si>
  <si>
    <t>L - 702000 - SEEDING</t>
  </si>
  <si>
    <t>L - 703000 - FERTILISING</t>
  </si>
  <si>
    <t>L - 704000 - SPRAYING</t>
  </si>
  <si>
    <t>L - 705000 - LANDSCAPE MAINTENANCE</t>
  </si>
  <si>
    <t>L - 706000 - SHREDDING</t>
  </si>
  <si>
    <t>L - 707000 - HAY &amp; FORAGE</t>
  </si>
  <si>
    <t>L - 708000 - BALERS</t>
  </si>
  <si>
    <t>L - 709000 - WRAPPERS</t>
  </si>
  <si>
    <t>L - 712000 - CHOPPERS</t>
  </si>
  <si>
    <t>L - 715000 - BEDDING &amp; FEEDING</t>
  </si>
  <si>
    <t>L - 718000 - MANURE SPREADING</t>
  </si>
  <si>
    <t>L - 719000 - NON CONVENTIO. HARVESTING</t>
  </si>
  <si>
    <t>L - 720000 - FREIGHT</t>
  </si>
  <si>
    <t>L - 740000 - KIT</t>
  </si>
  <si>
    <t>L - 745000 - TRUCKS</t>
  </si>
  <si>
    <t>L - 746000 - JD MACHINES</t>
  </si>
  <si>
    <t>L - 750000 - SPARE PARTS</t>
  </si>
  <si>
    <t>L - 780000 - FREIGHT OUT INVOICED</t>
  </si>
  <si>
    <t>L - 790000 - SERVICES/EQUIPMENT</t>
  </si>
  <si>
    <t>L - 793000 -</t>
  </si>
  <si>
    <t>L - 795000 - NET VARIATION OF STOCK</t>
  </si>
  <si>
    <t>L - 799000 - EQUIPMENTS ALONE</t>
  </si>
  <si>
    <t>L - 890000 - SERVICES/EQUIPMENT</t>
  </si>
  <si>
    <t>L - 999000 - RECONCILIATION GEN</t>
  </si>
  <si>
    <t>L - NA - Not Available</t>
  </si>
  <si>
    <t>Total Country SOM</t>
  </si>
  <si>
    <t>EU + EFTA</t>
  </si>
  <si>
    <t>Eastern Europe</t>
  </si>
  <si>
    <t>North_America</t>
  </si>
  <si>
    <t>South &amp; Central America</t>
  </si>
  <si>
    <t>Asia</t>
  </si>
  <si>
    <t>Oceania</t>
  </si>
  <si>
    <t>Others</t>
  </si>
  <si>
    <t>France + DOM</t>
  </si>
  <si>
    <t>D</t>
  </si>
  <si>
    <t>N</t>
  </si>
  <si>
    <t>[Begin Format Range]</t>
  </si>
  <si>
    <t>[End Format Range]</t>
  </si>
  <si>
    <t>Market shares % (qty)</t>
  </si>
  <si>
    <t>Unit.Price</t>
  </si>
  <si>
    <t>%</t>
  </si>
  <si>
    <t>SALES</t>
  </si>
  <si>
    <t>AC2018</t>
  </si>
  <si>
    <t>Comments</t>
  </si>
  <si>
    <t>L - LAB - Ploughing</t>
  </si>
  <si>
    <t>L - SOL - Tillage</t>
  </si>
  <si>
    <t>L - SEM - Seeding</t>
  </si>
  <si>
    <t>L - FER - Fertilisation</t>
  </si>
  <si>
    <t>L - PLV - Spraying</t>
  </si>
  <si>
    <t>L - ENT - Landscape Maintenance</t>
  </si>
  <si>
    <t>L - BRO - Shredders</t>
  </si>
  <si>
    <t>L - RFO - Hay / Silage Making</t>
  </si>
  <si>
    <t>L - PRE - Balers</t>
  </si>
  <si>
    <t>L - ENR - Wrappers</t>
  </si>
  <si>
    <t>L - ENS - Choppers</t>
  </si>
  <si>
    <t>L - LP_GRAIN_CARTS - GRAIN CARTS</t>
  </si>
  <si>
    <t>L - CDE - Bedding &amp; Feeding</t>
  </si>
  <si>
    <t>L - EPA - Manure spreading</t>
  </si>
  <si>
    <t>L - NCH - Non-Conventional Harvesting</t>
  </si>
  <si>
    <t>L - EQU - Equipment</t>
  </si>
  <si>
    <t>L - DIV - OTHER</t>
  </si>
  <si>
    <t>L - SER - SERVICES</t>
  </si>
  <si>
    <t>L - REV - RESELL</t>
  </si>
  <si>
    <t>L - PDR - Parts : Common &amp; Kuhn Shop</t>
  </si>
  <si>
    <t>L - -1 - Not available</t>
  </si>
  <si>
    <t>L - -2 -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</si>
</sst>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- &quot;@"/>
    <numFmt numFmtId="165" formatCode="&quot;+ &quot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BDD6E7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C8C8C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0" fillId="2" borderId="0" xfId="0" applyFill="1"/>
    <xf numFmtId="0" fontId="3" fillId="2" borderId="1" xfId="0" applyFont="1" applyFill="1" applyBorder="1"/>
    <xf numFmtId="0" fontId="0" fillId="2" borderId="1" xfId="0" applyFill="1" applyBorder="1"/>
    <xf numFmtId="164" fontId="3" fillId="2" borderId="1" xfId="0" applyNumberFormat="1" applyFont="1" applyFill="1" applyBorder="1" applyAlignment="1"/>
    <xf numFmtId="165" fontId="3" fillId="2" borderId="1" xfId="0" applyNumberFormat="1" applyFont="1" applyFill="1" applyBorder="1" applyAlignment="1">
      <alignment horizontal="left" indent="1"/>
    </xf>
    <xf numFmtId="164" fontId="0" fillId="2" borderId="0" xfId="0" applyNumberFormat="1" applyFill="1" applyAlignment="1"/>
    <xf numFmtId="164" fontId="6" fillId="2" borderId="1" xfId="0" applyNumberFormat="1" applyFont="1" applyFill="1" applyBorder="1" applyAlignment="1"/>
    <xf numFmtId="165" fontId="6" fillId="2" borderId="1" xfId="0" applyNumberFormat="1" applyFont="1" applyFill="1" applyBorder="1" applyAlignment="1">
      <alignment horizontal="left" indent="1"/>
    </xf>
    <xf numFmtId="9" fontId="5" fillId="2" borderId="0" xfId="1" applyFont="1" applyFill="1"/>
    <xf numFmtId="4" fontId="7" fillId="0" borderId="0" xfId="0" applyNumberFormat="1" applyFont="1"/>
    <xf numFmtId="9" fontId="7" fillId="2" borderId="5" xfId="1" applyNumberFormat="1" applyFont="1" applyFill="1" applyBorder="1"/>
    <xf numFmtId="9" fontId="7" fillId="3" borderId="5" xfId="1" applyNumberFormat="1" applyFont="1" applyFill="1" applyBorder="1"/>
    <xf numFmtId="0" fontId="0" fillId="4" borderId="0" xfId="0" applyFill="1"/>
    <xf numFmtId="0" fontId="4" fillId="6" borderId="0" xfId="0" applyFont="1" applyFill="1" applyAlignment="1">
      <alignment horizontal="center"/>
    </xf>
    <xf numFmtId="0" fontId="0" fillId="7" borderId="0" xfId="0" applyFill="1"/>
    <xf numFmtId="0" fontId="0" fillId="5" borderId="0" xfId="0" applyFill="1"/>
    <xf numFmtId="0" fontId="3" fillId="5" borderId="0" xfId="0" applyFont="1" applyFill="1"/>
    <xf numFmtId="0" fontId="2" fillId="5" borderId="0" xfId="0" applyFont="1" applyFill="1"/>
    <xf numFmtId="3" fontId="7" fillId="2" borderId="2" xfId="0" applyNumberFormat="1" applyFont="1" applyFill="1" applyBorder="1"/>
    <xf numFmtId="3" fontId="7" fillId="2" borderId="6" xfId="0" applyNumberFormat="1" applyFont="1" applyFill="1" applyBorder="1"/>
    <xf numFmtId="3" fontId="7" fillId="3" borderId="3" xfId="0" applyNumberFormat="1" applyFont="1" applyFill="1" applyBorder="1"/>
    <xf numFmtId="3" fontId="7" fillId="3" borderId="0" xfId="0" applyNumberFormat="1" applyFont="1" applyFill="1" applyBorder="1"/>
    <xf numFmtId="3" fontId="7" fillId="3" borderId="4" xfId="0" applyNumberFormat="1" applyFont="1" applyFill="1" applyBorder="1"/>
    <xf numFmtId="3" fontId="7" fillId="3" borderId="7" xfId="0" applyNumberFormat="1" applyFont="1" applyFill="1" applyBorder="1"/>
    <xf numFmtId="3" fontId="7" fillId="0" borderId="0" xfId="0" applyNumberFormat="1" applyFont="1"/>
    <xf numFmtId="0" fontId="0" fillId="0" borderId="0" xfId="0" applyFill="1"/>
    <xf numFmtId="0" fontId="0" fillId="7" borderId="0" xfId="0" applyFill="1" applyBorder="1"/>
    <xf numFmtId="0" fontId="3" fillId="5" borderId="0" xfId="0" applyFont="1" applyFill="1" applyBorder="1"/>
    <xf numFmtId="0" fontId="2" fillId="5" borderId="0" xfId="0" applyFont="1" applyFill="1" applyBorder="1"/>
    <xf numFmtId="0" fontId="0" fillId="5" borderId="0" xfId="0" applyFill="1" applyBorder="1"/>
    <xf numFmtId="0" fontId="4" fillId="6" borderId="0" xfId="0" applyFont="1" applyFill="1" applyBorder="1" applyAlignment="1">
      <alignment wrapText="1"/>
    </xf>
    <xf numFmtId="0" fontId="0" fillId="0" borderId="0" xfId="0" applyBorder="1"/>
    <xf numFmtId="0" fontId="5" fillId="2" borderId="0" xfId="0" applyNumberFormat="1" applyFont="1" applyFill="1" applyBorder="1"/>
    <xf numFmtId="0" fontId="5" fillId="3" borderId="0" xfId="0" applyNumberFormat="1" applyFont="1" applyFill="1" applyBorder="1"/>
    <xf numFmtId="0" fontId="5" fillId="0" borderId="0" xfId="0" applyNumberFormat="1" applyFont="1" applyBorder="1"/>
    <xf numFmtId="0" fontId="0" fillId="2" borderId="0" xfId="0" applyFill="1" applyBorder="1"/>
    <xf numFmtId="0" fontId="0" fillId="4" borderId="0" xfId="0" applyFill="1" applyBorder="1"/>
    <xf numFmtId="164" fontId="0" fillId="2" borderId="0" xfId="0" applyNumberFormat="1" applyFill="1" applyBorder="1" applyAlignment="1"/>
    <xf numFmtId="165" fontId="0" fillId="4" borderId="0" xfId="0" applyNumberFormat="1" applyFill="1" applyBorder="1" applyAlignment="1">
      <alignment horizontal="left" indent="1"/>
    </xf>
    <xf numFmtId="0" fontId="4" fillId="6" borderId="0" xfId="0" applyFont="1" applyFill="1" applyAlignment="1">
      <alignment horizontal="center" wrapText="1"/>
    </xf>
    <xf numFmtId="0" fontId="4" fillId="6" borderId="0" xfId="0" applyFont="1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8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651933</xdr:colOff>
      <xdr:row>13</xdr:row>
      <xdr:rowOff>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915400" cy="74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15</xdr:row>
          <xdr:rowOff>0</xdr:rowOff>
        </xdr:from>
        <xdr:to>
          <xdr:col>5</xdr:col>
          <xdr:colOff>447675</xdr:colOff>
          <xdr:row>16</xdr:row>
          <xdr:rowOff>171450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84666</xdr:rowOff>
    </xdr:from>
    <xdr:to>
      <xdr:col>4</xdr:col>
      <xdr:colOff>651933</xdr:colOff>
      <xdr:row>13</xdr:row>
      <xdr:rowOff>84666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9733"/>
          <a:ext cx="8881533" cy="74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15</xdr:row>
          <xdr:rowOff>0</xdr:rowOff>
        </xdr:from>
        <xdr:to>
          <xdr:col>6</xdr:col>
          <xdr:colOff>914400</xdr:colOff>
          <xdr:row>18</xdr:row>
          <xdr:rowOff>28575</xdr:rowOff>
        </xdr:to>
        <xdr:sp macro="" textlink="">
          <xdr:nvSpPr>
            <xdr:cNvPr id="4097" name="TIButton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16933</xdr:colOff>
      <xdr:row>9</xdr:row>
      <xdr:rowOff>8466</xdr:rowOff>
    </xdr:from>
    <xdr:to>
      <xdr:col>4</xdr:col>
      <xdr:colOff>668866</xdr:colOff>
      <xdr:row>13</xdr:row>
      <xdr:rowOff>8466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" y="753533"/>
          <a:ext cx="8881533" cy="74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15</xdr:row>
          <xdr:rowOff>0</xdr:rowOff>
        </xdr:from>
        <xdr:to>
          <xdr:col>6</xdr:col>
          <xdr:colOff>914400</xdr:colOff>
          <xdr:row>18</xdr:row>
          <xdr:rowOff>28575</xdr:rowOff>
        </xdr:to>
        <xdr:sp macro="" textlink="">
          <xdr:nvSpPr>
            <xdr:cNvPr id="5121" name="TIButton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7</xdr:col>
      <xdr:colOff>749300</xdr:colOff>
      <xdr:row>13</xdr:row>
      <xdr:rowOff>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1714500"/>
          <a:ext cx="867410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419100</xdr:colOff>
          <xdr:row>13</xdr:row>
          <xdr:rowOff>0</xdr:rowOff>
        </xdr:from>
        <xdr:to>
          <xdr:col>10</xdr:col>
          <xdr:colOff>552450</xdr:colOff>
          <xdr:row>15</xdr:row>
          <xdr:rowOff>123825</xdr:rowOff>
        </xdr:to>
        <xdr:sp macro="" textlink="">
          <xdr:nvSpPr>
            <xdr:cNvPr id="8194" name="TIButton1" hidden="1">
              <a:extLst>
                <a:ext uri="{63B3BB69-23CF-44E3-9099-C40C66FF867C}">
                  <a14:compatExt spid="_x0000_s81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control" Target="../activeX/activeX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4.emf"/><Relationship Id="rId4" Type="http://schemas.openxmlformats.org/officeDocument/2006/relationships/control" Target="../activeX/activeX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5.emf"/><Relationship Id="rId4" Type="http://schemas.openxmlformats.org/officeDocument/2006/relationships/control" Target="../activeX/activeX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Y229"/>
  <sheetViews>
    <sheetView showGridLines="0" tabSelected="1" zoomScale="90" zoomScaleNormal="90" workbookViewId="0">
      <pane xSplit="3" ySplit="22" topLeftCell="D23" activePane="bottomRight" state="frozen"/>
      <selection activeCell="B10" sqref="B10"/>
      <selection pane="topRight" activeCell="D10" sqref="D10"/>
      <selection pane="bottomLeft" activeCell="B23" sqref="B23"/>
      <selection pane="bottomRight" activeCell="C15" sqref="C15"/>
    </sheetView>
  </sheetViews>
  <sheetFormatPr defaultColWidth="11.5703125" defaultRowHeight="15" zeroHeight="1" x14ac:dyDescent="0.25"/>
  <cols>
    <col min="1" max="1" width="18.7109375" hidden="1" customWidth="1"/>
    <col min="2" max="2" width="60.7109375" customWidth="1"/>
    <col min="3" max="3" width="40.7109375" customWidth="1"/>
    <col min="4" max="5" width="18.7109375" customWidth="1"/>
    <col min="6" max="6" width="10.7109375" customWidth="1"/>
    <col min="7" max="8" width="18.7109375" customWidth="1"/>
    <col min="9" max="9" width="10.7109375" customWidth="1"/>
    <col min="10" max="11" width="18.7109375" customWidth="1"/>
    <col min="12" max="12" width="10.7109375" customWidth="1"/>
    <col min="13" max="14" width="18.7109375" customWidth="1"/>
    <col min="15" max="15" width="10.7109375" customWidth="1"/>
    <col min="16" max="17" width="18.7109375" customWidth="1"/>
    <col min="18" max="18" width="10.7109375" customWidth="1"/>
    <col min="19" max="20" width="18.7109375" customWidth="1"/>
    <col min="21" max="21" width="10.7109375" customWidth="1"/>
    <col min="22" max="23" width="18.7109375" customWidth="1"/>
    <col min="24" max="24" width="10.7109375" customWidth="1"/>
    <col min="25" max="25" width="0.7109375" customWidth="1"/>
  </cols>
  <sheetData>
    <row r="1" spans="1:25" hidden="1" x14ac:dyDescent="0.25">
      <c r="A1" t="s">
        <v>46</v>
      </c>
    </row>
    <row r="2" spans="1:25" hidden="1" x14ac:dyDescent="0.25">
      <c r="A2">
        <f>0</f>
        <v>0</v>
      </c>
      <c r="B2" s="2"/>
      <c r="C2" s="1"/>
      <c r="D2" s="19"/>
      <c r="E2" s="20"/>
      <c r="F2" s="11"/>
      <c r="G2" s="19"/>
      <c r="H2" s="20"/>
      <c r="I2" s="11"/>
      <c r="J2" s="19"/>
      <c r="K2" s="20"/>
      <c r="L2" s="11"/>
      <c r="M2" s="19"/>
      <c r="N2" s="20"/>
      <c r="O2" s="11"/>
      <c r="P2" s="19"/>
      <c r="Q2" s="20"/>
      <c r="R2" s="11"/>
      <c r="S2" s="19"/>
      <c r="T2" s="20"/>
      <c r="U2" s="11"/>
      <c r="V2" s="19"/>
      <c r="W2" s="20"/>
      <c r="X2" s="11"/>
    </row>
    <row r="3" spans="1:25" hidden="1" x14ac:dyDescent="0.25">
      <c r="A3">
        <f>1</f>
        <v>1</v>
      </c>
      <c r="B3" s="3"/>
      <c r="C3" s="13"/>
      <c r="D3" s="21"/>
      <c r="E3" s="22"/>
      <c r="F3" s="12"/>
      <c r="G3" s="21"/>
      <c r="H3" s="22"/>
      <c r="I3" s="12"/>
      <c r="J3" s="21"/>
      <c r="K3" s="22"/>
      <c r="L3" s="12"/>
      <c r="M3" s="21"/>
      <c r="N3" s="22"/>
      <c r="O3" s="12"/>
      <c r="P3" s="21"/>
      <c r="Q3" s="22"/>
      <c r="R3" s="12"/>
      <c r="S3" s="21"/>
      <c r="T3" s="22"/>
      <c r="U3" s="12"/>
      <c r="V3" s="21"/>
      <c r="W3" s="22"/>
      <c r="X3" s="12"/>
    </row>
    <row r="4" spans="1:25" hidden="1" x14ac:dyDescent="0.25">
      <c r="A4">
        <f>2</f>
        <v>2</v>
      </c>
      <c r="B4" s="3"/>
      <c r="C4" s="13"/>
      <c r="D4" s="21"/>
      <c r="E4" s="22"/>
      <c r="F4" s="12"/>
      <c r="G4" s="21"/>
      <c r="H4" s="22"/>
      <c r="I4" s="12"/>
      <c r="J4" s="21"/>
      <c r="K4" s="22"/>
      <c r="L4" s="12"/>
      <c r="M4" s="21"/>
      <c r="N4" s="22"/>
      <c r="O4" s="12"/>
      <c r="P4" s="21"/>
      <c r="Q4" s="22"/>
      <c r="R4" s="12"/>
      <c r="S4" s="21"/>
      <c r="T4" s="22"/>
      <c r="U4" s="12"/>
      <c r="V4" s="21"/>
      <c r="W4" s="22"/>
      <c r="X4" s="12"/>
    </row>
    <row r="5" spans="1:25" hidden="1" x14ac:dyDescent="0.25">
      <c r="A5">
        <f>3</f>
        <v>3</v>
      </c>
      <c r="B5" s="3"/>
      <c r="C5" s="13"/>
      <c r="D5" s="21"/>
      <c r="E5" s="22"/>
      <c r="F5" s="12"/>
      <c r="G5" s="21"/>
      <c r="H5" s="22"/>
      <c r="I5" s="12"/>
      <c r="J5" s="21"/>
      <c r="K5" s="22"/>
      <c r="L5" s="12"/>
      <c r="M5" s="21"/>
      <c r="N5" s="22"/>
      <c r="O5" s="12"/>
      <c r="P5" s="21"/>
      <c r="Q5" s="22"/>
      <c r="R5" s="12"/>
      <c r="S5" s="21"/>
      <c r="T5" s="22"/>
      <c r="U5" s="12"/>
      <c r="V5" s="21"/>
      <c r="W5" s="22"/>
      <c r="X5" s="12"/>
    </row>
    <row r="6" spans="1:25" hidden="1" x14ac:dyDescent="0.25">
      <c r="A6" t="s">
        <v>44</v>
      </c>
      <c r="B6" s="3"/>
      <c r="C6" s="13"/>
      <c r="D6" s="23"/>
      <c r="E6" s="24"/>
      <c r="F6" s="12"/>
      <c r="G6" s="23"/>
      <c r="H6" s="24"/>
      <c r="I6" s="12"/>
      <c r="J6" s="23"/>
      <c r="K6" s="24"/>
      <c r="L6" s="12"/>
      <c r="M6" s="23"/>
      <c r="N6" s="24"/>
      <c r="O6" s="12"/>
      <c r="P6" s="23"/>
      <c r="Q6" s="24"/>
      <c r="R6" s="12"/>
      <c r="S6" s="23"/>
      <c r="T6" s="24"/>
      <c r="U6" s="12"/>
      <c r="V6" s="23"/>
      <c r="W6" s="24"/>
      <c r="X6" s="12"/>
    </row>
    <row r="7" spans="1:25" hidden="1" x14ac:dyDescent="0.25">
      <c r="A7" t="s">
        <v>45</v>
      </c>
      <c r="B7" s="3"/>
      <c r="C7" s="13"/>
      <c r="D7" s="25"/>
      <c r="E7" s="25"/>
      <c r="F7" s="10"/>
      <c r="G7" s="25"/>
      <c r="H7" s="25"/>
      <c r="I7" s="10"/>
      <c r="J7" s="25"/>
      <c r="K7" s="25"/>
      <c r="L7" s="10"/>
      <c r="M7" s="25"/>
      <c r="N7" s="25"/>
      <c r="O7" s="10"/>
      <c r="P7" s="25"/>
      <c r="Q7" s="25"/>
      <c r="R7" s="10"/>
      <c r="S7" s="25"/>
      <c r="T7" s="25"/>
      <c r="U7" s="10"/>
      <c r="V7" s="25"/>
      <c r="W7" s="25"/>
      <c r="X7" s="10"/>
    </row>
    <row r="8" spans="1:25" hidden="1" x14ac:dyDescent="0.25">
      <c r="A8" t="s">
        <v>47</v>
      </c>
    </row>
    <row r="9" spans="1:25" hidden="1" x14ac:dyDescent="0.25">
      <c r="B9" t="str">
        <f ca="1">_xll.TM1RPTVIEW("CXMD:OTC_DATA_MARKET_ANALYSIS:ARPT1", 1, _xll.TM1RPTTITLE("CXMD:Currency",$C$16), _xll.TM1RPTTITLE("CXMD:DIM_Prev_IC_mapping",$C$17), _xll.TM1RPTTITLE("CXMD:DIM_Origin_Company",$C$15),TM1RPTFMTRNG,TM1RPTFMTIDCOL)</f>
        <v>CXMD:OTC_DATA_MARKET_ANALYSIS:ARPT1</v>
      </c>
      <c r="Y9" s="26"/>
    </row>
    <row r="10" spans="1:25" s="15" customFormat="1" x14ac:dyDescent="0.25">
      <c r="Y10" s="26"/>
    </row>
    <row r="11" spans="1:25" s="15" customFormat="1" x14ac:dyDescent="0.25">
      <c r="Y11" s="26"/>
    </row>
    <row r="12" spans="1:25" s="15" customFormat="1" x14ac:dyDescent="0.25">
      <c r="Y12" s="26"/>
    </row>
    <row r="13" spans="1:25" s="15" customFormat="1" x14ac:dyDescent="0.25">
      <c r="Y13" s="26"/>
    </row>
    <row r="14" spans="1:25" s="16" customFormat="1" x14ac:dyDescent="0.25">
      <c r="Y14" s="26"/>
    </row>
    <row r="15" spans="1:25" s="16" customFormat="1" x14ac:dyDescent="0.25">
      <c r="B15" s="17" t="s">
        <v>0</v>
      </c>
      <c r="C15" s="18" t="str">
        <f ca="1">_xll.SUBNM("CXMD:DIM_Origin_Company","","-1","Name EN")</f>
        <v>Not available</v>
      </c>
      <c r="Y15" s="26"/>
    </row>
    <row r="16" spans="1:25" s="16" customFormat="1" x14ac:dyDescent="0.25">
      <c r="B16" s="17" t="s">
        <v>1</v>
      </c>
      <c r="C16" s="18" t="str">
        <f ca="1">_xll.SUBNM("CXMD:Currency","","CD_LC","Description EN")</f>
        <v>Local currency</v>
      </c>
      <c r="Y16" s="26"/>
    </row>
    <row r="17" spans="1:25" s="16" customFormat="1" x14ac:dyDescent="0.25">
      <c r="B17" s="17" t="s">
        <v>2</v>
      </c>
      <c r="C17" s="18" t="str">
        <f ca="1">_xll.SUBNM("CXMD:DIM_Prev_IC_mapping","","99 - Kuhn Group","Groupement_Alias")</f>
        <v>99 - Kuhn Group</v>
      </c>
      <c r="Y17" s="26"/>
    </row>
    <row r="18" spans="1:25" s="16" customFormat="1" x14ac:dyDescent="0.25">
      <c r="Y18" s="26"/>
    </row>
    <row r="19" spans="1:25" s="16" customFormat="1" x14ac:dyDescent="0.25">
      <c r="Y19" s="26"/>
    </row>
    <row r="20" spans="1:25" ht="16.899999999999999" customHeight="1" x14ac:dyDescent="0.25">
      <c r="B20" s="16"/>
      <c r="C20" s="16"/>
      <c r="D20" s="40" t="str">
        <f ca="1">_xll.SUBNM("CXMD:Actuality","Actuality_Market_Share","AC2020","Désignation EN")</f>
        <v>AC2020</v>
      </c>
      <c r="E20" s="40"/>
      <c r="F20" s="40" t="s">
        <v>48</v>
      </c>
      <c r="G20" s="40" t="str">
        <f ca="1">_xll.SUBNM("CXMD:Actuality","Actuality_Market_Share","AC2021","Désignation EN")</f>
        <v>AC2021</v>
      </c>
      <c r="H20" s="40"/>
      <c r="I20" s="40" t="s">
        <v>48</v>
      </c>
      <c r="J20" s="40" t="str">
        <f ca="1">_xll.SUBNM("CXMD:Actuality","Actuality_Market_Share","FC3_2022","Désignation EN")</f>
        <v>FC3_2022</v>
      </c>
      <c r="K20" s="40"/>
      <c r="L20" s="40" t="s">
        <v>48</v>
      </c>
      <c r="M20" s="40" t="str">
        <f ca="1">_xll.SUBNM("CXMD:Actuality","Actuality_Market_Share","PL2023 (update 2022)","Désignation EN")</f>
        <v>PL2023 (update 2022)</v>
      </c>
      <c r="N20" s="40"/>
      <c r="O20" s="40" t="s">
        <v>48</v>
      </c>
      <c r="P20" s="40" t="str">
        <f ca="1">_xll.SUBNM("CXMD:Actuality","Actuality_Market_Share","PL2024 (update 2022)","Désignation EN")</f>
        <v>PL2024 (update 2022)</v>
      </c>
      <c r="Q20" s="40"/>
      <c r="R20" s="40" t="s">
        <v>48</v>
      </c>
      <c r="S20" s="40" t="str">
        <f ca="1">_xll.SUBNM("CXMD:Actuality","Actuality_Market_Share","PL2025 (update 2022)","Désignation EN")</f>
        <v>PL2025 (update 2022)</v>
      </c>
      <c r="T20" s="40"/>
      <c r="U20" s="40" t="s">
        <v>48</v>
      </c>
      <c r="V20" s="40" t="str">
        <f ca="1">_xll.SUBNM("CXMD:Actuality","Actuality_Market_Share","PL2026 (update 2022)","Désignation EN")</f>
        <v>PL2026 (update 2022)</v>
      </c>
      <c r="W20" s="40"/>
      <c r="X20" s="40" t="s">
        <v>48</v>
      </c>
      <c r="Y20" s="26"/>
    </row>
    <row r="21" spans="1:25" x14ac:dyDescent="0.25">
      <c r="B21" s="16"/>
      <c r="C21" s="16"/>
      <c r="D21" s="14" t="s">
        <v>3</v>
      </c>
      <c r="E21" s="14" t="s">
        <v>4</v>
      </c>
      <c r="F21" s="40"/>
      <c r="G21" s="14" t="s">
        <v>3</v>
      </c>
      <c r="H21" s="14" t="s">
        <v>4</v>
      </c>
      <c r="I21" s="40"/>
      <c r="J21" s="14" t="s">
        <v>3</v>
      </c>
      <c r="K21" s="14" t="s">
        <v>4</v>
      </c>
      <c r="L21" s="40"/>
      <c r="M21" s="14" t="s">
        <v>3</v>
      </c>
      <c r="N21" s="14" t="s">
        <v>4</v>
      </c>
      <c r="O21" s="40"/>
      <c r="P21" s="14" t="s">
        <v>3</v>
      </c>
      <c r="Q21" s="14" t="s">
        <v>4</v>
      </c>
      <c r="R21" s="40"/>
      <c r="S21" s="14" t="s">
        <v>3</v>
      </c>
      <c r="T21" s="14" t="s">
        <v>4</v>
      </c>
      <c r="U21" s="40"/>
      <c r="V21" s="14" t="s">
        <v>3</v>
      </c>
      <c r="W21" s="14" t="s">
        <v>4</v>
      </c>
      <c r="X21" s="40"/>
    </row>
    <row r="22" spans="1:25" x14ac:dyDescent="0.25">
      <c r="B22" s="16"/>
      <c r="C22" s="16"/>
      <c r="D22" s="14" t="s">
        <v>5</v>
      </c>
      <c r="E22" s="14" t="s">
        <v>5</v>
      </c>
      <c r="F22" s="40"/>
      <c r="G22" s="14" t="s">
        <v>5</v>
      </c>
      <c r="H22" s="14" t="s">
        <v>5</v>
      </c>
      <c r="I22" s="40"/>
      <c r="J22" s="14" t="s">
        <v>5</v>
      </c>
      <c r="K22" s="14" t="s">
        <v>5</v>
      </c>
      <c r="L22" s="40"/>
      <c r="M22" s="14" t="s">
        <v>5</v>
      </c>
      <c r="N22" s="14" t="s">
        <v>5</v>
      </c>
      <c r="O22" s="40"/>
      <c r="P22" s="14" t="s">
        <v>5</v>
      </c>
      <c r="Q22" s="14" t="s">
        <v>5</v>
      </c>
      <c r="R22" s="40"/>
      <c r="S22" s="14" t="s">
        <v>5</v>
      </c>
      <c r="T22" s="14" t="s">
        <v>5</v>
      </c>
      <c r="U22" s="40"/>
      <c r="V22" s="14" t="s">
        <v>5</v>
      </c>
      <c r="W22" s="14" t="s">
        <v>5</v>
      </c>
      <c r="X22" s="40"/>
    </row>
    <row r="23" spans="1:25" x14ac:dyDescent="0.25">
      <c r="A23" t="str">
        <f ca="1">IF(_xll.TM1RPTELISCONSOLIDATED($C$23,$C23),IF(_xll.TM1RPTELLEV($C$23,$C23)&lt;=3,_xll.TM1RPTELLEV($C$23,$C23),"D"),"N")</f>
        <v>N</v>
      </c>
      <c r="B23" s="4" t="str">
        <f ca="1">_xll.TM1RPTROW($B$9,"CXMD:DIM_Configuration","Product_Line","","Description EN",0)</f>
        <v/>
      </c>
      <c r="C23" s="6" t="str">
        <f ca="1">_xll.TM1RPTROW($B$9,"CXMD:DIM_Country","Total Country SOM","","Description",0)</f>
        <v/>
      </c>
      <c r="D23" s="19" t="str">
        <f ca="1">_xll.DBRW($B$9,$C$16,$C$17,D$21,D$20,$C$15,$C23,$B23,D$22)</f>
        <v/>
      </c>
      <c r="E23" s="20" t="str">
        <f ca="1">_xll.DBRW($B$9,$C$16,$C$17,E$21,D$20,$C$15,$C23,$B23,E$22)</f>
        <v/>
      </c>
      <c r="F23" s="11" t="e">
        <f ca="1">IF(D23&lt;&gt;0,E23/D23,0)</f>
        <v>#VALUE!</v>
      </c>
      <c r="G23" s="19" t="str">
        <f ca="1">_xll.DBRW($B$9,$C$16,$C$17,G$21,G$20,$C$15,$C23,$B23,G$22)</f>
        <v/>
      </c>
      <c r="H23" s="20" t="str">
        <f ca="1">_xll.DBRW($B$9,$C$16,$C$17,H$21,G$20,$C$15,$C23,$B23,H$22)</f>
        <v/>
      </c>
      <c r="I23" s="11" t="e">
        <f ca="1">IF(G23&lt;&gt;0,H23/G23,0)</f>
        <v>#VALUE!</v>
      </c>
      <c r="J23" s="19" t="str">
        <f ca="1">_xll.DBRW($B$9,$C$16,$C$17,J$21,J$20,$C$15,$C23,$B23,J$22)</f>
        <v/>
      </c>
      <c r="K23" s="20" t="str">
        <f ca="1">_xll.DBRW($B$9,$C$16,$C$17,K$21,J$20,$C$15,$C23,$B23,K$22)</f>
        <v/>
      </c>
      <c r="L23" s="11" t="e">
        <f ca="1">IF(J23&lt;&gt;0,K23/J23,0)</f>
        <v>#VALUE!</v>
      </c>
      <c r="M23" s="19" t="str">
        <f ca="1">_xll.DBRW($B$9,$C$16,$C$17,M$21,M$20,$C$15,$C23,$B23,M$22)</f>
        <v/>
      </c>
      <c r="N23" s="20" t="str">
        <f ca="1">_xll.DBRW($B$9,$C$16,$C$17,N$21,M$20,$C$15,$C23,$B23,N$22)</f>
        <v/>
      </c>
      <c r="O23" s="11" t="e">
        <f ca="1">IF(M23&lt;&gt;0,N23/M23,0)</f>
        <v>#VALUE!</v>
      </c>
      <c r="P23" s="19" t="str">
        <f ca="1">_xll.DBRW($B$9,$C$16,$C$17,P$21,P$20,$C$15,$C23,$B23,P$22)</f>
        <v/>
      </c>
      <c r="Q23" s="20" t="str">
        <f ca="1">_xll.DBRW($B$9,$C$16,$C$17,Q$21,P$20,$C$15,$C23,$B23,Q$22)</f>
        <v/>
      </c>
      <c r="R23" s="11" t="e">
        <f ca="1">IF(P23&lt;&gt;0,Q23/P23,0)</f>
        <v>#VALUE!</v>
      </c>
      <c r="S23" s="19" t="str">
        <f ca="1">_xll.DBRW($B$9,$C$16,$C$17,S$21,S$20,$C$15,$C23,$B23,S$22)</f>
        <v/>
      </c>
      <c r="T23" s="20" t="str">
        <f ca="1">_xll.DBRW($B$9,$C$16,$C$17,T$21,S$20,$C$15,$C23,$B23,T$22)</f>
        <v/>
      </c>
      <c r="U23" s="11" t="e">
        <f ca="1">IF(S23&lt;&gt;0,T23/S23,0)</f>
        <v>#VALUE!</v>
      </c>
      <c r="V23" s="19" t="str">
        <f ca="1">_xll.DBRW($B$9,$C$16,$C$17,V$21,V$20,$C$15,$C23,$B23,V$22)</f>
        <v/>
      </c>
      <c r="W23" s="20" t="str">
        <f ca="1">_xll.DBRW($B$9,$C$16,$C$17,W$21,V$20,$C$15,$C23,$B23,W$22)</f>
        <v/>
      </c>
      <c r="X23" s="9" t="e">
        <f ca="1">IF(V23&lt;&gt;0,W23/V23,0)</f>
        <v>#VALUE!</v>
      </c>
    </row>
    <row r="24" spans="1:25" hidden="1" x14ac:dyDescent="0.25"/>
    <row r="25" spans="1:25" hidden="1" x14ac:dyDescent="0.25"/>
    <row r="26" spans="1:25" hidden="1" x14ac:dyDescent="0.25"/>
    <row r="27" spans="1:25" hidden="1" x14ac:dyDescent="0.25"/>
    <row r="28" spans="1:25" hidden="1" x14ac:dyDescent="0.25"/>
    <row r="29" spans="1:25" hidden="1" x14ac:dyDescent="0.25"/>
    <row r="30" spans="1:25" hidden="1" x14ac:dyDescent="0.25"/>
    <row r="31" spans="1:25" hidden="1" x14ac:dyDescent="0.25"/>
    <row r="32" spans="1:25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</sheetData>
  <mergeCells count="14">
    <mergeCell ref="X20:X22"/>
    <mergeCell ref="P20:Q20"/>
    <mergeCell ref="M20:N20"/>
    <mergeCell ref="J20:K20"/>
    <mergeCell ref="D20:E20"/>
    <mergeCell ref="V20:W20"/>
    <mergeCell ref="S20:T20"/>
    <mergeCell ref="F20:F22"/>
    <mergeCell ref="L20:L22"/>
    <mergeCell ref="O20:O22"/>
    <mergeCell ref="R20:R22"/>
    <mergeCell ref="U20:U22"/>
    <mergeCell ref="G20:H20"/>
    <mergeCell ref="I20:I22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>
              <from>
                <xdr:col>4</xdr:col>
                <xdr:colOff>0</xdr:colOff>
                <xdr:row>15</xdr:row>
                <xdr:rowOff>0</xdr:rowOff>
              </from>
              <to>
                <xdr:col>5</xdr:col>
                <xdr:colOff>447675</xdr:colOff>
                <xdr:row>16</xdr:row>
                <xdr:rowOff>171450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"/>
  <dimension ref="A1:Y229"/>
  <sheetViews>
    <sheetView showGridLines="0" topLeftCell="B10" zoomScale="90" zoomScaleNormal="90" workbookViewId="0">
      <selection activeCell="C15" sqref="C15"/>
    </sheetView>
  </sheetViews>
  <sheetFormatPr defaultColWidth="0" defaultRowHeight="15" zeroHeight="1" x14ac:dyDescent="0.25"/>
  <cols>
    <col min="1" max="1" width="18.7109375" hidden="1" customWidth="1"/>
    <col min="2" max="2" width="60.7109375" customWidth="1"/>
    <col min="3" max="3" width="40.7109375" customWidth="1"/>
    <col min="4" max="5" width="18.7109375" customWidth="1"/>
    <col min="6" max="6" width="10.7109375" customWidth="1"/>
    <col min="7" max="8" width="18.7109375" customWidth="1"/>
    <col min="9" max="9" width="10.7109375" customWidth="1"/>
    <col min="10" max="11" width="18.7109375" customWidth="1"/>
    <col min="12" max="12" width="10.7109375" customWidth="1"/>
    <col min="13" max="14" width="18.7109375" customWidth="1"/>
    <col min="15" max="15" width="10.7109375" customWidth="1"/>
    <col min="16" max="17" width="18.7109375" customWidth="1"/>
    <col min="18" max="18" width="10.7109375" customWidth="1"/>
    <col min="19" max="20" width="18.7109375" customWidth="1"/>
    <col min="21" max="21" width="10.7109375" customWidth="1"/>
    <col min="22" max="23" width="18.7109375" customWidth="1"/>
    <col min="24" max="24" width="10.7109375" customWidth="1"/>
    <col min="25" max="25" width="0.7109375" customWidth="1"/>
    <col min="26" max="16384" width="11.5703125" hidden="1"/>
  </cols>
  <sheetData>
    <row r="1" spans="1:25" hidden="1" x14ac:dyDescent="0.25">
      <c r="A1" t="s">
        <v>46</v>
      </c>
    </row>
    <row r="2" spans="1:25" hidden="1" x14ac:dyDescent="0.25">
      <c r="A2">
        <f>0</f>
        <v>0</v>
      </c>
      <c r="B2" s="2"/>
      <c r="C2" s="1"/>
      <c r="D2" s="19"/>
      <c r="E2" s="20"/>
      <c r="F2" s="11"/>
      <c r="G2" s="19"/>
      <c r="H2" s="20"/>
      <c r="I2" s="11"/>
      <c r="J2" s="19"/>
      <c r="K2" s="20"/>
      <c r="L2" s="11"/>
      <c r="M2" s="19"/>
      <c r="N2" s="20"/>
      <c r="O2" s="11"/>
      <c r="P2" s="19"/>
      <c r="Q2" s="20"/>
      <c r="R2" s="11"/>
      <c r="S2" s="19"/>
      <c r="T2" s="20"/>
      <c r="U2" s="11"/>
      <c r="V2" s="19"/>
      <c r="W2" s="20"/>
      <c r="X2" s="11"/>
    </row>
    <row r="3" spans="1:25" hidden="1" x14ac:dyDescent="0.25">
      <c r="A3">
        <f>1</f>
        <v>1</v>
      </c>
      <c r="B3" s="3"/>
      <c r="C3" s="13"/>
      <c r="D3" s="21"/>
      <c r="E3" s="22"/>
      <c r="F3" s="12"/>
      <c r="G3" s="21"/>
      <c r="H3" s="22"/>
      <c r="I3" s="12"/>
      <c r="J3" s="21"/>
      <c r="K3" s="22"/>
      <c r="L3" s="12"/>
      <c r="M3" s="21"/>
      <c r="N3" s="22"/>
      <c r="O3" s="12"/>
      <c r="P3" s="21"/>
      <c r="Q3" s="22"/>
      <c r="R3" s="12"/>
      <c r="S3" s="21"/>
      <c r="T3" s="22"/>
      <c r="U3" s="12"/>
      <c r="V3" s="21"/>
      <c r="W3" s="22"/>
      <c r="X3" s="12"/>
    </row>
    <row r="4" spans="1:25" hidden="1" x14ac:dyDescent="0.25">
      <c r="A4">
        <f>2</f>
        <v>2</v>
      </c>
      <c r="B4" s="3"/>
      <c r="C4" s="13"/>
      <c r="D4" s="21"/>
      <c r="E4" s="22"/>
      <c r="F4" s="12"/>
      <c r="G4" s="21"/>
      <c r="H4" s="22"/>
      <c r="I4" s="12"/>
      <c r="J4" s="21"/>
      <c r="K4" s="22"/>
      <c r="L4" s="12"/>
      <c r="M4" s="21"/>
      <c r="N4" s="22"/>
      <c r="O4" s="12"/>
      <c r="P4" s="21"/>
      <c r="Q4" s="22"/>
      <c r="R4" s="12"/>
      <c r="S4" s="21"/>
      <c r="T4" s="22"/>
      <c r="U4" s="12"/>
      <c r="V4" s="21"/>
      <c r="W4" s="22"/>
      <c r="X4" s="12"/>
    </row>
    <row r="5" spans="1:25" hidden="1" x14ac:dyDescent="0.25">
      <c r="A5">
        <f>3</f>
        <v>3</v>
      </c>
      <c r="B5" s="3"/>
      <c r="C5" s="13"/>
      <c r="D5" s="21"/>
      <c r="E5" s="22"/>
      <c r="F5" s="12"/>
      <c r="G5" s="21"/>
      <c r="H5" s="22"/>
      <c r="I5" s="12"/>
      <c r="J5" s="21"/>
      <c r="K5" s="22"/>
      <c r="L5" s="12"/>
      <c r="M5" s="21"/>
      <c r="N5" s="22"/>
      <c r="O5" s="12"/>
      <c r="P5" s="21"/>
      <c r="Q5" s="22"/>
      <c r="R5" s="12"/>
      <c r="S5" s="21"/>
      <c r="T5" s="22"/>
      <c r="U5" s="12"/>
      <c r="V5" s="21"/>
      <c r="W5" s="22"/>
      <c r="X5" s="12"/>
    </row>
    <row r="6" spans="1:25" hidden="1" x14ac:dyDescent="0.25">
      <c r="A6" t="s">
        <v>44</v>
      </c>
      <c r="B6" s="3"/>
      <c r="C6" s="13"/>
      <c r="D6" s="23"/>
      <c r="E6" s="24"/>
      <c r="F6" s="12"/>
      <c r="G6" s="23"/>
      <c r="H6" s="24"/>
      <c r="I6" s="12"/>
      <c r="J6" s="23"/>
      <c r="K6" s="24"/>
      <c r="L6" s="12"/>
      <c r="M6" s="23"/>
      <c r="N6" s="24"/>
      <c r="O6" s="12"/>
      <c r="P6" s="23"/>
      <c r="Q6" s="24"/>
      <c r="R6" s="12"/>
      <c r="S6" s="23"/>
      <c r="T6" s="24"/>
      <c r="U6" s="12"/>
      <c r="V6" s="23"/>
      <c r="W6" s="24"/>
      <c r="X6" s="12"/>
    </row>
    <row r="7" spans="1:25" hidden="1" x14ac:dyDescent="0.25">
      <c r="A7" t="s">
        <v>45</v>
      </c>
      <c r="B7" s="3"/>
      <c r="C7" s="13"/>
      <c r="D7" s="25"/>
      <c r="E7" s="25"/>
      <c r="F7" s="10"/>
      <c r="G7" s="25"/>
      <c r="H7" s="25"/>
      <c r="I7" s="10"/>
      <c r="J7" s="25"/>
      <c r="K7" s="25"/>
      <c r="L7" s="10"/>
      <c r="M7" s="25"/>
      <c r="N7" s="25"/>
      <c r="O7" s="10"/>
      <c r="P7" s="25"/>
      <c r="Q7" s="25"/>
      <c r="R7" s="10"/>
      <c r="S7" s="25"/>
      <c r="T7" s="25"/>
      <c r="U7" s="10"/>
      <c r="V7" s="25"/>
      <c r="W7" s="25"/>
      <c r="X7" s="10"/>
    </row>
    <row r="8" spans="1:25" hidden="1" x14ac:dyDescent="0.25">
      <c r="A8" t="s">
        <v>47</v>
      </c>
    </row>
    <row r="9" spans="1:25" hidden="1" x14ac:dyDescent="0.25">
      <c r="B9" t="str">
        <f ca="1">_xll.TM1RPTVIEW("CXMD:OTC_DATA_MARKET_ANALYSIS:ARPT1", 1, _xll.TM1RPTTITLE("CXMD:Currency",$C$16), _xll.TM1RPTTITLE("CXMD:DIM_Prev_IC_mapping",$C$17), _xll.TM1RPTTITLE("CXMD:DIM_Origin_Company",$C$15),TM1RPTFMTRNG,TM1RPTFMTIDCOL)</f>
        <v>CXMD:OTC_DATA_MARKET_ANALYSIS:ARPT1</v>
      </c>
      <c r="Y9" s="26"/>
    </row>
    <row r="10" spans="1:25" s="15" customFormat="1" x14ac:dyDescent="0.25">
      <c r="Y10" s="26"/>
    </row>
    <row r="11" spans="1:25" s="15" customFormat="1" x14ac:dyDescent="0.25">
      <c r="Y11" s="26"/>
    </row>
    <row r="12" spans="1:25" s="15" customFormat="1" x14ac:dyDescent="0.25">
      <c r="Y12" s="26"/>
    </row>
    <row r="13" spans="1:25" s="15" customFormat="1" x14ac:dyDescent="0.25">
      <c r="Y13" s="26"/>
    </row>
    <row r="14" spans="1:25" s="16" customFormat="1" x14ac:dyDescent="0.25">
      <c r="Y14" s="26"/>
    </row>
    <row r="15" spans="1:25" s="16" customFormat="1" x14ac:dyDescent="0.25">
      <c r="B15" s="17" t="s">
        <v>0</v>
      </c>
      <c r="C15" s="18" t="str">
        <f ca="1">QTY!C15</f>
        <v>Not available</v>
      </c>
      <c r="Y15" s="26"/>
    </row>
    <row r="16" spans="1:25" s="16" customFormat="1" x14ac:dyDescent="0.25">
      <c r="B16" s="17" t="s">
        <v>1</v>
      </c>
      <c r="C16" s="18" t="str">
        <f ca="1">QTY!C16</f>
        <v>Local currency</v>
      </c>
      <c r="Y16" s="26"/>
    </row>
    <row r="17" spans="1:25" s="16" customFormat="1" x14ac:dyDescent="0.25">
      <c r="B17" s="17" t="s">
        <v>2</v>
      </c>
      <c r="C17" s="18" t="str">
        <f ca="1">QTY!C17</f>
        <v>99 - Kuhn Group</v>
      </c>
      <c r="Y17" s="26"/>
    </row>
    <row r="18" spans="1:25" s="16" customFormat="1" x14ac:dyDescent="0.25">
      <c r="Y18" s="26"/>
    </row>
    <row r="19" spans="1:25" s="16" customFormat="1" x14ac:dyDescent="0.25">
      <c r="Y19" s="26"/>
    </row>
    <row r="20" spans="1:25" ht="16.899999999999999" customHeight="1" x14ac:dyDescent="0.25">
      <c r="B20" s="16"/>
      <c r="C20" s="16"/>
      <c r="D20" s="40" t="str">
        <f ca="1">QTY!D20</f>
        <v>AC2020</v>
      </c>
      <c r="E20" s="40"/>
      <c r="F20" s="40" t="s">
        <v>50</v>
      </c>
      <c r="G20" s="40" t="str">
        <f ca="1">QTY!G20</f>
        <v>AC2021</v>
      </c>
      <c r="H20" s="40"/>
      <c r="I20" s="40" t="s">
        <v>50</v>
      </c>
      <c r="J20" s="40" t="str">
        <f ca="1">QTY!J20</f>
        <v>FC3_2022</v>
      </c>
      <c r="K20" s="40"/>
      <c r="L20" s="40" t="s">
        <v>50</v>
      </c>
      <c r="M20" s="40" t="str">
        <f ca="1">QTY!M20</f>
        <v>PL2023 (update 2022)</v>
      </c>
      <c r="N20" s="40"/>
      <c r="O20" s="40" t="s">
        <v>50</v>
      </c>
      <c r="P20" s="40" t="str">
        <f ca="1">QTY!P20</f>
        <v>PL2024 (update 2022)</v>
      </c>
      <c r="Q20" s="40"/>
      <c r="R20" s="40" t="s">
        <v>50</v>
      </c>
      <c r="S20" s="40" t="str">
        <f ca="1">QTY!S20</f>
        <v>PL2025 (update 2022)</v>
      </c>
      <c r="T20" s="40"/>
      <c r="U20" s="40" t="s">
        <v>50</v>
      </c>
      <c r="V20" s="40" t="str">
        <f ca="1">QTY!V20</f>
        <v>PL2026 (update 2022)</v>
      </c>
      <c r="W20" s="40"/>
      <c r="X20" s="40" t="s">
        <v>50</v>
      </c>
      <c r="Y20" s="26"/>
    </row>
    <row r="21" spans="1:25" x14ac:dyDescent="0.25">
      <c r="B21" s="16"/>
      <c r="C21" s="16"/>
      <c r="D21" s="14" t="s">
        <v>3</v>
      </c>
      <c r="E21" s="14" t="s">
        <v>4</v>
      </c>
      <c r="F21" s="40"/>
      <c r="G21" s="14" t="s">
        <v>3</v>
      </c>
      <c r="H21" s="14" t="s">
        <v>4</v>
      </c>
      <c r="I21" s="40"/>
      <c r="J21" s="14" t="s">
        <v>3</v>
      </c>
      <c r="K21" s="14" t="s">
        <v>4</v>
      </c>
      <c r="L21" s="40"/>
      <c r="M21" s="14" t="s">
        <v>3</v>
      </c>
      <c r="N21" s="14" t="s">
        <v>4</v>
      </c>
      <c r="O21" s="40"/>
      <c r="P21" s="14" t="s">
        <v>3</v>
      </c>
      <c r="Q21" s="14" t="s">
        <v>4</v>
      </c>
      <c r="R21" s="40"/>
      <c r="S21" s="14" t="s">
        <v>3</v>
      </c>
      <c r="T21" s="14" t="s">
        <v>4</v>
      </c>
      <c r="U21" s="40"/>
      <c r="V21" s="14" t="s">
        <v>3</v>
      </c>
      <c r="W21" s="14" t="s">
        <v>4</v>
      </c>
      <c r="X21" s="40"/>
    </row>
    <row r="22" spans="1:25" x14ac:dyDescent="0.25">
      <c r="B22" s="16"/>
      <c r="C22" s="16"/>
      <c r="D22" s="14" t="s">
        <v>49</v>
      </c>
      <c r="E22" s="14" t="s">
        <v>49</v>
      </c>
      <c r="F22" s="40"/>
      <c r="G22" s="14" t="s">
        <v>49</v>
      </c>
      <c r="H22" s="14" t="s">
        <v>49</v>
      </c>
      <c r="I22" s="40"/>
      <c r="J22" s="14" t="s">
        <v>49</v>
      </c>
      <c r="K22" s="14" t="s">
        <v>49</v>
      </c>
      <c r="L22" s="40"/>
      <c r="M22" s="14" t="s">
        <v>49</v>
      </c>
      <c r="N22" s="14" t="s">
        <v>49</v>
      </c>
      <c r="O22" s="40"/>
      <c r="P22" s="14" t="s">
        <v>49</v>
      </c>
      <c r="Q22" s="14" t="s">
        <v>49</v>
      </c>
      <c r="R22" s="40"/>
      <c r="S22" s="14" t="s">
        <v>49</v>
      </c>
      <c r="T22" s="14" t="s">
        <v>49</v>
      </c>
      <c r="U22" s="40"/>
      <c r="V22" s="14" t="s">
        <v>49</v>
      </c>
      <c r="W22" s="14" t="s">
        <v>49</v>
      </c>
      <c r="X22" s="40"/>
    </row>
    <row r="23" spans="1:25" x14ac:dyDescent="0.25">
      <c r="A23" t="str">
        <f ca="1">IF(_xll.TM1RPTELISCONSOLIDATED($C$23,$C23),IF(_xll.TM1RPTELLEV($C$23,$C23)&lt;=3,_xll.TM1RPTELLEV($C$23,$C23),"D"),"N")</f>
        <v>N</v>
      </c>
      <c r="B23" s="4" t="str">
        <f ca="1">_xll.TM1RPTROW($B$9,"CXMD:DIM_Configuration","Product_Line",,"Description EN",0)</f>
        <v/>
      </c>
      <c r="C23" s="6" t="str">
        <f ca="1">_xll.TM1RPTROW($B$9,"CXMD:DIM_Country","Total Country SOM","","Description",0)</f>
        <v/>
      </c>
      <c r="D23" s="19" t="str">
        <f ca="1">_xll.DBRW($B$9,$C$16,$C$17,D$21,D$20,$C$15,$C23,$B23,D$22)</f>
        <v/>
      </c>
      <c r="E23" s="20" t="str">
        <f ca="1">_xll.DBRW($B$9,$C$16,$C$17,E$21,D$20,$C$15,$C23,$B23,E$22)</f>
        <v/>
      </c>
      <c r="F23" s="11" t="e">
        <f ca="1">IF(D23&lt;&gt;0,E23/D23,0)</f>
        <v>#VALUE!</v>
      </c>
      <c r="G23" s="19" t="str">
        <f ca="1">_xll.DBRW($B$9,$C$16,$C$17,G$21,G$20,$C$15,$C23,$B23,G$22)</f>
        <v/>
      </c>
      <c r="H23" s="20" t="str">
        <f ca="1">_xll.DBRW($B$9,$C$16,$C$17,H$21,G$20,$C$15,$C23,$B23,H$22)</f>
        <v/>
      </c>
      <c r="I23" s="11" t="e">
        <f ca="1">IF(G23&lt;&gt;0,H23/G23,0)</f>
        <v>#VALUE!</v>
      </c>
      <c r="J23" s="19" t="str">
        <f ca="1">_xll.DBRW($B$9,$C$16,$C$17,J$21,J$20,$C$15,$C23,$B23,J$22)</f>
        <v/>
      </c>
      <c r="K23" s="20" t="str">
        <f ca="1">_xll.DBRW($B$9,$C$16,$C$17,K$21,J$20,$C$15,$C23,$B23,K$22)</f>
        <v/>
      </c>
      <c r="L23" s="11" t="e">
        <f ca="1">IF(J23&lt;&gt;0,K23/J23,0)</f>
        <v>#VALUE!</v>
      </c>
      <c r="M23" s="19" t="str">
        <f ca="1">_xll.DBRW($B$9,$C$16,$C$17,M$21,M$20,$C$15,$C23,$B23,M$22)</f>
        <v/>
      </c>
      <c r="N23" s="20" t="str">
        <f ca="1">_xll.DBRW($B$9,$C$16,$C$17,N$21,M$20,$C$15,$C23,$B23,N$22)</f>
        <v/>
      </c>
      <c r="O23" s="11" t="e">
        <f ca="1">IF(M23&lt;&gt;0,N23/M23,0)</f>
        <v>#VALUE!</v>
      </c>
      <c r="P23" s="19" t="str">
        <f ca="1">_xll.DBRW($B$9,$C$16,$C$17,P$21,P$20,$C$15,$C23,$B23,P$22)</f>
        <v/>
      </c>
      <c r="Q23" s="20" t="str">
        <f ca="1">_xll.DBRW($B$9,$C$16,$C$17,Q$21,P$20,$C$15,$C23,$B23,Q$22)</f>
        <v/>
      </c>
      <c r="R23" s="11" t="e">
        <f ca="1">IF(P23&lt;&gt;0,Q23/P23,0)</f>
        <v>#VALUE!</v>
      </c>
      <c r="S23" s="19" t="str">
        <f ca="1">_xll.DBRW($B$9,$C$16,$C$17,S$21,S$20,$C$15,$C23,$B23,S$22)</f>
        <v/>
      </c>
      <c r="T23" s="20" t="str">
        <f ca="1">_xll.DBRW($B$9,$C$16,$C$17,T$21,S$20,$C$15,$C23,$B23,T$22)</f>
        <v/>
      </c>
      <c r="U23" s="11" t="e">
        <f ca="1">IF(S23&lt;&gt;0,T23/S23,0)</f>
        <v>#VALUE!</v>
      </c>
      <c r="V23" s="19" t="str">
        <f ca="1">_xll.DBRW($B$9,$C$16,$C$17,V$21,V$20,$C$15,$C23,$B23,V$22)</f>
        <v/>
      </c>
      <c r="W23" s="20" t="str">
        <f ca="1">_xll.DBRW($B$9,$C$16,$C$17,W$21,V$20,$C$15,$C23,$B23,W$22)</f>
        <v/>
      </c>
      <c r="X23" s="9" t="e">
        <f ca="1">IF(V23&lt;&gt;0,W23/V23,0)</f>
        <v>#VALUE!</v>
      </c>
    </row>
    <row r="24" spans="1:25" hidden="1" x14ac:dyDescent="0.25"/>
    <row r="25" spans="1:25" hidden="1" x14ac:dyDescent="0.25"/>
    <row r="26" spans="1:25" hidden="1" x14ac:dyDescent="0.25"/>
    <row r="27" spans="1:25" hidden="1" x14ac:dyDescent="0.25"/>
    <row r="28" spans="1:25" hidden="1" x14ac:dyDescent="0.25"/>
    <row r="29" spans="1:25" hidden="1" x14ac:dyDescent="0.25"/>
    <row r="30" spans="1:25" hidden="1" x14ac:dyDescent="0.25"/>
    <row r="31" spans="1:25" hidden="1" x14ac:dyDescent="0.25"/>
    <row r="32" spans="1:25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</sheetData>
  <mergeCells count="14">
    <mergeCell ref="X20:X22"/>
    <mergeCell ref="D20:E20"/>
    <mergeCell ref="F20:F22"/>
    <mergeCell ref="J20:K20"/>
    <mergeCell ref="L20:L22"/>
    <mergeCell ref="M20:N20"/>
    <mergeCell ref="O20:O22"/>
    <mergeCell ref="P20:Q20"/>
    <mergeCell ref="R20:R22"/>
    <mergeCell ref="S20:T20"/>
    <mergeCell ref="U20:U22"/>
    <mergeCell ref="V20:W20"/>
    <mergeCell ref="G20:H20"/>
    <mergeCell ref="I20:I22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4097" r:id="rId4" name="TIButton1">
          <controlPr defaultSize="0" print="0" autoLine="0" autoPict="0" r:id="rId5">
            <anchor moveWithCells="1">
              <from>
                <xdr:col>4</xdr:col>
                <xdr:colOff>0</xdr:colOff>
                <xdr:row>15</xdr:row>
                <xdr:rowOff>0</xdr:rowOff>
              </from>
              <to>
                <xdr:col>6</xdr:col>
                <xdr:colOff>914400</xdr:colOff>
                <xdr:row>18</xdr:row>
                <xdr:rowOff>28575</xdr:rowOff>
              </to>
            </anchor>
          </controlPr>
        </control>
      </mc:Choice>
      <mc:Fallback>
        <control shapeId="4097" r:id="rId4" name="TIButton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"/>
  <dimension ref="A1:Y229"/>
  <sheetViews>
    <sheetView showGridLines="0" topLeftCell="B10" zoomScale="90" zoomScaleNormal="90" workbookViewId="0">
      <selection activeCell="C15" sqref="C15"/>
    </sheetView>
  </sheetViews>
  <sheetFormatPr defaultColWidth="11.5703125" defaultRowHeight="15" zeroHeight="1" x14ac:dyDescent="0.25"/>
  <cols>
    <col min="1" max="1" width="18.7109375" hidden="1" customWidth="1"/>
    <col min="2" max="2" width="60.7109375" customWidth="1"/>
    <col min="3" max="3" width="40.7109375" customWidth="1"/>
    <col min="4" max="5" width="18.7109375" customWidth="1"/>
    <col min="6" max="6" width="10.7109375" customWidth="1"/>
    <col min="7" max="8" width="18.7109375" customWidth="1"/>
    <col min="9" max="9" width="10.7109375" customWidth="1"/>
    <col min="10" max="11" width="18.7109375" customWidth="1"/>
    <col min="12" max="12" width="10.7109375" customWidth="1"/>
    <col min="13" max="14" width="18.7109375" customWidth="1"/>
    <col min="15" max="15" width="10.7109375" customWidth="1"/>
    <col min="16" max="17" width="18.7109375" customWidth="1"/>
    <col min="18" max="18" width="10.7109375" customWidth="1"/>
    <col min="19" max="20" width="18.7109375" customWidth="1"/>
    <col min="21" max="21" width="10.7109375" customWidth="1"/>
    <col min="22" max="23" width="18.7109375" customWidth="1"/>
    <col min="24" max="24" width="10.7109375" customWidth="1"/>
    <col min="25" max="25" width="0.7109375" customWidth="1"/>
  </cols>
  <sheetData>
    <row r="1" spans="1:25" hidden="1" x14ac:dyDescent="0.25">
      <c r="A1" t="s">
        <v>46</v>
      </c>
    </row>
    <row r="2" spans="1:25" hidden="1" x14ac:dyDescent="0.25">
      <c r="A2">
        <f>0</f>
        <v>0</v>
      </c>
      <c r="B2" s="2"/>
      <c r="C2" s="1"/>
      <c r="D2" s="19"/>
      <c r="E2" s="20"/>
      <c r="F2" s="11"/>
      <c r="G2" s="19"/>
      <c r="H2" s="20"/>
      <c r="I2" s="11"/>
      <c r="J2" s="19"/>
      <c r="K2" s="20"/>
      <c r="L2" s="11"/>
      <c r="M2" s="19"/>
      <c r="N2" s="20"/>
      <c r="O2" s="11"/>
      <c r="P2" s="19"/>
      <c r="Q2" s="20"/>
      <c r="R2" s="11"/>
      <c r="S2" s="19"/>
      <c r="T2" s="20"/>
      <c r="U2" s="11"/>
      <c r="V2" s="19"/>
      <c r="W2" s="20"/>
      <c r="X2" s="11"/>
    </row>
    <row r="3" spans="1:25" hidden="1" x14ac:dyDescent="0.25">
      <c r="A3">
        <f>1</f>
        <v>1</v>
      </c>
      <c r="B3" s="3"/>
      <c r="C3" s="13"/>
      <c r="D3" s="21"/>
      <c r="E3" s="22"/>
      <c r="F3" s="12"/>
      <c r="G3" s="21"/>
      <c r="H3" s="22"/>
      <c r="I3" s="12"/>
      <c r="J3" s="21"/>
      <c r="K3" s="22"/>
      <c r="L3" s="12"/>
      <c r="M3" s="21"/>
      <c r="N3" s="22"/>
      <c r="O3" s="12"/>
      <c r="P3" s="21"/>
      <c r="Q3" s="22"/>
      <c r="R3" s="12"/>
      <c r="S3" s="21"/>
      <c r="T3" s="22"/>
      <c r="U3" s="12"/>
      <c r="V3" s="21"/>
      <c r="W3" s="22"/>
      <c r="X3" s="12"/>
    </row>
    <row r="4" spans="1:25" hidden="1" x14ac:dyDescent="0.25">
      <c r="A4">
        <f>2</f>
        <v>2</v>
      </c>
      <c r="B4" s="3"/>
      <c r="C4" s="13"/>
      <c r="D4" s="21"/>
      <c r="E4" s="22"/>
      <c r="F4" s="12"/>
      <c r="G4" s="21"/>
      <c r="H4" s="22"/>
      <c r="I4" s="12"/>
      <c r="J4" s="21"/>
      <c r="K4" s="22"/>
      <c r="L4" s="12"/>
      <c r="M4" s="21"/>
      <c r="N4" s="22"/>
      <c r="O4" s="12"/>
      <c r="P4" s="21"/>
      <c r="Q4" s="22"/>
      <c r="R4" s="12"/>
      <c r="S4" s="21"/>
      <c r="T4" s="22"/>
      <c r="U4" s="12"/>
      <c r="V4" s="21"/>
      <c r="W4" s="22"/>
      <c r="X4" s="12"/>
    </row>
    <row r="5" spans="1:25" hidden="1" x14ac:dyDescent="0.25">
      <c r="A5">
        <f>3</f>
        <v>3</v>
      </c>
      <c r="B5" s="3"/>
      <c r="C5" s="13"/>
      <c r="D5" s="21"/>
      <c r="E5" s="22"/>
      <c r="F5" s="12"/>
      <c r="G5" s="21"/>
      <c r="H5" s="22"/>
      <c r="I5" s="12"/>
      <c r="J5" s="21"/>
      <c r="K5" s="22"/>
      <c r="L5" s="12"/>
      <c r="M5" s="21"/>
      <c r="N5" s="22"/>
      <c r="O5" s="12"/>
      <c r="P5" s="21"/>
      <c r="Q5" s="22"/>
      <c r="R5" s="12"/>
      <c r="S5" s="21"/>
      <c r="T5" s="22"/>
      <c r="U5" s="12"/>
      <c r="V5" s="21"/>
      <c r="W5" s="22"/>
      <c r="X5" s="12"/>
    </row>
    <row r="6" spans="1:25" hidden="1" x14ac:dyDescent="0.25">
      <c r="A6" t="s">
        <v>44</v>
      </c>
      <c r="B6" s="3"/>
      <c r="C6" s="13"/>
      <c r="D6" s="23"/>
      <c r="E6" s="24"/>
      <c r="F6" s="12"/>
      <c r="G6" s="23"/>
      <c r="H6" s="24"/>
      <c r="I6" s="12"/>
      <c r="J6" s="23"/>
      <c r="K6" s="24"/>
      <c r="L6" s="12"/>
      <c r="M6" s="23"/>
      <c r="N6" s="24"/>
      <c r="O6" s="12"/>
      <c r="P6" s="23"/>
      <c r="Q6" s="24"/>
      <c r="R6" s="12"/>
      <c r="S6" s="23"/>
      <c r="T6" s="24"/>
      <c r="U6" s="12"/>
      <c r="V6" s="23"/>
      <c r="W6" s="24"/>
      <c r="X6" s="12"/>
    </row>
    <row r="7" spans="1:25" hidden="1" x14ac:dyDescent="0.25">
      <c r="A7" t="s">
        <v>45</v>
      </c>
      <c r="B7" s="3"/>
      <c r="C7" s="13"/>
      <c r="D7" s="25"/>
      <c r="E7" s="25"/>
      <c r="F7" s="10"/>
      <c r="G7" s="25"/>
      <c r="H7" s="25"/>
      <c r="I7" s="10"/>
      <c r="J7" s="25"/>
      <c r="K7" s="25"/>
      <c r="L7" s="10"/>
      <c r="M7" s="25"/>
      <c r="N7" s="25"/>
      <c r="O7" s="10"/>
      <c r="P7" s="25"/>
      <c r="Q7" s="25"/>
      <c r="R7" s="10"/>
      <c r="S7" s="25"/>
      <c r="T7" s="25"/>
      <c r="U7" s="10"/>
      <c r="V7" s="25"/>
      <c r="W7" s="25"/>
      <c r="X7" s="10"/>
    </row>
    <row r="8" spans="1:25" hidden="1" x14ac:dyDescent="0.25">
      <c r="A8" t="s">
        <v>47</v>
      </c>
    </row>
    <row r="9" spans="1:25" hidden="1" x14ac:dyDescent="0.25">
      <c r="B9" t="str">
        <f ca="1">_xll.TM1RPTVIEW("CXMD:OTC_DATA_MARKET_ANALYSIS:ARPT1", 1, _xll.TM1RPTTITLE("CXMD:Currency",$C$16), _xll.TM1RPTTITLE("CXMD:DIM_Prev_IC_mapping",$C$17), _xll.TM1RPTTITLE("CXMD:DIM_Origin_Company",$C$15),TM1RPTFMTRNG,TM1RPTFMTIDCOL)</f>
        <v>CXMD:OTC_DATA_MARKET_ANALYSIS:ARPT1</v>
      </c>
      <c r="Y9" s="26"/>
    </row>
    <row r="10" spans="1:25" s="15" customFormat="1" x14ac:dyDescent="0.25">
      <c r="Y10" s="26"/>
    </row>
    <row r="11" spans="1:25" s="15" customFormat="1" x14ac:dyDescent="0.25">
      <c r="Y11" s="26"/>
    </row>
    <row r="12" spans="1:25" s="15" customFormat="1" x14ac:dyDescent="0.25">
      <c r="Y12" s="26"/>
    </row>
    <row r="13" spans="1:25" s="15" customFormat="1" x14ac:dyDescent="0.25">
      <c r="Y13" s="26"/>
    </row>
    <row r="14" spans="1:25" s="16" customFormat="1" x14ac:dyDescent="0.25">
      <c r="Y14" s="26"/>
    </row>
    <row r="15" spans="1:25" s="16" customFormat="1" x14ac:dyDescent="0.25">
      <c r="B15" s="17" t="s">
        <v>0</v>
      </c>
      <c r="C15" s="18" t="str">
        <f ca="1">QTY!C15</f>
        <v>Not available</v>
      </c>
      <c r="Y15" s="26"/>
    </row>
    <row r="16" spans="1:25" s="16" customFormat="1" x14ac:dyDescent="0.25">
      <c r="B16" s="17" t="s">
        <v>1</v>
      </c>
      <c r="C16" s="18" t="str">
        <f ca="1">QTY!C16</f>
        <v>Local currency</v>
      </c>
      <c r="Y16" s="26"/>
    </row>
    <row r="17" spans="1:25" s="16" customFormat="1" x14ac:dyDescent="0.25">
      <c r="B17" s="17" t="s">
        <v>2</v>
      </c>
      <c r="C17" s="18" t="str">
        <f ca="1">QTY!C17</f>
        <v>99 - Kuhn Group</v>
      </c>
      <c r="Y17" s="26"/>
    </row>
    <row r="18" spans="1:25" s="16" customFormat="1" x14ac:dyDescent="0.25">
      <c r="Y18" s="26"/>
    </row>
    <row r="19" spans="1:25" s="16" customFormat="1" x14ac:dyDescent="0.25">
      <c r="Y19" s="26"/>
    </row>
    <row r="20" spans="1:25" ht="16.899999999999999" customHeight="1" x14ac:dyDescent="0.25">
      <c r="B20" s="16"/>
      <c r="C20" s="16"/>
      <c r="D20" s="40" t="str">
        <f ca="1">QTY!D20</f>
        <v>AC2020</v>
      </c>
      <c r="E20" s="40"/>
      <c r="F20" s="40" t="s">
        <v>50</v>
      </c>
      <c r="G20" s="40" t="str">
        <f ca="1">QTY!G20</f>
        <v>AC2021</v>
      </c>
      <c r="H20" s="40"/>
      <c r="I20" s="40" t="s">
        <v>50</v>
      </c>
      <c r="J20" s="40" t="str">
        <f ca="1">QTY!J20</f>
        <v>FC3_2022</v>
      </c>
      <c r="K20" s="40"/>
      <c r="L20" s="40" t="s">
        <v>50</v>
      </c>
      <c r="M20" s="40" t="str">
        <f ca="1">QTY!M20</f>
        <v>PL2023 (update 2022)</v>
      </c>
      <c r="N20" s="40"/>
      <c r="O20" s="40" t="s">
        <v>50</v>
      </c>
      <c r="P20" s="40" t="str">
        <f ca="1">QTY!P20</f>
        <v>PL2024 (update 2022)</v>
      </c>
      <c r="Q20" s="40"/>
      <c r="R20" s="40" t="s">
        <v>50</v>
      </c>
      <c r="S20" s="40" t="str">
        <f ca="1">QTY!S20</f>
        <v>PL2025 (update 2022)</v>
      </c>
      <c r="T20" s="40"/>
      <c r="U20" s="40" t="s">
        <v>50</v>
      </c>
      <c r="V20" s="40" t="str">
        <f ca="1">QTY!V20</f>
        <v>PL2026 (update 2022)</v>
      </c>
      <c r="W20" s="40"/>
      <c r="X20" s="40" t="s">
        <v>50</v>
      </c>
      <c r="Y20" s="26"/>
    </row>
    <row r="21" spans="1:25" x14ac:dyDescent="0.25">
      <c r="B21" s="16"/>
      <c r="C21" s="16"/>
      <c r="D21" s="14" t="s">
        <v>3</v>
      </c>
      <c r="E21" s="14" t="s">
        <v>4</v>
      </c>
      <c r="F21" s="40"/>
      <c r="G21" s="14" t="s">
        <v>3</v>
      </c>
      <c r="H21" s="14" t="s">
        <v>4</v>
      </c>
      <c r="I21" s="40"/>
      <c r="J21" s="14" t="s">
        <v>3</v>
      </c>
      <c r="K21" s="14" t="s">
        <v>4</v>
      </c>
      <c r="L21" s="40"/>
      <c r="M21" s="14" t="s">
        <v>3</v>
      </c>
      <c r="N21" s="14" t="s">
        <v>4</v>
      </c>
      <c r="O21" s="40"/>
      <c r="P21" s="14" t="s">
        <v>3</v>
      </c>
      <c r="Q21" s="14" t="s">
        <v>4</v>
      </c>
      <c r="R21" s="40"/>
      <c r="S21" s="14" t="s">
        <v>3</v>
      </c>
      <c r="T21" s="14" t="s">
        <v>4</v>
      </c>
      <c r="U21" s="40"/>
      <c r="V21" s="14" t="s">
        <v>3</v>
      </c>
      <c r="W21" s="14" t="s">
        <v>4</v>
      </c>
      <c r="X21" s="40"/>
    </row>
    <row r="22" spans="1:25" x14ac:dyDescent="0.25">
      <c r="B22" s="16"/>
      <c r="C22" s="16"/>
      <c r="D22" s="14" t="s">
        <v>51</v>
      </c>
      <c r="E22" s="14" t="s">
        <v>51</v>
      </c>
      <c r="F22" s="40"/>
      <c r="G22" s="14" t="s">
        <v>51</v>
      </c>
      <c r="H22" s="14" t="s">
        <v>51</v>
      </c>
      <c r="I22" s="40"/>
      <c r="J22" s="14" t="s">
        <v>51</v>
      </c>
      <c r="K22" s="14" t="s">
        <v>51</v>
      </c>
      <c r="L22" s="40"/>
      <c r="M22" s="14" t="s">
        <v>51</v>
      </c>
      <c r="N22" s="14" t="s">
        <v>51</v>
      </c>
      <c r="O22" s="40"/>
      <c r="P22" s="14" t="s">
        <v>51</v>
      </c>
      <c r="Q22" s="14" t="s">
        <v>51</v>
      </c>
      <c r="R22" s="40"/>
      <c r="S22" s="14" t="s">
        <v>51</v>
      </c>
      <c r="T22" s="14" t="s">
        <v>51</v>
      </c>
      <c r="U22" s="40"/>
      <c r="V22" s="14" t="s">
        <v>51</v>
      </c>
      <c r="W22" s="14" t="s">
        <v>51</v>
      </c>
      <c r="X22" s="40"/>
    </row>
    <row r="23" spans="1:25" x14ac:dyDescent="0.25">
      <c r="A23" t="str">
        <f ca="1">IF(_xll.TM1RPTELISCONSOLIDATED($C$23,$C23),IF(_xll.TM1RPTELLEV($C$23,$C23)&lt;=3,_xll.TM1RPTELLEV($C$23,$C23),"D"),"N")</f>
        <v>N</v>
      </c>
      <c r="B23" s="4" t="str">
        <f ca="1">_xll.TM1RPTROW($B$9,"CXMD:DIM_Configuration","Product_Line",,"Description EN",0)</f>
        <v/>
      </c>
      <c r="C23" s="6" t="str">
        <f ca="1">_xll.TM1RPTROW($B$9,"CXMD:DIM_Country","Total Country SOM","","Description",0)</f>
        <v/>
      </c>
      <c r="D23" s="19" t="str">
        <f ca="1">_xll.DBRW($B$9,$C$16,$C$17,D$21,D$20,$C$15,$C23,$B23,D$22)</f>
        <v/>
      </c>
      <c r="E23" s="20" t="str">
        <f ca="1">_xll.DBRW($B$9,$C$16,$C$17,E$21,D$20,$C$15,$C23,$B23,E$22)</f>
        <v/>
      </c>
      <c r="F23" s="11" t="e">
        <f ca="1">IF(D23&lt;&gt;0,E23/D23,0)</f>
        <v>#VALUE!</v>
      </c>
      <c r="G23" s="19" t="str">
        <f ca="1">_xll.DBRW($B$9,$C$16,$C$17,G$21,G$20,$C$15,$C23,$B23,G$22)</f>
        <v/>
      </c>
      <c r="H23" s="20" t="str">
        <f ca="1">_xll.DBRW($B$9,$C$16,$C$17,H$21,G$20,$C$15,$C23,$B23,H$22)</f>
        <v/>
      </c>
      <c r="I23" s="11" t="e">
        <f ca="1">IF(G23&lt;&gt;0,H23/G23,0)</f>
        <v>#VALUE!</v>
      </c>
      <c r="J23" s="19" t="str">
        <f ca="1">_xll.DBRW($B$9,$C$16,$C$17,J$21,J$20,$C$15,$C23,$B23,J$22)</f>
        <v/>
      </c>
      <c r="K23" s="20" t="str">
        <f ca="1">_xll.DBRW($B$9,$C$16,$C$17,K$21,J$20,$C$15,$C23,$B23,K$22)</f>
        <v/>
      </c>
      <c r="L23" s="11" t="e">
        <f ca="1">IF(J23&lt;&gt;0,K23/J23,0)</f>
        <v>#VALUE!</v>
      </c>
      <c r="M23" s="19" t="str">
        <f ca="1">_xll.DBRW($B$9,$C$16,$C$17,M$21,M$20,$C$15,$C23,$B23,M$22)</f>
        <v/>
      </c>
      <c r="N23" s="20" t="str">
        <f ca="1">_xll.DBRW($B$9,$C$16,$C$17,N$21,M$20,$C$15,$C23,$B23,N$22)</f>
        <v/>
      </c>
      <c r="O23" s="11" t="e">
        <f ca="1">IF(M23&lt;&gt;0,N23/M23,0)</f>
        <v>#VALUE!</v>
      </c>
      <c r="P23" s="19" t="str">
        <f ca="1">_xll.DBRW($B$9,$C$16,$C$17,P$21,P$20,$C$15,$C23,$B23,P$22)</f>
        <v/>
      </c>
      <c r="Q23" s="20" t="str">
        <f ca="1">_xll.DBRW($B$9,$C$16,$C$17,Q$21,P$20,$C$15,$C23,$B23,Q$22)</f>
        <v/>
      </c>
      <c r="R23" s="11" t="e">
        <f ca="1">IF(P23&lt;&gt;0,Q23/P23,0)</f>
        <v>#VALUE!</v>
      </c>
      <c r="S23" s="19" t="str">
        <f ca="1">_xll.DBRW($B$9,$C$16,$C$17,S$21,S$20,$C$15,$C23,$B23,S$22)</f>
        <v/>
      </c>
      <c r="T23" s="20" t="str">
        <f ca="1">_xll.DBRW($B$9,$C$16,$C$17,T$21,S$20,$C$15,$C23,$B23,T$22)</f>
        <v/>
      </c>
      <c r="U23" s="11" t="e">
        <f ca="1">IF(S23&lt;&gt;0,T23/S23,0)</f>
        <v>#VALUE!</v>
      </c>
      <c r="V23" s="19" t="str">
        <f ca="1">_xll.DBRW($B$9,$C$16,$C$17,V$21,V$20,$C$15,$C23,$B23,V$22)</f>
        <v/>
      </c>
      <c r="W23" s="20" t="str">
        <f ca="1">_xll.DBRW($B$9,$C$16,$C$17,W$21,V$20,$C$15,$C23,$B23,W$22)</f>
        <v/>
      </c>
      <c r="X23" s="9" t="e">
        <f ca="1">IF(V23&lt;&gt;0,W23/V23,0)</f>
        <v>#VALUE!</v>
      </c>
    </row>
    <row r="24" spans="1:25" hidden="1" x14ac:dyDescent="0.25"/>
    <row r="25" spans="1:25" hidden="1" x14ac:dyDescent="0.25"/>
    <row r="26" spans="1:25" hidden="1" x14ac:dyDescent="0.25"/>
    <row r="27" spans="1:25" hidden="1" x14ac:dyDescent="0.25"/>
    <row r="28" spans="1:25" hidden="1" x14ac:dyDescent="0.25"/>
    <row r="29" spans="1:25" hidden="1" x14ac:dyDescent="0.25"/>
    <row r="30" spans="1:25" hidden="1" x14ac:dyDescent="0.25"/>
    <row r="31" spans="1:25" hidden="1" x14ac:dyDescent="0.25"/>
    <row r="32" spans="1:25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</sheetData>
  <mergeCells count="14">
    <mergeCell ref="X20:X22"/>
    <mergeCell ref="D20:E20"/>
    <mergeCell ref="F20:F22"/>
    <mergeCell ref="J20:K20"/>
    <mergeCell ref="L20:L22"/>
    <mergeCell ref="M20:N20"/>
    <mergeCell ref="O20:O22"/>
    <mergeCell ref="P20:Q20"/>
    <mergeCell ref="R20:R22"/>
    <mergeCell ref="S20:T20"/>
    <mergeCell ref="U20:U22"/>
    <mergeCell ref="V20:W20"/>
    <mergeCell ref="G20:H20"/>
    <mergeCell ref="I20:I22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5121" r:id="rId4" name="TIButton1">
          <controlPr defaultSize="0" print="0" autoLine="0" autoPict="0" r:id="rId5">
            <anchor moveWithCells="1">
              <from>
                <xdr:col>4</xdr:col>
                <xdr:colOff>0</xdr:colOff>
                <xdr:row>15</xdr:row>
                <xdr:rowOff>0</xdr:rowOff>
              </from>
              <to>
                <xdr:col>6</xdr:col>
                <xdr:colOff>914400</xdr:colOff>
                <xdr:row>18</xdr:row>
                <xdr:rowOff>28575</xdr:rowOff>
              </to>
            </anchor>
          </controlPr>
        </control>
      </mc:Choice>
      <mc:Fallback>
        <control shapeId="5121" r:id="rId4" name="TIButton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B47"/>
  <sheetViews>
    <sheetView topLeftCell="A13" workbookViewId="0"/>
  </sheetViews>
  <sheetFormatPr defaultColWidth="11.42578125" defaultRowHeight="15" x14ac:dyDescent="0.25"/>
  <sheetData>
    <row r="19" spans="2:2" x14ac:dyDescent="0.25">
      <c r="B19" t="s">
        <v>6</v>
      </c>
    </row>
    <row r="20" spans="2:2" x14ac:dyDescent="0.25">
      <c r="B20" t="s">
        <v>7</v>
      </c>
    </row>
    <row r="21" spans="2:2" x14ac:dyDescent="0.25">
      <c r="B21" t="s">
        <v>8</v>
      </c>
    </row>
    <row r="22" spans="2:2" x14ac:dyDescent="0.25">
      <c r="B22" t="s">
        <v>9</v>
      </c>
    </row>
    <row r="23" spans="2:2" x14ac:dyDescent="0.25">
      <c r="B23" t="s">
        <v>10</v>
      </c>
    </row>
    <row r="24" spans="2:2" x14ac:dyDescent="0.25">
      <c r="B24" t="s">
        <v>11</v>
      </c>
    </row>
    <row r="25" spans="2:2" x14ac:dyDescent="0.25">
      <c r="B25" t="s">
        <v>12</v>
      </c>
    </row>
    <row r="26" spans="2:2" x14ac:dyDescent="0.25">
      <c r="B26" t="s">
        <v>13</v>
      </c>
    </row>
    <row r="27" spans="2:2" x14ac:dyDescent="0.25">
      <c r="B27" t="s">
        <v>14</v>
      </c>
    </row>
    <row r="28" spans="2:2" x14ac:dyDescent="0.25">
      <c r="B28" t="s">
        <v>15</v>
      </c>
    </row>
    <row r="29" spans="2:2" x14ac:dyDescent="0.25">
      <c r="B29" t="s">
        <v>16</v>
      </c>
    </row>
    <row r="30" spans="2:2" x14ac:dyDescent="0.25">
      <c r="B30" t="s">
        <v>17</v>
      </c>
    </row>
    <row r="31" spans="2:2" x14ac:dyDescent="0.25">
      <c r="B31" t="s">
        <v>18</v>
      </c>
    </row>
    <row r="32" spans="2:2" x14ac:dyDescent="0.25">
      <c r="B32" t="s">
        <v>19</v>
      </c>
    </row>
    <row r="33" spans="2:2" x14ac:dyDescent="0.25">
      <c r="B33" t="s">
        <v>20</v>
      </c>
    </row>
    <row r="34" spans="2:2" x14ac:dyDescent="0.25">
      <c r="B34" t="s">
        <v>21</v>
      </c>
    </row>
    <row r="35" spans="2:2" x14ac:dyDescent="0.25">
      <c r="B35" t="s">
        <v>22</v>
      </c>
    </row>
    <row r="36" spans="2:2" x14ac:dyDescent="0.25">
      <c r="B36" t="s">
        <v>23</v>
      </c>
    </row>
    <row r="37" spans="2:2" x14ac:dyDescent="0.25">
      <c r="B37" t="s">
        <v>24</v>
      </c>
    </row>
    <row r="38" spans="2:2" x14ac:dyDescent="0.25">
      <c r="B38" t="s">
        <v>25</v>
      </c>
    </row>
    <row r="39" spans="2:2" x14ac:dyDescent="0.25">
      <c r="B39" t="s">
        <v>26</v>
      </c>
    </row>
    <row r="40" spans="2:2" x14ac:dyDescent="0.25">
      <c r="B40" t="s">
        <v>27</v>
      </c>
    </row>
    <row r="41" spans="2:2" x14ac:dyDescent="0.25">
      <c r="B41" t="s">
        <v>28</v>
      </c>
    </row>
    <row r="42" spans="2:2" x14ac:dyDescent="0.25">
      <c r="B42" t="s">
        <v>29</v>
      </c>
    </row>
    <row r="43" spans="2:2" x14ac:dyDescent="0.25">
      <c r="B43" t="s">
        <v>30</v>
      </c>
    </row>
    <row r="44" spans="2:2" x14ac:dyDescent="0.25">
      <c r="B44" t="s">
        <v>31</v>
      </c>
    </row>
    <row r="45" spans="2:2" x14ac:dyDescent="0.25">
      <c r="B45" t="s">
        <v>32</v>
      </c>
    </row>
    <row r="46" spans="2:2" x14ac:dyDescent="0.25">
      <c r="B46" t="s">
        <v>33</v>
      </c>
    </row>
    <row r="47" spans="2:2" x14ac:dyDescent="0.25">
      <c r="B47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9:C27"/>
  <sheetViews>
    <sheetView topLeftCell="A10" workbookViewId="0"/>
  </sheetViews>
  <sheetFormatPr defaultColWidth="11.42578125" defaultRowHeight="15" x14ac:dyDescent="0.25"/>
  <sheetData>
    <row r="19" spans="3:3" x14ac:dyDescent="0.25">
      <c r="C19" t="s">
        <v>35</v>
      </c>
    </row>
    <row r="20" spans="3:3" x14ac:dyDescent="0.25">
      <c r="C20" t="s">
        <v>43</v>
      </c>
    </row>
    <row r="21" spans="3:3" x14ac:dyDescent="0.25">
      <c r="C21" t="s">
        <v>36</v>
      </c>
    </row>
    <row r="22" spans="3:3" x14ac:dyDescent="0.25">
      <c r="C22" t="s">
        <v>37</v>
      </c>
    </row>
    <row r="23" spans="3:3" x14ac:dyDescent="0.25">
      <c r="C23" t="s">
        <v>38</v>
      </c>
    </row>
    <row r="24" spans="3:3" x14ac:dyDescent="0.25">
      <c r="C24" t="s">
        <v>39</v>
      </c>
    </row>
    <row r="25" spans="3:3" x14ac:dyDescent="0.25">
      <c r="C25" t="s">
        <v>40</v>
      </c>
    </row>
    <row r="26" spans="3:3" x14ac:dyDescent="0.25">
      <c r="C26" t="s">
        <v>41</v>
      </c>
    </row>
    <row r="27" spans="3:3" x14ac:dyDescent="0.25">
      <c r="C27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Q228"/>
  <sheetViews>
    <sheetView showGridLines="0" topLeftCell="B10" workbookViewId="0">
      <selection activeCell="C16" sqref="C16"/>
    </sheetView>
  </sheetViews>
  <sheetFormatPr defaultRowHeight="15" x14ac:dyDescent="0.25"/>
  <cols>
    <col min="1" max="1" width="20.28515625" hidden="1" customWidth="1"/>
    <col min="2" max="2" width="42.7109375" bestFit="1" customWidth="1"/>
    <col min="3" max="3" width="25.85546875" bestFit="1" customWidth="1"/>
    <col min="4" max="17" width="12.5703125" customWidth="1"/>
  </cols>
  <sheetData>
    <row r="1" spans="1:17" hidden="1" x14ac:dyDescent="0.25">
      <c r="A1" t="s">
        <v>46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</row>
    <row r="2" spans="1:17" hidden="1" x14ac:dyDescent="0.25">
      <c r="A2">
        <f>0</f>
        <v>0</v>
      </c>
      <c r="B2" s="2"/>
      <c r="C2" s="36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1:17" hidden="1" x14ac:dyDescent="0.25">
      <c r="A3">
        <f>1</f>
        <v>1</v>
      </c>
      <c r="B3" s="3"/>
      <c r="C3" s="37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</row>
    <row r="4" spans="1:17" hidden="1" x14ac:dyDescent="0.25">
      <c r="A4">
        <f>2</f>
        <v>2</v>
      </c>
      <c r="B4" s="3"/>
      <c r="C4" s="37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</row>
    <row r="5" spans="1:17" hidden="1" x14ac:dyDescent="0.25">
      <c r="A5">
        <f>3</f>
        <v>3</v>
      </c>
      <c r="B5" s="3"/>
      <c r="C5" s="37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</row>
    <row r="6" spans="1:17" hidden="1" x14ac:dyDescent="0.25">
      <c r="A6" t="s">
        <v>44</v>
      </c>
      <c r="B6" s="3"/>
      <c r="C6" s="37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</row>
    <row r="7" spans="1:17" hidden="1" x14ac:dyDescent="0.25">
      <c r="A7" t="s">
        <v>45</v>
      </c>
      <c r="B7" s="3"/>
      <c r="C7" s="37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</row>
    <row r="8" spans="1:17" hidden="1" x14ac:dyDescent="0.25">
      <c r="A8" t="s">
        <v>47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</row>
    <row r="9" spans="1:17" hidden="1" x14ac:dyDescent="0.25">
      <c r="B9" t="str">
        <f ca="1">_xll.TM1RPTVIEW("CXMD:OTC_DATA_MARKET_ANALYSIS_COMMENTS:ARPT1", 0, _xll.TM1RPTTITLE("CXMD:Currency",$C$14), _xll.TM1RPTTITLE("CXMD:DIM_Prev_IC_mapping",$C$15), _xll.TM1RPTTITLE("CXMD:DIM_Origin_Company",$C$16),TM1RPTFMTRNG,TM1RPTFMTIDCOL)</f>
        <v>CXMD:OTC_DATA_MARKET_ANALYSIS_COMMENTS:ARPT1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</row>
    <row r="10" spans="1:17" x14ac:dyDescent="0.25">
      <c r="A10" s="15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</row>
    <row r="11" spans="1:17" x14ac:dyDescent="0.25">
      <c r="A11" s="15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</row>
    <row r="12" spans="1:17" x14ac:dyDescent="0.25">
      <c r="A12" s="15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</row>
    <row r="13" spans="1:17" x14ac:dyDescent="0.25">
      <c r="A13" s="15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</row>
    <row r="14" spans="1:17" x14ac:dyDescent="0.25">
      <c r="A14" s="16"/>
      <c r="B14" s="28" t="s">
        <v>1</v>
      </c>
      <c r="C14" s="29" t="str">
        <f ca="1">_xll.SUBNM("CXMD:Currency","","CD_LC","Description EN")</f>
        <v>Local currency</v>
      </c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</row>
    <row r="15" spans="1:17" x14ac:dyDescent="0.25">
      <c r="A15" s="16"/>
      <c r="B15" s="28" t="s">
        <v>2</v>
      </c>
      <c r="C15" s="29" t="str">
        <f ca="1">_xll.SUBNM("CXMD:DIM_Prev_IC_mapping","","99 - Kuhn Group","Groupement_Alias")</f>
        <v>99 - Kuhn Group</v>
      </c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</row>
    <row r="16" spans="1:17" x14ac:dyDescent="0.25">
      <c r="A16" s="16"/>
      <c r="B16" s="28" t="s">
        <v>0</v>
      </c>
      <c r="C16" s="29" t="str">
        <f ca="1">QTY!C15</f>
        <v>Not available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</row>
    <row r="17" spans="1:17" x14ac:dyDescent="0.25">
      <c r="A17" s="16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</row>
    <row r="18" spans="1:17" x14ac:dyDescent="0.25">
      <c r="A18" s="16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</row>
    <row r="19" spans="1:17" ht="45" customHeight="1" x14ac:dyDescent="0.25">
      <c r="A19" s="16"/>
      <c r="B19" s="30"/>
      <c r="C19" s="30"/>
      <c r="D19" s="41" t="str">
        <f ca="1">QTY!D20</f>
        <v>AC2020</v>
      </c>
      <c r="E19" s="41" t="s">
        <v>52</v>
      </c>
      <c r="F19" s="41" t="str">
        <f ca="1">QTY!G20</f>
        <v>AC2021</v>
      </c>
      <c r="G19" s="41"/>
      <c r="H19" s="41" t="str">
        <f ca="1">QTY!J20</f>
        <v>FC3_2022</v>
      </c>
      <c r="I19" s="41"/>
      <c r="J19" s="41" t="str">
        <f ca="1">QTY!M20</f>
        <v>PL2023 (update 2022)</v>
      </c>
      <c r="K19" s="41"/>
      <c r="L19" s="41" t="str">
        <f ca="1">QTY!P20</f>
        <v>PL2024 (update 2022)</v>
      </c>
      <c r="M19" s="41"/>
      <c r="N19" s="41" t="str">
        <f ca="1">QTY!S20</f>
        <v>PL2025 (update 2022)</v>
      </c>
      <c r="O19" s="41"/>
      <c r="P19" s="41" t="str">
        <f ca="1">QTY!V20</f>
        <v>PL2026 (update 2022)</v>
      </c>
      <c r="Q19" s="41"/>
    </row>
    <row r="20" spans="1:17" x14ac:dyDescent="0.25">
      <c r="A20" s="16"/>
      <c r="B20" s="30"/>
      <c r="C20" s="30"/>
      <c r="D20" s="31" t="s">
        <v>3</v>
      </c>
      <c r="E20" s="31" t="s">
        <v>4</v>
      </c>
      <c r="F20" s="31" t="s">
        <v>3</v>
      </c>
      <c r="G20" s="31" t="s">
        <v>4</v>
      </c>
      <c r="H20" s="31" t="s">
        <v>3</v>
      </c>
      <c r="I20" s="31" t="s">
        <v>4</v>
      </c>
      <c r="J20" s="31" t="s">
        <v>3</v>
      </c>
      <c r="K20" s="31" t="s">
        <v>4</v>
      </c>
      <c r="L20" s="31" t="s">
        <v>3</v>
      </c>
      <c r="M20" s="31" t="s">
        <v>4</v>
      </c>
      <c r="N20" s="31" t="s">
        <v>3</v>
      </c>
      <c r="O20" s="31" t="s">
        <v>4</v>
      </c>
      <c r="P20" s="31" t="s">
        <v>3</v>
      </c>
      <c r="Q20" s="31" t="s">
        <v>4</v>
      </c>
    </row>
    <row r="21" spans="1:17" x14ac:dyDescent="0.25">
      <c r="A21" s="16"/>
      <c r="B21" s="30"/>
      <c r="C21" s="30"/>
      <c r="D21" s="31" t="s">
        <v>53</v>
      </c>
      <c r="E21" s="31" t="s">
        <v>53</v>
      </c>
      <c r="F21" s="31" t="s">
        <v>53</v>
      </c>
      <c r="G21" s="31" t="s">
        <v>53</v>
      </c>
      <c r="H21" s="31" t="s">
        <v>53</v>
      </c>
      <c r="I21" s="31" t="s">
        <v>53</v>
      </c>
      <c r="J21" s="31" t="s">
        <v>53</v>
      </c>
      <c r="K21" s="31" t="s">
        <v>53</v>
      </c>
      <c r="L21" s="31" t="s">
        <v>53</v>
      </c>
      <c r="M21" s="31" t="s">
        <v>53</v>
      </c>
      <c r="N21" s="31" t="s">
        <v>53</v>
      </c>
      <c r="O21" s="31" t="s">
        <v>53</v>
      </c>
      <c r="P21" s="31" t="s">
        <v>53</v>
      </c>
      <c r="Q21" s="31" t="s">
        <v>53</v>
      </c>
    </row>
    <row r="22" spans="1:17" x14ac:dyDescent="0.25">
      <c r="A22">
        <f ca="1">IF(_xll.TM1RPTELISCONSOLIDATED($C$22,$C22),IF(_xll.TM1RPTELLEV($C$22,$C22)&lt;=3,_xll.TM1RPTELLEV($C$22,$C22),"D"),"N")</f>
        <v>0</v>
      </c>
      <c r="B22" s="4" t="str">
        <f ca="1">_xll.TM1RPTROW($B$9,"CXMD:DIM_Configuration","Product_Line","","Description EN",0)</f>
        <v>TOTAL PRODUCT</v>
      </c>
      <c r="C22" s="38" t="str">
        <f ca="1">_xll.TM1RPTROW($B$9,"CXMD:DIM_Country","Total Country SOM","","Description",0)</f>
        <v>Total Country SOM</v>
      </c>
      <c r="D22" s="33" t="str">
        <f ca="1">_xll.DBRW($B$9,$C$14,$C$15,D$20,D$19,$C$16,$C22,$B22,D$21)</f>
        <v/>
      </c>
      <c r="E22" s="33" t="str">
        <f ca="1">_xll.DBRW($B$9,$C$14,$C$15,E$20,D$19,$C$16,$C22,$B22,E$21)</f>
        <v/>
      </c>
      <c r="F22" s="33" t="str">
        <f ca="1">_xll.DBRW($B$9,$C$14,$C$15,F$20,F$19,$C$16,$C22,$B22,F$21)</f>
        <v/>
      </c>
      <c r="G22" s="33" t="str">
        <f ca="1">_xll.DBRW($B$9,$C$14,$C$15,G$20,F$19,$C$16,$C22,$B22,G$21)</f>
        <v/>
      </c>
      <c r="H22" s="33" t="str">
        <f ca="1">_xll.DBRW($B$9,$C$14,$C$15,H$20,H$19,$C$16,$C22,$B22,H$21)</f>
        <v/>
      </c>
      <c r="I22" s="33" t="str">
        <f ca="1">_xll.DBRW($B$9,$C$14,$C$15,I$20,H$19,$C$16,$C22,$B22,I$21)</f>
        <v/>
      </c>
      <c r="J22" s="33" t="str">
        <f ca="1">_xll.DBRW($B$9,$C$14,$C$15,J$20,J$19,$C$16,$C22,$B22,J$21)</f>
        <v/>
      </c>
      <c r="K22" s="33" t="str">
        <f ca="1">_xll.DBRW($B$9,$C$14,$C$15,K$20,J$19,$C$16,$C22,$B22,K$21)</f>
        <v/>
      </c>
      <c r="L22" s="33" t="str">
        <f ca="1">_xll.DBRW($B$9,$C$14,$C$15,L$20,L$19,$C$16,$C22,$B22,L$21)</f>
        <v/>
      </c>
      <c r="M22" s="33" t="str">
        <f ca="1">_xll.DBRW($B$9,$C$14,$C$15,M$20,L$19,$C$16,$C22,$B22,M$21)</f>
        <v/>
      </c>
      <c r="N22" s="33" t="str">
        <f ca="1">_xll.DBRW($B$9,$C$14,$C$15,N$20,N$19,$C$16,$C22,$B22,N$21)</f>
        <v/>
      </c>
      <c r="O22" s="33" t="str">
        <f ca="1">_xll.DBRW($B$9,$C$14,$C$15,O$20,N$19,$C$16,$C22,$B22,O$21)</f>
        <v/>
      </c>
      <c r="P22" s="33" t="str">
        <f ca="1">_xll.DBRW($B$9,$C$14,$C$15,P$20,$P$19,$C$16,$C22,$B22,P$21)</f>
        <v/>
      </c>
      <c r="Q22" s="33" t="str">
        <f ca="1">_xll.DBRW($B$9,$C$14,$C$15,Q$20,$P$19,$C$16,$C22,$B22,Q$21)</f>
        <v/>
      </c>
    </row>
    <row r="23" spans="1:17" x14ac:dyDescent="0.25">
      <c r="A23">
        <f ca="1">IF(_xll.TM1RPTELISCONSOLIDATED($C$22,$C23),IF(_xll.TM1RPTELLEV($C$22,$C23)&lt;=3,_xll.TM1RPTELLEV($C$22,$C23),"D"),"N")</f>
        <v>1</v>
      </c>
      <c r="B23" s="7" t="s">
        <v>6</v>
      </c>
      <c r="C23" s="39" t="s">
        <v>43</v>
      </c>
      <c r="D23" s="34" t="str">
        <f ca="1">_xll.DBRW($B$9,$C$14,$C$15,D$20,D$19,$C$16,$C23,$B23,D$21)</f>
        <v/>
      </c>
      <c r="E23" s="34" t="str">
        <f ca="1">_xll.DBRW($B$9,$C$14,$C$15,E$20,D$19,$C$16,$C23,$B23,E$21)</f>
        <v/>
      </c>
      <c r="F23" s="34" t="str">
        <f ca="1">_xll.DBRW($B$9,$C$14,$C$15,F$20,F$19,$C$16,$C23,$B23,F$21)</f>
        <v/>
      </c>
      <c r="G23" s="34" t="str">
        <f ca="1">_xll.DBRW($B$9,$C$14,$C$15,G$20,F$19,$C$16,$C23,$B23,G$21)</f>
        <v/>
      </c>
      <c r="H23" s="34" t="str">
        <f ca="1">_xll.DBRW($B$9,$C$14,$C$15,H$20,H$19,$C$16,$C23,$B23,H$21)</f>
        <v/>
      </c>
      <c r="I23" s="34" t="str">
        <f ca="1">_xll.DBRW($B$9,$C$14,$C$15,I$20,H$19,$C$16,$C23,$B23,I$21)</f>
        <v/>
      </c>
      <c r="J23" s="34" t="str">
        <f ca="1">_xll.DBRW($B$9,$C$14,$C$15,J$20,J$19,$C$16,$C23,$B23,J$21)</f>
        <v/>
      </c>
      <c r="K23" s="34" t="str">
        <f ca="1">_xll.DBRW($B$9,$C$14,$C$15,K$20,J$19,$C$16,$C23,$B23,K$21)</f>
        <v/>
      </c>
      <c r="L23" s="34" t="str">
        <f ca="1">_xll.DBRW($B$9,$C$14,$C$15,L$20,L$19,$C$16,$C23,$B23,L$21)</f>
        <v/>
      </c>
      <c r="M23" s="34" t="str">
        <f ca="1">_xll.DBRW($B$9,$C$14,$C$15,M$20,L$19,$C$16,$C23,$B23,M$21)</f>
        <v/>
      </c>
      <c r="N23" s="34" t="str">
        <f ca="1">_xll.DBRW($B$9,$C$14,$C$15,N$20,N$19,$C$16,$C23,$B23,N$21)</f>
        <v/>
      </c>
      <c r="O23" s="34" t="str">
        <f ca="1">_xll.DBRW($B$9,$C$14,$C$15,O$20,N$19,$C$16,$C23,$B23,O$21)</f>
        <v/>
      </c>
      <c r="P23" s="34" t="str">
        <f ca="1">_xll.DBRW($B$9,$C$14,$C$15,P$20,$P$19,$C$16,$C23,$B23,P$21)</f>
        <v/>
      </c>
      <c r="Q23" s="34" t="str">
        <f ca="1">_xll.DBRW($B$9,$C$14,$C$15,Q$20,$P$19,$C$16,$C23,$B23,Q$21)</f>
        <v/>
      </c>
    </row>
    <row r="24" spans="1:17" x14ac:dyDescent="0.25">
      <c r="A24">
        <f ca="1">IF(_xll.TM1RPTELISCONSOLIDATED($C$22,$C24),IF(_xll.TM1RPTELLEV($C$22,$C24)&lt;=3,_xll.TM1RPTELLEV($C$22,$C24),"D"),"N")</f>
        <v>1</v>
      </c>
      <c r="B24" s="7" t="s">
        <v>6</v>
      </c>
      <c r="C24" s="39" t="s">
        <v>36</v>
      </c>
      <c r="D24" s="34" t="str">
        <f ca="1">_xll.DBRW($B$9,$C$14,$C$15,D$20,D$19,$C$16,$C24,$B24,D$21)</f>
        <v/>
      </c>
      <c r="E24" s="34" t="str">
        <f ca="1">_xll.DBRW($B$9,$C$14,$C$15,E$20,D$19,$C$16,$C24,$B24,E$21)</f>
        <v/>
      </c>
      <c r="F24" s="34" t="str">
        <f ca="1">_xll.DBRW($B$9,$C$14,$C$15,F$20,F$19,$C$16,$C24,$B24,F$21)</f>
        <v/>
      </c>
      <c r="G24" s="34" t="str">
        <f ca="1">_xll.DBRW($B$9,$C$14,$C$15,G$20,F$19,$C$16,$C24,$B24,G$21)</f>
        <v/>
      </c>
      <c r="H24" s="34" t="str">
        <f ca="1">_xll.DBRW($B$9,$C$14,$C$15,H$20,H$19,$C$16,$C24,$B24,H$21)</f>
        <v/>
      </c>
      <c r="I24" s="34" t="str">
        <f ca="1">_xll.DBRW($B$9,$C$14,$C$15,I$20,H$19,$C$16,$C24,$B24,I$21)</f>
        <v/>
      </c>
      <c r="J24" s="34" t="str">
        <f ca="1">_xll.DBRW($B$9,$C$14,$C$15,J$20,J$19,$C$16,$C24,$B24,J$21)</f>
        <v/>
      </c>
      <c r="K24" s="34" t="str">
        <f ca="1">_xll.DBRW($B$9,$C$14,$C$15,K$20,J$19,$C$16,$C24,$B24,K$21)</f>
        <v/>
      </c>
      <c r="L24" s="34" t="str">
        <f ca="1">_xll.DBRW($B$9,$C$14,$C$15,L$20,L$19,$C$16,$C24,$B24,L$21)</f>
        <v/>
      </c>
      <c r="M24" s="34" t="str">
        <f ca="1">_xll.DBRW($B$9,$C$14,$C$15,M$20,L$19,$C$16,$C24,$B24,M$21)</f>
        <v/>
      </c>
      <c r="N24" s="34" t="str">
        <f ca="1">_xll.DBRW($B$9,$C$14,$C$15,N$20,N$19,$C$16,$C24,$B24,N$21)</f>
        <v/>
      </c>
      <c r="O24" s="34" t="str">
        <f ca="1">_xll.DBRW($B$9,$C$14,$C$15,O$20,N$19,$C$16,$C24,$B24,O$21)</f>
        <v/>
      </c>
      <c r="P24" s="34" t="str">
        <f ca="1">_xll.DBRW($B$9,$C$14,$C$15,P$20,$P$19,$C$16,$C24,$B24,P$21)</f>
        <v/>
      </c>
      <c r="Q24" s="34" t="str">
        <f ca="1">_xll.DBRW($B$9,$C$14,$C$15,Q$20,$P$19,$C$16,$C24,$B24,Q$21)</f>
        <v/>
      </c>
    </row>
    <row r="25" spans="1:17" x14ac:dyDescent="0.25">
      <c r="A25">
        <f ca="1">IF(_xll.TM1RPTELISCONSOLIDATED($C$22,$C25),IF(_xll.TM1RPTELLEV($C$22,$C25)&lt;=3,_xll.TM1RPTELLEV($C$22,$C25),"D"),"N")</f>
        <v>1</v>
      </c>
      <c r="B25" s="7" t="s">
        <v>6</v>
      </c>
      <c r="C25" s="39" t="s">
        <v>37</v>
      </c>
      <c r="D25" s="34" t="str">
        <f ca="1">_xll.DBRW($B$9,$C$14,$C$15,D$20,D$19,$C$16,$C25,$B25,D$21)</f>
        <v/>
      </c>
      <c r="E25" s="34" t="str">
        <f ca="1">_xll.DBRW($B$9,$C$14,$C$15,E$20,D$19,$C$16,$C25,$B25,E$21)</f>
        <v/>
      </c>
      <c r="F25" s="34" t="str">
        <f ca="1">_xll.DBRW($B$9,$C$14,$C$15,F$20,F$19,$C$16,$C25,$B25,F$21)</f>
        <v/>
      </c>
      <c r="G25" s="34" t="str">
        <f ca="1">_xll.DBRW($B$9,$C$14,$C$15,G$20,F$19,$C$16,$C25,$B25,G$21)</f>
        <v/>
      </c>
      <c r="H25" s="34" t="str">
        <f ca="1">_xll.DBRW($B$9,$C$14,$C$15,H$20,H$19,$C$16,$C25,$B25,H$21)</f>
        <v/>
      </c>
      <c r="I25" s="34" t="str">
        <f ca="1">_xll.DBRW($B$9,$C$14,$C$15,I$20,H$19,$C$16,$C25,$B25,I$21)</f>
        <v/>
      </c>
      <c r="J25" s="34" t="str">
        <f ca="1">_xll.DBRW($B$9,$C$14,$C$15,J$20,J$19,$C$16,$C25,$B25,J$21)</f>
        <v/>
      </c>
      <c r="K25" s="34" t="str">
        <f ca="1">_xll.DBRW($B$9,$C$14,$C$15,K$20,J$19,$C$16,$C25,$B25,K$21)</f>
        <v/>
      </c>
      <c r="L25" s="34" t="str">
        <f ca="1">_xll.DBRW($B$9,$C$14,$C$15,L$20,L$19,$C$16,$C25,$B25,L$21)</f>
        <v/>
      </c>
      <c r="M25" s="34" t="str">
        <f ca="1">_xll.DBRW($B$9,$C$14,$C$15,M$20,L$19,$C$16,$C25,$B25,M$21)</f>
        <v/>
      </c>
      <c r="N25" s="34" t="str">
        <f ca="1">_xll.DBRW($B$9,$C$14,$C$15,N$20,N$19,$C$16,$C25,$B25,N$21)</f>
        <v/>
      </c>
      <c r="O25" s="34" t="str">
        <f ca="1">_xll.DBRW($B$9,$C$14,$C$15,O$20,N$19,$C$16,$C25,$B25,O$21)</f>
        <v/>
      </c>
      <c r="P25" s="34" t="str">
        <f ca="1">_xll.DBRW($B$9,$C$14,$C$15,P$20,$P$19,$C$16,$C25,$B25,P$21)</f>
        <v/>
      </c>
      <c r="Q25" s="34" t="str">
        <f ca="1">_xll.DBRW($B$9,$C$14,$C$15,Q$20,$P$19,$C$16,$C25,$B25,Q$21)</f>
        <v/>
      </c>
    </row>
    <row r="26" spans="1:17" x14ac:dyDescent="0.25">
      <c r="A26">
        <f ca="1">IF(_xll.TM1RPTELISCONSOLIDATED($C$22,$C26),IF(_xll.TM1RPTELLEV($C$22,$C26)&lt;=3,_xll.TM1RPTELLEV($C$22,$C26),"D"),"N")</f>
        <v>1</v>
      </c>
      <c r="B26" s="7" t="s">
        <v>6</v>
      </c>
      <c r="C26" s="39" t="s">
        <v>38</v>
      </c>
      <c r="D26" s="34" t="str">
        <f ca="1">_xll.DBRW($B$9,$C$14,$C$15,D$20,D$19,$C$16,$C26,$B26,D$21)</f>
        <v/>
      </c>
      <c r="E26" s="34" t="str">
        <f ca="1">_xll.DBRW($B$9,$C$14,$C$15,E$20,D$19,$C$16,$C26,$B26,E$21)</f>
        <v/>
      </c>
      <c r="F26" s="34" t="str">
        <f ca="1">_xll.DBRW($B$9,$C$14,$C$15,F$20,F$19,$C$16,$C26,$B26,F$21)</f>
        <v/>
      </c>
      <c r="G26" s="34" t="str">
        <f ca="1">_xll.DBRW($B$9,$C$14,$C$15,G$20,F$19,$C$16,$C26,$B26,G$21)</f>
        <v/>
      </c>
      <c r="H26" s="34" t="str">
        <f ca="1">_xll.DBRW($B$9,$C$14,$C$15,H$20,H$19,$C$16,$C26,$B26,H$21)</f>
        <v/>
      </c>
      <c r="I26" s="34" t="str">
        <f ca="1">_xll.DBRW($B$9,$C$14,$C$15,I$20,H$19,$C$16,$C26,$B26,I$21)</f>
        <v/>
      </c>
      <c r="J26" s="34" t="str">
        <f ca="1">_xll.DBRW($B$9,$C$14,$C$15,J$20,J$19,$C$16,$C26,$B26,J$21)</f>
        <v/>
      </c>
      <c r="K26" s="34" t="str">
        <f ca="1">_xll.DBRW($B$9,$C$14,$C$15,K$20,J$19,$C$16,$C26,$B26,K$21)</f>
        <v/>
      </c>
      <c r="L26" s="34" t="str">
        <f ca="1">_xll.DBRW($B$9,$C$14,$C$15,L$20,L$19,$C$16,$C26,$B26,L$21)</f>
        <v/>
      </c>
      <c r="M26" s="34" t="str">
        <f ca="1">_xll.DBRW($B$9,$C$14,$C$15,M$20,L$19,$C$16,$C26,$B26,M$21)</f>
        <v/>
      </c>
      <c r="N26" s="34" t="str">
        <f ca="1">_xll.DBRW($B$9,$C$14,$C$15,N$20,N$19,$C$16,$C26,$B26,N$21)</f>
        <v/>
      </c>
      <c r="O26" s="34" t="str">
        <f ca="1">_xll.DBRW($B$9,$C$14,$C$15,O$20,N$19,$C$16,$C26,$B26,O$21)</f>
        <v/>
      </c>
      <c r="P26" s="34" t="str">
        <f ca="1">_xll.DBRW($B$9,$C$14,$C$15,P$20,$P$19,$C$16,$C26,$B26,P$21)</f>
        <v/>
      </c>
      <c r="Q26" s="34" t="str">
        <f ca="1">_xll.DBRW($B$9,$C$14,$C$15,Q$20,$P$19,$C$16,$C26,$B26,Q$21)</f>
        <v/>
      </c>
    </row>
    <row r="27" spans="1:17" x14ac:dyDescent="0.25">
      <c r="A27">
        <f ca="1">IF(_xll.TM1RPTELISCONSOLIDATED($C$22,$C27),IF(_xll.TM1RPTELLEV($C$22,$C27)&lt;=3,_xll.TM1RPTELLEV($C$22,$C27),"D"),"N")</f>
        <v>1</v>
      </c>
      <c r="B27" s="7" t="s">
        <v>6</v>
      </c>
      <c r="C27" s="39" t="s">
        <v>39</v>
      </c>
      <c r="D27" s="34" t="str">
        <f ca="1">_xll.DBRW($B$9,$C$14,$C$15,D$20,D$19,$C$16,$C27,$B27,D$21)</f>
        <v/>
      </c>
      <c r="E27" s="34" t="str">
        <f ca="1">_xll.DBRW($B$9,$C$14,$C$15,E$20,D$19,$C$16,$C27,$B27,E$21)</f>
        <v/>
      </c>
      <c r="F27" s="34" t="str">
        <f ca="1">_xll.DBRW($B$9,$C$14,$C$15,F$20,F$19,$C$16,$C27,$B27,F$21)</f>
        <v/>
      </c>
      <c r="G27" s="34" t="str">
        <f ca="1">_xll.DBRW($B$9,$C$14,$C$15,G$20,F$19,$C$16,$C27,$B27,G$21)</f>
        <v/>
      </c>
      <c r="H27" s="34" t="str">
        <f ca="1">_xll.DBRW($B$9,$C$14,$C$15,H$20,H$19,$C$16,$C27,$B27,H$21)</f>
        <v/>
      </c>
      <c r="I27" s="34" t="str">
        <f ca="1">_xll.DBRW($B$9,$C$14,$C$15,I$20,H$19,$C$16,$C27,$B27,I$21)</f>
        <v/>
      </c>
      <c r="J27" s="34" t="str">
        <f ca="1">_xll.DBRW($B$9,$C$14,$C$15,J$20,J$19,$C$16,$C27,$B27,J$21)</f>
        <v/>
      </c>
      <c r="K27" s="34" t="str">
        <f ca="1">_xll.DBRW($B$9,$C$14,$C$15,K$20,J$19,$C$16,$C27,$B27,K$21)</f>
        <v/>
      </c>
      <c r="L27" s="34" t="str">
        <f ca="1">_xll.DBRW($B$9,$C$14,$C$15,L$20,L$19,$C$16,$C27,$B27,L$21)</f>
        <v/>
      </c>
      <c r="M27" s="34" t="str">
        <f ca="1">_xll.DBRW($B$9,$C$14,$C$15,M$20,L$19,$C$16,$C27,$B27,M$21)</f>
        <v/>
      </c>
      <c r="N27" s="34" t="str">
        <f ca="1">_xll.DBRW($B$9,$C$14,$C$15,N$20,N$19,$C$16,$C27,$B27,N$21)</f>
        <v/>
      </c>
      <c r="O27" s="34" t="str">
        <f ca="1">_xll.DBRW($B$9,$C$14,$C$15,O$20,N$19,$C$16,$C27,$B27,O$21)</f>
        <v/>
      </c>
      <c r="P27" s="34" t="str">
        <f ca="1">_xll.DBRW($B$9,$C$14,$C$15,P$20,$P$19,$C$16,$C27,$B27,P$21)</f>
        <v/>
      </c>
      <c r="Q27" s="34" t="str">
        <f ca="1">_xll.DBRW($B$9,$C$14,$C$15,Q$20,$P$19,$C$16,$C27,$B27,Q$21)</f>
        <v/>
      </c>
    </row>
    <row r="28" spans="1:17" x14ac:dyDescent="0.25">
      <c r="A28">
        <f ca="1">IF(_xll.TM1RPTELISCONSOLIDATED($C$22,$C28),IF(_xll.TM1RPTELLEV($C$22,$C28)&lt;=3,_xll.TM1RPTELLEV($C$22,$C28),"D"),"N")</f>
        <v>1</v>
      </c>
      <c r="B28" s="7" t="s">
        <v>6</v>
      </c>
      <c r="C28" s="39" t="s">
        <v>40</v>
      </c>
      <c r="D28" s="34" t="str">
        <f ca="1">_xll.DBRW($B$9,$C$14,$C$15,D$20,D$19,$C$16,$C28,$B28,D$21)</f>
        <v/>
      </c>
      <c r="E28" s="34" t="str">
        <f ca="1">_xll.DBRW($B$9,$C$14,$C$15,E$20,D$19,$C$16,$C28,$B28,E$21)</f>
        <v/>
      </c>
      <c r="F28" s="34" t="str">
        <f ca="1">_xll.DBRW($B$9,$C$14,$C$15,F$20,F$19,$C$16,$C28,$B28,F$21)</f>
        <v/>
      </c>
      <c r="G28" s="34" t="str">
        <f ca="1">_xll.DBRW($B$9,$C$14,$C$15,G$20,F$19,$C$16,$C28,$B28,G$21)</f>
        <v/>
      </c>
      <c r="H28" s="34" t="str">
        <f ca="1">_xll.DBRW($B$9,$C$14,$C$15,H$20,H$19,$C$16,$C28,$B28,H$21)</f>
        <v/>
      </c>
      <c r="I28" s="34" t="str">
        <f ca="1">_xll.DBRW($B$9,$C$14,$C$15,I$20,H$19,$C$16,$C28,$B28,I$21)</f>
        <v/>
      </c>
      <c r="J28" s="34" t="str">
        <f ca="1">_xll.DBRW($B$9,$C$14,$C$15,J$20,J$19,$C$16,$C28,$B28,J$21)</f>
        <v/>
      </c>
      <c r="K28" s="34" t="str">
        <f ca="1">_xll.DBRW($B$9,$C$14,$C$15,K$20,J$19,$C$16,$C28,$B28,K$21)</f>
        <v/>
      </c>
      <c r="L28" s="34" t="str">
        <f ca="1">_xll.DBRW($B$9,$C$14,$C$15,L$20,L$19,$C$16,$C28,$B28,L$21)</f>
        <v/>
      </c>
      <c r="M28" s="34" t="str">
        <f ca="1">_xll.DBRW($B$9,$C$14,$C$15,M$20,L$19,$C$16,$C28,$B28,M$21)</f>
        <v/>
      </c>
      <c r="N28" s="34" t="str">
        <f ca="1">_xll.DBRW($B$9,$C$14,$C$15,N$20,N$19,$C$16,$C28,$B28,N$21)</f>
        <v/>
      </c>
      <c r="O28" s="34" t="str">
        <f ca="1">_xll.DBRW($B$9,$C$14,$C$15,O$20,N$19,$C$16,$C28,$B28,O$21)</f>
        <v/>
      </c>
      <c r="P28" s="34" t="str">
        <f ca="1">_xll.DBRW($B$9,$C$14,$C$15,P$20,$P$19,$C$16,$C28,$B28,P$21)</f>
        <v/>
      </c>
      <c r="Q28" s="34" t="str">
        <f ca="1">_xll.DBRW($B$9,$C$14,$C$15,Q$20,$P$19,$C$16,$C28,$B28,Q$21)</f>
        <v/>
      </c>
    </row>
    <row r="29" spans="1:17" x14ac:dyDescent="0.25">
      <c r="A29">
        <f ca="1">IF(_xll.TM1RPTELISCONSOLIDATED($C$22,$C29),IF(_xll.TM1RPTELLEV($C$22,$C29)&lt;=3,_xll.TM1RPTELLEV($C$22,$C29),"D"),"N")</f>
        <v>1</v>
      </c>
      <c r="B29" s="7" t="s">
        <v>6</v>
      </c>
      <c r="C29" s="39" t="s">
        <v>41</v>
      </c>
      <c r="D29" s="34" t="str">
        <f ca="1">_xll.DBRW($B$9,$C$14,$C$15,D$20,D$19,$C$16,$C29,$B29,D$21)</f>
        <v/>
      </c>
      <c r="E29" s="34" t="str">
        <f ca="1">_xll.DBRW($B$9,$C$14,$C$15,E$20,D$19,$C$16,$C29,$B29,E$21)</f>
        <v/>
      </c>
      <c r="F29" s="34" t="str">
        <f ca="1">_xll.DBRW($B$9,$C$14,$C$15,F$20,F$19,$C$16,$C29,$B29,F$21)</f>
        <v/>
      </c>
      <c r="G29" s="34" t="str">
        <f ca="1">_xll.DBRW($B$9,$C$14,$C$15,G$20,F$19,$C$16,$C29,$B29,G$21)</f>
        <v/>
      </c>
      <c r="H29" s="34" t="str">
        <f ca="1">_xll.DBRW($B$9,$C$14,$C$15,H$20,H$19,$C$16,$C29,$B29,H$21)</f>
        <v/>
      </c>
      <c r="I29" s="34" t="str">
        <f ca="1">_xll.DBRW($B$9,$C$14,$C$15,I$20,H$19,$C$16,$C29,$B29,I$21)</f>
        <v/>
      </c>
      <c r="J29" s="34" t="str">
        <f ca="1">_xll.DBRW($B$9,$C$14,$C$15,J$20,J$19,$C$16,$C29,$B29,J$21)</f>
        <v/>
      </c>
      <c r="K29" s="34" t="str">
        <f ca="1">_xll.DBRW($B$9,$C$14,$C$15,K$20,J$19,$C$16,$C29,$B29,K$21)</f>
        <v/>
      </c>
      <c r="L29" s="34" t="str">
        <f ca="1">_xll.DBRW($B$9,$C$14,$C$15,L$20,L$19,$C$16,$C29,$B29,L$21)</f>
        <v/>
      </c>
      <c r="M29" s="34" t="str">
        <f ca="1">_xll.DBRW($B$9,$C$14,$C$15,M$20,L$19,$C$16,$C29,$B29,M$21)</f>
        <v/>
      </c>
      <c r="N29" s="34" t="str">
        <f ca="1">_xll.DBRW($B$9,$C$14,$C$15,N$20,N$19,$C$16,$C29,$B29,N$21)</f>
        <v/>
      </c>
      <c r="O29" s="34" t="str">
        <f ca="1">_xll.DBRW($B$9,$C$14,$C$15,O$20,N$19,$C$16,$C29,$B29,O$21)</f>
        <v/>
      </c>
      <c r="P29" s="34" t="str">
        <f ca="1">_xll.DBRW($B$9,$C$14,$C$15,P$20,$P$19,$C$16,$C29,$B29,P$21)</f>
        <v/>
      </c>
      <c r="Q29" s="34" t="str">
        <f ca="1">_xll.DBRW($B$9,$C$14,$C$15,Q$20,$P$19,$C$16,$C29,$B29,Q$21)</f>
        <v/>
      </c>
    </row>
    <row r="30" spans="1:17" x14ac:dyDescent="0.25">
      <c r="A30">
        <f ca="1">IF(_xll.TM1RPTELISCONSOLIDATED($C$22,$C30),IF(_xll.TM1RPTELLEV($C$22,$C30)&lt;=3,_xll.TM1RPTELLEV($C$22,$C30),"D"),"N")</f>
        <v>1</v>
      </c>
      <c r="B30" s="7" t="s">
        <v>6</v>
      </c>
      <c r="C30" s="39" t="s">
        <v>42</v>
      </c>
      <c r="D30" s="34" t="str">
        <f ca="1">_xll.DBRW($B$9,$C$14,$C$15,D$20,D$19,$C$16,$C30,$B30,D$21)</f>
        <v/>
      </c>
      <c r="E30" s="34" t="str">
        <f ca="1">_xll.DBRW($B$9,$C$14,$C$15,E$20,D$19,$C$16,$C30,$B30,E$21)</f>
        <v/>
      </c>
      <c r="F30" s="34" t="str">
        <f ca="1">_xll.DBRW($B$9,$C$14,$C$15,F$20,F$19,$C$16,$C30,$B30,F$21)</f>
        <v/>
      </c>
      <c r="G30" s="34" t="str">
        <f ca="1">_xll.DBRW($B$9,$C$14,$C$15,G$20,F$19,$C$16,$C30,$B30,G$21)</f>
        <v/>
      </c>
      <c r="H30" s="34" t="str">
        <f ca="1">_xll.DBRW($B$9,$C$14,$C$15,H$20,H$19,$C$16,$C30,$B30,H$21)</f>
        <v/>
      </c>
      <c r="I30" s="34" t="str">
        <f ca="1">_xll.DBRW($B$9,$C$14,$C$15,I$20,H$19,$C$16,$C30,$B30,I$21)</f>
        <v/>
      </c>
      <c r="J30" s="34" t="str">
        <f ca="1">_xll.DBRW($B$9,$C$14,$C$15,J$20,J$19,$C$16,$C30,$B30,J$21)</f>
        <v/>
      </c>
      <c r="K30" s="34" t="str">
        <f ca="1">_xll.DBRW($B$9,$C$14,$C$15,K$20,J$19,$C$16,$C30,$B30,K$21)</f>
        <v/>
      </c>
      <c r="L30" s="34" t="str">
        <f ca="1">_xll.DBRW($B$9,$C$14,$C$15,L$20,L$19,$C$16,$C30,$B30,L$21)</f>
        <v/>
      </c>
      <c r="M30" s="34" t="str">
        <f ca="1">_xll.DBRW($B$9,$C$14,$C$15,M$20,L$19,$C$16,$C30,$B30,M$21)</f>
        <v/>
      </c>
      <c r="N30" s="34" t="str">
        <f ca="1">_xll.DBRW($B$9,$C$14,$C$15,N$20,N$19,$C$16,$C30,$B30,N$21)</f>
        <v/>
      </c>
      <c r="O30" s="34" t="str">
        <f ca="1">_xll.DBRW($B$9,$C$14,$C$15,O$20,N$19,$C$16,$C30,$B30,O$21)</f>
        <v/>
      </c>
      <c r="P30" s="34" t="str">
        <f ca="1">_xll.DBRW($B$9,$C$14,$C$15,P$20,$P$19,$C$16,$C30,$B30,P$21)</f>
        <v/>
      </c>
      <c r="Q30" s="34" t="str">
        <f ca="1">_xll.DBRW($B$9,$C$14,$C$15,Q$20,$P$19,$C$16,$C30,$B30,Q$21)</f>
        <v/>
      </c>
    </row>
    <row r="31" spans="1:17" x14ac:dyDescent="0.25">
      <c r="A31">
        <f ca="1">IF(_xll.TM1RPTELISCONSOLIDATED($C$22,$C31),IF(_xll.TM1RPTELLEV($C$22,$C31)&lt;=3,_xll.TM1RPTELLEV($C$22,$C31),"D"),"N")</f>
        <v>0</v>
      </c>
      <c r="B31" s="5" t="s">
        <v>54</v>
      </c>
      <c r="C31" s="38" t="s">
        <v>35</v>
      </c>
      <c r="D31" s="33" t="str">
        <f ca="1">_xll.DBRW($B$9,$C$14,$C$15,D$20,D$19,$C$16,$C31,$B31,D$21)</f>
        <v/>
      </c>
      <c r="E31" s="33" t="str">
        <f ca="1">_xll.DBRW($B$9,$C$14,$C$15,E$20,D$19,$C$16,$C31,$B31,E$21)</f>
        <v/>
      </c>
      <c r="F31" s="33" t="str">
        <f ca="1">_xll.DBRW($B$9,$C$14,$C$15,F$20,F$19,$C$16,$C31,$B31,F$21)</f>
        <v/>
      </c>
      <c r="G31" s="33" t="str">
        <f ca="1">_xll.DBRW($B$9,$C$14,$C$15,G$20,F$19,$C$16,$C31,$B31,G$21)</f>
        <v/>
      </c>
      <c r="H31" s="33" t="str">
        <f ca="1">_xll.DBRW($B$9,$C$14,$C$15,H$20,H$19,$C$16,$C31,$B31,H$21)</f>
        <v/>
      </c>
      <c r="I31" s="33" t="str">
        <f ca="1">_xll.DBRW($B$9,$C$14,$C$15,I$20,H$19,$C$16,$C31,$B31,I$21)</f>
        <v/>
      </c>
      <c r="J31" s="33" t="str">
        <f ca="1">_xll.DBRW($B$9,$C$14,$C$15,J$20,J$19,$C$16,$C31,$B31,J$21)</f>
        <v/>
      </c>
      <c r="K31" s="33" t="str">
        <f ca="1">_xll.DBRW($B$9,$C$14,$C$15,K$20,J$19,$C$16,$C31,$B31,K$21)</f>
        <v/>
      </c>
      <c r="L31" s="33" t="str">
        <f ca="1">_xll.DBRW($B$9,$C$14,$C$15,L$20,L$19,$C$16,$C31,$B31,L$21)</f>
        <v/>
      </c>
      <c r="M31" s="33" t="str">
        <f ca="1">_xll.DBRW($B$9,$C$14,$C$15,M$20,L$19,$C$16,$C31,$B31,M$21)</f>
        <v/>
      </c>
      <c r="N31" s="33" t="str">
        <f ca="1">_xll.DBRW($B$9,$C$14,$C$15,N$20,N$19,$C$16,$C31,$B31,N$21)</f>
        <v/>
      </c>
      <c r="O31" s="33" t="str">
        <f ca="1">_xll.DBRW($B$9,$C$14,$C$15,O$20,N$19,$C$16,$C31,$B31,O$21)</f>
        <v/>
      </c>
      <c r="P31" s="33" t="str">
        <f ca="1">_xll.DBRW($B$9,$C$14,$C$15,P$20,$P$19,$C$16,$C31,$B31,P$21)</f>
        <v/>
      </c>
      <c r="Q31" s="33" t="str">
        <f ca="1">_xll.DBRW($B$9,$C$14,$C$15,Q$20,$P$19,$C$16,$C31,$B31,Q$21)</f>
        <v/>
      </c>
    </row>
    <row r="32" spans="1:17" x14ac:dyDescent="0.25">
      <c r="A32">
        <f ca="1">IF(_xll.TM1RPTELISCONSOLIDATED($C$22,$C32),IF(_xll.TM1RPTELLEV($C$22,$C32)&lt;=3,_xll.TM1RPTELLEV($C$22,$C32),"D"),"N")</f>
        <v>1</v>
      </c>
      <c r="B32" s="8" t="s">
        <v>54</v>
      </c>
      <c r="C32" s="39" t="s">
        <v>43</v>
      </c>
      <c r="D32" s="34" t="str">
        <f ca="1">_xll.DBRW($B$9,$C$14,$C$15,D$20,D$19,$C$16,$C32,$B32,D$21)</f>
        <v/>
      </c>
      <c r="E32" s="34" t="str">
        <f ca="1">_xll.DBRW($B$9,$C$14,$C$15,E$20,D$19,$C$16,$C32,$B32,E$21)</f>
        <v/>
      </c>
      <c r="F32" s="34" t="str">
        <f ca="1">_xll.DBRW($B$9,$C$14,$C$15,F$20,F$19,$C$16,$C32,$B32,F$21)</f>
        <v/>
      </c>
      <c r="G32" s="34" t="str">
        <f ca="1">_xll.DBRW($B$9,$C$14,$C$15,G$20,F$19,$C$16,$C32,$B32,G$21)</f>
        <v/>
      </c>
      <c r="H32" s="34" t="str">
        <f ca="1">_xll.DBRW($B$9,$C$14,$C$15,H$20,H$19,$C$16,$C32,$B32,H$21)</f>
        <v/>
      </c>
      <c r="I32" s="34" t="str">
        <f ca="1">_xll.DBRW($B$9,$C$14,$C$15,I$20,H$19,$C$16,$C32,$B32,I$21)</f>
        <v/>
      </c>
      <c r="J32" s="34" t="str">
        <f ca="1">_xll.DBRW($B$9,$C$14,$C$15,J$20,J$19,$C$16,$C32,$B32,J$21)</f>
        <v/>
      </c>
      <c r="K32" s="34" t="str">
        <f ca="1">_xll.DBRW($B$9,$C$14,$C$15,K$20,J$19,$C$16,$C32,$B32,K$21)</f>
        <v/>
      </c>
      <c r="L32" s="34" t="str">
        <f ca="1">_xll.DBRW($B$9,$C$14,$C$15,L$20,L$19,$C$16,$C32,$B32,L$21)</f>
        <v/>
      </c>
      <c r="M32" s="34" t="str">
        <f ca="1">_xll.DBRW($B$9,$C$14,$C$15,M$20,L$19,$C$16,$C32,$B32,M$21)</f>
        <v/>
      </c>
      <c r="N32" s="34" t="str">
        <f ca="1">_xll.DBRW($B$9,$C$14,$C$15,N$20,N$19,$C$16,$C32,$B32,N$21)</f>
        <v/>
      </c>
      <c r="O32" s="34" t="str">
        <f ca="1">_xll.DBRW($B$9,$C$14,$C$15,O$20,N$19,$C$16,$C32,$B32,O$21)</f>
        <v/>
      </c>
      <c r="P32" s="34" t="str">
        <f ca="1">_xll.DBRW($B$9,$C$14,$C$15,P$20,$P$19,$C$16,$C32,$B32,P$21)</f>
        <v/>
      </c>
      <c r="Q32" s="34" t="str">
        <f ca="1">_xll.DBRW($B$9,$C$14,$C$15,Q$20,$P$19,$C$16,$C32,$B32,Q$21)</f>
        <v/>
      </c>
    </row>
    <row r="33" spans="1:17" x14ac:dyDescent="0.25">
      <c r="A33">
        <f ca="1">IF(_xll.TM1RPTELISCONSOLIDATED($C$22,$C33),IF(_xll.TM1RPTELLEV($C$22,$C33)&lt;=3,_xll.TM1RPTELLEV($C$22,$C33),"D"),"N")</f>
        <v>1</v>
      </c>
      <c r="B33" s="8" t="s">
        <v>54</v>
      </c>
      <c r="C33" s="39" t="s">
        <v>36</v>
      </c>
      <c r="D33" s="34" t="str">
        <f ca="1">_xll.DBRW($B$9,$C$14,$C$15,D$20,D$19,$C$16,$C33,$B33,D$21)</f>
        <v/>
      </c>
      <c r="E33" s="34" t="str">
        <f ca="1">_xll.DBRW($B$9,$C$14,$C$15,E$20,D$19,$C$16,$C33,$B33,E$21)</f>
        <v/>
      </c>
      <c r="F33" s="34" t="str">
        <f ca="1">_xll.DBRW($B$9,$C$14,$C$15,F$20,F$19,$C$16,$C33,$B33,F$21)</f>
        <v/>
      </c>
      <c r="G33" s="34" t="str">
        <f ca="1">_xll.DBRW($B$9,$C$14,$C$15,G$20,F$19,$C$16,$C33,$B33,G$21)</f>
        <v/>
      </c>
      <c r="H33" s="34" t="str">
        <f ca="1">_xll.DBRW($B$9,$C$14,$C$15,H$20,H$19,$C$16,$C33,$B33,H$21)</f>
        <v/>
      </c>
      <c r="I33" s="34" t="str">
        <f ca="1">_xll.DBRW($B$9,$C$14,$C$15,I$20,H$19,$C$16,$C33,$B33,I$21)</f>
        <v/>
      </c>
      <c r="J33" s="34" t="str">
        <f ca="1">_xll.DBRW($B$9,$C$14,$C$15,J$20,J$19,$C$16,$C33,$B33,J$21)</f>
        <v/>
      </c>
      <c r="K33" s="34" t="str">
        <f ca="1">_xll.DBRW($B$9,$C$14,$C$15,K$20,J$19,$C$16,$C33,$B33,K$21)</f>
        <v/>
      </c>
      <c r="L33" s="34" t="str">
        <f ca="1">_xll.DBRW($B$9,$C$14,$C$15,L$20,L$19,$C$16,$C33,$B33,L$21)</f>
        <v/>
      </c>
      <c r="M33" s="34" t="str">
        <f ca="1">_xll.DBRW($B$9,$C$14,$C$15,M$20,L$19,$C$16,$C33,$B33,M$21)</f>
        <v/>
      </c>
      <c r="N33" s="34" t="str">
        <f ca="1">_xll.DBRW($B$9,$C$14,$C$15,N$20,N$19,$C$16,$C33,$B33,N$21)</f>
        <v/>
      </c>
      <c r="O33" s="34" t="str">
        <f ca="1">_xll.DBRW($B$9,$C$14,$C$15,O$20,N$19,$C$16,$C33,$B33,O$21)</f>
        <v/>
      </c>
      <c r="P33" s="34" t="str">
        <f ca="1">_xll.DBRW($B$9,$C$14,$C$15,P$20,$P$19,$C$16,$C33,$B33,P$21)</f>
        <v/>
      </c>
      <c r="Q33" s="34" t="str">
        <f ca="1">_xll.DBRW($B$9,$C$14,$C$15,Q$20,$P$19,$C$16,$C33,$B33,Q$21)</f>
        <v/>
      </c>
    </row>
    <row r="34" spans="1:17" x14ac:dyDescent="0.25">
      <c r="A34">
        <f ca="1">IF(_xll.TM1RPTELISCONSOLIDATED($C$22,$C34),IF(_xll.TM1RPTELLEV($C$22,$C34)&lt;=3,_xll.TM1RPTELLEV($C$22,$C34),"D"),"N")</f>
        <v>1</v>
      </c>
      <c r="B34" s="8" t="s">
        <v>54</v>
      </c>
      <c r="C34" s="39" t="s">
        <v>37</v>
      </c>
      <c r="D34" s="34" t="str">
        <f ca="1">_xll.DBRW($B$9,$C$14,$C$15,D$20,D$19,$C$16,$C34,$B34,D$21)</f>
        <v/>
      </c>
      <c r="E34" s="34" t="str">
        <f ca="1">_xll.DBRW($B$9,$C$14,$C$15,E$20,D$19,$C$16,$C34,$B34,E$21)</f>
        <v/>
      </c>
      <c r="F34" s="34" t="str">
        <f ca="1">_xll.DBRW($B$9,$C$14,$C$15,F$20,F$19,$C$16,$C34,$B34,F$21)</f>
        <v/>
      </c>
      <c r="G34" s="34" t="str">
        <f ca="1">_xll.DBRW($B$9,$C$14,$C$15,G$20,F$19,$C$16,$C34,$B34,G$21)</f>
        <v/>
      </c>
      <c r="H34" s="34" t="str">
        <f ca="1">_xll.DBRW($B$9,$C$14,$C$15,H$20,H$19,$C$16,$C34,$B34,H$21)</f>
        <v/>
      </c>
      <c r="I34" s="34" t="str">
        <f ca="1">_xll.DBRW($B$9,$C$14,$C$15,I$20,H$19,$C$16,$C34,$B34,I$21)</f>
        <v/>
      </c>
      <c r="J34" s="34" t="str">
        <f ca="1">_xll.DBRW($B$9,$C$14,$C$15,J$20,J$19,$C$16,$C34,$B34,J$21)</f>
        <v/>
      </c>
      <c r="K34" s="34" t="str">
        <f ca="1">_xll.DBRW($B$9,$C$14,$C$15,K$20,J$19,$C$16,$C34,$B34,K$21)</f>
        <v/>
      </c>
      <c r="L34" s="34" t="str">
        <f ca="1">_xll.DBRW($B$9,$C$14,$C$15,L$20,L$19,$C$16,$C34,$B34,L$21)</f>
        <v/>
      </c>
      <c r="M34" s="34" t="str">
        <f ca="1">_xll.DBRW($B$9,$C$14,$C$15,M$20,L$19,$C$16,$C34,$B34,M$21)</f>
        <v/>
      </c>
      <c r="N34" s="34" t="str">
        <f ca="1">_xll.DBRW($B$9,$C$14,$C$15,N$20,N$19,$C$16,$C34,$B34,N$21)</f>
        <v/>
      </c>
      <c r="O34" s="34" t="str">
        <f ca="1">_xll.DBRW($B$9,$C$14,$C$15,O$20,N$19,$C$16,$C34,$B34,O$21)</f>
        <v/>
      </c>
      <c r="P34" s="34" t="str">
        <f ca="1">_xll.DBRW($B$9,$C$14,$C$15,P$20,$P$19,$C$16,$C34,$B34,P$21)</f>
        <v/>
      </c>
      <c r="Q34" s="34" t="str">
        <f ca="1">_xll.DBRW($B$9,$C$14,$C$15,Q$20,$P$19,$C$16,$C34,$B34,Q$21)</f>
        <v/>
      </c>
    </row>
    <row r="35" spans="1:17" x14ac:dyDescent="0.25">
      <c r="A35">
        <f ca="1">IF(_xll.TM1RPTELISCONSOLIDATED($C$22,$C35),IF(_xll.TM1RPTELLEV($C$22,$C35)&lt;=3,_xll.TM1RPTELLEV($C$22,$C35),"D"),"N")</f>
        <v>1</v>
      </c>
      <c r="B35" s="8" t="s">
        <v>54</v>
      </c>
      <c r="C35" s="39" t="s">
        <v>38</v>
      </c>
      <c r="D35" s="34" t="str">
        <f ca="1">_xll.DBRW($B$9,$C$14,$C$15,D$20,D$19,$C$16,$C35,$B35,D$21)</f>
        <v/>
      </c>
      <c r="E35" s="34" t="str">
        <f ca="1">_xll.DBRW($B$9,$C$14,$C$15,E$20,D$19,$C$16,$C35,$B35,E$21)</f>
        <v/>
      </c>
      <c r="F35" s="34" t="str">
        <f ca="1">_xll.DBRW($B$9,$C$14,$C$15,F$20,F$19,$C$16,$C35,$B35,F$21)</f>
        <v/>
      </c>
      <c r="G35" s="34" t="str">
        <f ca="1">_xll.DBRW($B$9,$C$14,$C$15,G$20,F$19,$C$16,$C35,$B35,G$21)</f>
        <v/>
      </c>
      <c r="H35" s="34" t="str">
        <f ca="1">_xll.DBRW($B$9,$C$14,$C$15,H$20,H$19,$C$16,$C35,$B35,H$21)</f>
        <v/>
      </c>
      <c r="I35" s="34" t="str">
        <f ca="1">_xll.DBRW($B$9,$C$14,$C$15,I$20,H$19,$C$16,$C35,$B35,I$21)</f>
        <v/>
      </c>
      <c r="J35" s="34" t="str">
        <f ca="1">_xll.DBRW($B$9,$C$14,$C$15,J$20,J$19,$C$16,$C35,$B35,J$21)</f>
        <v/>
      </c>
      <c r="K35" s="34" t="str">
        <f ca="1">_xll.DBRW($B$9,$C$14,$C$15,K$20,J$19,$C$16,$C35,$B35,K$21)</f>
        <v/>
      </c>
      <c r="L35" s="34" t="str">
        <f ca="1">_xll.DBRW($B$9,$C$14,$C$15,L$20,L$19,$C$16,$C35,$B35,L$21)</f>
        <v/>
      </c>
      <c r="M35" s="34" t="str">
        <f ca="1">_xll.DBRW($B$9,$C$14,$C$15,M$20,L$19,$C$16,$C35,$B35,M$21)</f>
        <v/>
      </c>
      <c r="N35" s="34" t="str">
        <f ca="1">_xll.DBRW($B$9,$C$14,$C$15,N$20,N$19,$C$16,$C35,$B35,N$21)</f>
        <v/>
      </c>
      <c r="O35" s="34" t="str">
        <f ca="1">_xll.DBRW($B$9,$C$14,$C$15,O$20,N$19,$C$16,$C35,$B35,O$21)</f>
        <v/>
      </c>
      <c r="P35" s="34" t="str">
        <f ca="1">_xll.DBRW($B$9,$C$14,$C$15,P$20,$P$19,$C$16,$C35,$B35,P$21)</f>
        <v/>
      </c>
      <c r="Q35" s="34" t="str">
        <f ca="1">_xll.DBRW($B$9,$C$14,$C$15,Q$20,$P$19,$C$16,$C35,$B35,Q$21)</f>
        <v/>
      </c>
    </row>
    <row r="36" spans="1:17" x14ac:dyDescent="0.25">
      <c r="A36">
        <f ca="1">IF(_xll.TM1RPTELISCONSOLIDATED($C$22,$C36),IF(_xll.TM1RPTELLEV($C$22,$C36)&lt;=3,_xll.TM1RPTELLEV($C$22,$C36),"D"),"N")</f>
        <v>1</v>
      </c>
      <c r="B36" s="8" t="s">
        <v>54</v>
      </c>
      <c r="C36" s="39" t="s">
        <v>39</v>
      </c>
      <c r="D36" s="34" t="str">
        <f ca="1">_xll.DBRW($B$9,$C$14,$C$15,D$20,D$19,$C$16,$C36,$B36,D$21)</f>
        <v/>
      </c>
      <c r="E36" s="34" t="str">
        <f ca="1">_xll.DBRW($B$9,$C$14,$C$15,E$20,D$19,$C$16,$C36,$B36,E$21)</f>
        <v/>
      </c>
      <c r="F36" s="34" t="str">
        <f ca="1">_xll.DBRW($B$9,$C$14,$C$15,F$20,F$19,$C$16,$C36,$B36,F$21)</f>
        <v/>
      </c>
      <c r="G36" s="34" t="str">
        <f ca="1">_xll.DBRW($B$9,$C$14,$C$15,G$20,F$19,$C$16,$C36,$B36,G$21)</f>
        <v/>
      </c>
      <c r="H36" s="34" t="str">
        <f ca="1">_xll.DBRW($B$9,$C$14,$C$15,H$20,H$19,$C$16,$C36,$B36,H$21)</f>
        <v/>
      </c>
      <c r="I36" s="34" t="str">
        <f ca="1">_xll.DBRW($B$9,$C$14,$C$15,I$20,H$19,$C$16,$C36,$B36,I$21)</f>
        <v/>
      </c>
      <c r="J36" s="34" t="str">
        <f ca="1">_xll.DBRW($B$9,$C$14,$C$15,J$20,J$19,$C$16,$C36,$B36,J$21)</f>
        <v/>
      </c>
      <c r="K36" s="34" t="str">
        <f ca="1">_xll.DBRW($B$9,$C$14,$C$15,K$20,J$19,$C$16,$C36,$B36,K$21)</f>
        <v/>
      </c>
      <c r="L36" s="34" t="str">
        <f ca="1">_xll.DBRW($B$9,$C$14,$C$15,L$20,L$19,$C$16,$C36,$B36,L$21)</f>
        <v/>
      </c>
      <c r="M36" s="34" t="str">
        <f ca="1">_xll.DBRW($B$9,$C$14,$C$15,M$20,L$19,$C$16,$C36,$B36,M$21)</f>
        <v/>
      </c>
      <c r="N36" s="34" t="str">
        <f ca="1">_xll.DBRW($B$9,$C$14,$C$15,N$20,N$19,$C$16,$C36,$B36,N$21)</f>
        <v/>
      </c>
      <c r="O36" s="34" t="str">
        <f ca="1">_xll.DBRW($B$9,$C$14,$C$15,O$20,N$19,$C$16,$C36,$B36,O$21)</f>
        <v/>
      </c>
      <c r="P36" s="34" t="str">
        <f ca="1">_xll.DBRW($B$9,$C$14,$C$15,P$20,$P$19,$C$16,$C36,$B36,P$21)</f>
        <v/>
      </c>
      <c r="Q36" s="34" t="str">
        <f ca="1">_xll.DBRW($B$9,$C$14,$C$15,Q$20,$P$19,$C$16,$C36,$B36,Q$21)</f>
        <v/>
      </c>
    </row>
    <row r="37" spans="1:17" x14ac:dyDescent="0.25">
      <c r="A37">
        <f ca="1">IF(_xll.TM1RPTELISCONSOLIDATED($C$22,$C37),IF(_xll.TM1RPTELLEV($C$22,$C37)&lt;=3,_xll.TM1RPTELLEV($C$22,$C37),"D"),"N")</f>
        <v>1</v>
      </c>
      <c r="B37" s="8" t="s">
        <v>54</v>
      </c>
      <c r="C37" s="39" t="s">
        <v>40</v>
      </c>
      <c r="D37" s="34" t="str">
        <f ca="1">_xll.DBRW($B$9,$C$14,$C$15,D$20,D$19,$C$16,$C37,$B37,D$21)</f>
        <v/>
      </c>
      <c r="E37" s="34" t="str">
        <f ca="1">_xll.DBRW($B$9,$C$14,$C$15,E$20,D$19,$C$16,$C37,$B37,E$21)</f>
        <v/>
      </c>
      <c r="F37" s="34" t="str">
        <f ca="1">_xll.DBRW($B$9,$C$14,$C$15,F$20,F$19,$C$16,$C37,$B37,F$21)</f>
        <v/>
      </c>
      <c r="G37" s="34" t="str">
        <f ca="1">_xll.DBRW($B$9,$C$14,$C$15,G$20,F$19,$C$16,$C37,$B37,G$21)</f>
        <v/>
      </c>
      <c r="H37" s="34" t="str">
        <f ca="1">_xll.DBRW($B$9,$C$14,$C$15,H$20,H$19,$C$16,$C37,$B37,H$21)</f>
        <v/>
      </c>
      <c r="I37" s="34" t="str">
        <f ca="1">_xll.DBRW($B$9,$C$14,$C$15,I$20,H$19,$C$16,$C37,$B37,I$21)</f>
        <v/>
      </c>
      <c r="J37" s="34" t="str">
        <f ca="1">_xll.DBRW($B$9,$C$14,$C$15,J$20,J$19,$C$16,$C37,$B37,J$21)</f>
        <v/>
      </c>
      <c r="K37" s="34" t="str">
        <f ca="1">_xll.DBRW($B$9,$C$14,$C$15,K$20,J$19,$C$16,$C37,$B37,K$21)</f>
        <v/>
      </c>
      <c r="L37" s="34" t="str">
        <f ca="1">_xll.DBRW($B$9,$C$14,$C$15,L$20,L$19,$C$16,$C37,$B37,L$21)</f>
        <v/>
      </c>
      <c r="M37" s="34" t="str">
        <f ca="1">_xll.DBRW($B$9,$C$14,$C$15,M$20,L$19,$C$16,$C37,$B37,M$21)</f>
        <v/>
      </c>
      <c r="N37" s="34" t="str">
        <f ca="1">_xll.DBRW($B$9,$C$14,$C$15,N$20,N$19,$C$16,$C37,$B37,N$21)</f>
        <v/>
      </c>
      <c r="O37" s="34" t="str">
        <f ca="1">_xll.DBRW($B$9,$C$14,$C$15,O$20,N$19,$C$16,$C37,$B37,O$21)</f>
        <v/>
      </c>
      <c r="P37" s="34" t="str">
        <f ca="1">_xll.DBRW($B$9,$C$14,$C$15,P$20,$P$19,$C$16,$C37,$B37,P$21)</f>
        <v/>
      </c>
      <c r="Q37" s="34" t="str">
        <f ca="1">_xll.DBRW($B$9,$C$14,$C$15,Q$20,$P$19,$C$16,$C37,$B37,Q$21)</f>
        <v/>
      </c>
    </row>
    <row r="38" spans="1:17" x14ac:dyDescent="0.25">
      <c r="A38">
        <f ca="1">IF(_xll.TM1RPTELISCONSOLIDATED($C$22,$C38),IF(_xll.TM1RPTELLEV($C$22,$C38)&lt;=3,_xll.TM1RPTELLEV($C$22,$C38),"D"),"N")</f>
        <v>1</v>
      </c>
      <c r="B38" s="8" t="s">
        <v>54</v>
      </c>
      <c r="C38" s="39" t="s">
        <v>41</v>
      </c>
      <c r="D38" s="34" t="str">
        <f ca="1">_xll.DBRW($B$9,$C$14,$C$15,D$20,D$19,$C$16,$C38,$B38,D$21)</f>
        <v/>
      </c>
      <c r="E38" s="34" t="str">
        <f ca="1">_xll.DBRW($B$9,$C$14,$C$15,E$20,D$19,$C$16,$C38,$B38,E$21)</f>
        <v/>
      </c>
      <c r="F38" s="34" t="str">
        <f ca="1">_xll.DBRW($B$9,$C$14,$C$15,F$20,F$19,$C$16,$C38,$B38,F$21)</f>
        <v/>
      </c>
      <c r="G38" s="34" t="str">
        <f ca="1">_xll.DBRW($B$9,$C$14,$C$15,G$20,F$19,$C$16,$C38,$B38,G$21)</f>
        <v/>
      </c>
      <c r="H38" s="34" t="str">
        <f ca="1">_xll.DBRW($B$9,$C$14,$C$15,H$20,H$19,$C$16,$C38,$B38,H$21)</f>
        <v/>
      </c>
      <c r="I38" s="34" t="str">
        <f ca="1">_xll.DBRW($B$9,$C$14,$C$15,I$20,H$19,$C$16,$C38,$B38,I$21)</f>
        <v/>
      </c>
      <c r="J38" s="34" t="str">
        <f ca="1">_xll.DBRW($B$9,$C$14,$C$15,J$20,J$19,$C$16,$C38,$B38,J$21)</f>
        <v/>
      </c>
      <c r="K38" s="34" t="str">
        <f ca="1">_xll.DBRW($B$9,$C$14,$C$15,K$20,J$19,$C$16,$C38,$B38,K$21)</f>
        <v/>
      </c>
      <c r="L38" s="34" t="str">
        <f ca="1">_xll.DBRW($B$9,$C$14,$C$15,L$20,L$19,$C$16,$C38,$B38,L$21)</f>
        <v/>
      </c>
      <c r="M38" s="34" t="str">
        <f ca="1">_xll.DBRW($B$9,$C$14,$C$15,M$20,L$19,$C$16,$C38,$B38,M$21)</f>
        <v/>
      </c>
      <c r="N38" s="34" t="str">
        <f ca="1">_xll.DBRW($B$9,$C$14,$C$15,N$20,N$19,$C$16,$C38,$B38,N$21)</f>
        <v/>
      </c>
      <c r="O38" s="34" t="str">
        <f ca="1">_xll.DBRW($B$9,$C$14,$C$15,O$20,N$19,$C$16,$C38,$B38,O$21)</f>
        <v/>
      </c>
      <c r="P38" s="34" t="str">
        <f ca="1">_xll.DBRW($B$9,$C$14,$C$15,P$20,$P$19,$C$16,$C38,$B38,P$21)</f>
        <v/>
      </c>
      <c r="Q38" s="34" t="str">
        <f ca="1">_xll.DBRW($B$9,$C$14,$C$15,Q$20,$P$19,$C$16,$C38,$B38,Q$21)</f>
        <v/>
      </c>
    </row>
    <row r="39" spans="1:17" x14ac:dyDescent="0.25">
      <c r="A39">
        <f ca="1">IF(_xll.TM1RPTELISCONSOLIDATED($C$22,$C39),IF(_xll.TM1RPTELLEV($C$22,$C39)&lt;=3,_xll.TM1RPTELLEV($C$22,$C39),"D"),"N")</f>
        <v>1</v>
      </c>
      <c r="B39" s="8" t="s">
        <v>54</v>
      </c>
      <c r="C39" s="39" t="s">
        <v>42</v>
      </c>
      <c r="D39" s="34" t="str">
        <f ca="1">_xll.DBRW($B$9,$C$14,$C$15,D$20,D$19,$C$16,$C39,$B39,D$21)</f>
        <v/>
      </c>
      <c r="E39" s="34" t="str">
        <f ca="1">_xll.DBRW($B$9,$C$14,$C$15,E$20,D$19,$C$16,$C39,$B39,E$21)</f>
        <v/>
      </c>
      <c r="F39" s="34" t="str">
        <f ca="1">_xll.DBRW($B$9,$C$14,$C$15,F$20,F$19,$C$16,$C39,$B39,F$21)</f>
        <v/>
      </c>
      <c r="G39" s="34" t="str">
        <f ca="1">_xll.DBRW($B$9,$C$14,$C$15,G$20,F$19,$C$16,$C39,$B39,G$21)</f>
        <v/>
      </c>
      <c r="H39" s="34" t="str">
        <f ca="1">_xll.DBRW($B$9,$C$14,$C$15,H$20,H$19,$C$16,$C39,$B39,H$21)</f>
        <v/>
      </c>
      <c r="I39" s="34" t="str">
        <f ca="1">_xll.DBRW($B$9,$C$14,$C$15,I$20,H$19,$C$16,$C39,$B39,I$21)</f>
        <v/>
      </c>
      <c r="J39" s="34" t="str">
        <f ca="1">_xll.DBRW($B$9,$C$14,$C$15,J$20,J$19,$C$16,$C39,$B39,J$21)</f>
        <v/>
      </c>
      <c r="K39" s="34" t="str">
        <f ca="1">_xll.DBRW($B$9,$C$14,$C$15,K$20,J$19,$C$16,$C39,$B39,K$21)</f>
        <v/>
      </c>
      <c r="L39" s="34" t="str">
        <f ca="1">_xll.DBRW($B$9,$C$14,$C$15,L$20,L$19,$C$16,$C39,$B39,L$21)</f>
        <v/>
      </c>
      <c r="M39" s="34" t="str">
        <f ca="1">_xll.DBRW($B$9,$C$14,$C$15,M$20,L$19,$C$16,$C39,$B39,M$21)</f>
        <v/>
      </c>
      <c r="N39" s="34" t="str">
        <f ca="1">_xll.DBRW($B$9,$C$14,$C$15,N$20,N$19,$C$16,$C39,$B39,N$21)</f>
        <v/>
      </c>
      <c r="O39" s="34" t="str">
        <f ca="1">_xll.DBRW($B$9,$C$14,$C$15,O$20,N$19,$C$16,$C39,$B39,O$21)</f>
        <v/>
      </c>
      <c r="P39" s="34" t="str">
        <f ca="1">_xll.DBRW($B$9,$C$14,$C$15,P$20,$P$19,$C$16,$C39,$B39,P$21)</f>
        <v/>
      </c>
      <c r="Q39" s="34" t="str">
        <f ca="1">_xll.DBRW($B$9,$C$14,$C$15,Q$20,$P$19,$C$16,$C39,$B39,Q$21)</f>
        <v/>
      </c>
    </row>
    <row r="40" spans="1:17" x14ac:dyDescent="0.25">
      <c r="A40">
        <f ca="1">IF(_xll.TM1RPTELISCONSOLIDATED($C$22,$C40),IF(_xll.TM1RPTELLEV($C$22,$C40)&lt;=3,_xll.TM1RPTELLEV($C$22,$C40),"D"),"N")</f>
        <v>0</v>
      </c>
      <c r="B40" s="5" t="s">
        <v>55</v>
      </c>
      <c r="C40" s="38" t="s">
        <v>35</v>
      </c>
      <c r="D40" s="33" t="str">
        <f ca="1">_xll.DBRW($B$9,$C$14,$C$15,D$20,D$19,$C$16,$C40,$B40,D$21)</f>
        <v/>
      </c>
      <c r="E40" s="33" t="str">
        <f ca="1">_xll.DBRW($B$9,$C$14,$C$15,E$20,D$19,$C$16,$C40,$B40,E$21)</f>
        <v/>
      </c>
      <c r="F40" s="33" t="str">
        <f ca="1">_xll.DBRW($B$9,$C$14,$C$15,F$20,F$19,$C$16,$C40,$B40,F$21)</f>
        <v/>
      </c>
      <c r="G40" s="33" t="str">
        <f ca="1">_xll.DBRW($B$9,$C$14,$C$15,G$20,F$19,$C$16,$C40,$B40,G$21)</f>
        <v/>
      </c>
      <c r="H40" s="33" t="str">
        <f ca="1">_xll.DBRW($B$9,$C$14,$C$15,H$20,H$19,$C$16,$C40,$B40,H$21)</f>
        <v/>
      </c>
      <c r="I40" s="33" t="str">
        <f ca="1">_xll.DBRW($B$9,$C$14,$C$15,I$20,H$19,$C$16,$C40,$B40,I$21)</f>
        <v/>
      </c>
      <c r="J40" s="33" t="str">
        <f ca="1">_xll.DBRW($B$9,$C$14,$C$15,J$20,J$19,$C$16,$C40,$B40,J$21)</f>
        <v/>
      </c>
      <c r="K40" s="33" t="str">
        <f ca="1">_xll.DBRW($B$9,$C$14,$C$15,K$20,J$19,$C$16,$C40,$B40,K$21)</f>
        <v/>
      </c>
      <c r="L40" s="33" t="str">
        <f ca="1">_xll.DBRW($B$9,$C$14,$C$15,L$20,L$19,$C$16,$C40,$B40,L$21)</f>
        <v/>
      </c>
      <c r="M40" s="33" t="str">
        <f ca="1">_xll.DBRW($B$9,$C$14,$C$15,M$20,L$19,$C$16,$C40,$B40,M$21)</f>
        <v/>
      </c>
      <c r="N40" s="33" t="str">
        <f ca="1">_xll.DBRW($B$9,$C$14,$C$15,N$20,N$19,$C$16,$C40,$B40,N$21)</f>
        <v/>
      </c>
      <c r="O40" s="33" t="str">
        <f ca="1">_xll.DBRW($B$9,$C$14,$C$15,O$20,N$19,$C$16,$C40,$B40,O$21)</f>
        <v/>
      </c>
      <c r="P40" s="33" t="str">
        <f ca="1">_xll.DBRW($B$9,$C$14,$C$15,P$20,$P$19,$C$16,$C40,$B40,P$21)</f>
        <v/>
      </c>
      <c r="Q40" s="33" t="str">
        <f ca="1">_xll.DBRW($B$9,$C$14,$C$15,Q$20,$P$19,$C$16,$C40,$B40,Q$21)</f>
        <v/>
      </c>
    </row>
    <row r="41" spans="1:17" x14ac:dyDescent="0.25">
      <c r="A41">
        <f ca="1">IF(_xll.TM1RPTELISCONSOLIDATED($C$22,$C41),IF(_xll.TM1RPTELLEV($C$22,$C41)&lt;=3,_xll.TM1RPTELLEV($C$22,$C41),"D"),"N")</f>
        <v>1</v>
      </c>
      <c r="B41" s="8" t="s">
        <v>55</v>
      </c>
      <c r="C41" s="39" t="s">
        <v>43</v>
      </c>
      <c r="D41" s="34" t="str">
        <f ca="1">_xll.DBRW($B$9,$C$14,$C$15,D$20,D$19,$C$16,$C41,$B41,D$21)</f>
        <v/>
      </c>
      <c r="E41" s="34" t="str">
        <f ca="1">_xll.DBRW($B$9,$C$14,$C$15,E$20,D$19,$C$16,$C41,$B41,E$21)</f>
        <v/>
      </c>
      <c r="F41" s="34" t="str">
        <f ca="1">_xll.DBRW($B$9,$C$14,$C$15,F$20,F$19,$C$16,$C41,$B41,F$21)</f>
        <v/>
      </c>
      <c r="G41" s="34" t="str">
        <f ca="1">_xll.DBRW($B$9,$C$14,$C$15,G$20,F$19,$C$16,$C41,$B41,G$21)</f>
        <v/>
      </c>
      <c r="H41" s="34" t="str">
        <f ca="1">_xll.DBRW($B$9,$C$14,$C$15,H$20,H$19,$C$16,$C41,$B41,H$21)</f>
        <v/>
      </c>
      <c r="I41" s="34" t="str">
        <f ca="1">_xll.DBRW($B$9,$C$14,$C$15,I$20,H$19,$C$16,$C41,$B41,I$21)</f>
        <v/>
      </c>
      <c r="J41" s="34" t="str">
        <f ca="1">_xll.DBRW($B$9,$C$14,$C$15,J$20,J$19,$C$16,$C41,$B41,J$21)</f>
        <v/>
      </c>
      <c r="K41" s="34" t="str">
        <f ca="1">_xll.DBRW($B$9,$C$14,$C$15,K$20,J$19,$C$16,$C41,$B41,K$21)</f>
        <v/>
      </c>
      <c r="L41" s="34" t="str">
        <f ca="1">_xll.DBRW($B$9,$C$14,$C$15,L$20,L$19,$C$16,$C41,$B41,L$21)</f>
        <v/>
      </c>
      <c r="M41" s="34" t="str">
        <f ca="1">_xll.DBRW($B$9,$C$14,$C$15,M$20,L$19,$C$16,$C41,$B41,M$21)</f>
        <v/>
      </c>
      <c r="N41" s="34" t="str">
        <f ca="1">_xll.DBRW($B$9,$C$14,$C$15,N$20,N$19,$C$16,$C41,$B41,N$21)</f>
        <v/>
      </c>
      <c r="O41" s="34" t="str">
        <f ca="1">_xll.DBRW($B$9,$C$14,$C$15,O$20,N$19,$C$16,$C41,$B41,O$21)</f>
        <v/>
      </c>
      <c r="P41" s="34" t="str">
        <f ca="1">_xll.DBRW($B$9,$C$14,$C$15,P$20,$P$19,$C$16,$C41,$B41,P$21)</f>
        <v/>
      </c>
      <c r="Q41" s="34" t="str">
        <f ca="1">_xll.DBRW($B$9,$C$14,$C$15,Q$20,$P$19,$C$16,$C41,$B41,Q$21)</f>
        <v/>
      </c>
    </row>
    <row r="42" spans="1:17" x14ac:dyDescent="0.25">
      <c r="A42">
        <f ca="1">IF(_xll.TM1RPTELISCONSOLIDATED($C$22,$C42),IF(_xll.TM1RPTELLEV($C$22,$C42)&lt;=3,_xll.TM1RPTELLEV($C$22,$C42),"D"),"N")</f>
        <v>1</v>
      </c>
      <c r="B42" s="8" t="s">
        <v>55</v>
      </c>
      <c r="C42" s="39" t="s">
        <v>36</v>
      </c>
      <c r="D42" s="34" t="str">
        <f ca="1">_xll.DBRW($B$9,$C$14,$C$15,D$20,D$19,$C$16,$C42,$B42,D$21)</f>
        <v/>
      </c>
      <c r="E42" s="34" t="str">
        <f ca="1">_xll.DBRW($B$9,$C$14,$C$15,E$20,D$19,$C$16,$C42,$B42,E$21)</f>
        <v/>
      </c>
      <c r="F42" s="34" t="str">
        <f ca="1">_xll.DBRW($B$9,$C$14,$C$15,F$20,F$19,$C$16,$C42,$B42,F$21)</f>
        <v/>
      </c>
      <c r="G42" s="34" t="str">
        <f ca="1">_xll.DBRW($B$9,$C$14,$C$15,G$20,F$19,$C$16,$C42,$B42,G$21)</f>
        <v/>
      </c>
      <c r="H42" s="34" t="str">
        <f ca="1">_xll.DBRW($B$9,$C$14,$C$15,H$20,H$19,$C$16,$C42,$B42,H$21)</f>
        <v/>
      </c>
      <c r="I42" s="34" t="str">
        <f ca="1">_xll.DBRW($B$9,$C$14,$C$15,I$20,H$19,$C$16,$C42,$B42,I$21)</f>
        <v/>
      </c>
      <c r="J42" s="34" t="str">
        <f ca="1">_xll.DBRW($B$9,$C$14,$C$15,J$20,J$19,$C$16,$C42,$B42,J$21)</f>
        <v/>
      </c>
      <c r="K42" s="34" t="str">
        <f ca="1">_xll.DBRW($B$9,$C$14,$C$15,K$20,J$19,$C$16,$C42,$B42,K$21)</f>
        <v/>
      </c>
      <c r="L42" s="34" t="str">
        <f ca="1">_xll.DBRW($B$9,$C$14,$C$15,L$20,L$19,$C$16,$C42,$B42,L$21)</f>
        <v/>
      </c>
      <c r="M42" s="34" t="str">
        <f ca="1">_xll.DBRW($B$9,$C$14,$C$15,M$20,L$19,$C$16,$C42,$B42,M$21)</f>
        <v/>
      </c>
      <c r="N42" s="34" t="str">
        <f ca="1">_xll.DBRW($B$9,$C$14,$C$15,N$20,N$19,$C$16,$C42,$B42,N$21)</f>
        <v/>
      </c>
      <c r="O42" s="34" t="str">
        <f ca="1">_xll.DBRW($B$9,$C$14,$C$15,O$20,N$19,$C$16,$C42,$B42,O$21)</f>
        <v/>
      </c>
      <c r="P42" s="34" t="str">
        <f ca="1">_xll.DBRW($B$9,$C$14,$C$15,P$20,$P$19,$C$16,$C42,$B42,P$21)</f>
        <v/>
      </c>
      <c r="Q42" s="34" t="str">
        <f ca="1">_xll.DBRW($B$9,$C$14,$C$15,Q$20,$P$19,$C$16,$C42,$B42,Q$21)</f>
        <v/>
      </c>
    </row>
    <row r="43" spans="1:17" x14ac:dyDescent="0.25">
      <c r="A43">
        <f ca="1">IF(_xll.TM1RPTELISCONSOLIDATED($C$22,$C43),IF(_xll.TM1RPTELLEV($C$22,$C43)&lt;=3,_xll.TM1RPTELLEV($C$22,$C43),"D"),"N")</f>
        <v>1</v>
      </c>
      <c r="B43" s="8" t="s">
        <v>55</v>
      </c>
      <c r="C43" s="39" t="s">
        <v>37</v>
      </c>
      <c r="D43" s="34" t="str">
        <f ca="1">_xll.DBRW($B$9,$C$14,$C$15,D$20,D$19,$C$16,$C43,$B43,D$21)</f>
        <v/>
      </c>
      <c r="E43" s="34" t="str">
        <f ca="1">_xll.DBRW($B$9,$C$14,$C$15,E$20,D$19,$C$16,$C43,$B43,E$21)</f>
        <v/>
      </c>
      <c r="F43" s="34" t="str">
        <f ca="1">_xll.DBRW($B$9,$C$14,$C$15,F$20,F$19,$C$16,$C43,$B43,F$21)</f>
        <v/>
      </c>
      <c r="G43" s="34" t="str">
        <f ca="1">_xll.DBRW($B$9,$C$14,$C$15,G$20,F$19,$C$16,$C43,$B43,G$21)</f>
        <v/>
      </c>
      <c r="H43" s="34" t="str">
        <f ca="1">_xll.DBRW($B$9,$C$14,$C$15,H$20,H$19,$C$16,$C43,$B43,H$21)</f>
        <v/>
      </c>
      <c r="I43" s="34" t="str">
        <f ca="1">_xll.DBRW($B$9,$C$14,$C$15,I$20,H$19,$C$16,$C43,$B43,I$21)</f>
        <v/>
      </c>
      <c r="J43" s="34" t="str">
        <f ca="1">_xll.DBRW($B$9,$C$14,$C$15,J$20,J$19,$C$16,$C43,$B43,J$21)</f>
        <v/>
      </c>
      <c r="K43" s="34" t="str">
        <f ca="1">_xll.DBRW($B$9,$C$14,$C$15,K$20,J$19,$C$16,$C43,$B43,K$21)</f>
        <v/>
      </c>
      <c r="L43" s="34" t="str">
        <f ca="1">_xll.DBRW($B$9,$C$14,$C$15,L$20,L$19,$C$16,$C43,$B43,L$21)</f>
        <v/>
      </c>
      <c r="M43" s="34" t="str">
        <f ca="1">_xll.DBRW($B$9,$C$14,$C$15,M$20,L$19,$C$16,$C43,$B43,M$21)</f>
        <v/>
      </c>
      <c r="N43" s="34" t="str">
        <f ca="1">_xll.DBRW($B$9,$C$14,$C$15,N$20,N$19,$C$16,$C43,$B43,N$21)</f>
        <v/>
      </c>
      <c r="O43" s="34" t="str">
        <f ca="1">_xll.DBRW($B$9,$C$14,$C$15,O$20,N$19,$C$16,$C43,$B43,O$21)</f>
        <v/>
      </c>
      <c r="P43" s="34" t="str">
        <f ca="1">_xll.DBRW($B$9,$C$14,$C$15,P$20,$P$19,$C$16,$C43,$B43,P$21)</f>
        <v/>
      </c>
      <c r="Q43" s="34" t="str">
        <f ca="1">_xll.DBRW($B$9,$C$14,$C$15,Q$20,$P$19,$C$16,$C43,$B43,Q$21)</f>
        <v/>
      </c>
    </row>
    <row r="44" spans="1:17" x14ac:dyDescent="0.25">
      <c r="A44">
        <f ca="1">IF(_xll.TM1RPTELISCONSOLIDATED($C$22,$C44),IF(_xll.TM1RPTELLEV($C$22,$C44)&lt;=3,_xll.TM1RPTELLEV($C$22,$C44),"D"),"N")</f>
        <v>1</v>
      </c>
      <c r="B44" s="8" t="s">
        <v>55</v>
      </c>
      <c r="C44" s="39" t="s">
        <v>38</v>
      </c>
      <c r="D44" s="34" t="str">
        <f ca="1">_xll.DBRW($B$9,$C$14,$C$15,D$20,D$19,$C$16,$C44,$B44,D$21)</f>
        <v/>
      </c>
      <c r="E44" s="34" t="str">
        <f ca="1">_xll.DBRW($B$9,$C$14,$C$15,E$20,D$19,$C$16,$C44,$B44,E$21)</f>
        <v/>
      </c>
      <c r="F44" s="34" t="str">
        <f ca="1">_xll.DBRW($B$9,$C$14,$C$15,F$20,F$19,$C$16,$C44,$B44,F$21)</f>
        <v/>
      </c>
      <c r="G44" s="34" t="str">
        <f ca="1">_xll.DBRW($B$9,$C$14,$C$15,G$20,F$19,$C$16,$C44,$B44,G$21)</f>
        <v/>
      </c>
      <c r="H44" s="34" t="str">
        <f ca="1">_xll.DBRW($B$9,$C$14,$C$15,H$20,H$19,$C$16,$C44,$B44,H$21)</f>
        <v/>
      </c>
      <c r="I44" s="34" t="str">
        <f ca="1">_xll.DBRW($B$9,$C$14,$C$15,I$20,H$19,$C$16,$C44,$B44,I$21)</f>
        <v/>
      </c>
      <c r="J44" s="34" t="str">
        <f ca="1">_xll.DBRW($B$9,$C$14,$C$15,J$20,J$19,$C$16,$C44,$B44,J$21)</f>
        <v/>
      </c>
      <c r="K44" s="34" t="str">
        <f ca="1">_xll.DBRW($B$9,$C$14,$C$15,K$20,J$19,$C$16,$C44,$B44,K$21)</f>
        <v/>
      </c>
      <c r="L44" s="34" t="str">
        <f ca="1">_xll.DBRW($B$9,$C$14,$C$15,L$20,L$19,$C$16,$C44,$B44,L$21)</f>
        <v/>
      </c>
      <c r="M44" s="34" t="str">
        <f ca="1">_xll.DBRW($B$9,$C$14,$C$15,M$20,L$19,$C$16,$C44,$B44,M$21)</f>
        <v/>
      </c>
      <c r="N44" s="34" t="str">
        <f ca="1">_xll.DBRW($B$9,$C$14,$C$15,N$20,N$19,$C$16,$C44,$B44,N$21)</f>
        <v/>
      </c>
      <c r="O44" s="34" t="str">
        <f ca="1">_xll.DBRW($B$9,$C$14,$C$15,O$20,N$19,$C$16,$C44,$B44,O$21)</f>
        <v/>
      </c>
      <c r="P44" s="34" t="str">
        <f ca="1">_xll.DBRW($B$9,$C$14,$C$15,P$20,$P$19,$C$16,$C44,$B44,P$21)</f>
        <v/>
      </c>
      <c r="Q44" s="34" t="str">
        <f ca="1">_xll.DBRW($B$9,$C$14,$C$15,Q$20,$P$19,$C$16,$C44,$B44,Q$21)</f>
        <v/>
      </c>
    </row>
    <row r="45" spans="1:17" x14ac:dyDescent="0.25">
      <c r="A45">
        <f ca="1">IF(_xll.TM1RPTELISCONSOLIDATED($C$22,$C45),IF(_xll.TM1RPTELLEV($C$22,$C45)&lt;=3,_xll.TM1RPTELLEV($C$22,$C45),"D"),"N")</f>
        <v>1</v>
      </c>
      <c r="B45" s="8" t="s">
        <v>55</v>
      </c>
      <c r="C45" s="39" t="s">
        <v>39</v>
      </c>
      <c r="D45" s="34" t="str">
        <f ca="1">_xll.DBRW($B$9,$C$14,$C$15,D$20,D$19,$C$16,$C45,$B45,D$21)</f>
        <v/>
      </c>
      <c r="E45" s="34" t="str">
        <f ca="1">_xll.DBRW($B$9,$C$14,$C$15,E$20,D$19,$C$16,$C45,$B45,E$21)</f>
        <v/>
      </c>
      <c r="F45" s="34" t="str">
        <f ca="1">_xll.DBRW($B$9,$C$14,$C$15,F$20,F$19,$C$16,$C45,$B45,F$21)</f>
        <v/>
      </c>
      <c r="G45" s="34" t="str">
        <f ca="1">_xll.DBRW($B$9,$C$14,$C$15,G$20,F$19,$C$16,$C45,$B45,G$21)</f>
        <v/>
      </c>
      <c r="H45" s="34" t="str">
        <f ca="1">_xll.DBRW($B$9,$C$14,$C$15,H$20,H$19,$C$16,$C45,$B45,H$21)</f>
        <v/>
      </c>
      <c r="I45" s="34" t="str">
        <f ca="1">_xll.DBRW($B$9,$C$14,$C$15,I$20,H$19,$C$16,$C45,$B45,I$21)</f>
        <v/>
      </c>
      <c r="J45" s="34" t="str">
        <f ca="1">_xll.DBRW($B$9,$C$14,$C$15,J$20,J$19,$C$16,$C45,$B45,J$21)</f>
        <v/>
      </c>
      <c r="K45" s="34" t="str">
        <f ca="1">_xll.DBRW($B$9,$C$14,$C$15,K$20,J$19,$C$16,$C45,$B45,K$21)</f>
        <v/>
      </c>
      <c r="L45" s="34" t="str">
        <f ca="1">_xll.DBRW($B$9,$C$14,$C$15,L$20,L$19,$C$16,$C45,$B45,L$21)</f>
        <v/>
      </c>
      <c r="M45" s="34" t="str">
        <f ca="1">_xll.DBRW($B$9,$C$14,$C$15,M$20,L$19,$C$16,$C45,$B45,M$21)</f>
        <v/>
      </c>
      <c r="N45" s="34" t="str">
        <f ca="1">_xll.DBRW($B$9,$C$14,$C$15,N$20,N$19,$C$16,$C45,$B45,N$21)</f>
        <v/>
      </c>
      <c r="O45" s="34" t="str">
        <f ca="1">_xll.DBRW($B$9,$C$14,$C$15,O$20,N$19,$C$16,$C45,$B45,O$21)</f>
        <v/>
      </c>
      <c r="P45" s="34" t="str">
        <f ca="1">_xll.DBRW($B$9,$C$14,$C$15,P$20,$P$19,$C$16,$C45,$B45,P$21)</f>
        <v/>
      </c>
      <c r="Q45" s="34" t="str">
        <f ca="1">_xll.DBRW($B$9,$C$14,$C$15,Q$20,$P$19,$C$16,$C45,$B45,Q$21)</f>
        <v/>
      </c>
    </row>
    <row r="46" spans="1:17" x14ac:dyDescent="0.25">
      <c r="A46">
        <f ca="1">IF(_xll.TM1RPTELISCONSOLIDATED($C$22,$C46),IF(_xll.TM1RPTELLEV($C$22,$C46)&lt;=3,_xll.TM1RPTELLEV($C$22,$C46),"D"),"N")</f>
        <v>1</v>
      </c>
      <c r="B46" s="8" t="s">
        <v>55</v>
      </c>
      <c r="C46" s="39" t="s">
        <v>40</v>
      </c>
      <c r="D46" s="34" t="str">
        <f ca="1">_xll.DBRW($B$9,$C$14,$C$15,D$20,D$19,$C$16,$C46,$B46,D$21)</f>
        <v/>
      </c>
      <c r="E46" s="34" t="str">
        <f ca="1">_xll.DBRW($B$9,$C$14,$C$15,E$20,D$19,$C$16,$C46,$B46,E$21)</f>
        <v/>
      </c>
      <c r="F46" s="34" t="str">
        <f ca="1">_xll.DBRW($B$9,$C$14,$C$15,F$20,F$19,$C$16,$C46,$B46,F$21)</f>
        <v/>
      </c>
      <c r="G46" s="34" t="str">
        <f ca="1">_xll.DBRW($B$9,$C$14,$C$15,G$20,F$19,$C$16,$C46,$B46,G$21)</f>
        <v/>
      </c>
      <c r="H46" s="34" t="str">
        <f ca="1">_xll.DBRW($B$9,$C$14,$C$15,H$20,H$19,$C$16,$C46,$B46,H$21)</f>
        <v/>
      </c>
      <c r="I46" s="34" t="str">
        <f ca="1">_xll.DBRW($B$9,$C$14,$C$15,I$20,H$19,$C$16,$C46,$B46,I$21)</f>
        <v/>
      </c>
      <c r="J46" s="34" t="str">
        <f ca="1">_xll.DBRW($B$9,$C$14,$C$15,J$20,J$19,$C$16,$C46,$B46,J$21)</f>
        <v/>
      </c>
      <c r="K46" s="34" t="str">
        <f ca="1">_xll.DBRW($B$9,$C$14,$C$15,K$20,J$19,$C$16,$C46,$B46,K$21)</f>
        <v/>
      </c>
      <c r="L46" s="34" t="str">
        <f ca="1">_xll.DBRW($B$9,$C$14,$C$15,L$20,L$19,$C$16,$C46,$B46,L$21)</f>
        <v/>
      </c>
      <c r="M46" s="34" t="str">
        <f ca="1">_xll.DBRW($B$9,$C$14,$C$15,M$20,L$19,$C$16,$C46,$B46,M$21)</f>
        <v/>
      </c>
      <c r="N46" s="34" t="str">
        <f ca="1">_xll.DBRW($B$9,$C$14,$C$15,N$20,N$19,$C$16,$C46,$B46,N$21)</f>
        <v/>
      </c>
      <c r="O46" s="34" t="str">
        <f ca="1">_xll.DBRW($B$9,$C$14,$C$15,O$20,N$19,$C$16,$C46,$B46,O$21)</f>
        <v/>
      </c>
      <c r="P46" s="34" t="str">
        <f ca="1">_xll.DBRW($B$9,$C$14,$C$15,P$20,$P$19,$C$16,$C46,$B46,P$21)</f>
        <v/>
      </c>
      <c r="Q46" s="34" t="str">
        <f ca="1">_xll.DBRW($B$9,$C$14,$C$15,Q$20,$P$19,$C$16,$C46,$B46,Q$21)</f>
        <v/>
      </c>
    </row>
    <row r="47" spans="1:17" x14ac:dyDescent="0.25">
      <c r="A47">
        <f ca="1">IF(_xll.TM1RPTELISCONSOLIDATED($C$22,$C47),IF(_xll.TM1RPTELLEV($C$22,$C47)&lt;=3,_xll.TM1RPTELLEV($C$22,$C47),"D"),"N")</f>
        <v>1</v>
      </c>
      <c r="B47" s="8" t="s">
        <v>55</v>
      </c>
      <c r="C47" s="39" t="s">
        <v>41</v>
      </c>
      <c r="D47" s="34" t="str">
        <f ca="1">_xll.DBRW($B$9,$C$14,$C$15,D$20,D$19,$C$16,$C47,$B47,D$21)</f>
        <v/>
      </c>
      <c r="E47" s="34" t="str">
        <f ca="1">_xll.DBRW($B$9,$C$14,$C$15,E$20,D$19,$C$16,$C47,$B47,E$21)</f>
        <v/>
      </c>
      <c r="F47" s="34" t="str">
        <f ca="1">_xll.DBRW($B$9,$C$14,$C$15,F$20,F$19,$C$16,$C47,$B47,F$21)</f>
        <v/>
      </c>
      <c r="G47" s="34" t="str">
        <f ca="1">_xll.DBRW($B$9,$C$14,$C$15,G$20,F$19,$C$16,$C47,$B47,G$21)</f>
        <v/>
      </c>
      <c r="H47" s="34" t="str">
        <f ca="1">_xll.DBRW($B$9,$C$14,$C$15,H$20,H$19,$C$16,$C47,$B47,H$21)</f>
        <v/>
      </c>
      <c r="I47" s="34" t="str">
        <f ca="1">_xll.DBRW($B$9,$C$14,$C$15,I$20,H$19,$C$16,$C47,$B47,I$21)</f>
        <v/>
      </c>
      <c r="J47" s="34" t="str">
        <f ca="1">_xll.DBRW($B$9,$C$14,$C$15,J$20,J$19,$C$16,$C47,$B47,J$21)</f>
        <v/>
      </c>
      <c r="K47" s="34" t="str">
        <f ca="1">_xll.DBRW($B$9,$C$14,$C$15,K$20,J$19,$C$16,$C47,$B47,K$21)</f>
        <v/>
      </c>
      <c r="L47" s="34" t="str">
        <f ca="1">_xll.DBRW($B$9,$C$14,$C$15,L$20,L$19,$C$16,$C47,$B47,L$21)</f>
        <v/>
      </c>
      <c r="M47" s="34" t="str">
        <f ca="1">_xll.DBRW($B$9,$C$14,$C$15,M$20,L$19,$C$16,$C47,$B47,M$21)</f>
        <v/>
      </c>
      <c r="N47" s="34" t="str">
        <f ca="1">_xll.DBRW($B$9,$C$14,$C$15,N$20,N$19,$C$16,$C47,$B47,N$21)</f>
        <v/>
      </c>
      <c r="O47" s="34" t="str">
        <f ca="1">_xll.DBRW($B$9,$C$14,$C$15,O$20,N$19,$C$16,$C47,$B47,O$21)</f>
        <v/>
      </c>
      <c r="P47" s="34" t="str">
        <f ca="1">_xll.DBRW($B$9,$C$14,$C$15,P$20,$P$19,$C$16,$C47,$B47,P$21)</f>
        <v/>
      </c>
      <c r="Q47" s="34" t="str">
        <f ca="1">_xll.DBRW($B$9,$C$14,$C$15,Q$20,$P$19,$C$16,$C47,$B47,Q$21)</f>
        <v/>
      </c>
    </row>
    <row r="48" spans="1:17" x14ac:dyDescent="0.25">
      <c r="A48">
        <f ca="1">IF(_xll.TM1RPTELISCONSOLIDATED($C$22,$C48),IF(_xll.TM1RPTELLEV($C$22,$C48)&lt;=3,_xll.TM1RPTELLEV($C$22,$C48),"D"),"N")</f>
        <v>1</v>
      </c>
      <c r="B48" s="8" t="s">
        <v>55</v>
      </c>
      <c r="C48" s="39" t="s">
        <v>42</v>
      </c>
      <c r="D48" s="34" t="str">
        <f ca="1">_xll.DBRW($B$9,$C$14,$C$15,D$20,D$19,$C$16,$C48,$B48,D$21)</f>
        <v/>
      </c>
      <c r="E48" s="34" t="str">
        <f ca="1">_xll.DBRW($B$9,$C$14,$C$15,E$20,D$19,$C$16,$C48,$B48,E$21)</f>
        <v/>
      </c>
      <c r="F48" s="34" t="str">
        <f ca="1">_xll.DBRW($B$9,$C$14,$C$15,F$20,F$19,$C$16,$C48,$B48,F$21)</f>
        <v/>
      </c>
      <c r="G48" s="34" t="str">
        <f ca="1">_xll.DBRW($B$9,$C$14,$C$15,G$20,F$19,$C$16,$C48,$B48,G$21)</f>
        <v/>
      </c>
      <c r="H48" s="34" t="str">
        <f ca="1">_xll.DBRW($B$9,$C$14,$C$15,H$20,H$19,$C$16,$C48,$B48,H$21)</f>
        <v/>
      </c>
      <c r="I48" s="34" t="str">
        <f ca="1">_xll.DBRW($B$9,$C$14,$C$15,I$20,H$19,$C$16,$C48,$B48,I$21)</f>
        <v/>
      </c>
      <c r="J48" s="34" t="str">
        <f ca="1">_xll.DBRW($B$9,$C$14,$C$15,J$20,J$19,$C$16,$C48,$B48,J$21)</f>
        <v/>
      </c>
      <c r="K48" s="34" t="str">
        <f ca="1">_xll.DBRW($B$9,$C$14,$C$15,K$20,J$19,$C$16,$C48,$B48,K$21)</f>
        <v/>
      </c>
      <c r="L48" s="34" t="str">
        <f ca="1">_xll.DBRW($B$9,$C$14,$C$15,L$20,L$19,$C$16,$C48,$B48,L$21)</f>
        <v/>
      </c>
      <c r="M48" s="34" t="str">
        <f ca="1">_xll.DBRW($B$9,$C$14,$C$15,M$20,L$19,$C$16,$C48,$B48,M$21)</f>
        <v/>
      </c>
      <c r="N48" s="34" t="str">
        <f ca="1">_xll.DBRW($B$9,$C$14,$C$15,N$20,N$19,$C$16,$C48,$B48,N$21)</f>
        <v/>
      </c>
      <c r="O48" s="34" t="str">
        <f ca="1">_xll.DBRW($B$9,$C$14,$C$15,O$20,N$19,$C$16,$C48,$B48,O$21)</f>
        <v/>
      </c>
      <c r="P48" s="34" t="str">
        <f ca="1">_xll.DBRW($B$9,$C$14,$C$15,P$20,$P$19,$C$16,$C48,$B48,P$21)</f>
        <v/>
      </c>
      <c r="Q48" s="34" t="str">
        <f ca="1">_xll.DBRW($B$9,$C$14,$C$15,Q$20,$P$19,$C$16,$C48,$B48,Q$21)</f>
        <v/>
      </c>
    </row>
    <row r="49" spans="1:17" x14ac:dyDescent="0.25">
      <c r="A49">
        <f ca="1">IF(_xll.TM1RPTELISCONSOLIDATED($C$22,$C49),IF(_xll.TM1RPTELLEV($C$22,$C49)&lt;=3,_xll.TM1RPTELLEV($C$22,$C49),"D"),"N")</f>
        <v>0</v>
      </c>
      <c r="B49" s="5" t="s">
        <v>56</v>
      </c>
      <c r="C49" s="38" t="s">
        <v>35</v>
      </c>
      <c r="D49" s="33" t="str">
        <f ca="1">_xll.DBRW($B$9,$C$14,$C$15,D$20,D$19,$C$16,$C49,$B49,D$21)</f>
        <v/>
      </c>
      <c r="E49" s="33" t="str">
        <f ca="1">_xll.DBRW($B$9,$C$14,$C$15,E$20,D$19,$C$16,$C49,$B49,E$21)</f>
        <v/>
      </c>
      <c r="F49" s="33" t="str">
        <f ca="1">_xll.DBRW($B$9,$C$14,$C$15,F$20,F$19,$C$16,$C49,$B49,F$21)</f>
        <v/>
      </c>
      <c r="G49" s="33" t="str">
        <f ca="1">_xll.DBRW($B$9,$C$14,$C$15,G$20,F$19,$C$16,$C49,$B49,G$21)</f>
        <v/>
      </c>
      <c r="H49" s="33" t="str">
        <f ca="1">_xll.DBRW($B$9,$C$14,$C$15,H$20,H$19,$C$16,$C49,$B49,H$21)</f>
        <v/>
      </c>
      <c r="I49" s="33" t="str">
        <f ca="1">_xll.DBRW($B$9,$C$14,$C$15,I$20,H$19,$C$16,$C49,$B49,I$21)</f>
        <v/>
      </c>
      <c r="J49" s="33" t="str">
        <f ca="1">_xll.DBRW($B$9,$C$14,$C$15,J$20,J$19,$C$16,$C49,$B49,J$21)</f>
        <v/>
      </c>
      <c r="K49" s="33" t="str">
        <f ca="1">_xll.DBRW($B$9,$C$14,$C$15,K$20,J$19,$C$16,$C49,$B49,K$21)</f>
        <v/>
      </c>
      <c r="L49" s="33" t="str">
        <f ca="1">_xll.DBRW($B$9,$C$14,$C$15,L$20,L$19,$C$16,$C49,$B49,L$21)</f>
        <v/>
      </c>
      <c r="M49" s="33" t="str">
        <f ca="1">_xll.DBRW($B$9,$C$14,$C$15,M$20,L$19,$C$16,$C49,$B49,M$21)</f>
        <v/>
      </c>
      <c r="N49" s="33" t="str">
        <f ca="1">_xll.DBRW($B$9,$C$14,$C$15,N$20,N$19,$C$16,$C49,$B49,N$21)</f>
        <v/>
      </c>
      <c r="O49" s="33" t="str">
        <f ca="1">_xll.DBRW($B$9,$C$14,$C$15,O$20,N$19,$C$16,$C49,$B49,O$21)</f>
        <v/>
      </c>
      <c r="P49" s="33" t="str">
        <f ca="1">_xll.DBRW($B$9,$C$14,$C$15,P$20,$P$19,$C$16,$C49,$B49,P$21)</f>
        <v/>
      </c>
      <c r="Q49" s="33" t="str">
        <f ca="1">_xll.DBRW($B$9,$C$14,$C$15,Q$20,$P$19,$C$16,$C49,$B49,Q$21)</f>
        <v/>
      </c>
    </row>
    <row r="50" spans="1:17" x14ac:dyDescent="0.25">
      <c r="A50">
        <f ca="1">IF(_xll.TM1RPTELISCONSOLIDATED($C$22,$C50),IF(_xll.TM1RPTELLEV($C$22,$C50)&lt;=3,_xll.TM1RPTELLEV($C$22,$C50),"D"),"N")</f>
        <v>1</v>
      </c>
      <c r="B50" s="8" t="s">
        <v>56</v>
      </c>
      <c r="C50" s="39" t="s">
        <v>43</v>
      </c>
      <c r="D50" s="34" t="str">
        <f ca="1">_xll.DBRW($B$9,$C$14,$C$15,D$20,D$19,$C$16,$C50,$B50,D$21)</f>
        <v/>
      </c>
      <c r="E50" s="34" t="str">
        <f ca="1">_xll.DBRW($B$9,$C$14,$C$15,E$20,D$19,$C$16,$C50,$B50,E$21)</f>
        <v/>
      </c>
      <c r="F50" s="34" t="str">
        <f ca="1">_xll.DBRW($B$9,$C$14,$C$15,F$20,F$19,$C$16,$C50,$B50,F$21)</f>
        <v/>
      </c>
      <c r="G50" s="34" t="str">
        <f ca="1">_xll.DBRW($B$9,$C$14,$C$15,G$20,F$19,$C$16,$C50,$B50,G$21)</f>
        <v/>
      </c>
      <c r="H50" s="34" t="str">
        <f ca="1">_xll.DBRW($B$9,$C$14,$C$15,H$20,H$19,$C$16,$C50,$B50,H$21)</f>
        <v/>
      </c>
      <c r="I50" s="34" t="str">
        <f ca="1">_xll.DBRW($B$9,$C$14,$C$15,I$20,H$19,$C$16,$C50,$B50,I$21)</f>
        <v/>
      </c>
      <c r="J50" s="34" t="str">
        <f ca="1">_xll.DBRW($B$9,$C$14,$C$15,J$20,J$19,$C$16,$C50,$B50,J$21)</f>
        <v/>
      </c>
      <c r="K50" s="34" t="str">
        <f ca="1">_xll.DBRW($B$9,$C$14,$C$15,K$20,J$19,$C$16,$C50,$B50,K$21)</f>
        <v/>
      </c>
      <c r="L50" s="34" t="str">
        <f ca="1">_xll.DBRW($B$9,$C$14,$C$15,L$20,L$19,$C$16,$C50,$B50,L$21)</f>
        <v/>
      </c>
      <c r="M50" s="34" t="str">
        <f ca="1">_xll.DBRW($B$9,$C$14,$C$15,M$20,L$19,$C$16,$C50,$B50,M$21)</f>
        <v/>
      </c>
      <c r="N50" s="34" t="str">
        <f ca="1">_xll.DBRW($B$9,$C$14,$C$15,N$20,N$19,$C$16,$C50,$B50,N$21)</f>
        <v/>
      </c>
      <c r="O50" s="34" t="str">
        <f ca="1">_xll.DBRW($B$9,$C$14,$C$15,O$20,N$19,$C$16,$C50,$B50,O$21)</f>
        <v/>
      </c>
      <c r="P50" s="34" t="str">
        <f ca="1">_xll.DBRW($B$9,$C$14,$C$15,P$20,$P$19,$C$16,$C50,$B50,P$21)</f>
        <v/>
      </c>
      <c r="Q50" s="34" t="str">
        <f ca="1">_xll.DBRW($B$9,$C$14,$C$15,Q$20,$P$19,$C$16,$C50,$B50,Q$21)</f>
        <v/>
      </c>
    </row>
    <row r="51" spans="1:17" x14ac:dyDescent="0.25">
      <c r="A51">
        <f ca="1">IF(_xll.TM1RPTELISCONSOLIDATED($C$22,$C51),IF(_xll.TM1RPTELLEV($C$22,$C51)&lt;=3,_xll.TM1RPTELLEV($C$22,$C51),"D"),"N")</f>
        <v>1</v>
      </c>
      <c r="B51" s="8" t="s">
        <v>56</v>
      </c>
      <c r="C51" s="39" t="s">
        <v>36</v>
      </c>
      <c r="D51" s="34" t="str">
        <f ca="1">_xll.DBRW($B$9,$C$14,$C$15,D$20,D$19,$C$16,$C51,$B51,D$21)</f>
        <v/>
      </c>
      <c r="E51" s="34" t="str">
        <f ca="1">_xll.DBRW($B$9,$C$14,$C$15,E$20,D$19,$C$16,$C51,$B51,E$21)</f>
        <v/>
      </c>
      <c r="F51" s="34" t="str">
        <f ca="1">_xll.DBRW($B$9,$C$14,$C$15,F$20,F$19,$C$16,$C51,$B51,F$21)</f>
        <v/>
      </c>
      <c r="G51" s="34" t="str">
        <f ca="1">_xll.DBRW($B$9,$C$14,$C$15,G$20,F$19,$C$16,$C51,$B51,G$21)</f>
        <v/>
      </c>
      <c r="H51" s="34" t="str">
        <f ca="1">_xll.DBRW($B$9,$C$14,$C$15,H$20,H$19,$C$16,$C51,$B51,H$21)</f>
        <v/>
      </c>
      <c r="I51" s="34" t="str">
        <f ca="1">_xll.DBRW($B$9,$C$14,$C$15,I$20,H$19,$C$16,$C51,$B51,I$21)</f>
        <v/>
      </c>
      <c r="J51" s="34" t="str">
        <f ca="1">_xll.DBRW($B$9,$C$14,$C$15,J$20,J$19,$C$16,$C51,$B51,J$21)</f>
        <v/>
      </c>
      <c r="K51" s="34" t="str">
        <f ca="1">_xll.DBRW($B$9,$C$14,$C$15,K$20,J$19,$C$16,$C51,$B51,K$21)</f>
        <v/>
      </c>
      <c r="L51" s="34" t="str">
        <f ca="1">_xll.DBRW($B$9,$C$14,$C$15,L$20,L$19,$C$16,$C51,$B51,L$21)</f>
        <v/>
      </c>
      <c r="M51" s="34" t="str">
        <f ca="1">_xll.DBRW($B$9,$C$14,$C$15,M$20,L$19,$C$16,$C51,$B51,M$21)</f>
        <v/>
      </c>
      <c r="N51" s="34" t="str">
        <f ca="1">_xll.DBRW($B$9,$C$14,$C$15,N$20,N$19,$C$16,$C51,$B51,N$21)</f>
        <v/>
      </c>
      <c r="O51" s="34" t="str">
        <f ca="1">_xll.DBRW($B$9,$C$14,$C$15,O$20,N$19,$C$16,$C51,$B51,O$21)</f>
        <v/>
      </c>
      <c r="P51" s="34" t="str">
        <f ca="1">_xll.DBRW($B$9,$C$14,$C$15,P$20,$P$19,$C$16,$C51,$B51,P$21)</f>
        <v/>
      </c>
      <c r="Q51" s="34" t="str">
        <f ca="1">_xll.DBRW($B$9,$C$14,$C$15,Q$20,$P$19,$C$16,$C51,$B51,Q$21)</f>
        <v/>
      </c>
    </row>
    <row r="52" spans="1:17" x14ac:dyDescent="0.25">
      <c r="A52">
        <f ca="1">IF(_xll.TM1RPTELISCONSOLIDATED($C$22,$C52),IF(_xll.TM1RPTELLEV($C$22,$C52)&lt;=3,_xll.TM1RPTELLEV($C$22,$C52),"D"),"N")</f>
        <v>1</v>
      </c>
      <c r="B52" s="8" t="s">
        <v>56</v>
      </c>
      <c r="C52" s="39" t="s">
        <v>37</v>
      </c>
      <c r="D52" s="34" t="str">
        <f ca="1">_xll.DBRW($B$9,$C$14,$C$15,D$20,D$19,$C$16,$C52,$B52,D$21)</f>
        <v/>
      </c>
      <c r="E52" s="34" t="str">
        <f ca="1">_xll.DBRW($B$9,$C$14,$C$15,E$20,D$19,$C$16,$C52,$B52,E$21)</f>
        <v/>
      </c>
      <c r="F52" s="34" t="str">
        <f ca="1">_xll.DBRW($B$9,$C$14,$C$15,F$20,F$19,$C$16,$C52,$B52,F$21)</f>
        <v/>
      </c>
      <c r="G52" s="34" t="str">
        <f ca="1">_xll.DBRW($B$9,$C$14,$C$15,G$20,F$19,$C$16,$C52,$B52,G$21)</f>
        <v/>
      </c>
      <c r="H52" s="34" t="str">
        <f ca="1">_xll.DBRW($B$9,$C$14,$C$15,H$20,H$19,$C$16,$C52,$B52,H$21)</f>
        <v/>
      </c>
      <c r="I52" s="34" t="str">
        <f ca="1">_xll.DBRW($B$9,$C$14,$C$15,I$20,H$19,$C$16,$C52,$B52,I$21)</f>
        <v/>
      </c>
      <c r="J52" s="34" t="str">
        <f ca="1">_xll.DBRW($B$9,$C$14,$C$15,J$20,J$19,$C$16,$C52,$B52,J$21)</f>
        <v/>
      </c>
      <c r="K52" s="34" t="str">
        <f ca="1">_xll.DBRW($B$9,$C$14,$C$15,K$20,J$19,$C$16,$C52,$B52,K$21)</f>
        <v/>
      </c>
      <c r="L52" s="34" t="str">
        <f ca="1">_xll.DBRW($B$9,$C$14,$C$15,L$20,L$19,$C$16,$C52,$B52,L$21)</f>
        <v/>
      </c>
      <c r="M52" s="34" t="str">
        <f ca="1">_xll.DBRW($B$9,$C$14,$C$15,M$20,L$19,$C$16,$C52,$B52,M$21)</f>
        <v/>
      </c>
      <c r="N52" s="34" t="str">
        <f ca="1">_xll.DBRW($B$9,$C$14,$C$15,N$20,N$19,$C$16,$C52,$B52,N$21)</f>
        <v/>
      </c>
      <c r="O52" s="34" t="str">
        <f ca="1">_xll.DBRW($B$9,$C$14,$C$15,O$20,N$19,$C$16,$C52,$B52,O$21)</f>
        <v/>
      </c>
      <c r="P52" s="34" t="str">
        <f ca="1">_xll.DBRW($B$9,$C$14,$C$15,P$20,$P$19,$C$16,$C52,$B52,P$21)</f>
        <v/>
      </c>
      <c r="Q52" s="34" t="str">
        <f ca="1">_xll.DBRW($B$9,$C$14,$C$15,Q$20,$P$19,$C$16,$C52,$B52,Q$21)</f>
        <v/>
      </c>
    </row>
    <row r="53" spans="1:17" x14ac:dyDescent="0.25">
      <c r="A53">
        <f ca="1">IF(_xll.TM1RPTELISCONSOLIDATED($C$22,$C53),IF(_xll.TM1RPTELLEV($C$22,$C53)&lt;=3,_xll.TM1RPTELLEV($C$22,$C53),"D"),"N")</f>
        <v>1</v>
      </c>
      <c r="B53" s="8" t="s">
        <v>56</v>
      </c>
      <c r="C53" s="39" t="s">
        <v>38</v>
      </c>
      <c r="D53" s="34" t="str">
        <f ca="1">_xll.DBRW($B$9,$C$14,$C$15,D$20,D$19,$C$16,$C53,$B53,D$21)</f>
        <v/>
      </c>
      <c r="E53" s="34" t="str">
        <f ca="1">_xll.DBRW($B$9,$C$14,$C$15,E$20,D$19,$C$16,$C53,$B53,E$21)</f>
        <v/>
      </c>
      <c r="F53" s="34" t="str">
        <f ca="1">_xll.DBRW($B$9,$C$14,$C$15,F$20,F$19,$C$16,$C53,$B53,F$21)</f>
        <v/>
      </c>
      <c r="G53" s="34" t="str">
        <f ca="1">_xll.DBRW($B$9,$C$14,$C$15,G$20,F$19,$C$16,$C53,$B53,G$21)</f>
        <v/>
      </c>
      <c r="H53" s="34" t="str">
        <f ca="1">_xll.DBRW($B$9,$C$14,$C$15,H$20,H$19,$C$16,$C53,$B53,H$21)</f>
        <v/>
      </c>
      <c r="I53" s="34" t="str">
        <f ca="1">_xll.DBRW($B$9,$C$14,$C$15,I$20,H$19,$C$16,$C53,$B53,I$21)</f>
        <v/>
      </c>
      <c r="J53" s="34" t="str">
        <f ca="1">_xll.DBRW($B$9,$C$14,$C$15,J$20,J$19,$C$16,$C53,$B53,J$21)</f>
        <v/>
      </c>
      <c r="K53" s="34" t="str">
        <f ca="1">_xll.DBRW($B$9,$C$14,$C$15,K$20,J$19,$C$16,$C53,$B53,K$21)</f>
        <v/>
      </c>
      <c r="L53" s="34" t="str">
        <f ca="1">_xll.DBRW($B$9,$C$14,$C$15,L$20,L$19,$C$16,$C53,$B53,L$21)</f>
        <v/>
      </c>
      <c r="M53" s="34" t="str">
        <f ca="1">_xll.DBRW($B$9,$C$14,$C$15,M$20,L$19,$C$16,$C53,$B53,M$21)</f>
        <v/>
      </c>
      <c r="N53" s="34" t="str">
        <f ca="1">_xll.DBRW($B$9,$C$14,$C$15,N$20,N$19,$C$16,$C53,$B53,N$21)</f>
        <v/>
      </c>
      <c r="O53" s="34" t="str">
        <f ca="1">_xll.DBRW($B$9,$C$14,$C$15,O$20,N$19,$C$16,$C53,$B53,O$21)</f>
        <v/>
      </c>
      <c r="P53" s="34" t="str">
        <f ca="1">_xll.DBRW($B$9,$C$14,$C$15,P$20,$P$19,$C$16,$C53,$B53,P$21)</f>
        <v/>
      </c>
      <c r="Q53" s="34" t="str">
        <f ca="1">_xll.DBRW($B$9,$C$14,$C$15,Q$20,$P$19,$C$16,$C53,$B53,Q$21)</f>
        <v/>
      </c>
    </row>
    <row r="54" spans="1:17" x14ac:dyDescent="0.25">
      <c r="A54">
        <f ca="1">IF(_xll.TM1RPTELISCONSOLIDATED($C$22,$C54),IF(_xll.TM1RPTELLEV($C$22,$C54)&lt;=3,_xll.TM1RPTELLEV($C$22,$C54),"D"),"N")</f>
        <v>1</v>
      </c>
      <c r="B54" s="8" t="s">
        <v>56</v>
      </c>
      <c r="C54" s="39" t="s">
        <v>39</v>
      </c>
      <c r="D54" s="34" t="str">
        <f ca="1">_xll.DBRW($B$9,$C$14,$C$15,D$20,D$19,$C$16,$C54,$B54,D$21)</f>
        <v/>
      </c>
      <c r="E54" s="34" t="str">
        <f ca="1">_xll.DBRW($B$9,$C$14,$C$15,E$20,D$19,$C$16,$C54,$B54,E$21)</f>
        <v/>
      </c>
      <c r="F54" s="34" t="str">
        <f ca="1">_xll.DBRW($B$9,$C$14,$C$15,F$20,F$19,$C$16,$C54,$B54,F$21)</f>
        <v/>
      </c>
      <c r="G54" s="34" t="str">
        <f ca="1">_xll.DBRW($B$9,$C$14,$C$15,G$20,F$19,$C$16,$C54,$B54,G$21)</f>
        <v/>
      </c>
      <c r="H54" s="34" t="str">
        <f ca="1">_xll.DBRW($B$9,$C$14,$C$15,H$20,H$19,$C$16,$C54,$B54,H$21)</f>
        <v/>
      </c>
      <c r="I54" s="34" t="str">
        <f ca="1">_xll.DBRW($B$9,$C$14,$C$15,I$20,H$19,$C$16,$C54,$B54,I$21)</f>
        <v/>
      </c>
      <c r="J54" s="34" t="str">
        <f ca="1">_xll.DBRW($B$9,$C$14,$C$15,J$20,J$19,$C$16,$C54,$B54,J$21)</f>
        <v/>
      </c>
      <c r="K54" s="34" t="str">
        <f ca="1">_xll.DBRW($B$9,$C$14,$C$15,K$20,J$19,$C$16,$C54,$B54,K$21)</f>
        <v/>
      </c>
      <c r="L54" s="34" t="str">
        <f ca="1">_xll.DBRW($B$9,$C$14,$C$15,L$20,L$19,$C$16,$C54,$B54,L$21)</f>
        <v/>
      </c>
      <c r="M54" s="34" t="str">
        <f ca="1">_xll.DBRW($B$9,$C$14,$C$15,M$20,L$19,$C$16,$C54,$B54,M$21)</f>
        <v/>
      </c>
      <c r="N54" s="34" t="str">
        <f ca="1">_xll.DBRW($B$9,$C$14,$C$15,N$20,N$19,$C$16,$C54,$B54,N$21)</f>
        <v/>
      </c>
      <c r="O54" s="34" t="str">
        <f ca="1">_xll.DBRW($B$9,$C$14,$C$15,O$20,N$19,$C$16,$C54,$B54,O$21)</f>
        <v/>
      </c>
      <c r="P54" s="34" t="str">
        <f ca="1">_xll.DBRW($B$9,$C$14,$C$15,P$20,$P$19,$C$16,$C54,$B54,P$21)</f>
        <v/>
      </c>
      <c r="Q54" s="34" t="str">
        <f ca="1">_xll.DBRW($B$9,$C$14,$C$15,Q$20,$P$19,$C$16,$C54,$B54,Q$21)</f>
        <v/>
      </c>
    </row>
    <row r="55" spans="1:17" x14ac:dyDescent="0.25">
      <c r="A55">
        <f ca="1">IF(_xll.TM1RPTELISCONSOLIDATED($C$22,$C55),IF(_xll.TM1RPTELLEV($C$22,$C55)&lt;=3,_xll.TM1RPTELLEV($C$22,$C55),"D"),"N")</f>
        <v>1</v>
      </c>
      <c r="B55" s="8" t="s">
        <v>56</v>
      </c>
      <c r="C55" s="39" t="s">
        <v>40</v>
      </c>
      <c r="D55" s="34" t="str">
        <f ca="1">_xll.DBRW($B$9,$C$14,$C$15,D$20,D$19,$C$16,$C55,$B55,D$21)</f>
        <v/>
      </c>
      <c r="E55" s="34" t="str">
        <f ca="1">_xll.DBRW($B$9,$C$14,$C$15,E$20,D$19,$C$16,$C55,$B55,E$21)</f>
        <v/>
      </c>
      <c r="F55" s="34" t="str">
        <f ca="1">_xll.DBRW($B$9,$C$14,$C$15,F$20,F$19,$C$16,$C55,$B55,F$21)</f>
        <v/>
      </c>
      <c r="G55" s="34" t="str">
        <f ca="1">_xll.DBRW($B$9,$C$14,$C$15,G$20,F$19,$C$16,$C55,$B55,G$21)</f>
        <v/>
      </c>
      <c r="H55" s="34" t="str">
        <f ca="1">_xll.DBRW($B$9,$C$14,$C$15,H$20,H$19,$C$16,$C55,$B55,H$21)</f>
        <v/>
      </c>
      <c r="I55" s="34" t="str">
        <f ca="1">_xll.DBRW($B$9,$C$14,$C$15,I$20,H$19,$C$16,$C55,$B55,I$21)</f>
        <v/>
      </c>
      <c r="J55" s="34" t="str">
        <f ca="1">_xll.DBRW($B$9,$C$14,$C$15,J$20,J$19,$C$16,$C55,$B55,J$21)</f>
        <v/>
      </c>
      <c r="K55" s="34" t="str">
        <f ca="1">_xll.DBRW($B$9,$C$14,$C$15,K$20,J$19,$C$16,$C55,$B55,K$21)</f>
        <v/>
      </c>
      <c r="L55" s="34" t="str">
        <f ca="1">_xll.DBRW($B$9,$C$14,$C$15,L$20,L$19,$C$16,$C55,$B55,L$21)</f>
        <v/>
      </c>
      <c r="M55" s="34" t="str">
        <f ca="1">_xll.DBRW($B$9,$C$14,$C$15,M$20,L$19,$C$16,$C55,$B55,M$21)</f>
        <v/>
      </c>
      <c r="N55" s="34" t="str">
        <f ca="1">_xll.DBRW($B$9,$C$14,$C$15,N$20,N$19,$C$16,$C55,$B55,N$21)</f>
        <v/>
      </c>
      <c r="O55" s="34" t="str">
        <f ca="1">_xll.DBRW($B$9,$C$14,$C$15,O$20,N$19,$C$16,$C55,$B55,O$21)</f>
        <v/>
      </c>
      <c r="P55" s="34" t="str">
        <f ca="1">_xll.DBRW($B$9,$C$14,$C$15,P$20,$P$19,$C$16,$C55,$B55,P$21)</f>
        <v/>
      </c>
      <c r="Q55" s="34" t="str">
        <f ca="1">_xll.DBRW($B$9,$C$14,$C$15,Q$20,$P$19,$C$16,$C55,$B55,Q$21)</f>
        <v/>
      </c>
    </row>
    <row r="56" spans="1:17" x14ac:dyDescent="0.25">
      <c r="A56">
        <f ca="1">IF(_xll.TM1RPTELISCONSOLIDATED($C$22,$C56),IF(_xll.TM1RPTELLEV($C$22,$C56)&lt;=3,_xll.TM1RPTELLEV($C$22,$C56),"D"),"N")</f>
        <v>1</v>
      </c>
      <c r="B56" s="8" t="s">
        <v>56</v>
      </c>
      <c r="C56" s="39" t="s">
        <v>41</v>
      </c>
      <c r="D56" s="34" t="str">
        <f ca="1">_xll.DBRW($B$9,$C$14,$C$15,D$20,D$19,$C$16,$C56,$B56,D$21)</f>
        <v/>
      </c>
      <c r="E56" s="34" t="str">
        <f ca="1">_xll.DBRW($B$9,$C$14,$C$15,E$20,D$19,$C$16,$C56,$B56,E$21)</f>
        <v/>
      </c>
      <c r="F56" s="34" t="str">
        <f ca="1">_xll.DBRW($B$9,$C$14,$C$15,F$20,F$19,$C$16,$C56,$B56,F$21)</f>
        <v/>
      </c>
      <c r="G56" s="34" t="str">
        <f ca="1">_xll.DBRW($B$9,$C$14,$C$15,G$20,F$19,$C$16,$C56,$B56,G$21)</f>
        <v/>
      </c>
      <c r="H56" s="34" t="str">
        <f ca="1">_xll.DBRW($B$9,$C$14,$C$15,H$20,H$19,$C$16,$C56,$B56,H$21)</f>
        <v/>
      </c>
      <c r="I56" s="34" t="str">
        <f ca="1">_xll.DBRW($B$9,$C$14,$C$15,I$20,H$19,$C$16,$C56,$B56,I$21)</f>
        <v/>
      </c>
      <c r="J56" s="34" t="str">
        <f ca="1">_xll.DBRW($B$9,$C$14,$C$15,J$20,J$19,$C$16,$C56,$B56,J$21)</f>
        <v/>
      </c>
      <c r="K56" s="34" t="str">
        <f ca="1">_xll.DBRW($B$9,$C$14,$C$15,K$20,J$19,$C$16,$C56,$B56,K$21)</f>
        <v/>
      </c>
      <c r="L56" s="34" t="str">
        <f ca="1">_xll.DBRW($B$9,$C$14,$C$15,L$20,L$19,$C$16,$C56,$B56,L$21)</f>
        <v/>
      </c>
      <c r="M56" s="34" t="str">
        <f ca="1">_xll.DBRW($B$9,$C$14,$C$15,M$20,L$19,$C$16,$C56,$B56,M$21)</f>
        <v/>
      </c>
      <c r="N56" s="34" t="str">
        <f ca="1">_xll.DBRW($B$9,$C$14,$C$15,N$20,N$19,$C$16,$C56,$B56,N$21)</f>
        <v/>
      </c>
      <c r="O56" s="34" t="str">
        <f ca="1">_xll.DBRW($B$9,$C$14,$C$15,O$20,N$19,$C$16,$C56,$B56,O$21)</f>
        <v/>
      </c>
      <c r="P56" s="34" t="str">
        <f ca="1">_xll.DBRW($B$9,$C$14,$C$15,P$20,$P$19,$C$16,$C56,$B56,P$21)</f>
        <v/>
      </c>
      <c r="Q56" s="34" t="str">
        <f ca="1">_xll.DBRW($B$9,$C$14,$C$15,Q$20,$P$19,$C$16,$C56,$B56,Q$21)</f>
        <v/>
      </c>
    </row>
    <row r="57" spans="1:17" x14ac:dyDescent="0.25">
      <c r="A57">
        <f ca="1">IF(_xll.TM1RPTELISCONSOLIDATED($C$22,$C57),IF(_xll.TM1RPTELLEV($C$22,$C57)&lt;=3,_xll.TM1RPTELLEV($C$22,$C57),"D"),"N")</f>
        <v>1</v>
      </c>
      <c r="B57" s="8" t="s">
        <v>56</v>
      </c>
      <c r="C57" s="39" t="s">
        <v>42</v>
      </c>
      <c r="D57" s="34" t="str">
        <f ca="1">_xll.DBRW($B$9,$C$14,$C$15,D$20,D$19,$C$16,$C57,$B57,D$21)</f>
        <v/>
      </c>
      <c r="E57" s="34" t="str">
        <f ca="1">_xll.DBRW($B$9,$C$14,$C$15,E$20,D$19,$C$16,$C57,$B57,E$21)</f>
        <v/>
      </c>
      <c r="F57" s="34" t="str">
        <f ca="1">_xll.DBRW($B$9,$C$14,$C$15,F$20,F$19,$C$16,$C57,$B57,F$21)</f>
        <v/>
      </c>
      <c r="G57" s="34" t="str">
        <f ca="1">_xll.DBRW($B$9,$C$14,$C$15,G$20,F$19,$C$16,$C57,$B57,G$21)</f>
        <v/>
      </c>
      <c r="H57" s="34" t="str">
        <f ca="1">_xll.DBRW($B$9,$C$14,$C$15,H$20,H$19,$C$16,$C57,$B57,H$21)</f>
        <v/>
      </c>
      <c r="I57" s="34" t="str">
        <f ca="1">_xll.DBRW($B$9,$C$14,$C$15,I$20,H$19,$C$16,$C57,$B57,I$21)</f>
        <v/>
      </c>
      <c r="J57" s="34" t="str">
        <f ca="1">_xll.DBRW($B$9,$C$14,$C$15,J$20,J$19,$C$16,$C57,$B57,J$21)</f>
        <v/>
      </c>
      <c r="K57" s="34" t="str">
        <f ca="1">_xll.DBRW($B$9,$C$14,$C$15,K$20,J$19,$C$16,$C57,$B57,K$21)</f>
        <v/>
      </c>
      <c r="L57" s="34" t="str">
        <f ca="1">_xll.DBRW($B$9,$C$14,$C$15,L$20,L$19,$C$16,$C57,$B57,L$21)</f>
        <v/>
      </c>
      <c r="M57" s="34" t="str">
        <f ca="1">_xll.DBRW($B$9,$C$14,$C$15,M$20,L$19,$C$16,$C57,$B57,M$21)</f>
        <v/>
      </c>
      <c r="N57" s="34" t="str">
        <f ca="1">_xll.DBRW($B$9,$C$14,$C$15,N$20,N$19,$C$16,$C57,$B57,N$21)</f>
        <v/>
      </c>
      <c r="O57" s="34" t="str">
        <f ca="1">_xll.DBRW($B$9,$C$14,$C$15,O$20,N$19,$C$16,$C57,$B57,O$21)</f>
        <v/>
      </c>
      <c r="P57" s="34" t="str">
        <f ca="1">_xll.DBRW($B$9,$C$14,$C$15,P$20,$P$19,$C$16,$C57,$B57,P$21)</f>
        <v/>
      </c>
      <c r="Q57" s="34" t="str">
        <f ca="1">_xll.DBRW($B$9,$C$14,$C$15,Q$20,$P$19,$C$16,$C57,$B57,Q$21)</f>
        <v/>
      </c>
    </row>
    <row r="58" spans="1:17" x14ac:dyDescent="0.25">
      <c r="A58">
        <f ca="1">IF(_xll.TM1RPTELISCONSOLIDATED($C$22,$C58),IF(_xll.TM1RPTELLEV($C$22,$C58)&lt;=3,_xll.TM1RPTELLEV($C$22,$C58),"D"),"N")</f>
        <v>0</v>
      </c>
      <c r="B58" s="5" t="s">
        <v>57</v>
      </c>
      <c r="C58" s="38" t="s">
        <v>35</v>
      </c>
      <c r="D58" s="33" t="str">
        <f ca="1">_xll.DBRW($B$9,$C$14,$C$15,D$20,D$19,$C$16,$C58,$B58,D$21)</f>
        <v/>
      </c>
      <c r="E58" s="33" t="str">
        <f ca="1">_xll.DBRW($B$9,$C$14,$C$15,E$20,D$19,$C$16,$C58,$B58,E$21)</f>
        <v/>
      </c>
      <c r="F58" s="33" t="str">
        <f ca="1">_xll.DBRW($B$9,$C$14,$C$15,F$20,F$19,$C$16,$C58,$B58,F$21)</f>
        <v/>
      </c>
      <c r="G58" s="33" t="str">
        <f ca="1">_xll.DBRW($B$9,$C$14,$C$15,G$20,F$19,$C$16,$C58,$B58,G$21)</f>
        <v/>
      </c>
      <c r="H58" s="33" t="str">
        <f ca="1">_xll.DBRW($B$9,$C$14,$C$15,H$20,H$19,$C$16,$C58,$B58,H$21)</f>
        <v/>
      </c>
      <c r="I58" s="33" t="str">
        <f ca="1">_xll.DBRW($B$9,$C$14,$C$15,I$20,H$19,$C$16,$C58,$B58,I$21)</f>
        <v/>
      </c>
      <c r="J58" s="33" t="str">
        <f ca="1">_xll.DBRW($B$9,$C$14,$C$15,J$20,J$19,$C$16,$C58,$B58,J$21)</f>
        <v/>
      </c>
      <c r="K58" s="33" t="str">
        <f ca="1">_xll.DBRW($B$9,$C$14,$C$15,K$20,J$19,$C$16,$C58,$B58,K$21)</f>
        <v/>
      </c>
      <c r="L58" s="33" t="str">
        <f ca="1">_xll.DBRW($B$9,$C$14,$C$15,L$20,L$19,$C$16,$C58,$B58,L$21)</f>
        <v/>
      </c>
      <c r="M58" s="33" t="str">
        <f ca="1">_xll.DBRW($B$9,$C$14,$C$15,M$20,L$19,$C$16,$C58,$B58,M$21)</f>
        <v/>
      </c>
      <c r="N58" s="33" t="str">
        <f ca="1">_xll.DBRW($B$9,$C$14,$C$15,N$20,N$19,$C$16,$C58,$B58,N$21)</f>
        <v/>
      </c>
      <c r="O58" s="33" t="str">
        <f ca="1">_xll.DBRW($B$9,$C$14,$C$15,O$20,N$19,$C$16,$C58,$B58,O$21)</f>
        <v/>
      </c>
      <c r="P58" s="33" t="str">
        <f ca="1">_xll.DBRW($B$9,$C$14,$C$15,P$20,$P$19,$C$16,$C58,$B58,P$21)</f>
        <v/>
      </c>
      <c r="Q58" s="33" t="str">
        <f ca="1">_xll.DBRW($B$9,$C$14,$C$15,Q$20,$P$19,$C$16,$C58,$B58,Q$21)</f>
        <v/>
      </c>
    </row>
    <row r="59" spans="1:17" x14ac:dyDescent="0.25">
      <c r="A59">
        <f ca="1">IF(_xll.TM1RPTELISCONSOLIDATED($C$22,$C59),IF(_xll.TM1RPTELLEV($C$22,$C59)&lt;=3,_xll.TM1RPTELLEV($C$22,$C59),"D"),"N")</f>
        <v>1</v>
      </c>
      <c r="B59" s="8" t="s">
        <v>57</v>
      </c>
      <c r="C59" s="39" t="s">
        <v>43</v>
      </c>
      <c r="D59" s="34" t="str">
        <f ca="1">_xll.DBRW($B$9,$C$14,$C$15,D$20,D$19,$C$16,$C59,$B59,D$21)</f>
        <v/>
      </c>
      <c r="E59" s="34" t="str">
        <f ca="1">_xll.DBRW($B$9,$C$14,$C$15,E$20,D$19,$C$16,$C59,$B59,E$21)</f>
        <v/>
      </c>
      <c r="F59" s="34" t="str">
        <f ca="1">_xll.DBRW($B$9,$C$14,$C$15,F$20,F$19,$C$16,$C59,$B59,F$21)</f>
        <v/>
      </c>
      <c r="G59" s="34" t="str">
        <f ca="1">_xll.DBRW($B$9,$C$14,$C$15,G$20,F$19,$C$16,$C59,$B59,G$21)</f>
        <v/>
      </c>
      <c r="H59" s="34" t="str">
        <f ca="1">_xll.DBRW($B$9,$C$14,$C$15,H$20,H$19,$C$16,$C59,$B59,H$21)</f>
        <v/>
      </c>
      <c r="I59" s="34" t="str">
        <f ca="1">_xll.DBRW($B$9,$C$14,$C$15,I$20,H$19,$C$16,$C59,$B59,I$21)</f>
        <v/>
      </c>
      <c r="J59" s="34" t="str">
        <f ca="1">_xll.DBRW($B$9,$C$14,$C$15,J$20,J$19,$C$16,$C59,$B59,J$21)</f>
        <v/>
      </c>
      <c r="K59" s="34" t="str">
        <f ca="1">_xll.DBRW($B$9,$C$14,$C$15,K$20,J$19,$C$16,$C59,$B59,K$21)</f>
        <v/>
      </c>
      <c r="L59" s="34" t="str">
        <f ca="1">_xll.DBRW($B$9,$C$14,$C$15,L$20,L$19,$C$16,$C59,$B59,L$21)</f>
        <v/>
      </c>
      <c r="M59" s="34" t="str">
        <f ca="1">_xll.DBRW($B$9,$C$14,$C$15,M$20,L$19,$C$16,$C59,$B59,M$21)</f>
        <v/>
      </c>
      <c r="N59" s="34" t="str">
        <f ca="1">_xll.DBRW($B$9,$C$14,$C$15,N$20,N$19,$C$16,$C59,$B59,N$21)</f>
        <v/>
      </c>
      <c r="O59" s="34" t="str">
        <f ca="1">_xll.DBRW($B$9,$C$14,$C$15,O$20,N$19,$C$16,$C59,$B59,O$21)</f>
        <v/>
      </c>
      <c r="P59" s="34" t="str">
        <f ca="1">_xll.DBRW($B$9,$C$14,$C$15,P$20,$P$19,$C$16,$C59,$B59,P$21)</f>
        <v/>
      </c>
      <c r="Q59" s="34" t="str">
        <f ca="1">_xll.DBRW($B$9,$C$14,$C$15,Q$20,$P$19,$C$16,$C59,$B59,Q$21)</f>
        <v/>
      </c>
    </row>
    <row r="60" spans="1:17" x14ac:dyDescent="0.25">
      <c r="A60">
        <f ca="1">IF(_xll.TM1RPTELISCONSOLIDATED($C$22,$C60),IF(_xll.TM1RPTELLEV($C$22,$C60)&lt;=3,_xll.TM1RPTELLEV($C$22,$C60),"D"),"N")</f>
        <v>1</v>
      </c>
      <c r="B60" s="8" t="s">
        <v>57</v>
      </c>
      <c r="C60" s="39" t="s">
        <v>36</v>
      </c>
      <c r="D60" s="34" t="str">
        <f ca="1">_xll.DBRW($B$9,$C$14,$C$15,D$20,D$19,$C$16,$C60,$B60,D$21)</f>
        <v/>
      </c>
      <c r="E60" s="34" t="str">
        <f ca="1">_xll.DBRW($B$9,$C$14,$C$15,E$20,D$19,$C$16,$C60,$B60,E$21)</f>
        <v/>
      </c>
      <c r="F60" s="34" t="str">
        <f ca="1">_xll.DBRW($B$9,$C$14,$C$15,F$20,F$19,$C$16,$C60,$B60,F$21)</f>
        <v/>
      </c>
      <c r="G60" s="34" t="str">
        <f ca="1">_xll.DBRW($B$9,$C$14,$C$15,G$20,F$19,$C$16,$C60,$B60,G$21)</f>
        <v/>
      </c>
      <c r="H60" s="34" t="str">
        <f ca="1">_xll.DBRW($B$9,$C$14,$C$15,H$20,H$19,$C$16,$C60,$B60,H$21)</f>
        <v/>
      </c>
      <c r="I60" s="34" t="str">
        <f ca="1">_xll.DBRW($B$9,$C$14,$C$15,I$20,H$19,$C$16,$C60,$B60,I$21)</f>
        <v/>
      </c>
      <c r="J60" s="34" t="str">
        <f ca="1">_xll.DBRW($B$9,$C$14,$C$15,J$20,J$19,$C$16,$C60,$B60,J$21)</f>
        <v/>
      </c>
      <c r="K60" s="34" t="str">
        <f ca="1">_xll.DBRW($B$9,$C$14,$C$15,K$20,J$19,$C$16,$C60,$B60,K$21)</f>
        <v/>
      </c>
      <c r="L60" s="34" t="str">
        <f ca="1">_xll.DBRW($B$9,$C$14,$C$15,L$20,L$19,$C$16,$C60,$B60,L$21)</f>
        <v/>
      </c>
      <c r="M60" s="34" t="str">
        <f ca="1">_xll.DBRW($B$9,$C$14,$C$15,M$20,L$19,$C$16,$C60,$B60,M$21)</f>
        <v/>
      </c>
      <c r="N60" s="34" t="str">
        <f ca="1">_xll.DBRW($B$9,$C$14,$C$15,N$20,N$19,$C$16,$C60,$B60,N$21)</f>
        <v/>
      </c>
      <c r="O60" s="34" t="str">
        <f ca="1">_xll.DBRW($B$9,$C$14,$C$15,O$20,N$19,$C$16,$C60,$B60,O$21)</f>
        <v/>
      </c>
      <c r="P60" s="34" t="str">
        <f ca="1">_xll.DBRW($B$9,$C$14,$C$15,P$20,$P$19,$C$16,$C60,$B60,P$21)</f>
        <v/>
      </c>
      <c r="Q60" s="34" t="str">
        <f ca="1">_xll.DBRW($B$9,$C$14,$C$15,Q$20,$P$19,$C$16,$C60,$B60,Q$21)</f>
        <v/>
      </c>
    </row>
    <row r="61" spans="1:17" x14ac:dyDescent="0.25">
      <c r="A61">
        <f ca="1">IF(_xll.TM1RPTELISCONSOLIDATED($C$22,$C61),IF(_xll.TM1RPTELLEV($C$22,$C61)&lt;=3,_xll.TM1RPTELLEV($C$22,$C61),"D"),"N")</f>
        <v>1</v>
      </c>
      <c r="B61" s="8" t="s">
        <v>57</v>
      </c>
      <c r="C61" s="39" t="s">
        <v>37</v>
      </c>
      <c r="D61" s="34" t="str">
        <f ca="1">_xll.DBRW($B$9,$C$14,$C$15,D$20,D$19,$C$16,$C61,$B61,D$21)</f>
        <v/>
      </c>
      <c r="E61" s="34" t="str">
        <f ca="1">_xll.DBRW($B$9,$C$14,$C$15,E$20,D$19,$C$16,$C61,$B61,E$21)</f>
        <v/>
      </c>
      <c r="F61" s="34" t="str">
        <f ca="1">_xll.DBRW($B$9,$C$14,$C$15,F$20,F$19,$C$16,$C61,$B61,F$21)</f>
        <v/>
      </c>
      <c r="G61" s="34" t="str">
        <f ca="1">_xll.DBRW($B$9,$C$14,$C$15,G$20,F$19,$C$16,$C61,$B61,G$21)</f>
        <v/>
      </c>
      <c r="H61" s="34" t="str">
        <f ca="1">_xll.DBRW($B$9,$C$14,$C$15,H$20,H$19,$C$16,$C61,$B61,H$21)</f>
        <v/>
      </c>
      <c r="I61" s="34" t="str">
        <f ca="1">_xll.DBRW($B$9,$C$14,$C$15,I$20,H$19,$C$16,$C61,$B61,I$21)</f>
        <v/>
      </c>
      <c r="J61" s="34" t="str">
        <f ca="1">_xll.DBRW($B$9,$C$14,$C$15,J$20,J$19,$C$16,$C61,$B61,J$21)</f>
        <v/>
      </c>
      <c r="K61" s="34" t="str">
        <f ca="1">_xll.DBRW($B$9,$C$14,$C$15,K$20,J$19,$C$16,$C61,$B61,K$21)</f>
        <v/>
      </c>
      <c r="L61" s="34" t="str">
        <f ca="1">_xll.DBRW($B$9,$C$14,$C$15,L$20,L$19,$C$16,$C61,$B61,L$21)</f>
        <v/>
      </c>
      <c r="M61" s="34" t="str">
        <f ca="1">_xll.DBRW($B$9,$C$14,$C$15,M$20,L$19,$C$16,$C61,$B61,M$21)</f>
        <v/>
      </c>
      <c r="N61" s="34" t="str">
        <f ca="1">_xll.DBRW($B$9,$C$14,$C$15,N$20,N$19,$C$16,$C61,$B61,N$21)</f>
        <v/>
      </c>
      <c r="O61" s="34" t="str">
        <f ca="1">_xll.DBRW($B$9,$C$14,$C$15,O$20,N$19,$C$16,$C61,$B61,O$21)</f>
        <v/>
      </c>
      <c r="P61" s="34" t="str">
        <f ca="1">_xll.DBRW($B$9,$C$14,$C$15,P$20,$P$19,$C$16,$C61,$B61,P$21)</f>
        <v/>
      </c>
      <c r="Q61" s="34" t="str">
        <f ca="1">_xll.DBRW($B$9,$C$14,$C$15,Q$20,$P$19,$C$16,$C61,$B61,Q$21)</f>
        <v/>
      </c>
    </row>
    <row r="62" spans="1:17" x14ac:dyDescent="0.25">
      <c r="A62">
        <f ca="1">IF(_xll.TM1RPTELISCONSOLIDATED($C$22,$C62),IF(_xll.TM1RPTELLEV($C$22,$C62)&lt;=3,_xll.TM1RPTELLEV($C$22,$C62),"D"),"N")</f>
        <v>1</v>
      </c>
      <c r="B62" s="8" t="s">
        <v>57</v>
      </c>
      <c r="C62" s="39" t="s">
        <v>38</v>
      </c>
      <c r="D62" s="34" t="str">
        <f ca="1">_xll.DBRW($B$9,$C$14,$C$15,D$20,D$19,$C$16,$C62,$B62,D$21)</f>
        <v/>
      </c>
      <c r="E62" s="34" t="str">
        <f ca="1">_xll.DBRW($B$9,$C$14,$C$15,E$20,D$19,$C$16,$C62,$B62,E$21)</f>
        <v/>
      </c>
      <c r="F62" s="34" t="str">
        <f ca="1">_xll.DBRW($B$9,$C$14,$C$15,F$20,F$19,$C$16,$C62,$B62,F$21)</f>
        <v/>
      </c>
      <c r="G62" s="34" t="str">
        <f ca="1">_xll.DBRW($B$9,$C$14,$C$15,G$20,F$19,$C$16,$C62,$B62,G$21)</f>
        <v/>
      </c>
      <c r="H62" s="34" t="str">
        <f ca="1">_xll.DBRW($B$9,$C$14,$C$15,H$20,H$19,$C$16,$C62,$B62,H$21)</f>
        <v/>
      </c>
      <c r="I62" s="34" t="str">
        <f ca="1">_xll.DBRW($B$9,$C$14,$C$15,I$20,H$19,$C$16,$C62,$B62,I$21)</f>
        <v/>
      </c>
      <c r="J62" s="34" t="str">
        <f ca="1">_xll.DBRW($B$9,$C$14,$C$15,J$20,J$19,$C$16,$C62,$B62,J$21)</f>
        <v/>
      </c>
      <c r="K62" s="34" t="str">
        <f ca="1">_xll.DBRW($B$9,$C$14,$C$15,K$20,J$19,$C$16,$C62,$B62,K$21)</f>
        <v/>
      </c>
      <c r="L62" s="34" t="str">
        <f ca="1">_xll.DBRW($B$9,$C$14,$C$15,L$20,L$19,$C$16,$C62,$B62,L$21)</f>
        <v/>
      </c>
      <c r="M62" s="34" t="str">
        <f ca="1">_xll.DBRW($B$9,$C$14,$C$15,M$20,L$19,$C$16,$C62,$B62,M$21)</f>
        <v/>
      </c>
      <c r="N62" s="34" t="str">
        <f ca="1">_xll.DBRW($B$9,$C$14,$C$15,N$20,N$19,$C$16,$C62,$B62,N$21)</f>
        <v/>
      </c>
      <c r="O62" s="34" t="str">
        <f ca="1">_xll.DBRW($B$9,$C$14,$C$15,O$20,N$19,$C$16,$C62,$B62,O$21)</f>
        <v/>
      </c>
      <c r="P62" s="34" t="str">
        <f ca="1">_xll.DBRW($B$9,$C$14,$C$15,P$20,$P$19,$C$16,$C62,$B62,P$21)</f>
        <v/>
      </c>
      <c r="Q62" s="34" t="str">
        <f ca="1">_xll.DBRW($B$9,$C$14,$C$15,Q$20,$P$19,$C$16,$C62,$B62,Q$21)</f>
        <v/>
      </c>
    </row>
    <row r="63" spans="1:17" x14ac:dyDescent="0.25">
      <c r="A63">
        <f ca="1">IF(_xll.TM1RPTELISCONSOLIDATED($C$22,$C63),IF(_xll.TM1RPTELLEV($C$22,$C63)&lt;=3,_xll.TM1RPTELLEV($C$22,$C63),"D"),"N")</f>
        <v>1</v>
      </c>
      <c r="B63" s="8" t="s">
        <v>57</v>
      </c>
      <c r="C63" s="39" t="s">
        <v>39</v>
      </c>
      <c r="D63" s="34" t="str">
        <f ca="1">_xll.DBRW($B$9,$C$14,$C$15,D$20,D$19,$C$16,$C63,$B63,D$21)</f>
        <v/>
      </c>
      <c r="E63" s="34" t="str">
        <f ca="1">_xll.DBRW($B$9,$C$14,$C$15,E$20,D$19,$C$16,$C63,$B63,E$21)</f>
        <v/>
      </c>
      <c r="F63" s="34" t="str">
        <f ca="1">_xll.DBRW($B$9,$C$14,$C$15,F$20,F$19,$C$16,$C63,$B63,F$21)</f>
        <v/>
      </c>
      <c r="G63" s="34" t="str">
        <f ca="1">_xll.DBRW($B$9,$C$14,$C$15,G$20,F$19,$C$16,$C63,$B63,G$21)</f>
        <v/>
      </c>
      <c r="H63" s="34" t="str">
        <f ca="1">_xll.DBRW($B$9,$C$14,$C$15,H$20,H$19,$C$16,$C63,$B63,H$21)</f>
        <v/>
      </c>
      <c r="I63" s="34" t="str">
        <f ca="1">_xll.DBRW($B$9,$C$14,$C$15,I$20,H$19,$C$16,$C63,$B63,I$21)</f>
        <v/>
      </c>
      <c r="J63" s="34" t="str">
        <f ca="1">_xll.DBRW($B$9,$C$14,$C$15,J$20,J$19,$C$16,$C63,$B63,J$21)</f>
        <v/>
      </c>
      <c r="K63" s="34" t="str">
        <f ca="1">_xll.DBRW($B$9,$C$14,$C$15,K$20,J$19,$C$16,$C63,$B63,K$21)</f>
        <v/>
      </c>
      <c r="L63" s="34" t="str">
        <f ca="1">_xll.DBRW($B$9,$C$14,$C$15,L$20,L$19,$C$16,$C63,$B63,L$21)</f>
        <v/>
      </c>
      <c r="M63" s="34" t="str">
        <f ca="1">_xll.DBRW($B$9,$C$14,$C$15,M$20,L$19,$C$16,$C63,$B63,M$21)</f>
        <v/>
      </c>
      <c r="N63" s="34" t="str">
        <f ca="1">_xll.DBRW($B$9,$C$14,$C$15,N$20,N$19,$C$16,$C63,$B63,N$21)</f>
        <v/>
      </c>
      <c r="O63" s="34" t="str">
        <f ca="1">_xll.DBRW($B$9,$C$14,$C$15,O$20,N$19,$C$16,$C63,$B63,O$21)</f>
        <v/>
      </c>
      <c r="P63" s="34" t="str">
        <f ca="1">_xll.DBRW($B$9,$C$14,$C$15,P$20,$P$19,$C$16,$C63,$B63,P$21)</f>
        <v/>
      </c>
      <c r="Q63" s="34" t="str">
        <f ca="1">_xll.DBRW($B$9,$C$14,$C$15,Q$20,$P$19,$C$16,$C63,$B63,Q$21)</f>
        <v/>
      </c>
    </row>
    <row r="64" spans="1:17" x14ac:dyDescent="0.25">
      <c r="A64">
        <f ca="1">IF(_xll.TM1RPTELISCONSOLIDATED($C$22,$C64),IF(_xll.TM1RPTELLEV($C$22,$C64)&lt;=3,_xll.TM1RPTELLEV($C$22,$C64),"D"),"N")</f>
        <v>1</v>
      </c>
      <c r="B64" s="8" t="s">
        <v>57</v>
      </c>
      <c r="C64" s="39" t="s">
        <v>40</v>
      </c>
      <c r="D64" s="34" t="str">
        <f ca="1">_xll.DBRW($B$9,$C$14,$C$15,D$20,D$19,$C$16,$C64,$B64,D$21)</f>
        <v/>
      </c>
      <c r="E64" s="34" t="str">
        <f ca="1">_xll.DBRW($B$9,$C$14,$C$15,E$20,D$19,$C$16,$C64,$B64,E$21)</f>
        <v/>
      </c>
      <c r="F64" s="34" t="str">
        <f ca="1">_xll.DBRW($B$9,$C$14,$C$15,F$20,F$19,$C$16,$C64,$B64,F$21)</f>
        <v/>
      </c>
      <c r="G64" s="34" t="str">
        <f ca="1">_xll.DBRW($B$9,$C$14,$C$15,G$20,F$19,$C$16,$C64,$B64,G$21)</f>
        <v/>
      </c>
      <c r="H64" s="34" t="str">
        <f ca="1">_xll.DBRW($B$9,$C$14,$C$15,H$20,H$19,$C$16,$C64,$B64,H$21)</f>
        <v/>
      </c>
      <c r="I64" s="34" t="str">
        <f ca="1">_xll.DBRW($B$9,$C$14,$C$15,I$20,H$19,$C$16,$C64,$B64,I$21)</f>
        <v/>
      </c>
      <c r="J64" s="34" t="str">
        <f ca="1">_xll.DBRW($B$9,$C$14,$C$15,J$20,J$19,$C$16,$C64,$B64,J$21)</f>
        <v/>
      </c>
      <c r="K64" s="34" t="str">
        <f ca="1">_xll.DBRW($B$9,$C$14,$C$15,K$20,J$19,$C$16,$C64,$B64,K$21)</f>
        <v/>
      </c>
      <c r="L64" s="34" t="str">
        <f ca="1">_xll.DBRW($B$9,$C$14,$C$15,L$20,L$19,$C$16,$C64,$B64,L$21)</f>
        <v/>
      </c>
      <c r="M64" s="34" t="str">
        <f ca="1">_xll.DBRW($B$9,$C$14,$C$15,M$20,L$19,$C$16,$C64,$B64,M$21)</f>
        <v/>
      </c>
      <c r="N64" s="34" t="str">
        <f ca="1">_xll.DBRW($B$9,$C$14,$C$15,N$20,N$19,$C$16,$C64,$B64,N$21)</f>
        <v/>
      </c>
      <c r="O64" s="34" t="str">
        <f ca="1">_xll.DBRW($B$9,$C$14,$C$15,O$20,N$19,$C$16,$C64,$B64,O$21)</f>
        <v/>
      </c>
      <c r="P64" s="34" t="str">
        <f ca="1">_xll.DBRW($B$9,$C$14,$C$15,P$20,$P$19,$C$16,$C64,$B64,P$21)</f>
        <v/>
      </c>
      <c r="Q64" s="34" t="str">
        <f ca="1">_xll.DBRW($B$9,$C$14,$C$15,Q$20,$P$19,$C$16,$C64,$B64,Q$21)</f>
        <v/>
      </c>
    </row>
    <row r="65" spans="1:17" x14ac:dyDescent="0.25">
      <c r="A65">
        <f ca="1">IF(_xll.TM1RPTELISCONSOLIDATED($C$22,$C65),IF(_xll.TM1RPTELLEV($C$22,$C65)&lt;=3,_xll.TM1RPTELLEV($C$22,$C65),"D"),"N")</f>
        <v>1</v>
      </c>
      <c r="B65" s="8" t="s">
        <v>57</v>
      </c>
      <c r="C65" s="39" t="s">
        <v>41</v>
      </c>
      <c r="D65" s="34" t="str">
        <f ca="1">_xll.DBRW($B$9,$C$14,$C$15,D$20,D$19,$C$16,$C65,$B65,D$21)</f>
        <v/>
      </c>
      <c r="E65" s="34" t="str">
        <f ca="1">_xll.DBRW($B$9,$C$14,$C$15,E$20,D$19,$C$16,$C65,$B65,E$21)</f>
        <v/>
      </c>
      <c r="F65" s="34" t="str">
        <f ca="1">_xll.DBRW($B$9,$C$14,$C$15,F$20,F$19,$C$16,$C65,$B65,F$21)</f>
        <v/>
      </c>
      <c r="G65" s="34" t="str">
        <f ca="1">_xll.DBRW($B$9,$C$14,$C$15,G$20,F$19,$C$16,$C65,$B65,G$21)</f>
        <v/>
      </c>
      <c r="H65" s="34" t="str">
        <f ca="1">_xll.DBRW($B$9,$C$14,$C$15,H$20,H$19,$C$16,$C65,$B65,H$21)</f>
        <v/>
      </c>
      <c r="I65" s="34" t="str">
        <f ca="1">_xll.DBRW($B$9,$C$14,$C$15,I$20,H$19,$C$16,$C65,$B65,I$21)</f>
        <v/>
      </c>
      <c r="J65" s="34" t="str">
        <f ca="1">_xll.DBRW($B$9,$C$14,$C$15,J$20,J$19,$C$16,$C65,$B65,J$21)</f>
        <v/>
      </c>
      <c r="K65" s="34" t="str">
        <f ca="1">_xll.DBRW($B$9,$C$14,$C$15,K$20,J$19,$C$16,$C65,$B65,K$21)</f>
        <v/>
      </c>
      <c r="L65" s="34" t="str">
        <f ca="1">_xll.DBRW($B$9,$C$14,$C$15,L$20,L$19,$C$16,$C65,$B65,L$21)</f>
        <v/>
      </c>
      <c r="M65" s="34" t="str">
        <f ca="1">_xll.DBRW($B$9,$C$14,$C$15,M$20,L$19,$C$16,$C65,$B65,M$21)</f>
        <v/>
      </c>
      <c r="N65" s="34" t="str">
        <f ca="1">_xll.DBRW($B$9,$C$14,$C$15,N$20,N$19,$C$16,$C65,$B65,N$21)</f>
        <v/>
      </c>
      <c r="O65" s="34" t="str">
        <f ca="1">_xll.DBRW($B$9,$C$14,$C$15,O$20,N$19,$C$16,$C65,$B65,O$21)</f>
        <v/>
      </c>
      <c r="P65" s="34" t="str">
        <f ca="1">_xll.DBRW($B$9,$C$14,$C$15,P$20,$P$19,$C$16,$C65,$B65,P$21)</f>
        <v/>
      </c>
      <c r="Q65" s="34" t="str">
        <f ca="1">_xll.DBRW($B$9,$C$14,$C$15,Q$20,$P$19,$C$16,$C65,$B65,Q$21)</f>
        <v/>
      </c>
    </row>
    <row r="66" spans="1:17" x14ac:dyDescent="0.25">
      <c r="A66">
        <f ca="1">IF(_xll.TM1RPTELISCONSOLIDATED($C$22,$C66),IF(_xll.TM1RPTELLEV($C$22,$C66)&lt;=3,_xll.TM1RPTELLEV($C$22,$C66),"D"),"N")</f>
        <v>1</v>
      </c>
      <c r="B66" s="8" t="s">
        <v>57</v>
      </c>
      <c r="C66" s="39" t="s">
        <v>42</v>
      </c>
      <c r="D66" s="34" t="str">
        <f ca="1">_xll.DBRW($B$9,$C$14,$C$15,D$20,D$19,$C$16,$C66,$B66,D$21)</f>
        <v/>
      </c>
      <c r="E66" s="34" t="str">
        <f ca="1">_xll.DBRW($B$9,$C$14,$C$15,E$20,D$19,$C$16,$C66,$B66,E$21)</f>
        <v/>
      </c>
      <c r="F66" s="34" t="str">
        <f ca="1">_xll.DBRW($B$9,$C$14,$C$15,F$20,F$19,$C$16,$C66,$B66,F$21)</f>
        <v/>
      </c>
      <c r="G66" s="34" t="str">
        <f ca="1">_xll.DBRW($B$9,$C$14,$C$15,G$20,F$19,$C$16,$C66,$B66,G$21)</f>
        <v/>
      </c>
      <c r="H66" s="34" t="str">
        <f ca="1">_xll.DBRW($B$9,$C$14,$C$15,H$20,H$19,$C$16,$C66,$B66,H$21)</f>
        <v/>
      </c>
      <c r="I66" s="34" t="str">
        <f ca="1">_xll.DBRW($B$9,$C$14,$C$15,I$20,H$19,$C$16,$C66,$B66,I$21)</f>
        <v/>
      </c>
      <c r="J66" s="34" t="str">
        <f ca="1">_xll.DBRW($B$9,$C$14,$C$15,J$20,J$19,$C$16,$C66,$B66,J$21)</f>
        <v/>
      </c>
      <c r="K66" s="34" t="str">
        <f ca="1">_xll.DBRW($B$9,$C$14,$C$15,K$20,J$19,$C$16,$C66,$B66,K$21)</f>
        <v/>
      </c>
      <c r="L66" s="34" t="str">
        <f ca="1">_xll.DBRW($B$9,$C$14,$C$15,L$20,L$19,$C$16,$C66,$B66,L$21)</f>
        <v/>
      </c>
      <c r="M66" s="34" t="str">
        <f ca="1">_xll.DBRW($B$9,$C$14,$C$15,M$20,L$19,$C$16,$C66,$B66,M$21)</f>
        <v/>
      </c>
      <c r="N66" s="34" t="str">
        <f ca="1">_xll.DBRW($B$9,$C$14,$C$15,N$20,N$19,$C$16,$C66,$B66,N$21)</f>
        <v/>
      </c>
      <c r="O66" s="34" t="str">
        <f ca="1">_xll.DBRW($B$9,$C$14,$C$15,O$20,N$19,$C$16,$C66,$B66,O$21)</f>
        <v/>
      </c>
      <c r="P66" s="34" t="str">
        <f ca="1">_xll.DBRW($B$9,$C$14,$C$15,P$20,$P$19,$C$16,$C66,$B66,P$21)</f>
        <v/>
      </c>
      <c r="Q66" s="34" t="str">
        <f ca="1">_xll.DBRW($B$9,$C$14,$C$15,Q$20,$P$19,$C$16,$C66,$B66,Q$21)</f>
        <v/>
      </c>
    </row>
    <row r="67" spans="1:17" x14ac:dyDescent="0.25">
      <c r="A67">
        <f ca="1">IF(_xll.TM1RPTELISCONSOLIDATED($C$22,$C67),IF(_xll.TM1RPTELLEV($C$22,$C67)&lt;=3,_xll.TM1RPTELLEV($C$22,$C67),"D"),"N")</f>
        <v>0</v>
      </c>
      <c r="B67" s="5" t="s">
        <v>58</v>
      </c>
      <c r="C67" s="38" t="s">
        <v>35</v>
      </c>
      <c r="D67" s="33" t="str">
        <f ca="1">_xll.DBRW($B$9,$C$14,$C$15,D$20,D$19,$C$16,$C67,$B67,D$21)</f>
        <v/>
      </c>
      <c r="E67" s="33" t="str">
        <f ca="1">_xll.DBRW($B$9,$C$14,$C$15,E$20,D$19,$C$16,$C67,$B67,E$21)</f>
        <v/>
      </c>
      <c r="F67" s="33" t="str">
        <f ca="1">_xll.DBRW($B$9,$C$14,$C$15,F$20,F$19,$C$16,$C67,$B67,F$21)</f>
        <v/>
      </c>
      <c r="G67" s="33" t="str">
        <f ca="1">_xll.DBRW($B$9,$C$14,$C$15,G$20,F$19,$C$16,$C67,$B67,G$21)</f>
        <v/>
      </c>
      <c r="H67" s="33" t="str">
        <f ca="1">_xll.DBRW($B$9,$C$14,$C$15,H$20,H$19,$C$16,$C67,$B67,H$21)</f>
        <v/>
      </c>
      <c r="I67" s="33" t="str">
        <f ca="1">_xll.DBRW($B$9,$C$14,$C$15,I$20,H$19,$C$16,$C67,$B67,I$21)</f>
        <v/>
      </c>
      <c r="J67" s="33" t="str">
        <f ca="1">_xll.DBRW($B$9,$C$14,$C$15,J$20,J$19,$C$16,$C67,$B67,J$21)</f>
        <v/>
      </c>
      <c r="K67" s="33" t="str">
        <f ca="1">_xll.DBRW($B$9,$C$14,$C$15,K$20,J$19,$C$16,$C67,$B67,K$21)</f>
        <v/>
      </c>
      <c r="L67" s="33" t="str">
        <f ca="1">_xll.DBRW($B$9,$C$14,$C$15,L$20,L$19,$C$16,$C67,$B67,L$21)</f>
        <v/>
      </c>
      <c r="M67" s="33" t="str">
        <f ca="1">_xll.DBRW($B$9,$C$14,$C$15,M$20,L$19,$C$16,$C67,$B67,M$21)</f>
        <v/>
      </c>
      <c r="N67" s="33" t="str">
        <f ca="1">_xll.DBRW($B$9,$C$14,$C$15,N$20,N$19,$C$16,$C67,$B67,N$21)</f>
        <v/>
      </c>
      <c r="O67" s="33" t="str">
        <f ca="1">_xll.DBRW($B$9,$C$14,$C$15,O$20,N$19,$C$16,$C67,$B67,O$21)</f>
        <v/>
      </c>
      <c r="P67" s="33" t="str">
        <f ca="1">_xll.DBRW($B$9,$C$14,$C$15,P$20,$P$19,$C$16,$C67,$B67,P$21)</f>
        <v/>
      </c>
      <c r="Q67" s="33" t="str">
        <f ca="1">_xll.DBRW($B$9,$C$14,$C$15,Q$20,$P$19,$C$16,$C67,$B67,Q$21)</f>
        <v/>
      </c>
    </row>
    <row r="68" spans="1:17" x14ac:dyDescent="0.25">
      <c r="A68">
        <f ca="1">IF(_xll.TM1RPTELISCONSOLIDATED($C$22,$C68),IF(_xll.TM1RPTELLEV($C$22,$C68)&lt;=3,_xll.TM1RPTELLEV($C$22,$C68),"D"),"N")</f>
        <v>1</v>
      </c>
      <c r="B68" s="8" t="s">
        <v>58</v>
      </c>
      <c r="C68" s="39" t="s">
        <v>43</v>
      </c>
      <c r="D68" s="34" t="str">
        <f ca="1">_xll.DBRW($B$9,$C$14,$C$15,D$20,D$19,$C$16,$C68,$B68,D$21)</f>
        <v/>
      </c>
      <c r="E68" s="34" t="str">
        <f ca="1">_xll.DBRW($B$9,$C$14,$C$15,E$20,D$19,$C$16,$C68,$B68,E$21)</f>
        <v/>
      </c>
      <c r="F68" s="34" t="str">
        <f ca="1">_xll.DBRW($B$9,$C$14,$C$15,F$20,F$19,$C$16,$C68,$B68,F$21)</f>
        <v/>
      </c>
      <c r="G68" s="34" t="str">
        <f ca="1">_xll.DBRW($B$9,$C$14,$C$15,G$20,F$19,$C$16,$C68,$B68,G$21)</f>
        <v/>
      </c>
      <c r="H68" s="34" t="str">
        <f ca="1">_xll.DBRW($B$9,$C$14,$C$15,H$20,H$19,$C$16,$C68,$B68,H$21)</f>
        <v/>
      </c>
      <c r="I68" s="34" t="str">
        <f ca="1">_xll.DBRW($B$9,$C$14,$C$15,I$20,H$19,$C$16,$C68,$B68,I$21)</f>
        <v/>
      </c>
      <c r="J68" s="34" t="str">
        <f ca="1">_xll.DBRW($B$9,$C$14,$C$15,J$20,J$19,$C$16,$C68,$B68,J$21)</f>
        <v/>
      </c>
      <c r="K68" s="34" t="str">
        <f ca="1">_xll.DBRW($B$9,$C$14,$C$15,K$20,J$19,$C$16,$C68,$B68,K$21)</f>
        <v/>
      </c>
      <c r="L68" s="34" t="str">
        <f ca="1">_xll.DBRW($B$9,$C$14,$C$15,L$20,L$19,$C$16,$C68,$B68,L$21)</f>
        <v/>
      </c>
      <c r="M68" s="34" t="str">
        <f ca="1">_xll.DBRW($B$9,$C$14,$C$15,M$20,L$19,$C$16,$C68,$B68,M$21)</f>
        <v/>
      </c>
      <c r="N68" s="34" t="str">
        <f ca="1">_xll.DBRW($B$9,$C$14,$C$15,N$20,N$19,$C$16,$C68,$B68,N$21)</f>
        <v/>
      </c>
      <c r="O68" s="34" t="str">
        <f ca="1">_xll.DBRW($B$9,$C$14,$C$15,O$20,N$19,$C$16,$C68,$B68,O$21)</f>
        <v/>
      </c>
      <c r="P68" s="34" t="str">
        <f ca="1">_xll.DBRW($B$9,$C$14,$C$15,P$20,$P$19,$C$16,$C68,$B68,P$21)</f>
        <v/>
      </c>
      <c r="Q68" s="34" t="str">
        <f ca="1">_xll.DBRW($B$9,$C$14,$C$15,Q$20,$P$19,$C$16,$C68,$B68,Q$21)</f>
        <v/>
      </c>
    </row>
    <row r="69" spans="1:17" x14ac:dyDescent="0.25">
      <c r="A69">
        <f ca="1">IF(_xll.TM1RPTELISCONSOLIDATED($C$22,$C69),IF(_xll.TM1RPTELLEV($C$22,$C69)&lt;=3,_xll.TM1RPTELLEV($C$22,$C69),"D"),"N")</f>
        <v>1</v>
      </c>
      <c r="B69" s="8" t="s">
        <v>58</v>
      </c>
      <c r="C69" s="39" t="s">
        <v>36</v>
      </c>
      <c r="D69" s="34" t="str">
        <f ca="1">_xll.DBRW($B$9,$C$14,$C$15,D$20,D$19,$C$16,$C69,$B69,D$21)</f>
        <v/>
      </c>
      <c r="E69" s="34" t="str">
        <f ca="1">_xll.DBRW($B$9,$C$14,$C$15,E$20,D$19,$C$16,$C69,$B69,E$21)</f>
        <v/>
      </c>
      <c r="F69" s="34" t="str">
        <f ca="1">_xll.DBRW($B$9,$C$14,$C$15,F$20,F$19,$C$16,$C69,$B69,F$21)</f>
        <v/>
      </c>
      <c r="G69" s="34" t="str">
        <f ca="1">_xll.DBRW($B$9,$C$14,$C$15,G$20,F$19,$C$16,$C69,$B69,G$21)</f>
        <v/>
      </c>
      <c r="H69" s="34" t="str">
        <f ca="1">_xll.DBRW($B$9,$C$14,$C$15,H$20,H$19,$C$16,$C69,$B69,H$21)</f>
        <v/>
      </c>
      <c r="I69" s="34" t="str">
        <f ca="1">_xll.DBRW($B$9,$C$14,$C$15,I$20,H$19,$C$16,$C69,$B69,I$21)</f>
        <v/>
      </c>
      <c r="J69" s="34" t="str">
        <f ca="1">_xll.DBRW($B$9,$C$14,$C$15,J$20,J$19,$C$16,$C69,$B69,J$21)</f>
        <v/>
      </c>
      <c r="K69" s="34" t="str">
        <f ca="1">_xll.DBRW($B$9,$C$14,$C$15,K$20,J$19,$C$16,$C69,$B69,K$21)</f>
        <v/>
      </c>
      <c r="L69" s="34" t="str">
        <f ca="1">_xll.DBRW($B$9,$C$14,$C$15,L$20,L$19,$C$16,$C69,$B69,L$21)</f>
        <v/>
      </c>
      <c r="M69" s="34" t="str">
        <f ca="1">_xll.DBRW($B$9,$C$14,$C$15,M$20,L$19,$C$16,$C69,$B69,M$21)</f>
        <v/>
      </c>
      <c r="N69" s="34" t="str">
        <f ca="1">_xll.DBRW($B$9,$C$14,$C$15,N$20,N$19,$C$16,$C69,$B69,N$21)</f>
        <v/>
      </c>
      <c r="O69" s="34" t="str">
        <f ca="1">_xll.DBRW($B$9,$C$14,$C$15,O$20,N$19,$C$16,$C69,$B69,O$21)</f>
        <v/>
      </c>
      <c r="P69" s="34" t="str">
        <f ca="1">_xll.DBRW($B$9,$C$14,$C$15,P$20,$P$19,$C$16,$C69,$B69,P$21)</f>
        <v/>
      </c>
      <c r="Q69" s="34" t="str">
        <f ca="1">_xll.DBRW($B$9,$C$14,$C$15,Q$20,$P$19,$C$16,$C69,$B69,Q$21)</f>
        <v/>
      </c>
    </row>
    <row r="70" spans="1:17" x14ac:dyDescent="0.25">
      <c r="A70">
        <f ca="1">IF(_xll.TM1RPTELISCONSOLIDATED($C$22,$C70),IF(_xll.TM1RPTELLEV($C$22,$C70)&lt;=3,_xll.TM1RPTELLEV($C$22,$C70),"D"),"N")</f>
        <v>1</v>
      </c>
      <c r="B70" s="8" t="s">
        <v>58</v>
      </c>
      <c r="C70" s="39" t="s">
        <v>37</v>
      </c>
      <c r="D70" s="34" t="str">
        <f ca="1">_xll.DBRW($B$9,$C$14,$C$15,D$20,D$19,$C$16,$C70,$B70,D$21)</f>
        <v/>
      </c>
      <c r="E70" s="34" t="str">
        <f ca="1">_xll.DBRW($B$9,$C$14,$C$15,E$20,D$19,$C$16,$C70,$B70,E$21)</f>
        <v/>
      </c>
      <c r="F70" s="34" t="str">
        <f ca="1">_xll.DBRW($B$9,$C$14,$C$15,F$20,F$19,$C$16,$C70,$B70,F$21)</f>
        <v/>
      </c>
      <c r="G70" s="34" t="str">
        <f ca="1">_xll.DBRW($B$9,$C$14,$C$15,G$20,F$19,$C$16,$C70,$B70,G$21)</f>
        <v/>
      </c>
      <c r="H70" s="34" t="str">
        <f ca="1">_xll.DBRW($B$9,$C$14,$C$15,H$20,H$19,$C$16,$C70,$B70,H$21)</f>
        <v/>
      </c>
      <c r="I70" s="34" t="str">
        <f ca="1">_xll.DBRW($B$9,$C$14,$C$15,I$20,H$19,$C$16,$C70,$B70,I$21)</f>
        <v/>
      </c>
      <c r="J70" s="34" t="str">
        <f ca="1">_xll.DBRW($B$9,$C$14,$C$15,J$20,J$19,$C$16,$C70,$B70,J$21)</f>
        <v/>
      </c>
      <c r="K70" s="34" t="str">
        <f ca="1">_xll.DBRW($B$9,$C$14,$C$15,K$20,J$19,$C$16,$C70,$B70,K$21)</f>
        <v/>
      </c>
      <c r="L70" s="34" t="str">
        <f ca="1">_xll.DBRW($B$9,$C$14,$C$15,L$20,L$19,$C$16,$C70,$B70,L$21)</f>
        <v/>
      </c>
      <c r="M70" s="34" t="str">
        <f ca="1">_xll.DBRW($B$9,$C$14,$C$15,M$20,L$19,$C$16,$C70,$B70,M$21)</f>
        <v/>
      </c>
      <c r="N70" s="34" t="str">
        <f ca="1">_xll.DBRW($B$9,$C$14,$C$15,N$20,N$19,$C$16,$C70,$B70,N$21)</f>
        <v/>
      </c>
      <c r="O70" s="34" t="str">
        <f ca="1">_xll.DBRW($B$9,$C$14,$C$15,O$20,N$19,$C$16,$C70,$B70,O$21)</f>
        <v/>
      </c>
      <c r="P70" s="34" t="str">
        <f ca="1">_xll.DBRW($B$9,$C$14,$C$15,P$20,$P$19,$C$16,$C70,$B70,P$21)</f>
        <v/>
      </c>
      <c r="Q70" s="34" t="str">
        <f ca="1">_xll.DBRW($B$9,$C$14,$C$15,Q$20,$P$19,$C$16,$C70,$B70,Q$21)</f>
        <v/>
      </c>
    </row>
    <row r="71" spans="1:17" x14ac:dyDescent="0.25">
      <c r="A71">
        <f ca="1">IF(_xll.TM1RPTELISCONSOLIDATED($C$22,$C71),IF(_xll.TM1RPTELLEV($C$22,$C71)&lt;=3,_xll.TM1RPTELLEV($C$22,$C71),"D"),"N")</f>
        <v>1</v>
      </c>
      <c r="B71" s="8" t="s">
        <v>58</v>
      </c>
      <c r="C71" s="39" t="s">
        <v>38</v>
      </c>
      <c r="D71" s="34" t="str">
        <f ca="1">_xll.DBRW($B$9,$C$14,$C$15,D$20,D$19,$C$16,$C71,$B71,D$21)</f>
        <v/>
      </c>
      <c r="E71" s="34" t="str">
        <f ca="1">_xll.DBRW($B$9,$C$14,$C$15,E$20,D$19,$C$16,$C71,$B71,E$21)</f>
        <v/>
      </c>
      <c r="F71" s="34" t="str">
        <f ca="1">_xll.DBRW($B$9,$C$14,$C$15,F$20,F$19,$C$16,$C71,$B71,F$21)</f>
        <v/>
      </c>
      <c r="G71" s="34" t="str">
        <f ca="1">_xll.DBRW($B$9,$C$14,$C$15,G$20,F$19,$C$16,$C71,$B71,G$21)</f>
        <v/>
      </c>
      <c r="H71" s="34" t="str">
        <f ca="1">_xll.DBRW($B$9,$C$14,$C$15,H$20,H$19,$C$16,$C71,$B71,H$21)</f>
        <v/>
      </c>
      <c r="I71" s="34" t="str">
        <f ca="1">_xll.DBRW($B$9,$C$14,$C$15,I$20,H$19,$C$16,$C71,$B71,I$21)</f>
        <v/>
      </c>
      <c r="J71" s="34" t="str">
        <f ca="1">_xll.DBRW($B$9,$C$14,$C$15,J$20,J$19,$C$16,$C71,$B71,J$21)</f>
        <v/>
      </c>
      <c r="K71" s="34" t="str">
        <f ca="1">_xll.DBRW($B$9,$C$14,$C$15,K$20,J$19,$C$16,$C71,$B71,K$21)</f>
        <v/>
      </c>
      <c r="L71" s="34" t="str">
        <f ca="1">_xll.DBRW($B$9,$C$14,$C$15,L$20,L$19,$C$16,$C71,$B71,L$21)</f>
        <v/>
      </c>
      <c r="M71" s="34" t="str">
        <f ca="1">_xll.DBRW($B$9,$C$14,$C$15,M$20,L$19,$C$16,$C71,$B71,M$21)</f>
        <v/>
      </c>
      <c r="N71" s="34" t="str">
        <f ca="1">_xll.DBRW($B$9,$C$14,$C$15,N$20,N$19,$C$16,$C71,$B71,N$21)</f>
        <v/>
      </c>
      <c r="O71" s="34" t="str">
        <f ca="1">_xll.DBRW($B$9,$C$14,$C$15,O$20,N$19,$C$16,$C71,$B71,O$21)</f>
        <v/>
      </c>
      <c r="P71" s="34" t="str">
        <f ca="1">_xll.DBRW($B$9,$C$14,$C$15,P$20,$P$19,$C$16,$C71,$B71,P$21)</f>
        <v/>
      </c>
      <c r="Q71" s="34" t="str">
        <f ca="1">_xll.DBRW($B$9,$C$14,$C$15,Q$20,$P$19,$C$16,$C71,$B71,Q$21)</f>
        <v/>
      </c>
    </row>
    <row r="72" spans="1:17" x14ac:dyDescent="0.25">
      <c r="A72">
        <f ca="1">IF(_xll.TM1RPTELISCONSOLIDATED($C$22,$C72),IF(_xll.TM1RPTELLEV($C$22,$C72)&lt;=3,_xll.TM1RPTELLEV($C$22,$C72),"D"),"N")</f>
        <v>1</v>
      </c>
      <c r="B72" s="8" t="s">
        <v>58</v>
      </c>
      <c r="C72" s="39" t="s">
        <v>39</v>
      </c>
      <c r="D72" s="34" t="str">
        <f ca="1">_xll.DBRW($B$9,$C$14,$C$15,D$20,D$19,$C$16,$C72,$B72,D$21)</f>
        <v/>
      </c>
      <c r="E72" s="34" t="str">
        <f ca="1">_xll.DBRW($B$9,$C$14,$C$15,E$20,D$19,$C$16,$C72,$B72,E$21)</f>
        <v/>
      </c>
      <c r="F72" s="34" t="str">
        <f ca="1">_xll.DBRW($B$9,$C$14,$C$15,F$20,F$19,$C$16,$C72,$B72,F$21)</f>
        <v/>
      </c>
      <c r="G72" s="34" t="str">
        <f ca="1">_xll.DBRW($B$9,$C$14,$C$15,G$20,F$19,$C$16,$C72,$B72,G$21)</f>
        <v/>
      </c>
      <c r="H72" s="34" t="str">
        <f ca="1">_xll.DBRW($B$9,$C$14,$C$15,H$20,H$19,$C$16,$C72,$B72,H$21)</f>
        <v/>
      </c>
      <c r="I72" s="34" t="str">
        <f ca="1">_xll.DBRW($B$9,$C$14,$C$15,I$20,H$19,$C$16,$C72,$B72,I$21)</f>
        <v/>
      </c>
      <c r="J72" s="34" t="str">
        <f ca="1">_xll.DBRW($B$9,$C$14,$C$15,J$20,J$19,$C$16,$C72,$B72,J$21)</f>
        <v/>
      </c>
      <c r="K72" s="34" t="str">
        <f ca="1">_xll.DBRW($B$9,$C$14,$C$15,K$20,J$19,$C$16,$C72,$B72,K$21)</f>
        <v/>
      </c>
      <c r="L72" s="34" t="str">
        <f ca="1">_xll.DBRW($B$9,$C$14,$C$15,L$20,L$19,$C$16,$C72,$B72,L$21)</f>
        <v/>
      </c>
      <c r="M72" s="34" t="str">
        <f ca="1">_xll.DBRW($B$9,$C$14,$C$15,M$20,L$19,$C$16,$C72,$B72,M$21)</f>
        <v/>
      </c>
      <c r="N72" s="34" t="str">
        <f ca="1">_xll.DBRW($B$9,$C$14,$C$15,N$20,N$19,$C$16,$C72,$B72,N$21)</f>
        <v/>
      </c>
      <c r="O72" s="34" t="str">
        <f ca="1">_xll.DBRW($B$9,$C$14,$C$15,O$20,N$19,$C$16,$C72,$B72,O$21)</f>
        <v/>
      </c>
      <c r="P72" s="34" t="str">
        <f ca="1">_xll.DBRW($B$9,$C$14,$C$15,P$20,$P$19,$C$16,$C72,$B72,P$21)</f>
        <v/>
      </c>
      <c r="Q72" s="34" t="str">
        <f ca="1">_xll.DBRW($B$9,$C$14,$C$15,Q$20,$P$19,$C$16,$C72,$B72,Q$21)</f>
        <v/>
      </c>
    </row>
    <row r="73" spans="1:17" x14ac:dyDescent="0.25">
      <c r="A73">
        <f ca="1">IF(_xll.TM1RPTELISCONSOLIDATED($C$22,$C73),IF(_xll.TM1RPTELLEV($C$22,$C73)&lt;=3,_xll.TM1RPTELLEV($C$22,$C73),"D"),"N")</f>
        <v>1</v>
      </c>
      <c r="B73" s="8" t="s">
        <v>58</v>
      </c>
      <c r="C73" s="39" t="s">
        <v>40</v>
      </c>
      <c r="D73" s="34" t="str">
        <f ca="1">_xll.DBRW($B$9,$C$14,$C$15,D$20,D$19,$C$16,$C73,$B73,D$21)</f>
        <v/>
      </c>
      <c r="E73" s="34" t="str">
        <f ca="1">_xll.DBRW($B$9,$C$14,$C$15,E$20,D$19,$C$16,$C73,$B73,E$21)</f>
        <v/>
      </c>
      <c r="F73" s="34" t="str">
        <f ca="1">_xll.DBRW($B$9,$C$14,$C$15,F$20,F$19,$C$16,$C73,$B73,F$21)</f>
        <v/>
      </c>
      <c r="G73" s="34" t="str">
        <f ca="1">_xll.DBRW($B$9,$C$14,$C$15,G$20,F$19,$C$16,$C73,$B73,G$21)</f>
        <v/>
      </c>
      <c r="H73" s="34" t="str">
        <f ca="1">_xll.DBRW($B$9,$C$14,$C$15,H$20,H$19,$C$16,$C73,$B73,H$21)</f>
        <v/>
      </c>
      <c r="I73" s="34" t="str">
        <f ca="1">_xll.DBRW($B$9,$C$14,$C$15,I$20,H$19,$C$16,$C73,$B73,I$21)</f>
        <v/>
      </c>
      <c r="J73" s="34" t="str">
        <f ca="1">_xll.DBRW($B$9,$C$14,$C$15,J$20,J$19,$C$16,$C73,$B73,J$21)</f>
        <v/>
      </c>
      <c r="K73" s="34" t="str">
        <f ca="1">_xll.DBRW($B$9,$C$14,$C$15,K$20,J$19,$C$16,$C73,$B73,K$21)</f>
        <v/>
      </c>
      <c r="L73" s="34" t="str">
        <f ca="1">_xll.DBRW($B$9,$C$14,$C$15,L$20,L$19,$C$16,$C73,$B73,L$21)</f>
        <v/>
      </c>
      <c r="M73" s="34" t="str">
        <f ca="1">_xll.DBRW($B$9,$C$14,$C$15,M$20,L$19,$C$16,$C73,$B73,M$21)</f>
        <v/>
      </c>
      <c r="N73" s="34" t="str">
        <f ca="1">_xll.DBRW($B$9,$C$14,$C$15,N$20,N$19,$C$16,$C73,$B73,N$21)</f>
        <v/>
      </c>
      <c r="O73" s="34" t="str">
        <f ca="1">_xll.DBRW($B$9,$C$14,$C$15,O$20,N$19,$C$16,$C73,$B73,O$21)</f>
        <v/>
      </c>
      <c r="P73" s="34" t="str">
        <f ca="1">_xll.DBRW($B$9,$C$14,$C$15,P$20,$P$19,$C$16,$C73,$B73,P$21)</f>
        <v/>
      </c>
      <c r="Q73" s="34" t="str">
        <f ca="1">_xll.DBRW($B$9,$C$14,$C$15,Q$20,$P$19,$C$16,$C73,$B73,Q$21)</f>
        <v/>
      </c>
    </row>
    <row r="74" spans="1:17" x14ac:dyDescent="0.25">
      <c r="A74">
        <f ca="1">IF(_xll.TM1RPTELISCONSOLIDATED($C$22,$C74),IF(_xll.TM1RPTELLEV($C$22,$C74)&lt;=3,_xll.TM1RPTELLEV($C$22,$C74),"D"),"N")</f>
        <v>1</v>
      </c>
      <c r="B74" s="8" t="s">
        <v>58</v>
      </c>
      <c r="C74" s="39" t="s">
        <v>41</v>
      </c>
      <c r="D74" s="34" t="str">
        <f ca="1">_xll.DBRW($B$9,$C$14,$C$15,D$20,D$19,$C$16,$C74,$B74,D$21)</f>
        <v/>
      </c>
      <c r="E74" s="34" t="str">
        <f ca="1">_xll.DBRW($B$9,$C$14,$C$15,E$20,D$19,$C$16,$C74,$B74,E$21)</f>
        <v/>
      </c>
      <c r="F74" s="34" t="str">
        <f ca="1">_xll.DBRW($B$9,$C$14,$C$15,F$20,F$19,$C$16,$C74,$B74,F$21)</f>
        <v/>
      </c>
      <c r="G74" s="34" t="str">
        <f ca="1">_xll.DBRW($B$9,$C$14,$C$15,G$20,F$19,$C$16,$C74,$B74,G$21)</f>
        <v/>
      </c>
      <c r="H74" s="34" t="str">
        <f ca="1">_xll.DBRW($B$9,$C$14,$C$15,H$20,H$19,$C$16,$C74,$B74,H$21)</f>
        <v/>
      </c>
      <c r="I74" s="34" t="str">
        <f ca="1">_xll.DBRW($B$9,$C$14,$C$15,I$20,H$19,$C$16,$C74,$B74,I$21)</f>
        <v/>
      </c>
      <c r="J74" s="34" t="str">
        <f ca="1">_xll.DBRW($B$9,$C$14,$C$15,J$20,J$19,$C$16,$C74,$B74,J$21)</f>
        <v/>
      </c>
      <c r="K74" s="34" t="str">
        <f ca="1">_xll.DBRW($B$9,$C$14,$C$15,K$20,J$19,$C$16,$C74,$B74,K$21)</f>
        <v/>
      </c>
      <c r="L74" s="34" t="str">
        <f ca="1">_xll.DBRW($B$9,$C$14,$C$15,L$20,L$19,$C$16,$C74,$B74,L$21)</f>
        <v/>
      </c>
      <c r="M74" s="34" t="str">
        <f ca="1">_xll.DBRW($B$9,$C$14,$C$15,M$20,L$19,$C$16,$C74,$B74,M$21)</f>
        <v/>
      </c>
      <c r="N74" s="34" t="str">
        <f ca="1">_xll.DBRW($B$9,$C$14,$C$15,N$20,N$19,$C$16,$C74,$B74,N$21)</f>
        <v/>
      </c>
      <c r="O74" s="34" t="str">
        <f ca="1">_xll.DBRW($B$9,$C$14,$C$15,O$20,N$19,$C$16,$C74,$B74,O$21)</f>
        <v/>
      </c>
      <c r="P74" s="34" t="str">
        <f ca="1">_xll.DBRW($B$9,$C$14,$C$15,P$20,$P$19,$C$16,$C74,$B74,P$21)</f>
        <v/>
      </c>
      <c r="Q74" s="34" t="str">
        <f ca="1">_xll.DBRW($B$9,$C$14,$C$15,Q$20,$P$19,$C$16,$C74,$B74,Q$21)</f>
        <v/>
      </c>
    </row>
    <row r="75" spans="1:17" x14ac:dyDescent="0.25">
      <c r="A75">
        <f ca="1">IF(_xll.TM1RPTELISCONSOLIDATED($C$22,$C75),IF(_xll.TM1RPTELLEV($C$22,$C75)&lt;=3,_xll.TM1RPTELLEV($C$22,$C75),"D"),"N")</f>
        <v>1</v>
      </c>
      <c r="B75" s="8" t="s">
        <v>58</v>
      </c>
      <c r="C75" s="39" t="s">
        <v>42</v>
      </c>
      <c r="D75" s="34" t="str">
        <f ca="1">_xll.DBRW($B$9,$C$14,$C$15,D$20,D$19,$C$16,$C75,$B75,D$21)</f>
        <v/>
      </c>
      <c r="E75" s="34" t="str">
        <f ca="1">_xll.DBRW($B$9,$C$14,$C$15,E$20,D$19,$C$16,$C75,$B75,E$21)</f>
        <v/>
      </c>
      <c r="F75" s="34" t="str">
        <f ca="1">_xll.DBRW($B$9,$C$14,$C$15,F$20,F$19,$C$16,$C75,$B75,F$21)</f>
        <v/>
      </c>
      <c r="G75" s="34" t="str">
        <f ca="1">_xll.DBRW($B$9,$C$14,$C$15,G$20,F$19,$C$16,$C75,$B75,G$21)</f>
        <v/>
      </c>
      <c r="H75" s="34" t="str">
        <f ca="1">_xll.DBRW($B$9,$C$14,$C$15,H$20,H$19,$C$16,$C75,$B75,H$21)</f>
        <v/>
      </c>
      <c r="I75" s="34" t="str">
        <f ca="1">_xll.DBRW($B$9,$C$14,$C$15,I$20,H$19,$C$16,$C75,$B75,I$21)</f>
        <v/>
      </c>
      <c r="J75" s="34" t="str">
        <f ca="1">_xll.DBRW($B$9,$C$14,$C$15,J$20,J$19,$C$16,$C75,$B75,J$21)</f>
        <v/>
      </c>
      <c r="K75" s="34" t="str">
        <f ca="1">_xll.DBRW($B$9,$C$14,$C$15,K$20,J$19,$C$16,$C75,$B75,K$21)</f>
        <v/>
      </c>
      <c r="L75" s="34" t="str">
        <f ca="1">_xll.DBRW($B$9,$C$14,$C$15,L$20,L$19,$C$16,$C75,$B75,L$21)</f>
        <v/>
      </c>
      <c r="M75" s="34" t="str">
        <f ca="1">_xll.DBRW($B$9,$C$14,$C$15,M$20,L$19,$C$16,$C75,$B75,M$21)</f>
        <v/>
      </c>
      <c r="N75" s="34" t="str">
        <f ca="1">_xll.DBRW($B$9,$C$14,$C$15,N$20,N$19,$C$16,$C75,$B75,N$21)</f>
        <v/>
      </c>
      <c r="O75" s="34" t="str">
        <f ca="1">_xll.DBRW($B$9,$C$14,$C$15,O$20,N$19,$C$16,$C75,$B75,O$21)</f>
        <v/>
      </c>
      <c r="P75" s="34" t="str">
        <f ca="1">_xll.DBRW($B$9,$C$14,$C$15,P$20,$P$19,$C$16,$C75,$B75,P$21)</f>
        <v/>
      </c>
      <c r="Q75" s="34" t="str">
        <f ca="1">_xll.DBRW($B$9,$C$14,$C$15,Q$20,$P$19,$C$16,$C75,$B75,Q$21)</f>
        <v/>
      </c>
    </row>
    <row r="76" spans="1:17" x14ac:dyDescent="0.25">
      <c r="A76">
        <f ca="1">IF(_xll.TM1RPTELISCONSOLIDATED($C$22,$C76),IF(_xll.TM1RPTELLEV($C$22,$C76)&lt;=3,_xll.TM1RPTELLEV($C$22,$C76),"D"),"N")</f>
        <v>0</v>
      </c>
      <c r="B76" s="5" t="s">
        <v>59</v>
      </c>
      <c r="C76" s="38" t="s">
        <v>35</v>
      </c>
      <c r="D76" s="33" t="str">
        <f ca="1">_xll.DBRW($B$9,$C$14,$C$15,D$20,D$19,$C$16,$C76,$B76,D$21)</f>
        <v/>
      </c>
      <c r="E76" s="33" t="str">
        <f ca="1">_xll.DBRW($B$9,$C$14,$C$15,E$20,D$19,$C$16,$C76,$B76,E$21)</f>
        <v/>
      </c>
      <c r="F76" s="33" t="str">
        <f ca="1">_xll.DBRW($B$9,$C$14,$C$15,F$20,F$19,$C$16,$C76,$B76,F$21)</f>
        <v/>
      </c>
      <c r="G76" s="33" t="str">
        <f ca="1">_xll.DBRW($B$9,$C$14,$C$15,G$20,F$19,$C$16,$C76,$B76,G$21)</f>
        <v/>
      </c>
      <c r="H76" s="33" t="str">
        <f ca="1">_xll.DBRW($B$9,$C$14,$C$15,H$20,H$19,$C$16,$C76,$B76,H$21)</f>
        <v/>
      </c>
      <c r="I76" s="33" t="str">
        <f ca="1">_xll.DBRW($B$9,$C$14,$C$15,I$20,H$19,$C$16,$C76,$B76,I$21)</f>
        <v/>
      </c>
      <c r="J76" s="33" t="str">
        <f ca="1">_xll.DBRW($B$9,$C$14,$C$15,J$20,J$19,$C$16,$C76,$B76,J$21)</f>
        <v/>
      </c>
      <c r="K76" s="33" t="str">
        <f ca="1">_xll.DBRW($B$9,$C$14,$C$15,K$20,J$19,$C$16,$C76,$B76,K$21)</f>
        <v/>
      </c>
      <c r="L76" s="33" t="str">
        <f ca="1">_xll.DBRW($B$9,$C$14,$C$15,L$20,L$19,$C$16,$C76,$B76,L$21)</f>
        <v/>
      </c>
      <c r="M76" s="33" t="str">
        <f ca="1">_xll.DBRW($B$9,$C$14,$C$15,M$20,L$19,$C$16,$C76,$B76,M$21)</f>
        <v/>
      </c>
      <c r="N76" s="33" t="str">
        <f ca="1">_xll.DBRW($B$9,$C$14,$C$15,N$20,N$19,$C$16,$C76,$B76,N$21)</f>
        <v/>
      </c>
      <c r="O76" s="33" t="str">
        <f ca="1">_xll.DBRW($B$9,$C$14,$C$15,O$20,N$19,$C$16,$C76,$B76,O$21)</f>
        <v/>
      </c>
      <c r="P76" s="33" t="str">
        <f ca="1">_xll.DBRW($B$9,$C$14,$C$15,P$20,$P$19,$C$16,$C76,$B76,P$21)</f>
        <v/>
      </c>
      <c r="Q76" s="33" t="str">
        <f ca="1">_xll.DBRW($B$9,$C$14,$C$15,Q$20,$P$19,$C$16,$C76,$B76,Q$21)</f>
        <v/>
      </c>
    </row>
    <row r="77" spans="1:17" x14ac:dyDescent="0.25">
      <c r="A77">
        <f ca="1">IF(_xll.TM1RPTELISCONSOLIDATED($C$22,$C77),IF(_xll.TM1RPTELLEV($C$22,$C77)&lt;=3,_xll.TM1RPTELLEV($C$22,$C77),"D"),"N")</f>
        <v>1</v>
      </c>
      <c r="B77" s="8" t="s">
        <v>59</v>
      </c>
      <c r="C77" s="39" t="s">
        <v>43</v>
      </c>
      <c r="D77" s="34" t="str">
        <f ca="1">_xll.DBRW($B$9,$C$14,$C$15,D$20,D$19,$C$16,$C77,$B77,D$21)</f>
        <v/>
      </c>
      <c r="E77" s="34" t="str">
        <f ca="1">_xll.DBRW($B$9,$C$14,$C$15,E$20,D$19,$C$16,$C77,$B77,E$21)</f>
        <v/>
      </c>
      <c r="F77" s="34" t="str">
        <f ca="1">_xll.DBRW($B$9,$C$14,$C$15,F$20,F$19,$C$16,$C77,$B77,F$21)</f>
        <v/>
      </c>
      <c r="G77" s="34" t="str">
        <f ca="1">_xll.DBRW($B$9,$C$14,$C$15,G$20,F$19,$C$16,$C77,$B77,G$21)</f>
        <v/>
      </c>
      <c r="H77" s="34" t="str">
        <f ca="1">_xll.DBRW($B$9,$C$14,$C$15,H$20,H$19,$C$16,$C77,$B77,H$21)</f>
        <v/>
      </c>
      <c r="I77" s="34" t="str">
        <f ca="1">_xll.DBRW($B$9,$C$14,$C$15,I$20,H$19,$C$16,$C77,$B77,I$21)</f>
        <v/>
      </c>
      <c r="J77" s="34" t="str">
        <f ca="1">_xll.DBRW($B$9,$C$14,$C$15,J$20,J$19,$C$16,$C77,$B77,J$21)</f>
        <v/>
      </c>
      <c r="K77" s="34" t="str">
        <f ca="1">_xll.DBRW($B$9,$C$14,$C$15,K$20,J$19,$C$16,$C77,$B77,K$21)</f>
        <v/>
      </c>
      <c r="L77" s="34" t="str">
        <f ca="1">_xll.DBRW($B$9,$C$14,$C$15,L$20,L$19,$C$16,$C77,$B77,L$21)</f>
        <v/>
      </c>
      <c r="M77" s="34" t="str">
        <f ca="1">_xll.DBRW($B$9,$C$14,$C$15,M$20,L$19,$C$16,$C77,$B77,M$21)</f>
        <v/>
      </c>
      <c r="N77" s="34" t="str">
        <f ca="1">_xll.DBRW($B$9,$C$14,$C$15,N$20,N$19,$C$16,$C77,$B77,N$21)</f>
        <v/>
      </c>
      <c r="O77" s="34" t="str">
        <f ca="1">_xll.DBRW($B$9,$C$14,$C$15,O$20,N$19,$C$16,$C77,$B77,O$21)</f>
        <v/>
      </c>
      <c r="P77" s="34" t="str">
        <f ca="1">_xll.DBRW($B$9,$C$14,$C$15,P$20,$P$19,$C$16,$C77,$B77,P$21)</f>
        <v/>
      </c>
      <c r="Q77" s="34" t="str">
        <f ca="1">_xll.DBRW($B$9,$C$14,$C$15,Q$20,$P$19,$C$16,$C77,$B77,Q$21)</f>
        <v/>
      </c>
    </row>
    <row r="78" spans="1:17" x14ac:dyDescent="0.25">
      <c r="A78">
        <f ca="1">IF(_xll.TM1RPTELISCONSOLIDATED($C$22,$C78),IF(_xll.TM1RPTELLEV($C$22,$C78)&lt;=3,_xll.TM1RPTELLEV($C$22,$C78),"D"),"N")</f>
        <v>1</v>
      </c>
      <c r="B78" s="8" t="s">
        <v>59</v>
      </c>
      <c r="C78" s="39" t="s">
        <v>36</v>
      </c>
      <c r="D78" s="34" t="str">
        <f ca="1">_xll.DBRW($B$9,$C$14,$C$15,D$20,D$19,$C$16,$C78,$B78,D$21)</f>
        <v/>
      </c>
      <c r="E78" s="34" t="str">
        <f ca="1">_xll.DBRW($B$9,$C$14,$C$15,E$20,D$19,$C$16,$C78,$B78,E$21)</f>
        <v/>
      </c>
      <c r="F78" s="34" t="str">
        <f ca="1">_xll.DBRW($B$9,$C$14,$C$15,F$20,F$19,$C$16,$C78,$B78,F$21)</f>
        <v/>
      </c>
      <c r="G78" s="34" t="str">
        <f ca="1">_xll.DBRW($B$9,$C$14,$C$15,G$20,F$19,$C$16,$C78,$B78,G$21)</f>
        <v/>
      </c>
      <c r="H78" s="34" t="str">
        <f ca="1">_xll.DBRW($B$9,$C$14,$C$15,H$20,H$19,$C$16,$C78,$B78,H$21)</f>
        <v/>
      </c>
      <c r="I78" s="34" t="str">
        <f ca="1">_xll.DBRW($B$9,$C$14,$C$15,I$20,H$19,$C$16,$C78,$B78,I$21)</f>
        <v/>
      </c>
      <c r="J78" s="34" t="str">
        <f ca="1">_xll.DBRW($B$9,$C$14,$C$15,J$20,J$19,$C$16,$C78,$B78,J$21)</f>
        <v/>
      </c>
      <c r="K78" s="34" t="str">
        <f ca="1">_xll.DBRW($B$9,$C$14,$C$15,K$20,J$19,$C$16,$C78,$B78,K$21)</f>
        <v/>
      </c>
      <c r="L78" s="34" t="str">
        <f ca="1">_xll.DBRW($B$9,$C$14,$C$15,L$20,L$19,$C$16,$C78,$B78,L$21)</f>
        <v/>
      </c>
      <c r="M78" s="34" t="str">
        <f ca="1">_xll.DBRW($B$9,$C$14,$C$15,M$20,L$19,$C$16,$C78,$B78,M$21)</f>
        <v/>
      </c>
      <c r="N78" s="34" t="str">
        <f ca="1">_xll.DBRW($B$9,$C$14,$C$15,N$20,N$19,$C$16,$C78,$B78,N$21)</f>
        <v/>
      </c>
      <c r="O78" s="34" t="str">
        <f ca="1">_xll.DBRW($B$9,$C$14,$C$15,O$20,N$19,$C$16,$C78,$B78,O$21)</f>
        <v/>
      </c>
      <c r="P78" s="34" t="str">
        <f ca="1">_xll.DBRW($B$9,$C$14,$C$15,P$20,$P$19,$C$16,$C78,$B78,P$21)</f>
        <v/>
      </c>
      <c r="Q78" s="34" t="str">
        <f ca="1">_xll.DBRW($B$9,$C$14,$C$15,Q$20,$P$19,$C$16,$C78,$B78,Q$21)</f>
        <v/>
      </c>
    </row>
    <row r="79" spans="1:17" x14ac:dyDescent="0.25">
      <c r="A79">
        <f ca="1">IF(_xll.TM1RPTELISCONSOLIDATED($C$22,$C79),IF(_xll.TM1RPTELLEV($C$22,$C79)&lt;=3,_xll.TM1RPTELLEV($C$22,$C79),"D"),"N")</f>
        <v>1</v>
      </c>
      <c r="B79" s="8" t="s">
        <v>59</v>
      </c>
      <c r="C79" s="39" t="s">
        <v>37</v>
      </c>
      <c r="D79" s="34" t="str">
        <f ca="1">_xll.DBRW($B$9,$C$14,$C$15,D$20,D$19,$C$16,$C79,$B79,D$21)</f>
        <v/>
      </c>
      <c r="E79" s="34" t="str">
        <f ca="1">_xll.DBRW($B$9,$C$14,$C$15,E$20,D$19,$C$16,$C79,$B79,E$21)</f>
        <v/>
      </c>
      <c r="F79" s="34" t="str">
        <f ca="1">_xll.DBRW($B$9,$C$14,$C$15,F$20,F$19,$C$16,$C79,$B79,F$21)</f>
        <v/>
      </c>
      <c r="G79" s="34" t="str">
        <f ca="1">_xll.DBRW($B$9,$C$14,$C$15,G$20,F$19,$C$16,$C79,$B79,G$21)</f>
        <v/>
      </c>
      <c r="H79" s="34" t="str">
        <f ca="1">_xll.DBRW($B$9,$C$14,$C$15,H$20,H$19,$C$16,$C79,$B79,H$21)</f>
        <v/>
      </c>
      <c r="I79" s="34" t="str">
        <f ca="1">_xll.DBRW($B$9,$C$14,$C$15,I$20,H$19,$C$16,$C79,$B79,I$21)</f>
        <v/>
      </c>
      <c r="J79" s="34" t="str">
        <f ca="1">_xll.DBRW($B$9,$C$14,$C$15,J$20,J$19,$C$16,$C79,$B79,J$21)</f>
        <v/>
      </c>
      <c r="K79" s="34" t="str">
        <f ca="1">_xll.DBRW($B$9,$C$14,$C$15,K$20,J$19,$C$16,$C79,$B79,K$21)</f>
        <v/>
      </c>
      <c r="L79" s="34" t="str">
        <f ca="1">_xll.DBRW($B$9,$C$14,$C$15,L$20,L$19,$C$16,$C79,$B79,L$21)</f>
        <v/>
      </c>
      <c r="M79" s="34" t="str">
        <f ca="1">_xll.DBRW($B$9,$C$14,$C$15,M$20,L$19,$C$16,$C79,$B79,M$21)</f>
        <v/>
      </c>
      <c r="N79" s="34" t="str">
        <f ca="1">_xll.DBRW($B$9,$C$14,$C$15,N$20,N$19,$C$16,$C79,$B79,N$21)</f>
        <v/>
      </c>
      <c r="O79" s="34" t="str">
        <f ca="1">_xll.DBRW($B$9,$C$14,$C$15,O$20,N$19,$C$16,$C79,$B79,O$21)</f>
        <v/>
      </c>
      <c r="P79" s="34" t="str">
        <f ca="1">_xll.DBRW($B$9,$C$14,$C$15,P$20,$P$19,$C$16,$C79,$B79,P$21)</f>
        <v/>
      </c>
      <c r="Q79" s="34" t="str">
        <f ca="1">_xll.DBRW($B$9,$C$14,$C$15,Q$20,$P$19,$C$16,$C79,$B79,Q$21)</f>
        <v/>
      </c>
    </row>
    <row r="80" spans="1:17" x14ac:dyDescent="0.25">
      <c r="A80">
        <f ca="1">IF(_xll.TM1RPTELISCONSOLIDATED($C$22,$C80),IF(_xll.TM1RPTELLEV($C$22,$C80)&lt;=3,_xll.TM1RPTELLEV($C$22,$C80),"D"),"N")</f>
        <v>1</v>
      </c>
      <c r="B80" s="8" t="s">
        <v>59</v>
      </c>
      <c r="C80" s="39" t="s">
        <v>38</v>
      </c>
      <c r="D80" s="34" t="str">
        <f ca="1">_xll.DBRW($B$9,$C$14,$C$15,D$20,D$19,$C$16,$C80,$B80,D$21)</f>
        <v/>
      </c>
      <c r="E80" s="34" t="str">
        <f ca="1">_xll.DBRW($B$9,$C$14,$C$15,E$20,D$19,$C$16,$C80,$B80,E$21)</f>
        <v/>
      </c>
      <c r="F80" s="34" t="str">
        <f ca="1">_xll.DBRW($B$9,$C$14,$C$15,F$20,F$19,$C$16,$C80,$B80,F$21)</f>
        <v/>
      </c>
      <c r="G80" s="34" t="str">
        <f ca="1">_xll.DBRW($B$9,$C$14,$C$15,G$20,F$19,$C$16,$C80,$B80,G$21)</f>
        <v/>
      </c>
      <c r="H80" s="34" t="str">
        <f ca="1">_xll.DBRW($B$9,$C$14,$C$15,H$20,H$19,$C$16,$C80,$B80,H$21)</f>
        <v/>
      </c>
      <c r="I80" s="34" t="str">
        <f ca="1">_xll.DBRW($B$9,$C$14,$C$15,I$20,H$19,$C$16,$C80,$B80,I$21)</f>
        <v/>
      </c>
      <c r="J80" s="34" t="str">
        <f ca="1">_xll.DBRW($B$9,$C$14,$C$15,J$20,J$19,$C$16,$C80,$B80,J$21)</f>
        <v/>
      </c>
      <c r="K80" s="34" t="str">
        <f ca="1">_xll.DBRW($B$9,$C$14,$C$15,K$20,J$19,$C$16,$C80,$B80,K$21)</f>
        <v/>
      </c>
      <c r="L80" s="34" t="str">
        <f ca="1">_xll.DBRW($B$9,$C$14,$C$15,L$20,L$19,$C$16,$C80,$B80,L$21)</f>
        <v/>
      </c>
      <c r="M80" s="34" t="str">
        <f ca="1">_xll.DBRW($B$9,$C$14,$C$15,M$20,L$19,$C$16,$C80,$B80,M$21)</f>
        <v/>
      </c>
      <c r="N80" s="34" t="str">
        <f ca="1">_xll.DBRW($B$9,$C$14,$C$15,N$20,N$19,$C$16,$C80,$B80,N$21)</f>
        <v/>
      </c>
      <c r="O80" s="34" t="str">
        <f ca="1">_xll.DBRW($B$9,$C$14,$C$15,O$20,N$19,$C$16,$C80,$B80,O$21)</f>
        <v/>
      </c>
      <c r="P80" s="34" t="str">
        <f ca="1">_xll.DBRW($B$9,$C$14,$C$15,P$20,$P$19,$C$16,$C80,$B80,P$21)</f>
        <v/>
      </c>
      <c r="Q80" s="34" t="str">
        <f ca="1">_xll.DBRW($B$9,$C$14,$C$15,Q$20,$P$19,$C$16,$C80,$B80,Q$21)</f>
        <v/>
      </c>
    </row>
    <row r="81" spans="1:17" x14ac:dyDescent="0.25">
      <c r="A81">
        <f ca="1">IF(_xll.TM1RPTELISCONSOLIDATED($C$22,$C81),IF(_xll.TM1RPTELLEV($C$22,$C81)&lt;=3,_xll.TM1RPTELLEV($C$22,$C81),"D"),"N")</f>
        <v>1</v>
      </c>
      <c r="B81" s="8" t="s">
        <v>59</v>
      </c>
      <c r="C81" s="39" t="s">
        <v>39</v>
      </c>
      <c r="D81" s="34" t="str">
        <f ca="1">_xll.DBRW($B$9,$C$14,$C$15,D$20,D$19,$C$16,$C81,$B81,D$21)</f>
        <v/>
      </c>
      <c r="E81" s="34" t="str">
        <f ca="1">_xll.DBRW($B$9,$C$14,$C$15,E$20,D$19,$C$16,$C81,$B81,E$21)</f>
        <v/>
      </c>
      <c r="F81" s="34" t="str">
        <f ca="1">_xll.DBRW($B$9,$C$14,$C$15,F$20,F$19,$C$16,$C81,$B81,F$21)</f>
        <v/>
      </c>
      <c r="G81" s="34" t="str">
        <f ca="1">_xll.DBRW($B$9,$C$14,$C$15,G$20,F$19,$C$16,$C81,$B81,G$21)</f>
        <v/>
      </c>
      <c r="H81" s="34" t="str">
        <f ca="1">_xll.DBRW($B$9,$C$14,$C$15,H$20,H$19,$C$16,$C81,$B81,H$21)</f>
        <v/>
      </c>
      <c r="I81" s="34" t="str">
        <f ca="1">_xll.DBRW($B$9,$C$14,$C$15,I$20,H$19,$C$16,$C81,$B81,I$21)</f>
        <v/>
      </c>
      <c r="J81" s="34" t="str">
        <f ca="1">_xll.DBRW($B$9,$C$14,$C$15,J$20,J$19,$C$16,$C81,$B81,J$21)</f>
        <v/>
      </c>
      <c r="K81" s="34" t="str">
        <f ca="1">_xll.DBRW($B$9,$C$14,$C$15,K$20,J$19,$C$16,$C81,$B81,K$21)</f>
        <v/>
      </c>
      <c r="L81" s="34" t="str">
        <f ca="1">_xll.DBRW($B$9,$C$14,$C$15,L$20,L$19,$C$16,$C81,$B81,L$21)</f>
        <v/>
      </c>
      <c r="M81" s="34" t="str">
        <f ca="1">_xll.DBRW($B$9,$C$14,$C$15,M$20,L$19,$C$16,$C81,$B81,M$21)</f>
        <v/>
      </c>
      <c r="N81" s="34" t="str">
        <f ca="1">_xll.DBRW($B$9,$C$14,$C$15,N$20,N$19,$C$16,$C81,$B81,N$21)</f>
        <v/>
      </c>
      <c r="O81" s="34" t="str">
        <f ca="1">_xll.DBRW($B$9,$C$14,$C$15,O$20,N$19,$C$16,$C81,$B81,O$21)</f>
        <v/>
      </c>
      <c r="P81" s="34" t="str">
        <f ca="1">_xll.DBRW($B$9,$C$14,$C$15,P$20,$P$19,$C$16,$C81,$B81,P$21)</f>
        <v/>
      </c>
      <c r="Q81" s="34" t="str">
        <f ca="1">_xll.DBRW($B$9,$C$14,$C$15,Q$20,$P$19,$C$16,$C81,$B81,Q$21)</f>
        <v/>
      </c>
    </row>
    <row r="82" spans="1:17" x14ac:dyDescent="0.25">
      <c r="A82">
        <f ca="1">IF(_xll.TM1RPTELISCONSOLIDATED($C$22,$C82),IF(_xll.TM1RPTELLEV($C$22,$C82)&lt;=3,_xll.TM1RPTELLEV($C$22,$C82),"D"),"N")</f>
        <v>1</v>
      </c>
      <c r="B82" s="8" t="s">
        <v>59</v>
      </c>
      <c r="C82" s="39" t="s">
        <v>40</v>
      </c>
      <c r="D82" s="34" t="str">
        <f ca="1">_xll.DBRW($B$9,$C$14,$C$15,D$20,D$19,$C$16,$C82,$B82,D$21)</f>
        <v/>
      </c>
      <c r="E82" s="34" t="str">
        <f ca="1">_xll.DBRW($B$9,$C$14,$C$15,E$20,D$19,$C$16,$C82,$B82,E$21)</f>
        <v/>
      </c>
      <c r="F82" s="34" t="str">
        <f ca="1">_xll.DBRW($B$9,$C$14,$C$15,F$20,F$19,$C$16,$C82,$B82,F$21)</f>
        <v/>
      </c>
      <c r="G82" s="34" t="str">
        <f ca="1">_xll.DBRW($B$9,$C$14,$C$15,G$20,F$19,$C$16,$C82,$B82,G$21)</f>
        <v/>
      </c>
      <c r="H82" s="34" t="str">
        <f ca="1">_xll.DBRW($B$9,$C$14,$C$15,H$20,H$19,$C$16,$C82,$B82,H$21)</f>
        <v/>
      </c>
      <c r="I82" s="34" t="str">
        <f ca="1">_xll.DBRW($B$9,$C$14,$C$15,I$20,H$19,$C$16,$C82,$B82,I$21)</f>
        <v/>
      </c>
      <c r="J82" s="34" t="str">
        <f ca="1">_xll.DBRW($B$9,$C$14,$C$15,J$20,J$19,$C$16,$C82,$B82,J$21)</f>
        <v/>
      </c>
      <c r="K82" s="34" t="str">
        <f ca="1">_xll.DBRW($B$9,$C$14,$C$15,K$20,J$19,$C$16,$C82,$B82,K$21)</f>
        <v/>
      </c>
      <c r="L82" s="34" t="str">
        <f ca="1">_xll.DBRW($B$9,$C$14,$C$15,L$20,L$19,$C$16,$C82,$B82,L$21)</f>
        <v/>
      </c>
      <c r="M82" s="34" t="str">
        <f ca="1">_xll.DBRW($B$9,$C$14,$C$15,M$20,L$19,$C$16,$C82,$B82,M$21)</f>
        <v/>
      </c>
      <c r="N82" s="34" t="str">
        <f ca="1">_xll.DBRW($B$9,$C$14,$C$15,N$20,N$19,$C$16,$C82,$B82,N$21)</f>
        <v/>
      </c>
      <c r="O82" s="34" t="str">
        <f ca="1">_xll.DBRW($B$9,$C$14,$C$15,O$20,N$19,$C$16,$C82,$B82,O$21)</f>
        <v/>
      </c>
      <c r="P82" s="34" t="str">
        <f ca="1">_xll.DBRW($B$9,$C$14,$C$15,P$20,$P$19,$C$16,$C82,$B82,P$21)</f>
        <v/>
      </c>
      <c r="Q82" s="34" t="str">
        <f ca="1">_xll.DBRW($B$9,$C$14,$C$15,Q$20,$P$19,$C$16,$C82,$B82,Q$21)</f>
        <v/>
      </c>
    </row>
    <row r="83" spans="1:17" x14ac:dyDescent="0.25">
      <c r="A83">
        <f ca="1">IF(_xll.TM1RPTELISCONSOLIDATED($C$22,$C83),IF(_xll.TM1RPTELLEV($C$22,$C83)&lt;=3,_xll.TM1RPTELLEV($C$22,$C83),"D"),"N")</f>
        <v>1</v>
      </c>
      <c r="B83" s="8" t="s">
        <v>59</v>
      </c>
      <c r="C83" s="39" t="s">
        <v>41</v>
      </c>
      <c r="D83" s="34" t="str">
        <f ca="1">_xll.DBRW($B$9,$C$14,$C$15,D$20,D$19,$C$16,$C83,$B83,D$21)</f>
        <v/>
      </c>
      <c r="E83" s="34" t="str">
        <f ca="1">_xll.DBRW($B$9,$C$14,$C$15,E$20,D$19,$C$16,$C83,$B83,E$21)</f>
        <v/>
      </c>
      <c r="F83" s="34" t="str">
        <f ca="1">_xll.DBRW($B$9,$C$14,$C$15,F$20,F$19,$C$16,$C83,$B83,F$21)</f>
        <v/>
      </c>
      <c r="G83" s="34" t="str">
        <f ca="1">_xll.DBRW($B$9,$C$14,$C$15,G$20,F$19,$C$16,$C83,$B83,G$21)</f>
        <v/>
      </c>
      <c r="H83" s="34" t="str">
        <f ca="1">_xll.DBRW($B$9,$C$14,$C$15,H$20,H$19,$C$16,$C83,$B83,H$21)</f>
        <v/>
      </c>
      <c r="I83" s="34" t="str">
        <f ca="1">_xll.DBRW($B$9,$C$14,$C$15,I$20,H$19,$C$16,$C83,$B83,I$21)</f>
        <v/>
      </c>
      <c r="J83" s="34" t="str">
        <f ca="1">_xll.DBRW($B$9,$C$14,$C$15,J$20,J$19,$C$16,$C83,$B83,J$21)</f>
        <v/>
      </c>
      <c r="K83" s="34" t="str">
        <f ca="1">_xll.DBRW($B$9,$C$14,$C$15,K$20,J$19,$C$16,$C83,$B83,K$21)</f>
        <v/>
      </c>
      <c r="L83" s="34" t="str">
        <f ca="1">_xll.DBRW($B$9,$C$14,$C$15,L$20,L$19,$C$16,$C83,$B83,L$21)</f>
        <v/>
      </c>
      <c r="M83" s="34" t="str">
        <f ca="1">_xll.DBRW($B$9,$C$14,$C$15,M$20,L$19,$C$16,$C83,$B83,M$21)</f>
        <v/>
      </c>
      <c r="N83" s="34" t="str">
        <f ca="1">_xll.DBRW($B$9,$C$14,$C$15,N$20,N$19,$C$16,$C83,$B83,N$21)</f>
        <v/>
      </c>
      <c r="O83" s="34" t="str">
        <f ca="1">_xll.DBRW($B$9,$C$14,$C$15,O$20,N$19,$C$16,$C83,$B83,O$21)</f>
        <v/>
      </c>
      <c r="P83" s="34" t="str">
        <f ca="1">_xll.DBRW($B$9,$C$14,$C$15,P$20,$P$19,$C$16,$C83,$B83,P$21)</f>
        <v/>
      </c>
      <c r="Q83" s="34" t="str">
        <f ca="1">_xll.DBRW($B$9,$C$14,$C$15,Q$20,$P$19,$C$16,$C83,$B83,Q$21)</f>
        <v/>
      </c>
    </row>
    <row r="84" spans="1:17" x14ac:dyDescent="0.25">
      <c r="A84">
        <f ca="1">IF(_xll.TM1RPTELISCONSOLIDATED($C$22,$C84),IF(_xll.TM1RPTELLEV($C$22,$C84)&lt;=3,_xll.TM1RPTELLEV($C$22,$C84),"D"),"N")</f>
        <v>1</v>
      </c>
      <c r="B84" s="8" t="s">
        <v>59</v>
      </c>
      <c r="C84" s="39" t="s">
        <v>42</v>
      </c>
      <c r="D84" s="34" t="str">
        <f ca="1">_xll.DBRW($B$9,$C$14,$C$15,D$20,D$19,$C$16,$C84,$B84,D$21)</f>
        <v/>
      </c>
      <c r="E84" s="34" t="str">
        <f ca="1">_xll.DBRW($B$9,$C$14,$C$15,E$20,D$19,$C$16,$C84,$B84,E$21)</f>
        <v/>
      </c>
      <c r="F84" s="34" t="str">
        <f ca="1">_xll.DBRW($B$9,$C$14,$C$15,F$20,F$19,$C$16,$C84,$B84,F$21)</f>
        <v/>
      </c>
      <c r="G84" s="34" t="str">
        <f ca="1">_xll.DBRW($B$9,$C$14,$C$15,G$20,F$19,$C$16,$C84,$B84,G$21)</f>
        <v/>
      </c>
      <c r="H84" s="34" t="str">
        <f ca="1">_xll.DBRW($B$9,$C$14,$C$15,H$20,H$19,$C$16,$C84,$B84,H$21)</f>
        <v/>
      </c>
      <c r="I84" s="34" t="str">
        <f ca="1">_xll.DBRW($B$9,$C$14,$C$15,I$20,H$19,$C$16,$C84,$B84,I$21)</f>
        <v/>
      </c>
      <c r="J84" s="34" t="str">
        <f ca="1">_xll.DBRW($B$9,$C$14,$C$15,J$20,J$19,$C$16,$C84,$B84,J$21)</f>
        <v/>
      </c>
      <c r="K84" s="34" t="str">
        <f ca="1">_xll.DBRW($B$9,$C$14,$C$15,K$20,J$19,$C$16,$C84,$B84,K$21)</f>
        <v/>
      </c>
      <c r="L84" s="34" t="str">
        <f ca="1">_xll.DBRW($B$9,$C$14,$C$15,L$20,L$19,$C$16,$C84,$B84,L$21)</f>
        <v/>
      </c>
      <c r="M84" s="34" t="str">
        <f ca="1">_xll.DBRW($B$9,$C$14,$C$15,M$20,L$19,$C$16,$C84,$B84,M$21)</f>
        <v/>
      </c>
      <c r="N84" s="34" t="str">
        <f ca="1">_xll.DBRW($B$9,$C$14,$C$15,N$20,N$19,$C$16,$C84,$B84,N$21)</f>
        <v/>
      </c>
      <c r="O84" s="34" t="str">
        <f ca="1">_xll.DBRW($B$9,$C$14,$C$15,O$20,N$19,$C$16,$C84,$B84,O$21)</f>
        <v/>
      </c>
      <c r="P84" s="34" t="str">
        <f ca="1">_xll.DBRW($B$9,$C$14,$C$15,P$20,$P$19,$C$16,$C84,$B84,P$21)</f>
        <v/>
      </c>
      <c r="Q84" s="34" t="str">
        <f ca="1">_xll.DBRW($B$9,$C$14,$C$15,Q$20,$P$19,$C$16,$C84,$B84,Q$21)</f>
        <v/>
      </c>
    </row>
    <row r="85" spans="1:17" x14ac:dyDescent="0.25">
      <c r="A85">
        <f ca="1">IF(_xll.TM1RPTELISCONSOLIDATED($C$22,$C85),IF(_xll.TM1RPTELLEV($C$22,$C85)&lt;=3,_xll.TM1RPTELLEV($C$22,$C85),"D"),"N")</f>
        <v>0</v>
      </c>
      <c r="B85" s="5" t="s">
        <v>60</v>
      </c>
      <c r="C85" s="38" t="s">
        <v>35</v>
      </c>
      <c r="D85" s="33" t="str">
        <f ca="1">_xll.DBRW($B$9,$C$14,$C$15,D$20,D$19,$C$16,$C85,$B85,D$21)</f>
        <v/>
      </c>
      <c r="E85" s="33" t="str">
        <f ca="1">_xll.DBRW($B$9,$C$14,$C$15,E$20,D$19,$C$16,$C85,$B85,E$21)</f>
        <v/>
      </c>
      <c r="F85" s="33" t="str">
        <f ca="1">_xll.DBRW($B$9,$C$14,$C$15,F$20,F$19,$C$16,$C85,$B85,F$21)</f>
        <v/>
      </c>
      <c r="G85" s="33" t="str">
        <f ca="1">_xll.DBRW($B$9,$C$14,$C$15,G$20,F$19,$C$16,$C85,$B85,G$21)</f>
        <v/>
      </c>
      <c r="H85" s="33" t="str">
        <f ca="1">_xll.DBRW($B$9,$C$14,$C$15,H$20,H$19,$C$16,$C85,$B85,H$21)</f>
        <v/>
      </c>
      <c r="I85" s="33" t="str">
        <f ca="1">_xll.DBRW($B$9,$C$14,$C$15,I$20,H$19,$C$16,$C85,$B85,I$21)</f>
        <v/>
      </c>
      <c r="J85" s="33" t="str">
        <f ca="1">_xll.DBRW($B$9,$C$14,$C$15,J$20,J$19,$C$16,$C85,$B85,J$21)</f>
        <v/>
      </c>
      <c r="K85" s="33" t="str">
        <f ca="1">_xll.DBRW($B$9,$C$14,$C$15,K$20,J$19,$C$16,$C85,$B85,K$21)</f>
        <v/>
      </c>
      <c r="L85" s="33" t="str">
        <f ca="1">_xll.DBRW($B$9,$C$14,$C$15,L$20,L$19,$C$16,$C85,$B85,L$21)</f>
        <v/>
      </c>
      <c r="M85" s="33" t="str">
        <f ca="1">_xll.DBRW($B$9,$C$14,$C$15,M$20,L$19,$C$16,$C85,$B85,M$21)</f>
        <v/>
      </c>
      <c r="N85" s="33" t="str">
        <f ca="1">_xll.DBRW($B$9,$C$14,$C$15,N$20,N$19,$C$16,$C85,$B85,N$21)</f>
        <v/>
      </c>
      <c r="O85" s="33" t="str">
        <f ca="1">_xll.DBRW($B$9,$C$14,$C$15,O$20,N$19,$C$16,$C85,$B85,O$21)</f>
        <v/>
      </c>
      <c r="P85" s="33" t="str">
        <f ca="1">_xll.DBRW($B$9,$C$14,$C$15,P$20,$P$19,$C$16,$C85,$B85,P$21)</f>
        <v/>
      </c>
      <c r="Q85" s="33" t="str">
        <f ca="1">_xll.DBRW($B$9,$C$14,$C$15,Q$20,$P$19,$C$16,$C85,$B85,Q$21)</f>
        <v/>
      </c>
    </row>
    <row r="86" spans="1:17" x14ac:dyDescent="0.25">
      <c r="A86">
        <f ca="1">IF(_xll.TM1RPTELISCONSOLIDATED($C$22,$C86),IF(_xll.TM1RPTELLEV($C$22,$C86)&lt;=3,_xll.TM1RPTELLEV($C$22,$C86),"D"),"N")</f>
        <v>1</v>
      </c>
      <c r="B86" s="8" t="s">
        <v>60</v>
      </c>
      <c r="C86" s="39" t="s">
        <v>43</v>
      </c>
      <c r="D86" s="34" t="str">
        <f ca="1">_xll.DBRW($B$9,$C$14,$C$15,D$20,D$19,$C$16,$C86,$B86,D$21)</f>
        <v/>
      </c>
      <c r="E86" s="34" t="str">
        <f ca="1">_xll.DBRW($B$9,$C$14,$C$15,E$20,D$19,$C$16,$C86,$B86,E$21)</f>
        <v/>
      </c>
      <c r="F86" s="34" t="str">
        <f ca="1">_xll.DBRW($B$9,$C$14,$C$15,F$20,F$19,$C$16,$C86,$B86,F$21)</f>
        <v/>
      </c>
      <c r="G86" s="34" t="str">
        <f ca="1">_xll.DBRW($B$9,$C$14,$C$15,G$20,F$19,$C$16,$C86,$B86,G$21)</f>
        <v/>
      </c>
      <c r="H86" s="34" t="str">
        <f ca="1">_xll.DBRW($B$9,$C$14,$C$15,H$20,H$19,$C$16,$C86,$B86,H$21)</f>
        <v/>
      </c>
      <c r="I86" s="34" t="str">
        <f ca="1">_xll.DBRW($B$9,$C$14,$C$15,I$20,H$19,$C$16,$C86,$B86,I$21)</f>
        <v/>
      </c>
      <c r="J86" s="34" t="str">
        <f ca="1">_xll.DBRW($B$9,$C$14,$C$15,J$20,J$19,$C$16,$C86,$B86,J$21)</f>
        <v/>
      </c>
      <c r="K86" s="34" t="str">
        <f ca="1">_xll.DBRW($B$9,$C$14,$C$15,K$20,J$19,$C$16,$C86,$B86,K$21)</f>
        <v/>
      </c>
      <c r="L86" s="34" t="str">
        <f ca="1">_xll.DBRW($B$9,$C$14,$C$15,L$20,L$19,$C$16,$C86,$B86,L$21)</f>
        <v/>
      </c>
      <c r="M86" s="34" t="str">
        <f ca="1">_xll.DBRW($B$9,$C$14,$C$15,M$20,L$19,$C$16,$C86,$B86,M$21)</f>
        <v/>
      </c>
      <c r="N86" s="34" t="str">
        <f ca="1">_xll.DBRW($B$9,$C$14,$C$15,N$20,N$19,$C$16,$C86,$B86,N$21)</f>
        <v/>
      </c>
      <c r="O86" s="34" t="str">
        <f ca="1">_xll.DBRW($B$9,$C$14,$C$15,O$20,N$19,$C$16,$C86,$B86,O$21)</f>
        <v/>
      </c>
      <c r="P86" s="34" t="str">
        <f ca="1">_xll.DBRW($B$9,$C$14,$C$15,P$20,$P$19,$C$16,$C86,$B86,P$21)</f>
        <v/>
      </c>
      <c r="Q86" s="34" t="str">
        <f ca="1">_xll.DBRW($B$9,$C$14,$C$15,Q$20,$P$19,$C$16,$C86,$B86,Q$21)</f>
        <v/>
      </c>
    </row>
    <row r="87" spans="1:17" x14ac:dyDescent="0.25">
      <c r="A87">
        <f ca="1">IF(_xll.TM1RPTELISCONSOLIDATED($C$22,$C87),IF(_xll.TM1RPTELLEV($C$22,$C87)&lt;=3,_xll.TM1RPTELLEV($C$22,$C87),"D"),"N")</f>
        <v>1</v>
      </c>
      <c r="B87" s="8" t="s">
        <v>60</v>
      </c>
      <c r="C87" s="39" t="s">
        <v>36</v>
      </c>
      <c r="D87" s="34" t="str">
        <f ca="1">_xll.DBRW($B$9,$C$14,$C$15,D$20,D$19,$C$16,$C87,$B87,D$21)</f>
        <v/>
      </c>
      <c r="E87" s="34" t="str">
        <f ca="1">_xll.DBRW($B$9,$C$14,$C$15,E$20,D$19,$C$16,$C87,$B87,E$21)</f>
        <v/>
      </c>
      <c r="F87" s="34" t="str">
        <f ca="1">_xll.DBRW($B$9,$C$14,$C$15,F$20,F$19,$C$16,$C87,$B87,F$21)</f>
        <v/>
      </c>
      <c r="G87" s="34" t="str">
        <f ca="1">_xll.DBRW($B$9,$C$14,$C$15,G$20,F$19,$C$16,$C87,$B87,G$21)</f>
        <v/>
      </c>
      <c r="H87" s="34" t="str">
        <f ca="1">_xll.DBRW($B$9,$C$14,$C$15,H$20,H$19,$C$16,$C87,$B87,H$21)</f>
        <v/>
      </c>
      <c r="I87" s="34" t="str">
        <f ca="1">_xll.DBRW($B$9,$C$14,$C$15,I$20,H$19,$C$16,$C87,$B87,I$21)</f>
        <v/>
      </c>
      <c r="J87" s="34" t="str">
        <f ca="1">_xll.DBRW($B$9,$C$14,$C$15,J$20,J$19,$C$16,$C87,$B87,J$21)</f>
        <v/>
      </c>
      <c r="K87" s="34" t="str">
        <f ca="1">_xll.DBRW($B$9,$C$14,$C$15,K$20,J$19,$C$16,$C87,$B87,K$21)</f>
        <v/>
      </c>
      <c r="L87" s="34" t="str">
        <f ca="1">_xll.DBRW($B$9,$C$14,$C$15,L$20,L$19,$C$16,$C87,$B87,L$21)</f>
        <v/>
      </c>
      <c r="M87" s="34" t="str">
        <f ca="1">_xll.DBRW($B$9,$C$14,$C$15,M$20,L$19,$C$16,$C87,$B87,M$21)</f>
        <v/>
      </c>
      <c r="N87" s="34" t="str">
        <f ca="1">_xll.DBRW($B$9,$C$14,$C$15,N$20,N$19,$C$16,$C87,$B87,N$21)</f>
        <v/>
      </c>
      <c r="O87" s="34" t="str">
        <f ca="1">_xll.DBRW($B$9,$C$14,$C$15,O$20,N$19,$C$16,$C87,$B87,O$21)</f>
        <v/>
      </c>
      <c r="P87" s="34" t="str">
        <f ca="1">_xll.DBRW($B$9,$C$14,$C$15,P$20,$P$19,$C$16,$C87,$B87,P$21)</f>
        <v/>
      </c>
      <c r="Q87" s="34" t="str">
        <f ca="1">_xll.DBRW($B$9,$C$14,$C$15,Q$20,$P$19,$C$16,$C87,$B87,Q$21)</f>
        <v/>
      </c>
    </row>
    <row r="88" spans="1:17" x14ac:dyDescent="0.25">
      <c r="A88">
        <f ca="1">IF(_xll.TM1RPTELISCONSOLIDATED($C$22,$C88),IF(_xll.TM1RPTELLEV($C$22,$C88)&lt;=3,_xll.TM1RPTELLEV($C$22,$C88),"D"),"N")</f>
        <v>1</v>
      </c>
      <c r="B88" s="8" t="s">
        <v>60</v>
      </c>
      <c r="C88" s="39" t="s">
        <v>37</v>
      </c>
      <c r="D88" s="34" t="str">
        <f ca="1">_xll.DBRW($B$9,$C$14,$C$15,D$20,D$19,$C$16,$C88,$B88,D$21)</f>
        <v/>
      </c>
      <c r="E88" s="34" t="str">
        <f ca="1">_xll.DBRW($B$9,$C$14,$C$15,E$20,D$19,$C$16,$C88,$B88,E$21)</f>
        <v/>
      </c>
      <c r="F88" s="34" t="str">
        <f ca="1">_xll.DBRW($B$9,$C$14,$C$15,F$20,F$19,$C$16,$C88,$B88,F$21)</f>
        <v/>
      </c>
      <c r="G88" s="34" t="str">
        <f ca="1">_xll.DBRW($B$9,$C$14,$C$15,G$20,F$19,$C$16,$C88,$B88,G$21)</f>
        <v/>
      </c>
      <c r="H88" s="34" t="str">
        <f ca="1">_xll.DBRW($B$9,$C$14,$C$15,H$20,H$19,$C$16,$C88,$B88,H$21)</f>
        <v/>
      </c>
      <c r="I88" s="34" t="str">
        <f ca="1">_xll.DBRW($B$9,$C$14,$C$15,I$20,H$19,$C$16,$C88,$B88,I$21)</f>
        <v/>
      </c>
      <c r="J88" s="34" t="str">
        <f ca="1">_xll.DBRW($B$9,$C$14,$C$15,J$20,J$19,$C$16,$C88,$B88,J$21)</f>
        <v/>
      </c>
      <c r="K88" s="34" t="str">
        <f ca="1">_xll.DBRW($B$9,$C$14,$C$15,K$20,J$19,$C$16,$C88,$B88,K$21)</f>
        <v/>
      </c>
      <c r="L88" s="34" t="str">
        <f ca="1">_xll.DBRW($B$9,$C$14,$C$15,L$20,L$19,$C$16,$C88,$B88,L$21)</f>
        <v/>
      </c>
      <c r="M88" s="34" t="str">
        <f ca="1">_xll.DBRW($B$9,$C$14,$C$15,M$20,L$19,$C$16,$C88,$B88,M$21)</f>
        <v/>
      </c>
      <c r="N88" s="34" t="str">
        <f ca="1">_xll.DBRW($B$9,$C$14,$C$15,N$20,N$19,$C$16,$C88,$B88,N$21)</f>
        <v/>
      </c>
      <c r="O88" s="34" t="str">
        <f ca="1">_xll.DBRW($B$9,$C$14,$C$15,O$20,N$19,$C$16,$C88,$B88,O$21)</f>
        <v/>
      </c>
      <c r="P88" s="34" t="str">
        <f ca="1">_xll.DBRW($B$9,$C$14,$C$15,P$20,$P$19,$C$16,$C88,$B88,P$21)</f>
        <v/>
      </c>
      <c r="Q88" s="34" t="str">
        <f ca="1">_xll.DBRW($B$9,$C$14,$C$15,Q$20,$P$19,$C$16,$C88,$B88,Q$21)</f>
        <v/>
      </c>
    </row>
    <row r="89" spans="1:17" x14ac:dyDescent="0.25">
      <c r="A89">
        <f ca="1">IF(_xll.TM1RPTELISCONSOLIDATED($C$22,$C89),IF(_xll.TM1RPTELLEV($C$22,$C89)&lt;=3,_xll.TM1RPTELLEV($C$22,$C89),"D"),"N")</f>
        <v>1</v>
      </c>
      <c r="B89" s="8" t="s">
        <v>60</v>
      </c>
      <c r="C89" s="39" t="s">
        <v>38</v>
      </c>
      <c r="D89" s="34" t="str">
        <f ca="1">_xll.DBRW($B$9,$C$14,$C$15,D$20,D$19,$C$16,$C89,$B89,D$21)</f>
        <v/>
      </c>
      <c r="E89" s="34" t="str">
        <f ca="1">_xll.DBRW($B$9,$C$14,$C$15,E$20,D$19,$C$16,$C89,$B89,E$21)</f>
        <v/>
      </c>
      <c r="F89" s="34" t="str">
        <f ca="1">_xll.DBRW($B$9,$C$14,$C$15,F$20,F$19,$C$16,$C89,$B89,F$21)</f>
        <v/>
      </c>
      <c r="G89" s="34" t="str">
        <f ca="1">_xll.DBRW($B$9,$C$14,$C$15,G$20,F$19,$C$16,$C89,$B89,G$21)</f>
        <v/>
      </c>
      <c r="H89" s="34" t="str">
        <f ca="1">_xll.DBRW($B$9,$C$14,$C$15,H$20,H$19,$C$16,$C89,$B89,H$21)</f>
        <v/>
      </c>
      <c r="I89" s="34" t="str">
        <f ca="1">_xll.DBRW($B$9,$C$14,$C$15,I$20,H$19,$C$16,$C89,$B89,I$21)</f>
        <v/>
      </c>
      <c r="J89" s="34" t="str">
        <f ca="1">_xll.DBRW($B$9,$C$14,$C$15,J$20,J$19,$C$16,$C89,$B89,J$21)</f>
        <v/>
      </c>
      <c r="K89" s="34" t="str">
        <f ca="1">_xll.DBRW($B$9,$C$14,$C$15,K$20,J$19,$C$16,$C89,$B89,K$21)</f>
        <v/>
      </c>
      <c r="L89" s="34" t="str">
        <f ca="1">_xll.DBRW($B$9,$C$14,$C$15,L$20,L$19,$C$16,$C89,$B89,L$21)</f>
        <v/>
      </c>
      <c r="M89" s="34" t="str">
        <f ca="1">_xll.DBRW($B$9,$C$14,$C$15,M$20,L$19,$C$16,$C89,$B89,M$21)</f>
        <v/>
      </c>
      <c r="N89" s="34" t="str">
        <f ca="1">_xll.DBRW($B$9,$C$14,$C$15,N$20,N$19,$C$16,$C89,$B89,N$21)</f>
        <v/>
      </c>
      <c r="O89" s="34" t="str">
        <f ca="1">_xll.DBRW($B$9,$C$14,$C$15,O$20,N$19,$C$16,$C89,$B89,O$21)</f>
        <v/>
      </c>
      <c r="P89" s="34" t="str">
        <f ca="1">_xll.DBRW($B$9,$C$14,$C$15,P$20,$P$19,$C$16,$C89,$B89,P$21)</f>
        <v/>
      </c>
      <c r="Q89" s="34" t="str">
        <f ca="1">_xll.DBRW($B$9,$C$14,$C$15,Q$20,$P$19,$C$16,$C89,$B89,Q$21)</f>
        <v/>
      </c>
    </row>
    <row r="90" spans="1:17" x14ac:dyDescent="0.25">
      <c r="A90">
        <f ca="1">IF(_xll.TM1RPTELISCONSOLIDATED($C$22,$C90),IF(_xll.TM1RPTELLEV($C$22,$C90)&lt;=3,_xll.TM1RPTELLEV($C$22,$C90),"D"),"N")</f>
        <v>1</v>
      </c>
      <c r="B90" s="8" t="s">
        <v>60</v>
      </c>
      <c r="C90" s="39" t="s">
        <v>39</v>
      </c>
      <c r="D90" s="34" t="str">
        <f ca="1">_xll.DBRW($B$9,$C$14,$C$15,D$20,D$19,$C$16,$C90,$B90,D$21)</f>
        <v/>
      </c>
      <c r="E90" s="34" t="str">
        <f ca="1">_xll.DBRW($B$9,$C$14,$C$15,E$20,D$19,$C$16,$C90,$B90,E$21)</f>
        <v/>
      </c>
      <c r="F90" s="34" t="str">
        <f ca="1">_xll.DBRW($B$9,$C$14,$C$15,F$20,F$19,$C$16,$C90,$B90,F$21)</f>
        <v/>
      </c>
      <c r="G90" s="34" t="str">
        <f ca="1">_xll.DBRW($B$9,$C$14,$C$15,G$20,F$19,$C$16,$C90,$B90,G$21)</f>
        <v/>
      </c>
      <c r="H90" s="34" t="str">
        <f ca="1">_xll.DBRW($B$9,$C$14,$C$15,H$20,H$19,$C$16,$C90,$B90,H$21)</f>
        <v/>
      </c>
      <c r="I90" s="34" t="str">
        <f ca="1">_xll.DBRW($B$9,$C$14,$C$15,I$20,H$19,$C$16,$C90,$B90,I$21)</f>
        <v/>
      </c>
      <c r="J90" s="34" t="str">
        <f ca="1">_xll.DBRW($B$9,$C$14,$C$15,J$20,J$19,$C$16,$C90,$B90,J$21)</f>
        <v/>
      </c>
      <c r="K90" s="34" t="str">
        <f ca="1">_xll.DBRW($B$9,$C$14,$C$15,K$20,J$19,$C$16,$C90,$B90,K$21)</f>
        <v/>
      </c>
      <c r="L90" s="34" t="str">
        <f ca="1">_xll.DBRW($B$9,$C$14,$C$15,L$20,L$19,$C$16,$C90,$B90,L$21)</f>
        <v/>
      </c>
      <c r="M90" s="34" t="str">
        <f ca="1">_xll.DBRW($B$9,$C$14,$C$15,M$20,L$19,$C$16,$C90,$B90,M$21)</f>
        <v/>
      </c>
      <c r="N90" s="34" t="str">
        <f ca="1">_xll.DBRW($B$9,$C$14,$C$15,N$20,N$19,$C$16,$C90,$B90,N$21)</f>
        <v/>
      </c>
      <c r="O90" s="34" t="str">
        <f ca="1">_xll.DBRW($B$9,$C$14,$C$15,O$20,N$19,$C$16,$C90,$B90,O$21)</f>
        <v/>
      </c>
      <c r="P90" s="34" t="str">
        <f ca="1">_xll.DBRW($B$9,$C$14,$C$15,P$20,$P$19,$C$16,$C90,$B90,P$21)</f>
        <v/>
      </c>
      <c r="Q90" s="34" t="str">
        <f ca="1">_xll.DBRW($B$9,$C$14,$C$15,Q$20,$P$19,$C$16,$C90,$B90,Q$21)</f>
        <v/>
      </c>
    </row>
    <row r="91" spans="1:17" x14ac:dyDescent="0.25">
      <c r="A91">
        <f ca="1">IF(_xll.TM1RPTELISCONSOLIDATED($C$22,$C91),IF(_xll.TM1RPTELLEV($C$22,$C91)&lt;=3,_xll.TM1RPTELLEV($C$22,$C91),"D"),"N")</f>
        <v>1</v>
      </c>
      <c r="B91" s="8" t="s">
        <v>60</v>
      </c>
      <c r="C91" s="39" t="s">
        <v>40</v>
      </c>
      <c r="D91" s="34" t="str">
        <f ca="1">_xll.DBRW($B$9,$C$14,$C$15,D$20,D$19,$C$16,$C91,$B91,D$21)</f>
        <v/>
      </c>
      <c r="E91" s="34" t="str">
        <f ca="1">_xll.DBRW($B$9,$C$14,$C$15,E$20,D$19,$C$16,$C91,$B91,E$21)</f>
        <v/>
      </c>
      <c r="F91" s="34" t="str">
        <f ca="1">_xll.DBRW($B$9,$C$14,$C$15,F$20,F$19,$C$16,$C91,$B91,F$21)</f>
        <v/>
      </c>
      <c r="G91" s="34" t="str">
        <f ca="1">_xll.DBRW($B$9,$C$14,$C$15,G$20,F$19,$C$16,$C91,$B91,G$21)</f>
        <v/>
      </c>
      <c r="H91" s="34" t="str">
        <f ca="1">_xll.DBRW($B$9,$C$14,$C$15,H$20,H$19,$C$16,$C91,$B91,H$21)</f>
        <v/>
      </c>
      <c r="I91" s="34" t="str">
        <f ca="1">_xll.DBRW($B$9,$C$14,$C$15,I$20,H$19,$C$16,$C91,$B91,I$21)</f>
        <v/>
      </c>
      <c r="J91" s="34" t="str">
        <f ca="1">_xll.DBRW($B$9,$C$14,$C$15,J$20,J$19,$C$16,$C91,$B91,J$21)</f>
        <v/>
      </c>
      <c r="K91" s="34" t="str">
        <f ca="1">_xll.DBRW($B$9,$C$14,$C$15,K$20,J$19,$C$16,$C91,$B91,K$21)</f>
        <v/>
      </c>
      <c r="L91" s="34" t="str">
        <f ca="1">_xll.DBRW($B$9,$C$14,$C$15,L$20,L$19,$C$16,$C91,$B91,L$21)</f>
        <v/>
      </c>
      <c r="M91" s="34" t="str">
        <f ca="1">_xll.DBRW($B$9,$C$14,$C$15,M$20,L$19,$C$16,$C91,$B91,M$21)</f>
        <v/>
      </c>
      <c r="N91" s="34" t="str">
        <f ca="1">_xll.DBRW($B$9,$C$14,$C$15,N$20,N$19,$C$16,$C91,$B91,N$21)</f>
        <v/>
      </c>
      <c r="O91" s="34" t="str">
        <f ca="1">_xll.DBRW($B$9,$C$14,$C$15,O$20,N$19,$C$16,$C91,$B91,O$21)</f>
        <v/>
      </c>
      <c r="P91" s="34" t="str">
        <f ca="1">_xll.DBRW($B$9,$C$14,$C$15,P$20,$P$19,$C$16,$C91,$B91,P$21)</f>
        <v/>
      </c>
      <c r="Q91" s="34" t="str">
        <f ca="1">_xll.DBRW($B$9,$C$14,$C$15,Q$20,$P$19,$C$16,$C91,$B91,Q$21)</f>
        <v/>
      </c>
    </row>
    <row r="92" spans="1:17" x14ac:dyDescent="0.25">
      <c r="A92">
        <f ca="1">IF(_xll.TM1RPTELISCONSOLIDATED($C$22,$C92),IF(_xll.TM1RPTELLEV($C$22,$C92)&lt;=3,_xll.TM1RPTELLEV($C$22,$C92),"D"),"N")</f>
        <v>1</v>
      </c>
      <c r="B92" s="8" t="s">
        <v>60</v>
      </c>
      <c r="C92" s="39" t="s">
        <v>41</v>
      </c>
      <c r="D92" s="34" t="str">
        <f ca="1">_xll.DBRW($B$9,$C$14,$C$15,D$20,D$19,$C$16,$C92,$B92,D$21)</f>
        <v/>
      </c>
      <c r="E92" s="34" t="str">
        <f ca="1">_xll.DBRW($B$9,$C$14,$C$15,E$20,D$19,$C$16,$C92,$B92,E$21)</f>
        <v/>
      </c>
      <c r="F92" s="34" t="str">
        <f ca="1">_xll.DBRW($B$9,$C$14,$C$15,F$20,F$19,$C$16,$C92,$B92,F$21)</f>
        <v/>
      </c>
      <c r="G92" s="34" t="str">
        <f ca="1">_xll.DBRW($B$9,$C$14,$C$15,G$20,F$19,$C$16,$C92,$B92,G$21)</f>
        <v/>
      </c>
      <c r="H92" s="34" t="str">
        <f ca="1">_xll.DBRW($B$9,$C$14,$C$15,H$20,H$19,$C$16,$C92,$B92,H$21)</f>
        <v/>
      </c>
      <c r="I92" s="34" t="str">
        <f ca="1">_xll.DBRW($B$9,$C$14,$C$15,I$20,H$19,$C$16,$C92,$B92,I$21)</f>
        <v/>
      </c>
      <c r="J92" s="34" t="str">
        <f ca="1">_xll.DBRW($B$9,$C$14,$C$15,J$20,J$19,$C$16,$C92,$B92,J$21)</f>
        <v/>
      </c>
      <c r="K92" s="34" t="str">
        <f ca="1">_xll.DBRW($B$9,$C$14,$C$15,K$20,J$19,$C$16,$C92,$B92,K$21)</f>
        <v/>
      </c>
      <c r="L92" s="34" t="str">
        <f ca="1">_xll.DBRW($B$9,$C$14,$C$15,L$20,L$19,$C$16,$C92,$B92,L$21)</f>
        <v/>
      </c>
      <c r="M92" s="34" t="str">
        <f ca="1">_xll.DBRW($B$9,$C$14,$C$15,M$20,L$19,$C$16,$C92,$B92,M$21)</f>
        <v/>
      </c>
      <c r="N92" s="34" t="str">
        <f ca="1">_xll.DBRW($B$9,$C$14,$C$15,N$20,N$19,$C$16,$C92,$B92,N$21)</f>
        <v/>
      </c>
      <c r="O92" s="34" t="str">
        <f ca="1">_xll.DBRW($B$9,$C$14,$C$15,O$20,N$19,$C$16,$C92,$B92,O$21)</f>
        <v/>
      </c>
      <c r="P92" s="34" t="str">
        <f ca="1">_xll.DBRW($B$9,$C$14,$C$15,P$20,$P$19,$C$16,$C92,$B92,P$21)</f>
        <v/>
      </c>
      <c r="Q92" s="34" t="str">
        <f ca="1">_xll.DBRW($B$9,$C$14,$C$15,Q$20,$P$19,$C$16,$C92,$B92,Q$21)</f>
        <v/>
      </c>
    </row>
    <row r="93" spans="1:17" x14ac:dyDescent="0.25">
      <c r="A93">
        <f ca="1">IF(_xll.TM1RPTELISCONSOLIDATED($C$22,$C93),IF(_xll.TM1RPTELLEV($C$22,$C93)&lt;=3,_xll.TM1RPTELLEV($C$22,$C93),"D"),"N")</f>
        <v>1</v>
      </c>
      <c r="B93" s="8" t="s">
        <v>60</v>
      </c>
      <c r="C93" s="39" t="s">
        <v>42</v>
      </c>
      <c r="D93" s="34" t="str">
        <f ca="1">_xll.DBRW($B$9,$C$14,$C$15,D$20,D$19,$C$16,$C93,$B93,D$21)</f>
        <v/>
      </c>
      <c r="E93" s="34" t="str">
        <f ca="1">_xll.DBRW($B$9,$C$14,$C$15,E$20,D$19,$C$16,$C93,$B93,E$21)</f>
        <v/>
      </c>
      <c r="F93" s="34" t="str">
        <f ca="1">_xll.DBRW($B$9,$C$14,$C$15,F$20,F$19,$C$16,$C93,$B93,F$21)</f>
        <v/>
      </c>
      <c r="G93" s="34" t="str">
        <f ca="1">_xll.DBRW($B$9,$C$14,$C$15,G$20,F$19,$C$16,$C93,$B93,G$21)</f>
        <v/>
      </c>
      <c r="H93" s="34" t="str">
        <f ca="1">_xll.DBRW($B$9,$C$14,$C$15,H$20,H$19,$C$16,$C93,$B93,H$21)</f>
        <v/>
      </c>
      <c r="I93" s="34" t="str">
        <f ca="1">_xll.DBRW($B$9,$C$14,$C$15,I$20,H$19,$C$16,$C93,$B93,I$21)</f>
        <v/>
      </c>
      <c r="J93" s="34" t="str">
        <f ca="1">_xll.DBRW($B$9,$C$14,$C$15,J$20,J$19,$C$16,$C93,$B93,J$21)</f>
        <v/>
      </c>
      <c r="K93" s="34" t="str">
        <f ca="1">_xll.DBRW($B$9,$C$14,$C$15,K$20,J$19,$C$16,$C93,$B93,K$21)</f>
        <v/>
      </c>
      <c r="L93" s="34" t="str">
        <f ca="1">_xll.DBRW($B$9,$C$14,$C$15,L$20,L$19,$C$16,$C93,$B93,L$21)</f>
        <v/>
      </c>
      <c r="M93" s="34" t="str">
        <f ca="1">_xll.DBRW($B$9,$C$14,$C$15,M$20,L$19,$C$16,$C93,$B93,M$21)</f>
        <v/>
      </c>
      <c r="N93" s="34" t="str">
        <f ca="1">_xll.DBRW($B$9,$C$14,$C$15,N$20,N$19,$C$16,$C93,$B93,N$21)</f>
        <v/>
      </c>
      <c r="O93" s="34" t="str">
        <f ca="1">_xll.DBRW($B$9,$C$14,$C$15,O$20,N$19,$C$16,$C93,$B93,O$21)</f>
        <v/>
      </c>
      <c r="P93" s="34" t="str">
        <f ca="1">_xll.DBRW($B$9,$C$14,$C$15,P$20,$P$19,$C$16,$C93,$B93,P$21)</f>
        <v/>
      </c>
      <c r="Q93" s="34" t="str">
        <f ca="1">_xll.DBRW($B$9,$C$14,$C$15,Q$20,$P$19,$C$16,$C93,$B93,Q$21)</f>
        <v/>
      </c>
    </row>
    <row r="94" spans="1:17" x14ac:dyDescent="0.25">
      <c r="A94">
        <f ca="1">IF(_xll.TM1RPTELISCONSOLIDATED($C$22,$C94),IF(_xll.TM1RPTELLEV($C$22,$C94)&lt;=3,_xll.TM1RPTELLEV($C$22,$C94),"D"),"N")</f>
        <v>0</v>
      </c>
      <c r="B94" s="5" t="s">
        <v>61</v>
      </c>
      <c r="C94" s="38" t="s">
        <v>35</v>
      </c>
      <c r="D94" s="33" t="str">
        <f ca="1">_xll.DBRW($B$9,$C$14,$C$15,D$20,D$19,$C$16,$C94,$B94,D$21)</f>
        <v/>
      </c>
      <c r="E94" s="33" t="str">
        <f ca="1">_xll.DBRW($B$9,$C$14,$C$15,E$20,D$19,$C$16,$C94,$B94,E$21)</f>
        <v/>
      </c>
      <c r="F94" s="33" t="str">
        <f ca="1">_xll.DBRW($B$9,$C$14,$C$15,F$20,F$19,$C$16,$C94,$B94,F$21)</f>
        <v/>
      </c>
      <c r="G94" s="33" t="str">
        <f ca="1">_xll.DBRW($B$9,$C$14,$C$15,G$20,F$19,$C$16,$C94,$B94,G$21)</f>
        <v/>
      </c>
      <c r="H94" s="33" t="str">
        <f ca="1">_xll.DBRW($B$9,$C$14,$C$15,H$20,H$19,$C$16,$C94,$B94,H$21)</f>
        <v/>
      </c>
      <c r="I94" s="33" t="str">
        <f ca="1">_xll.DBRW($B$9,$C$14,$C$15,I$20,H$19,$C$16,$C94,$B94,I$21)</f>
        <v/>
      </c>
      <c r="J94" s="33" t="str">
        <f ca="1">_xll.DBRW($B$9,$C$14,$C$15,J$20,J$19,$C$16,$C94,$B94,J$21)</f>
        <v/>
      </c>
      <c r="K94" s="33" t="str">
        <f ca="1">_xll.DBRW($B$9,$C$14,$C$15,K$20,J$19,$C$16,$C94,$B94,K$21)</f>
        <v/>
      </c>
      <c r="L94" s="33" t="str">
        <f ca="1">_xll.DBRW($B$9,$C$14,$C$15,L$20,L$19,$C$16,$C94,$B94,L$21)</f>
        <v/>
      </c>
      <c r="M94" s="33" t="str">
        <f ca="1">_xll.DBRW($B$9,$C$14,$C$15,M$20,L$19,$C$16,$C94,$B94,M$21)</f>
        <v/>
      </c>
      <c r="N94" s="33" t="str">
        <f ca="1">_xll.DBRW($B$9,$C$14,$C$15,N$20,N$19,$C$16,$C94,$B94,N$21)</f>
        <v/>
      </c>
      <c r="O94" s="33" t="str">
        <f ca="1">_xll.DBRW($B$9,$C$14,$C$15,O$20,N$19,$C$16,$C94,$B94,O$21)</f>
        <v/>
      </c>
      <c r="P94" s="33" t="str">
        <f ca="1">_xll.DBRW($B$9,$C$14,$C$15,P$20,$P$19,$C$16,$C94,$B94,P$21)</f>
        <v/>
      </c>
      <c r="Q94" s="33" t="str">
        <f ca="1">_xll.DBRW($B$9,$C$14,$C$15,Q$20,$P$19,$C$16,$C94,$B94,Q$21)</f>
        <v/>
      </c>
    </row>
    <row r="95" spans="1:17" x14ac:dyDescent="0.25">
      <c r="A95">
        <f ca="1">IF(_xll.TM1RPTELISCONSOLIDATED($C$22,$C95),IF(_xll.TM1RPTELLEV($C$22,$C95)&lt;=3,_xll.TM1RPTELLEV($C$22,$C95),"D"),"N")</f>
        <v>1</v>
      </c>
      <c r="B95" s="8" t="s">
        <v>61</v>
      </c>
      <c r="C95" s="39" t="s">
        <v>43</v>
      </c>
      <c r="D95" s="34" t="str">
        <f ca="1">_xll.DBRW($B$9,$C$14,$C$15,D$20,D$19,$C$16,$C95,$B95,D$21)</f>
        <v/>
      </c>
      <c r="E95" s="34" t="str">
        <f ca="1">_xll.DBRW($B$9,$C$14,$C$15,E$20,D$19,$C$16,$C95,$B95,E$21)</f>
        <v/>
      </c>
      <c r="F95" s="34" t="str">
        <f ca="1">_xll.DBRW($B$9,$C$14,$C$15,F$20,F$19,$C$16,$C95,$B95,F$21)</f>
        <v/>
      </c>
      <c r="G95" s="34" t="str">
        <f ca="1">_xll.DBRW($B$9,$C$14,$C$15,G$20,F$19,$C$16,$C95,$B95,G$21)</f>
        <v/>
      </c>
      <c r="H95" s="34" t="str">
        <f ca="1">_xll.DBRW($B$9,$C$14,$C$15,H$20,H$19,$C$16,$C95,$B95,H$21)</f>
        <v/>
      </c>
      <c r="I95" s="34" t="str">
        <f ca="1">_xll.DBRW($B$9,$C$14,$C$15,I$20,H$19,$C$16,$C95,$B95,I$21)</f>
        <v/>
      </c>
      <c r="J95" s="34" t="str">
        <f ca="1">_xll.DBRW($B$9,$C$14,$C$15,J$20,J$19,$C$16,$C95,$B95,J$21)</f>
        <v/>
      </c>
      <c r="K95" s="34" t="str">
        <f ca="1">_xll.DBRW($B$9,$C$14,$C$15,K$20,J$19,$C$16,$C95,$B95,K$21)</f>
        <v/>
      </c>
      <c r="L95" s="34" t="str">
        <f ca="1">_xll.DBRW($B$9,$C$14,$C$15,L$20,L$19,$C$16,$C95,$B95,L$21)</f>
        <v/>
      </c>
      <c r="M95" s="34" t="str">
        <f ca="1">_xll.DBRW($B$9,$C$14,$C$15,M$20,L$19,$C$16,$C95,$B95,M$21)</f>
        <v/>
      </c>
      <c r="N95" s="34" t="str">
        <f ca="1">_xll.DBRW($B$9,$C$14,$C$15,N$20,N$19,$C$16,$C95,$B95,N$21)</f>
        <v/>
      </c>
      <c r="O95" s="34" t="str">
        <f ca="1">_xll.DBRW($B$9,$C$14,$C$15,O$20,N$19,$C$16,$C95,$B95,O$21)</f>
        <v/>
      </c>
      <c r="P95" s="34" t="str">
        <f ca="1">_xll.DBRW($B$9,$C$14,$C$15,P$20,$P$19,$C$16,$C95,$B95,P$21)</f>
        <v/>
      </c>
      <c r="Q95" s="34" t="str">
        <f ca="1">_xll.DBRW($B$9,$C$14,$C$15,Q$20,$P$19,$C$16,$C95,$B95,Q$21)</f>
        <v/>
      </c>
    </row>
    <row r="96" spans="1:17" x14ac:dyDescent="0.25">
      <c r="A96">
        <f ca="1">IF(_xll.TM1RPTELISCONSOLIDATED($C$22,$C96),IF(_xll.TM1RPTELLEV($C$22,$C96)&lt;=3,_xll.TM1RPTELLEV($C$22,$C96),"D"),"N")</f>
        <v>1</v>
      </c>
      <c r="B96" s="8" t="s">
        <v>61</v>
      </c>
      <c r="C96" s="39" t="s">
        <v>36</v>
      </c>
      <c r="D96" s="34" t="str">
        <f ca="1">_xll.DBRW($B$9,$C$14,$C$15,D$20,D$19,$C$16,$C96,$B96,D$21)</f>
        <v/>
      </c>
      <c r="E96" s="34" t="str">
        <f ca="1">_xll.DBRW($B$9,$C$14,$C$15,E$20,D$19,$C$16,$C96,$B96,E$21)</f>
        <v/>
      </c>
      <c r="F96" s="34" t="str">
        <f ca="1">_xll.DBRW($B$9,$C$14,$C$15,F$20,F$19,$C$16,$C96,$B96,F$21)</f>
        <v/>
      </c>
      <c r="G96" s="34" t="str">
        <f ca="1">_xll.DBRW($B$9,$C$14,$C$15,G$20,F$19,$C$16,$C96,$B96,G$21)</f>
        <v/>
      </c>
      <c r="H96" s="34" t="str">
        <f ca="1">_xll.DBRW($B$9,$C$14,$C$15,H$20,H$19,$C$16,$C96,$B96,H$21)</f>
        <v/>
      </c>
      <c r="I96" s="34" t="str">
        <f ca="1">_xll.DBRW($B$9,$C$14,$C$15,I$20,H$19,$C$16,$C96,$B96,I$21)</f>
        <v/>
      </c>
      <c r="J96" s="34" t="str">
        <f ca="1">_xll.DBRW($B$9,$C$14,$C$15,J$20,J$19,$C$16,$C96,$B96,J$21)</f>
        <v/>
      </c>
      <c r="K96" s="34" t="str">
        <f ca="1">_xll.DBRW($B$9,$C$14,$C$15,K$20,J$19,$C$16,$C96,$B96,K$21)</f>
        <v/>
      </c>
      <c r="L96" s="34" t="str">
        <f ca="1">_xll.DBRW($B$9,$C$14,$C$15,L$20,L$19,$C$16,$C96,$B96,L$21)</f>
        <v/>
      </c>
      <c r="M96" s="34" t="str">
        <f ca="1">_xll.DBRW($B$9,$C$14,$C$15,M$20,L$19,$C$16,$C96,$B96,M$21)</f>
        <v/>
      </c>
      <c r="N96" s="34" t="str">
        <f ca="1">_xll.DBRW($B$9,$C$14,$C$15,N$20,N$19,$C$16,$C96,$B96,N$21)</f>
        <v/>
      </c>
      <c r="O96" s="34" t="str">
        <f ca="1">_xll.DBRW($B$9,$C$14,$C$15,O$20,N$19,$C$16,$C96,$B96,O$21)</f>
        <v/>
      </c>
      <c r="P96" s="34" t="str">
        <f ca="1">_xll.DBRW($B$9,$C$14,$C$15,P$20,$P$19,$C$16,$C96,$B96,P$21)</f>
        <v/>
      </c>
      <c r="Q96" s="34" t="str">
        <f ca="1">_xll.DBRW($B$9,$C$14,$C$15,Q$20,$P$19,$C$16,$C96,$B96,Q$21)</f>
        <v/>
      </c>
    </row>
    <row r="97" spans="1:17" x14ac:dyDescent="0.25">
      <c r="A97">
        <f ca="1">IF(_xll.TM1RPTELISCONSOLIDATED($C$22,$C97),IF(_xll.TM1RPTELLEV($C$22,$C97)&lt;=3,_xll.TM1RPTELLEV($C$22,$C97),"D"),"N")</f>
        <v>1</v>
      </c>
      <c r="B97" s="8" t="s">
        <v>61</v>
      </c>
      <c r="C97" s="39" t="s">
        <v>37</v>
      </c>
      <c r="D97" s="34" t="str">
        <f ca="1">_xll.DBRW($B$9,$C$14,$C$15,D$20,D$19,$C$16,$C97,$B97,D$21)</f>
        <v/>
      </c>
      <c r="E97" s="34" t="str">
        <f ca="1">_xll.DBRW($B$9,$C$14,$C$15,E$20,D$19,$C$16,$C97,$B97,E$21)</f>
        <v/>
      </c>
      <c r="F97" s="34" t="str">
        <f ca="1">_xll.DBRW($B$9,$C$14,$C$15,F$20,F$19,$C$16,$C97,$B97,F$21)</f>
        <v/>
      </c>
      <c r="G97" s="34" t="str">
        <f ca="1">_xll.DBRW($B$9,$C$14,$C$15,G$20,F$19,$C$16,$C97,$B97,G$21)</f>
        <v/>
      </c>
      <c r="H97" s="34" t="str">
        <f ca="1">_xll.DBRW($B$9,$C$14,$C$15,H$20,H$19,$C$16,$C97,$B97,H$21)</f>
        <v/>
      </c>
      <c r="I97" s="34" t="str">
        <f ca="1">_xll.DBRW($B$9,$C$14,$C$15,I$20,H$19,$C$16,$C97,$B97,I$21)</f>
        <v/>
      </c>
      <c r="J97" s="34" t="str">
        <f ca="1">_xll.DBRW($B$9,$C$14,$C$15,J$20,J$19,$C$16,$C97,$B97,J$21)</f>
        <v/>
      </c>
      <c r="K97" s="34" t="str">
        <f ca="1">_xll.DBRW($B$9,$C$14,$C$15,K$20,J$19,$C$16,$C97,$B97,K$21)</f>
        <v/>
      </c>
      <c r="L97" s="34" t="str">
        <f ca="1">_xll.DBRW($B$9,$C$14,$C$15,L$20,L$19,$C$16,$C97,$B97,L$21)</f>
        <v/>
      </c>
      <c r="M97" s="34" t="str">
        <f ca="1">_xll.DBRW($B$9,$C$14,$C$15,M$20,L$19,$C$16,$C97,$B97,M$21)</f>
        <v/>
      </c>
      <c r="N97" s="34" t="str">
        <f ca="1">_xll.DBRW($B$9,$C$14,$C$15,N$20,N$19,$C$16,$C97,$B97,N$21)</f>
        <v/>
      </c>
      <c r="O97" s="34" t="str">
        <f ca="1">_xll.DBRW($B$9,$C$14,$C$15,O$20,N$19,$C$16,$C97,$B97,O$21)</f>
        <v/>
      </c>
      <c r="P97" s="34" t="str">
        <f ca="1">_xll.DBRW($B$9,$C$14,$C$15,P$20,$P$19,$C$16,$C97,$B97,P$21)</f>
        <v/>
      </c>
      <c r="Q97" s="34" t="str">
        <f ca="1">_xll.DBRW($B$9,$C$14,$C$15,Q$20,$P$19,$C$16,$C97,$B97,Q$21)</f>
        <v/>
      </c>
    </row>
    <row r="98" spans="1:17" x14ac:dyDescent="0.25">
      <c r="A98">
        <f ca="1">IF(_xll.TM1RPTELISCONSOLIDATED($C$22,$C98),IF(_xll.TM1RPTELLEV($C$22,$C98)&lt;=3,_xll.TM1RPTELLEV($C$22,$C98),"D"),"N")</f>
        <v>1</v>
      </c>
      <c r="B98" s="8" t="s">
        <v>61</v>
      </c>
      <c r="C98" s="39" t="s">
        <v>38</v>
      </c>
      <c r="D98" s="34" t="str">
        <f ca="1">_xll.DBRW($B$9,$C$14,$C$15,D$20,D$19,$C$16,$C98,$B98,D$21)</f>
        <v/>
      </c>
      <c r="E98" s="34" t="str">
        <f ca="1">_xll.DBRW($B$9,$C$14,$C$15,E$20,D$19,$C$16,$C98,$B98,E$21)</f>
        <v/>
      </c>
      <c r="F98" s="34" t="str">
        <f ca="1">_xll.DBRW($B$9,$C$14,$C$15,F$20,F$19,$C$16,$C98,$B98,F$21)</f>
        <v/>
      </c>
      <c r="G98" s="34" t="str">
        <f ca="1">_xll.DBRW($B$9,$C$14,$C$15,G$20,F$19,$C$16,$C98,$B98,G$21)</f>
        <v/>
      </c>
      <c r="H98" s="34" t="str">
        <f ca="1">_xll.DBRW($B$9,$C$14,$C$15,H$20,H$19,$C$16,$C98,$B98,H$21)</f>
        <v/>
      </c>
      <c r="I98" s="34" t="str">
        <f ca="1">_xll.DBRW($B$9,$C$14,$C$15,I$20,H$19,$C$16,$C98,$B98,I$21)</f>
        <v/>
      </c>
      <c r="J98" s="34" t="str">
        <f ca="1">_xll.DBRW($B$9,$C$14,$C$15,J$20,J$19,$C$16,$C98,$B98,J$21)</f>
        <v/>
      </c>
      <c r="K98" s="34" t="str">
        <f ca="1">_xll.DBRW($B$9,$C$14,$C$15,K$20,J$19,$C$16,$C98,$B98,K$21)</f>
        <v/>
      </c>
      <c r="L98" s="34" t="str">
        <f ca="1">_xll.DBRW($B$9,$C$14,$C$15,L$20,L$19,$C$16,$C98,$B98,L$21)</f>
        <v/>
      </c>
      <c r="M98" s="34" t="str">
        <f ca="1">_xll.DBRW($B$9,$C$14,$C$15,M$20,L$19,$C$16,$C98,$B98,M$21)</f>
        <v/>
      </c>
      <c r="N98" s="34" t="str">
        <f ca="1">_xll.DBRW($B$9,$C$14,$C$15,N$20,N$19,$C$16,$C98,$B98,N$21)</f>
        <v/>
      </c>
      <c r="O98" s="34" t="str">
        <f ca="1">_xll.DBRW($B$9,$C$14,$C$15,O$20,N$19,$C$16,$C98,$B98,O$21)</f>
        <v/>
      </c>
      <c r="P98" s="34" t="str">
        <f ca="1">_xll.DBRW($B$9,$C$14,$C$15,P$20,$P$19,$C$16,$C98,$B98,P$21)</f>
        <v/>
      </c>
      <c r="Q98" s="34" t="str">
        <f ca="1">_xll.DBRW($B$9,$C$14,$C$15,Q$20,$P$19,$C$16,$C98,$B98,Q$21)</f>
        <v/>
      </c>
    </row>
    <row r="99" spans="1:17" x14ac:dyDescent="0.25">
      <c r="A99">
        <f ca="1">IF(_xll.TM1RPTELISCONSOLIDATED($C$22,$C99),IF(_xll.TM1RPTELLEV($C$22,$C99)&lt;=3,_xll.TM1RPTELLEV($C$22,$C99),"D"),"N")</f>
        <v>1</v>
      </c>
      <c r="B99" s="8" t="s">
        <v>61</v>
      </c>
      <c r="C99" s="39" t="s">
        <v>39</v>
      </c>
      <c r="D99" s="34" t="str">
        <f ca="1">_xll.DBRW($B$9,$C$14,$C$15,D$20,D$19,$C$16,$C99,$B99,D$21)</f>
        <v/>
      </c>
      <c r="E99" s="34" t="str">
        <f ca="1">_xll.DBRW($B$9,$C$14,$C$15,E$20,D$19,$C$16,$C99,$B99,E$21)</f>
        <v/>
      </c>
      <c r="F99" s="34" t="str">
        <f ca="1">_xll.DBRW($B$9,$C$14,$C$15,F$20,F$19,$C$16,$C99,$B99,F$21)</f>
        <v/>
      </c>
      <c r="G99" s="34" t="str">
        <f ca="1">_xll.DBRW($B$9,$C$14,$C$15,G$20,F$19,$C$16,$C99,$B99,G$21)</f>
        <v/>
      </c>
      <c r="H99" s="34" t="str">
        <f ca="1">_xll.DBRW($B$9,$C$14,$C$15,H$20,H$19,$C$16,$C99,$B99,H$21)</f>
        <v/>
      </c>
      <c r="I99" s="34" t="str">
        <f ca="1">_xll.DBRW($B$9,$C$14,$C$15,I$20,H$19,$C$16,$C99,$B99,I$21)</f>
        <v/>
      </c>
      <c r="J99" s="34" t="str">
        <f ca="1">_xll.DBRW($B$9,$C$14,$C$15,J$20,J$19,$C$16,$C99,$B99,J$21)</f>
        <v/>
      </c>
      <c r="K99" s="34" t="str">
        <f ca="1">_xll.DBRW($B$9,$C$14,$C$15,K$20,J$19,$C$16,$C99,$B99,K$21)</f>
        <v/>
      </c>
      <c r="L99" s="34" t="str">
        <f ca="1">_xll.DBRW($B$9,$C$14,$C$15,L$20,L$19,$C$16,$C99,$B99,L$21)</f>
        <v/>
      </c>
      <c r="M99" s="34" t="str">
        <f ca="1">_xll.DBRW($B$9,$C$14,$C$15,M$20,L$19,$C$16,$C99,$B99,M$21)</f>
        <v/>
      </c>
      <c r="N99" s="34" t="str">
        <f ca="1">_xll.DBRW($B$9,$C$14,$C$15,N$20,N$19,$C$16,$C99,$B99,N$21)</f>
        <v/>
      </c>
      <c r="O99" s="34" t="str">
        <f ca="1">_xll.DBRW($B$9,$C$14,$C$15,O$20,N$19,$C$16,$C99,$B99,O$21)</f>
        <v/>
      </c>
      <c r="P99" s="34" t="str">
        <f ca="1">_xll.DBRW($B$9,$C$14,$C$15,P$20,$P$19,$C$16,$C99,$B99,P$21)</f>
        <v/>
      </c>
      <c r="Q99" s="34" t="str">
        <f ca="1">_xll.DBRW($B$9,$C$14,$C$15,Q$20,$P$19,$C$16,$C99,$B99,Q$21)</f>
        <v/>
      </c>
    </row>
    <row r="100" spans="1:17" x14ac:dyDescent="0.25">
      <c r="A100">
        <f ca="1">IF(_xll.TM1RPTELISCONSOLIDATED($C$22,$C100),IF(_xll.TM1RPTELLEV($C$22,$C100)&lt;=3,_xll.TM1RPTELLEV($C$22,$C100),"D"),"N")</f>
        <v>1</v>
      </c>
      <c r="B100" s="8" t="s">
        <v>61</v>
      </c>
      <c r="C100" s="39" t="s">
        <v>40</v>
      </c>
      <c r="D100" s="34" t="str">
        <f ca="1">_xll.DBRW($B$9,$C$14,$C$15,D$20,D$19,$C$16,$C100,$B100,D$21)</f>
        <v/>
      </c>
      <c r="E100" s="34" t="str">
        <f ca="1">_xll.DBRW($B$9,$C$14,$C$15,E$20,D$19,$C$16,$C100,$B100,E$21)</f>
        <v/>
      </c>
      <c r="F100" s="34" t="str">
        <f ca="1">_xll.DBRW($B$9,$C$14,$C$15,F$20,F$19,$C$16,$C100,$B100,F$21)</f>
        <v/>
      </c>
      <c r="G100" s="34" t="str">
        <f ca="1">_xll.DBRW($B$9,$C$14,$C$15,G$20,F$19,$C$16,$C100,$B100,G$21)</f>
        <v/>
      </c>
      <c r="H100" s="34" t="str">
        <f ca="1">_xll.DBRW($B$9,$C$14,$C$15,H$20,H$19,$C$16,$C100,$B100,H$21)</f>
        <v/>
      </c>
      <c r="I100" s="34" t="str">
        <f ca="1">_xll.DBRW($B$9,$C$14,$C$15,I$20,H$19,$C$16,$C100,$B100,I$21)</f>
        <v/>
      </c>
      <c r="J100" s="34" t="str">
        <f ca="1">_xll.DBRW($B$9,$C$14,$C$15,J$20,J$19,$C$16,$C100,$B100,J$21)</f>
        <v/>
      </c>
      <c r="K100" s="34" t="str">
        <f ca="1">_xll.DBRW($B$9,$C$14,$C$15,K$20,J$19,$C$16,$C100,$B100,K$21)</f>
        <v/>
      </c>
      <c r="L100" s="34" t="str">
        <f ca="1">_xll.DBRW($B$9,$C$14,$C$15,L$20,L$19,$C$16,$C100,$B100,L$21)</f>
        <v/>
      </c>
      <c r="M100" s="34" t="str">
        <f ca="1">_xll.DBRW($B$9,$C$14,$C$15,M$20,L$19,$C$16,$C100,$B100,M$21)</f>
        <v/>
      </c>
      <c r="N100" s="34" t="str">
        <f ca="1">_xll.DBRW($B$9,$C$14,$C$15,N$20,N$19,$C$16,$C100,$B100,N$21)</f>
        <v/>
      </c>
      <c r="O100" s="34" t="str">
        <f ca="1">_xll.DBRW($B$9,$C$14,$C$15,O$20,N$19,$C$16,$C100,$B100,O$21)</f>
        <v/>
      </c>
      <c r="P100" s="34" t="str">
        <f ca="1">_xll.DBRW($B$9,$C$14,$C$15,P$20,$P$19,$C$16,$C100,$B100,P$21)</f>
        <v/>
      </c>
      <c r="Q100" s="34" t="str">
        <f ca="1">_xll.DBRW($B$9,$C$14,$C$15,Q$20,$P$19,$C$16,$C100,$B100,Q$21)</f>
        <v/>
      </c>
    </row>
    <row r="101" spans="1:17" x14ac:dyDescent="0.25">
      <c r="A101">
        <f ca="1">IF(_xll.TM1RPTELISCONSOLIDATED($C$22,$C101),IF(_xll.TM1RPTELLEV($C$22,$C101)&lt;=3,_xll.TM1RPTELLEV($C$22,$C101),"D"),"N")</f>
        <v>1</v>
      </c>
      <c r="B101" s="8" t="s">
        <v>61</v>
      </c>
      <c r="C101" s="39" t="s">
        <v>41</v>
      </c>
      <c r="D101" s="34" t="str">
        <f ca="1">_xll.DBRW($B$9,$C$14,$C$15,D$20,D$19,$C$16,$C101,$B101,D$21)</f>
        <v/>
      </c>
      <c r="E101" s="34" t="str">
        <f ca="1">_xll.DBRW($B$9,$C$14,$C$15,E$20,D$19,$C$16,$C101,$B101,E$21)</f>
        <v/>
      </c>
      <c r="F101" s="34" t="str">
        <f ca="1">_xll.DBRW($B$9,$C$14,$C$15,F$20,F$19,$C$16,$C101,$B101,F$21)</f>
        <v/>
      </c>
      <c r="G101" s="34" t="str">
        <f ca="1">_xll.DBRW($B$9,$C$14,$C$15,G$20,F$19,$C$16,$C101,$B101,G$21)</f>
        <v/>
      </c>
      <c r="H101" s="34" t="str">
        <f ca="1">_xll.DBRW($B$9,$C$14,$C$15,H$20,H$19,$C$16,$C101,$B101,H$21)</f>
        <v/>
      </c>
      <c r="I101" s="34" t="str">
        <f ca="1">_xll.DBRW($B$9,$C$14,$C$15,I$20,H$19,$C$16,$C101,$B101,I$21)</f>
        <v/>
      </c>
      <c r="J101" s="34" t="str">
        <f ca="1">_xll.DBRW($B$9,$C$14,$C$15,J$20,J$19,$C$16,$C101,$B101,J$21)</f>
        <v/>
      </c>
      <c r="K101" s="34" t="str">
        <f ca="1">_xll.DBRW($B$9,$C$14,$C$15,K$20,J$19,$C$16,$C101,$B101,K$21)</f>
        <v/>
      </c>
      <c r="L101" s="34" t="str">
        <f ca="1">_xll.DBRW($B$9,$C$14,$C$15,L$20,L$19,$C$16,$C101,$B101,L$21)</f>
        <v/>
      </c>
      <c r="M101" s="34" t="str">
        <f ca="1">_xll.DBRW($B$9,$C$14,$C$15,M$20,L$19,$C$16,$C101,$B101,M$21)</f>
        <v/>
      </c>
      <c r="N101" s="34" t="str">
        <f ca="1">_xll.DBRW($B$9,$C$14,$C$15,N$20,N$19,$C$16,$C101,$B101,N$21)</f>
        <v/>
      </c>
      <c r="O101" s="34" t="str">
        <f ca="1">_xll.DBRW($B$9,$C$14,$C$15,O$20,N$19,$C$16,$C101,$B101,O$21)</f>
        <v/>
      </c>
      <c r="P101" s="34" t="str">
        <f ca="1">_xll.DBRW($B$9,$C$14,$C$15,P$20,$P$19,$C$16,$C101,$B101,P$21)</f>
        <v/>
      </c>
      <c r="Q101" s="34" t="str">
        <f ca="1">_xll.DBRW($B$9,$C$14,$C$15,Q$20,$P$19,$C$16,$C101,$B101,Q$21)</f>
        <v/>
      </c>
    </row>
    <row r="102" spans="1:17" x14ac:dyDescent="0.25">
      <c r="A102">
        <f ca="1">IF(_xll.TM1RPTELISCONSOLIDATED($C$22,$C102),IF(_xll.TM1RPTELLEV($C$22,$C102)&lt;=3,_xll.TM1RPTELLEV($C$22,$C102),"D"),"N")</f>
        <v>1</v>
      </c>
      <c r="B102" s="8" t="s">
        <v>61</v>
      </c>
      <c r="C102" s="39" t="s">
        <v>42</v>
      </c>
      <c r="D102" s="34" t="str">
        <f ca="1">_xll.DBRW($B$9,$C$14,$C$15,D$20,D$19,$C$16,$C102,$B102,D$21)</f>
        <v/>
      </c>
      <c r="E102" s="34" t="str">
        <f ca="1">_xll.DBRW($B$9,$C$14,$C$15,E$20,D$19,$C$16,$C102,$B102,E$21)</f>
        <v/>
      </c>
      <c r="F102" s="34" t="str">
        <f ca="1">_xll.DBRW($B$9,$C$14,$C$15,F$20,F$19,$C$16,$C102,$B102,F$21)</f>
        <v/>
      </c>
      <c r="G102" s="34" t="str">
        <f ca="1">_xll.DBRW($B$9,$C$14,$C$15,G$20,F$19,$C$16,$C102,$B102,G$21)</f>
        <v/>
      </c>
      <c r="H102" s="34" t="str">
        <f ca="1">_xll.DBRW($B$9,$C$14,$C$15,H$20,H$19,$C$16,$C102,$B102,H$21)</f>
        <v/>
      </c>
      <c r="I102" s="34" t="str">
        <f ca="1">_xll.DBRW($B$9,$C$14,$C$15,I$20,H$19,$C$16,$C102,$B102,I$21)</f>
        <v/>
      </c>
      <c r="J102" s="34" t="str">
        <f ca="1">_xll.DBRW($B$9,$C$14,$C$15,J$20,J$19,$C$16,$C102,$B102,J$21)</f>
        <v/>
      </c>
      <c r="K102" s="34" t="str">
        <f ca="1">_xll.DBRW($B$9,$C$14,$C$15,K$20,J$19,$C$16,$C102,$B102,K$21)</f>
        <v/>
      </c>
      <c r="L102" s="34" t="str">
        <f ca="1">_xll.DBRW($B$9,$C$14,$C$15,L$20,L$19,$C$16,$C102,$B102,L$21)</f>
        <v/>
      </c>
      <c r="M102" s="34" t="str">
        <f ca="1">_xll.DBRW($B$9,$C$14,$C$15,M$20,L$19,$C$16,$C102,$B102,M$21)</f>
        <v/>
      </c>
      <c r="N102" s="34" t="str">
        <f ca="1">_xll.DBRW($B$9,$C$14,$C$15,N$20,N$19,$C$16,$C102,$B102,N$21)</f>
        <v/>
      </c>
      <c r="O102" s="34" t="str">
        <f ca="1">_xll.DBRW($B$9,$C$14,$C$15,O$20,N$19,$C$16,$C102,$B102,O$21)</f>
        <v/>
      </c>
      <c r="P102" s="34" t="str">
        <f ca="1">_xll.DBRW($B$9,$C$14,$C$15,P$20,$P$19,$C$16,$C102,$B102,P$21)</f>
        <v/>
      </c>
      <c r="Q102" s="34" t="str">
        <f ca="1">_xll.DBRW($B$9,$C$14,$C$15,Q$20,$P$19,$C$16,$C102,$B102,Q$21)</f>
        <v/>
      </c>
    </row>
    <row r="103" spans="1:17" x14ac:dyDescent="0.25">
      <c r="A103">
        <f ca="1">IF(_xll.TM1RPTELISCONSOLIDATED($C$22,$C103),IF(_xll.TM1RPTELLEV($C$22,$C103)&lt;=3,_xll.TM1RPTELLEV($C$22,$C103),"D"),"N")</f>
        <v>0</v>
      </c>
      <c r="B103" s="5" t="s">
        <v>62</v>
      </c>
      <c r="C103" s="38" t="s">
        <v>35</v>
      </c>
      <c r="D103" s="33" t="str">
        <f ca="1">_xll.DBRW($B$9,$C$14,$C$15,D$20,D$19,$C$16,$C103,$B103,D$21)</f>
        <v/>
      </c>
      <c r="E103" s="33" t="str">
        <f ca="1">_xll.DBRW($B$9,$C$14,$C$15,E$20,D$19,$C$16,$C103,$B103,E$21)</f>
        <v/>
      </c>
      <c r="F103" s="33" t="str">
        <f ca="1">_xll.DBRW($B$9,$C$14,$C$15,F$20,F$19,$C$16,$C103,$B103,F$21)</f>
        <v/>
      </c>
      <c r="G103" s="33" t="str">
        <f ca="1">_xll.DBRW($B$9,$C$14,$C$15,G$20,F$19,$C$16,$C103,$B103,G$21)</f>
        <v/>
      </c>
      <c r="H103" s="33" t="str">
        <f ca="1">_xll.DBRW($B$9,$C$14,$C$15,H$20,H$19,$C$16,$C103,$B103,H$21)</f>
        <v/>
      </c>
      <c r="I103" s="33" t="str">
        <f ca="1">_xll.DBRW($B$9,$C$14,$C$15,I$20,H$19,$C$16,$C103,$B103,I$21)</f>
        <v/>
      </c>
      <c r="J103" s="33" t="str">
        <f ca="1">_xll.DBRW($B$9,$C$14,$C$15,J$20,J$19,$C$16,$C103,$B103,J$21)</f>
        <v/>
      </c>
      <c r="K103" s="33" t="str">
        <f ca="1">_xll.DBRW($B$9,$C$14,$C$15,K$20,J$19,$C$16,$C103,$B103,K$21)</f>
        <v/>
      </c>
      <c r="L103" s="33" t="str">
        <f ca="1">_xll.DBRW($B$9,$C$14,$C$15,L$20,L$19,$C$16,$C103,$B103,L$21)</f>
        <v/>
      </c>
      <c r="M103" s="33" t="str">
        <f ca="1">_xll.DBRW($B$9,$C$14,$C$15,M$20,L$19,$C$16,$C103,$B103,M$21)</f>
        <v/>
      </c>
      <c r="N103" s="33" t="str">
        <f ca="1">_xll.DBRW($B$9,$C$14,$C$15,N$20,N$19,$C$16,$C103,$B103,N$21)</f>
        <v/>
      </c>
      <c r="O103" s="33" t="str">
        <f ca="1">_xll.DBRW($B$9,$C$14,$C$15,O$20,N$19,$C$16,$C103,$B103,O$21)</f>
        <v/>
      </c>
      <c r="P103" s="33" t="str">
        <f ca="1">_xll.DBRW($B$9,$C$14,$C$15,P$20,$P$19,$C$16,$C103,$B103,P$21)</f>
        <v/>
      </c>
      <c r="Q103" s="33" t="str">
        <f ca="1">_xll.DBRW($B$9,$C$14,$C$15,Q$20,$P$19,$C$16,$C103,$B103,Q$21)</f>
        <v/>
      </c>
    </row>
    <row r="104" spans="1:17" x14ac:dyDescent="0.25">
      <c r="A104">
        <f ca="1">IF(_xll.TM1RPTELISCONSOLIDATED($C$22,$C104),IF(_xll.TM1RPTELLEV($C$22,$C104)&lt;=3,_xll.TM1RPTELLEV($C$22,$C104),"D"),"N")</f>
        <v>1</v>
      </c>
      <c r="B104" s="8" t="s">
        <v>62</v>
      </c>
      <c r="C104" s="39" t="s">
        <v>43</v>
      </c>
      <c r="D104" s="34" t="str">
        <f ca="1">_xll.DBRW($B$9,$C$14,$C$15,D$20,D$19,$C$16,$C104,$B104,D$21)</f>
        <v/>
      </c>
      <c r="E104" s="34" t="str">
        <f ca="1">_xll.DBRW($B$9,$C$14,$C$15,E$20,D$19,$C$16,$C104,$B104,E$21)</f>
        <v/>
      </c>
      <c r="F104" s="34" t="str">
        <f ca="1">_xll.DBRW($B$9,$C$14,$C$15,F$20,F$19,$C$16,$C104,$B104,F$21)</f>
        <v/>
      </c>
      <c r="G104" s="34" t="str">
        <f ca="1">_xll.DBRW($B$9,$C$14,$C$15,G$20,F$19,$C$16,$C104,$B104,G$21)</f>
        <v/>
      </c>
      <c r="H104" s="34" t="str">
        <f ca="1">_xll.DBRW($B$9,$C$14,$C$15,H$20,H$19,$C$16,$C104,$B104,H$21)</f>
        <v/>
      </c>
      <c r="I104" s="34" t="str">
        <f ca="1">_xll.DBRW($B$9,$C$14,$C$15,I$20,H$19,$C$16,$C104,$B104,I$21)</f>
        <v/>
      </c>
      <c r="J104" s="34" t="str">
        <f ca="1">_xll.DBRW($B$9,$C$14,$C$15,J$20,J$19,$C$16,$C104,$B104,J$21)</f>
        <v/>
      </c>
      <c r="K104" s="34" t="str">
        <f ca="1">_xll.DBRW($B$9,$C$14,$C$15,K$20,J$19,$C$16,$C104,$B104,K$21)</f>
        <v/>
      </c>
      <c r="L104" s="34" t="str">
        <f ca="1">_xll.DBRW($B$9,$C$14,$C$15,L$20,L$19,$C$16,$C104,$B104,L$21)</f>
        <v/>
      </c>
      <c r="M104" s="34" t="str">
        <f ca="1">_xll.DBRW($B$9,$C$14,$C$15,M$20,L$19,$C$16,$C104,$B104,M$21)</f>
        <v/>
      </c>
      <c r="N104" s="34" t="str">
        <f ca="1">_xll.DBRW($B$9,$C$14,$C$15,N$20,N$19,$C$16,$C104,$B104,N$21)</f>
        <v/>
      </c>
      <c r="O104" s="34" t="str">
        <f ca="1">_xll.DBRW($B$9,$C$14,$C$15,O$20,N$19,$C$16,$C104,$B104,O$21)</f>
        <v/>
      </c>
      <c r="P104" s="34" t="str">
        <f ca="1">_xll.DBRW($B$9,$C$14,$C$15,P$20,$P$19,$C$16,$C104,$B104,P$21)</f>
        <v/>
      </c>
      <c r="Q104" s="34" t="str">
        <f ca="1">_xll.DBRW($B$9,$C$14,$C$15,Q$20,$P$19,$C$16,$C104,$B104,Q$21)</f>
        <v/>
      </c>
    </row>
    <row r="105" spans="1:17" x14ac:dyDescent="0.25">
      <c r="A105">
        <f ca="1">IF(_xll.TM1RPTELISCONSOLIDATED($C$22,$C105),IF(_xll.TM1RPTELLEV($C$22,$C105)&lt;=3,_xll.TM1RPTELLEV($C$22,$C105),"D"),"N")</f>
        <v>1</v>
      </c>
      <c r="B105" s="8" t="s">
        <v>62</v>
      </c>
      <c r="C105" s="39" t="s">
        <v>36</v>
      </c>
      <c r="D105" s="34" t="str">
        <f ca="1">_xll.DBRW($B$9,$C$14,$C$15,D$20,D$19,$C$16,$C105,$B105,D$21)</f>
        <v/>
      </c>
      <c r="E105" s="34" t="str">
        <f ca="1">_xll.DBRW($B$9,$C$14,$C$15,E$20,D$19,$C$16,$C105,$B105,E$21)</f>
        <v/>
      </c>
      <c r="F105" s="34" t="str">
        <f ca="1">_xll.DBRW($B$9,$C$14,$C$15,F$20,F$19,$C$16,$C105,$B105,F$21)</f>
        <v/>
      </c>
      <c r="G105" s="34" t="str">
        <f ca="1">_xll.DBRW($B$9,$C$14,$C$15,G$20,F$19,$C$16,$C105,$B105,G$21)</f>
        <v/>
      </c>
      <c r="H105" s="34" t="str">
        <f ca="1">_xll.DBRW($B$9,$C$14,$C$15,H$20,H$19,$C$16,$C105,$B105,H$21)</f>
        <v/>
      </c>
      <c r="I105" s="34" t="str">
        <f ca="1">_xll.DBRW($B$9,$C$14,$C$15,I$20,H$19,$C$16,$C105,$B105,I$21)</f>
        <v/>
      </c>
      <c r="J105" s="34" t="str">
        <f ca="1">_xll.DBRW($B$9,$C$14,$C$15,J$20,J$19,$C$16,$C105,$B105,J$21)</f>
        <v/>
      </c>
      <c r="K105" s="34" t="str">
        <f ca="1">_xll.DBRW($B$9,$C$14,$C$15,K$20,J$19,$C$16,$C105,$B105,K$21)</f>
        <v/>
      </c>
      <c r="L105" s="34" t="str">
        <f ca="1">_xll.DBRW($B$9,$C$14,$C$15,L$20,L$19,$C$16,$C105,$B105,L$21)</f>
        <v/>
      </c>
      <c r="M105" s="34" t="str">
        <f ca="1">_xll.DBRW($B$9,$C$14,$C$15,M$20,L$19,$C$16,$C105,$B105,M$21)</f>
        <v/>
      </c>
      <c r="N105" s="34" t="str">
        <f ca="1">_xll.DBRW($B$9,$C$14,$C$15,N$20,N$19,$C$16,$C105,$B105,N$21)</f>
        <v/>
      </c>
      <c r="O105" s="34" t="str">
        <f ca="1">_xll.DBRW($B$9,$C$14,$C$15,O$20,N$19,$C$16,$C105,$B105,O$21)</f>
        <v/>
      </c>
      <c r="P105" s="34" t="str">
        <f ca="1">_xll.DBRW($B$9,$C$14,$C$15,P$20,$P$19,$C$16,$C105,$B105,P$21)</f>
        <v/>
      </c>
      <c r="Q105" s="34" t="str">
        <f ca="1">_xll.DBRW($B$9,$C$14,$C$15,Q$20,$P$19,$C$16,$C105,$B105,Q$21)</f>
        <v/>
      </c>
    </row>
    <row r="106" spans="1:17" x14ac:dyDescent="0.25">
      <c r="A106">
        <f ca="1">IF(_xll.TM1RPTELISCONSOLIDATED($C$22,$C106),IF(_xll.TM1RPTELLEV($C$22,$C106)&lt;=3,_xll.TM1RPTELLEV($C$22,$C106),"D"),"N")</f>
        <v>1</v>
      </c>
      <c r="B106" s="8" t="s">
        <v>62</v>
      </c>
      <c r="C106" s="39" t="s">
        <v>37</v>
      </c>
      <c r="D106" s="34" t="str">
        <f ca="1">_xll.DBRW($B$9,$C$14,$C$15,D$20,D$19,$C$16,$C106,$B106,D$21)</f>
        <v/>
      </c>
      <c r="E106" s="34" t="str">
        <f ca="1">_xll.DBRW($B$9,$C$14,$C$15,E$20,D$19,$C$16,$C106,$B106,E$21)</f>
        <v/>
      </c>
      <c r="F106" s="34" t="str">
        <f ca="1">_xll.DBRW($B$9,$C$14,$C$15,F$20,F$19,$C$16,$C106,$B106,F$21)</f>
        <v/>
      </c>
      <c r="G106" s="34" t="str">
        <f ca="1">_xll.DBRW($B$9,$C$14,$C$15,G$20,F$19,$C$16,$C106,$B106,G$21)</f>
        <v/>
      </c>
      <c r="H106" s="34" t="str">
        <f ca="1">_xll.DBRW($B$9,$C$14,$C$15,H$20,H$19,$C$16,$C106,$B106,H$21)</f>
        <v/>
      </c>
      <c r="I106" s="34" t="str">
        <f ca="1">_xll.DBRW($B$9,$C$14,$C$15,I$20,H$19,$C$16,$C106,$B106,I$21)</f>
        <v/>
      </c>
      <c r="J106" s="34" t="str">
        <f ca="1">_xll.DBRW($B$9,$C$14,$C$15,J$20,J$19,$C$16,$C106,$B106,J$21)</f>
        <v/>
      </c>
      <c r="K106" s="34" t="str">
        <f ca="1">_xll.DBRW($B$9,$C$14,$C$15,K$20,J$19,$C$16,$C106,$B106,K$21)</f>
        <v/>
      </c>
      <c r="L106" s="34" t="str">
        <f ca="1">_xll.DBRW($B$9,$C$14,$C$15,L$20,L$19,$C$16,$C106,$B106,L$21)</f>
        <v/>
      </c>
      <c r="M106" s="34" t="str">
        <f ca="1">_xll.DBRW($B$9,$C$14,$C$15,M$20,L$19,$C$16,$C106,$B106,M$21)</f>
        <v/>
      </c>
      <c r="N106" s="34" t="str">
        <f ca="1">_xll.DBRW($B$9,$C$14,$C$15,N$20,N$19,$C$16,$C106,$B106,N$21)</f>
        <v/>
      </c>
      <c r="O106" s="34" t="str">
        <f ca="1">_xll.DBRW($B$9,$C$14,$C$15,O$20,N$19,$C$16,$C106,$B106,O$21)</f>
        <v/>
      </c>
      <c r="P106" s="34" t="str">
        <f ca="1">_xll.DBRW($B$9,$C$14,$C$15,P$20,$P$19,$C$16,$C106,$B106,P$21)</f>
        <v/>
      </c>
      <c r="Q106" s="34" t="str">
        <f ca="1">_xll.DBRW($B$9,$C$14,$C$15,Q$20,$P$19,$C$16,$C106,$B106,Q$21)</f>
        <v/>
      </c>
    </row>
    <row r="107" spans="1:17" x14ac:dyDescent="0.25">
      <c r="A107">
        <f ca="1">IF(_xll.TM1RPTELISCONSOLIDATED($C$22,$C107),IF(_xll.TM1RPTELLEV($C$22,$C107)&lt;=3,_xll.TM1RPTELLEV($C$22,$C107),"D"),"N")</f>
        <v>1</v>
      </c>
      <c r="B107" s="8" t="s">
        <v>62</v>
      </c>
      <c r="C107" s="39" t="s">
        <v>38</v>
      </c>
      <c r="D107" s="34" t="str">
        <f ca="1">_xll.DBRW($B$9,$C$14,$C$15,D$20,D$19,$C$16,$C107,$B107,D$21)</f>
        <v/>
      </c>
      <c r="E107" s="34" t="str">
        <f ca="1">_xll.DBRW($B$9,$C$14,$C$15,E$20,D$19,$C$16,$C107,$B107,E$21)</f>
        <v/>
      </c>
      <c r="F107" s="34" t="str">
        <f ca="1">_xll.DBRW($B$9,$C$14,$C$15,F$20,F$19,$C$16,$C107,$B107,F$21)</f>
        <v/>
      </c>
      <c r="G107" s="34" t="str">
        <f ca="1">_xll.DBRW($B$9,$C$14,$C$15,G$20,F$19,$C$16,$C107,$B107,G$21)</f>
        <v/>
      </c>
      <c r="H107" s="34" t="str">
        <f ca="1">_xll.DBRW($B$9,$C$14,$C$15,H$20,H$19,$C$16,$C107,$B107,H$21)</f>
        <v/>
      </c>
      <c r="I107" s="34" t="str">
        <f ca="1">_xll.DBRW($B$9,$C$14,$C$15,I$20,H$19,$C$16,$C107,$B107,I$21)</f>
        <v/>
      </c>
      <c r="J107" s="34" t="str">
        <f ca="1">_xll.DBRW($B$9,$C$14,$C$15,J$20,J$19,$C$16,$C107,$B107,J$21)</f>
        <v/>
      </c>
      <c r="K107" s="34" t="str">
        <f ca="1">_xll.DBRW($B$9,$C$14,$C$15,K$20,J$19,$C$16,$C107,$B107,K$21)</f>
        <v/>
      </c>
      <c r="L107" s="34" t="str">
        <f ca="1">_xll.DBRW($B$9,$C$14,$C$15,L$20,L$19,$C$16,$C107,$B107,L$21)</f>
        <v/>
      </c>
      <c r="M107" s="34" t="str">
        <f ca="1">_xll.DBRW($B$9,$C$14,$C$15,M$20,L$19,$C$16,$C107,$B107,M$21)</f>
        <v/>
      </c>
      <c r="N107" s="34" t="str">
        <f ca="1">_xll.DBRW($B$9,$C$14,$C$15,N$20,N$19,$C$16,$C107,$B107,N$21)</f>
        <v/>
      </c>
      <c r="O107" s="34" t="str">
        <f ca="1">_xll.DBRW($B$9,$C$14,$C$15,O$20,N$19,$C$16,$C107,$B107,O$21)</f>
        <v/>
      </c>
      <c r="P107" s="34" t="str">
        <f ca="1">_xll.DBRW($B$9,$C$14,$C$15,P$20,$P$19,$C$16,$C107,$B107,P$21)</f>
        <v/>
      </c>
      <c r="Q107" s="34" t="str">
        <f ca="1">_xll.DBRW($B$9,$C$14,$C$15,Q$20,$P$19,$C$16,$C107,$B107,Q$21)</f>
        <v/>
      </c>
    </row>
    <row r="108" spans="1:17" x14ac:dyDescent="0.25">
      <c r="A108">
        <f ca="1">IF(_xll.TM1RPTELISCONSOLIDATED($C$22,$C108),IF(_xll.TM1RPTELLEV($C$22,$C108)&lt;=3,_xll.TM1RPTELLEV($C$22,$C108),"D"),"N")</f>
        <v>1</v>
      </c>
      <c r="B108" s="8" t="s">
        <v>62</v>
      </c>
      <c r="C108" s="39" t="s">
        <v>39</v>
      </c>
      <c r="D108" s="34" t="str">
        <f ca="1">_xll.DBRW($B$9,$C$14,$C$15,D$20,D$19,$C$16,$C108,$B108,D$21)</f>
        <v/>
      </c>
      <c r="E108" s="34" t="str">
        <f ca="1">_xll.DBRW($B$9,$C$14,$C$15,E$20,D$19,$C$16,$C108,$B108,E$21)</f>
        <v/>
      </c>
      <c r="F108" s="34" t="str">
        <f ca="1">_xll.DBRW($B$9,$C$14,$C$15,F$20,F$19,$C$16,$C108,$B108,F$21)</f>
        <v/>
      </c>
      <c r="G108" s="34" t="str">
        <f ca="1">_xll.DBRW($B$9,$C$14,$C$15,G$20,F$19,$C$16,$C108,$B108,G$21)</f>
        <v/>
      </c>
      <c r="H108" s="34" t="str">
        <f ca="1">_xll.DBRW($B$9,$C$14,$C$15,H$20,H$19,$C$16,$C108,$B108,H$21)</f>
        <v/>
      </c>
      <c r="I108" s="34" t="str">
        <f ca="1">_xll.DBRW($B$9,$C$14,$C$15,I$20,H$19,$C$16,$C108,$B108,I$21)</f>
        <v/>
      </c>
      <c r="J108" s="34" t="str">
        <f ca="1">_xll.DBRW($B$9,$C$14,$C$15,J$20,J$19,$C$16,$C108,$B108,J$21)</f>
        <v/>
      </c>
      <c r="K108" s="34" t="str">
        <f ca="1">_xll.DBRW($B$9,$C$14,$C$15,K$20,J$19,$C$16,$C108,$B108,K$21)</f>
        <v/>
      </c>
      <c r="L108" s="34" t="str">
        <f ca="1">_xll.DBRW($B$9,$C$14,$C$15,L$20,L$19,$C$16,$C108,$B108,L$21)</f>
        <v/>
      </c>
      <c r="M108" s="34" t="str">
        <f ca="1">_xll.DBRW($B$9,$C$14,$C$15,M$20,L$19,$C$16,$C108,$B108,M$21)</f>
        <v/>
      </c>
      <c r="N108" s="34" t="str">
        <f ca="1">_xll.DBRW($B$9,$C$14,$C$15,N$20,N$19,$C$16,$C108,$B108,N$21)</f>
        <v/>
      </c>
      <c r="O108" s="34" t="str">
        <f ca="1">_xll.DBRW($B$9,$C$14,$C$15,O$20,N$19,$C$16,$C108,$B108,O$21)</f>
        <v/>
      </c>
      <c r="P108" s="34" t="str">
        <f ca="1">_xll.DBRW($B$9,$C$14,$C$15,P$20,$P$19,$C$16,$C108,$B108,P$21)</f>
        <v/>
      </c>
      <c r="Q108" s="34" t="str">
        <f ca="1">_xll.DBRW($B$9,$C$14,$C$15,Q$20,$P$19,$C$16,$C108,$B108,Q$21)</f>
        <v/>
      </c>
    </row>
    <row r="109" spans="1:17" x14ac:dyDescent="0.25">
      <c r="A109">
        <f ca="1">IF(_xll.TM1RPTELISCONSOLIDATED($C$22,$C109),IF(_xll.TM1RPTELLEV($C$22,$C109)&lt;=3,_xll.TM1RPTELLEV($C$22,$C109),"D"),"N")</f>
        <v>1</v>
      </c>
      <c r="B109" s="8" t="s">
        <v>62</v>
      </c>
      <c r="C109" s="39" t="s">
        <v>40</v>
      </c>
      <c r="D109" s="34" t="str">
        <f ca="1">_xll.DBRW($B$9,$C$14,$C$15,D$20,D$19,$C$16,$C109,$B109,D$21)</f>
        <v/>
      </c>
      <c r="E109" s="34" t="str">
        <f ca="1">_xll.DBRW($B$9,$C$14,$C$15,E$20,D$19,$C$16,$C109,$B109,E$21)</f>
        <v/>
      </c>
      <c r="F109" s="34" t="str">
        <f ca="1">_xll.DBRW($B$9,$C$14,$C$15,F$20,F$19,$C$16,$C109,$B109,F$21)</f>
        <v/>
      </c>
      <c r="G109" s="34" t="str">
        <f ca="1">_xll.DBRW($B$9,$C$14,$C$15,G$20,F$19,$C$16,$C109,$B109,G$21)</f>
        <v/>
      </c>
      <c r="H109" s="34" t="str">
        <f ca="1">_xll.DBRW($B$9,$C$14,$C$15,H$20,H$19,$C$16,$C109,$B109,H$21)</f>
        <v/>
      </c>
      <c r="I109" s="34" t="str">
        <f ca="1">_xll.DBRW($B$9,$C$14,$C$15,I$20,H$19,$C$16,$C109,$B109,I$21)</f>
        <v/>
      </c>
      <c r="J109" s="34" t="str">
        <f ca="1">_xll.DBRW($B$9,$C$14,$C$15,J$20,J$19,$C$16,$C109,$B109,J$21)</f>
        <v/>
      </c>
      <c r="K109" s="34" t="str">
        <f ca="1">_xll.DBRW($B$9,$C$14,$C$15,K$20,J$19,$C$16,$C109,$B109,K$21)</f>
        <v/>
      </c>
      <c r="L109" s="34" t="str">
        <f ca="1">_xll.DBRW($B$9,$C$14,$C$15,L$20,L$19,$C$16,$C109,$B109,L$21)</f>
        <v/>
      </c>
      <c r="M109" s="34" t="str">
        <f ca="1">_xll.DBRW($B$9,$C$14,$C$15,M$20,L$19,$C$16,$C109,$B109,M$21)</f>
        <v/>
      </c>
      <c r="N109" s="34" t="str">
        <f ca="1">_xll.DBRW($B$9,$C$14,$C$15,N$20,N$19,$C$16,$C109,$B109,N$21)</f>
        <v/>
      </c>
      <c r="O109" s="34" t="str">
        <f ca="1">_xll.DBRW($B$9,$C$14,$C$15,O$20,N$19,$C$16,$C109,$B109,O$21)</f>
        <v/>
      </c>
      <c r="P109" s="34" t="str">
        <f ca="1">_xll.DBRW($B$9,$C$14,$C$15,P$20,$P$19,$C$16,$C109,$B109,P$21)</f>
        <v/>
      </c>
      <c r="Q109" s="34" t="str">
        <f ca="1">_xll.DBRW($B$9,$C$14,$C$15,Q$20,$P$19,$C$16,$C109,$B109,Q$21)</f>
        <v/>
      </c>
    </row>
    <row r="110" spans="1:17" x14ac:dyDescent="0.25">
      <c r="A110">
        <f ca="1">IF(_xll.TM1RPTELISCONSOLIDATED($C$22,$C110),IF(_xll.TM1RPTELLEV($C$22,$C110)&lt;=3,_xll.TM1RPTELLEV($C$22,$C110),"D"),"N")</f>
        <v>1</v>
      </c>
      <c r="B110" s="8" t="s">
        <v>62</v>
      </c>
      <c r="C110" s="39" t="s">
        <v>41</v>
      </c>
      <c r="D110" s="34" t="str">
        <f ca="1">_xll.DBRW($B$9,$C$14,$C$15,D$20,D$19,$C$16,$C110,$B110,D$21)</f>
        <v/>
      </c>
      <c r="E110" s="34" t="str">
        <f ca="1">_xll.DBRW($B$9,$C$14,$C$15,E$20,D$19,$C$16,$C110,$B110,E$21)</f>
        <v/>
      </c>
      <c r="F110" s="34" t="str">
        <f ca="1">_xll.DBRW($B$9,$C$14,$C$15,F$20,F$19,$C$16,$C110,$B110,F$21)</f>
        <v/>
      </c>
      <c r="G110" s="34" t="str">
        <f ca="1">_xll.DBRW($B$9,$C$14,$C$15,G$20,F$19,$C$16,$C110,$B110,G$21)</f>
        <v/>
      </c>
      <c r="H110" s="34" t="str">
        <f ca="1">_xll.DBRW($B$9,$C$14,$C$15,H$20,H$19,$C$16,$C110,$B110,H$21)</f>
        <v/>
      </c>
      <c r="I110" s="34" t="str">
        <f ca="1">_xll.DBRW($B$9,$C$14,$C$15,I$20,H$19,$C$16,$C110,$B110,I$21)</f>
        <v/>
      </c>
      <c r="J110" s="34" t="str">
        <f ca="1">_xll.DBRW($B$9,$C$14,$C$15,J$20,J$19,$C$16,$C110,$B110,J$21)</f>
        <v/>
      </c>
      <c r="K110" s="34" t="str">
        <f ca="1">_xll.DBRW($B$9,$C$14,$C$15,K$20,J$19,$C$16,$C110,$B110,K$21)</f>
        <v/>
      </c>
      <c r="L110" s="34" t="str">
        <f ca="1">_xll.DBRW($B$9,$C$14,$C$15,L$20,L$19,$C$16,$C110,$B110,L$21)</f>
        <v/>
      </c>
      <c r="M110" s="34" t="str">
        <f ca="1">_xll.DBRW($B$9,$C$14,$C$15,M$20,L$19,$C$16,$C110,$B110,M$21)</f>
        <v/>
      </c>
      <c r="N110" s="34" t="str">
        <f ca="1">_xll.DBRW($B$9,$C$14,$C$15,N$20,N$19,$C$16,$C110,$B110,N$21)</f>
        <v/>
      </c>
      <c r="O110" s="34" t="str">
        <f ca="1">_xll.DBRW($B$9,$C$14,$C$15,O$20,N$19,$C$16,$C110,$B110,O$21)</f>
        <v/>
      </c>
      <c r="P110" s="34" t="str">
        <f ca="1">_xll.DBRW($B$9,$C$14,$C$15,P$20,$P$19,$C$16,$C110,$B110,P$21)</f>
        <v/>
      </c>
      <c r="Q110" s="34" t="str">
        <f ca="1">_xll.DBRW($B$9,$C$14,$C$15,Q$20,$P$19,$C$16,$C110,$B110,Q$21)</f>
        <v/>
      </c>
    </row>
    <row r="111" spans="1:17" x14ac:dyDescent="0.25">
      <c r="A111">
        <f ca="1">IF(_xll.TM1RPTELISCONSOLIDATED($C$22,$C111),IF(_xll.TM1RPTELLEV($C$22,$C111)&lt;=3,_xll.TM1RPTELLEV($C$22,$C111),"D"),"N")</f>
        <v>1</v>
      </c>
      <c r="B111" s="8" t="s">
        <v>62</v>
      </c>
      <c r="C111" s="39" t="s">
        <v>42</v>
      </c>
      <c r="D111" s="34" t="str">
        <f ca="1">_xll.DBRW($B$9,$C$14,$C$15,D$20,D$19,$C$16,$C111,$B111,D$21)</f>
        <v/>
      </c>
      <c r="E111" s="34" t="str">
        <f ca="1">_xll.DBRW($B$9,$C$14,$C$15,E$20,D$19,$C$16,$C111,$B111,E$21)</f>
        <v/>
      </c>
      <c r="F111" s="34" t="str">
        <f ca="1">_xll.DBRW($B$9,$C$14,$C$15,F$20,F$19,$C$16,$C111,$B111,F$21)</f>
        <v/>
      </c>
      <c r="G111" s="34" t="str">
        <f ca="1">_xll.DBRW($B$9,$C$14,$C$15,G$20,F$19,$C$16,$C111,$B111,G$21)</f>
        <v/>
      </c>
      <c r="H111" s="34" t="str">
        <f ca="1">_xll.DBRW($B$9,$C$14,$C$15,H$20,H$19,$C$16,$C111,$B111,H$21)</f>
        <v/>
      </c>
      <c r="I111" s="34" t="str">
        <f ca="1">_xll.DBRW($B$9,$C$14,$C$15,I$20,H$19,$C$16,$C111,$B111,I$21)</f>
        <v/>
      </c>
      <c r="J111" s="34" t="str">
        <f ca="1">_xll.DBRW($B$9,$C$14,$C$15,J$20,J$19,$C$16,$C111,$B111,J$21)</f>
        <v/>
      </c>
      <c r="K111" s="34" t="str">
        <f ca="1">_xll.DBRW($B$9,$C$14,$C$15,K$20,J$19,$C$16,$C111,$B111,K$21)</f>
        <v/>
      </c>
      <c r="L111" s="34" t="str">
        <f ca="1">_xll.DBRW($B$9,$C$14,$C$15,L$20,L$19,$C$16,$C111,$B111,L$21)</f>
        <v/>
      </c>
      <c r="M111" s="34" t="str">
        <f ca="1">_xll.DBRW($B$9,$C$14,$C$15,M$20,L$19,$C$16,$C111,$B111,M$21)</f>
        <v/>
      </c>
      <c r="N111" s="34" t="str">
        <f ca="1">_xll.DBRW($B$9,$C$14,$C$15,N$20,N$19,$C$16,$C111,$B111,N$21)</f>
        <v/>
      </c>
      <c r="O111" s="34" t="str">
        <f ca="1">_xll.DBRW($B$9,$C$14,$C$15,O$20,N$19,$C$16,$C111,$B111,O$21)</f>
        <v/>
      </c>
      <c r="P111" s="34" t="str">
        <f ca="1">_xll.DBRW($B$9,$C$14,$C$15,P$20,$P$19,$C$16,$C111,$B111,P$21)</f>
        <v/>
      </c>
      <c r="Q111" s="34" t="str">
        <f ca="1">_xll.DBRW($B$9,$C$14,$C$15,Q$20,$P$19,$C$16,$C111,$B111,Q$21)</f>
        <v/>
      </c>
    </row>
    <row r="112" spans="1:17" x14ac:dyDescent="0.25">
      <c r="A112">
        <f ca="1">IF(_xll.TM1RPTELISCONSOLIDATED($C$22,$C112),IF(_xll.TM1RPTELLEV($C$22,$C112)&lt;=3,_xll.TM1RPTELLEV($C$22,$C112),"D"),"N")</f>
        <v>0</v>
      </c>
      <c r="B112" s="5" t="s">
        <v>63</v>
      </c>
      <c r="C112" s="38" t="s">
        <v>35</v>
      </c>
      <c r="D112" s="33" t="str">
        <f ca="1">_xll.DBRW($B$9,$C$14,$C$15,D$20,D$19,$C$16,$C112,$B112,D$21)</f>
        <v/>
      </c>
      <c r="E112" s="33" t="str">
        <f ca="1">_xll.DBRW($B$9,$C$14,$C$15,E$20,D$19,$C$16,$C112,$B112,E$21)</f>
        <v/>
      </c>
      <c r="F112" s="33" t="str">
        <f ca="1">_xll.DBRW($B$9,$C$14,$C$15,F$20,F$19,$C$16,$C112,$B112,F$21)</f>
        <v/>
      </c>
      <c r="G112" s="33" t="str">
        <f ca="1">_xll.DBRW($B$9,$C$14,$C$15,G$20,F$19,$C$16,$C112,$B112,G$21)</f>
        <v/>
      </c>
      <c r="H112" s="33" t="str">
        <f ca="1">_xll.DBRW($B$9,$C$14,$C$15,H$20,H$19,$C$16,$C112,$B112,H$21)</f>
        <v/>
      </c>
      <c r="I112" s="33" t="str">
        <f ca="1">_xll.DBRW($B$9,$C$14,$C$15,I$20,H$19,$C$16,$C112,$B112,I$21)</f>
        <v/>
      </c>
      <c r="J112" s="33" t="str">
        <f ca="1">_xll.DBRW($B$9,$C$14,$C$15,J$20,J$19,$C$16,$C112,$B112,J$21)</f>
        <v/>
      </c>
      <c r="K112" s="33" t="str">
        <f ca="1">_xll.DBRW($B$9,$C$14,$C$15,K$20,J$19,$C$16,$C112,$B112,K$21)</f>
        <v/>
      </c>
      <c r="L112" s="33" t="str">
        <f ca="1">_xll.DBRW($B$9,$C$14,$C$15,L$20,L$19,$C$16,$C112,$B112,L$21)</f>
        <v/>
      </c>
      <c r="M112" s="33" t="str">
        <f ca="1">_xll.DBRW($B$9,$C$14,$C$15,M$20,L$19,$C$16,$C112,$B112,M$21)</f>
        <v/>
      </c>
      <c r="N112" s="33" t="str">
        <f ca="1">_xll.DBRW($B$9,$C$14,$C$15,N$20,N$19,$C$16,$C112,$B112,N$21)</f>
        <v/>
      </c>
      <c r="O112" s="33" t="str">
        <f ca="1">_xll.DBRW($B$9,$C$14,$C$15,O$20,N$19,$C$16,$C112,$B112,O$21)</f>
        <v/>
      </c>
      <c r="P112" s="33" t="str">
        <f ca="1">_xll.DBRW($B$9,$C$14,$C$15,P$20,$P$19,$C$16,$C112,$B112,P$21)</f>
        <v/>
      </c>
      <c r="Q112" s="33" t="str">
        <f ca="1">_xll.DBRW($B$9,$C$14,$C$15,Q$20,$P$19,$C$16,$C112,$B112,Q$21)</f>
        <v/>
      </c>
    </row>
    <row r="113" spans="1:17" x14ac:dyDescent="0.25">
      <c r="A113">
        <f ca="1">IF(_xll.TM1RPTELISCONSOLIDATED($C$22,$C113),IF(_xll.TM1RPTELLEV($C$22,$C113)&lt;=3,_xll.TM1RPTELLEV($C$22,$C113),"D"),"N")</f>
        <v>1</v>
      </c>
      <c r="B113" s="8" t="s">
        <v>63</v>
      </c>
      <c r="C113" s="39" t="s">
        <v>43</v>
      </c>
      <c r="D113" s="34" t="str">
        <f ca="1">_xll.DBRW($B$9,$C$14,$C$15,D$20,D$19,$C$16,$C113,$B113,D$21)</f>
        <v/>
      </c>
      <c r="E113" s="34" t="str">
        <f ca="1">_xll.DBRW($B$9,$C$14,$C$15,E$20,D$19,$C$16,$C113,$B113,E$21)</f>
        <v/>
      </c>
      <c r="F113" s="34" t="str">
        <f ca="1">_xll.DBRW($B$9,$C$14,$C$15,F$20,F$19,$C$16,$C113,$B113,F$21)</f>
        <v/>
      </c>
      <c r="G113" s="34" t="str">
        <f ca="1">_xll.DBRW($B$9,$C$14,$C$15,G$20,F$19,$C$16,$C113,$B113,G$21)</f>
        <v/>
      </c>
      <c r="H113" s="34" t="str">
        <f ca="1">_xll.DBRW($B$9,$C$14,$C$15,H$20,H$19,$C$16,$C113,$B113,H$21)</f>
        <v/>
      </c>
      <c r="I113" s="34" t="str">
        <f ca="1">_xll.DBRW($B$9,$C$14,$C$15,I$20,H$19,$C$16,$C113,$B113,I$21)</f>
        <v/>
      </c>
      <c r="J113" s="34" t="str">
        <f ca="1">_xll.DBRW($B$9,$C$14,$C$15,J$20,J$19,$C$16,$C113,$B113,J$21)</f>
        <v/>
      </c>
      <c r="K113" s="34" t="str">
        <f ca="1">_xll.DBRW($B$9,$C$14,$C$15,K$20,J$19,$C$16,$C113,$B113,K$21)</f>
        <v/>
      </c>
      <c r="L113" s="34" t="str">
        <f ca="1">_xll.DBRW($B$9,$C$14,$C$15,L$20,L$19,$C$16,$C113,$B113,L$21)</f>
        <v/>
      </c>
      <c r="M113" s="34" t="str">
        <f ca="1">_xll.DBRW($B$9,$C$14,$C$15,M$20,L$19,$C$16,$C113,$B113,M$21)</f>
        <v/>
      </c>
      <c r="N113" s="34" t="str">
        <f ca="1">_xll.DBRW($B$9,$C$14,$C$15,N$20,N$19,$C$16,$C113,$B113,N$21)</f>
        <v/>
      </c>
      <c r="O113" s="34" t="str">
        <f ca="1">_xll.DBRW($B$9,$C$14,$C$15,O$20,N$19,$C$16,$C113,$B113,O$21)</f>
        <v/>
      </c>
      <c r="P113" s="34" t="str">
        <f ca="1">_xll.DBRW($B$9,$C$14,$C$15,P$20,$P$19,$C$16,$C113,$B113,P$21)</f>
        <v/>
      </c>
      <c r="Q113" s="34" t="str">
        <f ca="1">_xll.DBRW($B$9,$C$14,$C$15,Q$20,$P$19,$C$16,$C113,$B113,Q$21)</f>
        <v/>
      </c>
    </row>
    <row r="114" spans="1:17" x14ac:dyDescent="0.25">
      <c r="A114">
        <f ca="1">IF(_xll.TM1RPTELISCONSOLIDATED($C$22,$C114),IF(_xll.TM1RPTELLEV($C$22,$C114)&lt;=3,_xll.TM1RPTELLEV($C$22,$C114),"D"),"N")</f>
        <v>1</v>
      </c>
      <c r="B114" s="8" t="s">
        <v>63</v>
      </c>
      <c r="C114" s="39" t="s">
        <v>36</v>
      </c>
      <c r="D114" s="34" t="str">
        <f ca="1">_xll.DBRW($B$9,$C$14,$C$15,D$20,D$19,$C$16,$C114,$B114,D$21)</f>
        <v/>
      </c>
      <c r="E114" s="34" t="str">
        <f ca="1">_xll.DBRW($B$9,$C$14,$C$15,E$20,D$19,$C$16,$C114,$B114,E$21)</f>
        <v/>
      </c>
      <c r="F114" s="34" t="str">
        <f ca="1">_xll.DBRW($B$9,$C$14,$C$15,F$20,F$19,$C$16,$C114,$B114,F$21)</f>
        <v/>
      </c>
      <c r="G114" s="34" t="str">
        <f ca="1">_xll.DBRW($B$9,$C$14,$C$15,G$20,F$19,$C$16,$C114,$B114,G$21)</f>
        <v/>
      </c>
      <c r="H114" s="34" t="str">
        <f ca="1">_xll.DBRW($B$9,$C$14,$C$15,H$20,H$19,$C$16,$C114,$B114,H$21)</f>
        <v/>
      </c>
      <c r="I114" s="34" t="str">
        <f ca="1">_xll.DBRW($B$9,$C$14,$C$15,I$20,H$19,$C$16,$C114,$B114,I$21)</f>
        <v/>
      </c>
      <c r="J114" s="34" t="str">
        <f ca="1">_xll.DBRW($B$9,$C$14,$C$15,J$20,J$19,$C$16,$C114,$B114,J$21)</f>
        <v/>
      </c>
      <c r="K114" s="34" t="str">
        <f ca="1">_xll.DBRW($B$9,$C$14,$C$15,K$20,J$19,$C$16,$C114,$B114,K$21)</f>
        <v/>
      </c>
      <c r="L114" s="34" t="str">
        <f ca="1">_xll.DBRW($B$9,$C$14,$C$15,L$20,L$19,$C$16,$C114,$B114,L$21)</f>
        <v/>
      </c>
      <c r="M114" s="34" t="str">
        <f ca="1">_xll.DBRW($B$9,$C$14,$C$15,M$20,L$19,$C$16,$C114,$B114,M$21)</f>
        <v/>
      </c>
      <c r="N114" s="34" t="str">
        <f ca="1">_xll.DBRW($B$9,$C$14,$C$15,N$20,N$19,$C$16,$C114,$B114,N$21)</f>
        <v/>
      </c>
      <c r="O114" s="34" t="str">
        <f ca="1">_xll.DBRW($B$9,$C$14,$C$15,O$20,N$19,$C$16,$C114,$B114,O$21)</f>
        <v/>
      </c>
      <c r="P114" s="34" t="str">
        <f ca="1">_xll.DBRW($B$9,$C$14,$C$15,P$20,$P$19,$C$16,$C114,$B114,P$21)</f>
        <v/>
      </c>
      <c r="Q114" s="34" t="str">
        <f ca="1">_xll.DBRW($B$9,$C$14,$C$15,Q$20,$P$19,$C$16,$C114,$B114,Q$21)</f>
        <v/>
      </c>
    </row>
    <row r="115" spans="1:17" x14ac:dyDescent="0.25">
      <c r="A115">
        <f ca="1">IF(_xll.TM1RPTELISCONSOLIDATED($C$22,$C115),IF(_xll.TM1RPTELLEV($C$22,$C115)&lt;=3,_xll.TM1RPTELLEV($C$22,$C115),"D"),"N")</f>
        <v>1</v>
      </c>
      <c r="B115" s="8" t="s">
        <v>63</v>
      </c>
      <c r="C115" s="39" t="s">
        <v>37</v>
      </c>
      <c r="D115" s="34" t="str">
        <f ca="1">_xll.DBRW($B$9,$C$14,$C$15,D$20,D$19,$C$16,$C115,$B115,D$21)</f>
        <v/>
      </c>
      <c r="E115" s="34" t="str">
        <f ca="1">_xll.DBRW($B$9,$C$14,$C$15,E$20,D$19,$C$16,$C115,$B115,E$21)</f>
        <v/>
      </c>
      <c r="F115" s="34" t="str">
        <f ca="1">_xll.DBRW($B$9,$C$14,$C$15,F$20,F$19,$C$16,$C115,$B115,F$21)</f>
        <v/>
      </c>
      <c r="G115" s="34" t="str">
        <f ca="1">_xll.DBRW($B$9,$C$14,$C$15,G$20,F$19,$C$16,$C115,$B115,G$21)</f>
        <v/>
      </c>
      <c r="H115" s="34" t="str">
        <f ca="1">_xll.DBRW($B$9,$C$14,$C$15,H$20,H$19,$C$16,$C115,$B115,H$21)</f>
        <v/>
      </c>
      <c r="I115" s="34" t="str">
        <f ca="1">_xll.DBRW($B$9,$C$14,$C$15,I$20,H$19,$C$16,$C115,$B115,I$21)</f>
        <v/>
      </c>
      <c r="J115" s="34" t="str">
        <f ca="1">_xll.DBRW($B$9,$C$14,$C$15,J$20,J$19,$C$16,$C115,$B115,J$21)</f>
        <v/>
      </c>
      <c r="K115" s="34" t="str">
        <f ca="1">_xll.DBRW($B$9,$C$14,$C$15,K$20,J$19,$C$16,$C115,$B115,K$21)</f>
        <v/>
      </c>
      <c r="L115" s="34" t="str">
        <f ca="1">_xll.DBRW($B$9,$C$14,$C$15,L$20,L$19,$C$16,$C115,$B115,L$21)</f>
        <v/>
      </c>
      <c r="M115" s="34" t="str">
        <f ca="1">_xll.DBRW($B$9,$C$14,$C$15,M$20,L$19,$C$16,$C115,$B115,M$21)</f>
        <v/>
      </c>
      <c r="N115" s="34" t="str">
        <f ca="1">_xll.DBRW($B$9,$C$14,$C$15,N$20,N$19,$C$16,$C115,$B115,N$21)</f>
        <v/>
      </c>
      <c r="O115" s="34" t="str">
        <f ca="1">_xll.DBRW($B$9,$C$14,$C$15,O$20,N$19,$C$16,$C115,$B115,O$21)</f>
        <v/>
      </c>
      <c r="P115" s="34" t="str">
        <f ca="1">_xll.DBRW($B$9,$C$14,$C$15,P$20,$P$19,$C$16,$C115,$B115,P$21)</f>
        <v/>
      </c>
      <c r="Q115" s="34" t="str">
        <f ca="1">_xll.DBRW($B$9,$C$14,$C$15,Q$20,$P$19,$C$16,$C115,$B115,Q$21)</f>
        <v/>
      </c>
    </row>
    <row r="116" spans="1:17" x14ac:dyDescent="0.25">
      <c r="A116">
        <f ca="1">IF(_xll.TM1RPTELISCONSOLIDATED($C$22,$C116),IF(_xll.TM1RPTELLEV($C$22,$C116)&lt;=3,_xll.TM1RPTELLEV($C$22,$C116),"D"),"N")</f>
        <v>1</v>
      </c>
      <c r="B116" s="8" t="s">
        <v>63</v>
      </c>
      <c r="C116" s="39" t="s">
        <v>38</v>
      </c>
      <c r="D116" s="34" t="str">
        <f ca="1">_xll.DBRW($B$9,$C$14,$C$15,D$20,D$19,$C$16,$C116,$B116,D$21)</f>
        <v/>
      </c>
      <c r="E116" s="34" t="str">
        <f ca="1">_xll.DBRW($B$9,$C$14,$C$15,E$20,D$19,$C$16,$C116,$B116,E$21)</f>
        <v/>
      </c>
      <c r="F116" s="34" t="str">
        <f ca="1">_xll.DBRW($B$9,$C$14,$C$15,F$20,F$19,$C$16,$C116,$B116,F$21)</f>
        <v/>
      </c>
      <c r="G116" s="34" t="str">
        <f ca="1">_xll.DBRW($B$9,$C$14,$C$15,G$20,F$19,$C$16,$C116,$B116,G$21)</f>
        <v/>
      </c>
      <c r="H116" s="34" t="str">
        <f ca="1">_xll.DBRW($B$9,$C$14,$C$15,H$20,H$19,$C$16,$C116,$B116,H$21)</f>
        <v/>
      </c>
      <c r="I116" s="34" t="str">
        <f ca="1">_xll.DBRW($B$9,$C$14,$C$15,I$20,H$19,$C$16,$C116,$B116,I$21)</f>
        <v/>
      </c>
      <c r="J116" s="34" t="str">
        <f ca="1">_xll.DBRW($B$9,$C$14,$C$15,J$20,J$19,$C$16,$C116,$B116,J$21)</f>
        <v/>
      </c>
      <c r="K116" s="34" t="str">
        <f ca="1">_xll.DBRW($B$9,$C$14,$C$15,K$20,J$19,$C$16,$C116,$B116,K$21)</f>
        <v/>
      </c>
      <c r="L116" s="34" t="str">
        <f ca="1">_xll.DBRW($B$9,$C$14,$C$15,L$20,L$19,$C$16,$C116,$B116,L$21)</f>
        <v/>
      </c>
      <c r="M116" s="34" t="str">
        <f ca="1">_xll.DBRW($B$9,$C$14,$C$15,M$20,L$19,$C$16,$C116,$B116,M$21)</f>
        <v/>
      </c>
      <c r="N116" s="34" t="str">
        <f ca="1">_xll.DBRW($B$9,$C$14,$C$15,N$20,N$19,$C$16,$C116,$B116,N$21)</f>
        <v/>
      </c>
      <c r="O116" s="34" t="str">
        <f ca="1">_xll.DBRW($B$9,$C$14,$C$15,O$20,N$19,$C$16,$C116,$B116,O$21)</f>
        <v/>
      </c>
      <c r="P116" s="34" t="str">
        <f ca="1">_xll.DBRW($B$9,$C$14,$C$15,P$20,$P$19,$C$16,$C116,$B116,P$21)</f>
        <v/>
      </c>
      <c r="Q116" s="34" t="str">
        <f ca="1">_xll.DBRW($B$9,$C$14,$C$15,Q$20,$P$19,$C$16,$C116,$B116,Q$21)</f>
        <v/>
      </c>
    </row>
    <row r="117" spans="1:17" x14ac:dyDescent="0.25">
      <c r="A117">
        <f ca="1">IF(_xll.TM1RPTELISCONSOLIDATED($C$22,$C117),IF(_xll.TM1RPTELLEV($C$22,$C117)&lt;=3,_xll.TM1RPTELLEV($C$22,$C117),"D"),"N")</f>
        <v>1</v>
      </c>
      <c r="B117" s="8" t="s">
        <v>63</v>
      </c>
      <c r="C117" s="39" t="s">
        <v>39</v>
      </c>
      <c r="D117" s="34" t="str">
        <f ca="1">_xll.DBRW($B$9,$C$14,$C$15,D$20,D$19,$C$16,$C117,$B117,D$21)</f>
        <v/>
      </c>
      <c r="E117" s="34" t="str">
        <f ca="1">_xll.DBRW($B$9,$C$14,$C$15,E$20,D$19,$C$16,$C117,$B117,E$21)</f>
        <v/>
      </c>
      <c r="F117" s="34" t="str">
        <f ca="1">_xll.DBRW($B$9,$C$14,$C$15,F$20,F$19,$C$16,$C117,$B117,F$21)</f>
        <v/>
      </c>
      <c r="G117" s="34" t="str">
        <f ca="1">_xll.DBRW($B$9,$C$14,$C$15,G$20,F$19,$C$16,$C117,$B117,G$21)</f>
        <v/>
      </c>
      <c r="H117" s="34" t="str">
        <f ca="1">_xll.DBRW($B$9,$C$14,$C$15,H$20,H$19,$C$16,$C117,$B117,H$21)</f>
        <v/>
      </c>
      <c r="I117" s="34" t="str">
        <f ca="1">_xll.DBRW($B$9,$C$14,$C$15,I$20,H$19,$C$16,$C117,$B117,I$21)</f>
        <v/>
      </c>
      <c r="J117" s="34" t="str">
        <f ca="1">_xll.DBRW($B$9,$C$14,$C$15,J$20,J$19,$C$16,$C117,$B117,J$21)</f>
        <v/>
      </c>
      <c r="K117" s="34" t="str">
        <f ca="1">_xll.DBRW($B$9,$C$14,$C$15,K$20,J$19,$C$16,$C117,$B117,K$21)</f>
        <v/>
      </c>
      <c r="L117" s="34" t="str">
        <f ca="1">_xll.DBRW($B$9,$C$14,$C$15,L$20,L$19,$C$16,$C117,$B117,L$21)</f>
        <v/>
      </c>
      <c r="M117" s="34" t="str">
        <f ca="1">_xll.DBRW($B$9,$C$14,$C$15,M$20,L$19,$C$16,$C117,$B117,M$21)</f>
        <v/>
      </c>
      <c r="N117" s="34" t="str">
        <f ca="1">_xll.DBRW($B$9,$C$14,$C$15,N$20,N$19,$C$16,$C117,$B117,N$21)</f>
        <v/>
      </c>
      <c r="O117" s="34" t="str">
        <f ca="1">_xll.DBRW($B$9,$C$14,$C$15,O$20,N$19,$C$16,$C117,$B117,O$21)</f>
        <v/>
      </c>
      <c r="P117" s="34" t="str">
        <f ca="1">_xll.DBRW($B$9,$C$14,$C$15,P$20,$P$19,$C$16,$C117,$B117,P$21)</f>
        <v/>
      </c>
      <c r="Q117" s="34" t="str">
        <f ca="1">_xll.DBRW($B$9,$C$14,$C$15,Q$20,$P$19,$C$16,$C117,$B117,Q$21)</f>
        <v/>
      </c>
    </row>
    <row r="118" spans="1:17" x14ac:dyDescent="0.25">
      <c r="A118">
        <f ca="1">IF(_xll.TM1RPTELISCONSOLIDATED($C$22,$C118),IF(_xll.TM1RPTELLEV($C$22,$C118)&lt;=3,_xll.TM1RPTELLEV($C$22,$C118),"D"),"N")</f>
        <v>1</v>
      </c>
      <c r="B118" s="8" t="s">
        <v>63</v>
      </c>
      <c r="C118" s="39" t="s">
        <v>40</v>
      </c>
      <c r="D118" s="34" t="str">
        <f ca="1">_xll.DBRW($B$9,$C$14,$C$15,D$20,D$19,$C$16,$C118,$B118,D$21)</f>
        <v/>
      </c>
      <c r="E118" s="34" t="str">
        <f ca="1">_xll.DBRW($B$9,$C$14,$C$15,E$20,D$19,$C$16,$C118,$B118,E$21)</f>
        <v/>
      </c>
      <c r="F118" s="34" t="str">
        <f ca="1">_xll.DBRW($B$9,$C$14,$C$15,F$20,F$19,$C$16,$C118,$B118,F$21)</f>
        <v/>
      </c>
      <c r="G118" s="34" t="str">
        <f ca="1">_xll.DBRW($B$9,$C$14,$C$15,G$20,F$19,$C$16,$C118,$B118,G$21)</f>
        <v/>
      </c>
      <c r="H118" s="34" t="str">
        <f ca="1">_xll.DBRW($B$9,$C$14,$C$15,H$20,H$19,$C$16,$C118,$B118,H$21)</f>
        <v/>
      </c>
      <c r="I118" s="34" t="str">
        <f ca="1">_xll.DBRW($B$9,$C$14,$C$15,I$20,H$19,$C$16,$C118,$B118,I$21)</f>
        <v/>
      </c>
      <c r="J118" s="34" t="str">
        <f ca="1">_xll.DBRW($B$9,$C$14,$C$15,J$20,J$19,$C$16,$C118,$B118,J$21)</f>
        <v/>
      </c>
      <c r="K118" s="34" t="str">
        <f ca="1">_xll.DBRW($B$9,$C$14,$C$15,K$20,J$19,$C$16,$C118,$B118,K$21)</f>
        <v/>
      </c>
      <c r="L118" s="34" t="str">
        <f ca="1">_xll.DBRW($B$9,$C$14,$C$15,L$20,L$19,$C$16,$C118,$B118,L$21)</f>
        <v/>
      </c>
      <c r="M118" s="34" t="str">
        <f ca="1">_xll.DBRW($B$9,$C$14,$C$15,M$20,L$19,$C$16,$C118,$B118,M$21)</f>
        <v/>
      </c>
      <c r="N118" s="34" t="str">
        <f ca="1">_xll.DBRW($B$9,$C$14,$C$15,N$20,N$19,$C$16,$C118,$B118,N$21)</f>
        <v/>
      </c>
      <c r="O118" s="34" t="str">
        <f ca="1">_xll.DBRW($B$9,$C$14,$C$15,O$20,N$19,$C$16,$C118,$B118,O$21)</f>
        <v/>
      </c>
      <c r="P118" s="34" t="str">
        <f ca="1">_xll.DBRW($B$9,$C$14,$C$15,P$20,$P$19,$C$16,$C118,$B118,P$21)</f>
        <v/>
      </c>
      <c r="Q118" s="34" t="str">
        <f ca="1">_xll.DBRW($B$9,$C$14,$C$15,Q$20,$P$19,$C$16,$C118,$B118,Q$21)</f>
        <v/>
      </c>
    </row>
    <row r="119" spans="1:17" x14ac:dyDescent="0.25">
      <c r="A119">
        <f ca="1">IF(_xll.TM1RPTELISCONSOLIDATED($C$22,$C119),IF(_xll.TM1RPTELLEV($C$22,$C119)&lt;=3,_xll.TM1RPTELLEV($C$22,$C119),"D"),"N")</f>
        <v>1</v>
      </c>
      <c r="B119" s="8" t="s">
        <v>63</v>
      </c>
      <c r="C119" s="39" t="s">
        <v>41</v>
      </c>
      <c r="D119" s="34" t="str">
        <f ca="1">_xll.DBRW($B$9,$C$14,$C$15,D$20,D$19,$C$16,$C119,$B119,D$21)</f>
        <v/>
      </c>
      <c r="E119" s="34" t="str">
        <f ca="1">_xll.DBRW($B$9,$C$14,$C$15,E$20,D$19,$C$16,$C119,$B119,E$21)</f>
        <v/>
      </c>
      <c r="F119" s="34" t="str">
        <f ca="1">_xll.DBRW($B$9,$C$14,$C$15,F$20,F$19,$C$16,$C119,$B119,F$21)</f>
        <v/>
      </c>
      <c r="G119" s="34" t="str">
        <f ca="1">_xll.DBRW($B$9,$C$14,$C$15,G$20,F$19,$C$16,$C119,$B119,G$21)</f>
        <v/>
      </c>
      <c r="H119" s="34" t="str">
        <f ca="1">_xll.DBRW($B$9,$C$14,$C$15,H$20,H$19,$C$16,$C119,$B119,H$21)</f>
        <v/>
      </c>
      <c r="I119" s="34" t="str">
        <f ca="1">_xll.DBRW($B$9,$C$14,$C$15,I$20,H$19,$C$16,$C119,$B119,I$21)</f>
        <v/>
      </c>
      <c r="J119" s="34" t="str">
        <f ca="1">_xll.DBRW($B$9,$C$14,$C$15,J$20,J$19,$C$16,$C119,$B119,J$21)</f>
        <v/>
      </c>
      <c r="K119" s="34" t="str">
        <f ca="1">_xll.DBRW($B$9,$C$14,$C$15,K$20,J$19,$C$16,$C119,$B119,K$21)</f>
        <v/>
      </c>
      <c r="L119" s="34" t="str">
        <f ca="1">_xll.DBRW($B$9,$C$14,$C$15,L$20,L$19,$C$16,$C119,$B119,L$21)</f>
        <v/>
      </c>
      <c r="M119" s="34" t="str">
        <f ca="1">_xll.DBRW($B$9,$C$14,$C$15,M$20,L$19,$C$16,$C119,$B119,M$21)</f>
        <v/>
      </c>
      <c r="N119" s="34" t="str">
        <f ca="1">_xll.DBRW($B$9,$C$14,$C$15,N$20,N$19,$C$16,$C119,$B119,N$21)</f>
        <v/>
      </c>
      <c r="O119" s="34" t="str">
        <f ca="1">_xll.DBRW($B$9,$C$14,$C$15,O$20,N$19,$C$16,$C119,$B119,O$21)</f>
        <v/>
      </c>
      <c r="P119" s="34" t="str">
        <f ca="1">_xll.DBRW($B$9,$C$14,$C$15,P$20,$P$19,$C$16,$C119,$B119,P$21)</f>
        <v/>
      </c>
      <c r="Q119" s="34" t="str">
        <f ca="1">_xll.DBRW($B$9,$C$14,$C$15,Q$20,$P$19,$C$16,$C119,$B119,Q$21)</f>
        <v/>
      </c>
    </row>
    <row r="120" spans="1:17" x14ac:dyDescent="0.25">
      <c r="A120">
        <f ca="1">IF(_xll.TM1RPTELISCONSOLIDATED($C$22,$C120),IF(_xll.TM1RPTELLEV($C$22,$C120)&lt;=3,_xll.TM1RPTELLEV($C$22,$C120),"D"),"N")</f>
        <v>1</v>
      </c>
      <c r="B120" s="8" t="s">
        <v>63</v>
      </c>
      <c r="C120" s="39" t="s">
        <v>42</v>
      </c>
      <c r="D120" s="34" t="str">
        <f ca="1">_xll.DBRW($B$9,$C$14,$C$15,D$20,D$19,$C$16,$C120,$B120,D$21)</f>
        <v/>
      </c>
      <c r="E120" s="34" t="str">
        <f ca="1">_xll.DBRW($B$9,$C$14,$C$15,E$20,D$19,$C$16,$C120,$B120,E$21)</f>
        <v/>
      </c>
      <c r="F120" s="34" t="str">
        <f ca="1">_xll.DBRW($B$9,$C$14,$C$15,F$20,F$19,$C$16,$C120,$B120,F$21)</f>
        <v/>
      </c>
      <c r="G120" s="34" t="str">
        <f ca="1">_xll.DBRW($B$9,$C$14,$C$15,G$20,F$19,$C$16,$C120,$B120,G$21)</f>
        <v/>
      </c>
      <c r="H120" s="34" t="str">
        <f ca="1">_xll.DBRW($B$9,$C$14,$C$15,H$20,H$19,$C$16,$C120,$B120,H$21)</f>
        <v/>
      </c>
      <c r="I120" s="34" t="str">
        <f ca="1">_xll.DBRW($B$9,$C$14,$C$15,I$20,H$19,$C$16,$C120,$B120,I$21)</f>
        <v/>
      </c>
      <c r="J120" s="34" t="str">
        <f ca="1">_xll.DBRW($B$9,$C$14,$C$15,J$20,J$19,$C$16,$C120,$B120,J$21)</f>
        <v/>
      </c>
      <c r="K120" s="34" t="str">
        <f ca="1">_xll.DBRW($B$9,$C$14,$C$15,K$20,J$19,$C$16,$C120,$B120,K$21)</f>
        <v/>
      </c>
      <c r="L120" s="34" t="str">
        <f ca="1">_xll.DBRW($B$9,$C$14,$C$15,L$20,L$19,$C$16,$C120,$B120,L$21)</f>
        <v/>
      </c>
      <c r="M120" s="34" t="str">
        <f ca="1">_xll.DBRW($B$9,$C$14,$C$15,M$20,L$19,$C$16,$C120,$B120,M$21)</f>
        <v/>
      </c>
      <c r="N120" s="34" t="str">
        <f ca="1">_xll.DBRW($B$9,$C$14,$C$15,N$20,N$19,$C$16,$C120,$B120,N$21)</f>
        <v/>
      </c>
      <c r="O120" s="34" t="str">
        <f ca="1">_xll.DBRW($B$9,$C$14,$C$15,O$20,N$19,$C$16,$C120,$B120,O$21)</f>
        <v/>
      </c>
      <c r="P120" s="34" t="str">
        <f ca="1">_xll.DBRW($B$9,$C$14,$C$15,P$20,$P$19,$C$16,$C120,$B120,P$21)</f>
        <v/>
      </c>
      <c r="Q120" s="34" t="str">
        <f ca="1">_xll.DBRW($B$9,$C$14,$C$15,Q$20,$P$19,$C$16,$C120,$B120,Q$21)</f>
        <v/>
      </c>
    </row>
    <row r="121" spans="1:17" x14ac:dyDescent="0.25">
      <c r="A121">
        <f ca="1">IF(_xll.TM1RPTELISCONSOLIDATED($C$22,$C121),IF(_xll.TM1RPTELLEV($C$22,$C121)&lt;=3,_xll.TM1RPTELLEV($C$22,$C121),"D"),"N")</f>
        <v>0</v>
      </c>
      <c r="B121" s="5" t="s">
        <v>64</v>
      </c>
      <c r="C121" s="38" t="s">
        <v>35</v>
      </c>
      <c r="D121" s="33" t="str">
        <f ca="1">_xll.DBRW($B$9,$C$14,$C$15,D$20,D$19,$C$16,$C121,$B121,D$21)</f>
        <v/>
      </c>
      <c r="E121" s="33" t="str">
        <f ca="1">_xll.DBRW($B$9,$C$14,$C$15,E$20,D$19,$C$16,$C121,$B121,E$21)</f>
        <v/>
      </c>
      <c r="F121" s="33" t="str">
        <f ca="1">_xll.DBRW($B$9,$C$14,$C$15,F$20,F$19,$C$16,$C121,$B121,F$21)</f>
        <v/>
      </c>
      <c r="G121" s="33" t="str">
        <f ca="1">_xll.DBRW($B$9,$C$14,$C$15,G$20,F$19,$C$16,$C121,$B121,G$21)</f>
        <v/>
      </c>
      <c r="H121" s="33" t="str">
        <f ca="1">_xll.DBRW($B$9,$C$14,$C$15,H$20,H$19,$C$16,$C121,$B121,H$21)</f>
        <v/>
      </c>
      <c r="I121" s="33" t="str">
        <f ca="1">_xll.DBRW($B$9,$C$14,$C$15,I$20,H$19,$C$16,$C121,$B121,I$21)</f>
        <v/>
      </c>
      <c r="J121" s="33" t="str">
        <f ca="1">_xll.DBRW($B$9,$C$14,$C$15,J$20,J$19,$C$16,$C121,$B121,J$21)</f>
        <v/>
      </c>
      <c r="K121" s="33" t="str">
        <f ca="1">_xll.DBRW($B$9,$C$14,$C$15,K$20,J$19,$C$16,$C121,$B121,K$21)</f>
        <v/>
      </c>
      <c r="L121" s="33" t="str">
        <f ca="1">_xll.DBRW($B$9,$C$14,$C$15,L$20,L$19,$C$16,$C121,$B121,L$21)</f>
        <v/>
      </c>
      <c r="M121" s="33" t="str">
        <f ca="1">_xll.DBRW($B$9,$C$14,$C$15,M$20,L$19,$C$16,$C121,$B121,M$21)</f>
        <v/>
      </c>
      <c r="N121" s="33" t="str">
        <f ca="1">_xll.DBRW($B$9,$C$14,$C$15,N$20,N$19,$C$16,$C121,$B121,N$21)</f>
        <v/>
      </c>
      <c r="O121" s="33" t="str">
        <f ca="1">_xll.DBRW($B$9,$C$14,$C$15,O$20,N$19,$C$16,$C121,$B121,O$21)</f>
        <v/>
      </c>
      <c r="P121" s="33" t="str">
        <f ca="1">_xll.DBRW($B$9,$C$14,$C$15,P$20,$P$19,$C$16,$C121,$B121,P$21)</f>
        <v/>
      </c>
      <c r="Q121" s="33" t="str">
        <f ca="1">_xll.DBRW($B$9,$C$14,$C$15,Q$20,$P$19,$C$16,$C121,$B121,Q$21)</f>
        <v/>
      </c>
    </row>
    <row r="122" spans="1:17" x14ac:dyDescent="0.25">
      <c r="A122">
        <f ca="1">IF(_xll.TM1RPTELISCONSOLIDATED($C$22,$C122),IF(_xll.TM1RPTELLEV($C$22,$C122)&lt;=3,_xll.TM1RPTELLEV($C$22,$C122),"D"),"N")</f>
        <v>1</v>
      </c>
      <c r="B122" s="8" t="s">
        <v>64</v>
      </c>
      <c r="C122" s="39" t="s">
        <v>43</v>
      </c>
      <c r="D122" s="34" t="str">
        <f ca="1">_xll.DBRW($B$9,$C$14,$C$15,D$20,D$19,$C$16,$C122,$B122,D$21)</f>
        <v/>
      </c>
      <c r="E122" s="34" t="str">
        <f ca="1">_xll.DBRW($B$9,$C$14,$C$15,E$20,D$19,$C$16,$C122,$B122,E$21)</f>
        <v/>
      </c>
      <c r="F122" s="34" t="str">
        <f ca="1">_xll.DBRW($B$9,$C$14,$C$15,F$20,F$19,$C$16,$C122,$B122,F$21)</f>
        <v/>
      </c>
      <c r="G122" s="34" t="str">
        <f ca="1">_xll.DBRW($B$9,$C$14,$C$15,G$20,F$19,$C$16,$C122,$B122,G$21)</f>
        <v/>
      </c>
      <c r="H122" s="34" t="str">
        <f ca="1">_xll.DBRW($B$9,$C$14,$C$15,H$20,H$19,$C$16,$C122,$B122,H$21)</f>
        <v/>
      </c>
      <c r="I122" s="34" t="str">
        <f ca="1">_xll.DBRW($B$9,$C$14,$C$15,I$20,H$19,$C$16,$C122,$B122,I$21)</f>
        <v/>
      </c>
      <c r="J122" s="34" t="str">
        <f ca="1">_xll.DBRW($B$9,$C$14,$C$15,J$20,J$19,$C$16,$C122,$B122,J$21)</f>
        <v/>
      </c>
      <c r="K122" s="34" t="str">
        <f ca="1">_xll.DBRW($B$9,$C$14,$C$15,K$20,J$19,$C$16,$C122,$B122,K$21)</f>
        <v/>
      </c>
      <c r="L122" s="34" t="str">
        <f ca="1">_xll.DBRW($B$9,$C$14,$C$15,L$20,L$19,$C$16,$C122,$B122,L$21)</f>
        <v/>
      </c>
      <c r="M122" s="34" t="str">
        <f ca="1">_xll.DBRW($B$9,$C$14,$C$15,M$20,L$19,$C$16,$C122,$B122,M$21)</f>
        <v/>
      </c>
      <c r="N122" s="34" t="str">
        <f ca="1">_xll.DBRW($B$9,$C$14,$C$15,N$20,N$19,$C$16,$C122,$B122,N$21)</f>
        <v/>
      </c>
      <c r="O122" s="34" t="str">
        <f ca="1">_xll.DBRW($B$9,$C$14,$C$15,O$20,N$19,$C$16,$C122,$B122,O$21)</f>
        <v/>
      </c>
      <c r="P122" s="34" t="str">
        <f ca="1">_xll.DBRW($B$9,$C$14,$C$15,P$20,$P$19,$C$16,$C122,$B122,P$21)</f>
        <v/>
      </c>
      <c r="Q122" s="34" t="str">
        <f ca="1">_xll.DBRW($B$9,$C$14,$C$15,Q$20,$P$19,$C$16,$C122,$B122,Q$21)</f>
        <v/>
      </c>
    </row>
    <row r="123" spans="1:17" x14ac:dyDescent="0.25">
      <c r="A123">
        <f ca="1">IF(_xll.TM1RPTELISCONSOLIDATED($C$22,$C123),IF(_xll.TM1RPTELLEV($C$22,$C123)&lt;=3,_xll.TM1RPTELLEV($C$22,$C123),"D"),"N")</f>
        <v>1</v>
      </c>
      <c r="B123" s="8" t="s">
        <v>64</v>
      </c>
      <c r="C123" s="39" t="s">
        <v>36</v>
      </c>
      <c r="D123" s="34" t="str">
        <f ca="1">_xll.DBRW($B$9,$C$14,$C$15,D$20,D$19,$C$16,$C123,$B123,D$21)</f>
        <v/>
      </c>
      <c r="E123" s="34" t="str">
        <f ca="1">_xll.DBRW($B$9,$C$14,$C$15,E$20,D$19,$C$16,$C123,$B123,E$21)</f>
        <v/>
      </c>
      <c r="F123" s="34" t="str">
        <f ca="1">_xll.DBRW($B$9,$C$14,$C$15,F$20,F$19,$C$16,$C123,$B123,F$21)</f>
        <v/>
      </c>
      <c r="G123" s="34" t="str">
        <f ca="1">_xll.DBRW($B$9,$C$14,$C$15,G$20,F$19,$C$16,$C123,$B123,G$21)</f>
        <v/>
      </c>
      <c r="H123" s="34" t="str">
        <f ca="1">_xll.DBRW($B$9,$C$14,$C$15,H$20,H$19,$C$16,$C123,$B123,H$21)</f>
        <v/>
      </c>
      <c r="I123" s="34" t="str">
        <f ca="1">_xll.DBRW($B$9,$C$14,$C$15,I$20,H$19,$C$16,$C123,$B123,I$21)</f>
        <v/>
      </c>
      <c r="J123" s="34" t="str">
        <f ca="1">_xll.DBRW($B$9,$C$14,$C$15,J$20,J$19,$C$16,$C123,$B123,J$21)</f>
        <v/>
      </c>
      <c r="K123" s="34" t="str">
        <f ca="1">_xll.DBRW($B$9,$C$14,$C$15,K$20,J$19,$C$16,$C123,$B123,K$21)</f>
        <v/>
      </c>
      <c r="L123" s="34" t="str">
        <f ca="1">_xll.DBRW($B$9,$C$14,$C$15,L$20,L$19,$C$16,$C123,$B123,L$21)</f>
        <v/>
      </c>
      <c r="M123" s="34" t="str">
        <f ca="1">_xll.DBRW($B$9,$C$14,$C$15,M$20,L$19,$C$16,$C123,$B123,M$21)</f>
        <v/>
      </c>
      <c r="N123" s="34" t="str">
        <f ca="1">_xll.DBRW($B$9,$C$14,$C$15,N$20,N$19,$C$16,$C123,$B123,N$21)</f>
        <v/>
      </c>
      <c r="O123" s="34" t="str">
        <f ca="1">_xll.DBRW($B$9,$C$14,$C$15,O$20,N$19,$C$16,$C123,$B123,O$21)</f>
        <v/>
      </c>
      <c r="P123" s="34" t="str">
        <f ca="1">_xll.DBRW($B$9,$C$14,$C$15,P$20,$P$19,$C$16,$C123,$B123,P$21)</f>
        <v/>
      </c>
      <c r="Q123" s="34" t="str">
        <f ca="1">_xll.DBRW($B$9,$C$14,$C$15,Q$20,$P$19,$C$16,$C123,$B123,Q$21)</f>
        <v/>
      </c>
    </row>
    <row r="124" spans="1:17" x14ac:dyDescent="0.25">
      <c r="A124">
        <f ca="1">IF(_xll.TM1RPTELISCONSOLIDATED($C$22,$C124),IF(_xll.TM1RPTELLEV($C$22,$C124)&lt;=3,_xll.TM1RPTELLEV($C$22,$C124),"D"),"N")</f>
        <v>1</v>
      </c>
      <c r="B124" s="8" t="s">
        <v>64</v>
      </c>
      <c r="C124" s="39" t="s">
        <v>37</v>
      </c>
      <c r="D124" s="34" t="str">
        <f ca="1">_xll.DBRW($B$9,$C$14,$C$15,D$20,D$19,$C$16,$C124,$B124,D$21)</f>
        <v/>
      </c>
      <c r="E124" s="34" t="str">
        <f ca="1">_xll.DBRW($B$9,$C$14,$C$15,E$20,D$19,$C$16,$C124,$B124,E$21)</f>
        <v/>
      </c>
      <c r="F124" s="34" t="str">
        <f ca="1">_xll.DBRW($B$9,$C$14,$C$15,F$20,F$19,$C$16,$C124,$B124,F$21)</f>
        <v/>
      </c>
      <c r="G124" s="34" t="str">
        <f ca="1">_xll.DBRW($B$9,$C$14,$C$15,G$20,F$19,$C$16,$C124,$B124,G$21)</f>
        <v/>
      </c>
      <c r="H124" s="34" t="str">
        <f ca="1">_xll.DBRW($B$9,$C$14,$C$15,H$20,H$19,$C$16,$C124,$B124,H$21)</f>
        <v/>
      </c>
      <c r="I124" s="34" t="str">
        <f ca="1">_xll.DBRW($B$9,$C$14,$C$15,I$20,H$19,$C$16,$C124,$B124,I$21)</f>
        <v/>
      </c>
      <c r="J124" s="34" t="str">
        <f ca="1">_xll.DBRW($B$9,$C$14,$C$15,J$20,J$19,$C$16,$C124,$B124,J$21)</f>
        <v/>
      </c>
      <c r="K124" s="34" t="str">
        <f ca="1">_xll.DBRW($B$9,$C$14,$C$15,K$20,J$19,$C$16,$C124,$B124,K$21)</f>
        <v/>
      </c>
      <c r="L124" s="34" t="str">
        <f ca="1">_xll.DBRW($B$9,$C$14,$C$15,L$20,L$19,$C$16,$C124,$B124,L$21)</f>
        <v/>
      </c>
      <c r="M124" s="34" t="str">
        <f ca="1">_xll.DBRW($B$9,$C$14,$C$15,M$20,L$19,$C$16,$C124,$B124,M$21)</f>
        <v/>
      </c>
      <c r="N124" s="34" t="str">
        <f ca="1">_xll.DBRW($B$9,$C$14,$C$15,N$20,N$19,$C$16,$C124,$B124,N$21)</f>
        <v/>
      </c>
      <c r="O124" s="34" t="str">
        <f ca="1">_xll.DBRW($B$9,$C$14,$C$15,O$20,N$19,$C$16,$C124,$B124,O$21)</f>
        <v/>
      </c>
      <c r="P124" s="34" t="str">
        <f ca="1">_xll.DBRW($B$9,$C$14,$C$15,P$20,$P$19,$C$16,$C124,$B124,P$21)</f>
        <v/>
      </c>
      <c r="Q124" s="34" t="str">
        <f ca="1">_xll.DBRW($B$9,$C$14,$C$15,Q$20,$P$19,$C$16,$C124,$B124,Q$21)</f>
        <v/>
      </c>
    </row>
    <row r="125" spans="1:17" x14ac:dyDescent="0.25">
      <c r="A125">
        <f ca="1">IF(_xll.TM1RPTELISCONSOLIDATED($C$22,$C125),IF(_xll.TM1RPTELLEV($C$22,$C125)&lt;=3,_xll.TM1RPTELLEV($C$22,$C125),"D"),"N")</f>
        <v>1</v>
      </c>
      <c r="B125" s="8" t="s">
        <v>64</v>
      </c>
      <c r="C125" s="39" t="s">
        <v>38</v>
      </c>
      <c r="D125" s="34" t="str">
        <f ca="1">_xll.DBRW($B$9,$C$14,$C$15,D$20,D$19,$C$16,$C125,$B125,D$21)</f>
        <v/>
      </c>
      <c r="E125" s="34" t="str">
        <f ca="1">_xll.DBRW($B$9,$C$14,$C$15,E$20,D$19,$C$16,$C125,$B125,E$21)</f>
        <v/>
      </c>
      <c r="F125" s="34" t="str">
        <f ca="1">_xll.DBRW($B$9,$C$14,$C$15,F$20,F$19,$C$16,$C125,$B125,F$21)</f>
        <v/>
      </c>
      <c r="G125" s="34" t="str">
        <f ca="1">_xll.DBRW($B$9,$C$14,$C$15,G$20,F$19,$C$16,$C125,$B125,G$21)</f>
        <v/>
      </c>
      <c r="H125" s="34" t="str">
        <f ca="1">_xll.DBRW($B$9,$C$14,$C$15,H$20,H$19,$C$16,$C125,$B125,H$21)</f>
        <v/>
      </c>
      <c r="I125" s="34" t="str">
        <f ca="1">_xll.DBRW($B$9,$C$14,$C$15,I$20,H$19,$C$16,$C125,$B125,I$21)</f>
        <v/>
      </c>
      <c r="J125" s="34" t="str">
        <f ca="1">_xll.DBRW($B$9,$C$14,$C$15,J$20,J$19,$C$16,$C125,$B125,J$21)</f>
        <v/>
      </c>
      <c r="K125" s="34" t="str">
        <f ca="1">_xll.DBRW($B$9,$C$14,$C$15,K$20,J$19,$C$16,$C125,$B125,K$21)</f>
        <v/>
      </c>
      <c r="L125" s="34" t="str">
        <f ca="1">_xll.DBRW($B$9,$C$14,$C$15,L$20,L$19,$C$16,$C125,$B125,L$21)</f>
        <v/>
      </c>
      <c r="M125" s="34" t="str">
        <f ca="1">_xll.DBRW($B$9,$C$14,$C$15,M$20,L$19,$C$16,$C125,$B125,M$21)</f>
        <v/>
      </c>
      <c r="N125" s="34" t="str">
        <f ca="1">_xll.DBRW($B$9,$C$14,$C$15,N$20,N$19,$C$16,$C125,$B125,N$21)</f>
        <v/>
      </c>
      <c r="O125" s="34" t="str">
        <f ca="1">_xll.DBRW($B$9,$C$14,$C$15,O$20,N$19,$C$16,$C125,$B125,O$21)</f>
        <v/>
      </c>
      <c r="P125" s="34" t="str">
        <f ca="1">_xll.DBRW($B$9,$C$14,$C$15,P$20,$P$19,$C$16,$C125,$B125,P$21)</f>
        <v/>
      </c>
      <c r="Q125" s="34" t="str">
        <f ca="1">_xll.DBRW($B$9,$C$14,$C$15,Q$20,$P$19,$C$16,$C125,$B125,Q$21)</f>
        <v/>
      </c>
    </row>
    <row r="126" spans="1:17" x14ac:dyDescent="0.25">
      <c r="A126">
        <f ca="1">IF(_xll.TM1RPTELISCONSOLIDATED($C$22,$C126),IF(_xll.TM1RPTELLEV($C$22,$C126)&lt;=3,_xll.TM1RPTELLEV($C$22,$C126),"D"),"N")</f>
        <v>1</v>
      </c>
      <c r="B126" s="8" t="s">
        <v>64</v>
      </c>
      <c r="C126" s="39" t="s">
        <v>39</v>
      </c>
      <c r="D126" s="34" t="str">
        <f ca="1">_xll.DBRW($B$9,$C$14,$C$15,D$20,D$19,$C$16,$C126,$B126,D$21)</f>
        <v/>
      </c>
      <c r="E126" s="34" t="str">
        <f ca="1">_xll.DBRW($B$9,$C$14,$C$15,E$20,D$19,$C$16,$C126,$B126,E$21)</f>
        <v/>
      </c>
      <c r="F126" s="34" t="str">
        <f ca="1">_xll.DBRW($B$9,$C$14,$C$15,F$20,F$19,$C$16,$C126,$B126,F$21)</f>
        <v/>
      </c>
      <c r="G126" s="34" t="str">
        <f ca="1">_xll.DBRW($B$9,$C$14,$C$15,G$20,F$19,$C$16,$C126,$B126,G$21)</f>
        <v/>
      </c>
      <c r="H126" s="34" t="str">
        <f ca="1">_xll.DBRW($B$9,$C$14,$C$15,H$20,H$19,$C$16,$C126,$B126,H$21)</f>
        <v/>
      </c>
      <c r="I126" s="34" t="str">
        <f ca="1">_xll.DBRW($B$9,$C$14,$C$15,I$20,H$19,$C$16,$C126,$B126,I$21)</f>
        <v/>
      </c>
      <c r="J126" s="34" t="str">
        <f ca="1">_xll.DBRW($B$9,$C$14,$C$15,J$20,J$19,$C$16,$C126,$B126,J$21)</f>
        <v/>
      </c>
      <c r="K126" s="34" t="str">
        <f ca="1">_xll.DBRW($B$9,$C$14,$C$15,K$20,J$19,$C$16,$C126,$B126,K$21)</f>
        <v/>
      </c>
      <c r="L126" s="34" t="str">
        <f ca="1">_xll.DBRW($B$9,$C$14,$C$15,L$20,L$19,$C$16,$C126,$B126,L$21)</f>
        <v/>
      </c>
      <c r="M126" s="34" t="str">
        <f ca="1">_xll.DBRW($B$9,$C$14,$C$15,M$20,L$19,$C$16,$C126,$B126,M$21)</f>
        <v/>
      </c>
      <c r="N126" s="34" t="str">
        <f ca="1">_xll.DBRW($B$9,$C$14,$C$15,N$20,N$19,$C$16,$C126,$B126,N$21)</f>
        <v/>
      </c>
      <c r="O126" s="34" t="str">
        <f ca="1">_xll.DBRW($B$9,$C$14,$C$15,O$20,N$19,$C$16,$C126,$B126,O$21)</f>
        <v/>
      </c>
      <c r="P126" s="34" t="str">
        <f ca="1">_xll.DBRW($B$9,$C$14,$C$15,P$20,$P$19,$C$16,$C126,$B126,P$21)</f>
        <v/>
      </c>
      <c r="Q126" s="34" t="str">
        <f ca="1">_xll.DBRW($B$9,$C$14,$C$15,Q$20,$P$19,$C$16,$C126,$B126,Q$21)</f>
        <v/>
      </c>
    </row>
    <row r="127" spans="1:17" x14ac:dyDescent="0.25">
      <c r="A127">
        <f ca="1">IF(_xll.TM1RPTELISCONSOLIDATED($C$22,$C127),IF(_xll.TM1RPTELLEV($C$22,$C127)&lt;=3,_xll.TM1RPTELLEV($C$22,$C127),"D"),"N")</f>
        <v>1</v>
      </c>
      <c r="B127" s="8" t="s">
        <v>64</v>
      </c>
      <c r="C127" s="39" t="s">
        <v>40</v>
      </c>
      <c r="D127" s="34" t="str">
        <f ca="1">_xll.DBRW($B$9,$C$14,$C$15,D$20,D$19,$C$16,$C127,$B127,D$21)</f>
        <v/>
      </c>
      <c r="E127" s="34" t="str">
        <f ca="1">_xll.DBRW($B$9,$C$14,$C$15,E$20,D$19,$C$16,$C127,$B127,E$21)</f>
        <v/>
      </c>
      <c r="F127" s="34" t="str">
        <f ca="1">_xll.DBRW($B$9,$C$14,$C$15,F$20,F$19,$C$16,$C127,$B127,F$21)</f>
        <v/>
      </c>
      <c r="G127" s="34" t="str">
        <f ca="1">_xll.DBRW($B$9,$C$14,$C$15,G$20,F$19,$C$16,$C127,$B127,G$21)</f>
        <v/>
      </c>
      <c r="H127" s="34" t="str">
        <f ca="1">_xll.DBRW($B$9,$C$14,$C$15,H$20,H$19,$C$16,$C127,$B127,H$21)</f>
        <v/>
      </c>
      <c r="I127" s="34" t="str">
        <f ca="1">_xll.DBRW($B$9,$C$14,$C$15,I$20,H$19,$C$16,$C127,$B127,I$21)</f>
        <v/>
      </c>
      <c r="J127" s="34" t="str">
        <f ca="1">_xll.DBRW($B$9,$C$14,$C$15,J$20,J$19,$C$16,$C127,$B127,J$21)</f>
        <v/>
      </c>
      <c r="K127" s="34" t="str">
        <f ca="1">_xll.DBRW($B$9,$C$14,$C$15,K$20,J$19,$C$16,$C127,$B127,K$21)</f>
        <v/>
      </c>
      <c r="L127" s="34" t="str">
        <f ca="1">_xll.DBRW($B$9,$C$14,$C$15,L$20,L$19,$C$16,$C127,$B127,L$21)</f>
        <v/>
      </c>
      <c r="M127" s="34" t="str">
        <f ca="1">_xll.DBRW($B$9,$C$14,$C$15,M$20,L$19,$C$16,$C127,$B127,M$21)</f>
        <v/>
      </c>
      <c r="N127" s="34" t="str">
        <f ca="1">_xll.DBRW($B$9,$C$14,$C$15,N$20,N$19,$C$16,$C127,$B127,N$21)</f>
        <v/>
      </c>
      <c r="O127" s="34" t="str">
        <f ca="1">_xll.DBRW($B$9,$C$14,$C$15,O$20,N$19,$C$16,$C127,$B127,O$21)</f>
        <v/>
      </c>
      <c r="P127" s="34" t="str">
        <f ca="1">_xll.DBRW($B$9,$C$14,$C$15,P$20,$P$19,$C$16,$C127,$B127,P$21)</f>
        <v/>
      </c>
      <c r="Q127" s="34" t="str">
        <f ca="1">_xll.DBRW($B$9,$C$14,$C$15,Q$20,$P$19,$C$16,$C127,$B127,Q$21)</f>
        <v/>
      </c>
    </row>
    <row r="128" spans="1:17" x14ac:dyDescent="0.25">
      <c r="A128">
        <f ca="1">IF(_xll.TM1RPTELISCONSOLIDATED($C$22,$C128),IF(_xll.TM1RPTELLEV($C$22,$C128)&lt;=3,_xll.TM1RPTELLEV($C$22,$C128),"D"),"N")</f>
        <v>1</v>
      </c>
      <c r="B128" s="8" t="s">
        <v>64</v>
      </c>
      <c r="C128" s="39" t="s">
        <v>41</v>
      </c>
      <c r="D128" s="34" t="str">
        <f ca="1">_xll.DBRW($B$9,$C$14,$C$15,D$20,D$19,$C$16,$C128,$B128,D$21)</f>
        <v/>
      </c>
      <c r="E128" s="34" t="str">
        <f ca="1">_xll.DBRW($B$9,$C$14,$C$15,E$20,D$19,$C$16,$C128,$B128,E$21)</f>
        <v/>
      </c>
      <c r="F128" s="34" t="str">
        <f ca="1">_xll.DBRW($B$9,$C$14,$C$15,F$20,F$19,$C$16,$C128,$B128,F$21)</f>
        <v/>
      </c>
      <c r="G128" s="34" t="str">
        <f ca="1">_xll.DBRW($B$9,$C$14,$C$15,G$20,F$19,$C$16,$C128,$B128,G$21)</f>
        <v/>
      </c>
      <c r="H128" s="34" t="str">
        <f ca="1">_xll.DBRW($B$9,$C$14,$C$15,H$20,H$19,$C$16,$C128,$B128,H$21)</f>
        <v/>
      </c>
      <c r="I128" s="34" t="str">
        <f ca="1">_xll.DBRW($B$9,$C$14,$C$15,I$20,H$19,$C$16,$C128,$B128,I$21)</f>
        <v/>
      </c>
      <c r="J128" s="34" t="str">
        <f ca="1">_xll.DBRW($B$9,$C$14,$C$15,J$20,J$19,$C$16,$C128,$B128,J$21)</f>
        <v/>
      </c>
      <c r="K128" s="34" t="str">
        <f ca="1">_xll.DBRW($B$9,$C$14,$C$15,K$20,J$19,$C$16,$C128,$B128,K$21)</f>
        <v/>
      </c>
      <c r="L128" s="34" t="str">
        <f ca="1">_xll.DBRW($B$9,$C$14,$C$15,L$20,L$19,$C$16,$C128,$B128,L$21)</f>
        <v/>
      </c>
      <c r="M128" s="34" t="str">
        <f ca="1">_xll.DBRW($B$9,$C$14,$C$15,M$20,L$19,$C$16,$C128,$B128,M$21)</f>
        <v/>
      </c>
      <c r="N128" s="34" t="str">
        <f ca="1">_xll.DBRW($B$9,$C$14,$C$15,N$20,N$19,$C$16,$C128,$B128,N$21)</f>
        <v/>
      </c>
      <c r="O128" s="34" t="str">
        <f ca="1">_xll.DBRW($B$9,$C$14,$C$15,O$20,N$19,$C$16,$C128,$B128,O$21)</f>
        <v/>
      </c>
      <c r="P128" s="34" t="str">
        <f ca="1">_xll.DBRW($B$9,$C$14,$C$15,P$20,$P$19,$C$16,$C128,$B128,P$21)</f>
        <v/>
      </c>
      <c r="Q128" s="34" t="str">
        <f ca="1">_xll.DBRW($B$9,$C$14,$C$15,Q$20,$P$19,$C$16,$C128,$B128,Q$21)</f>
        <v/>
      </c>
    </row>
    <row r="129" spans="1:17" x14ac:dyDescent="0.25">
      <c r="A129">
        <f ca="1">IF(_xll.TM1RPTELISCONSOLIDATED($C$22,$C129),IF(_xll.TM1RPTELLEV($C$22,$C129)&lt;=3,_xll.TM1RPTELLEV($C$22,$C129),"D"),"N")</f>
        <v>1</v>
      </c>
      <c r="B129" s="8" t="s">
        <v>64</v>
      </c>
      <c r="C129" s="39" t="s">
        <v>42</v>
      </c>
      <c r="D129" s="34" t="str">
        <f ca="1">_xll.DBRW($B$9,$C$14,$C$15,D$20,D$19,$C$16,$C129,$B129,D$21)</f>
        <v/>
      </c>
      <c r="E129" s="34" t="str">
        <f ca="1">_xll.DBRW($B$9,$C$14,$C$15,E$20,D$19,$C$16,$C129,$B129,E$21)</f>
        <v/>
      </c>
      <c r="F129" s="34" t="str">
        <f ca="1">_xll.DBRW($B$9,$C$14,$C$15,F$20,F$19,$C$16,$C129,$B129,F$21)</f>
        <v/>
      </c>
      <c r="G129" s="34" t="str">
        <f ca="1">_xll.DBRW($B$9,$C$14,$C$15,G$20,F$19,$C$16,$C129,$B129,G$21)</f>
        <v/>
      </c>
      <c r="H129" s="34" t="str">
        <f ca="1">_xll.DBRW($B$9,$C$14,$C$15,H$20,H$19,$C$16,$C129,$B129,H$21)</f>
        <v/>
      </c>
      <c r="I129" s="34" t="str">
        <f ca="1">_xll.DBRW($B$9,$C$14,$C$15,I$20,H$19,$C$16,$C129,$B129,I$21)</f>
        <v/>
      </c>
      <c r="J129" s="34" t="str">
        <f ca="1">_xll.DBRW($B$9,$C$14,$C$15,J$20,J$19,$C$16,$C129,$B129,J$21)</f>
        <v/>
      </c>
      <c r="K129" s="34" t="str">
        <f ca="1">_xll.DBRW($B$9,$C$14,$C$15,K$20,J$19,$C$16,$C129,$B129,K$21)</f>
        <v/>
      </c>
      <c r="L129" s="34" t="str">
        <f ca="1">_xll.DBRW($B$9,$C$14,$C$15,L$20,L$19,$C$16,$C129,$B129,L$21)</f>
        <v/>
      </c>
      <c r="M129" s="34" t="str">
        <f ca="1">_xll.DBRW($B$9,$C$14,$C$15,M$20,L$19,$C$16,$C129,$B129,M$21)</f>
        <v/>
      </c>
      <c r="N129" s="34" t="str">
        <f ca="1">_xll.DBRW($B$9,$C$14,$C$15,N$20,N$19,$C$16,$C129,$B129,N$21)</f>
        <v/>
      </c>
      <c r="O129" s="34" t="str">
        <f ca="1">_xll.DBRW($B$9,$C$14,$C$15,O$20,N$19,$C$16,$C129,$B129,O$21)</f>
        <v/>
      </c>
      <c r="P129" s="34" t="str">
        <f ca="1">_xll.DBRW($B$9,$C$14,$C$15,P$20,$P$19,$C$16,$C129,$B129,P$21)</f>
        <v/>
      </c>
      <c r="Q129" s="34" t="str">
        <f ca="1">_xll.DBRW($B$9,$C$14,$C$15,Q$20,$P$19,$C$16,$C129,$B129,Q$21)</f>
        <v/>
      </c>
    </row>
    <row r="130" spans="1:17" x14ac:dyDescent="0.25">
      <c r="A130">
        <f ca="1">IF(_xll.TM1RPTELISCONSOLIDATED($C$22,$C130),IF(_xll.TM1RPTELLEV($C$22,$C130)&lt;=3,_xll.TM1RPTELLEV($C$22,$C130),"D"),"N")</f>
        <v>0</v>
      </c>
      <c r="B130" s="5" t="s">
        <v>65</v>
      </c>
      <c r="C130" s="38" t="s">
        <v>35</v>
      </c>
      <c r="D130" s="33" t="str">
        <f ca="1">_xll.DBRW($B$9,$C$14,$C$15,D$20,D$19,$C$16,$C130,$B130,D$21)</f>
        <v/>
      </c>
      <c r="E130" s="33" t="str">
        <f ca="1">_xll.DBRW($B$9,$C$14,$C$15,E$20,D$19,$C$16,$C130,$B130,E$21)</f>
        <v/>
      </c>
      <c r="F130" s="33" t="str">
        <f ca="1">_xll.DBRW($B$9,$C$14,$C$15,F$20,F$19,$C$16,$C130,$B130,F$21)</f>
        <v/>
      </c>
      <c r="G130" s="33" t="str">
        <f ca="1">_xll.DBRW($B$9,$C$14,$C$15,G$20,F$19,$C$16,$C130,$B130,G$21)</f>
        <v/>
      </c>
      <c r="H130" s="33" t="str">
        <f ca="1">_xll.DBRW($B$9,$C$14,$C$15,H$20,H$19,$C$16,$C130,$B130,H$21)</f>
        <v/>
      </c>
      <c r="I130" s="33" t="str">
        <f ca="1">_xll.DBRW($B$9,$C$14,$C$15,I$20,H$19,$C$16,$C130,$B130,I$21)</f>
        <v/>
      </c>
      <c r="J130" s="33" t="str">
        <f ca="1">_xll.DBRW($B$9,$C$14,$C$15,J$20,J$19,$C$16,$C130,$B130,J$21)</f>
        <v/>
      </c>
      <c r="K130" s="33" t="str">
        <f ca="1">_xll.DBRW($B$9,$C$14,$C$15,K$20,J$19,$C$16,$C130,$B130,K$21)</f>
        <v/>
      </c>
      <c r="L130" s="33" t="str">
        <f ca="1">_xll.DBRW($B$9,$C$14,$C$15,L$20,L$19,$C$16,$C130,$B130,L$21)</f>
        <v/>
      </c>
      <c r="M130" s="33" t="str">
        <f ca="1">_xll.DBRW($B$9,$C$14,$C$15,M$20,L$19,$C$16,$C130,$B130,M$21)</f>
        <v/>
      </c>
      <c r="N130" s="33" t="str">
        <f ca="1">_xll.DBRW($B$9,$C$14,$C$15,N$20,N$19,$C$16,$C130,$B130,N$21)</f>
        <v/>
      </c>
      <c r="O130" s="33" t="str">
        <f ca="1">_xll.DBRW($B$9,$C$14,$C$15,O$20,N$19,$C$16,$C130,$B130,O$21)</f>
        <v/>
      </c>
      <c r="P130" s="33" t="str">
        <f ca="1">_xll.DBRW($B$9,$C$14,$C$15,P$20,$P$19,$C$16,$C130,$B130,P$21)</f>
        <v/>
      </c>
      <c r="Q130" s="33" t="str">
        <f ca="1">_xll.DBRW($B$9,$C$14,$C$15,Q$20,$P$19,$C$16,$C130,$B130,Q$21)</f>
        <v/>
      </c>
    </row>
    <row r="131" spans="1:17" x14ac:dyDescent="0.25">
      <c r="A131">
        <f ca="1">IF(_xll.TM1RPTELISCONSOLIDATED($C$22,$C131),IF(_xll.TM1RPTELLEV($C$22,$C131)&lt;=3,_xll.TM1RPTELLEV($C$22,$C131),"D"),"N")</f>
        <v>1</v>
      </c>
      <c r="B131" s="8" t="s">
        <v>65</v>
      </c>
      <c r="C131" s="39" t="s">
        <v>43</v>
      </c>
      <c r="D131" s="34" t="str">
        <f ca="1">_xll.DBRW($B$9,$C$14,$C$15,D$20,D$19,$C$16,$C131,$B131,D$21)</f>
        <v/>
      </c>
      <c r="E131" s="34" t="str">
        <f ca="1">_xll.DBRW($B$9,$C$14,$C$15,E$20,D$19,$C$16,$C131,$B131,E$21)</f>
        <v/>
      </c>
      <c r="F131" s="34" t="str">
        <f ca="1">_xll.DBRW($B$9,$C$14,$C$15,F$20,F$19,$C$16,$C131,$B131,F$21)</f>
        <v/>
      </c>
      <c r="G131" s="34" t="str">
        <f ca="1">_xll.DBRW($B$9,$C$14,$C$15,G$20,F$19,$C$16,$C131,$B131,G$21)</f>
        <v/>
      </c>
      <c r="H131" s="34" t="str">
        <f ca="1">_xll.DBRW($B$9,$C$14,$C$15,H$20,H$19,$C$16,$C131,$B131,H$21)</f>
        <v/>
      </c>
      <c r="I131" s="34" t="str">
        <f ca="1">_xll.DBRW($B$9,$C$14,$C$15,I$20,H$19,$C$16,$C131,$B131,I$21)</f>
        <v/>
      </c>
      <c r="J131" s="34" t="str">
        <f ca="1">_xll.DBRW($B$9,$C$14,$C$15,J$20,J$19,$C$16,$C131,$B131,J$21)</f>
        <v/>
      </c>
      <c r="K131" s="34" t="str">
        <f ca="1">_xll.DBRW($B$9,$C$14,$C$15,K$20,J$19,$C$16,$C131,$B131,K$21)</f>
        <v/>
      </c>
      <c r="L131" s="34" t="str">
        <f ca="1">_xll.DBRW($B$9,$C$14,$C$15,L$20,L$19,$C$16,$C131,$B131,L$21)</f>
        <v/>
      </c>
      <c r="M131" s="34" t="str">
        <f ca="1">_xll.DBRW($B$9,$C$14,$C$15,M$20,L$19,$C$16,$C131,$B131,M$21)</f>
        <v/>
      </c>
      <c r="N131" s="34" t="str">
        <f ca="1">_xll.DBRW($B$9,$C$14,$C$15,N$20,N$19,$C$16,$C131,$B131,N$21)</f>
        <v/>
      </c>
      <c r="O131" s="34" t="str">
        <f ca="1">_xll.DBRW($B$9,$C$14,$C$15,O$20,N$19,$C$16,$C131,$B131,O$21)</f>
        <v/>
      </c>
      <c r="P131" s="34" t="str">
        <f ca="1">_xll.DBRW($B$9,$C$14,$C$15,P$20,$P$19,$C$16,$C131,$B131,P$21)</f>
        <v/>
      </c>
      <c r="Q131" s="34" t="str">
        <f ca="1">_xll.DBRW($B$9,$C$14,$C$15,Q$20,$P$19,$C$16,$C131,$B131,Q$21)</f>
        <v/>
      </c>
    </row>
    <row r="132" spans="1:17" x14ac:dyDescent="0.25">
      <c r="A132">
        <f ca="1">IF(_xll.TM1RPTELISCONSOLIDATED($C$22,$C132),IF(_xll.TM1RPTELLEV($C$22,$C132)&lt;=3,_xll.TM1RPTELLEV($C$22,$C132),"D"),"N")</f>
        <v>1</v>
      </c>
      <c r="B132" s="8" t="s">
        <v>65</v>
      </c>
      <c r="C132" s="39" t="s">
        <v>36</v>
      </c>
      <c r="D132" s="34" t="str">
        <f ca="1">_xll.DBRW($B$9,$C$14,$C$15,D$20,D$19,$C$16,$C132,$B132,D$21)</f>
        <v/>
      </c>
      <c r="E132" s="34" t="str">
        <f ca="1">_xll.DBRW($B$9,$C$14,$C$15,E$20,D$19,$C$16,$C132,$B132,E$21)</f>
        <v/>
      </c>
      <c r="F132" s="34" t="str">
        <f ca="1">_xll.DBRW($B$9,$C$14,$C$15,F$20,F$19,$C$16,$C132,$B132,F$21)</f>
        <v/>
      </c>
      <c r="G132" s="34" t="str">
        <f ca="1">_xll.DBRW($B$9,$C$14,$C$15,G$20,F$19,$C$16,$C132,$B132,G$21)</f>
        <v/>
      </c>
      <c r="H132" s="34" t="str">
        <f ca="1">_xll.DBRW($B$9,$C$14,$C$15,H$20,H$19,$C$16,$C132,$B132,H$21)</f>
        <v/>
      </c>
      <c r="I132" s="34" t="str">
        <f ca="1">_xll.DBRW($B$9,$C$14,$C$15,I$20,H$19,$C$16,$C132,$B132,I$21)</f>
        <v/>
      </c>
      <c r="J132" s="34" t="str">
        <f ca="1">_xll.DBRW($B$9,$C$14,$C$15,J$20,J$19,$C$16,$C132,$B132,J$21)</f>
        <v/>
      </c>
      <c r="K132" s="34" t="str">
        <f ca="1">_xll.DBRW($B$9,$C$14,$C$15,K$20,J$19,$C$16,$C132,$B132,K$21)</f>
        <v/>
      </c>
      <c r="L132" s="34" t="str">
        <f ca="1">_xll.DBRW($B$9,$C$14,$C$15,L$20,L$19,$C$16,$C132,$B132,L$21)</f>
        <v/>
      </c>
      <c r="M132" s="34" t="str">
        <f ca="1">_xll.DBRW($B$9,$C$14,$C$15,M$20,L$19,$C$16,$C132,$B132,M$21)</f>
        <v/>
      </c>
      <c r="N132" s="34" t="str">
        <f ca="1">_xll.DBRW($B$9,$C$14,$C$15,N$20,N$19,$C$16,$C132,$B132,N$21)</f>
        <v/>
      </c>
      <c r="O132" s="34" t="str">
        <f ca="1">_xll.DBRW($B$9,$C$14,$C$15,O$20,N$19,$C$16,$C132,$B132,O$21)</f>
        <v/>
      </c>
      <c r="P132" s="34" t="str">
        <f ca="1">_xll.DBRW($B$9,$C$14,$C$15,P$20,$P$19,$C$16,$C132,$B132,P$21)</f>
        <v/>
      </c>
      <c r="Q132" s="34" t="str">
        <f ca="1">_xll.DBRW($B$9,$C$14,$C$15,Q$20,$P$19,$C$16,$C132,$B132,Q$21)</f>
        <v/>
      </c>
    </row>
    <row r="133" spans="1:17" x14ac:dyDescent="0.25">
      <c r="A133">
        <f ca="1">IF(_xll.TM1RPTELISCONSOLIDATED($C$22,$C133),IF(_xll.TM1RPTELLEV($C$22,$C133)&lt;=3,_xll.TM1RPTELLEV($C$22,$C133),"D"),"N")</f>
        <v>1</v>
      </c>
      <c r="B133" s="8" t="s">
        <v>65</v>
      </c>
      <c r="C133" s="39" t="s">
        <v>37</v>
      </c>
      <c r="D133" s="34" t="str">
        <f ca="1">_xll.DBRW($B$9,$C$14,$C$15,D$20,D$19,$C$16,$C133,$B133,D$21)</f>
        <v/>
      </c>
      <c r="E133" s="34" t="str">
        <f ca="1">_xll.DBRW($B$9,$C$14,$C$15,E$20,D$19,$C$16,$C133,$B133,E$21)</f>
        <v/>
      </c>
      <c r="F133" s="34" t="str">
        <f ca="1">_xll.DBRW($B$9,$C$14,$C$15,F$20,F$19,$C$16,$C133,$B133,F$21)</f>
        <v/>
      </c>
      <c r="G133" s="34" t="str">
        <f ca="1">_xll.DBRW($B$9,$C$14,$C$15,G$20,F$19,$C$16,$C133,$B133,G$21)</f>
        <v/>
      </c>
      <c r="H133" s="34" t="str">
        <f ca="1">_xll.DBRW($B$9,$C$14,$C$15,H$20,H$19,$C$16,$C133,$B133,H$21)</f>
        <v/>
      </c>
      <c r="I133" s="34" t="str">
        <f ca="1">_xll.DBRW($B$9,$C$14,$C$15,I$20,H$19,$C$16,$C133,$B133,I$21)</f>
        <v/>
      </c>
      <c r="J133" s="34" t="str">
        <f ca="1">_xll.DBRW($B$9,$C$14,$C$15,J$20,J$19,$C$16,$C133,$B133,J$21)</f>
        <v/>
      </c>
      <c r="K133" s="34" t="str">
        <f ca="1">_xll.DBRW($B$9,$C$14,$C$15,K$20,J$19,$C$16,$C133,$B133,K$21)</f>
        <v/>
      </c>
      <c r="L133" s="34" t="str">
        <f ca="1">_xll.DBRW($B$9,$C$14,$C$15,L$20,L$19,$C$16,$C133,$B133,L$21)</f>
        <v/>
      </c>
      <c r="M133" s="34" t="str">
        <f ca="1">_xll.DBRW($B$9,$C$14,$C$15,M$20,L$19,$C$16,$C133,$B133,M$21)</f>
        <v/>
      </c>
      <c r="N133" s="34" t="str">
        <f ca="1">_xll.DBRW($B$9,$C$14,$C$15,N$20,N$19,$C$16,$C133,$B133,N$21)</f>
        <v/>
      </c>
      <c r="O133" s="34" t="str">
        <f ca="1">_xll.DBRW($B$9,$C$14,$C$15,O$20,N$19,$C$16,$C133,$B133,O$21)</f>
        <v/>
      </c>
      <c r="P133" s="34" t="str">
        <f ca="1">_xll.DBRW($B$9,$C$14,$C$15,P$20,$P$19,$C$16,$C133,$B133,P$21)</f>
        <v/>
      </c>
      <c r="Q133" s="34" t="str">
        <f ca="1">_xll.DBRW($B$9,$C$14,$C$15,Q$20,$P$19,$C$16,$C133,$B133,Q$21)</f>
        <v/>
      </c>
    </row>
    <row r="134" spans="1:17" x14ac:dyDescent="0.25">
      <c r="A134">
        <f ca="1">IF(_xll.TM1RPTELISCONSOLIDATED($C$22,$C134),IF(_xll.TM1RPTELLEV($C$22,$C134)&lt;=3,_xll.TM1RPTELLEV($C$22,$C134),"D"),"N")</f>
        <v>1</v>
      </c>
      <c r="B134" s="8" t="s">
        <v>65</v>
      </c>
      <c r="C134" s="39" t="s">
        <v>38</v>
      </c>
      <c r="D134" s="34" t="str">
        <f ca="1">_xll.DBRW($B$9,$C$14,$C$15,D$20,D$19,$C$16,$C134,$B134,D$21)</f>
        <v/>
      </c>
      <c r="E134" s="34" t="str">
        <f ca="1">_xll.DBRW($B$9,$C$14,$C$15,E$20,D$19,$C$16,$C134,$B134,E$21)</f>
        <v/>
      </c>
      <c r="F134" s="34" t="str">
        <f ca="1">_xll.DBRW($B$9,$C$14,$C$15,F$20,F$19,$C$16,$C134,$B134,F$21)</f>
        <v/>
      </c>
      <c r="G134" s="34" t="str">
        <f ca="1">_xll.DBRW($B$9,$C$14,$C$15,G$20,F$19,$C$16,$C134,$B134,G$21)</f>
        <v/>
      </c>
      <c r="H134" s="34" t="str">
        <f ca="1">_xll.DBRW($B$9,$C$14,$C$15,H$20,H$19,$C$16,$C134,$B134,H$21)</f>
        <v/>
      </c>
      <c r="I134" s="34" t="str">
        <f ca="1">_xll.DBRW($B$9,$C$14,$C$15,I$20,H$19,$C$16,$C134,$B134,I$21)</f>
        <v/>
      </c>
      <c r="J134" s="34" t="str">
        <f ca="1">_xll.DBRW($B$9,$C$14,$C$15,J$20,J$19,$C$16,$C134,$B134,J$21)</f>
        <v/>
      </c>
      <c r="K134" s="34" t="str">
        <f ca="1">_xll.DBRW($B$9,$C$14,$C$15,K$20,J$19,$C$16,$C134,$B134,K$21)</f>
        <v/>
      </c>
      <c r="L134" s="34" t="str">
        <f ca="1">_xll.DBRW($B$9,$C$14,$C$15,L$20,L$19,$C$16,$C134,$B134,L$21)</f>
        <v/>
      </c>
      <c r="M134" s="34" t="str">
        <f ca="1">_xll.DBRW($B$9,$C$14,$C$15,M$20,L$19,$C$16,$C134,$B134,M$21)</f>
        <v/>
      </c>
      <c r="N134" s="34" t="str">
        <f ca="1">_xll.DBRW($B$9,$C$14,$C$15,N$20,N$19,$C$16,$C134,$B134,N$21)</f>
        <v/>
      </c>
      <c r="O134" s="34" t="str">
        <f ca="1">_xll.DBRW($B$9,$C$14,$C$15,O$20,N$19,$C$16,$C134,$B134,O$21)</f>
        <v/>
      </c>
      <c r="P134" s="34" t="str">
        <f ca="1">_xll.DBRW($B$9,$C$14,$C$15,P$20,$P$19,$C$16,$C134,$B134,P$21)</f>
        <v/>
      </c>
      <c r="Q134" s="34" t="str">
        <f ca="1">_xll.DBRW($B$9,$C$14,$C$15,Q$20,$P$19,$C$16,$C134,$B134,Q$21)</f>
        <v/>
      </c>
    </row>
    <row r="135" spans="1:17" x14ac:dyDescent="0.25">
      <c r="A135">
        <f ca="1">IF(_xll.TM1RPTELISCONSOLIDATED($C$22,$C135),IF(_xll.TM1RPTELLEV($C$22,$C135)&lt;=3,_xll.TM1RPTELLEV($C$22,$C135),"D"),"N")</f>
        <v>1</v>
      </c>
      <c r="B135" s="8" t="s">
        <v>65</v>
      </c>
      <c r="C135" s="39" t="s">
        <v>39</v>
      </c>
      <c r="D135" s="34" t="str">
        <f ca="1">_xll.DBRW($B$9,$C$14,$C$15,D$20,D$19,$C$16,$C135,$B135,D$21)</f>
        <v/>
      </c>
      <c r="E135" s="34" t="str">
        <f ca="1">_xll.DBRW($B$9,$C$14,$C$15,E$20,D$19,$C$16,$C135,$B135,E$21)</f>
        <v/>
      </c>
      <c r="F135" s="34" t="str">
        <f ca="1">_xll.DBRW($B$9,$C$14,$C$15,F$20,F$19,$C$16,$C135,$B135,F$21)</f>
        <v/>
      </c>
      <c r="G135" s="34" t="str">
        <f ca="1">_xll.DBRW($B$9,$C$14,$C$15,G$20,F$19,$C$16,$C135,$B135,G$21)</f>
        <v/>
      </c>
      <c r="H135" s="34" t="str">
        <f ca="1">_xll.DBRW($B$9,$C$14,$C$15,H$20,H$19,$C$16,$C135,$B135,H$21)</f>
        <v/>
      </c>
      <c r="I135" s="34" t="str">
        <f ca="1">_xll.DBRW($B$9,$C$14,$C$15,I$20,H$19,$C$16,$C135,$B135,I$21)</f>
        <v/>
      </c>
      <c r="J135" s="34" t="str">
        <f ca="1">_xll.DBRW($B$9,$C$14,$C$15,J$20,J$19,$C$16,$C135,$B135,J$21)</f>
        <v/>
      </c>
      <c r="K135" s="34" t="str">
        <f ca="1">_xll.DBRW($B$9,$C$14,$C$15,K$20,J$19,$C$16,$C135,$B135,K$21)</f>
        <v/>
      </c>
      <c r="L135" s="34" t="str">
        <f ca="1">_xll.DBRW($B$9,$C$14,$C$15,L$20,L$19,$C$16,$C135,$B135,L$21)</f>
        <v/>
      </c>
      <c r="M135" s="34" t="str">
        <f ca="1">_xll.DBRW($B$9,$C$14,$C$15,M$20,L$19,$C$16,$C135,$B135,M$21)</f>
        <v/>
      </c>
      <c r="N135" s="34" t="str">
        <f ca="1">_xll.DBRW($B$9,$C$14,$C$15,N$20,N$19,$C$16,$C135,$B135,N$21)</f>
        <v/>
      </c>
      <c r="O135" s="34" t="str">
        <f ca="1">_xll.DBRW($B$9,$C$14,$C$15,O$20,N$19,$C$16,$C135,$B135,O$21)</f>
        <v/>
      </c>
      <c r="P135" s="34" t="str">
        <f ca="1">_xll.DBRW($B$9,$C$14,$C$15,P$20,$P$19,$C$16,$C135,$B135,P$21)</f>
        <v/>
      </c>
      <c r="Q135" s="34" t="str">
        <f ca="1">_xll.DBRW($B$9,$C$14,$C$15,Q$20,$P$19,$C$16,$C135,$B135,Q$21)</f>
        <v/>
      </c>
    </row>
    <row r="136" spans="1:17" x14ac:dyDescent="0.25">
      <c r="A136">
        <f ca="1">IF(_xll.TM1RPTELISCONSOLIDATED($C$22,$C136),IF(_xll.TM1RPTELLEV($C$22,$C136)&lt;=3,_xll.TM1RPTELLEV($C$22,$C136),"D"),"N")</f>
        <v>1</v>
      </c>
      <c r="B136" s="8" t="s">
        <v>65</v>
      </c>
      <c r="C136" s="39" t="s">
        <v>40</v>
      </c>
      <c r="D136" s="34" t="str">
        <f ca="1">_xll.DBRW($B$9,$C$14,$C$15,D$20,D$19,$C$16,$C136,$B136,D$21)</f>
        <v/>
      </c>
      <c r="E136" s="34" t="str">
        <f ca="1">_xll.DBRW($B$9,$C$14,$C$15,E$20,D$19,$C$16,$C136,$B136,E$21)</f>
        <v/>
      </c>
      <c r="F136" s="34" t="str">
        <f ca="1">_xll.DBRW($B$9,$C$14,$C$15,F$20,F$19,$C$16,$C136,$B136,F$21)</f>
        <v/>
      </c>
      <c r="G136" s="34" t="str">
        <f ca="1">_xll.DBRW($B$9,$C$14,$C$15,G$20,F$19,$C$16,$C136,$B136,G$21)</f>
        <v/>
      </c>
      <c r="H136" s="34" t="str">
        <f ca="1">_xll.DBRW($B$9,$C$14,$C$15,H$20,H$19,$C$16,$C136,$B136,H$21)</f>
        <v/>
      </c>
      <c r="I136" s="34" t="str">
        <f ca="1">_xll.DBRW($B$9,$C$14,$C$15,I$20,H$19,$C$16,$C136,$B136,I$21)</f>
        <v/>
      </c>
      <c r="J136" s="34" t="str">
        <f ca="1">_xll.DBRW($B$9,$C$14,$C$15,J$20,J$19,$C$16,$C136,$B136,J$21)</f>
        <v/>
      </c>
      <c r="K136" s="34" t="str">
        <f ca="1">_xll.DBRW($B$9,$C$14,$C$15,K$20,J$19,$C$16,$C136,$B136,K$21)</f>
        <v/>
      </c>
      <c r="L136" s="34" t="str">
        <f ca="1">_xll.DBRW($B$9,$C$14,$C$15,L$20,L$19,$C$16,$C136,$B136,L$21)</f>
        <v/>
      </c>
      <c r="M136" s="34" t="str">
        <f ca="1">_xll.DBRW($B$9,$C$14,$C$15,M$20,L$19,$C$16,$C136,$B136,M$21)</f>
        <v/>
      </c>
      <c r="N136" s="34" t="str">
        <f ca="1">_xll.DBRW($B$9,$C$14,$C$15,N$20,N$19,$C$16,$C136,$B136,N$21)</f>
        <v/>
      </c>
      <c r="O136" s="34" t="str">
        <f ca="1">_xll.DBRW($B$9,$C$14,$C$15,O$20,N$19,$C$16,$C136,$B136,O$21)</f>
        <v/>
      </c>
      <c r="P136" s="34" t="str">
        <f ca="1">_xll.DBRW($B$9,$C$14,$C$15,P$20,$P$19,$C$16,$C136,$B136,P$21)</f>
        <v/>
      </c>
      <c r="Q136" s="34" t="str">
        <f ca="1">_xll.DBRW($B$9,$C$14,$C$15,Q$20,$P$19,$C$16,$C136,$B136,Q$21)</f>
        <v/>
      </c>
    </row>
    <row r="137" spans="1:17" x14ac:dyDescent="0.25">
      <c r="A137">
        <f ca="1">IF(_xll.TM1RPTELISCONSOLIDATED($C$22,$C137),IF(_xll.TM1RPTELLEV($C$22,$C137)&lt;=3,_xll.TM1RPTELLEV($C$22,$C137),"D"),"N")</f>
        <v>1</v>
      </c>
      <c r="B137" s="8" t="s">
        <v>65</v>
      </c>
      <c r="C137" s="39" t="s">
        <v>41</v>
      </c>
      <c r="D137" s="34" t="str">
        <f ca="1">_xll.DBRW($B$9,$C$14,$C$15,D$20,D$19,$C$16,$C137,$B137,D$21)</f>
        <v/>
      </c>
      <c r="E137" s="34" t="str">
        <f ca="1">_xll.DBRW($B$9,$C$14,$C$15,E$20,D$19,$C$16,$C137,$B137,E$21)</f>
        <v/>
      </c>
      <c r="F137" s="34" t="str">
        <f ca="1">_xll.DBRW($B$9,$C$14,$C$15,F$20,F$19,$C$16,$C137,$B137,F$21)</f>
        <v/>
      </c>
      <c r="G137" s="34" t="str">
        <f ca="1">_xll.DBRW($B$9,$C$14,$C$15,G$20,F$19,$C$16,$C137,$B137,G$21)</f>
        <v/>
      </c>
      <c r="H137" s="34" t="str">
        <f ca="1">_xll.DBRW($B$9,$C$14,$C$15,H$20,H$19,$C$16,$C137,$B137,H$21)</f>
        <v/>
      </c>
      <c r="I137" s="34" t="str">
        <f ca="1">_xll.DBRW($B$9,$C$14,$C$15,I$20,H$19,$C$16,$C137,$B137,I$21)</f>
        <v/>
      </c>
      <c r="J137" s="34" t="str">
        <f ca="1">_xll.DBRW($B$9,$C$14,$C$15,J$20,J$19,$C$16,$C137,$B137,J$21)</f>
        <v/>
      </c>
      <c r="K137" s="34" t="str">
        <f ca="1">_xll.DBRW($B$9,$C$14,$C$15,K$20,J$19,$C$16,$C137,$B137,K$21)</f>
        <v/>
      </c>
      <c r="L137" s="34" t="str">
        <f ca="1">_xll.DBRW($B$9,$C$14,$C$15,L$20,L$19,$C$16,$C137,$B137,L$21)</f>
        <v/>
      </c>
      <c r="M137" s="34" t="str">
        <f ca="1">_xll.DBRW($B$9,$C$14,$C$15,M$20,L$19,$C$16,$C137,$B137,M$21)</f>
        <v/>
      </c>
      <c r="N137" s="34" t="str">
        <f ca="1">_xll.DBRW($B$9,$C$14,$C$15,N$20,N$19,$C$16,$C137,$B137,N$21)</f>
        <v/>
      </c>
      <c r="O137" s="34" t="str">
        <f ca="1">_xll.DBRW($B$9,$C$14,$C$15,O$20,N$19,$C$16,$C137,$B137,O$21)</f>
        <v/>
      </c>
      <c r="P137" s="34" t="str">
        <f ca="1">_xll.DBRW($B$9,$C$14,$C$15,P$20,$P$19,$C$16,$C137,$B137,P$21)</f>
        <v/>
      </c>
      <c r="Q137" s="34" t="str">
        <f ca="1">_xll.DBRW($B$9,$C$14,$C$15,Q$20,$P$19,$C$16,$C137,$B137,Q$21)</f>
        <v/>
      </c>
    </row>
    <row r="138" spans="1:17" x14ac:dyDescent="0.25">
      <c r="A138">
        <f ca="1">IF(_xll.TM1RPTELISCONSOLIDATED($C$22,$C138),IF(_xll.TM1RPTELLEV($C$22,$C138)&lt;=3,_xll.TM1RPTELLEV($C$22,$C138),"D"),"N")</f>
        <v>1</v>
      </c>
      <c r="B138" s="8" t="s">
        <v>65</v>
      </c>
      <c r="C138" s="39" t="s">
        <v>42</v>
      </c>
      <c r="D138" s="34" t="str">
        <f ca="1">_xll.DBRW($B$9,$C$14,$C$15,D$20,D$19,$C$16,$C138,$B138,D$21)</f>
        <v/>
      </c>
      <c r="E138" s="34" t="str">
        <f ca="1">_xll.DBRW($B$9,$C$14,$C$15,E$20,D$19,$C$16,$C138,$B138,E$21)</f>
        <v/>
      </c>
      <c r="F138" s="34" t="str">
        <f ca="1">_xll.DBRW($B$9,$C$14,$C$15,F$20,F$19,$C$16,$C138,$B138,F$21)</f>
        <v/>
      </c>
      <c r="G138" s="34" t="str">
        <f ca="1">_xll.DBRW($B$9,$C$14,$C$15,G$20,F$19,$C$16,$C138,$B138,G$21)</f>
        <v/>
      </c>
      <c r="H138" s="34" t="str">
        <f ca="1">_xll.DBRW($B$9,$C$14,$C$15,H$20,H$19,$C$16,$C138,$B138,H$21)</f>
        <v/>
      </c>
      <c r="I138" s="34" t="str">
        <f ca="1">_xll.DBRW($B$9,$C$14,$C$15,I$20,H$19,$C$16,$C138,$B138,I$21)</f>
        <v/>
      </c>
      <c r="J138" s="34" t="str">
        <f ca="1">_xll.DBRW($B$9,$C$14,$C$15,J$20,J$19,$C$16,$C138,$B138,J$21)</f>
        <v/>
      </c>
      <c r="K138" s="34" t="str">
        <f ca="1">_xll.DBRW($B$9,$C$14,$C$15,K$20,J$19,$C$16,$C138,$B138,K$21)</f>
        <v/>
      </c>
      <c r="L138" s="34" t="str">
        <f ca="1">_xll.DBRW($B$9,$C$14,$C$15,L$20,L$19,$C$16,$C138,$B138,L$21)</f>
        <v/>
      </c>
      <c r="M138" s="34" t="str">
        <f ca="1">_xll.DBRW($B$9,$C$14,$C$15,M$20,L$19,$C$16,$C138,$B138,M$21)</f>
        <v/>
      </c>
      <c r="N138" s="34" t="str">
        <f ca="1">_xll.DBRW($B$9,$C$14,$C$15,N$20,N$19,$C$16,$C138,$B138,N$21)</f>
        <v/>
      </c>
      <c r="O138" s="34" t="str">
        <f ca="1">_xll.DBRW($B$9,$C$14,$C$15,O$20,N$19,$C$16,$C138,$B138,O$21)</f>
        <v/>
      </c>
      <c r="P138" s="34" t="str">
        <f ca="1">_xll.DBRW($B$9,$C$14,$C$15,P$20,$P$19,$C$16,$C138,$B138,P$21)</f>
        <v/>
      </c>
      <c r="Q138" s="34" t="str">
        <f ca="1">_xll.DBRW($B$9,$C$14,$C$15,Q$20,$P$19,$C$16,$C138,$B138,Q$21)</f>
        <v/>
      </c>
    </row>
    <row r="139" spans="1:17" x14ac:dyDescent="0.25">
      <c r="A139">
        <f ca="1">IF(_xll.TM1RPTELISCONSOLIDATED($C$22,$C139),IF(_xll.TM1RPTELLEV($C$22,$C139)&lt;=3,_xll.TM1RPTELLEV($C$22,$C139),"D"),"N")</f>
        <v>0</v>
      </c>
      <c r="B139" s="5" t="s">
        <v>66</v>
      </c>
      <c r="C139" s="38" t="s">
        <v>35</v>
      </c>
      <c r="D139" s="33" t="str">
        <f ca="1">_xll.DBRW($B$9,$C$14,$C$15,D$20,D$19,$C$16,$C139,$B139,D$21)</f>
        <v/>
      </c>
      <c r="E139" s="33" t="str">
        <f ca="1">_xll.DBRW($B$9,$C$14,$C$15,E$20,D$19,$C$16,$C139,$B139,E$21)</f>
        <v/>
      </c>
      <c r="F139" s="33" t="str">
        <f ca="1">_xll.DBRW($B$9,$C$14,$C$15,F$20,F$19,$C$16,$C139,$B139,F$21)</f>
        <v/>
      </c>
      <c r="G139" s="33" t="str">
        <f ca="1">_xll.DBRW($B$9,$C$14,$C$15,G$20,F$19,$C$16,$C139,$B139,G$21)</f>
        <v/>
      </c>
      <c r="H139" s="33" t="str">
        <f ca="1">_xll.DBRW($B$9,$C$14,$C$15,H$20,H$19,$C$16,$C139,$B139,H$21)</f>
        <v/>
      </c>
      <c r="I139" s="33" t="str">
        <f ca="1">_xll.DBRW($B$9,$C$14,$C$15,I$20,H$19,$C$16,$C139,$B139,I$21)</f>
        <v/>
      </c>
      <c r="J139" s="33" t="str">
        <f ca="1">_xll.DBRW($B$9,$C$14,$C$15,J$20,J$19,$C$16,$C139,$B139,J$21)</f>
        <v/>
      </c>
      <c r="K139" s="33" t="str">
        <f ca="1">_xll.DBRW($B$9,$C$14,$C$15,K$20,J$19,$C$16,$C139,$B139,K$21)</f>
        <v/>
      </c>
      <c r="L139" s="33" t="str">
        <f ca="1">_xll.DBRW($B$9,$C$14,$C$15,L$20,L$19,$C$16,$C139,$B139,L$21)</f>
        <v/>
      </c>
      <c r="M139" s="33" t="str">
        <f ca="1">_xll.DBRW($B$9,$C$14,$C$15,M$20,L$19,$C$16,$C139,$B139,M$21)</f>
        <v/>
      </c>
      <c r="N139" s="33" t="str">
        <f ca="1">_xll.DBRW($B$9,$C$14,$C$15,N$20,N$19,$C$16,$C139,$B139,N$21)</f>
        <v/>
      </c>
      <c r="O139" s="33" t="str">
        <f ca="1">_xll.DBRW($B$9,$C$14,$C$15,O$20,N$19,$C$16,$C139,$B139,O$21)</f>
        <v/>
      </c>
      <c r="P139" s="33" t="str">
        <f ca="1">_xll.DBRW($B$9,$C$14,$C$15,P$20,$P$19,$C$16,$C139,$B139,P$21)</f>
        <v/>
      </c>
      <c r="Q139" s="33" t="str">
        <f ca="1">_xll.DBRW($B$9,$C$14,$C$15,Q$20,$P$19,$C$16,$C139,$B139,Q$21)</f>
        <v/>
      </c>
    </row>
    <row r="140" spans="1:17" x14ac:dyDescent="0.25">
      <c r="A140">
        <f ca="1">IF(_xll.TM1RPTELISCONSOLIDATED($C$22,$C140),IF(_xll.TM1RPTELLEV($C$22,$C140)&lt;=3,_xll.TM1RPTELLEV($C$22,$C140),"D"),"N")</f>
        <v>1</v>
      </c>
      <c r="B140" s="8" t="s">
        <v>66</v>
      </c>
      <c r="C140" s="39" t="s">
        <v>43</v>
      </c>
      <c r="D140" s="34" t="str">
        <f ca="1">_xll.DBRW($B$9,$C$14,$C$15,D$20,D$19,$C$16,$C140,$B140,D$21)</f>
        <v/>
      </c>
      <c r="E140" s="34" t="str">
        <f ca="1">_xll.DBRW($B$9,$C$14,$C$15,E$20,D$19,$C$16,$C140,$B140,E$21)</f>
        <v/>
      </c>
      <c r="F140" s="34" t="str">
        <f ca="1">_xll.DBRW($B$9,$C$14,$C$15,F$20,F$19,$C$16,$C140,$B140,F$21)</f>
        <v/>
      </c>
      <c r="G140" s="34" t="str">
        <f ca="1">_xll.DBRW($B$9,$C$14,$C$15,G$20,F$19,$C$16,$C140,$B140,G$21)</f>
        <v/>
      </c>
      <c r="H140" s="34" t="str">
        <f ca="1">_xll.DBRW($B$9,$C$14,$C$15,H$20,H$19,$C$16,$C140,$B140,H$21)</f>
        <v/>
      </c>
      <c r="I140" s="34" t="str">
        <f ca="1">_xll.DBRW($B$9,$C$14,$C$15,I$20,H$19,$C$16,$C140,$B140,I$21)</f>
        <v/>
      </c>
      <c r="J140" s="34" t="str">
        <f ca="1">_xll.DBRW($B$9,$C$14,$C$15,J$20,J$19,$C$16,$C140,$B140,J$21)</f>
        <v/>
      </c>
      <c r="K140" s="34" t="str">
        <f ca="1">_xll.DBRW($B$9,$C$14,$C$15,K$20,J$19,$C$16,$C140,$B140,K$21)</f>
        <v/>
      </c>
      <c r="L140" s="34" t="str">
        <f ca="1">_xll.DBRW($B$9,$C$14,$C$15,L$20,L$19,$C$16,$C140,$B140,L$21)</f>
        <v/>
      </c>
      <c r="M140" s="34" t="str">
        <f ca="1">_xll.DBRW($B$9,$C$14,$C$15,M$20,L$19,$C$16,$C140,$B140,M$21)</f>
        <v/>
      </c>
      <c r="N140" s="34" t="str">
        <f ca="1">_xll.DBRW($B$9,$C$14,$C$15,N$20,N$19,$C$16,$C140,$B140,N$21)</f>
        <v/>
      </c>
      <c r="O140" s="34" t="str">
        <f ca="1">_xll.DBRW($B$9,$C$14,$C$15,O$20,N$19,$C$16,$C140,$B140,O$21)</f>
        <v/>
      </c>
      <c r="P140" s="34" t="str">
        <f ca="1">_xll.DBRW($B$9,$C$14,$C$15,P$20,$P$19,$C$16,$C140,$B140,P$21)</f>
        <v/>
      </c>
      <c r="Q140" s="34" t="str">
        <f ca="1">_xll.DBRW($B$9,$C$14,$C$15,Q$20,$P$19,$C$16,$C140,$B140,Q$21)</f>
        <v/>
      </c>
    </row>
    <row r="141" spans="1:17" x14ac:dyDescent="0.25">
      <c r="A141">
        <f ca="1">IF(_xll.TM1RPTELISCONSOLIDATED($C$22,$C141),IF(_xll.TM1RPTELLEV($C$22,$C141)&lt;=3,_xll.TM1RPTELLEV($C$22,$C141),"D"),"N")</f>
        <v>1</v>
      </c>
      <c r="B141" s="8" t="s">
        <v>66</v>
      </c>
      <c r="C141" s="39" t="s">
        <v>36</v>
      </c>
      <c r="D141" s="34" t="str">
        <f ca="1">_xll.DBRW($B$9,$C$14,$C$15,D$20,D$19,$C$16,$C141,$B141,D$21)</f>
        <v/>
      </c>
      <c r="E141" s="34" t="str">
        <f ca="1">_xll.DBRW($B$9,$C$14,$C$15,E$20,D$19,$C$16,$C141,$B141,E$21)</f>
        <v/>
      </c>
      <c r="F141" s="34" t="str">
        <f ca="1">_xll.DBRW($B$9,$C$14,$C$15,F$20,F$19,$C$16,$C141,$B141,F$21)</f>
        <v/>
      </c>
      <c r="G141" s="34" t="str">
        <f ca="1">_xll.DBRW($B$9,$C$14,$C$15,G$20,F$19,$C$16,$C141,$B141,G$21)</f>
        <v/>
      </c>
      <c r="H141" s="34" t="str">
        <f ca="1">_xll.DBRW($B$9,$C$14,$C$15,H$20,H$19,$C$16,$C141,$B141,H$21)</f>
        <v/>
      </c>
      <c r="I141" s="34" t="str">
        <f ca="1">_xll.DBRW($B$9,$C$14,$C$15,I$20,H$19,$C$16,$C141,$B141,I$21)</f>
        <v/>
      </c>
      <c r="J141" s="34" t="str">
        <f ca="1">_xll.DBRW($B$9,$C$14,$C$15,J$20,J$19,$C$16,$C141,$B141,J$21)</f>
        <v/>
      </c>
      <c r="K141" s="34" t="str">
        <f ca="1">_xll.DBRW($B$9,$C$14,$C$15,K$20,J$19,$C$16,$C141,$B141,K$21)</f>
        <v/>
      </c>
      <c r="L141" s="34" t="str">
        <f ca="1">_xll.DBRW($B$9,$C$14,$C$15,L$20,L$19,$C$16,$C141,$B141,L$21)</f>
        <v/>
      </c>
      <c r="M141" s="34" t="str">
        <f ca="1">_xll.DBRW($B$9,$C$14,$C$15,M$20,L$19,$C$16,$C141,$B141,M$21)</f>
        <v/>
      </c>
      <c r="N141" s="34" t="str">
        <f ca="1">_xll.DBRW($B$9,$C$14,$C$15,N$20,N$19,$C$16,$C141,$B141,N$21)</f>
        <v/>
      </c>
      <c r="O141" s="34" t="str">
        <f ca="1">_xll.DBRW($B$9,$C$14,$C$15,O$20,N$19,$C$16,$C141,$B141,O$21)</f>
        <v/>
      </c>
      <c r="P141" s="34" t="str">
        <f ca="1">_xll.DBRW($B$9,$C$14,$C$15,P$20,$P$19,$C$16,$C141,$B141,P$21)</f>
        <v/>
      </c>
      <c r="Q141" s="34" t="str">
        <f ca="1">_xll.DBRW($B$9,$C$14,$C$15,Q$20,$P$19,$C$16,$C141,$B141,Q$21)</f>
        <v/>
      </c>
    </row>
    <row r="142" spans="1:17" x14ac:dyDescent="0.25">
      <c r="A142">
        <f ca="1">IF(_xll.TM1RPTELISCONSOLIDATED($C$22,$C142),IF(_xll.TM1RPTELLEV($C$22,$C142)&lt;=3,_xll.TM1RPTELLEV($C$22,$C142),"D"),"N")</f>
        <v>1</v>
      </c>
      <c r="B142" s="8" t="s">
        <v>66</v>
      </c>
      <c r="C142" s="39" t="s">
        <v>37</v>
      </c>
      <c r="D142" s="34" t="str">
        <f ca="1">_xll.DBRW($B$9,$C$14,$C$15,D$20,D$19,$C$16,$C142,$B142,D$21)</f>
        <v/>
      </c>
      <c r="E142" s="34" t="str">
        <f ca="1">_xll.DBRW($B$9,$C$14,$C$15,E$20,D$19,$C$16,$C142,$B142,E$21)</f>
        <v/>
      </c>
      <c r="F142" s="34" t="str">
        <f ca="1">_xll.DBRW($B$9,$C$14,$C$15,F$20,F$19,$C$16,$C142,$B142,F$21)</f>
        <v/>
      </c>
      <c r="G142" s="34" t="str">
        <f ca="1">_xll.DBRW($B$9,$C$14,$C$15,G$20,F$19,$C$16,$C142,$B142,G$21)</f>
        <v/>
      </c>
      <c r="H142" s="34" t="str">
        <f ca="1">_xll.DBRW($B$9,$C$14,$C$15,H$20,H$19,$C$16,$C142,$B142,H$21)</f>
        <v/>
      </c>
      <c r="I142" s="34" t="str">
        <f ca="1">_xll.DBRW($B$9,$C$14,$C$15,I$20,H$19,$C$16,$C142,$B142,I$21)</f>
        <v/>
      </c>
      <c r="J142" s="34" t="str">
        <f ca="1">_xll.DBRW($B$9,$C$14,$C$15,J$20,J$19,$C$16,$C142,$B142,J$21)</f>
        <v/>
      </c>
      <c r="K142" s="34" t="str">
        <f ca="1">_xll.DBRW($B$9,$C$14,$C$15,K$20,J$19,$C$16,$C142,$B142,K$21)</f>
        <v/>
      </c>
      <c r="L142" s="34" t="str">
        <f ca="1">_xll.DBRW($B$9,$C$14,$C$15,L$20,L$19,$C$16,$C142,$B142,L$21)</f>
        <v/>
      </c>
      <c r="M142" s="34" t="str">
        <f ca="1">_xll.DBRW($B$9,$C$14,$C$15,M$20,L$19,$C$16,$C142,$B142,M$21)</f>
        <v/>
      </c>
      <c r="N142" s="34" t="str">
        <f ca="1">_xll.DBRW($B$9,$C$14,$C$15,N$20,N$19,$C$16,$C142,$B142,N$21)</f>
        <v/>
      </c>
      <c r="O142" s="34" t="str">
        <f ca="1">_xll.DBRW($B$9,$C$14,$C$15,O$20,N$19,$C$16,$C142,$B142,O$21)</f>
        <v/>
      </c>
      <c r="P142" s="34" t="str">
        <f ca="1">_xll.DBRW($B$9,$C$14,$C$15,P$20,$P$19,$C$16,$C142,$B142,P$21)</f>
        <v/>
      </c>
      <c r="Q142" s="34" t="str">
        <f ca="1">_xll.DBRW($B$9,$C$14,$C$15,Q$20,$P$19,$C$16,$C142,$B142,Q$21)</f>
        <v/>
      </c>
    </row>
    <row r="143" spans="1:17" x14ac:dyDescent="0.25">
      <c r="A143">
        <f ca="1">IF(_xll.TM1RPTELISCONSOLIDATED($C$22,$C143),IF(_xll.TM1RPTELLEV($C$22,$C143)&lt;=3,_xll.TM1RPTELLEV($C$22,$C143),"D"),"N")</f>
        <v>1</v>
      </c>
      <c r="B143" s="8" t="s">
        <v>66</v>
      </c>
      <c r="C143" s="39" t="s">
        <v>38</v>
      </c>
      <c r="D143" s="34" t="str">
        <f ca="1">_xll.DBRW($B$9,$C$14,$C$15,D$20,D$19,$C$16,$C143,$B143,D$21)</f>
        <v/>
      </c>
      <c r="E143" s="34" t="str">
        <f ca="1">_xll.DBRW($B$9,$C$14,$C$15,E$20,D$19,$C$16,$C143,$B143,E$21)</f>
        <v/>
      </c>
      <c r="F143" s="34" t="str">
        <f ca="1">_xll.DBRW($B$9,$C$14,$C$15,F$20,F$19,$C$16,$C143,$B143,F$21)</f>
        <v/>
      </c>
      <c r="G143" s="34" t="str">
        <f ca="1">_xll.DBRW($B$9,$C$14,$C$15,G$20,F$19,$C$16,$C143,$B143,G$21)</f>
        <v/>
      </c>
      <c r="H143" s="34" t="str">
        <f ca="1">_xll.DBRW($B$9,$C$14,$C$15,H$20,H$19,$C$16,$C143,$B143,H$21)</f>
        <v/>
      </c>
      <c r="I143" s="34" t="str">
        <f ca="1">_xll.DBRW($B$9,$C$14,$C$15,I$20,H$19,$C$16,$C143,$B143,I$21)</f>
        <v/>
      </c>
      <c r="J143" s="34" t="str">
        <f ca="1">_xll.DBRW($B$9,$C$14,$C$15,J$20,J$19,$C$16,$C143,$B143,J$21)</f>
        <v/>
      </c>
      <c r="K143" s="34" t="str">
        <f ca="1">_xll.DBRW($B$9,$C$14,$C$15,K$20,J$19,$C$16,$C143,$B143,K$21)</f>
        <v/>
      </c>
      <c r="L143" s="34" t="str">
        <f ca="1">_xll.DBRW($B$9,$C$14,$C$15,L$20,L$19,$C$16,$C143,$B143,L$21)</f>
        <v/>
      </c>
      <c r="M143" s="34" t="str">
        <f ca="1">_xll.DBRW($B$9,$C$14,$C$15,M$20,L$19,$C$16,$C143,$B143,M$21)</f>
        <v/>
      </c>
      <c r="N143" s="34" t="str">
        <f ca="1">_xll.DBRW($B$9,$C$14,$C$15,N$20,N$19,$C$16,$C143,$B143,N$21)</f>
        <v/>
      </c>
      <c r="O143" s="34" t="str">
        <f ca="1">_xll.DBRW($B$9,$C$14,$C$15,O$20,N$19,$C$16,$C143,$B143,O$21)</f>
        <v/>
      </c>
      <c r="P143" s="34" t="str">
        <f ca="1">_xll.DBRW($B$9,$C$14,$C$15,P$20,$P$19,$C$16,$C143,$B143,P$21)</f>
        <v/>
      </c>
      <c r="Q143" s="34" t="str">
        <f ca="1">_xll.DBRW($B$9,$C$14,$C$15,Q$20,$P$19,$C$16,$C143,$B143,Q$21)</f>
        <v/>
      </c>
    </row>
    <row r="144" spans="1:17" x14ac:dyDescent="0.25">
      <c r="A144">
        <f ca="1">IF(_xll.TM1RPTELISCONSOLIDATED($C$22,$C144),IF(_xll.TM1RPTELLEV($C$22,$C144)&lt;=3,_xll.TM1RPTELLEV($C$22,$C144),"D"),"N")</f>
        <v>1</v>
      </c>
      <c r="B144" s="8" t="s">
        <v>66</v>
      </c>
      <c r="C144" s="39" t="s">
        <v>39</v>
      </c>
      <c r="D144" s="34" t="str">
        <f ca="1">_xll.DBRW($B$9,$C$14,$C$15,D$20,D$19,$C$16,$C144,$B144,D$21)</f>
        <v/>
      </c>
      <c r="E144" s="34" t="str">
        <f ca="1">_xll.DBRW($B$9,$C$14,$C$15,E$20,D$19,$C$16,$C144,$B144,E$21)</f>
        <v/>
      </c>
      <c r="F144" s="34" t="str">
        <f ca="1">_xll.DBRW($B$9,$C$14,$C$15,F$20,F$19,$C$16,$C144,$B144,F$21)</f>
        <v/>
      </c>
      <c r="G144" s="34" t="str">
        <f ca="1">_xll.DBRW($B$9,$C$14,$C$15,G$20,F$19,$C$16,$C144,$B144,G$21)</f>
        <v/>
      </c>
      <c r="H144" s="34" t="str">
        <f ca="1">_xll.DBRW($B$9,$C$14,$C$15,H$20,H$19,$C$16,$C144,$B144,H$21)</f>
        <v/>
      </c>
      <c r="I144" s="34" t="str">
        <f ca="1">_xll.DBRW($B$9,$C$14,$C$15,I$20,H$19,$C$16,$C144,$B144,I$21)</f>
        <v/>
      </c>
      <c r="J144" s="34" t="str">
        <f ca="1">_xll.DBRW($B$9,$C$14,$C$15,J$20,J$19,$C$16,$C144,$B144,J$21)</f>
        <v/>
      </c>
      <c r="K144" s="34" t="str">
        <f ca="1">_xll.DBRW($B$9,$C$14,$C$15,K$20,J$19,$C$16,$C144,$B144,K$21)</f>
        <v/>
      </c>
      <c r="L144" s="34" t="str">
        <f ca="1">_xll.DBRW($B$9,$C$14,$C$15,L$20,L$19,$C$16,$C144,$B144,L$21)</f>
        <v/>
      </c>
      <c r="M144" s="34" t="str">
        <f ca="1">_xll.DBRW($B$9,$C$14,$C$15,M$20,L$19,$C$16,$C144,$B144,M$21)</f>
        <v/>
      </c>
      <c r="N144" s="34" t="str">
        <f ca="1">_xll.DBRW($B$9,$C$14,$C$15,N$20,N$19,$C$16,$C144,$B144,N$21)</f>
        <v/>
      </c>
      <c r="O144" s="34" t="str">
        <f ca="1">_xll.DBRW($B$9,$C$14,$C$15,O$20,N$19,$C$16,$C144,$B144,O$21)</f>
        <v/>
      </c>
      <c r="P144" s="34" t="str">
        <f ca="1">_xll.DBRW($B$9,$C$14,$C$15,P$20,$P$19,$C$16,$C144,$B144,P$21)</f>
        <v/>
      </c>
      <c r="Q144" s="34" t="str">
        <f ca="1">_xll.DBRW($B$9,$C$14,$C$15,Q$20,$P$19,$C$16,$C144,$B144,Q$21)</f>
        <v/>
      </c>
    </row>
    <row r="145" spans="1:17" x14ac:dyDescent="0.25">
      <c r="A145">
        <f ca="1">IF(_xll.TM1RPTELISCONSOLIDATED($C$22,$C145),IF(_xll.TM1RPTELLEV($C$22,$C145)&lt;=3,_xll.TM1RPTELLEV($C$22,$C145),"D"),"N")</f>
        <v>1</v>
      </c>
      <c r="B145" s="8" t="s">
        <v>66</v>
      </c>
      <c r="C145" s="39" t="s">
        <v>40</v>
      </c>
      <c r="D145" s="34" t="str">
        <f ca="1">_xll.DBRW($B$9,$C$14,$C$15,D$20,D$19,$C$16,$C145,$B145,D$21)</f>
        <v/>
      </c>
      <c r="E145" s="34" t="str">
        <f ca="1">_xll.DBRW($B$9,$C$14,$C$15,E$20,D$19,$C$16,$C145,$B145,E$21)</f>
        <v/>
      </c>
      <c r="F145" s="34" t="str">
        <f ca="1">_xll.DBRW($B$9,$C$14,$C$15,F$20,F$19,$C$16,$C145,$B145,F$21)</f>
        <v/>
      </c>
      <c r="G145" s="34" t="str">
        <f ca="1">_xll.DBRW($B$9,$C$14,$C$15,G$20,F$19,$C$16,$C145,$B145,G$21)</f>
        <v/>
      </c>
      <c r="H145" s="34" t="str">
        <f ca="1">_xll.DBRW($B$9,$C$14,$C$15,H$20,H$19,$C$16,$C145,$B145,H$21)</f>
        <v/>
      </c>
      <c r="I145" s="34" t="str">
        <f ca="1">_xll.DBRW($B$9,$C$14,$C$15,I$20,H$19,$C$16,$C145,$B145,I$21)</f>
        <v/>
      </c>
      <c r="J145" s="34" t="str">
        <f ca="1">_xll.DBRW($B$9,$C$14,$C$15,J$20,J$19,$C$16,$C145,$B145,J$21)</f>
        <v/>
      </c>
      <c r="K145" s="34" t="str">
        <f ca="1">_xll.DBRW($B$9,$C$14,$C$15,K$20,J$19,$C$16,$C145,$B145,K$21)</f>
        <v/>
      </c>
      <c r="L145" s="34" t="str">
        <f ca="1">_xll.DBRW($B$9,$C$14,$C$15,L$20,L$19,$C$16,$C145,$B145,L$21)</f>
        <v/>
      </c>
      <c r="M145" s="34" t="str">
        <f ca="1">_xll.DBRW($B$9,$C$14,$C$15,M$20,L$19,$C$16,$C145,$B145,M$21)</f>
        <v/>
      </c>
      <c r="N145" s="34" t="str">
        <f ca="1">_xll.DBRW($B$9,$C$14,$C$15,N$20,N$19,$C$16,$C145,$B145,N$21)</f>
        <v/>
      </c>
      <c r="O145" s="34" t="str">
        <f ca="1">_xll.DBRW($B$9,$C$14,$C$15,O$20,N$19,$C$16,$C145,$B145,O$21)</f>
        <v/>
      </c>
      <c r="P145" s="34" t="str">
        <f ca="1">_xll.DBRW($B$9,$C$14,$C$15,P$20,$P$19,$C$16,$C145,$B145,P$21)</f>
        <v/>
      </c>
      <c r="Q145" s="34" t="str">
        <f ca="1">_xll.DBRW($B$9,$C$14,$C$15,Q$20,$P$19,$C$16,$C145,$B145,Q$21)</f>
        <v/>
      </c>
    </row>
    <row r="146" spans="1:17" x14ac:dyDescent="0.25">
      <c r="A146">
        <f ca="1">IF(_xll.TM1RPTELISCONSOLIDATED($C$22,$C146),IF(_xll.TM1RPTELLEV($C$22,$C146)&lt;=3,_xll.TM1RPTELLEV($C$22,$C146),"D"),"N")</f>
        <v>1</v>
      </c>
      <c r="B146" s="8" t="s">
        <v>66</v>
      </c>
      <c r="C146" s="39" t="s">
        <v>41</v>
      </c>
      <c r="D146" s="34" t="str">
        <f ca="1">_xll.DBRW($B$9,$C$14,$C$15,D$20,D$19,$C$16,$C146,$B146,D$21)</f>
        <v/>
      </c>
      <c r="E146" s="34" t="str">
        <f ca="1">_xll.DBRW($B$9,$C$14,$C$15,E$20,D$19,$C$16,$C146,$B146,E$21)</f>
        <v/>
      </c>
      <c r="F146" s="34" t="str">
        <f ca="1">_xll.DBRW($B$9,$C$14,$C$15,F$20,F$19,$C$16,$C146,$B146,F$21)</f>
        <v/>
      </c>
      <c r="G146" s="34" t="str">
        <f ca="1">_xll.DBRW($B$9,$C$14,$C$15,G$20,F$19,$C$16,$C146,$B146,G$21)</f>
        <v/>
      </c>
      <c r="H146" s="34" t="str">
        <f ca="1">_xll.DBRW($B$9,$C$14,$C$15,H$20,H$19,$C$16,$C146,$B146,H$21)</f>
        <v/>
      </c>
      <c r="I146" s="34" t="str">
        <f ca="1">_xll.DBRW($B$9,$C$14,$C$15,I$20,H$19,$C$16,$C146,$B146,I$21)</f>
        <v/>
      </c>
      <c r="J146" s="34" t="str">
        <f ca="1">_xll.DBRW($B$9,$C$14,$C$15,J$20,J$19,$C$16,$C146,$B146,J$21)</f>
        <v/>
      </c>
      <c r="K146" s="34" t="str">
        <f ca="1">_xll.DBRW($B$9,$C$14,$C$15,K$20,J$19,$C$16,$C146,$B146,K$21)</f>
        <v/>
      </c>
      <c r="L146" s="34" t="str">
        <f ca="1">_xll.DBRW($B$9,$C$14,$C$15,L$20,L$19,$C$16,$C146,$B146,L$21)</f>
        <v/>
      </c>
      <c r="M146" s="34" t="str">
        <f ca="1">_xll.DBRW($B$9,$C$14,$C$15,M$20,L$19,$C$16,$C146,$B146,M$21)</f>
        <v/>
      </c>
      <c r="N146" s="34" t="str">
        <f ca="1">_xll.DBRW($B$9,$C$14,$C$15,N$20,N$19,$C$16,$C146,$B146,N$21)</f>
        <v/>
      </c>
      <c r="O146" s="34" t="str">
        <f ca="1">_xll.DBRW($B$9,$C$14,$C$15,O$20,N$19,$C$16,$C146,$B146,O$21)</f>
        <v/>
      </c>
      <c r="P146" s="34" t="str">
        <f ca="1">_xll.DBRW($B$9,$C$14,$C$15,P$20,$P$19,$C$16,$C146,$B146,P$21)</f>
        <v/>
      </c>
      <c r="Q146" s="34" t="str">
        <f ca="1">_xll.DBRW($B$9,$C$14,$C$15,Q$20,$P$19,$C$16,$C146,$B146,Q$21)</f>
        <v/>
      </c>
    </row>
    <row r="147" spans="1:17" x14ac:dyDescent="0.25">
      <c r="A147">
        <f ca="1">IF(_xll.TM1RPTELISCONSOLIDATED($C$22,$C147),IF(_xll.TM1RPTELLEV($C$22,$C147)&lt;=3,_xll.TM1RPTELLEV($C$22,$C147),"D"),"N")</f>
        <v>1</v>
      </c>
      <c r="B147" s="8" t="s">
        <v>66</v>
      </c>
      <c r="C147" s="39" t="s">
        <v>42</v>
      </c>
      <c r="D147" s="34" t="str">
        <f ca="1">_xll.DBRW($B$9,$C$14,$C$15,D$20,D$19,$C$16,$C147,$B147,D$21)</f>
        <v/>
      </c>
      <c r="E147" s="34" t="str">
        <f ca="1">_xll.DBRW($B$9,$C$14,$C$15,E$20,D$19,$C$16,$C147,$B147,E$21)</f>
        <v/>
      </c>
      <c r="F147" s="34" t="str">
        <f ca="1">_xll.DBRW($B$9,$C$14,$C$15,F$20,F$19,$C$16,$C147,$B147,F$21)</f>
        <v/>
      </c>
      <c r="G147" s="34" t="str">
        <f ca="1">_xll.DBRW($B$9,$C$14,$C$15,G$20,F$19,$C$16,$C147,$B147,G$21)</f>
        <v/>
      </c>
      <c r="H147" s="34" t="str">
        <f ca="1">_xll.DBRW($B$9,$C$14,$C$15,H$20,H$19,$C$16,$C147,$B147,H$21)</f>
        <v/>
      </c>
      <c r="I147" s="34" t="str">
        <f ca="1">_xll.DBRW($B$9,$C$14,$C$15,I$20,H$19,$C$16,$C147,$B147,I$21)</f>
        <v/>
      </c>
      <c r="J147" s="34" t="str">
        <f ca="1">_xll.DBRW($B$9,$C$14,$C$15,J$20,J$19,$C$16,$C147,$B147,J$21)</f>
        <v/>
      </c>
      <c r="K147" s="34" t="str">
        <f ca="1">_xll.DBRW($B$9,$C$14,$C$15,K$20,J$19,$C$16,$C147,$B147,K$21)</f>
        <v/>
      </c>
      <c r="L147" s="34" t="str">
        <f ca="1">_xll.DBRW($B$9,$C$14,$C$15,L$20,L$19,$C$16,$C147,$B147,L$21)</f>
        <v/>
      </c>
      <c r="M147" s="34" t="str">
        <f ca="1">_xll.DBRW($B$9,$C$14,$C$15,M$20,L$19,$C$16,$C147,$B147,M$21)</f>
        <v/>
      </c>
      <c r="N147" s="34" t="str">
        <f ca="1">_xll.DBRW($B$9,$C$14,$C$15,N$20,N$19,$C$16,$C147,$B147,N$21)</f>
        <v/>
      </c>
      <c r="O147" s="34" t="str">
        <f ca="1">_xll.DBRW($B$9,$C$14,$C$15,O$20,N$19,$C$16,$C147,$B147,O$21)</f>
        <v/>
      </c>
      <c r="P147" s="34" t="str">
        <f ca="1">_xll.DBRW($B$9,$C$14,$C$15,P$20,$P$19,$C$16,$C147,$B147,P$21)</f>
        <v/>
      </c>
      <c r="Q147" s="34" t="str">
        <f ca="1">_xll.DBRW($B$9,$C$14,$C$15,Q$20,$P$19,$C$16,$C147,$B147,Q$21)</f>
        <v/>
      </c>
    </row>
    <row r="148" spans="1:17" x14ac:dyDescent="0.25">
      <c r="A148">
        <f ca="1">IF(_xll.TM1RPTELISCONSOLIDATED($C$22,$C148),IF(_xll.TM1RPTELLEV($C$22,$C148)&lt;=3,_xll.TM1RPTELLEV($C$22,$C148),"D"),"N")</f>
        <v>0</v>
      </c>
      <c r="B148" s="5" t="s">
        <v>67</v>
      </c>
      <c r="C148" s="38" t="s">
        <v>35</v>
      </c>
      <c r="D148" s="33" t="str">
        <f ca="1">_xll.DBRW($B$9,$C$14,$C$15,D$20,D$19,$C$16,$C148,$B148,D$21)</f>
        <v/>
      </c>
      <c r="E148" s="33" t="str">
        <f ca="1">_xll.DBRW($B$9,$C$14,$C$15,E$20,D$19,$C$16,$C148,$B148,E$21)</f>
        <v/>
      </c>
      <c r="F148" s="33" t="str">
        <f ca="1">_xll.DBRW($B$9,$C$14,$C$15,F$20,F$19,$C$16,$C148,$B148,F$21)</f>
        <v/>
      </c>
      <c r="G148" s="33" t="str">
        <f ca="1">_xll.DBRW($B$9,$C$14,$C$15,G$20,F$19,$C$16,$C148,$B148,G$21)</f>
        <v/>
      </c>
      <c r="H148" s="33" t="str">
        <f ca="1">_xll.DBRW($B$9,$C$14,$C$15,H$20,H$19,$C$16,$C148,$B148,H$21)</f>
        <v/>
      </c>
      <c r="I148" s="33" t="str">
        <f ca="1">_xll.DBRW($B$9,$C$14,$C$15,I$20,H$19,$C$16,$C148,$B148,I$21)</f>
        <v/>
      </c>
      <c r="J148" s="33" t="str">
        <f ca="1">_xll.DBRW($B$9,$C$14,$C$15,J$20,J$19,$C$16,$C148,$B148,J$21)</f>
        <v/>
      </c>
      <c r="K148" s="33" t="str">
        <f ca="1">_xll.DBRW($B$9,$C$14,$C$15,K$20,J$19,$C$16,$C148,$B148,K$21)</f>
        <v/>
      </c>
      <c r="L148" s="33" t="str">
        <f ca="1">_xll.DBRW($B$9,$C$14,$C$15,L$20,L$19,$C$16,$C148,$B148,L$21)</f>
        <v/>
      </c>
      <c r="M148" s="33" t="str">
        <f ca="1">_xll.DBRW($B$9,$C$14,$C$15,M$20,L$19,$C$16,$C148,$B148,M$21)</f>
        <v/>
      </c>
      <c r="N148" s="33" t="str">
        <f ca="1">_xll.DBRW($B$9,$C$14,$C$15,N$20,N$19,$C$16,$C148,$B148,N$21)</f>
        <v/>
      </c>
      <c r="O148" s="33" t="str">
        <f ca="1">_xll.DBRW($B$9,$C$14,$C$15,O$20,N$19,$C$16,$C148,$B148,O$21)</f>
        <v/>
      </c>
      <c r="P148" s="33" t="str">
        <f ca="1">_xll.DBRW($B$9,$C$14,$C$15,P$20,$P$19,$C$16,$C148,$B148,P$21)</f>
        <v/>
      </c>
      <c r="Q148" s="33" t="str">
        <f ca="1">_xll.DBRW($B$9,$C$14,$C$15,Q$20,$P$19,$C$16,$C148,$B148,Q$21)</f>
        <v/>
      </c>
    </row>
    <row r="149" spans="1:17" x14ac:dyDescent="0.25">
      <c r="A149">
        <f ca="1">IF(_xll.TM1RPTELISCONSOLIDATED($C$22,$C149),IF(_xll.TM1RPTELLEV($C$22,$C149)&lt;=3,_xll.TM1RPTELLEV($C$22,$C149),"D"),"N")</f>
        <v>1</v>
      </c>
      <c r="B149" s="8" t="s">
        <v>67</v>
      </c>
      <c r="C149" s="39" t="s">
        <v>43</v>
      </c>
      <c r="D149" s="34" t="str">
        <f ca="1">_xll.DBRW($B$9,$C$14,$C$15,D$20,D$19,$C$16,$C149,$B149,D$21)</f>
        <v/>
      </c>
      <c r="E149" s="34" t="str">
        <f ca="1">_xll.DBRW($B$9,$C$14,$C$15,E$20,D$19,$C$16,$C149,$B149,E$21)</f>
        <v/>
      </c>
      <c r="F149" s="34" t="str">
        <f ca="1">_xll.DBRW($B$9,$C$14,$C$15,F$20,F$19,$C$16,$C149,$B149,F$21)</f>
        <v/>
      </c>
      <c r="G149" s="34" t="str">
        <f ca="1">_xll.DBRW($B$9,$C$14,$C$15,G$20,F$19,$C$16,$C149,$B149,G$21)</f>
        <v/>
      </c>
      <c r="H149" s="34" t="str">
        <f ca="1">_xll.DBRW($B$9,$C$14,$C$15,H$20,H$19,$C$16,$C149,$B149,H$21)</f>
        <v/>
      </c>
      <c r="I149" s="34" t="str">
        <f ca="1">_xll.DBRW($B$9,$C$14,$C$15,I$20,H$19,$C$16,$C149,$B149,I$21)</f>
        <v/>
      </c>
      <c r="J149" s="34" t="str">
        <f ca="1">_xll.DBRW($B$9,$C$14,$C$15,J$20,J$19,$C$16,$C149,$B149,J$21)</f>
        <v/>
      </c>
      <c r="K149" s="34" t="str">
        <f ca="1">_xll.DBRW($B$9,$C$14,$C$15,K$20,J$19,$C$16,$C149,$B149,K$21)</f>
        <v/>
      </c>
      <c r="L149" s="34" t="str">
        <f ca="1">_xll.DBRW($B$9,$C$14,$C$15,L$20,L$19,$C$16,$C149,$B149,L$21)</f>
        <v/>
      </c>
      <c r="M149" s="34" t="str">
        <f ca="1">_xll.DBRW($B$9,$C$14,$C$15,M$20,L$19,$C$16,$C149,$B149,M$21)</f>
        <v/>
      </c>
      <c r="N149" s="34" t="str">
        <f ca="1">_xll.DBRW($B$9,$C$14,$C$15,N$20,N$19,$C$16,$C149,$B149,N$21)</f>
        <v/>
      </c>
      <c r="O149" s="34" t="str">
        <f ca="1">_xll.DBRW($B$9,$C$14,$C$15,O$20,N$19,$C$16,$C149,$B149,O$21)</f>
        <v/>
      </c>
      <c r="P149" s="34" t="str">
        <f ca="1">_xll.DBRW($B$9,$C$14,$C$15,P$20,$P$19,$C$16,$C149,$B149,P$21)</f>
        <v/>
      </c>
      <c r="Q149" s="34" t="str">
        <f ca="1">_xll.DBRW($B$9,$C$14,$C$15,Q$20,$P$19,$C$16,$C149,$B149,Q$21)</f>
        <v/>
      </c>
    </row>
    <row r="150" spans="1:17" x14ac:dyDescent="0.25">
      <c r="A150">
        <f ca="1">IF(_xll.TM1RPTELISCONSOLIDATED($C$22,$C150),IF(_xll.TM1RPTELLEV($C$22,$C150)&lt;=3,_xll.TM1RPTELLEV($C$22,$C150),"D"),"N")</f>
        <v>1</v>
      </c>
      <c r="B150" s="8" t="s">
        <v>67</v>
      </c>
      <c r="C150" s="39" t="s">
        <v>36</v>
      </c>
      <c r="D150" s="34" t="str">
        <f ca="1">_xll.DBRW($B$9,$C$14,$C$15,D$20,D$19,$C$16,$C150,$B150,D$21)</f>
        <v/>
      </c>
      <c r="E150" s="34" t="str">
        <f ca="1">_xll.DBRW($B$9,$C$14,$C$15,E$20,D$19,$C$16,$C150,$B150,E$21)</f>
        <v/>
      </c>
      <c r="F150" s="34" t="str">
        <f ca="1">_xll.DBRW($B$9,$C$14,$C$15,F$20,F$19,$C$16,$C150,$B150,F$21)</f>
        <v/>
      </c>
      <c r="G150" s="34" t="str">
        <f ca="1">_xll.DBRW($B$9,$C$14,$C$15,G$20,F$19,$C$16,$C150,$B150,G$21)</f>
        <v/>
      </c>
      <c r="H150" s="34" t="str">
        <f ca="1">_xll.DBRW($B$9,$C$14,$C$15,H$20,H$19,$C$16,$C150,$B150,H$21)</f>
        <v/>
      </c>
      <c r="I150" s="34" t="str">
        <f ca="1">_xll.DBRW($B$9,$C$14,$C$15,I$20,H$19,$C$16,$C150,$B150,I$21)</f>
        <v/>
      </c>
      <c r="J150" s="34" t="str">
        <f ca="1">_xll.DBRW($B$9,$C$14,$C$15,J$20,J$19,$C$16,$C150,$B150,J$21)</f>
        <v/>
      </c>
      <c r="K150" s="34" t="str">
        <f ca="1">_xll.DBRW($B$9,$C$14,$C$15,K$20,J$19,$C$16,$C150,$B150,K$21)</f>
        <v/>
      </c>
      <c r="L150" s="34" t="str">
        <f ca="1">_xll.DBRW($B$9,$C$14,$C$15,L$20,L$19,$C$16,$C150,$B150,L$21)</f>
        <v/>
      </c>
      <c r="M150" s="34" t="str">
        <f ca="1">_xll.DBRW($B$9,$C$14,$C$15,M$20,L$19,$C$16,$C150,$B150,M$21)</f>
        <v/>
      </c>
      <c r="N150" s="34" t="str">
        <f ca="1">_xll.DBRW($B$9,$C$14,$C$15,N$20,N$19,$C$16,$C150,$B150,N$21)</f>
        <v/>
      </c>
      <c r="O150" s="34" t="str">
        <f ca="1">_xll.DBRW($B$9,$C$14,$C$15,O$20,N$19,$C$16,$C150,$B150,O$21)</f>
        <v/>
      </c>
      <c r="P150" s="34" t="str">
        <f ca="1">_xll.DBRW($B$9,$C$14,$C$15,P$20,$P$19,$C$16,$C150,$B150,P$21)</f>
        <v/>
      </c>
      <c r="Q150" s="34" t="str">
        <f ca="1">_xll.DBRW($B$9,$C$14,$C$15,Q$20,$P$19,$C$16,$C150,$B150,Q$21)</f>
        <v/>
      </c>
    </row>
    <row r="151" spans="1:17" x14ac:dyDescent="0.25">
      <c r="A151">
        <f ca="1">IF(_xll.TM1RPTELISCONSOLIDATED($C$22,$C151),IF(_xll.TM1RPTELLEV($C$22,$C151)&lt;=3,_xll.TM1RPTELLEV($C$22,$C151),"D"),"N")</f>
        <v>1</v>
      </c>
      <c r="B151" s="8" t="s">
        <v>67</v>
      </c>
      <c r="C151" s="39" t="s">
        <v>37</v>
      </c>
      <c r="D151" s="34" t="str">
        <f ca="1">_xll.DBRW($B$9,$C$14,$C$15,D$20,D$19,$C$16,$C151,$B151,D$21)</f>
        <v/>
      </c>
      <c r="E151" s="34" t="str">
        <f ca="1">_xll.DBRW($B$9,$C$14,$C$15,E$20,D$19,$C$16,$C151,$B151,E$21)</f>
        <v/>
      </c>
      <c r="F151" s="34" t="str">
        <f ca="1">_xll.DBRW($B$9,$C$14,$C$15,F$20,F$19,$C$16,$C151,$B151,F$21)</f>
        <v/>
      </c>
      <c r="G151" s="34" t="str">
        <f ca="1">_xll.DBRW($B$9,$C$14,$C$15,G$20,F$19,$C$16,$C151,$B151,G$21)</f>
        <v/>
      </c>
      <c r="H151" s="34" t="str">
        <f ca="1">_xll.DBRW($B$9,$C$14,$C$15,H$20,H$19,$C$16,$C151,$B151,H$21)</f>
        <v/>
      </c>
      <c r="I151" s="34" t="str">
        <f ca="1">_xll.DBRW($B$9,$C$14,$C$15,I$20,H$19,$C$16,$C151,$B151,I$21)</f>
        <v/>
      </c>
      <c r="J151" s="34" t="str">
        <f ca="1">_xll.DBRW($B$9,$C$14,$C$15,J$20,J$19,$C$16,$C151,$B151,J$21)</f>
        <v/>
      </c>
      <c r="K151" s="34" t="str">
        <f ca="1">_xll.DBRW($B$9,$C$14,$C$15,K$20,J$19,$C$16,$C151,$B151,K$21)</f>
        <v/>
      </c>
      <c r="L151" s="34" t="str">
        <f ca="1">_xll.DBRW($B$9,$C$14,$C$15,L$20,L$19,$C$16,$C151,$B151,L$21)</f>
        <v/>
      </c>
      <c r="M151" s="34" t="str">
        <f ca="1">_xll.DBRW($B$9,$C$14,$C$15,M$20,L$19,$C$16,$C151,$B151,M$21)</f>
        <v/>
      </c>
      <c r="N151" s="34" t="str">
        <f ca="1">_xll.DBRW($B$9,$C$14,$C$15,N$20,N$19,$C$16,$C151,$B151,N$21)</f>
        <v/>
      </c>
      <c r="O151" s="34" t="str">
        <f ca="1">_xll.DBRW($B$9,$C$14,$C$15,O$20,N$19,$C$16,$C151,$B151,O$21)</f>
        <v/>
      </c>
      <c r="P151" s="34" t="str">
        <f ca="1">_xll.DBRW($B$9,$C$14,$C$15,P$20,$P$19,$C$16,$C151,$B151,P$21)</f>
        <v/>
      </c>
      <c r="Q151" s="34" t="str">
        <f ca="1">_xll.DBRW($B$9,$C$14,$C$15,Q$20,$P$19,$C$16,$C151,$B151,Q$21)</f>
        <v/>
      </c>
    </row>
    <row r="152" spans="1:17" x14ac:dyDescent="0.25">
      <c r="A152">
        <f ca="1">IF(_xll.TM1RPTELISCONSOLIDATED($C$22,$C152),IF(_xll.TM1RPTELLEV($C$22,$C152)&lt;=3,_xll.TM1RPTELLEV($C$22,$C152),"D"),"N")</f>
        <v>1</v>
      </c>
      <c r="B152" s="8" t="s">
        <v>67</v>
      </c>
      <c r="C152" s="39" t="s">
        <v>38</v>
      </c>
      <c r="D152" s="34" t="str">
        <f ca="1">_xll.DBRW($B$9,$C$14,$C$15,D$20,D$19,$C$16,$C152,$B152,D$21)</f>
        <v/>
      </c>
      <c r="E152" s="34" t="str">
        <f ca="1">_xll.DBRW($B$9,$C$14,$C$15,E$20,D$19,$C$16,$C152,$B152,E$21)</f>
        <v/>
      </c>
      <c r="F152" s="34" t="str">
        <f ca="1">_xll.DBRW($B$9,$C$14,$C$15,F$20,F$19,$C$16,$C152,$B152,F$21)</f>
        <v/>
      </c>
      <c r="G152" s="34" t="str">
        <f ca="1">_xll.DBRW($B$9,$C$14,$C$15,G$20,F$19,$C$16,$C152,$B152,G$21)</f>
        <v/>
      </c>
      <c r="H152" s="34" t="str">
        <f ca="1">_xll.DBRW($B$9,$C$14,$C$15,H$20,H$19,$C$16,$C152,$B152,H$21)</f>
        <v/>
      </c>
      <c r="I152" s="34" t="str">
        <f ca="1">_xll.DBRW($B$9,$C$14,$C$15,I$20,H$19,$C$16,$C152,$B152,I$21)</f>
        <v/>
      </c>
      <c r="J152" s="34" t="str">
        <f ca="1">_xll.DBRW($B$9,$C$14,$C$15,J$20,J$19,$C$16,$C152,$B152,J$21)</f>
        <v/>
      </c>
      <c r="K152" s="34" t="str">
        <f ca="1">_xll.DBRW($B$9,$C$14,$C$15,K$20,J$19,$C$16,$C152,$B152,K$21)</f>
        <v/>
      </c>
      <c r="L152" s="34" t="str">
        <f ca="1">_xll.DBRW($B$9,$C$14,$C$15,L$20,L$19,$C$16,$C152,$B152,L$21)</f>
        <v/>
      </c>
      <c r="M152" s="34" t="str">
        <f ca="1">_xll.DBRW($B$9,$C$14,$C$15,M$20,L$19,$C$16,$C152,$B152,M$21)</f>
        <v/>
      </c>
      <c r="N152" s="34" t="str">
        <f ca="1">_xll.DBRW($B$9,$C$14,$C$15,N$20,N$19,$C$16,$C152,$B152,N$21)</f>
        <v/>
      </c>
      <c r="O152" s="34" t="str">
        <f ca="1">_xll.DBRW($B$9,$C$14,$C$15,O$20,N$19,$C$16,$C152,$B152,O$21)</f>
        <v/>
      </c>
      <c r="P152" s="34" t="str">
        <f ca="1">_xll.DBRW($B$9,$C$14,$C$15,P$20,$P$19,$C$16,$C152,$B152,P$21)</f>
        <v/>
      </c>
      <c r="Q152" s="34" t="str">
        <f ca="1">_xll.DBRW($B$9,$C$14,$C$15,Q$20,$P$19,$C$16,$C152,$B152,Q$21)</f>
        <v/>
      </c>
    </row>
    <row r="153" spans="1:17" x14ac:dyDescent="0.25">
      <c r="A153">
        <f ca="1">IF(_xll.TM1RPTELISCONSOLIDATED($C$22,$C153),IF(_xll.TM1RPTELLEV($C$22,$C153)&lt;=3,_xll.TM1RPTELLEV($C$22,$C153),"D"),"N")</f>
        <v>1</v>
      </c>
      <c r="B153" s="8" t="s">
        <v>67</v>
      </c>
      <c r="C153" s="39" t="s">
        <v>39</v>
      </c>
      <c r="D153" s="34" t="str">
        <f ca="1">_xll.DBRW($B$9,$C$14,$C$15,D$20,D$19,$C$16,$C153,$B153,D$21)</f>
        <v/>
      </c>
      <c r="E153" s="34" t="str">
        <f ca="1">_xll.DBRW($B$9,$C$14,$C$15,E$20,D$19,$C$16,$C153,$B153,E$21)</f>
        <v/>
      </c>
      <c r="F153" s="34" t="str">
        <f ca="1">_xll.DBRW($B$9,$C$14,$C$15,F$20,F$19,$C$16,$C153,$B153,F$21)</f>
        <v/>
      </c>
      <c r="G153" s="34" t="str">
        <f ca="1">_xll.DBRW($B$9,$C$14,$C$15,G$20,F$19,$C$16,$C153,$B153,G$21)</f>
        <v/>
      </c>
      <c r="H153" s="34" t="str">
        <f ca="1">_xll.DBRW($B$9,$C$14,$C$15,H$20,H$19,$C$16,$C153,$B153,H$21)</f>
        <v/>
      </c>
      <c r="I153" s="34" t="str">
        <f ca="1">_xll.DBRW($B$9,$C$14,$C$15,I$20,H$19,$C$16,$C153,$B153,I$21)</f>
        <v/>
      </c>
      <c r="J153" s="34" t="str">
        <f ca="1">_xll.DBRW($B$9,$C$14,$C$15,J$20,J$19,$C$16,$C153,$B153,J$21)</f>
        <v/>
      </c>
      <c r="K153" s="34" t="str">
        <f ca="1">_xll.DBRW($B$9,$C$14,$C$15,K$20,J$19,$C$16,$C153,$B153,K$21)</f>
        <v/>
      </c>
      <c r="L153" s="34" t="str">
        <f ca="1">_xll.DBRW($B$9,$C$14,$C$15,L$20,L$19,$C$16,$C153,$B153,L$21)</f>
        <v/>
      </c>
      <c r="M153" s="34" t="str">
        <f ca="1">_xll.DBRW($B$9,$C$14,$C$15,M$20,L$19,$C$16,$C153,$B153,M$21)</f>
        <v/>
      </c>
      <c r="N153" s="34" t="str">
        <f ca="1">_xll.DBRW($B$9,$C$14,$C$15,N$20,N$19,$C$16,$C153,$B153,N$21)</f>
        <v/>
      </c>
      <c r="O153" s="34" t="str">
        <f ca="1">_xll.DBRW($B$9,$C$14,$C$15,O$20,N$19,$C$16,$C153,$B153,O$21)</f>
        <v/>
      </c>
      <c r="P153" s="34" t="str">
        <f ca="1">_xll.DBRW($B$9,$C$14,$C$15,P$20,$P$19,$C$16,$C153,$B153,P$21)</f>
        <v/>
      </c>
      <c r="Q153" s="34" t="str">
        <f ca="1">_xll.DBRW($B$9,$C$14,$C$15,Q$20,$P$19,$C$16,$C153,$B153,Q$21)</f>
        <v/>
      </c>
    </row>
    <row r="154" spans="1:17" x14ac:dyDescent="0.25">
      <c r="A154">
        <f ca="1">IF(_xll.TM1RPTELISCONSOLIDATED($C$22,$C154),IF(_xll.TM1RPTELLEV($C$22,$C154)&lt;=3,_xll.TM1RPTELLEV($C$22,$C154),"D"),"N")</f>
        <v>1</v>
      </c>
      <c r="B154" s="8" t="s">
        <v>67</v>
      </c>
      <c r="C154" s="39" t="s">
        <v>40</v>
      </c>
      <c r="D154" s="34" t="str">
        <f ca="1">_xll.DBRW($B$9,$C$14,$C$15,D$20,D$19,$C$16,$C154,$B154,D$21)</f>
        <v/>
      </c>
      <c r="E154" s="34" t="str">
        <f ca="1">_xll.DBRW($B$9,$C$14,$C$15,E$20,D$19,$C$16,$C154,$B154,E$21)</f>
        <v/>
      </c>
      <c r="F154" s="34" t="str">
        <f ca="1">_xll.DBRW($B$9,$C$14,$C$15,F$20,F$19,$C$16,$C154,$B154,F$21)</f>
        <v/>
      </c>
      <c r="G154" s="34" t="str">
        <f ca="1">_xll.DBRW($B$9,$C$14,$C$15,G$20,F$19,$C$16,$C154,$B154,G$21)</f>
        <v/>
      </c>
      <c r="H154" s="34" t="str">
        <f ca="1">_xll.DBRW($B$9,$C$14,$C$15,H$20,H$19,$C$16,$C154,$B154,H$21)</f>
        <v/>
      </c>
      <c r="I154" s="34" t="str">
        <f ca="1">_xll.DBRW($B$9,$C$14,$C$15,I$20,H$19,$C$16,$C154,$B154,I$21)</f>
        <v/>
      </c>
      <c r="J154" s="34" t="str">
        <f ca="1">_xll.DBRW($B$9,$C$14,$C$15,J$20,J$19,$C$16,$C154,$B154,J$21)</f>
        <v/>
      </c>
      <c r="K154" s="34" t="str">
        <f ca="1">_xll.DBRW($B$9,$C$14,$C$15,K$20,J$19,$C$16,$C154,$B154,K$21)</f>
        <v/>
      </c>
      <c r="L154" s="34" t="str">
        <f ca="1">_xll.DBRW($B$9,$C$14,$C$15,L$20,L$19,$C$16,$C154,$B154,L$21)</f>
        <v/>
      </c>
      <c r="M154" s="34" t="str">
        <f ca="1">_xll.DBRW($B$9,$C$14,$C$15,M$20,L$19,$C$16,$C154,$B154,M$21)</f>
        <v/>
      </c>
      <c r="N154" s="34" t="str">
        <f ca="1">_xll.DBRW($B$9,$C$14,$C$15,N$20,N$19,$C$16,$C154,$B154,N$21)</f>
        <v/>
      </c>
      <c r="O154" s="34" t="str">
        <f ca="1">_xll.DBRW($B$9,$C$14,$C$15,O$20,N$19,$C$16,$C154,$B154,O$21)</f>
        <v/>
      </c>
      <c r="P154" s="34" t="str">
        <f ca="1">_xll.DBRW($B$9,$C$14,$C$15,P$20,$P$19,$C$16,$C154,$B154,P$21)</f>
        <v/>
      </c>
      <c r="Q154" s="34" t="str">
        <f ca="1">_xll.DBRW($B$9,$C$14,$C$15,Q$20,$P$19,$C$16,$C154,$B154,Q$21)</f>
        <v/>
      </c>
    </row>
    <row r="155" spans="1:17" x14ac:dyDescent="0.25">
      <c r="A155">
        <f ca="1">IF(_xll.TM1RPTELISCONSOLIDATED($C$22,$C155),IF(_xll.TM1RPTELLEV($C$22,$C155)&lt;=3,_xll.TM1RPTELLEV($C$22,$C155),"D"),"N")</f>
        <v>1</v>
      </c>
      <c r="B155" s="8" t="s">
        <v>67</v>
      </c>
      <c r="C155" s="39" t="s">
        <v>41</v>
      </c>
      <c r="D155" s="34" t="str">
        <f ca="1">_xll.DBRW($B$9,$C$14,$C$15,D$20,D$19,$C$16,$C155,$B155,D$21)</f>
        <v/>
      </c>
      <c r="E155" s="34" t="str">
        <f ca="1">_xll.DBRW($B$9,$C$14,$C$15,E$20,D$19,$C$16,$C155,$B155,E$21)</f>
        <v/>
      </c>
      <c r="F155" s="34" t="str">
        <f ca="1">_xll.DBRW($B$9,$C$14,$C$15,F$20,F$19,$C$16,$C155,$B155,F$21)</f>
        <v/>
      </c>
      <c r="G155" s="34" t="str">
        <f ca="1">_xll.DBRW($B$9,$C$14,$C$15,G$20,F$19,$C$16,$C155,$B155,G$21)</f>
        <v/>
      </c>
      <c r="H155" s="34" t="str">
        <f ca="1">_xll.DBRW($B$9,$C$14,$C$15,H$20,H$19,$C$16,$C155,$B155,H$21)</f>
        <v/>
      </c>
      <c r="I155" s="34" t="str">
        <f ca="1">_xll.DBRW($B$9,$C$14,$C$15,I$20,H$19,$C$16,$C155,$B155,I$21)</f>
        <v/>
      </c>
      <c r="J155" s="34" t="str">
        <f ca="1">_xll.DBRW($B$9,$C$14,$C$15,J$20,J$19,$C$16,$C155,$B155,J$21)</f>
        <v/>
      </c>
      <c r="K155" s="34" t="str">
        <f ca="1">_xll.DBRW($B$9,$C$14,$C$15,K$20,J$19,$C$16,$C155,$B155,K$21)</f>
        <v/>
      </c>
      <c r="L155" s="34" t="str">
        <f ca="1">_xll.DBRW($B$9,$C$14,$C$15,L$20,L$19,$C$16,$C155,$B155,L$21)</f>
        <v/>
      </c>
      <c r="M155" s="34" t="str">
        <f ca="1">_xll.DBRW($B$9,$C$14,$C$15,M$20,L$19,$C$16,$C155,$B155,M$21)</f>
        <v/>
      </c>
      <c r="N155" s="34" t="str">
        <f ca="1">_xll.DBRW($B$9,$C$14,$C$15,N$20,N$19,$C$16,$C155,$B155,N$21)</f>
        <v/>
      </c>
      <c r="O155" s="34" t="str">
        <f ca="1">_xll.DBRW($B$9,$C$14,$C$15,O$20,N$19,$C$16,$C155,$B155,O$21)</f>
        <v/>
      </c>
      <c r="P155" s="34" t="str">
        <f ca="1">_xll.DBRW($B$9,$C$14,$C$15,P$20,$P$19,$C$16,$C155,$B155,P$21)</f>
        <v/>
      </c>
      <c r="Q155" s="34" t="str">
        <f ca="1">_xll.DBRW($B$9,$C$14,$C$15,Q$20,$P$19,$C$16,$C155,$B155,Q$21)</f>
        <v/>
      </c>
    </row>
    <row r="156" spans="1:17" x14ac:dyDescent="0.25">
      <c r="A156">
        <f ca="1">IF(_xll.TM1RPTELISCONSOLIDATED($C$22,$C156),IF(_xll.TM1RPTELLEV($C$22,$C156)&lt;=3,_xll.TM1RPTELLEV($C$22,$C156),"D"),"N")</f>
        <v>1</v>
      </c>
      <c r="B156" s="8" t="s">
        <v>67</v>
      </c>
      <c r="C156" s="39" t="s">
        <v>42</v>
      </c>
      <c r="D156" s="34" t="str">
        <f ca="1">_xll.DBRW($B$9,$C$14,$C$15,D$20,D$19,$C$16,$C156,$B156,D$21)</f>
        <v/>
      </c>
      <c r="E156" s="34" t="str">
        <f ca="1">_xll.DBRW($B$9,$C$14,$C$15,E$20,D$19,$C$16,$C156,$B156,E$21)</f>
        <v/>
      </c>
      <c r="F156" s="34" t="str">
        <f ca="1">_xll.DBRW($B$9,$C$14,$C$15,F$20,F$19,$C$16,$C156,$B156,F$21)</f>
        <v/>
      </c>
      <c r="G156" s="34" t="str">
        <f ca="1">_xll.DBRW($B$9,$C$14,$C$15,G$20,F$19,$C$16,$C156,$B156,G$21)</f>
        <v/>
      </c>
      <c r="H156" s="34" t="str">
        <f ca="1">_xll.DBRW($B$9,$C$14,$C$15,H$20,H$19,$C$16,$C156,$B156,H$21)</f>
        <v/>
      </c>
      <c r="I156" s="34" t="str">
        <f ca="1">_xll.DBRW($B$9,$C$14,$C$15,I$20,H$19,$C$16,$C156,$B156,I$21)</f>
        <v/>
      </c>
      <c r="J156" s="34" t="str">
        <f ca="1">_xll.DBRW($B$9,$C$14,$C$15,J$20,J$19,$C$16,$C156,$B156,J$21)</f>
        <v/>
      </c>
      <c r="K156" s="34" t="str">
        <f ca="1">_xll.DBRW($B$9,$C$14,$C$15,K$20,J$19,$C$16,$C156,$B156,K$21)</f>
        <v/>
      </c>
      <c r="L156" s="34" t="str">
        <f ca="1">_xll.DBRW($B$9,$C$14,$C$15,L$20,L$19,$C$16,$C156,$B156,L$21)</f>
        <v/>
      </c>
      <c r="M156" s="34" t="str">
        <f ca="1">_xll.DBRW($B$9,$C$14,$C$15,M$20,L$19,$C$16,$C156,$B156,M$21)</f>
        <v/>
      </c>
      <c r="N156" s="34" t="str">
        <f ca="1">_xll.DBRW($B$9,$C$14,$C$15,N$20,N$19,$C$16,$C156,$B156,N$21)</f>
        <v/>
      </c>
      <c r="O156" s="34" t="str">
        <f ca="1">_xll.DBRW($B$9,$C$14,$C$15,O$20,N$19,$C$16,$C156,$B156,O$21)</f>
        <v/>
      </c>
      <c r="P156" s="34" t="str">
        <f ca="1">_xll.DBRW($B$9,$C$14,$C$15,P$20,$P$19,$C$16,$C156,$B156,P$21)</f>
        <v/>
      </c>
      <c r="Q156" s="34" t="str">
        <f ca="1">_xll.DBRW($B$9,$C$14,$C$15,Q$20,$P$19,$C$16,$C156,$B156,Q$21)</f>
        <v/>
      </c>
    </row>
    <row r="157" spans="1:17" x14ac:dyDescent="0.25">
      <c r="A157">
        <f ca="1">IF(_xll.TM1RPTELISCONSOLIDATED($C$22,$C157),IF(_xll.TM1RPTELLEV($C$22,$C157)&lt;=3,_xll.TM1RPTELLEV($C$22,$C157),"D"),"N")</f>
        <v>0</v>
      </c>
      <c r="B157" s="5" t="s">
        <v>68</v>
      </c>
      <c r="C157" s="38" t="s">
        <v>35</v>
      </c>
      <c r="D157" s="33" t="str">
        <f ca="1">_xll.DBRW($B$9,$C$14,$C$15,D$20,D$19,$C$16,$C157,$B157,D$21)</f>
        <v/>
      </c>
      <c r="E157" s="33" t="str">
        <f ca="1">_xll.DBRW($B$9,$C$14,$C$15,E$20,D$19,$C$16,$C157,$B157,E$21)</f>
        <v/>
      </c>
      <c r="F157" s="33" t="str">
        <f ca="1">_xll.DBRW($B$9,$C$14,$C$15,F$20,F$19,$C$16,$C157,$B157,F$21)</f>
        <v/>
      </c>
      <c r="G157" s="33" t="str">
        <f ca="1">_xll.DBRW($B$9,$C$14,$C$15,G$20,F$19,$C$16,$C157,$B157,G$21)</f>
        <v/>
      </c>
      <c r="H157" s="33" t="str">
        <f ca="1">_xll.DBRW($B$9,$C$14,$C$15,H$20,H$19,$C$16,$C157,$B157,H$21)</f>
        <v/>
      </c>
      <c r="I157" s="33" t="str">
        <f ca="1">_xll.DBRW($B$9,$C$14,$C$15,I$20,H$19,$C$16,$C157,$B157,I$21)</f>
        <v/>
      </c>
      <c r="J157" s="33" t="str">
        <f ca="1">_xll.DBRW($B$9,$C$14,$C$15,J$20,J$19,$C$16,$C157,$B157,J$21)</f>
        <v/>
      </c>
      <c r="K157" s="33" t="str">
        <f ca="1">_xll.DBRW($B$9,$C$14,$C$15,K$20,J$19,$C$16,$C157,$B157,K$21)</f>
        <v/>
      </c>
      <c r="L157" s="33" t="str">
        <f ca="1">_xll.DBRW($B$9,$C$14,$C$15,L$20,L$19,$C$16,$C157,$B157,L$21)</f>
        <v/>
      </c>
      <c r="M157" s="33" t="str">
        <f ca="1">_xll.DBRW($B$9,$C$14,$C$15,M$20,L$19,$C$16,$C157,$B157,M$21)</f>
        <v/>
      </c>
      <c r="N157" s="33" t="str">
        <f ca="1">_xll.DBRW($B$9,$C$14,$C$15,N$20,N$19,$C$16,$C157,$B157,N$21)</f>
        <v/>
      </c>
      <c r="O157" s="33" t="str">
        <f ca="1">_xll.DBRW($B$9,$C$14,$C$15,O$20,N$19,$C$16,$C157,$B157,O$21)</f>
        <v/>
      </c>
      <c r="P157" s="33" t="str">
        <f ca="1">_xll.DBRW($B$9,$C$14,$C$15,P$20,$P$19,$C$16,$C157,$B157,P$21)</f>
        <v/>
      </c>
      <c r="Q157" s="33" t="str">
        <f ca="1">_xll.DBRW($B$9,$C$14,$C$15,Q$20,$P$19,$C$16,$C157,$B157,Q$21)</f>
        <v/>
      </c>
    </row>
    <row r="158" spans="1:17" x14ac:dyDescent="0.25">
      <c r="A158">
        <f ca="1">IF(_xll.TM1RPTELISCONSOLIDATED($C$22,$C158),IF(_xll.TM1RPTELLEV($C$22,$C158)&lt;=3,_xll.TM1RPTELLEV($C$22,$C158),"D"),"N")</f>
        <v>1</v>
      </c>
      <c r="B158" s="8" t="s">
        <v>68</v>
      </c>
      <c r="C158" s="39" t="s">
        <v>43</v>
      </c>
      <c r="D158" s="34" t="str">
        <f ca="1">_xll.DBRW($B$9,$C$14,$C$15,D$20,D$19,$C$16,$C158,$B158,D$21)</f>
        <v/>
      </c>
      <c r="E158" s="34" t="str">
        <f ca="1">_xll.DBRW($B$9,$C$14,$C$15,E$20,D$19,$C$16,$C158,$B158,E$21)</f>
        <v/>
      </c>
      <c r="F158" s="34" t="str">
        <f ca="1">_xll.DBRW($B$9,$C$14,$C$15,F$20,F$19,$C$16,$C158,$B158,F$21)</f>
        <v/>
      </c>
      <c r="G158" s="34" t="str">
        <f ca="1">_xll.DBRW($B$9,$C$14,$C$15,G$20,F$19,$C$16,$C158,$B158,G$21)</f>
        <v/>
      </c>
      <c r="H158" s="34" t="str">
        <f ca="1">_xll.DBRW($B$9,$C$14,$C$15,H$20,H$19,$C$16,$C158,$B158,H$21)</f>
        <v/>
      </c>
      <c r="I158" s="34" t="str">
        <f ca="1">_xll.DBRW($B$9,$C$14,$C$15,I$20,H$19,$C$16,$C158,$B158,I$21)</f>
        <v/>
      </c>
      <c r="J158" s="34" t="str">
        <f ca="1">_xll.DBRW($B$9,$C$14,$C$15,J$20,J$19,$C$16,$C158,$B158,J$21)</f>
        <v/>
      </c>
      <c r="K158" s="34" t="str">
        <f ca="1">_xll.DBRW($B$9,$C$14,$C$15,K$20,J$19,$C$16,$C158,$B158,K$21)</f>
        <v/>
      </c>
      <c r="L158" s="34" t="str">
        <f ca="1">_xll.DBRW($B$9,$C$14,$C$15,L$20,L$19,$C$16,$C158,$B158,L$21)</f>
        <v/>
      </c>
      <c r="M158" s="34" t="str">
        <f ca="1">_xll.DBRW($B$9,$C$14,$C$15,M$20,L$19,$C$16,$C158,$B158,M$21)</f>
        <v/>
      </c>
      <c r="N158" s="34" t="str">
        <f ca="1">_xll.DBRW($B$9,$C$14,$C$15,N$20,N$19,$C$16,$C158,$B158,N$21)</f>
        <v/>
      </c>
      <c r="O158" s="34" t="str">
        <f ca="1">_xll.DBRW($B$9,$C$14,$C$15,O$20,N$19,$C$16,$C158,$B158,O$21)</f>
        <v/>
      </c>
      <c r="P158" s="34" t="str">
        <f ca="1">_xll.DBRW($B$9,$C$14,$C$15,P$20,$P$19,$C$16,$C158,$B158,P$21)</f>
        <v/>
      </c>
      <c r="Q158" s="34" t="str">
        <f ca="1">_xll.DBRW($B$9,$C$14,$C$15,Q$20,$P$19,$C$16,$C158,$B158,Q$21)</f>
        <v/>
      </c>
    </row>
    <row r="159" spans="1:17" x14ac:dyDescent="0.25">
      <c r="A159">
        <f ca="1">IF(_xll.TM1RPTELISCONSOLIDATED($C$22,$C159),IF(_xll.TM1RPTELLEV($C$22,$C159)&lt;=3,_xll.TM1RPTELLEV($C$22,$C159),"D"),"N")</f>
        <v>1</v>
      </c>
      <c r="B159" s="8" t="s">
        <v>68</v>
      </c>
      <c r="C159" s="39" t="s">
        <v>36</v>
      </c>
      <c r="D159" s="34" t="str">
        <f ca="1">_xll.DBRW($B$9,$C$14,$C$15,D$20,D$19,$C$16,$C159,$B159,D$21)</f>
        <v/>
      </c>
      <c r="E159" s="34" t="str">
        <f ca="1">_xll.DBRW($B$9,$C$14,$C$15,E$20,D$19,$C$16,$C159,$B159,E$21)</f>
        <v/>
      </c>
      <c r="F159" s="34" t="str">
        <f ca="1">_xll.DBRW($B$9,$C$14,$C$15,F$20,F$19,$C$16,$C159,$B159,F$21)</f>
        <v/>
      </c>
      <c r="G159" s="34" t="str">
        <f ca="1">_xll.DBRW($B$9,$C$14,$C$15,G$20,F$19,$C$16,$C159,$B159,G$21)</f>
        <v/>
      </c>
      <c r="H159" s="34" t="str">
        <f ca="1">_xll.DBRW($B$9,$C$14,$C$15,H$20,H$19,$C$16,$C159,$B159,H$21)</f>
        <v/>
      </c>
      <c r="I159" s="34" t="str">
        <f ca="1">_xll.DBRW($B$9,$C$14,$C$15,I$20,H$19,$C$16,$C159,$B159,I$21)</f>
        <v/>
      </c>
      <c r="J159" s="34" t="str">
        <f ca="1">_xll.DBRW($B$9,$C$14,$C$15,J$20,J$19,$C$16,$C159,$B159,J$21)</f>
        <v/>
      </c>
      <c r="K159" s="34" t="str">
        <f ca="1">_xll.DBRW($B$9,$C$14,$C$15,K$20,J$19,$C$16,$C159,$B159,K$21)</f>
        <v/>
      </c>
      <c r="L159" s="34" t="str">
        <f ca="1">_xll.DBRW($B$9,$C$14,$C$15,L$20,L$19,$C$16,$C159,$B159,L$21)</f>
        <v/>
      </c>
      <c r="M159" s="34" t="str">
        <f ca="1">_xll.DBRW($B$9,$C$14,$C$15,M$20,L$19,$C$16,$C159,$B159,M$21)</f>
        <v/>
      </c>
      <c r="N159" s="34" t="str">
        <f ca="1">_xll.DBRW($B$9,$C$14,$C$15,N$20,N$19,$C$16,$C159,$B159,N$21)</f>
        <v/>
      </c>
      <c r="O159" s="34" t="str">
        <f ca="1">_xll.DBRW($B$9,$C$14,$C$15,O$20,N$19,$C$16,$C159,$B159,O$21)</f>
        <v/>
      </c>
      <c r="P159" s="34" t="str">
        <f ca="1">_xll.DBRW($B$9,$C$14,$C$15,P$20,$P$19,$C$16,$C159,$B159,P$21)</f>
        <v/>
      </c>
      <c r="Q159" s="34" t="str">
        <f ca="1">_xll.DBRW($B$9,$C$14,$C$15,Q$20,$P$19,$C$16,$C159,$B159,Q$21)</f>
        <v/>
      </c>
    </row>
    <row r="160" spans="1:17" x14ac:dyDescent="0.25">
      <c r="A160">
        <f ca="1">IF(_xll.TM1RPTELISCONSOLIDATED($C$22,$C160),IF(_xll.TM1RPTELLEV($C$22,$C160)&lt;=3,_xll.TM1RPTELLEV($C$22,$C160),"D"),"N")</f>
        <v>1</v>
      </c>
      <c r="B160" s="8" t="s">
        <v>68</v>
      </c>
      <c r="C160" s="39" t="s">
        <v>37</v>
      </c>
      <c r="D160" s="34" t="str">
        <f ca="1">_xll.DBRW($B$9,$C$14,$C$15,D$20,D$19,$C$16,$C160,$B160,D$21)</f>
        <v/>
      </c>
      <c r="E160" s="34" t="str">
        <f ca="1">_xll.DBRW($B$9,$C$14,$C$15,E$20,D$19,$C$16,$C160,$B160,E$21)</f>
        <v/>
      </c>
      <c r="F160" s="34" t="str">
        <f ca="1">_xll.DBRW($B$9,$C$14,$C$15,F$20,F$19,$C$16,$C160,$B160,F$21)</f>
        <v/>
      </c>
      <c r="G160" s="34" t="str">
        <f ca="1">_xll.DBRW($B$9,$C$14,$C$15,G$20,F$19,$C$16,$C160,$B160,G$21)</f>
        <v/>
      </c>
      <c r="H160" s="34" t="str">
        <f ca="1">_xll.DBRW($B$9,$C$14,$C$15,H$20,H$19,$C$16,$C160,$B160,H$21)</f>
        <v/>
      </c>
      <c r="I160" s="34" t="str">
        <f ca="1">_xll.DBRW($B$9,$C$14,$C$15,I$20,H$19,$C$16,$C160,$B160,I$21)</f>
        <v/>
      </c>
      <c r="J160" s="34" t="str">
        <f ca="1">_xll.DBRW($B$9,$C$14,$C$15,J$20,J$19,$C$16,$C160,$B160,J$21)</f>
        <v/>
      </c>
      <c r="K160" s="34" t="str">
        <f ca="1">_xll.DBRW($B$9,$C$14,$C$15,K$20,J$19,$C$16,$C160,$B160,K$21)</f>
        <v/>
      </c>
      <c r="L160" s="34" t="str">
        <f ca="1">_xll.DBRW($B$9,$C$14,$C$15,L$20,L$19,$C$16,$C160,$B160,L$21)</f>
        <v/>
      </c>
      <c r="M160" s="34" t="str">
        <f ca="1">_xll.DBRW($B$9,$C$14,$C$15,M$20,L$19,$C$16,$C160,$B160,M$21)</f>
        <v/>
      </c>
      <c r="N160" s="34" t="str">
        <f ca="1">_xll.DBRW($B$9,$C$14,$C$15,N$20,N$19,$C$16,$C160,$B160,N$21)</f>
        <v/>
      </c>
      <c r="O160" s="34" t="str">
        <f ca="1">_xll.DBRW($B$9,$C$14,$C$15,O$20,N$19,$C$16,$C160,$B160,O$21)</f>
        <v/>
      </c>
      <c r="P160" s="34" t="str">
        <f ca="1">_xll.DBRW($B$9,$C$14,$C$15,P$20,$P$19,$C$16,$C160,$B160,P$21)</f>
        <v/>
      </c>
      <c r="Q160" s="34" t="str">
        <f ca="1">_xll.DBRW($B$9,$C$14,$C$15,Q$20,$P$19,$C$16,$C160,$B160,Q$21)</f>
        <v/>
      </c>
    </row>
    <row r="161" spans="1:17" x14ac:dyDescent="0.25">
      <c r="A161">
        <f ca="1">IF(_xll.TM1RPTELISCONSOLIDATED($C$22,$C161),IF(_xll.TM1RPTELLEV($C$22,$C161)&lt;=3,_xll.TM1RPTELLEV($C$22,$C161),"D"),"N")</f>
        <v>1</v>
      </c>
      <c r="B161" s="8" t="s">
        <v>68</v>
      </c>
      <c r="C161" s="39" t="s">
        <v>38</v>
      </c>
      <c r="D161" s="34" t="str">
        <f ca="1">_xll.DBRW($B$9,$C$14,$C$15,D$20,D$19,$C$16,$C161,$B161,D$21)</f>
        <v/>
      </c>
      <c r="E161" s="34" t="str">
        <f ca="1">_xll.DBRW($B$9,$C$14,$C$15,E$20,D$19,$C$16,$C161,$B161,E$21)</f>
        <v/>
      </c>
      <c r="F161" s="34" t="str">
        <f ca="1">_xll.DBRW($B$9,$C$14,$C$15,F$20,F$19,$C$16,$C161,$B161,F$21)</f>
        <v/>
      </c>
      <c r="G161" s="34" t="str">
        <f ca="1">_xll.DBRW($B$9,$C$14,$C$15,G$20,F$19,$C$16,$C161,$B161,G$21)</f>
        <v/>
      </c>
      <c r="H161" s="34" t="str">
        <f ca="1">_xll.DBRW($B$9,$C$14,$C$15,H$20,H$19,$C$16,$C161,$B161,H$21)</f>
        <v/>
      </c>
      <c r="I161" s="34" t="str">
        <f ca="1">_xll.DBRW($B$9,$C$14,$C$15,I$20,H$19,$C$16,$C161,$B161,I$21)</f>
        <v/>
      </c>
      <c r="J161" s="34" t="str">
        <f ca="1">_xll.DBRW($B$9,$C$14,$C$15,J$20,J$19,$C$16,$C161,$B161,J$21)</f>
        <v/>
      </c>
      <c r="K161" s="34" t="str">
        <f ca="1">_xll.DBRW($B$9,$C$14,$C$15,K$20,J$19,$C$16,$C161,$B161,K$21)</f>
        <v/>
      </c>
      <c r="L161" s="34" t="str">
        <f ca="1">_xll.DBRW($B$9,$C$14,$C$15,L$20,L$19,$C$16,$C161,$B161,L$21)</f>
        <v/>
      </c>
      <c r="M161" s="34" t="str">
        <f ca="1">_xll.DBRW($B$9,$C$14,$C$15,M$20,L$19,$C$16,$C161,$B161,M$21)</f>
        <v/>
      </c>
      <c r="N161" s="34" t="str">
        <f ca="1">_xll.DBRW($B$9,$C$14,$C$15,N$20,N$19,$C$16,$C161,$B161,N$21)</f>
        <v/>
      </c>
      <c r="O161" s="34" t="str">
        <f ca="1">_xll.DBRW($B$9,$C$14,$C$15,O$20,N$19,$C$16,$C161,$B161,O$21)</f>
        <v/>
      </c>
      <c r="P161" s="34" t="str">
        <f ca="1">_xll.DBRW($B$9,$C$14,$C$15,P$20,$P$19,$C$16,$C161,$B161,P$21)</f>
        <v/>
      </c>
      <c r="Q161" s="34" t="str">
        <f ca="1">_xll.DBRW($B$9,$C$14,$C$15,Q$20,$P$19,$C$16,$C161,$B161,Q$21)</f>
        <v/>
      </c>
    </row>
    <row r="162" spans="1:17" x14ac:dyDescent="0.25">
      <c r="A162">
        <f ca="1">IF(_xll.TM1RPTELISCONSOLIDATED($C$22,$C162),IF(_xll.TM1RPTELLEV($C$22,$C162)&lt;=3,_xll.TM1RPTELLEV($C$22,$C162),"D"),"N")</f>
        <v>1</v>
      </c>
      <c r="B162" s="8" t="s">
        <v>68</v>
      </c>
      <c r="C162" s="39" t="s">
        <v>39</v>
      </c>
      <c r="D162" s="34" t="str">
        <f ca="1">_xll.DBRW($B$9,$C$14,$C$15,D$20,D$19,$C$16,$C162,$B162,D$21)</f>
        <v/>
      </c>
      <c r="E162" s="34" t="str">
        <f ca="1">_xll.DBRW($B$9,$C$14,$C$15,E$20,D$19,$C$16,$C162,$B162,E$21)</f>
        <v/>
      </c>
      <c r="F162" s="34" t="str">
        <f ca="1">_xll.DBRW($B$9,$C$14,$C$15,F$20,F$19,$C$16,$C162,$B162,F$21)</f>
        <v/>
      </c>
      <c r="G162" s="34" t="str">
        <f ca="1">_xll.DBRW($B$9,$C$14,$C$15,G$20,F$19,$C$16,$C162,$B162,G$21)</f>
        <v/>
      </c>
      <c r="H162" s="34" t="str">
        <f ca="1">_xll.DBRW($B$9,$C$14,$C$15,H$20,H$19,$C$16,$C162,$B162,H$21)</f>
        <v/>
      </c>
      <c r="I162" s="34" t="str">
        <f ca="1">_xll.DBRW($B$9,$C$14,$C$15,I$20,H$19,$C$16,$C162,$B162,I$21)</f>
        <v/>
      </c>
      <c r="J162" s="34" t="str">
        <f ca="1">_xll.DBRW($B$9,$C$14,$C$15,J$20,J$19,$C$16,$C162,$B162,J$21)</f>
        <v/>
      </c>
      <c r="K162" s="34" t="str">
        <f ca="1">_xll.DBRW($B$9,$C$14,$C$15,K$20,J$19,$C$16,$C162,$B162,K$21)</f>
        <v/>
      </c>
      <c r="L162" s="34" t="str">
        <f ca="1">_xll.DBRW($B$9,$C$14,$C$15,L$20,L$19,$C$16,$C162,$B162,L$21)</f>
        <v/>
      </c>
      <c r="M162" s="34" t="str">
        <f ca="1">_xll.DBRW($B$9,$C$14,$C$15,M$20,L$19,$C$16,$C162,$B162,M$21)</f>
        <v/>
      </c>
      <c r="N162" s="34" t="str">
        <f ca="1">_xll.DBRW($B$9,$C$14,$C$15,N$20,N$19,$C$16,$C162,$B162,N$21)</f>
        <v/>
      </c>
      <c r="O162" s="34" t="str">
        <f ca="1">_xll.DBRW($B$9,$C$14,$C$15,O$20,N$19,$C$16,$C162,$B162,O$21)</f>
        <v/>
      </c>
      <c r="P162" s="34" t="str">
        <f ca="1">_xll.DBRW($B$9,$C$14,$C$15,P$20,$P$19,$C$16,$C162,$B162,P$21)</f>
        <v/>
      </c>
      <c r="Q162" s="34" t="str">
        <f ca="1">_xll.DBRW($B$9,$C$14,$C$15,Q$20,$P$19,$C$16,$C162,$B162,Q$21)</f>
        <v/>
      </c>
    </row>
    <row r="163" spans="1:17" x14ac:dyDescent="0.25">
      <c r="A163">
        <f ca="1">IF(_xll.TM1RPTELISCONSOLIDATED($C$22,$C163),IF(_xll.TM1RPTELLEV($C$22,$C163)&lt;=3,_xll.TM1RPTELLEV($C$22,$C163),"D"),"N")</f>
        <v>1</v>
      </c>
      <c r="B163" s="8" t="s">
        <v>68</v>
      </c>
      <c r="C163" s="39" t="s">
        <v>40</v>
      </c>
      <c r="D163" s="34" t="str">
        <f ca="1">_xll.DBRW($B$9,$C$14,$C$15,D$20,D$19,$C$16,$C163,$B163,D$21)</f>
        <v/>
      </c>
      <c r="E163" s="34" t="str">
        <f ca="1">_xll.DBRW($B$9,$C$14,$C$15,E$20,D$19,$C$16,$C163,$B163,E$21)</f>
        <v/>
      </c>
      <c r="F163" s="34" t="str">
        <f ca="1">_xll.DBRW($B$9,$C$14,$C$15,F$20,F$19,$C$16,$C163,$B163,F$21)</f>
        <v/>
      </c>
      <c r="G163" s="34" t="str">
        <f ca="1">_xll.DBRW($B$9,$C$14,$C$15,G$20,F$19,$C$16,$C163,$B163,G$21)</f>
        <v/>
      </c>
      <c r="H163" s="34" t="str">
        <f ca="1">_xll.DBRW($B$9,$C$14,$C$15,H$20,H$19,$C$16,$C163,$B163,H$21)</f>
        <v/>
      </c>
      <c r="I163" s="34" t="str">
        <f ca="1">_xll.DBRW($B$9,$C$14,$C$15,I$20,H$19,$C$16,$C163,$B163,I$21)</f>
        <v/>
      </c>
      <c r="J163" s="34" t="str">
        <f ca="1">_xll.DBRW($B$9,$C$14,$C$15,J$20,J$19,$C$16,$C163,$B163,J$21)</f>
        <v/>
      </c>
      <c r="K163" s="34" t="str">
        <f ca="1">_xll.DBRW($B$9,$C$14,$C$15,K$20,J$19,$C$16,$C163,$B163,K$21)</f>
        <v/>
      </c>
      <c r="L163" s="34" t="str">
        <f ca="1">_xll.DBRW($B$9,$C$14,$C$15,L$20,L$19,$C$16,$C163,$B163,L$21)</f>
        <v/>
      </c>
      <c r="M163" s="34" t="str">
        <f ca="1">_xll.DBRW($B$9,$C$14,$C$15,M$20,L$19,$C$16,$C163,$B163,M$21)</f>
        <v/>
      </c>
      <c r="N163" s="34" t="str">
        <f ca="1">_xll.DBRW($B$9,$C$14,$C$15,N$20,N$19,$C$16,$C163,$B163,N$21)</f>
        <v/>
      </c>
      <c r="O163" s="34" t="str">
        <f ca="1">_xll.DBRW($B$9,$C$14,$C$15,O$20,N$19,$C$16,$C163,$B163,O$21)</f>
        <v/>
      </c>
      <c r="P163" s="34" t="str">
        <f ca="1">_xll.DBRW($B$9,$C$14,$C$15,P$20,$P$19,$C$16,$C163,$B163,P$21)</f>
        <v/>
      </c>
      <c r="Q163" s="34" t="str">
        <f ca="1">_xll.DBRW($B$9,$C$14,$C$15,Q$20,$P$19,$C$16,$C163,$B163,Q$21)</f>
        <v/>
      </c>
    </row>
    <row r="164" spans="1:17" x14ac:dyDescent="0.25">
      <c r="A164">
        <f ca="1">IF(_xll.TM1RPTELISCONSOLIDATED($C$22,$C164),IF(_xll.TM1RPTELLEV($C$22,$C164)&lt;=3,_xll.TM1RPTELLEV($C$22,$C164),"D"),"N")</f>
        <v>1</v>
      </c>
      <c r="B164" s="8" t="s">
        <v>68</v>
      </c>
      <c r="C164" s="39" t="s">
        <v>41</v>
      </c>
      <c r="D164" s="34" t="str">
        <f ca="1">_xll.DBRW($B$9,$C$14,$C$15,D$20,D$19,$C$16,$C164,$B164,D$21)</f>
        <v/>
      </c>
      <c r="E164" s="34" t="str">
        <f ca="1">_xll.DBRW($B$9,$C$14,$C$15,E$20,D$19,$C$16,$C164,$B164,E$21)</f>
        <v/>
      </c>
      <c r="F164" s="34" t="str">
        <f ca="1">_xll.DBRW($B$9,$C$14,$C$15,F$20,F$19,$C$16,$C164,$B164,F$21)</f>
        <v/>
      </c>
      <c r="G164" s="34" t="str">
        <f ca="1">_xll.DBRW($B$9,$C$14,$C$15,G$20,F$19,$C$16,$C164,$B164,G$21)</f>
        <v/>
      </c>
      <c r="H164" s="34" t="str">
        <f ca="1">_xll.DBRW($B$9,$C$14,$C$15,H$20,H$19,$C$16,$C164,$B164,H$21)</f>
        <v/>
      </c>
      <c r="I164" s="34" t="str">
        <f ca="1">_xll.DBRW($B$9,$C$14,$C$15,I$20,H$19,$C$16,$C164,$B164,I$21)</f>
        <v/>
      </c>
      <c r="J164" s="34" t="str">
        <f ca="1">_xll.DBRW($B$9,$C$14,$C$15,J$20,J$19,$C$16,$C164,$B164,J$21)</f>
        <v/>
      </c>
      <c r="K164" s="34" t="str">
        <f ca="1">_xll.DBRW($B$9,$C$14,$C$15,K$20,J$19,$C$16,$C164,$B164,K$21)</f>
        <v/>
      </c>
      <c r="L164" s="34" t="str">
        <f ca="1">_xll.DBRW($B$9,$C$14,$C$15,L$20,L$19,$C$16,$C164,$B164,L$21)</f>
        <v/>
      </c>
      <c r="M164" s="34" t="str">
        <f ca="1">_xll.DBRW($B$9,$C$14,$C$15,M$20,L$19,$C$16,$C164,$B164,M$21)</f>
        <v/>
      </c>
      <c r="N164" s="34" t="str">
        <f ca="1">_xll.DBRW($B$9,$C$14,$C$15,N$20,N$19,$C$16,$C164,$B164,N$21)</f>
        <v/>
      </c>
      <c r="O164" s="34" t="str">
        <f ca="1">_xll.DBRW($B$9,$C$14,$C$15,O$20,N$19,$C$16,$C164,$B164,O$21)</f>
        <v/>
      </c>
      <c r="P164" s="34" t="str">
        <f ca="1">_xll.DBRW($B$9,$C$14,$C$15,P$20,$P$19,$C$16,$C164,$B164,P$21)</f>
        <v/>
      </c>
      <c r="Q164" s="34" t="str">
        <f ca="1">_xll.DBRW($B$9,$C$14,$C$15,Q$20,$P$19,$C$16,$C164,$B164,Q$21)</f>
        <v/>
      </c>
    </row>
    <row r="165" spans="1:17" x14ac:dyDescent="0.25">
      <c r="A165">
        <f ca="1">IF(_xll.TM1RPTELISCONSOLIDATED($C$22,$C165),IF(_xll.TM1RPTELLEV($C$22,$C165)&lt;=3,_xll.TM1RPTELLEV($C$22,$C165),"D"),"N")</f>
        <v>1</v>
      </c>
      <c r="B165" s="8" t="s">
        <v>68</v>
      </c>
      <c r="C165" s="39" t="s">
        <v>42</v>
      </c>
      <c r="D165" s="34" t="str">
        <f ca="1">_xll.DBRW($B$9,$C$14,$C$15,D$20,D$19,$C$16,$C165,$B165,D$21)</f>
        <v/>
      </c>
      <c r="E165" s="34" t="str">
        <f ca="1">_xll.DBRW($B$9,$C$14,$C$15,E$20,D$19,$C$16,$C165,$B165,E$21)</f>
        <v/>
      </c>
      <c r="F165" s="34" t="str">
        <f ca="1">_xll.DBRW($B$9,$C$14,$C$15,F$20,F$19,$C$16,$C165,$B165,F$21)</f>
        <v/>
      </c>
      <c r="G165" s="34" t="str">
        <f ca="1">_xll.DBRW($B$9,$C$14,$C$15,G$20,F$19,$C$16,$C165,$B165,G$21)</f>
        <v/>
      </c>
      <c r="H165" s="34" t="str">
        <f ca="1">_xll.DBRW($B$9,$C$14,$C$15,H$20,H$19,$C$16,$C165,$B165,H$21)</f>
        <v/>
      </c>
      <c r="I165" s="34" t="str">
        <f ca="1">_xll.DBRW($B$9,$C$14,$C$15,I$20,H$19,$C$16,$C165,$B165,I$21)</f>
        <v/>
      </c>
      <c r="J165" s="34" t="str">
        <f ca="1">_xll.DBRW($B$9,$C$14,$C$15,J$20,J$19,$C$16,$C165,$B165,J$21)</f>
        <v/>
      </c>
      <c r="K165" s="34" t="str">
        <f ca="1">_xll.DBRW($B$9,$C$14,$C$15,K$20,J$19,$C$16,$C165,$B165,K$21)</f>
        <v/>
      </c>
      <c r="L165" s="34" t="str">
        <f ca="1">_xll.DBRW($B$9,$C$14,$C$15,L$20,L$19,$C$16,$C165,$B165,L$21)</f>
        <v/>
      </c>
      <c r="M165" s="34" t="str">
        <f ca="1">_xll.DBRW($B$9,$C$14,$C$15,M$20,L$19,$C$16,$C165,$B165,M$21)</f>
        <v/>
      </c>
      <c r="N165" s="34" t="str">
        <f ca="1">_xll.DBRW($B$9,$C$14,$C$15,N$20,N$19,$C$16,$C165,$B165,N$21)</f>
        <v/>
      </c>
      <c r="O165" s="34" t="str">
        <f ca="1">_xll.DBRW($B$9,$C$14,$C$15,O$20,N$19,$C$16,$C165,$B165,O$21)</f>
        <v/>
      </c>
      <c r="P165" s="34" t="str">
        <f ca="1">_xll.DBRW($B$9,$C$14,$C$15,P$20,$P$19,$C$16,$C165,$B165,P$21)</f>
        <v/>
      </c>
      <c r="Q165" s="34" t="str">
        <f ca="1">_xll.DBRW($B$9,$C$14,$C$15,Q$20,$P$19,$C$16,$C165,$B165,Q$21)</f>
        <v/>
      </c>
    </row>
    <row r="166" spans="1:17" x14ac:dyDescent="0.25">
      <c r="A166">
        <f ca="1">IF(_xll.TM1RPTELISCONSOLIDATED($C$22,$C166),IF(_xll.TM1RPTELLEV($C$22,$C166)&lt;=3,_xll.TM1RPTELLEV($C$22,$C166),"D"),"N")</f>
        <v>0</v>
      </c>
      <c r="B166" s="5" t="s">
        <v>69</v>
      </c>
      <c r="C166" s="38" t="s">
        <v>35</v>
      </c>
      <c r="D166" s="33" t="str">
        <f ca="1">_xll.DBRW($B$9,$C$14,$C$15,D$20,D$19,$C$16,$C166,$B166,D$21)</f>
        <v/>
      </c>
      <c r="E166" s="33" t="str">
        <f ca="1">_xll.DBRW($B$9,$C$14,$C$15,E$20,D$19,$C$16,$C166,$B166,E$21)</f>
        <v/>
      </c>
      <c r="F166" s="33" t="str">
        <f ca="1">_xll.DBRW($B$9,$C$14,$C$15,F$20,F$19,$C$16,$C166,$B166,F$21)</f>
        <v/>
      </c>
      <c r="G166" s="33" t="str">
        <f ca="1">_xll.DBRW($B$9,$C$14,$C$15,G$20,F$19,$C$16,$C166,$B166,G$21)</f>
        <v/>
      </c>
      <c r="H166" s="33" t="str">
        <f ca="1">_xll.DBRW($B$9,$C$14,$C$15,H$20,H$19,$C$16,$C166,$B166,H$21)</f>
        <v/>
      </c>
      <c r="I166" s="33" t="str">
        <f ca="1">_xll.DBRW($B$9,$C$14,$C$15,I$20,H$19,$C$16,$C166,$B166,I$21)</f>
        <v/>
      </c>
      <c r="J166" s="33" t="str">
        <f ca="1">_xll.DBRW($B$9,$C$14,$C$15,J$20,J$19,$C$16,$C166,$B166,J$21)</f>
        <v/>
      </c>
      <c r="K166" s="33" t="str">
        <f ca="1">_xll.DBRW($B$9,$C$14,$C$15,K$20,J$19,$C$16,$C166,$B166,K$21)</f>
        <v/>
      </c>
      <c r="L166" s="33" t="str">
        <f ca="1">_xll.DBRW($B$9,$C$14,$C$15,L$20,L$19,$C$16,$C166,$B166,L$21)</f>
        <v/>
      </c>
      <c r="M166" s="33" t="str">
        <f ca="1">_xll.DBRW($B$9,$C$14,$C$15,M$20,L$19,$C$16,$C166,$B166,M$21)</f>
        <v/>
      </c>
      <c r="N166" s="33" t="str">
        <f ca="1">_xll.DBRW($B$9,$C$14,$C$15,N$20,N$19,$C$16,$C166,$B166,N$21)</f>
        <v/>
      </c>
      <c r="O166" s="33" t="str">
        <f ca="1">_xll.DBRW($B$9,$C$14,$C$15,O$20,N$19,$C$16,$C166,$B166,O$21)</f>
        <v/>
      </c>
      <c r="P166" s="33" t="str">
        <f ca="1">_xll.DBRW($B$9,$C$14,$C$15,P$20,$P$19,$C$16,$C166,$B166,P$21)</f>
        <v/>
      </c>
      <c r="Q166" s="33" t="str">
        <f ca="1">_xll.DBRW($B$9,$C$14,$C$15,Q$20,$P$19,$C$16,$C166,$B166,Q$21)</f>
        <v/>
      </c>
    </row>
    <row r="167" spans="1:17" x14ac:dyDescent="0.25">
      <c r="A167">
        <f ca="1">IF(_xll.TM1RPTELISCONSOLIDATED($C$22,$C167),IF(_xll.TM1RPTELLEV($C$22,$C167)&lt;=3,_xll.TM1RPTELLEV($C$22,$C167),"D"),"N")</f>
        <v>1</v>
      </c>
      <c r="B167" s="8" t="s">
        <v>69</v>
      </c>
      <c r="C167" s="39" t="s">
        <v>43</v>
      </c>
      <c r="D167" s="34" t="str">
        <f ca="1">_xll.DBRW($B$9,$C$14,$C$15,D$20,D$19,$C$16,$C167,$B167,D$21)</f>
        <v/>
      </c>
      <c r="E167" s="34" t="str">
        <f ca="1">_xll.DBRW($B$9,$C$14,$C$15,E$20,D$19,$C$16,$C167,$B167,E$21)</f>
        <v/>
      </c>
      <c r="F167" s="34" t="str">
        <f ca="1">_xll.DBRW($B$9,$C$14,$C$15,F$20,F$19,$C$16,$C167,$B167,F$21)</f>
        <v/>
      </c>
      <c r="G167" s="34" t="str">
        <f ca="1">_xll.DBRW($B$9,$C$14,$C$15,G$20,F$19,$C$16,$C167,$B167,G$21)</f>
        <v/>
      </c>
      <c r="H167" s="34" t="str">
        <f ca="1">_xll.DBRW($B$9,$C$14,$C$15,H$20,H$19,$C$16,$C167,$B167,H$21)</f>
        <v/>
      </c>
      <c r="I167" s="34" t="str">
        <f ca="1">_xll.DBRW($B$9,$C$14,$C$15,I$20,H$19,$C$16,$C167,$B167,I$21)</f>
        <v/>
      </c>
      <c r="J167" s="34" t="str">
        <f ca="1">_xll.DBRW($B$9,$C$14,$C$15,J$20,J$19,$C$16,$C167,$B167,J$21)</f>
        <v/>
      </c>
      <c r="K167" s="34" t="str">
        <f ca="1">_xll.DBRW($B$9,$C$14,$C$15,K$20,J$19,$C$16,$C167,$B167,K$21)</f>
        <v/>
      </c>
      <c r="L167" s="34" t="str">
        <f ca="1">_xll.DBRW($B$9,$C$14,$C$15,L$20,L$19,$C$16,$C167,$B167,L$21)</f>
        <v/>
      </c>
      <c r="M167" s="34" t="str">
        <f ca="1">_xll.DBRW($B$9,$C$14,$C$15,M$20,L$19,$C$16,$C167,$B167,M$21)</f>
        <v/>
      </c>
      <c r="N167" s="34" t="str">
        <f ca="1">_xll.DBRW($B$9,$C$14,$C$15,N$20,N$19,$C$16,$C167,$B167,N$21)</f>
        <v/>
      </c>
      <c r="O167" s="34" t="str">
        <f ca="1">_xll.DBRW($B$9,$C$14,$C$15,O$20,N$19,$C$16,$C167,$B167,O$21)</f>
        <v/>
      </c>
      <c r="P167" s="34" t="str">
        <f ca="1">_xll.DBRW($B$9,$C$14,$C$15,P$20,$P$19,$C$16,$C167,$B167,P$21)</f>
        <v/>
      </c>
      <c r="Q167" s="34" t="str">
        <f ca="1">_xll.DBRW($B$9,$C$14,$C$15,Q$20,$P$19,$C$16,$C167,$B167,Q$21)</f>
        <v/>
      </c>
    </row>
    <row r="168" spans="1:17" x14ac:dyDescent="0.25">
      <c r="A168">
        <f ca="1">IF(_xll.TM1RPTELISCONSOLIDATED($C$22,$C168),IF(_xll.TM1RPTELLEV($C$22,$C168)&lt;=3,_xll.TM1RPTELLEV($C$22,$C168),"D"),"N")</f>
        <v>1</v>
      </c>
      <c r="B168" s="8" t="s">
        <v>69</v>
      </c>
      <c r="C168" s="39" t="s">
        <v>36</v>
      </c>
      <c r="D168" s="34" t="str">
        <f ca="1">_xll.DBRW($B$9,$C$14,$C$15,D$20,D$19,$C$16,$C168,$B168,D$21)</f>
        <v/>
      </c>
      <c r="E168" s="34" t="str">
        <f ca="1">_xll.DBRW($B$9,$C$14,$C$15,E$20,D$19,$C$16,$C168,$B168,E$21)</f>
        <v/>
      </c>
      <c r="F168" s="34" t="str">
        <f ca="1">_xll.DBRW($B$9,$C$14,$C$15,F$20,F$19,$C$16,$C168,$B168,F$21)</f>
        <v/>
      </c>
      <c r="G168" s="34" t="str">
        <f ca="1">_xll.DBRW($B$9,$C$14,$C$15,G$20,F$19,$C$16,$C168,$B168,G$21)</f>
        <v/>
      </c>
      <c r="H168" s="34" t="str">
        <f ca="1">_xll.DBRW($B$9,$C$14,$C$15,H$20,H$19,$C$16,$C168,$B168,H$21)</f>
        <v/>
      </c>
      <c r="I168" s="34" t="str">
        <f ca="1">_xll.DBRW($B$9,$C$14,$C$15,I$20,H$19,$C$16,$C168,$B168,I$21)</f>
        <v/>
      </c>
      <c r="J168" s="34" t="str">
        <f ca="1">_xll.DBRW($B$9,$C$14,$C$15,J$20,J$19,$C$16,$C168,$B168,J$21)</f>
        <v/>
      </c>
      <c r="K168" s="34" t="str">
        <f ca="1">_xll.DBRW($B$9,$C$14,$C$15,K$20,J$19,$C$16,$C168,$B168,K$21)</f>
        <v/>
      </c>
      <c r="L168" s="34" t="str">
        <f ca="1">_xll.DBRW($B$9,$C$14,$C$15,L$20,L$19,$C$16,$C168,$B168,L$21)</f>
        <v/>
      </c>
      <c r="M168" s="34" t="str">
        <f ca="1">_xll.DBRW($B$9,$C$14,$C$15,M$20,L$19,$C$16,$C168,$B168,M$21)</f>
        <v/>
      </c>
      <c r="N168" s="34" t="str">
        <f ca="1">_xll.DBRW($B$9,$C$14,$C$15,N$20,N$19,$C$16,$C168,$B168,N$21)</f>
        <v/>
      </c>
      <c r="O168" s="34" t="str">
        <f ca="1">_xll.DBRW($B$9,$C$14,$C$15,O$20,N$19,$C$16,$C168,$B168,O$21)</f>
        <v/>
      </c>
      <c r="P168" s="34" t="str">
        <f ca="1">_xll.DBRW($B$9,$C$14,$C$15,P$20,$P$19,$C$16,$C168,$B168,P$21)</f>
        <v/>
      </c>
      <c r="Q168" s="34" t="str">
        <f ca="1">_xll.DBRW($B$9,$C$14,$C$15,Q$20,$P$19,$C$16,$C168,$B168,Q$21)</f>
        <v/>
      </c>
    </row>
    <row r="169" spans="1:17" x14ac:dyDescent="0.25">
      <c r="A169">
        <f ca="1">IF(_xll.TM1RPTELISCONSOLIDATED($C$22,$C169),IF(_xll.TM1RPTELLEV($C$22,$C169)&lt;=3,_xll.TM1RPTELLEV($C$22,$C169),"D"),"N")</f>
        <v>1</v>
      </c>
      <c r="B169" s="8" t="s">
        <v>69</v>
      </c>
      <c r="C169" s="39" t="s">
        <v>37</v>
      </c>
      <c r="D169" s="34" t="str">
        <f ca="1">_xll.DBRW($B$9,$C$14,$C$15,D$20,D$19,$C$16,$C169,$B169,D$21)</f>
        <v/>
      </c>
      <c r="E169" s="34" t="str">
        <f ca="1">_xll.DBRW($B$9,$C$14,$C$15,E$20,D$19,$C$16,$C169,$B169,E$21)</f>
        <v/>
      </c>
      <c r="F169" s="34" t="str">
        <f ca="1">_xll.DBRW($B$9,$C$14,$C$15,F$20,F$19,$C$16,$C169,$B169,F$21)</f>
        <v/>
      </c>
      <c r="G169" s="34" t="str">
        <f ca="1">_xll.DBRW($B$9,$C$14,$C$15,G$20,F$19,$C$16,$C169,$B169,G$21)</f>
        <v/>
      </c>
      <c r="H169" s="34" t="str">
        <f ca="1">_xll.DBRW($B$9,$C$14,$C$15,H$20,H$19,$C$16,$C169,$B169,H$21)</f>
        <v/>
      </c>
      <c r="I169" s="34" t="str">
        <f ca="1">_xll.DBRW($B$9,$C$14,$C$15,I$20,H$19,$C$16,$C169,$B169,I$21)</f>
        <v/>
      </c>
      <c r="J169" s="34" t="str">
        <f ca="1">_xll.DBRW($B$9,$C$14,$C$15,J$20,J$19,$C$16,$C169,$B169,J$21)</f>
        <v/>
      </c>
      <c r="K169" s="34" t="str">
        <f ca="1">_xll.DBRW($B$9,$C$14,$C$15,K$20,J$19,$C$16,$C169,$B169,K$21)</f>
        <v/>
      </c>
      <c r="L169" s="34" t="str">
        <f ca="1">_xll.DBRW($B$9,$C$14,$C$15,L$20,L$19,$C$16,$C169,$B169,L$21)</f>
        <v/>
      </c>
      <c r="M169" s="34" t="str">
        <f ca="1">_xll.DBRW($B$9,$C$14,$C$15,M$20,L$19,$C$16,$C169,$B169,M$21)</f>
        <v/>
      </c>
      <c r="N169" s="34" t="str">
        <f ca="1">_xll.DBRW($B$9,$C$14,$C$15,N$20,N$19,$C$16,$C169,$B169,N$21)</f>
        <v/>
      </c>
      <c r="O169" s="34" t="str">
        <f ca="1">_xll.DBRW($B$9,$C$14,$C$15,O$20,N$19,$C$16,$C169,$B169,O$21)</f>
        <v/>
      </c>
      <c r="P169" s="34" t="str">
        <f ca="1">_xll.DBRW($B$9,$C$14,$C$15,P$20,$P$19,$C$16,$C169,$B169,P$21)</f>
        <v/>
      </c>
      <c r="Q169" s="34" t="str">
        <f ca="1">_xll.DBRW($B$9,$C$14,$C$15,Q$20,$P$19,$C$16,$C169,$B169,Q$21)</f>
        <v/>
      </c>
    </row>
    <row r="170" spans="1:17" x14ac:dyDescent="0.25">
      <c r="A170">
        <f ca="1">IF(_xll.TM1RPTELISCONSOLIDATED($C$22,$C170),IF(_xll.TM1RPTELLEV($C$22,$C170)&lt;=3,_xll.TM1RPTELLEV($C$22,$C170),"D"),"N")</f>
        <v>1</v>
      </c>
      <c r="B170" s="8" t="s">
        <v>69</v>
      </c>
      <c r="C170" s="39" t="s">
        <v>38</v>
      </c>
      <c r="D170" s="34" t="str">
        <f ca="1">_xll.DBRW($B$9,$C$14,$C$15,D$20,D$19,$C$16,$C170,$B170,D$21)</f>
        <v/>
      </c>
      <c r="E170" s="34" t="str">
        <f ca="1">_xll.DBRW($B$9,$C$14,$C$15,E$20,D$19,$C$16,$C170,$B170,E$21)</f>
        <v/>
      </c>
      <c r="F170" s="34" t="str">
        <f ca="1">_xll.DBRW($B$9,$C$14,$C$15,F$20,F$19,$C$16,$C170,$B170,F$21)</f>
        <v/>
      </c>
      <c r="G170" s="34" t="str">
        <f ca="1">_xll.DBRW($B$9,$C$14,$C$15,G$20,F$19,$C$16,$C170,$B170,G$21)</f>
        <v/>
      </c>
      <c r="H170" s="34" t="str">
        <f ca="1">_xll.DBRW($B$9,$C$14,$C$15,H$20,H$19,$C$16,$C170,$B170,H$21)</f>
        <v/>
      </c>
      <c r="I170" s="34" t="str">
        <f ca="1">_xll.DBRW($B$9,$C$14,$C$15,I$20,H$19,$C$16,$C170,$B170,I$21)</f>
        <v/>
      </c>
      <c r="J170" s="34" t="str">
        <f ca="1">_xll.DBRW($B$9,$C$14,$C$15,J$20,J$19,$C$16,$C170,$B170,J$21)</f>
        <v/>
      </c>
      <c r="K170" s="34" t="str">
        <f ca="1">_xll.DBRW($B$9,$C$14,$C$15,K$20,J$19,$C$16,$C170,$B170,K$21)</f>
        <v/>
      </c>
      <c r="L170" s="34" t="str">
        <f ca="1">_xll.DBRW($B$9,$C$14,$C$15,L$20,L$19,$C$16,$C170,$B170,L$21)</f>
        <v/>
      </c>
      <c r="M170" s="34" t="str">
        <f ca="1">_xll.DBRW($B$9,$C$14,$C$15,M$20,L$19,$C$16,$C170,$B170,M$21)</f>
        <v/>
      </c>
      <c r="N170" s="34" t="str">
        <f ca="1">_xll.DBRW($B$9,$C$14,$C$15,N$20,N$19,$C$16,$C170,$B170,N$21)</f>
        <v/>
      </c>
      <c r="O170" s="34" t="str">
        <f ca="1">_xll.DBRW($B$9,$C$14,$C$15,O$20,N$19,$C$16,$C170,$B170,O$21)</f>
        <v/>
      </c>
      <c r="P170" s="34" t="str">
        <f ca="1">_xll.DBRW($B$9,$C$14,$C$15,P$20,$P$19,$C$16,$C170,$B170,P$21)</f>
        <v/>
      </c>
      <c r="Q170" s="34" t="str">
        <f ca="1">_xll.DBRW($B$9,$C$14,$C$15,Q$20,$P$19,$C$16,$C170,$B170,Q$21)</f>
        <v/>
      </c>
    </row>
    <row r="171" spans="1:17" x14ac:dyDescent="0.25">
      <c r="A171">
        <f ca="1">IF(_xll.TM1RPTELISCONSOLIDATED($C$22,$C171),IF(_xll.TM1RPTELLEV($C$22,$C171)&lt;=3,_xll.TM1RPTELLEV($C$22,$C171),"D"),"N")</f>
        <v>1</v>
      </c>
      <c r="B171" s="8" t="s">
        <v>69</v>
      </c>
      <c r="C171" s="39" t="s">
        <v>39</v>
      </c>
      <c r="D171" s="34" t="str">
        <f ca="1">_xll.DBRW($B$9,$C$14,$C$15,D$20,D$19,$C$16,$C171,$B171,D$21)</f>
        <v/>
      </c>
      <c r="E171" s="34" t="str">
        <f ca="1">_xll.DBRW($B$9,$C$14,$C$15,E$20,D$19,$C$16,$C171,$B171,E$21)</f>
        <v/>
      </c>
      <c r="F171" s="34" t="str">
        <f ca="1">_xll.DBRW($B$9,$C$14,$C$15,F$20,F$19,$C$16,$C171,$B171,F$21)</f>
        <v/>
      </c>
      <c r="G171" s="34" t="str">
        <f ca="1">_xll.DBRW($B$9,$C$14,$C$15,G$20,F$19,$C$16,$C171,$B171,G$21)</f>
        <v/>
      </c>
      <c r="H171" s="34" t="str">
        <f ca="1">_xll.DBRW($B$9,$C$14,$C$15,H$20,H$19,$C$16,$C171,$B171,H$21)</f>
        <v/>
      </c>
      <c r="I171" s="34" t="str">
        <f ca="1">_xll.DBRW($B$9,$C$14,$C$15,I$20,H$19,$C$16,$C171,$B171,I$21)</f>
        <v/>
      </c>
      <c r="J171" s="34" t="str">
        <f ca="1">_xll.DBRW($B$9,$C$14,$C$15,J$20,J$19,$C$16,$C171,$B171,J$21)</f>
        <v/>
      </c>
      <c r="K171" s="34" t="str">
        <f ca="1">_xll.DBRW($B$9,$C$14,$C$15,K$20,J$19,$C$16,$C171,$B171,K$21)</f>
        <v/>
      </c>
      <c r="L171" s="34" t="str">
        <f ca="1">_xll.DBRW($B$9,$C$14,$C$15,L$20,L$19,$C$16,$C171,$B171,L$21)</f>
        <v/>
      </c>
      <c r="M171" s="34" t="str">
        <f ca="1">_xll.DBRW($B$9,$C$14,$C$15,M$20,L$19,$C$16,$C171,$B171,M$21)</f>
        <v/>
      </c>
      <c r="N171" s="34" t="str">
        <f ca="1">_xll.DBRW($B$9,$C$14,$C$15,N$20,N$19,$C$16,$C171,$B171,N$21)</f>
        <v/>
      </c>
      <c r="O171" s="34" t="str">
        <f ca="1">_xll.DBRW($B$9,$C$14,$C$15,O$20,N$19,$C$16,$C171,$B171,O$21)</f>
        <v/>
      </c>
      <c r="P171" s="34" t="str">
        <f ca="1">_xll.DBRW($B$9,$C$14,$C$15,P$20,$P$19,$C$16,$C171,$B171,P$21)</f>
        <v/>
      </c>
      <c r="Q171" s="34" t="str">
        <f ca="1">_xll.DBRW($B$9,$C$14,$C$15,Q$20,$P$19,$C$16,$C171,$B171,Q$21)</f>
        <v/>
      </c>
    </row>
    <row r="172" spans="1:17" x14ac:dyDescent="0.25">
      <c r="A172">
        <f ca="1">IF(_xll.TM1RPTELISCONSOLIDATED($C$22,$C172),IF(_xll.TM1RPTELLEV($C$22,$C172)&lt;=3,_xll.TM1RPTELLEV($C$22,$C172),"D"),"N")</f>
        <v>1</v>
      </c>
      <c r="B172" s="8" t="s">
        <v>69</v>
      </c>
      <c r="C172" s="39" t="s">
        <v>40</v>
      </c>
      <c r="D172" s="34" t="str">
        <f ca="1">_xll.DBRW($B$9,$C$14,$C$15,D$20,D$19,$C$16,$C172,$B172,D$21)</f>
        <v/>
      </c>
      <c r="E172" s="34" t="str">
        <f ca="1">_xll.DBRW($B$9,$C$14,$C$15,E$20,D$19,$C$16,$C172,$B172,E$21)</f>
        <v/>
      </c>
      <c r="F172" s="34" t="str">
        <f ca="1">_xll.DBRW($B$9,$C$14,$C$15,F$20,F$19,$C$16,$C172,$B172,F$21)</f>
        <v/>
      </c>
      <c r="G172" s="34" t="str">
        <f ca="1">_xll.DBRW($B$9,$C$14,$C$15,G$20,F$19,$C$16,$C172,$B172,G$21)</f>
        <v/>
      </c>
      <c r="H172" s="34" t="str">
        <f ca="1">_xll.DBRW($B$9,$C$14,$C$15,H$20,H$19,$C$16,$C172,$B172,H$21)</f>
        <v/>
      </c>
      <c r="I172" s="34" t="str">
        <f ca="1">_xll.DBRW($B$9,$C$14,$C$15,I$20,H$19,$C$16,$C172,$B172,I$21)</f>
        <v/>
      </c>
      <c r="J172" s="34" t="str">
        <f ca="1">_xll.DBRW($B$9,$C$14,$C$15,J$20,J$19,$C$16,$C172,$B172,J$21)</f>
        <v/>
      </c>
      <c r="K172" s="34" t="str">
        <f ca="1">_xll.DBRW($B$9,$C$14,$C$15,K$20,J$19,$C$16,$C172,$B172,K$21)</f>
        <v/>
      </c>
      <c r="L172" s="34" t="str">
        <f ca="1">_xll.DBRW($B$9,$C$14,$C$15,L$20,L$19,$C$16,$C172,$B172,L$21)</f>
        <v/>
      </c>
      <c r="M172" s="34" t="str">
        <f ca="1">_xll.DBRW($B$9,$C$14,$C$15,M$20,L$19,$C$16,$C172,$B172,M$21)</f>
        <v/>
      </c>
      <c r="N172" s="34" t="str">
        <f ca="1">_xll.DBRW($B$9,$C$14,$C$15,N$20,N$19,$C$16,$C172,$B172,N$21)</f>
        <v/>
      </c>
      <c r="O172" s="34" t="str">
        <f ca="1">_xll.DBRW($B$9,$C$14,$C$15,O$20,N$19,$C$16,$C172,$B172,O$21)</f>
        <v/>
      </c>
      <c r="P172" s="34" t="str">
        <f ca="1">_xll.DBRW($B$9,$C$14,$C$15,P$20,$P$19,$C$16,$C172,$B172,P$21)</f>
        <v/>
      </c>
      <c r="Q172" s="34" t="str">
        <f ca="1">_xll.DBRW($B$9,$C$14,$C$15,Q$20,$P$19,$C$16,$C172,$B172,Q$21)</f>
        <v/>
      </c>
    </row>
    <row r="173" spans="1:17" x14ac:dyDescent="0.25">
      <c r="A173">
        <f ca="1">IF(_xll.TM1RPTELISCONSOLIDATED($C$22,$C173),IF(_xll.TM1RPTELLEV($C$22,$C173)&lt;=3,_xll.TM1RPTELLEV($C$22,$C173),"D"),"N")</f>
        <v>1</v>
      </c>
      <c r="B173" s="8" t="s">
        <v>69</v>
      </c>
      <c r="C173" s="39" t="s">
        <v>41</v>
      </c>
      <c r="D173" s="34" t="str">
        <f ca="1">_xll.DBRW($B$9,$C$14,$C$15,D$20,D$19,$C$16,$C173,$B173,D$21)</f>
        <v/>
      </c>
      <c r="E173" s="34" t="str">
        <f ca="1">_xll.DBRW($B$9,$C$14,$C$15,E$20,D$19,$C$16,$C173,$B173,E$21)</f>
        <v/>
      </c>
      <c r="F173" s="34" t="str">
        <f ca="1">_xll.DBRW($B$9,$C$14,$C$15,F$20,F$19,$C$16,$C173,$B173,F$21)</f>
        <v/>
      </c>
      <c r="G173" s="34" t="str">
        <f ca="1">_xll.DBRW($B$9,$C$14,$C$15,G$20,F$19,$C$16,$C173,$B173,G$21)</f>
        <v/>
      </c>
      <c r="H173" s="34" t="str">
        <f ca="1">_xll.DBRW($B$9,$C$14,$C$15,H$20,H$19,$C$16,$C173,$B173,H$21)</f>
        <v/>
      </c>
      <c r="I173" s="34" t="str">
        <f ca="1">_xll.DBRW($B$9,$C$14,$C$15,I$20,H$19,$C$16,$C173,$B173,I$21)</f>
        <v/>
      </c>
      <c r="J173" s="34" t="str">
        <f ca="1">_xll.DBRW($B$9,$C$14,$C$15,J$20,J$19,$C$16,$C173,$B173,J$21)</f>
        <v/>
      </c>
      <c r="K173" s="34" t="str">
        <f ca="1">_xll.DBRW($B$9,$C$14,$C$15,K$20,J$19,$C$16,$C173,$B173,K$21)</f>
        <v/>
      </c>
      <c r="L173" s="34" t="str">
        <f ca="1">_xll.DBRW($B$9,$C$14,$C$15,L$20,L$19,$C$16,$C173,$B173,L$21)</f>
        <v/>
      </c>
      <c r="M173" s="34" t="str">
        <f ca="1">_xll.DBRW($B$9,$C$14,$C$15,M$20,L$19,$C$16,$C173,$B173,M$21)</f>
        <v/>
      </c>
      <c r="N173" s="34" t="str">
        <f ca="1">_xll.DBRW($B$9,$C$14,$C$15,N$20,N$19,$C$16,$C173,$B173,N$21)</f>
        <v/>
      </c>
      <c r="O173" s="34" t="str">
        <f ca="1">_xll.DBRW($B$9,$C$14,$C$15,O$20,N$19,$C$16,$C173,$B173,O$21)</f>
        <v/>
      </c>
      <c r="P173" s="34" t="str">
        <f ca="1">_xll.DBRW($B$9,$C$14,$C$15,P$20,$P$19,$C$16,$C173,$B173,P$21)</f>
        <v/>
      </c>
      <c r="Q173" s="34" t="str">
        <f ca="1">_xll.DBRW($B$9,$C$14,$C$15,Q$20,$P$19,$C$16,$C173,$B173,Q$21)</f>
        <v/>
      </c>
    </row>
    <row r="174" spans="1:17" x14ac:dyDescent="0.25">
      <c r="A174">
        <f ca="1">IF(_xll.TM1RPTELISCONSOLIDATED($C$22,$C174),IF(_xll.TM1RPTELLEV($C$22,$C174)&lt;=3,_xll.TM1RPTELLEV($C$22,$C174),"D"),"N")</f>
        <v>1</v>
      </c>
      <c r="B174" s="8" t="s">
        <v>69</v>
      </c>
      <c r="C174" s="39" t="s">
        <v>42</v>
      </c>
      <c r="D174" s="34" t="str">
        <f ca="1">_xll.DBRW($B$9,$C$14,$C$15,D$20,D$19,$C$16,$C174,$B174,D$21)</f>
        <v/>
      </c>
      <c r="E174" s="34" t="str">
        <f ca="1">_xll.DBRW($B$9,$C$14,$C$15,E$20,D$19,$C$16,$C174,$B174,E$21)</f>
        <v/>
      </c>
      <c r="F174" s="34" t="str">
        <f ca="1">_xll.DBRW($B$9,$C$14,$C$15,F$20,F$19,$C$16,$C174,$B174,F$21)</f>
        <v/>
      </c>
      <c r="G174" s="34" t="str">
        <f ca="1">_xll.DBRW($B$9,$C$14,$C$15,G$20,F$19,$C$16,$C174,$B174,G$21)</f>
        <v/>
      </c>
      <c r="H174" s="34" t="str">
        <f ca="1">_xll.DBRW($B$9,$C$14,$C$15,H$20,H$19,$C$16,$C174,$B174,H$21)</f>
        <v/>
      </c>
      <c r="I174" s="34" t="str">
        <f ca="1">_xll.DBRW($B$9,$C$14,$C$15,I$20,H$19,$C$16,$C174,$B174,I$21)</f>
        <v/>
      </c>
      <c r="J174" s="34" t="str">
        <f ca="1">_xll.DBRW($B$9,$C$14,$C$15,J$20,J$19,$C$16,$C174,$B174,J$21)</f>
        <v/>
      </c>
      <c r="K174" s="34" t="str">
        <f ca="1">_xll.DBRW($B$9,$C$14,$C$15,K$20,J$19,$C$16,$C174,$B174,K$21)</f>
        <v/>
      </c>
      <c r="L174" s="34" t="str">
        <f ca="1">_xll.DBRW($B$9,$C$14,$C$15,L$20,L$19,$C$16,$C174,$B174,L$21)</f>
        <v/>
      </c>
      <c r="M174" s="34" t="str">
        <f ca="1">_xll.DBRW($B$9,$C$14,$C$15,M$20,L$19,$C$16,$C174,$B174,M$21)</f>
        <v/>
      </c>
      <c r="N174" s="34" t="str">
        <f ca="1">_xll.DBRW($B$9,$C$14,$C$15,N$20,N$19,$C$16,$C174,$B174,N$21)</f>
        <v/>
      </c>
      <c r="O174" s="34" t="str">
        <f ca="1">_xll.DBRW($B$9,$C$14,$C$15,O$20,N$19,$C$16,$C174,$B174,O$21)</f>
        <v/>
      </c>
      <c r="P174" s="34" t="str">
        <f ca="1">_xll.DBRW($B$9,$C$14,$C$15,P$20,$P$19,$C$16,$C174,$B174,P$21)</f>
        <v/>
      </c>
      <c r="Q174" s="34" t="str">
        <f ca="1">_xll.DBRW($B$9,$C$14,$C$15,Q$20,$P$19,$C$16,$C174,$B174,Q$21)</f>
        <v/>
      </c>
    </row>
    <row r="175" spans="1:17" x14ac:dyDescent="0.25">
      <c r="A175">
        <f ca="1">IF(_xll.TM1RPTELISCONSOLIDATED($C$22,$C175),IF(_xll.TM1RPTELLEV($C$22,$C175)&lt;=3,_xll.TM1RPTELLEV($C$22,$C175),"D"),"N")</f>
        <v>0</v>
      </c>
      <c r="B175" s="5" t="s">
        <v>70</v>
      </c>
      <c r="C175" s="38" t="s">
        <v>35</v>
      </c>
      <c r="D175" s="33" t="str">
        <f ca="1">_xll.DBRW($B$9,$C$14,$C$15,D$20,D$19,$C$16,$C175,$B175,D$21)</f>
        <v/>
      </c>
      <c r="E175" s="33" t="str">
        <f ca="1">_xll.DBRW($B$9,$C$14,$C$15,E$20,D$19,$C$16,$C175,$B175,E$21)</f>
        <v/>
      </c>
      <c r="F175" s="33" t="str">
        <f ca="1">_xll.DBRW($B$9,$C$14,$C$15,F$20,F$19,$C$16,$C175,$B175,F$21)</f>
        <v/>
      </c>
      <c r="G175" s="33" t="str">
        <f ca="1">_xll.DBRW($B$9,$C$14,$C$15,G$20,F$19,$C$16,$C175,$B175,G$21)</f>
        <v/>
      </c>
      <c r="H175" s="33" t="str">
        <f ca="1">_xll.DBRW($B$9,$C$14,$C$15,H$20,H$19,$C$16,$C175,$B175,H$21)</f>
        <v/>
      </c>
      <c r="I175" s="33" t="str">
        <f ca="1">_xll.DBRW($B$9,$C$14,$C$15,I$20,H$19,$C$16,$C175,$B175,I$21)</f>
        <v/>
      </c>
      <c r="J175" s="33" t="str">
        <f ca="1">_xll.DBRW($B$9,$C$14,$C$15,J$20,J$19,$C$16,$C175,$B175,J$21)</f>
        <v/>
      </c>
      <c r="K175" s="33" t="str">
        <f ca="1">_xll.DBRW($B$9,$C$14,$C$15,K$20,J$19,$C$16,$C175,$B175,K$21)</f>
        <v/>
      </c>
      <c r="L175" s="33" t="str">
        <f ca="1">_xll.DBRW($B$9,$C$14,$C$15,L$20,L$19,$C$16,$C175,$B175,L$21)</f>
        <v/>
      </c>
      <c r="M175" s="33" t="str">
        <f ca="1">_xll.DBRW($B$9,$C$14,$C$15,M$20,L$19,$C$16,$C175,$B175,M$21)</f>
        <v/>
      </c>
      <c r="N175" s="33" t="str">
        <f ca="1">_xll.DBRW($B$9,$C$14,$C$15,N$20,N$19,$C$16,$C175,$B175,N$21)</f>
        <v/>
      </c>
      <c r="O175" s="33" t="str">
        <f ca="1">_xll.DBRW($B$9,$C$14,$C$15,O$20,N$19,$C$16,$C175,$B175,O$21)</f>
        <v/>
      </c>
      <c r="P175" s="33" t="str">
        <f ca="1">_xll.DBRW($B$9,$C$14,$C$15,P$20,$P$19,$C$16,$C175,$B175,P$21)</f>
        <v/>
      </c>
      <c r="Q175" s="33" t="str">
        <f ca="1">_xll.DBRW($B$9,$C$14,$C$15,Q$20,$P$19,$C$16,$C175,$B175,Q$21)</f>
        <v/>
      </c>
    </row>
    <row r="176" spans="1:17" x14ac:dyDescent="0.25">
      <c r="A176">
        <f ca="1">IF(_xll.TM1RPTELISCONSOLIDATED($C$22,$C176),IF(_xll.TM1RPTELLEV($C$22,$C176)&lt;=3,_xll.TM1RPTELLEV($C$22,$C176),"D"),"N")</f>
        <v>1</v>
      </c>
      <c r="B176" s="8" t="s">
        <v>70</v>
      </c>
      <c r="C176" s="39" t="s">
        <v>43</v>
      </c>
      <c r="D176" s="34" t="str">
        <f ca="1">_xll.DBRW($B$9,$C$14,$C$15,D$20,D$19,$C$16,$C176,$B176,D$21)</f>
        <v/>
      </c>
      <c r="E176" s="34" t="str">
        <f ca="1">_xll.DBRW($B$9,$C$14,$C$15,E$20,D$19,$C$16,$C176,$B176,E$21)</f>
        <v/>
      </c>
      <c r="F176" s="34" t="str">
        <f ca="1">_xll.DBRW($B$9,$C$14,$C$15,F$20,F$19,$C$16,$C176,$B176,F$21)</f>
        <v/>
      </c>
      <c r="G176" s="34" t="str">
        <f ca="1">_xll.DBRW($B$9,$C$14,$C$15,G$20,F$19,$C$16,$C176,$B176,G$21)</f>
        <v/>
      </c>
      <c r="H176" s="34" t="str">
        <f ca="1">_xll.DBRW($B$9,$C$14,$C$15,H$20,H$19,$C$16,$C176,$B176,H$21)</f>
        <v/>
      </c>
      <c r="I176" s="34" t="str">
        <f ca="1">_xll.DBRW($B$9,$C$14,$C$15,I$20,H$19,$C$16,$C176,$B176,I$21)</f>
        <v/>
      </c>
      <c r="J176" s="34" t="str">
        <f ca="1">_xll.DBRW($B$9,$C$14,$C$15,J$20,J$19,$C$16,$C176,$B176,J$21)</f>
        <v/>
      </c>
      <c r="K176" s="34" t="str">
        <f ca="1">_xll.DBRW($B$9,$C$14,$C$15,K$20,J$19,$C$16,$C176,$B176,K$21)</f>
        <v/>
      </c>
      <c r="L176" s="34" t="str">
        <f ca="1">_xll.DBRW($B$9,$C$14,$C$15,L$20,L$19,$C$16,$C176,$B176,L$21)</f>
        <v/>
      </c>
      <c r="M176" s="34" t="str">
        <f ca="1">_xll.DBRW($B$9,$C$14,$C$15,M$20,L$19,$C$16,$C176,$B176,M$21)</f>
        <v/>
      </c>
      <c r="N176" s="34" t="str">
        <f ca="1">_xll.DBRW($B$9,$C$14,$C$15,N$20,N$19,$C$16,$C176,$B176,N$21)</f>
        <v/>
      </c>
      <c r="O176" s="34" t="str">
        <f ca="1">_xll.DBRW($B$9,$C$14,$C$15,O$20,N$19,$C$16,$C176,$B176,O$21)</f>
        <v/>
      </c>
      <c r="P176" s="34" t="str">
        <f ca="1">_xll.DBRW($B$9,$C$14,$C$15,P$20,$P$19,$C$16,$C176,$B176,P$21)</f>
        <v/>
      </c>
      <c r="Q176" s="34" t="str">
        <f ca="1">_xll.DBRW($B$9,$C$14,$C$15,Q$20,$P$19,$C$16,$C176,$B176,Q$21)</f>
        <v/>
      </c>
    </row>
    <row r="177" spans="1:17" x14ac:dyDescent="0.25">
      <c r="A177">
        <f ca="1">IF(_xll.TM1RPTELISCONSOLIDATED($C$22,$C177),IF(_xll.TM1RPTELLEV($C$22,$C177)&lt;=3,_xll.TM1RPTELLEV($C$22,$C177),"D"),"N")</f>
        <v>1</v>
      </c>
      <c r="B177" s="8" t="s">
        <v>70</v>
      </c>
      <c r="C177" s="39" t="s">
        <v>36</v>
      </c>
      <c r="D177" s="34" t="str">
        <f ca="1">_xll.DBRW($B$9,$C$14,$C$15,D$20,D$19,$C$16,$C177,$B177,D$21)</f>
        <v/>
      </c>
      <c r="E177" s="34" t="str">
        <f ca="1">_xll.DBRW($B$9,$C$14,$C$15,E$20,D$19,$C$16,$C177,$B177,E$21)</f>
        <v/>
      </c>
      <c r="F177" s="34" t="str">
        <f ca="1">_xll.DBRW($B$9,$C$14,$C$15,F$20,F$19,$C$16,$C177,$B177,F$21)</f>
        <v/>
      </c>
      <c r="G177" s="34" t="str">
        <f ca="1">_xll.DBRW($B$9,$C$14,$C$15,G$20,F$19,$C$16,$C177,$B177,G$21)</f>
        <v/>
      </c>
      <c r="H177" s="34" t="str">
        <f ca="1">_xll.DBRW($B$9,$C$14,$C$15,H$20,H$19,$C$16,$C177,$B177,H$21)</f>
        <v/>
      </c>
      <c r="I177" s="34" t="str">
        <f ca="1">_xll.DBRW($B$9,$C$14,$C$15,I$20,H$19,$C$16,$C177,$B177,I$21)</f>
        <v/>
      </c>
      <c r="J177" s="34" t="str">
        <f ca="1">_xll.DBRW($B$9,$C$14,$C$15,J$20,J$19,$C$16,$C177,$B177,J$21)</f>
        <v/>
      </c>
      <c r="K177" s="34" t="str">
        <f ca="1">_xll.DBRW($B$9,$C$14,$C$15,K$20,J$19,$C$16,$C177,$B177,K$21)</f>
        <v/>
      </c>
      <c r="L177" s="34" t="str">
        <f ca="1">_xll.DBRW($B$9,$C$14,$C$15,L$20,L$19,$C$16,$C177,$B177,L$21)</f>
        <v/>
      </c>
      <c r="M177" s="34" t="str">
        <f ca="1">_xll.DBRW($B$9,$C$14,$C$15,M$20,L$19,$C$16,$C177,$B177,M$21)</f>
        <v/>
      </c>
      <c r="N177" s="34" t="str">
        <f ca="1">_xll.DBRW($B$9,$C$14,$C$15,N$20,N$19,$C$16,$C177,$B177,N$21)</f>
        <v/>
      </c>
      <c r="O177" s="34" t="str">
        <f ca="1">_xll.DBRW($B$9,$C$14,$C$15,O$20,N$19,$C$16,$C177,$B177,O$21)</f>
        <v/>
      </c>
      <c r="P177" s="34" t="str">
        <f ca="1">_xll.DBRW($B$9,$C$14,$C$15,P$20,$P$19,$C$16,$C177,$B177,P$21)</f>
        <v/>
      </c>
      <c r="Q177" s="34" t="str">
        <f ca="1">_xll.DBRW($B$9,$C$14,$C$15,Q$20,$P$19,$C$16,$C177,$B177,Q$21)</f>
        <v/>
      </c>
    </row>
    <row r="178" spans="1:17" x14ac:dyDescent="0.25">
      <c r="A178">
        <f ca="1">IF(_xll.TM1RPTELISCONSOLIDATED($C$22,$C178),IF(_xll.TM1RPTELLEV($C$22,$C178)&lt;=3,_xll.TM1RPTELLEV($C$22,$C178),"D"),"N")</f>
        <v>1</v>
      </c>
      <c r="B178" s="8" t="s">
        <v>70</v>
      </c>
      <c r="C178" s="39" t="s">
        <v>37</v>
      </c>
      <c r="D178" s="34" t="str">
        <f ca="1">_xll.DBRW($B$9,$C$14,$C$15,D$20,D$19,$C$16,$C178,$B178,D$21)</f>
        <v/>
      </c>
      <c r="E178" s="34" t="str">
        <f ca="1">_xll.DBRW($B$9,$C$14,$C$15,E$20,D$19,$C$16,$C178,$B178,E$21)</f>
        <v/>
      </c>
      <c r="F178" s="34" t="str">
        <f ca="1">_xll.DBRW($B$9,$C$14,$C$15,F$20,F$19,$C$16,$C178,$B178,F$21)</f>
        <v/>
      </c>
      <c r="G178" s="34" t="str">
        <f ca="1">_xll.DBRW($B$9,$C$14,$C$15,G$20,F$19,$C$16,$C178,$B178,G$21)</f>
        <v/>
      </c>
      <c r="H178" s="34" t="str">
        <f ca="1">_xll.DBRW($B$9,$C$14,$C$15,H$20,H$19,$C$16,$C178,$B178,H$21)</f>
        <v/>
      </c>
      <c r="I178" s="34" t="str">
        <f ca="1">_xll.DBRW($B$9,$C$14,$C$15,I$20,H$19,$C$16,$C178,$B178,I$21)</f>
        <v/>
      </c>
      <c r="J178" s="34" t="str">
        <f ca="1">_xll.DBRW($B$9,$C$14,$C$15,J$20,J$19,$C$16,$C178,$B178,J$21)</f>
        <v/>
      </c>
      <c r="K178" s="34" t="str">
        <f ca="1">_xll.DBRW($B$9,$C$14,$C$15,K$20,J$19,$C$16,$C178,$B178,K$21)</f>
        <v/>
      </c>
      <c r="L178" s="34" t="str">
        <f ca="1">_xll.DBRW($B$9,$C$14,$C$15,L$20,L$19,$C$16,$C178,$B178,L$21)</f>
        <v/>
      </c>
      <c r="M178" s="34" t="str">
        <f ca="1">_xll.DBRW($B$9,$C$14,$C$15,M$20,L$19,$C$16,$C178,$B178,M$21)</f>
        <v/>
      </c>
      <c r="N178" s="34" t="str">
        <f ca="1">_xll.DBRW($B$9,$C$14,$C$15,N$20,N$19,$C$16,$C178,$B178,N$21)</f>
        <v/>
      </c>
      <c r="O178" s="34" t="str">
        <f ca="1">_xll.DBRW($B$9,$C$14,$C$15,O$20,N$19,$C$16,$C178,$B178,O$21)</f>
        <v/>
      </c>
      <c r="P178" s="34" t="str">
        <f ca="1">_xll.DBRW($B$9,$C$14,$C$15,P$20,$P$19,$C$16,$C178,$B178,P$21)</f>
        <v/>
      </c>
      <c r="Q178" s="34" t="str">
        <f ca="1">_xll.DBRW($B$9,$C$14,$C$15,Q$20,$P$19,$C$16,$C178,$B178,Q$21)</f>
        <v/>
      </c>
    </row>
    <row r="179" spans="1:17" x14ac:dyDescent="0.25">
      <c r="A179">
        <f ca="1">IF(_xll.TM1RPTELISCONSOLIDATED($C$22,$C179),IF(_xll.TM1RPTELLEV($C$22,$C179)&lt;=3,_xll.TM1RPTELLEV($C$22,$C179),"D"),"N")</f>
        <v>1</v>
      </c>
      <c r="B179" s="8" t="s">
        <v>70</v>
      </c>
      <c r="C179" s="39" t="s">
        <v>38</v>
      </c>
      <c r="D179" s="34" t="str">
        <f ca="1">_xll.DBRW($B$9,$C$14,$C$15,D$20,D$19,$C$16,$C179,$B179,D$21)</f>
        <v/>
      </c>
      <c r="E179" s="34" t="str">
        <f ca="1">_xll.DBRW($B$9,$C$14,$C$15,E$20,D$19,$C$16,$C179,$B179,E$21)</f>
        <v/>
      </c>
      <c r="F179" s="34" t="str">
        <f ca="1">_xll.DBRW($B$9,$C$14,$C$15,F$20,F$19,$C$16,$C179,$B179,F$21)</f>
        <v/>
      </c>
      <c r="G179" s="34" t="str">
        <f ca="1">_xll.DBRW($B$9,$C$14,$C$15,G$20,F$19,$C$16,$C179,$B179,G$21)</f>
        <v/>
      </c>
      <c r="H179" s="34" t="str">
        <f ca="1">_xll.DBRW($B$9,$C$14,$C$15,H$20,H$19,$C$16,$C179,$B179,H$21)</f>
        <v/>
      </c>
      <c r="I179" s="34" t="str">
        <f ca="1">_xll.DBRW($B$9,$C$14,$C$15,I$20,H$19,$C$16,$C179,$B179,I$21)</f>
        <v/>
      </c>
      <c r="J179" s="34" t="str">
        <f ca="1">_xll.DBRW($B$9,$C$14,$C$15,J$20,J$19,$C$16,$C179,$B179,J$21)</f>
        <v/>
      </c>
      <c r="K179" s="34" t="str">
        <f ca="1">_xll.DBRW($B$9,$C$14,$C$15,K$20,J$19,$C$16,$C179,$B179,K$21)</f>
        <v/>
      </c>
      <c r="L179" s="34" t="str">
        <f ca="1">_xll.DBRW($B$9,$C$14,$C$15,L$20,L$19,$C$16,$C179,$B179,L$21)</f>
        <v/>
      </c>
      <c r="M179" s="34" t="str">
        <f ca="1">_xll.DBRW($B$9,$C$14,$C$15,M$20,L$19,$C$16,$C179,$B179,M$21)</f>
        <v/>
      </c>
      <c r="N179" s="34" t="str">
        <f ca="1">_xll.DBRW($B$9,$C$14,$C$15,N$20,N$19,$C$16,$C179,$B179,N$21)</f>
        <v/>
      </c>
      <c r="O179" s="34" t="str">
        <f ca="1">_xll.DBRW($B$9,$C$14,$C$15,O$20,N$19,$C$16,$C179,$B179,O$21)</f>
        <v/>
      </c>
      <c r="P179" s="34" t="str">
        <f ca="1">_xll.DBRW($B$9,$C$14,$C$15,P$20,$P$19,$C$16,$C179,$B179,P$21)</f>
        <v/>
      </c>
      <c r="Q179" s="34" t="str">
        <f ca="1">_xll.DBRW($B$9,$C$14,$C$15,Q$20,$P$19,$C$16,$C179,$B179,Q$21)</f>
        <v/>
      </c>
    </row>
    <row r="180" spans="1:17" x14ac:dyDescent="0.25">
      <c r="A180">
        <f ca="1">IF(_xll.TM1RPTELISCONSOLIDATED($C$22,$C180),IF(_xll.TM1RPTELLEV($C$22,$C180)&lt;=3,_xll.TM1RPTELLEV($C$22,$C180),"D"),"N")</f>
        <v>1</v>
      </c>
      <c r="B180" s="8" t="s">
        <v>70</v>
      </c>
      <c r="C180" s="39" t="s">
        <v>39</v>
      </c>
      <c r="D180" s="34" t="str">
        <f ca="1">_xll.DBRW($B$9,$C$14,$C$15,D$20,D$19,$C$16,$C180,$B180,D$21)</f>
        <v/>
      </c>
      <c r="E180" s="34" t="str">
        <f ca="1">_xll.DBRW($B$9,$C$14,$C$15,E$20,D$19,$C$16,$C180,$B180,E$21)</f>
        <v/>
      </c>
      <c r="F180" s="34" t="str">
        <f ca="1">_xll.DBRW($B$9,$C$14,$C$15,F$20,F$19,$C$16,$C180,$B180,F$21)</f>
        <v/>
      </c>
      <c r="G180" s="34" t="str">
        <f ca="1">_xll.DBRW($B$9,$C$14,$C$15,G$20,F$19,$C$16,$C180,$B180,G$21)</f>
        <v/>
      </c>
      <c r="H180" s="34" t="str">
        <f ca="1">_xll.DBRW($B$9,$C$14,$C$15,H$20,H$19,$C$16,$C180,$B180,H$21)</f>
        <v/>
      </c>
      <c r="I180" s="34" t="str">
        <f ca="1">_xll.DBRW($B$9,$C$14,$C$15,I$20,H$19,$C$16,$C180,$B180,I$21)</f>
        <v/>
      </c>
      <c r="J180" s="34" t="str">
        <f ca="1">_xll.DBRW($B$9,$C$14,$C$15,J$20,J$19,$C$16,$C180,$B180,J$21)</f>
        <v/>
      </c>
      <c r="K180" s="34" t="str">
        <f ca="1">_xll.DBRW($B$9,$C$14,$C$15,K$20,J$19,$C$16,$C180,$B180,K$21)</f>
        <v/>
      </c>
      <c r="L180" s="34" t="str">
        <f ca="1">_xll.DBRW($B$9,$C$14,$C$15,L$20,L$19,$C$16,$C180,$B180,L$21)</f>
        <v/>
      </c>
      <c r="M180" s="34" t="str">
        <f ca="1">_xll.DBRW($B$9,$C$14,$C$15,M$20,L$19,$C$16,$C180,$B180,M$21)</f>
        <v/>
      </c>
      <c r="N180" s="34" t="str">
        <f ca="1">_xll.DBRW($B$9,$C$14,$C$15,N$20,N$19,$C$16,$C180,$B180,N$21)</f>
        <v/>
      </c>
      <c r="O180" s="34" t="str">
        <f ca="1">_xll.DBRW($B$9,$C$14,$C$15,O$20,N$19,$C$16,$C180,$B180,O$21)</f>
        <v/>
      </c>
      <c r="P180" s="34" t="str">
        <f ca="1">_xll.DBRW($B$9,$C$14,$C$15,P$20,$P$19,$C$16,$C180,$B180,P$21)</f>
        <v/>
      </c>
      <c r="Q180" s="34" t="str">
        <f ca="1">_xll.DBRW($B$9,$C$14,$C$15,Q$20,$P$19,$C$16,$C180,$B180,Q$21)</f>
        <v/>
      </c>
    </row>
    <row r="181" spans="1:17" x14ac:dyDescent="0.25">
      <c r="A181">
        <f ca="1">IF(_xll.TM1RPTELISCONSOLIDATED($C$22,$C181),IF(_xll.TM1RPTELLEV($C$22,$C181)&lt;=3,_xll.TM1RPTELLEV($C$22,$C181),"D"),"N")</f>
        <v>1</v>
      </c>
      <c r="B181" s="8" t="s">
        <v>70</v>
      </c>
      <c r="C181" s="39" t="s">
        <v>40</v>
      </c>
      <c r="D181" s="34" t="str">
        <f ca="1">_xll.DBRW($B$9,$C$14,$C$15,D$20,D$19,$C$16,$C181,$B181,D$21)</f>
        <v/>
      </c>
      <c r="E181" s="34" t="str">
        <f ca="1">_xll.DBRW($B$9,$C$14,$C$15,E$20,D$19,$C$16,$C181,$B181,E$21)</f>
        <v/>
      </c>
      <c r="F181" s="34" t="str">
        <f ca="1">_xll.DBRW($B$9,$C$14,$C$15,F$20,F$19,$C$16,$C181,$B181,F$21)</f>
        <v/>
      </c>
      <c r="G181" s="34" t="str">
        <f ca="1">_xll.DBRW($B$9,$C$14,$C$15,G$20,F$19,$C$16,$C181,$B181,G$21)</f>
        <v/>
      </c>
      <c r="H181" s="34" t="str">
        <f ca="1">_xll.DBRW($B$9,$C$14,$C$15,H$20,H$19,$C$16,$C181,$B181,H$21)</f>
        <v/>
      </c>
      <c r="I181" s="34" t="str">
        <f ca="1">_xll.DBRW($B$9,$C$14,$C$15,I$20,H$19,$C$16,$C181,$B181,I$21)</f>
        <v/>
      </c>
      <c r="J181" s="34" t="str">
        <f ca="1">_xll.DBRW($B$9,$C$14,$C$15,J$20,J$19,$C$16,$C181,$B181,J$21)</f>
        <v/>
      </c>
      <c r="K181" s="34" t="str">
        <f ca="1">_xll.DBRW($B$9,$C$14,$C$15,K$20,J$19,$C$16,$C181,$B181,K$21)</f>
        <v/>
      </c>
      <c r="L181" s="34" t="str">
        <f ca="1">_xll.DBRW($B$9,$C$14,$C$15,L$20,L$19,$C$16,$C181,$B181,L$21)</f>
        <v/>
      </c>
      <c r="M181" s="34" t="str">
        <f ca="1">_xll.DBRW($B$9,$C$14,$C$15,M$20,L$19,$C$16,$C181,$B181,M$21)</f>
        <v/>
      </c>
      <c r="N181" s="34" t="str">
        <f ca="1">_xll.DBRW($B$9,$C$14,$C$15,N$20,N$19,$C$16,$C181,$B181,N$21)</f>
        <v/>
      </c>
      <c r="O181" s="34" t="str">
        <f ca="1">_xll.DBRW($B$9,$C$14,$C$15,O$20,N$19,$C$16,$C181,$B181,O$21)</f>
        <v/>
      </c>
      <c r="P181" s="34" t="str">
        <f ca="1">_xll.DBRW($B$9,$C$14,$C$15,P$20,$P$19,$C$16,$C181,$B181,P$21)</f>
        <v/>
      </c>
      <c r="Q181" s="34" t="str">
        <f ca="1">_xll.DBRW($B$9,$C$14,$C$15,Q$20,$P$19,$C$16,$C181,$B181,Q$21)</f>
        <v/>
      </c>
    </row>
    <row r="182" spans="1:17" x14ac:dyDescent="0.25">
      <c r="A182">
        <f ca="1">IF(_xll.TM1RPTELISCONSOLIDATED($C$22,$C182),IF(_xll.TM1RPTELLEV($C$22,$C182)&lt;=3,_xll.TM1RPTELLEV($C$22,$C182),"D"),"N")</f>
        <v>1</v>
      </c>
      <c r="B182" s="8" t="s">
        <v>70</v>
      </c>
      <c r="C182" s="39" t="s">
        <v>41</v>
      </c>
      <c r="D182" s="34" t="str">
        <f ca="1">_xll.DBRW($B$9,$C$14,$C$15,D$20,D$19,$C$16,$C182,$B182,D$21)</f>
        <v/>
      </c>
      <c r="E182" s="34" t="str">
        <f ca="1">_xll.DBRW($B$9,$C$14,$C$15,E$20,D$19,$C$16,$C182,$B182,E$21)</f>
        <v/>
      </c>
      <c r="F182" s="34" t="str">
        <f ca="1">_xll.DBRW($B$9,$C$14,$C$15,F$20,F$19,$C$16,$C182,$B182,F$21)</f>
        <v/>
      </c>
      <c r="G182" s="34" t="str">
        <f ca="1">_xll.DBRW($B$9,$C$14,$C$15,G$20,F$19,$C$16,$C182,$B182,G$21)</f>
        <v/>
      </c>
      <c r="H182" s="34" t="str">
        <f ca="1">_xll.DBRW($B$9,$C$14,$C$15,H$20,H$19,$C$16,$C182,$B182,H$21)</f>
        <v/>
      </c>
      <c r="I182" s="34" t="str">
        <f ca="1">_xll.DBRW($B$9,$C$14,$C$15,I$20,H$19,$C$16,$C182,$B182,I$21)</f>
        <v/>
      </c>
      <c r="J182" s="34" t="str">
        <f ca="1">_xll.DBRW($B$9,$C$14,$C$15,J$20,J$19,$C$16,$C182,$B182,J$21)</f>
        <v/>
      </c>
      <c r="K182" s="34" t="str">
        <f ca="1">_xll.DBRW($B$9,$C$14,$C$15,K$20,J$19,$C$16,$C182,$B182,K$21)</f>
        <v/>
      </c>
      <c r="L182" s="34" t="str">
        <f ca="1">_xll.DBRW($B$9,$C$14,$C$15,L$20,L$19,$C$16,$C182,$B182,L$21)</f>
        <v/>
      </c>
      <c r="M182" s="34" t="str">
        <f ca="1">_xll.DBRW($B$9,$C$14,$C$15,M$20,L$19,$C$16,$C182,$B182,M$21)</f>
        <v/>
      </c>
      <c r="N182" s="34" t="str">
        <f ca="1">_xll.DBRW($B$9,$C$14,$C$15,N$20,N$19,$C$16,$C182,$B182,N$21)</f>
        <v/>
      </c>
      <c r="O182" s="34" t="str">
        <f ca="1">_xll.DBRW($B$9,$C$14,$C$15,O$20,N$19,$C$16,$C182,$B182,O$21)</f>
        <v/>
      </c>
      <c r="P182" s="34" t="str">
        <f ca="1">_xll.DBRW($B$9,$C$14,$C$15,P$20,$P$19,$C$16,$C182,$B182,P$21)</f>
        <v/>
      </c>
      <c r="Q182" s="34" t="str">
        <f ca="1">_xll.DBRW($B$9,$C$14,$C$15,Q$20,$P$19,$C$16,$C182,$B182,Q$21)</f>
        <v/>
      </c>
    </row>
    <row r="183" spans="1:17" x14ac:dyDescent="0.25">
      <c r="A183">
        <f ca="1">IF(_xll.TM1RPTELISCONSOLIDATED($C$22,$C183),IF(_xll.TM1RPTELLEV($C$22,$C183)&lt;=3,_xll.TM1RPTELLEV($C$22,$C183),"D"),"N")</f>
        <v>1</v>
      </c>
      <c r="B183" s="8" t="s">
        <v>70</v>
      </c>
      <c r="C183" s="39" t="s">
        <v>42</v>
      </c>
      <c r="D183" s="34" t="str">
        <f ca="1">_xll.DBRW($B$9,$C$14,$C$15,D$20,D$19,$C$16,$C183,$B183,D$21)</f>
        <v/>
      </c>
      <c r="E183" s="34" t="str">
        <f ca="1">_xll.DBRW($B$9,$C$14,$C$15,E$20,D$19,$C$16,$C183,$B183,E$21)</f>
        <v/>
      </c>
      <c r="F183" s="34" t="str">
        <f ca="1">_xll.DBRW($B$9,$C$14,$C$15,F$20,F$19,$C$16,$C183,$B183,F$21)</f>
        <v/>
      </c>
      <c r="G183" s="34" t="str">
        <f ca="1">_xll.DBRW($B$9,$C$14,$C$15,G$20,F$19,$C$16,$C183,$B183,G$21)</f>
        <v/>
      </c>
      <c r="H183" s="34" t="str">
        <f ca="1">_xll.DBRW($B$9,$C$14,$C$15,H$20,H$19,$C$16,$C183,$B183,H$21)</f>
        <v/>
      </c>
      <c r="I183" s="34" t="str">
        <f ca="1">_xll.DBRW($B$9,$C$14,$C$15,I$20,H$19,$C$16,$C183,$B183,I$21)</f>
        <v/>
      </c>
      <c r="J183" s="34" t="str">
        <f ca="1">_xll.DBRW($B$9,$C$14,$C$15,J$20,J$19,$C$16,$C183,$B183,J$21)</f>
        <v/>
      </c>
      <c r="K183" s="34" t="str">
        <f ca="1">_xll.DBRW($B$9,$C$14,$C$15,K$20,J$19,$C$16,$C183,$B183,K$21)</f>
        <v/>
      </c>
      <c r="L183" s="34" t="str">
        <f ca="1">_xll.DBRW($B$9,$C$14,$C$15,L$20,L$19,$C$16,$C183,$B183,L$21)</f>
        <v/>
      </c>
      <c r="M183" s="34" t="str">
        <f ca="1">_xll.DBRW($B$9,$C$14,$C$15,M$20,L$19,$C$16,$C183,$B183,M$21)</f>
        <v/>
      </c>
      <c r="N183" s="34" t="str">
        <f ca="1">_xll.DBRW($B$9,$C$14,$C$15,N$20,N$19,$C$16,$C183,$B183,N$21)</f>
        <v/>
      </c>
      <c r="O183" s="34" t="str">
        <f ca="1">_xll.DBRW($B$9,$C$14,$C$15,O$20,N$19,$C$16,$C183,$B183,O$21)</f>
        <v/>
      </c>
      <c r="P183" s="34" t="str">
        <f ca="1">_xll.DBRW($B$9,$C$14,$C$15,P$20,$P$19,$C$16,$C183,$B183,P$21)</f>
        <v/>
      </c>
      <c r="Q183" s="34" t="str">
        <f ca="1">_xll.DBRW($B$9,$C$14,$C$15,Q$20,$P$19,$C$16,$C183,$B183,Q$21)</f>
        <v/>
      </c>
    </row>
    <row r="184" spans="1:17" x14ac:dyDescent="0.25">
      <c r="A184">
        <f ca="1">IF(_xll.TM1RPTELISCONSOLIDATED($C$22,$C184),IF(_xll.TM1RPTELLEV($C$22,$C184)&lt;=3,_xll.TM1RPTELLEV($C$22,$C184),"D"),"N")</f>
        <v>0</v>
      </c>
      <c r="B184" s="5" t="s">
        <v>71</v>
      </c>
      <c r="C184" s="38" t="s">
        <v>35</v>
      </c>
      <c r="D184" s="33" t="str">
        <f ca="1">_xll.DBRW($B$9,$C$14,$C$15,D$20,D$19,$C$16,$C184,$B184,D$21)</f>
        <v/>
      </c>
      <c r="E184" s="33" t="str">
        <f ca="1">_xll.DBRW($B$9,$C$14,$C$15,E$20,D$19,$C$16,$C184,$B184,E$21)</f>
        <v/>
      </c>
      <c r="F184" s="33" t="str">
        <f ca="1">_xll.DBRW($B$9,$C$14,$C$15,F$20,F$19,$C$16,$C184,$B184,F$21)</f>
        <v/>
      </c>
      <c r="G184" s="33" t="str">
        <f ca="1">_xll.DBRW($B$9,$C$14,$C$15,G$20,F$19,$C$16,$C184,$B184,G$21)</f>
        <v/>
      </c>
      <c r="H184" s="33" t="str">
        <f ca="1">_xll.DBRW($B$9,$C$14,$C$15,H$20,H$19,$C$16,$C184,$B184,H$21)</f>
        <v/>
      </c>
      <c r="I184" s="33" t="str">
        <f ca="1">_xll.DBRW($B$9,$C$14,$C$15,I$20,H$19,$C$16,$C184,$B184,I$21)</f>
        <v/>
      </c>
      <c r="J184" s="33" t="str">
        <f ca="1">_xll.DBRW($B$9,$C$14,$C$15,J$20,J$19,$C$16,$C184,$B184,J$21)</f>
        <v/>
      </c>
      <c r="K184" s="33" t="str">
        <f ca="1">_xll.DBRW($B$9,$C$14,$C$15,K$20,J$19,$C$16,$C184,$B184,K$21)</f>
        <v/>
      </c>
      <c r="L184" s="33" t="str">
        <f ca="1">_xll.DBRW($B$9,$C$14,$C$15,L$20,L$19,$C$16,$C184,$B184,L$21)</f>
        <v/>
      </c>
      <c r="M184" s="33" t="str">
        <f ca="1">_xll.DBRW($B$9,$C$14,$C$15,M$20,L$19,$C$16,$C184,$B184,M$21)</f>
        <v/>
      </c>
      <c r="N184" s="33" t="str">
        <f ca="1">_xll.DBRW($B$9,$C$14,$C$15,N$20,N$19,$C$16,$C184,$B184,N$21)</f>
        <v/>
      </c>
      <c r="O184" s="33" t="str">
        <f ca="1">_xll.DBRW($B$9,$C$14,$C$15,O$20,N$19,$C$16,$C184,$B184,O$21)</f>
        <v/>
      </c>
      <c r="P184" s="33" t="str">
        <f ca="1">_xll.DBRW($B$9,$C$14,$C$15,P$20,$P$19,$C$16,$C184,$B184,P$21)</f>
        <v/>
      </c>
      <c r="Q184" s="33" t="str">
        <f ca="1">_xll.DBRW($B$9,$C$14,$C$15,Q$20,$P$19,$C$16,$C184,$B184,Q$21)</f>
        <v/>
      </c>
    </row>
    <row r="185" spans="1:17" x14ac:dyDescent="0.25">
      <c r="A185">
        <f ca="1">IF(_xll.TM1RPTELISCONSOLIDATED($C$22,$C185),IF(_xll.TM1RPTELLEV($C$22,$C185)&lt;=3,_xll.TM1RPTELLEV($C$22,$C185),"D"),"N")</f>
        <v>1</v>
      </c>
      <c r="B185" s="8" t="s">
        <v>71</v>
      </c>
      <c r="C185" s="39" t="s">
        <v>43</v>
      </c>
      <c r="D185" s="34" t="str">
        <f ca="1">_xll.DBRW($B$9,$C$14,$C$15,D$20,D$19,$C$16,$C185,$B185,D$21)</f>
        <v/>
      </c>
      <c r="E185" s="34" t="str">
        <f ca="1">_xll.DBRW($B$9,$C$14,$C$15,E$20,D$19,$C$16,$C185,$B185,E$21)</f>
        <v/>
      </c>
      <c r="F185" s="34" t="str">
        <f ca="1">_xll.DBRW($B$9,$C$14,$C$15,F$20,F$19,$C$16,$C185,$B185,F$21)</f>
        <v/>
      </c>
      <c r="G185" s="34" t="str">
        <f ca="1">_xll.DBRW($B$9,$C$14,$C$15,G$20,F$19,$C$16,$C185,$B185,G$21)</f>
        <v/>
      </c>
      <c r="H185" s="34" t="str">
        <f ca="1">_xll.DBRW($B$9,$C$14,$C$15,H$20,H$19,$C$16,$C185,$B185,H$21)</f>
        <v/>
      </c>
      <c r="I185" s="34" t="str">
        <f ca="1">_xll.DBRW($B$9,$C$14,$C$15,I$20,H$19,$C$16,$C185,$B185,I$21)</f>
        <v/>
      </c>
      <c r="J185" s="34" t="str">
        <f ca="1">_xll.DBRW($B$9,$C$14,$C$15,J$20,J$19,$C$16,$C185,$B185,J$21)</f>
        <v/>
      </c>
      <c r="K185" s="34" t="str">
        <f ca="1">_xll.DBRW($B$9,$C$14,$C$15,K$20,J$19,$C$16,$C185,$B185,K$21)</f>
        <v/>
      </c>
      <c r="L185" s="34" t="str">
        <f ca="1">_xll.DBRW($B$9,$C$14,$C$15,L$20,L$19,$C$16,$C185,$B185,L$21)</f>
        <v/>
      </c>
      <c r="M185" s="34" t="str">
        <f ca="1">_xll.DBRW($B$9,$C$14,$C$15,M$20,L$19,$C$16,$C185,$B185,M$21)</f>
        <v/>
      </c>
      <c r="N185" s="34" t="str">
        <f ca="1">_xll.DBRW($B$9,$C$14,$C$15,N$20,N$19,$C$16,$C185,$B185,N$21)</f>
        <v/>
      </c>
      <c r="O185" s="34" t="str">
        <f ca="1">_xll.DBRW($B$9,$C$14,$C$15,O$20,N$19,$C$16,$C185,$B185,O$21)</f>
        <v/>
      </c>
      <c r="P185" s="34" t="str">
        <f ca="1">_xll.DBRW($B$9,$C$14,$C$15,P$20,$P$19,$C$16,$C185,$B185,P$21)</f>
        <v/>
      </c>
      <c r="Q185" s="34" t="str">
        <f ca="1">_xll.DBRW($B$9,$C$14,$C$15,Q$20,$P$19,$C$16,$C185,$B185,Q$21)</f>
        <v/>
      </c>
    </row>
    <row r="186" spans="1:17" x14ac:dyDescent="0.25">
      <c r="A186">
        <f ca="1">IF(_xll.TM1RPTELISCONSOLIDATED($C$22,$C186),IF(_xll.TM1RPTELLEV($C$22,$C186)&lt;=3,_xll.TM1RPTELLEV($C$22,$C186),"D"),"N")</f>
        <v>1</v>
      </c>
      <c r="B186" s="8" t="s">
        <v>71</v>
      </c>
      <c r="C186" s="39" t="s">
        <v>36</v>
      </c>
      <c r="D186" s="34" t="str">
        <f ca="1">_xll.DBRW($B$9,$C$14,$C$15,D$20,D$19,$C$16,$C186,$B186,D$21)</f>
        <v/>
      </c>
      <c r="E186" s="34" t="str">
        <f ca="1">_xll.DBRW($B$9,$C$14,$C$15,E$20,D$19,$C$16,$C186,$B186,E$21)</f>
        <v/>
      </c>
      <c r="F186" s="34" t="str">
        <f ca="1">_xll.DBRW($B$9,$C$14,$C$15,F$20,F$19,$C$16,$C186,$B186,F$21)</f>
        <v/>
      </c>
      <c r="G186" s="34" t="str">
        <f ca="1">_xll.DBRW($B$9,$C$14,$C$15,G$20,F$19,$C$16,$C186,$B186,G$21)</f>
        <v/>
      </c>
      <c r="H186" s="34" t="str">
        <f ca="1">_xll.DBRW($B$9,$C$14,$C$15,H$20,H$19,$C$16,$C186,$B186,H$21)</f>
        <v/>
      </c>
      <c r="I186" s="34" t="str">
        <f ca="1">_xll.DBRW($B$9,$C$14,$C$15,I$20,H$19,$C$16,$C186,$B186,I$21)</f>
        <v/>
      </c>
      <c r="J186" s="34" t="str">
        <f ca="1">_xll.DBRW($B$9,$C$14,$C$15,J$20,J$19,$C$16,$C186,$B186,J$21)</f>
        <v/>
      </c>
      <c r="K186" s="34" t="str">
        <f ca="1">_xll.DBRW($B$9,$C$14,$C$15,K$20,J$19,$C$16,$C186,$B186,K$21)</f>
        <v/>
      </c>
      <c r="L186" s="34" t="str">
        <f ca="1">_xll.DBRW($B$9,$C$14,$C$15,L$20,L$19,$C$16,$C186,$B186,L$21)</f>
        <v/>
      </c>
      <c r="M186" s="34" t="str">
        <f ca="1">_xll.DBRW($B$9,$C$14,$C$15,M$20,L$19,$C$16,$C186,$B186,M$21)</f>
        <v/>
      </c>
      <c r="N186" s="34" t="str">
        <f ca="1">_xll.DBRW($B$9,$C$14,$C$15,N$20,N$19,$C$16,$C186,$B186,N$21)</f>
        <v/>
      </c>
      <c r="O186" s="34" t="str">
        <f ca="1">_xll.DBRW($B$9,$C$14,$C$15,O$20,N$19,$C$16,$C186,$B186,O$21)</f>
        <v/>
      </c>
      <c r="P186" s="34" t="str">
        <f ca="1">_xll.DBRW($B$9,$C$14,$C$15,P$20,$P$19,$C$16,$C186,$B186,P$21)</f>
        <v/>
      </c>
      <c r="Q186" s="34" t="str">
        <f ca="1">_xll.DBRW($B$9,$C$14,$C$15,Q$20,$P$19,$C$16,$C186,$B186,Q$21)</f>
        <v/>
      </c>
    </row>
    <row r="187" spans="1:17" x14ac:dyDescent="0.25">
      <c r="A187">
        <f ca="1">IF(_xll.TM1RPTELISCONSOLIDATED($C$22,$C187),IF(_xll.TM1RPTELLEV($C$22,$C187)&lt;=3,_xll.TM1RPTELLEV($C$22,$C187),"D"),"N")</f>
        <v>1</v>
      </c>
      <c r="B187" s="8" t="s">
        <v>71</v>
      </c>
      <c r="C187" s="39" t="s">
        <v>37</v>
      </c>
      <c r="D187" s="34" t="str">
        <f ca="1">_xll.DBRW($B$9,$C$14,$C$15,D$20,D$19,$C$16,$C187,$B187,D$21)</f>
        <v/>
      </c>
      <c r="E187" s="34" t="str">
        <f ca="1">_xll.DBRW($B$9,$C$14,$C$15,E$20,D$19,$C$16,$C187,$B187,E$21)</f>
        <v/>
      </c>
      <c r="F187" s="34" t="str">
        <f ca="1">_xll.DBRW($B$9,$C$14,$C$15,F$20,F$19,$C$16,$C187,$B187,F$21)</f>
        <v/>
      </c>
      <c r="G187" s="34" t="str">
        <f ca="1">_xll.DBRW($B$9,$C$14,$C$15,G$20,F$19,$C$16,$C187,$B187,G$21)</f>
        <v/>
      </c>
      <c r="H187" s="34" t="str">
        <f ca="1">_xll.DBRW($B$9,$C$14,$C$15,H$20,H$19,$C$16,$C187,$B187,H$21)</f>
        <v/>
      </c>
      <c r="I187" s="34" t="str">
        <f ca="1">_xll.DBRW($B$9,$C$14,$C$15,I$20,H$19,$C$16,$C187,$B187,I$21)</f>
        <v/>
      </c>
      <c r="J187" s="34" t="str">
        <f ca="1">_xll.DBRW($B$9,$C$14,$C$15,J$20,J$19,$C$16,$C187,$B187,J$21)</f>
        <v/>
      </c>
      <c r="K187" s="34" t="str">
        <f ca="1">_xll.DBRW($B$9,$C$14,$C$15,K$20,J$19,$C$16,$C187,$B187,K$21)</f>
        <v/>
      </c>
      <c r="L187" s="34" t="str">
        <f ca="1">_xll.DBRW($B$9,$C$14,$C$15,L$20,L$19,$C$16,$C187,$B187,L$21)</f>
        <v/>
      </c>
      <c r="M187" s="34" t="str">
        <f ca="1">_xll.DBRW($B$9,$C$14,$C$15,M$20,L$19,$C$16,$C187,$B187,M$21)</f>
        <v/>
      </c>
      <c r="N187" s="34" t="str">
        <f ca="1">_xll.DBRW($B$9,$C$14,$C$15,N$20,N$19,$C$16,$C187,$B187,N$21)</f>
        <v/>
      </c>
      <c r="O187" s="34" t="str">
        <f ca="1">_xll.DBRW($B$9,$C$14,$C$15,O$20,N$19,$C$16,$C187,$B187,O$21)</f>
        <v/>
      </c>
      <c r="P187" s="34" t="str">
        <f ca="1">_xll.DBRW($B$9,$C$14,$C$15,P$20,$P$19,$C$16,$C187,$B187,P$21)</f>
        <v/>
      </c>
      <c r="Q187" s="34" t="str">
        <f ca="1">_xll.DBRW($B$9,$C$14,$C$15,Q$20,$P$19,$C$16,$C187,$B187,Q$21)</f>
        <v/>
      </c>
    </row>
    <row r="188" spans="1:17" x14ac:dyDescent="0.25">
      <c r="A188">
        <f ca="1">IF(_xll.TM1RPTELISCONSOLIDATED($C$22,$C188),IF(_xll.TM1RPTELLEV($C$22,$C188)&lt;=3,_xll.TM1RPTELLEV($C$22,$C188),"D"),"N")</f>
        <v>1</v>
      </c>
      <c r="B188" s="8" t="s">
        <v>71</v>
      </c>
      <c r="C188" s="39" t="s">
        <v>38</v>
      </c>
      <c r="D188" s="34" t="str">
        <f ca="1">_xll.DBRW($B$9,$C$14,$C$15,D$20,D$19,$C$16,$C188,$B188,D$21)</f>
        <v/>
      </c>
      <c r="E188" s="34" t="str">
        <f ca="1">_xll.DBRW($B$9,$C$14,$C$15,E$20,D$19,$C$16,$C188,$B188,E$21)</f>
        <v/>
      </c>
      <c r="F188" s="34" t="str">
        <f ca="1">_xll.DBRW($B$9,$C$14,$C$15,F$20,F$19,$C$16,$C188,$B188,F$21)</f>
        <v/>
      </c>
      <c r="G188" s="34" t="str">
        <f ca="1">_xll.DBRW($B$9,$C$14,$C$15,G$20,F$19,$C$16,$C188,$B188,G$21)</f>
        <v/>
      </c>
      <c r="H188" s="34" t="str">
        <f ca="1">_xll.DBRW($B$9,$C$14,$C$15,H$20,H$19,$C$16,$C188,$B188,H$21)</f>
        <v/>
      </c>
      <c r="I188" s="34" t="str">
        <f ca="1">_xll.DBRW($B$9,$C$14,$C$15,I$20,H$19,$C$16,$C188,$B188,I$21)</f>
        <v/>
      </c>
      <c r="J188" s="34" t="str">
        <f ca="1">_xll.DBRW($B$9,$C$14,$C$15,J$20,J$19,$C$16,$C188,$B188,J$21)</f>
        <v/>
      </c>
      <c r="K188" s="34" t="str">
        <f ca="1">_xll.DBRW($B$9,$C$14,$C$15,K$20,J$19,$C$16,$C188,$B188,K$21)</f>
        <v/>
      </c>
      <c r="L188" s="34" t="str">
        <f ca="1">_xll.DBRW($B$9,$C$14,$C$15,L$20,L$19,$C$16,$C188,$B188,L$21)</f>
        <v/>
      </c>
      <c r="M188" s="34" t="str">
        <f ca="1">_xll.DBRW($B$9,$C$14,$C$15,M$20,L$19,$C$16,$C188,$B188,M$21)</f>
        <v/>
      </c>
      <c r="N188" s="34" t="str">
        <f ca="1">_xll.DBRW($B$9,$C$14,$C$15,N$20,N$19,$C$16,$C188,$B188,N$21)</f>
        <v/>
      </c>
      <c r="O188" s="34" t="str">
        <f ca="1">_xll.DBRW($B$9,$C$14,$C$15,O$20,N$19,$C$16,$C188,$B188,O$21)</f>
        <v/>
      </c>
      <c r="P188" s="34" t="str">
        <f ca="1">_xll.DBRW($B$9,$C$14,$C$15,P$20,$P$19,$C$16,$C188,$B188,P$21)</f>
        <v/>
      </c>
      <c r="Q188" s="34" t="str">
        <f ca="1">_xll.DBRW($B$9,$C$14,$C$15,Q$20,$P$19,$C$16,$C188,$B188,Q$21)</f>
        <v/>
      </c>
    </row>
    <row r="189" spans="1:17" x14ac:dyDescent="0.25">
      <c r="A189">
        <f ca="1">IF(_xll.TM1RPTELISCONSOLIDATED($C$22,$C189),IF(_xll.TM1RPTELLEV($C$22,$C189)&lt;=3,_xll.TM1RPTELLEV($C$22,$C189),"D"),"N")</f>
        <v>1</v>
      </c>
      <c r="B189" s="8" t="s">
        <v>71</v>
      </c>
      <c r="C189" s="39" t="s">
        <v>39</v>
      </c>
      <c r="D189" s="34" t="str">
        <f ca="1">_xll.DBRW($B$9,$C$14,$C$15,D$20,D$19,$C$16,$C189,$B189,D$21)</f>
        <v/>
      </c>
      <c r="E189" s="34" t="str">
        <f ca="1">_xll.DBRW($B$9,$C$14,$C$15,E$20,D$19,$C$16,$C189,$B189,E$21)</f>
        <v/>
      </c>
      <c r="F189" s="34" t="str">
        <f ca="1">_xll.DBRW($B$9,$C$14,$C$15,F$20,F$19,$C$16,$C189,$B189,F$21)</f>
        <v/>
      </c>
      <c r="G189" s="34" t="str">
        <f ca="1">_xll.DBRW($B$9,$C$14,$C$15,G$20,F$19,$C$16,$C189,$B189,G$21)</f>
        <v/>
      </c>
      <c r="H189" s="34" t="str">
        <f ca="1">_xll.DBRW($B$9,$C$14,$C$15,H$20,H$19,$C$16,$C189,$B189,H$21)</f>
        <v/>
      </c>
      <c r="I189" s="34" t="str">
        <f ca="1">_xll.DBRW($B$9,$C$14,$C$15,I$20,H$19,$C$16,$C189,$B189,I$21)</f>
        <v/>
      </c>
      <c r="J189" s="34" t="str">
        <f ca="1">_xll.DBRW($B$9,$C$14,$C$15,J$20,J$19,$C$16,$C189,$B189,J$21)</f>
        <v/>
      </c>
      <c r="K189" s="34" t="str">
        <f ca="1">_xll.DBRW($B$9,$C$14,$C$15,K$20,J$19,$C$16,$C189,$B189,K$21)</f>
        <v/>
      </c>
      <c r="L189" s="34" t="str">
        <f ca="1">_xll.DBRW($B$9,$C$14,$C$15,L$20,L$19,$C$16,$C189,$B189,L$21)</f>
        <v/>
      </c>
      <c r="M189" s="34" t="str">
        <f ca="1">_xll.DBRW($B$9,$C$14,$C$15,M$20,L$19,$C$16,$C189,$B189,M$21)</f>
        <v/>
      </c>
      <c r="N189" s="34" t="str">
        <f ca="1">_xll.DBRW($B$9,$C$14,$C$15,N$20,N$19,$C$16,$C189,$B189,N$21)</f>
        <v/>
      </c>
      <c r="O189" s="34" t="str">
        <f ca="1">_xll.DBRW($B$9,$C$14,$C$15,O$20,N$19,$C$16,$C189,$B189,O$21)</f>
        <v/>
      </c>
      <c r="P189" s="34" t="str">
        <f ca="1">_xll.DBRW($B$9,$C$14,$C$15,P$20,$P$19,$C$16,$C189,$B189,P$21)</f>
        <v/>
      </c>
      <c r="Q189" s="34" t="str">
        <f ca="1">_xll.DBRW($B$9,$C$14,$C$15,Q$20,$P$19,$C$16,$C189,$B189,Q$21)</f>
        <v/>
      </c>
    </row>
    <row r="190" spans="1:17" x14ac:dyDescent="0.25">
      <c r="A190">
        <f ca="1">IF(_xll.TM1RPTELISCONSOLIDATED($C$22,$C190),IF(_xll.TM1RPTELLEV($C$22,$C190)&lt;=3,_xll.TM1RPTELLEV($C$22,$C190),"D"),"N")</f>
        <v>1</v>
      </c>
      <c r="B190" s="8" t="s">
        <v>71</v>
      </c>
      <c r="C190" s="39" t="s">
        <v>40</v>
      </c>
      <c r="D190" s="34" t="str">
        <f ca="1">_xll.DBRW($B$9,$C$14,$C$15,D$20,D$19,$C$16,$C190,$B190,D$21)</f>
        <v/>
      </c>
      <c r="E190" s="34" t="str">
        <f ca="1">_xll.DBRW($B$9,$C$14,$C$15,E$20,D$19,$C$16,$C190,$B190,E$21)</f>
        <v/>
      </c>
      <c r="F190" s="34" t="str">
        <f ca="1">_xll.DBRW($B$9,$C$14,$C$15,F$20,F$19,$C$16,$C190,$B190,F$21)</f>
        <v/>
      </c>
      <c r="G190" s="34" t="str">
        <f ca="1">_xll.DBRW($B$9,$C$14,$C$15,G$20,F$19,$C$16,$C190,$B190,G$21)</f>
        <v/>
      </c>
      <c r="H190" s="34" t="str">
        <f ca="1">_xll.DBRW($B$9,$C$14,$C$15,H$20,H$19,$C$16,$C190,$B190,H$21)</f>
        <v/>
      </c>
      <c r="I190" s="34" t="str">
        <f ca="1">_xll.DBRW($B$9,$C$14,$C$15,I$20,H$19,$C$16,$C190,$B190,I$21)</f>
        <v/>
      </c>
      <c r="J190" s="34" t="str">
        <f ca="1">_xll.DBRW($B$9,$C$14,$C$15,J$20,J$19,$C$16,$C190,$B190,J$21)</f>
        <v/>
      </c>
      <c r="K190" s="34" t="str">
        <f ca="1">_xll.DBRW($B$9,$C$14,$C$15,K$20,J$19,$C$16,$C190,$B190,K$21)</f>
        <v/>
      </c>
      <c r="L190" s="34" t="str">
        <f ca="1">_xll.DBRW($B$9,$C$14,$C$15,L$20,L$19,$C$16,$C190,$B190,L$21)</f>
        <v/>
      </c>
      <c r="M190" s="34" t="str">
        <f ca="1">_xll.DBRW($B$9,$C$14,$C$15,M$20,L$19,$C$16,$C190,$B190,M$21)</f>
        <v/>
      </c>
      <c r="N190" s="34" t="str">
        <f ca="1">_xll.DBRW($B$9,$C$14,$C$15,N$20,N$19,$C$16,$C190,$B190,N$21)</f>
        <v/>
      </c>
      <c r="O190" s="34" t="str">
        <f ca="1">_xll.DBRW($B$9,$C$14,$C$15,O$20,N$19,$C$16,$C190,$B190,O$21)</f>
        <v/>
      </c>
      <c r="P190" s="34" t="str">
        <f ca="1">_xll.DBRW($B$9,$C$14,$C$15,P$20,$P$19,$C$16,$C190,$B190,P$21)</f>
        <v/>
      </c>
      <c r="Q190" s="34" t="str">
        <f ca="1">_xll.DBRW($B$9,$C$14,$C$15,Q$20,$P$19,$C$16,$C190,$B190,Q$21)</f>
        <v/>
      </c>
    </row>
    <row r="191" spans="1:17" x14ac:dyDescent="0.25">
      <c r="A191">
        <f ca="1">IF(_xll.TM1RPTELISCONSOLIDATED($C$22,$C191),IF(_xll.TM1RPTELLEV($C$22,$C191)&lt;=3,_xll.TM1RPTELLEV($C$22,$C191),"D"),"N")</f>
        <v>1</v>
      </c>
      <c r="B191" s="8" t="s">
        <v>71</v>
      </c>
      <c r="C191" s="39" t="s">
        <v>41</v>
      </c>
      <c r="D191" s="34" t="str">
        <f ca="1">_xll.DBRW($B$9,$C$14,$C$15,D$20,D$19,$C$16,$C191,$B191,D$21)</f>
        <v/>
      </c>
      <c r="E191" s="34" t="str">
        <f ca="1">_xll.DBRW($B$9,$C$14,$C$15,E$20,D$19,$C$16,$C191,$B191,E$21)</f>
        <v/>
      </c>
      <c r="F191" s="34" t="str">
        <f ca="1">_xll.DBRW($B$9,$C$14,$C$15,F$20,F$19,$C$16,$C191,$B191,F$21)</f>
        <v/>
      </c>
      <c r="G191" s="34" t="str">
        <f ca="1">_xll.DBRW($B$9,$C$14,$C$15,G$20,F$19,$C$16,$C191,$B191,G$21)</f>
        <v/>
      </c>
      <c r="H191" s="34" t="str">
        <f ca="1">_xll.DBRW($B$9,$C$14,$C$15,H$20,H$19,$C$16,$C191,$B191,H$21)</f>
        <v/>
      </c>
      <c r="I191" s="34" t="str">
        <f ca="1">_xll.DBRW($B$9,$C$14,$C$15,I$20,H$19,$C$16,$C191,$B191,I$21)</f>
        <v/>
      </c>
      <c r="J191" s="34" t="str">
        <f ca="1">_xll.DBRW($B$9,$C$14,$C$15,J$20,J$19,$C$16,$C191,$B191,J$21)</f>
        <v/>
      </c>
      <c r="K191" s="34" t="str">
        <f ca="1">_xll.DBRW($B$9,$C$14,$C$15,K$20,J$19,$C$16,$C191,$B191,K$21)</f>
        <v/>
      </c>
      <c r="L191" s="34" t="str">
        <f ca="1">_xll.DBRW($B$9,$C$14,$C$15,L$20,L$19,$C$16,$C191,$B191,L$21)</f>
        <v/>
      </c>
      <c r="M191" s="34" t="str">
        <f ca="1">_xll.DBRW($B$9,$C$14,$C$15,M$20,L$19,$C$16,$C191,$B191,M$21)</f>
        <v/>
      </c>
      <c r="N191" s="34" t="str">
        <f ca="1">_xll.DBRW($B$9,$C$14,$C$15,N$20,N$19,$C$16,$C191,$B191,N$21)</f>
        <v/>
      </c>
      <c r="O191" s="34" t="str">
        <f ca="1">_xll.DBRW($B$9,$C$14,$C$15,O$20,N$19,$C$16,$C191,$B191,O$21)</f>
        <v/>
      </c>
      <c r="P191" s="34" t="str">
        <f ca="1">_xll.DBRW($B$9,$C$14,$C$15,P$20,$P$19,$C$16,$C191,$B191,P$21)</f>
        <v/>
      </c>
      <c r="Q191" s="34" t="str">
        <f ca="1">_xll.DBRW($B$9,$C$14,$C$15,Q$20,$P$19,$C$16,$C191,$B191,Q$21)</f>
        <v/>
      </c>
    </row>
    <row r="192" spans="1:17" x14ac:dyDescent="0.25">
      <c r="A192">
        <f ca="1">IF(_xll.TM1RPTELISCONSOLIDATED($C$22,$C192),IF(_xll.TM1RPTELLEV($C$22,$C192)&lt;=3,_xll.TM1RPTELLEV($C$22,$C192),"D"),"N")</f>
        <v>1</v>
      </c>
      <c r="B192" s="8" t="s">
        <v>71</v>
      </c>
      <c r="C192" s="39" t="s">
        <v>42</v>
      </c>
      <c r="D192" s="34" t="str">
        <f ca="1">_xll.DBRW($B$9,$C$14,$C$15,D$20,D$19,$C$16,$C192,$B192,D$21)</f>
        <v/>
      </c>
      <c r="E192" s="34" t="str">
        <f ca="1">_xll.DBRW($B$9,$C$14,$C$15,E$20,D$19,$C$16,$C192,$B192,E$21)</f>
        <v/>
      </c>
      <c r="F192" s="34" t="str">
        <f ca="1">_xll.DBRW($B$9,$C$14,$C$15,F$20,F$19,$C$16,$C192,$B192,F$21)</f>
        <v/>
      </c>
      <c r="G192" s="34" t="str">
        <f ca="1">_xll.DBRW($B$9,$C$14,$C$15,G$20,F$19,$C$16,$C192,$B192,G$21)</f>
        <v/>
      </c>
      <c r="H192" s="34" t="str">
        <f ca="1">_xll.DBRW($B$9,$C$14,$C$15,H$20,H$19,$C$16,$C192,$B192,H$21)</f>
        <v/>
      </c>
      <c r="I192" s="34" t="str">
        <f ca="1">_xll.DBRW($B$9,$C$14,$C$15,I$20,H$19,$C$16,$C192,$B192,I$21)</f>
        <v/>
      </c>
      <c r="J192" s="34" t="str">
        <f ca="1">_xll.DBRW($B$9,$C$14,$C$15,J$20,J$19,$C$16,$C192,$B192,J$21)</f>
        <v/>
      </c>
      <c r="K192" s="34" t="str">
        <f ca="1">_xll.DBRW($B$9,$C$14,$C$15,K$20,J$19,$C$16,$C192,$B192,K$21)</f>
        <v/>
      </c>
      <c r="L192" s="34" t="str">
        <f ca="1">_xll.DBRW($B$9,$C$14,$C$15,L$20,L$19,$C$16,$C192,$B192,L$21)</f>
        <v/>
      </c>
      <c r="M192" s="34" t="str">
        <f ca="1">_xll.DBRW($B$9,$C$14,$C$15,M$20,L$19,$C$16,$C192,$B192,M$21)</f>
        <v/>
      </c>
      <c r="N192" s="34" t="str">
        <f ca="1">_xll.DBRW($B$9,$C$14,$C$15,N$20,N$19,$C$16,$C192,$B192,N$21)</f>
        <v/>
      </c>
      <c r="O192" s="34" t="str">
        <f ca="1">_xll.DBRW($B$9,$C$14,$C$15,O$20,N$19,$C$16,$C192,$B192,O$21)</f>
        <v/>
      </c>
      <c r="P192" s="34" t="str">
        <f ca="1">_xll.DBRW($B$9,$C$14,$C$15,P$20,$P$19,$C$16,$C192,$B192,P$21)</f>
        <v/>
      </c>
      <c r="Q192" s="34" t="str">
        <f ca="1">_xll.DBRW($B$9,$C$14,$C$15,Q$20,$P$19,$C$16,$C192,$B192,Q$21)</f>
        <v/>
      </c>
    </row>
    <row r="193" spans="1:17" x14ac:dyDescent="0.25">
      <c r="A193">
        <f ca="1">IF(_xll.TM1RPTELISCONSOLIDATED($C$22,$C193),IF(_xll.TM1RPTELLEV($C$22,$C193)&lt;=3,_xll.TM1RPTELLEV($C$22,$C193),"D"),"N")</f>
        <v>0</v>
      </c>
      <c r="B193" s="5" t="s">
        <v>72</v>
      </c>
      <c r="C193" s="38" t="s">
        <v>35</v>
      </c>
      <c r="D193" s="33" t="str">
        <f ca="1">_xll.DBRW($B$9,$C$14,$C$15,D$20,D$19,$C$16,$C193,$B193,D$21)</f>
        <v/>
      </c>
      <c r="E193" s="33" t="str">
        <f ca="1">_xll.DBRW($B$9,$C$14,$C$15,E$20,D$19,$C$16,$C193,$B193,E$21)</f>
        <v/>
      </c>
      <c r="F193" s="33" t="str">
        <f ca="1">_xll.DBRW($B$9,$C$14,$C$15,F$20,F$19,$C$16,$C193,$B193,F$21)</f>
        <v/>
      </c>
      <c r="G193" s="33" t="str">
        <f ca="1">_xll.DBRW($B$9,$C$14,$C$15,G$20,F$19,$C$16,$C193,$B193,G$21)</f>
        <v/>
      </c>
      <c r="H193" s="33" t="str">
        <f ca="1">_xll.DBRW($B$9,$C$14,$C$15,H$20,H$19,$C$16,$C193,$B193,H$21)</f>
        <v/>
      </c>
      <c r="I193" s="33" t="str">
        <f ca="1">_xll.DBRW($B$9,$C$14,$C$15,I$20,H$19,$C$16,$C193,$B193,I$21)</f>
        <v/>
      </c>
      <c r="J193" s="33" t="str">
        <f ca="1">_xll.DBRW($B$9,$C$14,$C$15,J$20,J$19,$C$16,$C193,$B193,J$21)</f>
        <v/>
      </c>
      <c r="K193" s="33" t="str">
        <f ca="1">_xll.DBRW($B$9,$C$14,$C$15,K$20,J$19,$C$16,$C193,$B193,K$21)</f>
        <v/>
      </c>
      <c r="L193" s="33" t="str">
        <f ca="1">_xll.DBRW($B$9,$C$14,$C$15,L$20,L$19,$C$16,$C193,$B193,L$21)</f>
        <v/>
      </c>
      <c r="M193" s="33" t="str">
        <f ca="1">_xll.DBRW($B$9,$C$14,$C$15,M$20,L$19,$C$16,$C193,$B193,M$21)</f>
        <v/>
      </c>
      <c r="N193" s="33" t="str">
        <f ca="1">_xll.DBRW($B$9,$C$14,$C$15,N$20,N$19,$C$16,$C193,$B193,N$21)</f>
        <v/>
      </c>
      <c r="O193" s="33" t="str">
        <f ca="1">_xll.DBRW($B$9,$C$14,$C$15,O$20,N$19,$C$16,$C193,$B193,O$21)</f>
        <v/>
      </c>
      <c r="P193" s="33" t="str">
        <f ca="1">_xll.DBRW($B$9,$C$14,$C$15,P$20,$P$19,$C$16,$C193,$B193,P$21)</f>
        <v/>
      </c>
      <c r="Q193" s="33" t="str">
        <f ca="1">_xll.DBRW($B$9,$C$14,$C$15,Q$20,$P$19,$C$16,$C193,$B193,Q$21)</f>
        <v/>
      </c>
    </row>
    <row r="194" spans="1:17" x14ac:dyDescent="0.25">
      <c r="A194">
        <f ca="1">IF(_xll.TM1RPTELISCONSOLIDATED($C$22,$C194),IF(_xll.TM1RPTELLEV($C$22,$C194)&lt;=3,_xll.TM1RPTELLEV($C$22,$C194),"D"),"N")</f>
        <v>1</v>
      </c>
      <c r="B194" s="8" t="s">
        <v>72</v>
      </c>
      <c r="C194" s="39" t="s">
        <v>43</v>
      </c>
      <c r="D194" s="34" t="str">
        <f ca="1">_xll.DBRW($B$9,$C$14,$C$15,D$20,D$19,$C$16,$C194,$B194,D$21)</f>
        <v/>
      </c>
      <c r="E194" s="34" t="str">
        <f ca="1">_xll.DBRW($B$9,$C$14,$C$15,E$20,D$19,$C$16,$C194,$B194,E$21)</f>
        <v/>
      </c>
      <c r="F194" s="34" t="str">
        <f ca="1">_xll.DBRW($B$9,$C$14,$C$15,F$20,F$19,$C$16,$C194,$B194,F$21)</f>
        <v/>
      </c>
      <c r="G194" s="34" t="str">
        <f ca="1">_xll.DBRW($B$9,$C$14,$C$15,G$20,F$19,$C$16,$C194,$B194,G$21)</f>
        <v/>
      </c>
      <c r="H194" s="34" t="str">
        <f ca="1">_xll.DBRW($B$9,$C$14,$C$15,H$20,H$19,$C$16,$C194,$B194,H$21)</f>
        <v/>
      </c>
      <c r="I194" s="34" t="str">
        <f ca="1">_xll.DBRW($B$9,$C$14,$C$15,I$20,H$19,$C$16,$C194,$B194,I$21)</f>
        <v/>
      </c>
      <c r="J194" s="34" t="str">
        <f ca="1">_xll.DBRW($B$9,$C$14,$C$15,J$20,J$19,$C$16,$C194,$B194,J$21)</f>
        <v/>
      </c>
      <c r="K194" s="34" t="str">
        <f ca="1">_xll.DBRW($B$9,$C$14,$C$15,K$20,J$19,$C$16,$C194,$B194,K$21)</f>
        <v/>
      </c>
      <c r="L194" s="34" t="str">
        <f ca="1">_xll.DBRW($B$9,$C$14,$C$15,L$20,L$19,$C$16,$C194,$B194,L$21)</f>
        <v/>
      </c>
      <c r="M194" s="34" t="str">
        <f ca="1">_xll.DBRW($B$9,$C$14,$C$15,M$20,L$19,$C$16,$C194,$B194,M$21)</f>
        <v/>
      </c>
      <c r="N194" s="34" t="str">
        <f ca="1">_xll.DBRW($B$9,$C$14,$C$15,N$20,N$19,$C$16,$C194,$B194,N$21)</f>
        <v/>
      </c>
      <c r="O194" s="34" t="str">
        <f ca="1">_xll.DBRW($B$9,$C$14,$C$15,O$20,N$19,$C$16,$C194,$B194,O$21)</f>
        <v/>
      </c>
      <c r="P194" s="34" t="str">
        <f ca="1">_xll.DBRW($B$9,$C$14,$C$15,P$20,$P$19,$C$16,$C194,$B194,P$21)</f>
        <v/>
      </c>
      <c r="Q194" s="34" t="str">
        <f ca="1">_xll.DBRW($B$9,$C$14,$C$15,Q$20,$P$19,$C$16,$C194,$B194,Q$21)</f>
        <v/>
      </c>
    </row>
    <row r="195" spans="1:17" x14ac:dyDescent="0.25">
      <c r="A195">
        <f ca="1">IF(_xll.TM1RPTELISCONSOLIDATED($C$22,$C195),IF(_xll.TM1RPTELLEV($C$22,$C195)&lt;=3,_xll.TM1RPTELLEV($C$22,$C195),"D"),"N")</f>
        <v>1</v>
      </c>
      <c r="B195" s="8" t="s">
        <v>72</v>
      </c>
      <c r="C195" s="39" t="s">
        <v>36</v>
      </c>
      <c r="D195" s="34" t="str">
        <f ca="1">_xll.DBRW($B$9,$C$14,$C$15,D$20,D$19,$C$16,$C195,$B195,D$21)</f>
        <v/>
      </c>
      <c r="E195" s="34" t="str">
        <f ca="1">_xll.DBRW($B$9,$C$14,$C$15,E$20,D$19,$C$16,$C195,$B195,E$21)</f>
        <v/>
      </c>
      <c r="F195" s="34" t="str">
        <f ca="1">_xll.DBRW($B$9,$C$14,$C$15,F$20,F$19,$C$16,$C195,$B195,F$21)</f>
        <v/>
      </c>
      <c r="G195" s="34" t="str">
        <f ca="1">_xll.DBRW($B$9,$C$14,$C$15,G$20,F$19,$C$16,$C195,$B195,G$21)</f>
        <v/>
      </c>
      <c r="H195" s="34" t="str">
        <f ca="1">_xll.DBRW($B$9,$C$14,$C$15,H$20,H$19,$C$16,$C195,$B195,H$21)</f>
        <v/>
      </c>
      <c r="I195" s="34" t="str">
        <f ca="1">_xll.DBRW($B$9,$C$14,$C$15,I$20,H$19,$C$16,$C195,$B195,I$21)</f>
        <v/>
      </c>
      <c r="J195" s="34" t="str">
        <f ca="1">_xll.DBRW($B$9,$C$14,$C$15,J$20,J$19,$C$16,$C195,$B195,J$21)</f>
        <v/>
      </c>
      <c r="K195" s="34" t="str">
        <f ca="1">_xll.DBRW($B$9,$C$14,$C$15,K$20,J$19,$C$16,$C195,$B195,K$21)</f>
        <v/>
      </c>
      <c r="L195" s="34" t="str">
        <f ca="1">_xll.DBRW($B$9,$C$14,$C$15,L$20,L$19,$C$16,$C195,$B195,L$21)</f>
        <v/>
      </c>
      <c r="M195" s="34" t="str">
        <f ca="1">_xll.DBRW($B$9,$C$14,$C$15,M$20,L$19,$C$16,$C195,$B195,M$21)</f>
        <v/>
      </c>
      <c r="N195" s="34" t="str">
        <f ca="1">_xll.DBRW($B$9,$C$14,$C$15,N$20,N$19,$C$16,$C195,$B195,N$21)</f>
        <v/>
      </c>
      <c r="O195" s="34" t="str">
        <f ca="1">_xll.DBRW($B$9,$C$14,$C$15,O$20,N$19,$C$16,$C195,$B195,O$21)</f>
        <v/>
      </c>
      <c r="P195" s="34" t="str">
        <f ca="1">_xll.DBRW($B$9,$C$14,$C$15,P$20,$P$19,$C$16,$C195,$B195,P$21)</f>
        <v/>
      </c>
      <c r="Q195" s="34" t="str">
        <f ca="1">_xll.DBRW($B$9,$C$14,$C$15,Q$20,$P$19,$C$16,$C195,$B195,Q$21)</f>
        <v/>
      </c>
    </row>
    <row r="196" spans="1:17" x14ac:dyDescent="0.25">
      <c r="A196">
        <f ca="1">IF(_xll.TM1RPTELISCONSOLIDATED($C$22,$C196),IF(_xll.TM1RPTELLEV($C$22,$C196)&lt;=3,_xll.TM1RPTELLEV($C$22,$C196),"D"),"N")</f>
        <v>1</v>
      </c>
      <c r="B196" s="8" t="s">
        <v>72</v>
      </c>
      <c r="C196" s="39" t="s">
        <v>37</v>
      </c>
      <c r="D196" s="34" t="str">
        <f ca="1">_xll.DBRW($B$9,$C$14,$C$15,D$20,D$19,$C$16,$C196,$B196,D$21)</f>
        <v/>
      </c>
      <c r="E196" s="34" t="str">
        <f ca="1">_xll.DBRW($B$9,$C$14,$C$15,E$20,D$19,$C$16,$C196,$B196,E$21)</f>
        <v/>
      </c>
      <c r="F196" s="34" t="str">
        <f ca="1">_xll.DBRW($B$9,$C$14,$C$15,F$20,F$19,$C$16,$C196,$B196,F$21)</f>
        <v/>
      </c>
      <c r="G196" s="34" t="str">
        <f ca="1">_xll.DBRW($B$9,$C$14,$C$15,G$20,F$19,$C$16,$C196,$B196,G$21)</f>
        <v/>
      </c>
      <c r="H196" s="34" t="str">
        <f ca="1">_xll.DBRW($B$9,$C$14,$C$15,H$20,H$19,$C$16,$C196,$B196,H$21)</f>
        <v/>
      </c>
      <c r="I196" s="34" t="str">
        <f ca="1">_xll.DBRW($B$9,$C$14,$C$15,I$20,H$19,$C$16,$C196,$B196,I$21)</f>
        <v/>
      </c>
      <c r="J196" s="34" t="str">
        <f ca="1">_xll.DBRW($B$9,$C$14,$C$15,J$20,J$19,$C$16,$C196,$B196,J$21)</f>
        <v/>
      </c>
      <c r="K196" s="34" t="str">
        <f ca="1">_xll.DBRW($B$9,$C$14,$C$15,K$20,J$19,$C$16,$C196,$B196,K$21)</f>
        <v/>
      </c>
      <c r="L196" s="34" t="str">
        <f ca="1">_xll.DBRW($B$9,$C$14,$C$15,L$20,L$19,$C$16,$C196,$B196,L$21)</f>
        <v/>
      </c>
      <c r="M196" s="34" t="str">
        <f ca="1">_xll.DBRW($B$9,$C$14,$C$15,M$20,L$19,$C$16,$C196,$B196,M$21)</f>
        <v/>
      </c>
      <c r="N196" s="34" t="str">
        <f ca="1">_xll.DBRW($B$9,$C$14,$C$15,N$20,N$19,$C$16,$C196,$B196,N$21)</f>
        <v/>
      </c>
      <c r="O196" s="34" t="str">
        <f ca="1">_xll.DBRW($B$9,$C$14,$C$15,O$20,N$19,$C$16,$C196,$B196,O$21)</f>
        <v/>
      </c>
      <c r="P196" s="34" t="str">
        <f ca="1">_xll.DBRW($B$9,$C$14,$C$15,P$20,$P$19,$C$16,$C196,$B196,P$21)</f>
        <v/>
      </c>
      <c r="Q196" s="34" t="str">
        <f ca="1">_xll.DBRW($B$9,$C$14,$C$15,Q$20,$P$19,$C$16,$C196,$B196,Q$21)</f>
        <v/>
      </c>
    </row>
    <row r="197" spans="1:17" x14ac:dyDescent="0.25">
      <c r="A197">
        <f ca="1">IF(_xll.TM1RPTELISCONSOLIDATED($C$22,$C197),IF(_xll.TM1RPTELLEV($C$22,$C197)&lt;=3,_xll.TM1RPTELLEV($C$22,$C197),"D"),"N")</f>
        <v>1</v>
      </c>
      <c r="B197" s="8" t="s">
        <v>72</v>
      </c>
      <c r="C197" s="39" t="s">
        <v>38</v>
      </c>
      <c r="D197" s="34" t="str">
        <f ca="1">_xll.DBRW($B$9,$C$14,$C$15,D$20,D$19,$C$16,$C197,$B197,D$21)</f>
        <v/>
      </c>
      <c r="E197" s="34" t="str">
        <f ca="1">_xll.DBRW($B$9,$C$14,$C$15,E$20,D$19,$C$16,$C197,$B197,E$21)</f>
        <v/>
      </c>
      <c r="F197" s="34" t="str">
        <f ca="1">_xll.DBRW($B$9,$C$14,$C$15,F$20,F$19,$C$16,$C197,$B197,F$21)</f>
        <v/>
      </c>
      <c r="G197" s="34" t="str">
        <f ca="1">_xll.DBRW($B$9,$C$14,$C$15,G$20,F$19,$C$16,$C197,$B197,G$21)</f>
        <v/>
      </c>
      <c r="H197" s="34" t="str">
        <f ca="1">_xll.DBRW($B$9,$C$14,$C$15,H$20,H$19,$C$16,$C197,$B197,H$21)</f>
        <v/>
      </c>
      <c r="I197" s="34" t="str">
        <f ca="1">_xll.DBRW($B$9,$C$14,$C$15,I$20,H$19,$C$16,$C197,$B197,I$21)</f>
        <v/>
      </c>
      <c r="J197" s="34" t="str">
        <f ca="1">_xll.DBRW($B$9,$C$14,$C$15,J$20,J$19,$C$16,$C197,$B197,J$21)</f>
        <v/>
      </c>
      <c r="K197" s="34" t="str">
        <f ca="1">_xll.DBRW($B$9,$C$14,$C$15,K$20,J$19,$C$16,$C197,$B197,K$21)</f>
        <v/>
      </c>
      <c r="L197" s="34" t="str">
        <f ca="1">_xll.DBRW($B$9,$C$14,$C$15,L$20,L$19,$C$16,$C197,$B197,L$21)</f>
        <v/>
      </c>
      <c r="M197" s="34" t="str">
        <f ca="1">_xll.DBRW($B$9,$C$14,$C$15,M$20,L$19,$C$16,$C197,$B197,M$21)</f>
        <v/>
      </c>
      <c r="N197" s="34" t="str">
        <f ca="1">_xll.DBRW($B$9,$C$14,$C$15,N$20,N$19,$C$16,$C197,$B197,N$21)</f>
        <v/>
      </c>
      <c r="O197" s="34" t="str">
        <f ca="1">_xll.DBRW($B$9,$C$14,$C$15,O$20,N$19,$C$16,$C197,$B197,O$21)</f>
        <v/>
      </c>
      <c r="P197" s="34" t="str">
        <f ca="1">_xll.DBRW($B$9,$C$14,$C$15,P$20,$P$19,$C$16,$C197,$B197,P$21)</f>
        <v/>
      </c>
      <c r="Q197" s="34" t="str">
        <f ca="1">_xll.DBRW($B$9,$C$14,$C$15,Q$20,$P$19,$C$16,$C197,$B197,Q$21)</f>
        <v/>
      </c>
    </row>
    <row r="198" spans="1:17" x14ac:dyDescent="0.25">
      <c r="A198">
        <f ca="1">IF(_xll.TM1RPTELISCONSOLIDATED($C$22,$C198),IF(_xll.TM1RPTELLEV($C$22,$C198)&lt;=3,_xll.TM1RPTELLEV($C$22,$C198),"D"),"N")</f>
        <v>1</v>
      </c>
      <c r="B198" s="8" t="s">
        <v>72</v>
      </c>
      <c r="C198" s="39" t="s">
        <v>39</v>
      </c>
      <c r="D198" s="34" t="str">
        <f ca="1">_xll.DBRW($B$9,$C$14,$C$15,D$20,D$19,$C$16,$C198,$B198,D$21)</f>
        <v/>
      </c>
      <c r="E198" s="34" t="str">
        <f ca="1">_xll.DBRW($B$9,$C$14,$C$15,E$20,D$19,$C$16,$C198,$B198,E$21)</f>
        <v/>
      </c>
      <c r="F198" s="34" t="str">
        <f ca="1">_xll.DBRW($B$9,$C$14,$C$15,F$20,F$19,$C$16,$C198,$B198,F$21)</f>
        <v/>
      </c>
      <c r="G198" s="34" t="str">
        <f ca="1">_xll.DBRW($B$9,$C$14,$C$15,G$20,F$19,$C$16,$C198,$B198,G$21)</f>
        <v/>
      </c>
      <c r="H198" s="34" t="str">
        <f ca="1">_xll.DBRW($B$9,$C$14,$C$15,H$20,H$19,$C$16,$C198,$B198,H$21)</f>
        <v/>
      </c>
      <c r="I198" s="34" t="str">
        <f ca="1">_xll.DBRW($B$9,$C$14,$C$15,I$20,H$19,$C$16,$C198,$B198,I$21)</f>
        <v/>
      </c>
      <c r="J198" s="34" t="str">
        <f ca="1">_xll.DBRW($B$9,$C$14,$C$15,J$20,J$19,$C$16,$C198,$B198,J$21)</f>
        <v/>
      </c>
      <c r="K198" s="34" t="str">
        <f ca="1">_xll.DBRW($B$9,$C$14,$C$15,K$20,J$19,$C$16,$C198,$B198,K$21)</f>
        <v/>
      </c>
      <c r="L198" s="34" t="str">
        <f ca="1">_xll.DBRW($B$9,$C$14,$C$15,L$20,L$19,$C$16,$C198,$B198,L$21)</f>
        <v/>
      </c>
      <c r="M198" s="34" t="str">
        <f ca="1">_xll.DBRW($B$9,$C$14,$C$15,M$20,L$19,$C$16,$C198,$B198,M$21)</f>
        <v/>
      </c>
      <c r="N198" s="34" t="str">
        <f ca="1">_xll.DBRW($B$9,$C$14,$C$15,N$20,N$19,$C$16,$C198,$B198,N$21)</f>
        <v/>
      </c>
      <c r="O198" s="34" t="str">
        <f ca="1">_xll.DBRW($B$9,$C$14,$C$15,O$20,N$19,$C$16,$C198,$B198,O$21)</f>
        <v/>
      </c>
      <c r="P198" s="34" t="str">
        <f ca="1">_xll.DBRW($B$9,$C$14,$C$15,P$20,$P$19,$C$16,$C198,$B198,P$21)</f>
        <v/>
      </c>
      <c r="Q198" s="34" t="str">
        <f ca="1">_xll.DBRW($B$9,$C$14,$C$15,Q$20,$P$19,$C$16,$C198,$B198,Q$21)</f>
        <v/>
      </c>
    </row>
    <row r="199" spans="1:17" x14ac:dyDescent="0.25">
      <c r="A199">
        <f ca="1">IF(_xll.TM1RPTELISCONSOLIDATED($C$22,$C199),IF(_xll.TM1RPTELLEV($C$22,$C199)&lt;=3,_xll.TM1RPTELLEV($C$22,$C199),"D"),"N")</f>
        <v>1</v>
      </c>
      <c r="B199" s="8" t="s">
        <v>72</v>
      </c>
      <c r="C199" s="39" t="s">
        <v>40</v>
      </c>
      <c r="D199" s="34" t="str">
        <f ca="1">_xll.DBRW($B$9,$C$14,$C$15,D$20,D$19,$C$16,$C199,$B199,D$21)</f>
        <v/>
      </c>
      <c r="E199" s="34" t="str">
        <f ca="1">_xll.DBRW($B$9,$C$14,$C$15,E$20,D$19,$C$16,$C199,$B199,E$21)</f>
        <v/>
      </c>
      <c r="F199" s="34" t="str">
        <f ca="1">_xll.DBRW($B$9,$C$14,$C$15,F$20,F$19,$C$16,$C199,$B199,F$21)</f>
        <v/>
      </c>
      <c r="G199" s="34" t="str">
        <f ca="1">_xll.DBRW($B$9,$C$14,$C$15,G$20,F$19,$C$16,$C199,$B199,G$21)</f>
        <v/>
      </c>
      <c r="H199" s="34" t="str">
        <f ca="1">_xll.DBRW($B$9,$C$14,$C$15,H$20,H$19,$C$16,$C199,$B199,H$21)</f>
        <v/>
      </c>
      <c r="I199" s="34" t="str">
        <f ca="1">_xll.DBRW($B$9,$C$14,$C$15,I$20,H$19,$C$16,$C199,$B199,I$21)</f>
        <v/>
      </c>
      <c r="J199" s="34" t="str">
        <f ca="1">_xll.DBRW($B$9,$C$14,$C$15,J$20,J$19,$C$16,$C199,$B199,J$21)</f>
        <v/>
      </c>
      <c r="K199" s="34" t="str">
        <f ca="1">_xll.DBRW($B$9,$C$14,$C$15,K$20,J$19,$C$16,$C199,$B199,K$21)</f>
        <v/>
      </c>
      <c r="L199" s="34" t="str">
        <f ca="1">_xll.DBRW($B$9,$C$14,$C$15,L$20,L$19,$C$16,$C199,$B199,L$21)</f>
        <v/>
      </c>
      <c r="M199" s="34" t="str">
        <f ca="1">_xll.DBRW($B$9,$C$14,$C$15,M$20,L$19,$C$16,$C199,$B199,M$21)</f>
        <v/>
      </c>
      <c r="N199" s="34" t="str">
        <f ca="1">_xll.DBRW($B$9,$C$14,$C$15,N$20,N$19,$C$16,$C199,$B199,N$21)</f>
        <v/>
      </c>
      <c r="O199" s="34" t="str">
        <f ca="1">_xll.DBRW($B$9,$C$14,$C$15,O$20,N$19,$C$16,$C199,$B199,O$21)</f>
        <v/>
      </c>
      <c r="P199" s="34" t="str">
        <f ca="1">_xll.DBRW($B$9,$C$14,$C$15,P$20,$P$19,$C$16,$C199,$B199,P$21)</f>
        <v/>
      </c>
      <c r="Q199" s="34" t="str">
        <f ca="1">_xll.DBRW($B$9,$C$14,$C$15,Q$20,$P$19,$C$16,$C199,$B199,Q$21)</f>
        <v/>
      </c>
    </row>
    <row r="200" spans="1:17" x14ac:dyDescent="0.25">
      <c r="A200">
        <f ca="1">IF(_xll.TM1RPTELISCONSOLIDATED($C$22,$C200),IF(_xll.TM1RPTELLEV($C$22,$C200)&lt;=3,_xll.TM1RPTELLEV($C$22,$C200),"D"),"N")</f>
        <v>1</v>
      </c>
      <c r="B200" s="8" t="s">
        <v>72</v>
      </c>
      <c r="C200" s="39" t="s">
        <v>41</v>
      </c>
      <c r="D200" s="34" t="str">
        <f ca="1">_xll.DBRW($B$9,$C$14,$C$15,D$20,D$19,$C$16,$C200,$B200,D$21)</f>
        <v/>
      </c>
      <c r="E200" s="34" t="str">
        <f ca="1">_xll.DBRW($B$9,$C$14,$C$15,E$20,D$19,$C$16,$C200,$B200,E$21)</f>
        <v/>
      </c>
      <c r="F200" s="34" t="str">
        <f ca="1">_xll.DBRW($B$9,$C$14,$C$15,F$20,F$19,$C$16,$C200,$B200,F$21)</f>
        <v/>
      </c>
      <c r="G200" s="34" t="str">
        <f ca="1">_xll.DBRW($B$9,$C$14,$C$15,G$20,F$19,$C$16,$C200,$B200,G$21)</f>
        <v/>
      </c>
      <c r="H200" s="34" t="str">
        <f ca="1">_xll.DBRW($B$9,$C$14,$C$15,H$20,H$19,$C$16,$C200,$B200,H$21)</f>
        <v/>
      </c>
      <c r="I200" s="34" t="str">
        <f ca="1">_xll.DBRW($B$9,$C$14,$C$15,I$20,H$19,$C$16,$C200,$B200,I$21)</f>
        <v/>
      </c>
      <c r="J200" s="34" t="str">
        <f ca="1">_xll.DBRW($B$9,$C$14,$C$15,J$20,J$19,$C$16,$C200,$B200,J$21)</f>
        <v/>
      </c>
      <c r="K200" s="34" t="str">
        <f ca="1">_xll.DBRW($B$9,$C$14,$C$15,K$20,J$19,$C$16,$C200,$B200,K$21)</f>
        <v/>
      </c>
      <c r="L200" s="34" t="str">
        <f ca="1">_xll.DBRW($B$9,$C$14,$C$15,L$20,L$19,$C$16,$C200,$B200,L$21)</f>
        <v/>
      </c>
      <c r="M200" s="34" t="str">
        <f ca="1">_xll.DBRW($B$9,$C$14,$C$15,M$20,L$19,$C$16,$C200,$B200,M$21)</f>
        <v/>
      </c>
      <c r="N200" s="34" t="str">
        <f ca="1">_xll.DBRW($B$9,$C$14,$C$15,N$20,N$19,$C$16,$C200,$B200,N$21)</f>
        <v/>
      </c>
      <c r="O200" s="34" t="str">
        <f ca="1">_xll.DBRW($B$9,$C$14,$C$15,O$20,N$19,$C$16,$C200,$B200,O$21)</f>
        <v/>
      </c>
      <c r="P200" s="34" t="str">
        <f ca="1">_xll.DBRW($B$9,$C$14,$C$15,P$20,$P$19,$C$16,$C200,$B200,P$21)</f>
        <v/>
      </c>
      <c r="Q200" s="34" t="str">
        <f ca="1">_xll.DBRW($B$9,$C$14,$C$15,Q$20,$P$19,$C$16,$C200,$B200,Q$21)</f>
        <v/>
      </c>
    </row>
    <row r="201" spans="1:17" x14ac:dyDescent="0.25">
      <c r="A201">
        <f ca="1">IF(_xll.TM1RPTELISCONSOLIDATED($C$22,$C201),IF(_xll.TM1RPTELLEV($C$22,$C201)&lt;=3,_xll.TM1RPTELLEV($C$22,$C201),"D"),"N")</f>
        <v>1</v>
      </c>
      <c r="B201" s="8" t="s">
        <v>72</v>
      </c>
      <c r="C201" s="39" t="s">
        <v>42</v>
      </c>
      <c r="D201" s="34" t="str">
        <f ca="1">_xll.DBRW($B$9,$C$14,$C$15,D$20,D$19,$C$16,$C201,$B201,D$21)</f>
        <v/>
      </c>
      <c r="E201" s="34" t="str">
        <f ca="1">_xll.DBRW($B$9,$C$14,$C$15,E$20,D$19,$C$16,$C201,$B201,E$21)</f>
        <v/>
      </c>
      <c r="F201" s="34" t="str">
        <f ca="1">_xll.DBRW($B$9,$C$14,$C$15,F$20,F$19,$C$16,$C201,$B201,F$21)</f>
        <v/>
      </c>
      <c r="G201" s="34" t="str">
        <f ca="1">_xll.DBRW($B$9,$C$14,$C$15,G$20,F$19,$C$16,$C201,$B201,G$21)</f>
        <v/>
      </c>
      <c r="H201" s="34" t="str">
        <f ca="1">_xll.DBRW($B$9,$C$14,$C$15,H$20,H$19,$C$16,$C201,$B201,H$21)</f>
        <v/>
      </c>
      <c r="I201" s="34" t="str">
        <f ca="1">_xll.DBRW($B$9,$C$14,$C$15,I$20,H$19,$C$16,$C201,$B201,I$21)</f>
        <v/>
      </c>
      <c r="J201" s="34" t="str">
        <f ca="1">_xll.DBRW($B$9,$C$14,$C$15,J$20,J$19,$C$16,$C201,$B201,J$21)</f>
        <v/>
      </c>
      <c r="K201" s="34" t="str">
        <f ca="1">_xll.DBRW($B$9,$C$14,$C$15,K$20,J$19,$C$16,$C201,$B201,K$21)</f>
        <v/>
      </c>
      <c r="L201" s="34" t="str">
        <f ca="1">_xll.DBRW($B$9,$C$14,$C$15,L$20,L$19,$C$16,$C201,$B201,L$21)</f>
        <v/>
      </c>
      <c r="M201" s="34" t="str">
        <f ca="1">_xll.DBRW($B$9,$C$14,$C$15,M$20,L$19,$C$16,$C201,$B201,M$21)</f>
        <v/>
      </c>
      <c r="N201" s="34" t="str">
        <f ca="1">_xll.DBRW($B$9,$C$14,$C$15,N$20,N$19,$C$16,$C201,$B201,N$21)</f>
        <v/>
      </c>
      <c r="O201" s="34" t="str">
        <f ca="1">_xll.DBRW($B$9,$C$14,$C$15,O$20,N$19,$C$16,$C201,$B201,O$21)</f>
        <v/>
      </c>
      <c r="P201" s="34" t="str">
        <f ca="1">_xll.DBRW($B$9,$C$14,$C$15,P$20,$P$19,$C$16,$C201,$B201,P$21)</f>
        <v/>
      </c>
      <c r="Q201" s="34" t="str">
        <f ca="1">_xll.DBRW($B$9,$C$14,$C$15,Q$20,$P$19,$C$16,$C201,$B201,Q$21)</f>
        <v/>
      </c>
    </row>
    <row r="202" spans="1:17" x14ac:dyDescent="0.25">
      <c r="A202">
        <f ca="1">IF(_xll.TM1RPTELISCONSOLIDATED($C$22,$C202),IF(_xll.TM1RPTELLEV($C$22,$C202)&lt;=3,_xll.TM1RPTELLEV($C$22,$C202),"D"),"N")</f>
        <v>0</v>
      </c>
      <c r="B202" s="5" t="s">
        <v>73</v>
      </c>
      <c r="C202" s="38" t="s">
        <v>35</v>
      </c>
      <c r="D202" s="33" t="str">
        <f ca="1">_xll.DBRW($B$9,$C$14,$C$15,D$20,D$19,$C$16,$C202,$B202,D$21)</f>
        <v/>
      </c>
      <c r="E202" s="33" t="str">
        <f ca="1">_xll.DBRW($B$9,$C$14,$C$15,E$20,D$19,$C$16,$C202,$B202,E$21)</f>
        <v/>
      </c>
      <c r="F202" s="33" t="str">
        <f ca="1">_xll.DBRW($B$9,$C$14,$C$15,F$20,F$19,$C$16,$C202,$B202,F$21)</f>
        <v/>
      </c>
      <c r="G202" s="33" t="str">
        <f ca="1">_xll.DBRW($B$9,$C$14,$C$15,G$20,F$19,$C$16,$C202,$B202,G$21)</f>
        <v/>
      </c>
      <c r="H202" s="33" t="str">
        <f ca="1">_xll.DBRW($B$9,$C$14,$C$15,H$20,H$19,$C$16,$C202,$B202,H$21)</f>
        <v/>
      </c>
      <c r="I202" s="33" t="str">
        <f ca="1">_xll.DBRW($B$9,$C$14,$C$15,I$20,H$19,$C$16,$C202,$B202,I$21)</f>
        <v/>
      </c>
      <c r="J202" s="33" t="str">
        <f ca="1">_xll.DBRW($B$9,$C$14,$C$15,J$20,J$19,$C$16,$C202,$B202,J$21)</f>
        <v/>
      </c>
      <c r="K202" s="33" t="str">
        <f ca="1">_xll.DBRW($B$9,$C$14,$C$15,K$20,J$19,$C$16,$C202,$B202,K$21)</f>
        <v/>
      </c>
      <c r="L202" s="33" t="str">
        <f ca="1">_xll.DBRW($B$9,$C$14,$C$15,L$20,L$19,$C$16,$C202,$B202,L$21)</f>
        <v/>
      </c>
      <c r="M202" s="33" t="str">
        <f ca="1">_xll.DBRW($B$9,$C$14,$C$15,M$20,L$19,$C$16,$C202,$B202,M$21)</f>
        <v/>
      </c>
      <c r="N202" s="33" t="str">
        <f ca="1">_xll.DBRW($B$9,$C$14,$C$15,N$20,N$19,$C$16,$C202,$B202,N$21)</f>
        <v/>
      </c>
      <c r="O202" s="33" t="str">
        <f ca="1">_xll.DBRW($B$9,$C$14,$C$15,O$20,N$19,$C$16,$C202,$B202,O$21)</f>
        <v/>
      </c>
      <c r="P202" s="33" t="str">
        <f ca="1">_xll.DBRW($B$9,$C$14,$C$15,P$20,$P$19,$C$16,$C202,$B202,P$21)</f>
        <v/>
      </c>
      <c r="Q202" s="33" t="str">
        <f ca="1">_xll.DBRW($B$9,$C$14,$C$15,Q$20,$P$19,$C$16,$C202,$B202,Q$21)</f>
        <v/>
      </c>
    </row>
    <row r="203" spans="1:17" x14ac:dyDescent="0.25">
      <c r="A203">
        <f ca="1">IF(_xll.TM1RPTELISCONSOLIDATED($C$22,$C203),IF(_xll.TM1RPTELLEV($C$22,$C203)&lt;=3,_xll.TM1RPTELLEV($C$22,$C203),"D"),"N")</f>
        <v>1</v>
      </c>
      <c r="B203" s="8" t="s">
        <v>73</v>
      </c>
      <c r="C203" s="39" t="s">
        <v>43</v>
      </c>
      <c r="D203" s="34" t="str">
        <f ca="1">_xll.DBRW($B$9,$C$14,$C$15,D$20,D$19,$C$16,$C203,$B203,D$21)</f>
        <v/>
      </c>
      <c r="E203" s="34" t="str">
        <f ca="1">_xll.DBRW($B$9,$C$14,$C$15,E$20,D$19,$C$16,$C203,$B203,E$21)</f>
        <v/>
      </c>
      <c r="F203" s="34" t="str">
        <f ca="1">_xll.DBRW($B$9,$C$14,$C$15,F$20,F$19,$C$16,$C203,$B203,F$21)</f>
        <v/>
      </c>
      <c r="G203" s="34" t="str">
        <f ca="1">_xll.DBRW($B$9,$C$14,$C$15,G$20,F$19,$C$16,$C203,$B203,G$21)</f>
        <v/>
      </c>
      <c r="H203" s="34" t="str">
        <f ca="1">_xll.DBRW($B$9,$C$14,$C$15,H$20,H$19,$C$16,$C203,$B203,H$21)</f>
        <v/>
      </c>
      <c r="I203" s="34" t="str">
        <f ca="1">_xll.DBRW($B$9,$C$14,$C$15,I$20,H$19,$C$16,$C203,$B203,I$21)</f>
        <v/>
      </c>
      <c r="J203" s="34" t="str">
        <f ca="1">_xll.DBRW($B$9,$C$14,$C$15,J$20,J$19,$C$16,$C203,$B203,J$21)</f>
        <v/>
      </c>
      <c r="K203" s="34" t="str">
        <f ca="1">_xll.DBRW($B$9,$C$14,$C$15,K$20,J$19,$C$16,$C203,$B203,K$21)</f>
        <v/>
      </c>
      <c r="L203" s="34" t="str">
        <f ca="1">_xll.DBRW($B$9,$C$14,$C$15,L$20,L$19,$C$16,$C203,$B203,L$21)</f>
        <v/>
      </c>
      <c r="M203" s="34" t="str">
        <f ca="1">_xll.DBRW($B$9,$C$14,$C$15,M$20,L$19,$C$16,$C203,$B203,M$21)</f>
        <v/>
      </c>
      <c r="N203" s="34" t="str">
        <f ca="1">_xll.DBRW($B$9,$C$14,$C$15,N$20,N$19,$C$16,$C203,$B203,N$21)</f>
        <v/>
      </c>
      <c r="O203" s="34" t="str">
        <f ca="1">_xll.DBRW($B$9,$C$14,$C$15,O$20,N$19,$C$16,$C203,$B203,O$21)</f>
        <v/>
      </c>
      <c r="P203" s="34" t="str">
        <f ca="1">_xll.DBRW($B$9,$C$14,$C$15,P$20,$P$19,$C$16,$C203,$B203,P$21)</f>
        <v/>
      </c>
      <c r="Q203" s="34" t="str">
        <f ca="1">_xll.DBRW($B$9,$C$14,$C$15,Q$20,$P$19,$C$16,$C203,$B203,Q$21)</f>
        <v/>
      </c>
    </row>
    <row r="204" spans="1:17" x14ac:dyDescent="0.25">
      <c r="A204">
        <f ca="1">IF(_xll.TM1RPTELISCONSOLIDATED($C$22,$C204),IF(_xll.TM1RPTELLEV($C$22,$C204)&lt;=3,_xll.TM1RPTELLEV($C$22,$C204),"D"),"N")</f>
        <v>1</v>
      </c>
      <c r="B204" s="8" t="s">
        <v>73</v>
      </c>
      <c r="C204" s="39" t="s">
        <v>36</v>
      </c>
      <c r="D204" s="34" t="str">
        <f ca="1">_xll.DBRW($B$9,$C$14,$C$15,D$20,D$19,$C$16,$C204,$B204,D$21)</f>
        <v/>
      </c>
      <c r="E204" s="34" t="str">
        <f ca="1">_xll.DBRW($B$9,$C$14,$C$15,E$20,D$19,$C$16,$C204,$B204,E$21)</f>
        <v/>
      </c>
      <c r="F204" s="34" t="str">
        <f ca="1">_xll.DBRW($B$9,$C$14,$C$15,F$20,F$19,$C$16,$C204,$B204,F$21)</f>
        <v/>
      </c>
      <c r="G204" s="34" t="str">
        <f ca="1">_xll.DBRW($B$9,$C$14,$C$15,G$20,F$19,$C$16,$C204,$B204,G$21)</f>
        <v/>
      </c>
      <c r="H204" s="34" t="str">
        <f ca="1">_xll.DBRW($B$9,$C$14,$C$15,H$20,H$19,$C$16,$C204,$B204,H$21)</f>
        <v/>
      </c>
      <c r="I204" s="34" t="str">
        <f ca="1">_xll.DBRW($B$9,$C$14,$C$15,I$20,H$19,$C$16,$C204,$B204,I$21)</f>
        <v/>
      </c>
      <c r="J204" s="34" t="str">
        <f ca="1">_xll.DBRW($B$9,$C$14,$C$15,J$20,J$19,$C$16,$C204,$B204,J$21)</f>
        <v/>
      </c>
      <c r="K204" s="34" t="str">
        <f ca="1">_xll.DBRW($B$9,$C$14,$C$15,K$20,J$19,$C$16,$C204,$B204,K$21)</f>
        <v/>
      </c>
      <c r="L204" s="34" t="str">
        <f ca="1">_xll.DBRW($B$9,$C$14,$C$15,L$20,L$19,$C$16,$C204,$B204,L$21)</f>
        <v/>
      </c>
      <c r="M204" s="34" t="str">
        <f ca="1">_xll.DBRW($B$9,$C$14,$C$15,M$20,L$19,$C$16,$C204,$B204,M$21)</f>
        <v/>
      </c>
      <c r="N204" s="34" t="str">
        <f ca="1">_xll.DBRW($B$9,$C$14,$C$15,N$20,N$19,$C$16,$C204,$B204,N$21)</f>
        <v/>
      </c>
      <c r="O204" s="34" t="str">
        <f ca="1">_xll.DBRW($B$9,$C$14,$C$15,O$20,N$19,$C$16,$C204,$B204,O$21)</f>
        <v/>
      </c>
      <c r="P204" s="34" t="str">
        <f ca="1">_xll.DBRW($B$9,$C$14,$C$15,P$20,$P$19,$C$16,$C204,$B204,P$21)</f>
        <v/>
      </c>
      <c r="Q204" s="34" t="str">
        <f ca="1">_xll.DBRW($B$9,$C$14,$C$15,Q$20,$P$19,$C$16,$C204,$B204,Q$21)</f>
        <v/>
      </c>
    </row>
    <row r="205" spans="1:17" x14ac:dyDescent="0.25">
      <c r="A205">
        <f ca="1">IF(_xll.TM1RPTELISCONSOLIDATED($C$22,$C205),IF(_xll.TM1RPTELLEV($C$22,$C205)&lt;=3,_xll.TM1RPTELLEV($C$22,$C205),"D"),"N")</f>
        <v>1</v>
      </c>
      <c r="B205" s="8" t="s">
        <v>73</v>
      </c>
      <c r="C205" s="39" t="s">
        <v>37</v>
      </c>
      <c r="D205" s="34" t="str">
        <f ca="1">_xll.DBRW($B$9,$C$14,$C$15,D$20,D$19,$C$16,$C205,$B205,D$21)</f>
        <v/>
      </c>
      <c r="E205" s="34" t="str">
        <f ca="1">_xll.DBRW($B$9,$C$14,$C$15,E$20,D$19,$C$16,$C205,$B205,E$21)</f>
        <v/>
      </c>
      <c r="F205" s="34" t="str">
        <f ca="1">_xll.DBRW($B$9,$C$14,$C$15,F$20,F$19,$C$16,$C205,$B205,F$21)</f>
        <v/>
      </c>
      <c r="G205" s="34" t="str">
        <f ca="1">_xll.DBRW($B$9,$C$14,$C$15,G$20,F$19,$C$16,$C205,$B205,G$21)</f>
        <v/>
      </c>
      <c r="H205" s="34" t="str">
        <f ca="1">_xll.DBRW($B$9,$C$14,$C$15,H$20,H$19,$C$16,$C205,$B205,H$21)</f>
        <v/>
      </c>
      <c r="I205" s="34" t="str">
        <f ca="1">_xll.DBRW($B$9,$C$14,$C$15,I$20,H$19,$C$16,$C205,$B205,I$21)</f>
        <v/>
      </c>
      <c r="J205" s="34" t="str">
        <f ca="1">_xll.DBRW($B$9,$C$14,$C$15,J$20,J$19,$C$16,$C205,$B205,J$21)</f>
        <v/>
      </c>
      <c r="K205" s="34" t="str">
        <f ca="1">_xll.DBRW($B$9,$C$14,$C$15,K$20,J$19,$C$16,$C205,$B205,K$21)</f>
        <v/>
      </c>
      <c r="L205" s="34" t="str">
        <f ca="1">_xll.DBRW($B$9,$C$14,$C$15,L$20,L$19,$C$16,$C205,$B205,L$21)</f>
        <v/>
      </c>
      <c r="M205" s="34" t="str">
        <f ca="1">_xll.DBRW($B$9,$C$14,$C$15,M$20,L$19,$C$16,$C205,$B205,M$21)</f>
        <v/>
      </c>
      <c r="N205" s="34" t="str">
        <f ca="1">_xll.DBRW($B$9,$C$14,$C$15,N$20,N$19,$C$16,$C205,$B205,N$21)</f>
        <v/>
      </c>
      <c r="O205" s="34" t="str">
        <f ca="1">_xll.DBRW($B$9,$C$14,$C$15,O$20,N$19,$C$16,$C205,$B205,O$21)</f>
        <v/>
      </c>
      <c r="P205" s="34" t="str">
        <f ca="1">_xll.DBRW($B$9,$C$14,$C$15,P$20,$P$19,$C$16,$C205,$B205,P$21)</f>
        <v/>
      </c>
      <c r="Q205" s="34" t="str">
        <f ca="1">_xll.DBRW($B$9,$C$14,$C$15,Q$20,$P$19,$C$16,$C205,$B205,Q$21)</f>
        <v/>
      </c>
    </row>
    <row r="206" spans="1:17" x14ac:dyDescent="0.25">
      <c r="A206">
        <f ca="1">IF(_xll.TM1RPTELISCONSOLIDATED($C$22,$C206),IF(_xll.TM1RPTELLEV($C$22,$C206)&lt;=3,_xll.TM1RPTELLEV($C$22,$C206),"D"),"N")</f>
        <v>1</v>
      </c>
      <c r="B206" s="8" t="s">
        <v>73</v>
      </c>
      <c r="C206" s="39" t="s">
        <v>38</v>
      </c>
      <c r="D206" s="34" t="str">
        <f ca="1">_xll.DBRW($B$9,$C$14,$C$15,D$20,D$19,$C$16,$C206,$B206,D$21)</f>
        <v/>
      </c>
      <c r="E206" s="34" t="str">
        <f ca="1">_xll.DBRW($B$9,$C$14,$C$15,E$20,D$19,$C$16,$C206,$B206,E$21)</f>
        <v/>
      </c>
      <c r="F206" s="34" t="str">
        <f ca="1">_xll.DBRW($B$9,$C$14,$C$15,F$20,F$19,$C$16,$C206,$B206,F$21)</f>
        <v/>
      </c>
      <c r="G206" s="34" t="str">
        <f ca="1">_xll.DBRW($B$9,$C$14,$C$15,G$20,F$19,$C$16,$C206,$B206,G$21)</f>
        <v/>
      </c>
      <c r="H206" s="34" t="str">
        <f ca="1">_xll.DBRW($B$9,$C$14,$C$15,H$20,H$19,$C$16,$C206,$B206,H$21)</f>
        <v/>
      </c>
      <c r="I206" s="34" t="str">
        <f ca="1">_xll.DBRW($B$9,$C$14,$C$15,I$20,H$19,$C$16,$C206,$B206,I$21)</f>
        <v/>
      </c>
      <c r="J206" s="34" t="str">
        <f ca="1">_xll.DBRW($B$9,$C$14,$C$15,J$20,J$19,$C$16,$C206,$B206,J$21)</f>
        <v/>
      </c>
      <c r="K206" s="34" t="str">
        <f ca="1">_xll.DBRW($B$9,$C$14,$C$15,K$20,J$19,$C$16,$C206,$B206,K$21)</f>
        <v/>
      </c>
      <c r="L206" s="34" t="str">
        <f ca="1">_xll.DBRW($B$9,$C$14,$C$15,L$20,L$19,$C$16,$C206,$B206,L$21)</f>
        <v/>
      </c>
      <c r="M206" s="34" t="str">
        <f ca="1">_xll.DBRW($B$9,$C$14,$C$15,M$20,L$19,$C$16,$C206,$B206,M$21)</f>
        <v/>
      </c>
      <c r="N206" s="34" t="str">
        <f ca="1">_xll.DBRW($B$9,$C$14,$C$15,N$20,N$19,$C$16,$C206,$B206,N$21)</f>
        <v/>
      </c>
      <c r="O206" s="34" t="str">
        <f ca="1">_xll.DBRW($B$9,$C$14,$C$15,O$20,N$19,$C$16,$C206,$B206,O$21)</f>
        <v/>
      </c>
      <c r="P206" s="34" t="str">
        <f ca="1">_xll.DBRW($B$9,$C$14,$C$15,P$20,$P$19,$C$16,$C206,$B206,P$21)</f>
        <v/>
      </c>
      <c r="Q206" s="34" t="str">
        <f ca="1">_xll.DBRW($B$9,$C$14,$C$15,Q$20,$P$19,$C$16,$C206,$B206,Q$21)</f>
        <v/>
      </c>
    </row>
    <row r="207" spans="1:17" x14ac:dyDescent="0.25">
      <c r="A207">
        <f ca="1">IF(_xll.TM1RPTELISCONSOLIDATED($C$22,$C207),IF(_xll.TM1RPTELLEV($C$22,$C207)&lt;=3,_xll.TM1RPTELLEV($C$22,$C207),"D"),"N")</f>
        <v>1</v>
      </c>
      <c r="B207" s="8" t="s">
        <v>73</v>
      </c>
      <c r="C207" s="39" t="s">
        <v>39</v>
      </c>
      <c r="D207" s="34" t="str">
        <f ca="1">_xll.DBRW($B$9,$C$14,$C$15,D$20,D$19,$C$16,$C207,$B207,D$21)</f>
        <v/>
      </c>
      <c r="E207" s="34" t="str">
        <f ca="1">_xll.DBRW($B$9,$C$14,$C$15,E$20,D$19,$C$16,$C207,$B207,E$21)</f>
        <v/>
      </c>
      <c r="F207" s="34" t="str">
        <f ca="1">_xll.DBRW($B$9,$C$14,$C$15,F$20,F$19,$C$16,$C207,$B207,F$21)</f>
        <v/>
      </c>
      <c r="G207" s="34" t="str">
        <f ca="1">_xll.DBRW($B$9,$C$14,$C$15,G$20,F$19,$C$16,$C207,$B207,G$21)</f>
        <v/>
      </c>
      <c r="H207" s="34" t="str">
        <f ca="1">_xll.DBRW($B$9,$C$14,$C$15,H$20,H$19,$C$16,$C207,$B207,H$21)</f>
        <v/>
      </c>
      <c r="I207" s="34" t="str">
        <f ca="1">_xll.DBRW($B$9,$C$14,$C$15,I$20,H$19,$C$16,$C207,$B207,I$21)</f>
        <v/>
      </c>
      <c r="J207" s="34" t="str">
        <f ca="1">_xll.DBRW($B$9,$C$14,$C$15,J$20,J$19,$C$16,$C207,$B207,J$21)</f>
        <v/>
      </c>
      <c r="K207" s="34" t="str">
        <f ca="1">_xll.DBRW($B$9,$C$14,$C$15,K$20,J$19,$C$16,$C207,$B207,K$21)</f>
        <v/>
      </c>
      <c r="L207" s="34" t="str">
        <f ca="1">_xll.DBRW($B$9,$C$14,$C$15,L$20,L$19,$C$16,$C207,$B207,L$21)</f>
        <v/>
      </c>
      <c r="M207" s="34" t="str">
        <f ca="1">_xll.DBRW($B$9,$C$14,$C$15,M$20,L$19,$C$16,$C207,$B207,M$21)</f>
        <v/>
      </c>
      <c r="N207" s="34" t="str">
        <f ca="1">_xll.DBRW($B$9,$C$14,$C$15,N$20,N$19,$C$16,$C207,$B207,N$21)</f>
        <v/>
      </c>
      <c r="O207" s="34" t="str">
        <f ca="1">_xll.DBRW($B$9,$C$14,$C$15,O$20,N$19,$C$16,$C207,$B207,O$21)</f>
        <v/>
      </c>
      <c r="P207" s="34" t="str">
        <f ca="1">_xll.DBRW($B$9,$C$14,$C$15,P$20,$P$19,$C$16,$C207,$B207,P$21)</f>
        <v/>
      </c>
      <c r="Q207" s="34" t="str">
        <f ca="1">_xll.DBRW($B$9,$C$14,$C$15,Q$20,$P$19,$C$16,$C207,$B207,Q$21)</f>
        <v/>
      </c>
    </row>
    <row r="208" spans="1:17" x14ac:dyDescent="0.25">
      <c r="A208">
        <f ca="1">IF(_xll.TM1RPTELISCONSOLIDATED($C$22,$C208),IF(_xll.TM1RPTELLEV($C$22,$C208)&lt;=3,_xll.TM1RPTELLEV($C$22,$C208),"D"),"N")</f>
        <v>1</v>
      </c>
      <c r="B208" s="8" t="s">
        <v>73</v>
      </c>
      <c r="C208" s="39" t="s">
        <v>40</v>
      </c>
      <c r="D208" s="34" t="str">
        <f ca="1">_xll.DBRW($B$9,$C$14,$C$15,D$20,D$19,$C$16,$C208,$B208,D$21)</f>
        <v/>
      </c>
      <c r="E208" s="34" t="str">
        <f ca="1">_xll.DBRW($B$9,$C$14,$C$15,E$20,D$19,$C$16,$C208,$B208,E$21)</f>
        <v/>
      </c>
      <c r="F208" s="34" t="str">
        <f ca="1">_xll.DBRW($B$9,$C$14,$C$15,F$20,F$19,$C$16,$C208,$B208,F$21)</f>
        <v/>
      </c>
      <c r="G208" s="34" t="str">
        <f ca="1">_xll.DBRW($B$9,$C$14,$C$15,G$20,F$19,$C$16,$C208,$B208,G$21)</f>
        <v/>
      </c>
      <c r="H208" s="34" t="str">
        <f ca="1">_xll.DBRW($B$9,$C$14,$C$15,H$20,H$19,$C$16,$C208,$B208,H$21)</f>
        <v/>
      </c>
      <c r="I208" s="34" t="str">
        <f ca="1">_xll.DBRW($B$9,$C$14,$C$15,I$20,H$19,$C$16,$C208,$B208,I$21)</f>
        <v/>
      </c>
      <c r="J208" s="34" t="str">
        <f ca="1">_xll.DBRW($B$9,$C$14,$C$15,J$20,J$19,$C$16,$C208,$B208,J$21)</f>
        <v/>
      </c>
      <c r="K208" s="34" t="str">
        <f ca="1">_xll.DBRW($B$9,$C$14,$C$15,K$20,J$19,$C$16,$C208,$B208,K$21)</f>
        <v/>
      </c>
      <c r="L208" s="34" t="str">
        <f ca="1">_xll.DBRW($B$9,$C$14,$C$15,L$20,L$19,$C$16,$C208,$B208,L$21)</f>
        <v/>
      </c>
      <c r="M208" s="34" t="str">
        <f ca="1">_xll.DBRW($B$9,$C$14,$C$15,M$20,L$19,$C$16,$C208,$B208,M$21)</f>
        <v/>
      </c>
      <c r="N208" s="34" t="str">
        <f ca="1">_xll.DBRW($B$9,$C$14,$C$15,N$20,N$19,$C$16,$C208,$B208,N$21)</f>
        <v/>
      </c>
      <c r="O208" s="34" t="str">
        <f ca="1">_xll.DBRW($B$9,$C$14,$C$15,O$20,N$19,$C$16,$C208,$B208,O$21)</f>
        <v/>
      </c>
      <c r="P208" s="34" t="str">
        <f ca="1">_xll.DBRW($B$9,$C$14,$C$15,P$20,$P$19,$C$16,$C208,$B208,P$21)</f>
        <v/>
      </c>
      <c r="Q208" s="34" t="str">
        <f ca="1">_xll.DBRW($B$9,$C$14,$C$15,Q$20,$P$19,$C$16,$C208,$B208,Q$21)</f>
        <v/>
      </c>
    </row>
    <row r="209" spans="1:17" x14ac:dyDescent="0.25">
      <c r="A209">
        <f ca="1">IF(_xll.TM1RPTELISCONSOLIDATED($C$22,$C209),IF(_xll.TM1RPTELLEV($C$22,$C209)&lt;=3,_xll.TM1RPTELLEV($C$22,$C209),"D"),"N")</f>
        <v>1</v>
      </c>
      <c r="B209" s="8" t="s">
        <v>73</v>
      </c>
      <c r="C209" s="39" t="s">
        <v>41</v>
      </c>
      <c r="D209" s="34" t="str">
        <f ca="1">_xll.DBRW($B$9,$C$14,$C$15,D$20,D$19,$C$16,$C209,$B209,D$21)</f>
        <v/>
      </c>
      <c r="E209" s="34" t="str">
        <f ca="1">_xll.DBRW($B$9,$C$14,$C$15,E$20,D$19,$C$16,$C209,$B209,E$21)</f>
        <v/>
      </c>
      <c r="F209" s="34" t="str">
        <f ca="1">_xll.DBRW($B$9,$C$14,$C$15,F$20,F$19,$C$16,$C209,$B209,F$21)</f>
        <v/>
      </c>
      <c r="G209" s="34" t="str">
        <f ca="1">_xll.DBRW($B$9,$C$14,$C$15,G$20,F$19,$C$16,$C209,$B209,G$21)</f>
        <v/>
      </c>
      <c r="H209" s="34" t="str">
        <f ca="1">_xll.DBRW($B$9,$C$14,$C$15,H$20,H$19,$C$16,$C209,$B209,H$21)</f>
        <v/>
      </c>
      <c r="I209" s="34" t="str">
        <f ca="1">_xll.DBRW($B$9,$C$14,$C$15,I$20,H$19,$C$16,$C209,$B209,I$21)</f>
        <v/>
      </c>
      <c r="J209" s="34" t="str">
        <f ca="1">_xll.DBRW($B$9,$C$14,$C$15,J$20,J$19,$C$16,$C209,$B209,J$21)</f>
        <v/>
      </c>
      <c r="K209" s="34" t="str">
        <f ca="1">_xll.DBRW($B$9,$C$14,$C$15,K$20,J$19,$C$16,$C209,$B209,K$21)</f>
        <v/>
      </c>
      <c r="L209" s="34" t="str">
        <f ca="1">_xll.DBRW($B$9,$C$14,$C$15,L$20,L$19,$C$16,$C209,$B209,L$21)</f>
        <v/>
      </c>
      <c r="M209" s="34" t="str">
        <f ca="1">_xll.DBRW($B$9,$C$14,$C$15,M$20,L$19,$C$16,$C209,$B209,M$21)</f>
        <v/>
      </c>
      <c r="N209" s="34" t="str">
        <f ca="1">_xll.DBRW($B$9,$C$14,$C$15,N$20,N$19,$C$16,$C209,$B209,N$21)</f>
        <v/>
      </c>
      <c r="O209" s="34" t="str">
        <f ca="1">_xll.DBRW($B$9,$C$14,$C$15,O$20,N$19,$C$16,$C209,$B209,O$21)</f>
        <v/>
      </c>
      <c r="P209" s="34" t="str">
        <f ca="1">_xll.DBRW($B$9,$C$14,$C$15,P$20,$P$19,$C$16,$C209,$B209,P$21)</f>
        <v/>
      </c>
      <c r="Q209" s="34" t="str">
        <f ca="1">_xll.DBRW($B$9,$C$14,$C$15,Q$20,$P$19,$C$16,$C209,$B209,Q$21)</f>
        <v/>
      </c>
    </row>
    <row r="210" spans="1:17" x14ac:dyDescent="0.25">
      <c r="A210">
        <f ca="1">IF(_xll.TM1RPTELISCONSOLIDATED($C$22,$C210),IF(_xll.TM1RPTELLEV($C$22,$C210)&lt;=3,_xll.TM1RPTELLEV($C$22,$C210),"D"),"N")</f>
        <v>1</v>
      </c>
      <c r="B210" s="8" t="s">
        <v>73</v>
      </c>
      <c r="C210" s="39" t="s">
        <v>42</v>
      </c>
      <c r="D210" s="34" t="str">
        <f ca="1">_xll.DBRW($B$9,$C$14,$C$15,D$20,D$19,$C$16,$C210,$B210,D$21)</f>
        <v/>
      </c>
      <c r="E210" s="34" t="str">
        <f ca="1">_xll.DBRW($B$9,$C$14,$C$15,E$20,D$19,$C$16,$C210,$B210,E$21)</f>
        <v/>
      </c>
      <c r="F210" s="34" t="str">
        <f ca="1">_xll.DBRW($B$9,$C$14,$C$15,F$20,F$19,$C$16,$C210,$B210,F$21)</f>
        <v/>
      </c>
      <c r="G210" s="34" t="str">
        <f ca="1">_xll.DBRW($B$9,$C$14,$C$15,G$20,F$19,$C$16,$C210,$B210,G$21)</f>
        <v/>
      </c>
      <c r="H210" s="34" t="str">
        <f ca="1">_xll.DBRW($B$9,$C$14,$C$15,H$20,H$19,$C$16,$C210,$B210,H$21)</f>
        <v/>
      </c>
      <c r="I210" s="34" t="str">
        <f ca="1">_xll.DBRW($B$9,$C$14,$C$15,I$20,H$19,$C$16,$C210,$B210,I$21)</f>
        <v/>
      </c>
      <c r="J210" s="34" t="str">
        <f ca="1">_xll.DBRW($B$9,$C$14,$C$15,J$20,J$19,$C$16,$C210,$B210,J$21)</f>
        <v/>
      </c>
      <c r="K210" s="34" t="str">
        <f ca="1">_xll.DBRW($B$9,$C$14,$C$15,K$20,J$19,$C$16,$C210,$B210,K$21)</f>
        <v/>
      </c>
      <c r="L210" s="34" t="str">
        <f ca="1">_xll.DBRW($B$9,$C$14,$C$15,L$20,L$19,$C$16,$C210,$B210,L$21)</f>
        <v/>
      </c>
      <c r="M210" s="34" t="str">
        <f ca="1">_xll.DBRW($B$9,$C$14,$C$15,M$20,L$19,$C$16,$C210,$B210,M$21)</f>
        <v/>
      </c>
      <c r="N210" s="34" t="str">
        <f ca="1">_xll.DBRW($B$9,$C$14,$C$15,N$20,N$19,$C$16,$C210,$B210,N$21)</f>
        <v/>
      </c>
      <c r="O210" s="34" t="str">
        <f ca="1">_xll.DBRW($B$9,$C$14,$C$15,O$20,N$19,$C$16,$C210,$B210,O$21)</f>
        <v/>
      </c>
      <c r="P210" s="34" t="str">
        <f ca="1">_xll.DBRW($B$9,$C$14,$C$15,P$20,$P$19,$C$16,$C210,$B210,P$21)</f>
        <v/>
      </c>
      <c r="Q210" s="34" t="str">
        <f ca="1">_xll.DBRW($B$9,$C$14,$C$15,Q$20,$P$19,$C$16,$C210,$B210,Q$21)</f>
        <v/>
      </c>
    </row>
    <row r="211" spans="1:17" x14ac:dyDescent="0.25">
      <c r="A211">
        <f ca="1">IF(_xll.TM1RPTELISCONSOLIDATED($C$22,$C211),IF(_xll.TM1RPTELLEV($C$22,$C211)&lt;=3,_xll.TM1RPTELLEV($C$22,$C211),"D"),"N")</f>
        <v>0</v>
      </c>
      <c r="B211" s="5" t="s">
        <v>74</v>
      </c>
      <c r="C211" s="38" t="s">
        <v>35</v>
      </c>
      <c r="D211" s="33" t="str">
        <f ca="1">_xll.DBRW($B$9,$C$14,$C$15,D$20,D$19,$C$16,$C211,$B211,D$21)</f>
        <v/>
      </c>
      <c r="E211" s="33" t="str">
        <f ca="1">_xll.DBRW($B$9,$C$14,$C$15,E$20,D$19,$C$16,$C211,$B211,E$21)</f>
        <v/>
      </c>
      <c r="F211" s="33" t="str">
        <f ca="1">_xll.DBRW($B$9,$C$14,$C$15,F$20,F$19,$C$16,$C211,$B211,F$21)</f>
        <v/>
      </c>
      <c r="G211" s="33" t="str">
        <f ca="1">_xll.DBRW($B$9,$C$14,$C$15,G$20,F$19,$C$16,$C211,$B211,G$21)</f>
        <v/>
      </c>
      <c r="H211" s="33" t="str">
        <f ca="1">_xll.DBRW($B$9,$C$14,$C$15,H$20,H$19,$C$16,$C211,$B211,H$21)</f>
        <v/>
      </c>
      <c r="I211" s="33" t="str">
        <f ca="1">_xll.DBRW($B$9,$C$14,$C$15,I$20,H$19,$C$16,$C211,$B211,I$21)</f>
        <v/>
      </c>
      <c r="J211" s="33" t="str">
        <f ca="1">_xll.DBRW($B$9,$C$14,$C$15,J$20,J$19,$C$16,$C211,$B211,J$21)</f>
        <v/>
      </c>
      <c r="K211" s="33" t="str">
        <f ca="1">_xll.DBRW($B$9,$C$14,$C$15,K$20,J$19,$C$16,$C211,$B211,K$21)</f>
        <v/>
      </c>
      <c r="L211" s="33" t="str">
        <f ca="1">_xll.DBRW($B$9,$C$14,$C$15,L$20,L$19,$C$16,$C211,$B211,L$21)</f>
        <v/>
      </c>
      <c r="M211" s="33" t="str">
        <f ca="1">_xll.DBRW($B$9,$C$14,$C$15,M$20,L$19,$C$16,$C211,$B211,M$21)</f>
        <v/>
      </c>
      <c r="N211" s="33" t="str">
        <f ca="1">_xll.DBRW($B$9,$C$14,$C$15,N$20,N$19,$C$16,$C211,$B211,N$21)</f>
        <v/>
      </c>
      <c r="O211" s="33" t="str">
        <f ca="1">_xll.DBRW($B$9,$C$14,$C$15,O$20,N$19,$C$16,$C211,$B211,O$21)</f>
        <v/>
      </c>
      <c r="P211" s="33" t="str">
        <f ca="1">_xll.DBRW($B$9,$C$14,$C$15,P$20,$P$19,$C$16,$C211,$B211,P$21)</f>
        <v/>
      </c>
      <c r="Q211" s="33" t="str">
        <f ca="1">_xll.DBRW($B$9,$C$14,$C$15,Q$20,$P$19,$C$16,$C211,$B211,Q$21)</f>
        <v/>
      </c>
    </row>
    <row r="212" spans="1:17" x14ac:dyDescent="0.25">
      <c r="A212">
        <f ca="1">IF(_xll.TM1RPTELISCONSOLIDATED($C$22,$C212),IF(_xll.TM1RPTELLEV($C$22,$C212)&lt;=3,_xll.TM1RPTELLEV($C$22,$C212),"D"),"N")</f>
        <v>1</v>
      </c>
      <c r="B212" s="8" t="s">
        <v>74</v>
      </c>
      <c r="C212" s="39" t="s">
        <v>43</v>
      </c>
      <c r="D212" s="34" t="str">
        <f ca="1">_xll.DBRW($B$9,$C$14,$C$15,D$20,D$19,$C$16,$C212,$B212,D$21)</f>
        <v/>
      </c>
      <c r="E212" s="34" t="str">
        <f ca="1">_xll.DBRW($B$9,$C$14,$C$15,E$20,D$19,$C$16,$C212,$B212,E$21)</f>
        <v/>
      </c>
      <c r="F212" s="34" t="str">
        <f ca="1">_xll.DBRW($B$9,$C$14,$C$15,F$20,F$19,$C$16,$C212,$B212,F$21)</f>
        <v/>
      </c>
      <c r="G212" s="34" t="str">
        <f ca="1">_xll.DBRW($B$9,$C$14,$C$15,G$20,F$19,$C$16,$C212,$B212,G$21)</f>
        <v/>
      </c>
      <c r="H212" s="34" t="str">
        <f ca="1">_xll.DBRW($B$9,$C$14,$C$15,H$20,H$19,$C$16,$C212,$B212,H$21)</f>
        <v/>
      </c>
      <c r="I212" s="34" t="str">
        <f ca="1">_xll.DBRW($B$9,$C$14,$C$15,I$20,H$19,$C$16,$C212,$B212,I$21)</f>
        <v/>
      </c>
      <c r="J212" s="34" t="str">
        <f ca="1">_xll.DBRW($B$9,$C$14,$C$15,J$20,J$19,$C$16,$C212,$B212,J$21)</f>
        <v/>
      </c>
      <c r="K212" s="34" t="str">
        <f ca="1">_xll.DBRW($B$9,$C$14,$C$15,K$20,J$19,$C$16,$C212,$B212,K$21)</f>
        <v/>
      </c>
      <c r="L212" s="34" t="str">
        <f ca="1">_xll.DBRW($B$9,$C$14,$C$15,L$20,L$19,$C$16,$C212,$B212,L$21)</f>
        <v/>
      </c>
      <c r="M212" s="34" t="str">
        <f ca="1">_xll.DBRW($B$9,$C$14,$C$15,M$20,L$19,$C$16,$C212,$B212,M$21)</f>
        <v/>
      </c>
      <c r="N212" s="34" t="str">
        <f ca="1">_xll.DBRW($B$9,$C$14,$C$15,N$20,N$19,$C$16,$C212,$B212,N$21)</f>
        <v/>
      </c>
      <c r="O212" s="34" t="str">
        <f ca="1">_xll.DBRW($B$9,$C$14,$C$15,O$20,N$19,$C$16,$C212,$B212,O$21)</f>
        <v/>
      </c>
      <c r="P212" s="34" t="str">
        <f ca="1">_xll.DBRW($B$9,$C$14,$C$15,P$20,$P$19,$C$16,$C212,$B212,P$21)</f>
        <v/>
      </c>
      <c r="Q212" s="34" t="str">
        <f ca="1">_xll.DBRW($B$9,$C$14,$C$15,Q$20,$P$19,$C$16,$C212,$B212,Q$21)</f>
        <v/>
      </c>
    </row>
    <row r="213" spans="1:17" x14ac:dyDescent="0.25">
      <c r="A213">
        <f ca="1">IF(_xll.TM1RPTELISCONSOLIDATED($C$22,$C213),IF(_xll.TM1RPTELLEV($C$22,$C213)&lt;=3,_xll.TM1RPTELLEV($C$22,$C213),"D"),"N")</f>
        <v>1</v>
      </c>
      <c r="B213" s="8" t="s">
        <v>74</v>
      </c>
      <c r="C213" s="39" t="s">
        <v>36</v>
      </c>
      <c r="D213" s="34" t="str">
        <f ca="1">_xll.DBRW($B$9,$C$14,$C$15,D$20,D$19,$C$16,$C213,$B213,D$21)</f>
        <v/>
      </c>
      <c r="E213" s="34" t="str">
        <f ca="1">_xll.DBRW($B$9,$C$14,$C$15,E$20,D$19,$C$16,$C213,$B213,E$21)</f>
        <v/>
      </c>
      <c r="F213" s="34" t="str">
        <f ca="1">_xll.DBRW($B$9,$C$14,$C$15,F$20,F$19,$C$16,$C213,$B213,F$21)</f>
        <v/>
      </c>
      <c r="G213" s="34" t="str">
        <f ca="1">_xll.DBRW($B$9,$C$14,$C$15,G$20,F$19,$C$16,$C213,$B213,G$21)</f>
        <v/>
      </c>
      <c r="H213" s="34" t="str">
        <f ca="1">_xll.DBRW($B$9,$C$14,$C$15,H$20,H$19,$C$16,$C213,$B213,H$21)</f>
        <v/>
      </c>
      <c r="I213" s="34" t="str">
        <f ca="1">_xll.DBRW($B$9,$C$14,$C$15,I$20,H$19,$C$16,$C213,$B213,I$21)</f>
        <v/>
      </c>
      <c r="J213" s="34" t="str">
        <f ca="1">_xll.DBRW($B$9,$C$14,$C$15,J$20,J$19,$C$16,$C213,$B213,J$21)</f>
        <v/>
      </c>
      <c r="K213" s="34" t="str">
        <f ca="1">_xll.DBRW($B$9,$C$14,$C$15,K$20,J$19,$C$16,$C213,$B213,K$21)</f>
        <v/>
      </c>
      <c r="L213" s="34" t="str">
        <f ca="1">_xll.DBRW($B$9,$C$14,$C$15,L$20,L$19,$C$16,$C213,$B213,L$21)</f>
        <v/>
      </c>
      <c r="M213" s="34" t="str">
        <f ca="1">_xll.DBRW($B$9,$C$14,$C$15,M$20,L$19,$C$16,$C213,$B213,M$21)</f>
        <v/>
      </c>
      <c r="N213" s="34" t="str">
        <f ca="1">_xll.DBRW($B$9,$C$14,$C$15,N$20,N$19,$C$16,$C213,$B213,N$21)</f>
        <v/>
      </c>
      <c r="O213" s="34" t="str">
        <f ca="1">_xll.DBRW($B$9,$C$14,$C$15,O$20,N$19,$C$16,$C213,$B213,O$21)</f>
        <v/>
      </c>
      <c r="P213" s="34" t="str">
        <f ca="1">_xll.DBRW($B$9,$C$14,$C$15,P$20,$P$19,$C$16,$C213,$B213,P$21)</f>
        <v/>
      </c>
      <c r="Q213" s="34" t="str">
        <f ca="1">_xll.DBRW($B$9,$C$14,$C$15,Q$20,$P$19,$C$16,$C213,$B213,Q$21)</f>
        <v/>
      </c>
    </row>
    <row r="214" spans="1:17" x14ac:dyDescent="0.25">
      <c r="A214">
        <f ca="1">IF(_xll.TM1RPTELISCONSOLIDATED($C$22,$C214),IF(_xll.TM1RPTELLEV($C$22,$C214)&lt;=3,_xll.TM1RPTELLEV($C$22,$C214),"D"),"N")</f>
        <v>1</v>
      </c>
      <c r="B214" s="8" t="s">
        <v>74</v>
      </c>
      <c r="C214" s="39" t="s">
        <v>37</v>
      </c>
      <c r="D214" s="34" t="str">
        <f ca="1">_xll.DBRW($B$9,$C$14,$C$15,D$20,D$19,$C$16,$C214,$B214,D$21)</f>
        <v/>
      </c>
      <c r="E214" s="34" t="str">
        <f ca="1">_xll.DBRW($B$9,$C$14,$C$15,E$20,D$19,$C$16,$C214,$B214,E$21)</f>
        <v/>
      </c>
      <c r="F214" s="34" t="str">
        <f ca="1">_xll.DBRW($B$9,$C$14,$C$15,F$20,F$19,$C$16,$C214,$B214,F$21)</f>
        <v/>
      </c>
      <c r="G214" s="34" t="str">
        <f ca="1">_xll.DBRW($B$9,$C$14,$C$15,G$20,F$19,$C$16,$C214,$B214,G$21)</f>
        <v/>
      </c>
      <c r="H214" s="34" t="str">
        <f ca="1">_xll.DBRW($B$9,$C$14,$C$15,H$20,H$19,$C$16,$C214,$B214,H$21)</f>
        <v/>
      </c>
      <c r="I214" s="34" t="str">
        <f ca="1">_xll.DBRW($B$9,$C$14,$C$15,I$20,H$19,$C$16,$C214,$B214,I$21)</f>
        <v/>
      </c>
      <c r="J214" s="34" t="str">
        <f ca="1">_xll.DBRW($B$9,$C$14,$C$15,J$20,J$19,$C$16,$C214,$B214,J$21)</f>
        <v/>
      </c>
      <c r="K214" s="34" t="str">
        <f ca="1">_xll.DBRW($B$9,$C$14,$C$15,K$20,J$19,$C$16,$C214,$B214,K$21)</f>
        <v/>
      </c>
      <c r="L214" s="34" t="str">
        <f ca="1">_xll.DBRW($B$9,$C$14,$C$15,L$20,L$19,$C$16,$C214,$B214,L$21)</f>
        <v/>
      </c>
      <c r="M214" s="34" t="str">
        <f ca="1">_xll.DBRW($B$9,$C$14,$C$15,M$20,L$19,$C$16,$C214,$B214,M$21)</f>
        <v/>
      </c>
      <c r="N214" s="34" t="str">
        <f ca="1">_xll.DBRW($B$9,$C$14,$C$15,N$20,N$19,$C$16,$C214,$B214,N$21)</f>
        <v/>
      </c>
      <c r="O214" s="34" t="str">
        <f ca="1">_xll.DBRW($B$9,$C$14,$C$15,O$20,N$19,$C$16,$C214,$B214,O$21)</f>
        <v/>
      </c>
      <c r="P214" s="34" t="str">
        <f ca="1">_xll.DBRW($B$9,$C$14,$C$15,P$20,$P$19,$C$16,$C214,$B214,P$21)</f>
        <v/>
      </c>
      <c r="Q214" s="34" t="str">
        <f ca="1">_xll.DBRW($B$9,$C$14,$C$15,Q$20,$P$19,$C$16,$C214,$B214,Q$21)</f>
        <v/>
      </c>
    </row>
    <row r="215" spans="1:17" x14ac:dyDescent="0.25">
      <c r="A215">
        <f ca="1">IF(_xll.TM1RPTELISCONSOLIDATED($C$22,$C215),IF(_xll.TM1RPTELLEV($C$22,$C215)&lt;=3,_xll.TM1RPTELLEV($C$22,$C215),"D"),"N")</f>
        <v>1</v>
      </c>
      <c r="B215" s="8" t="s">
        <v>74</v>
      </c>
      <c r="C215" s="39" t="s">
        <v>38</v>
      </c>
      <c r="D215" s="34" t="str">
        <f ca="1">_xll.DBRW($B$9,$C$14,$C$15,D$20,D$19,$C$16,$C215,$B215,D$21)</f>
        <v/>
      </c>
      <c r="E215" s="34" t="str">
        <f ca="1">_xll.DBRW($B$9,$C$14,$C$15,E$20,D$19,$C$16,$C215,$B215,E$21)</f>
        <v/>
      </c>
      <c r="F215" s="34" t="str">
        <f ca="1">_xll.DBRW($B$9,$C$14,$C$15,F$20,F$19,$C$16,$C215,$B215,F$21)</f>
        <v/>
      </c>
      <c r="G215" s="34" t="str">
        <f ca="1">_xll.DBRW($B$9,$C$14,$C$15,G$20,F$19,$C$16,$C215,$B215,G$21)</f>
        <v/>
      </c>
      <c r="H215" s="34" t="str">
        <f ca="1">_xll.DBRW($B$9,$C$14,$C$15,H$20,H$19,$C$16,$C215,$B215,H$21)</f>
        <v/>
      </c>
      <c r="I215" s="34" t="str">
        <f ca="1">_xll.DBRW($B$9,$C$14,$C$15,I$20,H$19,$C$16,$C215,$B215,I$21)</f>
        <v/>
      </c>
      <c r="J215" s="34" t="str">
        <f ca="1">_xll.DBRW($B$9,$C$14,$C$15,J$20,J$19,$C$16,$C215,$B215,J$21)</f>
        <v/>
      </c>
      <c r="K215" s="34" t="str">
        <f ca="1">_xll.DBRW($B$9,$C$14,$C$15,K$20,J$19,$C$16,$C215,$B215,K$21)</f>
        <v/>
      </c>
      <c r="L215" s="34" t="str">
        <f ca="1">_xll.DBRW($B$9,$C$14,$C$15,L$20,L$19,$C$16,$C215,$B215,L$21)</f>
        <v/>
      </c>
      <c r="M215" s="34" t="str">
        <f ca="1">_xll.DBRW($B$9,$C$14,$C$15,M$20,L$19,$C$16,$C215,$B215,M$21)</f>
        <v/>
      </c>
      <c r="N215" s="34" t="str">
        <f ca="1">_xll.DBRW($B$9,$C$14,$C$15,N$20,N$19,$C$16,$C215,$B215,N$21)</f>
        <v/>
      </c>
      <c r="O215" s="34" t="str">
        <f ca="1">_xll.DBRW($B$9,$C$14,$C$15,O$20,N$19,$C$16,$C215,$B215,O$21)</f>
        <v/>
      </c>
      <c r="P215" s="34" t="str">
        <f ca="1">_xll.DBRW($B$9,$C$14,$C$15,P$20,$P$19,$C$16,$C215,$B215,P$21)</f>
        <v/>
      </c>
      <c r="Q215" s="34" t="str">
        <f ca="1">_xll.DBRW($B$9,$C$14,$C$15,Q$20,$P$19,$C$16,$C215,$B215,Q$21)</f>
        <v/>
      </c>
    </row>
    <row r="216" spans="1:17" x14ac:dyDescent="0.25">
      <c r="A216">
        <f ca="1">IF(_xll.TM1RPTELISCONSOLIDATED($C$22,$C216),IF(_xll.TM1RPTELLEV($C$22,$C216)&lt;=3,_xll.TM1RPTELLEV($C$22,$C216),"D"),"N")</f>
        <v>1</v>
      </c>
      <c r="B216" s="8" t="s">
        <v>74</v>
      </c>
      <c r="C216" s="39" t="s">
        <v>39</v>
      </c>
      <c r="D216" s="34" t="str">
        <f ca="1">_xll.DBRW($B$9,$C$14,$C$15,D$20,D$19,$C$16,$C216,$B216,D$21)</f>
        <v/>
      </c>
      <c r="E216" s="34" t="str">
        <f ca="1">_xll.DBRW($B$9,$C$14,$C$15,E$20,D$19,$C$16,$C216,$B216,E$21)</f>
        <v/>
      </c>
      <c r="F216" s="34" t="str">
        <f ca="1">_xll.DBRW($B$9,$C$14,$C$15,F$20,F$19,$C$16,$C216,$B216,F$21)</f>
        <v/>
      </c>
      <c r="G216" s="34" t="str">
        <f ca="1">_xll.DBRW($B$9,$C$14,$C$15,G$20,F$19,$C$16,$C216,$B216,G$21)</f>
        <v/>
      </c>
      <c r="H216" s="34" t="str">
        <f ca="1">_xll.DBRW($B$9,$C$14,$C$15,H$20,H$19,$C$16,$C216,$B216,H$21)</f>
        <v/>
      </c>
      <c r="I216" s="34" t="str">
        <f ca="1">_xll.DBRW($B$9,$C$14,$C$15,I$20,H$19,$C$16,$C216,$B216,I$21)</f>
        <v/>
      </c>
      <c r="J216" s="34" t="str">
        <f ca="1">_xll.DBRW($B$9,$C$14,$C$15,J$20,J$19,$C$16,$C216,$B216,J$21)</f>
        <v/>
      </c>
      <c r="K216" s="34" t="str">
        <f ca="1">_xll.DBRW($B$9,$C$14,$C$15,K$20,J$19,$C$16,$C216,$B216,K$21)</f>
        <v/>
      </c>
      <c r="L216" s="34" t="str">
        <f ca="1">_xll.DBRW($B$9,$C$14,$C$15,L$20,L$19,$C$16,$C216,$B216,L$21)</f>
        <v/>
      </c>
      <c r="M216" s="34" t="str">
        <f ca="1">_xll.DBRW($B$9,$C$14,$C$15,M$20,L$19,$C$16,$C216,$B216,M$21)</f>
        <v/>
      </c>
      <c r="N216" s="34" t="str">
        <f ca="1">_xll.DBRW($B$9,$C$14,$C$15,N$20,N$19,$C$16,$C216,$B216,N$21)</f>
        <v/>
      </c>
      <c r="O216" s="34" t="str">
        <f ca="1">_xll.DBRW($B$9,$C$14,$C$15,O$20,N$19,$C$16,$C216,$B216,O$21)</f>
        <v/>
      </c>
      <c r="P216" s="34" t="str">
        <f ca="1">_xll.DBRW($B$9,$C$14,$C$15,P$20,$P$19,$C$16,$C216,$B216,P$21)</f>
        <v/>
      </c>
      <c r="Q216" s="34" t="str">
        <f ca="1">_xll.DBRW($B$9,$C$14,$C$15,Q$20,$P$19,$C$16,$C216,$B216,Q$21)</f>
        <v/>
      </c>
    </row>
    <row r="217" spans="1:17" x14ac:dyDescent="0.25">
      <c r="A217">
        <f ca="1">IF(_xll.TM1RPTELISCONSOLIDATED($C$22,$C217),IF(_xll.TM1RPTELLEV($C$22,$C217)&lt;=3,_xll.TM1RPTELLEV($C$22,$C217),"D"),"N")</f>
        <v>1</v>
      </c>
      <c r="B217" s="8" t="s">
        <v>74</v>
      </c>
      <c r="C217" s="39" t="s">
        <v>40</v>
      </c>
      <c r="D217" s="34" t="str">
        <f ca="1">_xll.DBRW($B$9,$C$14,$C$15,D$20,D$19,$C$16,$C217,$B217,D$21)</f>
        <v/>
      </c>
      <c r="E217" s="34" t="str">
        <f ca="1">_xll.DBRW($B$9,$C$14,$C$15,E$20,D$19,$C$16,$C217,$B217,E$21)</f>
        <v/>
      </c>
      <c r="F217" s="34" t="str">
        <f ca="1">_xll.DBRW($B$9,$C$14,$C$15,F$20,F$19,$C$16,$C217,$B217,F$21)</f>
        <v/>
      </c>
      <c r="G217" s="34" t="str">
        <f ca="1">_xll.DBRW($B$9,$C$14,$C$15,G$20,F$19,$C$16,$C217,$B217,G$21)</f>
        <v/>
      </c>
      <c r="H217" s="34" t="str">
        <f ca="1">_xll.DBRW($B$9,$C$14,$C$15,H$20,H$19,$C$16,$C217,$B217,H$21)</f>
        <v/>
      </c>
      <c r="I217" s="34" t="str">
        <f ca="1">_xll.DBRW($B$9,$C$14,$C$15,I$20,H$19,$C$16,$C217,$B217,I$21)</f>
        <v/>
      </c>
      <c r="J217" s="34" t="str">
        <f ca="1">_xll.DBRW($B$9,$C$14,$C$15,J$20,J$19,$C$16,$C217,$B217,J$21)</f>
        <v/>
      </c>
      <c r="K217" s="34" t="str">
        <f ca="1">_xll.DBRW($B$9,$C$14,$C$15,K$20,J$19,$C$16,$C217,$B217,K$21)</f>
        <v/>
      </c>
      <c r="L217" s="34" t="str">
        <f ca="1">_xll.DBRW($B$9,$C$14,$C$15,L$20,L$19,$C$16,$C217,$B217,L$21)</f>
        <v/>
      </c>
      <c r="M217" s="34" t="str">
        <f ca="1">_xll.DBRW($B$9,$C$14,$C$15,M$20,L$19,$C$16,$C217,$B217,M$21)</f>
        <v/>
      </c>
      <c r="N217" s="34" t="str">
        <f ca="1">_xll.DBRW($B$9,$C$14,$C$15,N$20,N$19,$C$16,$C217,$B217,N$21)</f>
        <v/>
      </c>
      <c r="O217" s="34" t="str">
        <f ca="1">_xll.DBRW($B$9,$C$14,$C$15,O$20,N$19,$C$16,$C217,$B217,O$21)</f>
        <v/>
      </c>
      <c r="P217" s="34" t="str">
        <f ca="1">_xll.DBRW($B$9,$C$14,$C$15,P$20,$P$19,$C$16,$C217,$B217,P$21)</f>
        <v/>
      </c>
      <c r="Q217" s="34" t="str">
        <f ca="1">_xll.DBRW($B$9,$C$14,$C$15,Q$20,$P$19,$C$16,$C217,$B217,Q$21)</f>
        <v/>
      </c>
    </row>
    <row r="218" spans="1:17" x14ac:dyDescent="0.25">
      <c r="A218">
        <f ca="1">IF(_xll.TM1RPTELISCONSOLIDATED($C$22,$C218),IF(_xll.TM1RPTELLEV($C$22,$C218)&lt;=3,_xll.TM1RPTELLEV($C$22,$C218),"D"),"N")</f>
        <v>1</v>
      </c>
      <c r="B218" s="8" t="s">
        <v>74</v>
      </c>
      <c r="C218" s="39" t="s">
        <v>41</v>
      </c>
      <c r="D218" s="34" t="str">
        <f ca="1">_xll.DBRW($B$9,$C$14,$C$15,D$20,D$19,$C$16,$C218,$B218,D$21)</f>
        <v/>
      </c>
      <c r="E218" s="34" t="str">
        <f ca="1">_xll.DBRW($B$9,$C$14,$C$15,E$20,D$19,$C$16,$C218,$B218,E$21)</f>
        <v/>
      </c>
      <c r="F218" s="34" t="str">
        <f ca="1">_xll.DBRW($B$9,$C$14,$C$15,F$20,F$19,$C$16,$C218,$B218,F$21)</f>
        <v/>
      </c>
      <c r="G218" s="34" t="str">
        <f ca="1">_xll.DBRW($B$9,$C$14,$C$15,G$20,F$19,$C$16,$C218,$B218,G$21)</f>
        <v/>
      </c>
      <c r="H218" s="34" t="str">
        <f ca="1">_xll.DBRW($B$9,$C$14,$C$15,H$20,H$19,$C$16,$C218,$B218,H$21)</f>
        <v/>
      </c>
      <c r="I218" s="34" t="str">
        <f ca="1">_xll.DBRW($B$9,$C$14,$C$15,I$20,H$19,$C$16,$C218,$B218,I$21)</f>
        <v/>
      </c>
      <c r="J218" s="34" t="str">
        <f ca="1">_xll.DBRW($B$9,$C$14,$C$15,J$20,J$19,$C$16,$C218,$B218,J$21)</f>
        <v/>
      </c>
      <c r="K218" s="34" t="str">
        <f ca="1">_xll.DBRW($B$9,$C$14,$C$15,K$20,J$19,$C$16,$C218,$B218,K$21)</f>
        <v/>
      </c>
      <c r="L218" s="34" t="str">
        <f ca="1">_xll.DBRW($B$9,$C$14,$C$15,L$20,L$19,$C$16,$C218,$B218,L$21)</f>
        <v/>
      </c>
      <c r="M218" s="34" t="str">
        <f ca="1">_xll.DBRW($B$9,$C$14,$C$15,M$20,L$19,$C$16,$C218,$B218,M$21)</f>
        <v/>
      </c>
      <c r="N218" s="34" t="str">
        <f ca="1">_xll.DBRW($B$9,$C$14,$C$15,N$20,N$19,$C$16,$C218,$B218,N$21)</f>
        <v/>
      </c>
      <c r="O218" s="34" t="str">
        <f ca="1">_xll.DBRW($B$9,$C$14,$C$15,O$20,N$19,$C$16,$C218,$B218,O$21)</f>
        <v/>
      </c>
      <c r="P218" s="34" t="str">
        <f ca="1">_xll.DBRW($B$9,$C$14,$C$15,P$20,$P$19,$C$16,$C218,$B218,P$21)</f>
        <v/>
      </c>
      <c r="Q218" s="34" t="str">
        <f ca="1">_xll.DBRW($B$9,$C$14,$C$15,Q$20,$P$19,$C$16,$C218,$B218,Q$21)</f>
        <v/>
      </c>
    </row>
    <row r="219" spans="1:17" x14ac:dyDescent="0.25">
      <c r="A219">
        <f ca="1">IF(_xll.TM1RPTELISCONSOLIDATED($C$22,$C219),IF(_xll.TM1RPTELLEV($C$22,$C219)&lt;=3,_xll.TM1RPTELLEV($C$22,$C219),"D"),"N")</f>
        <v>1</v>
      </c>
      <c r="B219" s="8" t="s">
        <v>74</v>
      </c>
      <c r="C219" s="39" t="s">
        <v>42</v>
      </c>
      <c r="D219" s="34" t="str">
        <f ca="1">_xll.DBRW($B$9,$C$14,$C$15,D$20,D$19,$C$16,$C219,$B219,D$21)</f>
        <v/>
      </c>
      <c r="E219" s="34" t="str">
        <f ca="1">_xll.DBRW($B$9,$C$14,$C$15,E$20,D$19,$C$16,$C219,$B219,E$21)</f>
        <v/>
      </c>
      <c r="F219" s="34" t="str">
        <f ca="1">_xll.DBRW($B$9,$C$14,$C$15,F$20,F$19,$C$16,$C219,$B219,F$21)</f>
        <v/>
      </c>
      <c r="G219" s="34" t="str">
        <f ca="1">_xll.DBRW($B$9,$C$14,$C$15,G$20,F$19,$C$16,$C219,$B219,G$21)</f>
        <v/>
      </c>
      <c r="H219" s="34" t="str">
        <f ca="1">_xll.DBRW($B$9,$C$14,$C$15,H$20,H$19,$C$16,$C219,$B219,H$21)</f>
        <v/>
      </c>
      <c r="I219" s="34" t="str">
        <f ca="1">_xll.DBRW($B$9,$C$14,$C$15,I$20,H$19,$C$16,$C219,$B219,I$21)</f>
        <v/>
      </c>
      <c r="J219" s="34" t="str">
        <f ca="1">_xll.DBRW($B$9,$C$14,$C$15,J$20,J$19,$C$16,$C219,$B219,J$21)</f>
        <v/>
      </c>
      <c r="K219" s="34" t="str">
        <f ca="1">_xll.DBRW($B$9,$C$14,$C$15,K$20,J$19,$C$16,$C219,$B219,K$21)</f>
        <v/>
      </c>
      <c r="L219" s="34" t="str">
        <f ca="1">_xll.DBRW($B$9,$C$14,$C$15,L$20,L$19,$C$16,$C219,$B219,L$21)</f>
        <v/>
      </c>
      <c r="M219" s="34" t="str">
        <f ca="1">_xll.DBRW($B$9,$C$14,$C$15,M$20,L$19,$C$16,$C219,$B219,M$21)</f>
        <v/>
      </c>
      <c r="N219" s="34" t="str">
        <f ca="1">_xll.DBRW($B$9,$C$14,$C$15,N$20,N$19,$C$16,$C219,$B219,N$21)</f>
        <v/>
      </c>
      <c r="O219" s="34" t="str">
        <f ca="1">_xll.DBRW($B$9,$C$14,$C$15,O$20,N$19,$C$16,$C219,$B219,O$21)</f>
        <v/>
      </c>
      <c r="P219" s="34" t="str">
        <f ca="1">_xll.DBRW($B$9,$C$14,$C$15,P$20,$P$19,$C$16,$C219,$B219,P$21)</f>
        <v/>
      </c>
      <c r="Q219" s="34" t="str">
        <f ca="1">_xll.DBRW($B$9,$C$14,$C$15,Q$20,$P$19,$C$16,$C219,$B219,Q$21)</f>
        <v/>
      </c>
    </row>
    <row r="220" spans="1:17" x14ac:dyDescent="0.25">
      <c r="A220">
        <f ca="1">IF(_xll.TM1RPTELISCONSOLIDATED($C$22,$C220),IF(_xll.TM1RPTELLEV($C$22,$C220)&lt;=3,_xll.TM1RPTELLEV($C$22,$C220),"D"),"N")</f>
        <v>0</v>
      </c>
      <c r="B220" s="5" t="s">
        <v>75</v>
      </c>
      <c r="C220" s="38" t="s">
        <v>35</v>
      </c>
      <c r="D220" s="33" t="str">
        <f ca="1">_xll.DBRW($B$9,$C$14,$C$15,D$20,D$19,$C$16,$C220,$B220,D$21)</f>
        <v/>
      </c>
      <c r="E220" s="33" t="str">
        <f ca="1">_xll.DBRW($B$9,$C$14,$C$15,E$20,D$19,$C$16,$C220,$B220,E$21)</f>
        <v/>
      </c>
      <c r="F220" s="33" t="str">
        <f ca="1">_xll.DBRW($B$9,$C$14,$C$15,F$20,F$19,$C$16,$C220,$B220,F$21)</f>
        <v/>
      </c>
      <c r="G220" s="33" t="str">
        <f ca="1">_xll.DBRW($B$9,$C$14,$C$15,G$20,F$19,$C$16,$C220,$B220,G$21)</f>
        <v/>
      </c>
      <c r="H220" s="33" t="str">
        <f ca="1">_xll.DBRW($B$9,$C$14,$C$15,H$20,H$19,$C$16,$C220,$B220,H$21)</f>
        <v/>
      </c>
      <c r="I220" s="33" t="str">
        <f ca="1">_xll.DBRW($B$9,$C$14,$C$15,I$20,H$19,$C$16,$C220,$B220,I$21)</f>
        <v/>
      </c>
      <c r="J220" s="33" t="str">
        <f ca="1">_xll.DBRW($B$9,$C$14,$C$15,J$20,J$19,$C$16,$C220,$B220,J$21)</f>
        <v/>
      </c>
      <c r="K220" s="33" t="str">
        <f ca="1">_xll.DBRW($B$9,$C$14,$C$15,K$20,J$19,$C$16,$C220,$B220,K$21)</f>
        <v/>
      </c>
      <c r="L220" s="33" t="str">
        <f ca="1">_xll.DBRW($B$9,$C$14,$C$15,L$20,L$19,$C$16,$C220,$B220,L$21)</f>
        <v/>
      </c>
      <c r="M220" s="33" t="str">
        <f ca="1">_xll.DBRW($B$9,$C$14,$C$15,M$20,L$19,$C$16,$C220,$B220,M$21)</f>
        <v/>
      </c>
      <c r="N220" s="33" t="str">
        <f ca="1">_xll.DBRW($B$9,$C$14,$C$15,N$20,N$19,$C$16,$C220,$B220,N$21)</f>
        <v/>
      </c>
      <c r="O220" s="33" t="str">
        <f ca="1">_xll.DBRW($B$9,$C$14,$C$15,O$20,N$19,$C$16,$C220,$B220,O$21)</f>
        <v/>
      </c>
      <c r="P220" s="33" t="str">
        <f ca="1">_xll.DBRW($B$9,$C$14,$C$15,P$20,$P$19,$C$16,$C220,$B220,P$21)</f>
        <v/>
      </c>
      <c r="Q220" s="33" t="str">
        <f ca="1">_xll.DBRW($B$9,$C$14,$C$15,Q$20,$P$19,$C$16,$C220,$B220,Q$21)</f>
        <v/>
      </c>
    </row>
    <row r="221" spans="1:17" x14ac:dyDescent="0.25">
      <c r="A221">
        <f ca="1">IF(_xll.TM1RPTELISCONSOLIDATED($C$22,$C221),IF(_xll.TM1RPTELLEV($C$22,$C221)&lt;=3,_xll.TM1RPTELLEV($C$22,$C221),"D"),"N")</f>
        <v>1</v>
      </c>
      <c r="B221" s="8" t="s">
        <v>75</v>
      </c>
      <c r="C221" s="39" t="s">
        <v>43</v>
      </c>
      <c r="D221" s="34" t="str">
        <f ca="1">_xll.DBRW($B$9,$C$14,$C$15,D$20,D$19,$C$16,$C221,$B221,D$21)</f>
        <v/>
      </c>
      <c r="E221" s="34" t="str">
        <f ca="1">_xll.DBRW($B$9,$C$14,$C$15,E$20,D$19,$C$16,$C221,$B221,E$21)</f>
        <v/>
      </c>
      <c r="F221" s="34" t="str">
        <f ca="1">_xll.DBRW($B$9,$C$14,$C$15,F$20,F$19,$C$16,$C221,$B221,F$21)</f>
        <v/>
      </c>
      <c r="G221" s="34" t="str">
        <f ca="1">_xll.DBRW($B$9,$C$14,$C$15,G$20,F$19,$C$16,$C221,$B221,G$21)</f>
        <v/>
      </c>
      <c r="H221" s="34" t="str">
        <f ca="1">_xll.DBRW($B$9,$C$14,$C$15,H$20,H$19,$C$16,$C221,$B221,H$21)</f>
        <v/>
      </c>
      <c r="I221" s="34" t="str">
        <f ca="1">_xll.DBRW($B$9,$C$14,$C$15,I$20,H$19,$C$16,$C221,$B221,I$21)</f>
        <v/>
      </c>
      <c r="J221" s="34" t="str">
        <f ca="1">_xll.DBRW($B$9,$C$14,$C$15,J$20,J$19,$C$16,$C221,$B221,J$21)</f>
        <v/>
      </c>
      <c r="K221" s="34" t="str">
        <f ca="1">_xll.DBRW($B$9,$C$14,$C$15,K$20,J$19,$C$16,$C221,$B221,K$21)</f>
        <v/>
      </c>
      <c r="L221" s="34" t="str">
        <f ca="1">_xll.DBRW($B$9,$C$14,$C$15,L$20,L$19,$C$16,$C221,$B221,L$21)</f>
        <v/>
      </c>
      <c r="M221" s="34" t="str">
        <f ca="1">_xll.DBRW($B$9,$C$14,$C$15,M$20,L$19,$C$16,$C221,$B221,M$21)</f>
        <v/>
      </c>
      <c r="N221" s="34" t="str">
        <f ca="1">_xll.DBRW($B$9,$C$14,$C$15,N$20,N$19,$C$16,$C221,$B221,N$21)</f>
        <v/>
      </c>
      <c r="O221" s="34" t="str">
        <f ca="1">_xll.DBRW($B$9,$C$14,$C$15,O$20,N$19,$C$16,$C221,$B221,O$21)</f>
        <v/>
      </c>
      <c r="P221" s="34" t="str">
        <f ca="1">_xll.DBRW($B$9,$C$14,$C$15,P$20,$P$19,$C$16,$C221,$B221,P$21)</f>
        <v/>
      </c>
      <c r="Q221" s="34" t="str">
        <f ca="1">_xll.DBRW($B$9,$C$14,$C$15,Q$20,$P$19,$C$16,$C221,$B221,Q$21)</f>
        <v/>
      </c>
    </row>
    <row r="222" spans="1:17" x14ac:dyDescent="0.25">
      <c r="A222">
        <f ca="1">IF(_xll.TM1RPTELISCONSOLIDATED($C$22,$C222),IF(_xll.TM1RPTELLEV($C$22,$C222)&lt;=3,_xll.TM1RPTELLEV($C$22,$C222),"D"),"N")</f>
        <v>1</v>
      </c>
      <c r="B222" s="8" t="s">
        <v>75</v>
      </c>
      <c r="C222" s="39" t="s">
        <v>36</v>
      </c>
      <c r="D222" s="34" t="str">
        <f ca="1">_xll.DBRW($B$9,$C$14,$C$15,D$20,D$19,$C$16,$C222,$B222,D$21)</f>
        <v/>
      </c>
      <c r="E222" s="34" t="str">
        <f ca="1">_xll.DBRW($B$9,$C$14,$C$15,E$20,D$19,$C$16,$C222,$B222,E$21)</f>
        <v/>
      </c>
      <c r="F222" s="34" t="str">
        <f ca="1">_xll.DBRW($B$9,$C$14,$C$15,F$20,F$19,$C$16,$C222,$B222,F$21)</f>
        <v/>
      </c>
      <c r="G222" s="34" t="str">
        <f ca="1">_xll.DBRW($B$9,$C$14,$C$15,G$20,F$19,$C$16,$C222,$B222,G$21)</f>
        <v/>
      </c>
      <c r="H222" s="34" t="str">
        <f ca="1">_xll.DBRW($B$9,$C$14,$C$15,H$20,H$19,$C$16,$C222,$B222,H$21)</f>
        <v/>
      </c>
      <c r="I222" s="34" t="str">
        <f ca="1">_xll.DBRW($B$9,$C$14,$C$15,I$20,H$19,$C$16,$C222,$B222,I$21)</f>
        <v/>
      </c>
      <c r="J222" s="34" t="str">
        <f ca="1">_xll.DBRW($B$9,$C$14,$C$15,J$20,J$19,$C$16,$C222,$B222,J$21)</f>
        <v/>
      </c>
      <c r="K222" s="34" t="str">
        <f ca="1">_xll.DBRW($B$9,$C$14,$C$15,K$20,J$19,$C$16,$C222,$B222,K$21)</f>
        <v/>
      </c>
      <c r="L222" s="34" t="str">
        <f ca="1">_xll.DBRW($B$9,$C$14,$C$15,L$20,L$19,$C$16,$C222,$B222,L$21)</f>
        <v/>
      </c>
      <c r="M222" s="34" t="str">
        <f ca="1">_xll.DBRW($B$9,$C$14,$C$15,M$20,L$19,$C$16,$C222,$B222,M$21)</f>
        <v/>
      </c>
      <c r="N222" s="34" t="str">
        <f ca="1">_xll.DBRW($B$9,$C$14,$C$15,N$20,N$19,$C$16,$C222,$B222,N$21)</f>
        <v/>
      </c>
      <c r="O222" s="34" t="str">
        <f ca="1">_xll.DBRW($B$9,$C$14,$C$15,O$20,N$19,$C$16,$C222,$B222,O$21)</f>
        <v/>
      </c>
      <c r="P222" s="34" t="str">
        <f ca="1">_xll.DBRW($B$9,$C$14,$C$15,P$20,$P$19,$C$16,$C222,$B222,P$21)</f>
        <v/>
      </c>
      <c r="Q222" s="34" t="str">
        <f ca="1">_xll.DBRW($B$9,$C$14,$C$15,Q$20,$P$19,$C$16,$C222,$B222,Q$21)</f>
        <v/>
      </c>
    </row>
    <row r="223" spans="1:17" x14ac:dyDescent="0.25">
      <c r="A223">
        <f ca="1">IF(_xll.TM1RPTELISCONSOLIDATED($C$22,$C223),IF(_xll.TM1RPTELLEV($C$22,$C223)&lt;=3,_xll.TM1RPTELLEV($C$22,$C223),"D"),"N")</f>
        <v>1</v>
      </c>
      <c r="B223" s="8" t="s">
        <v>75</v>
      </c>
      <c r="C223" s="39" t="s">
        <v>37</v>
      </c>
      <c r="D223" s="34" t="str">
        <f ca="1">_xll.DBRW($B$9,$C$14,$C$15,D$20,D$19,$C$16,$C223,$B223,D$21)</f>
        <v/>
      </c>
      <c r="E223" s="34" t="str">
        <f ca="1">_xll.DBRW($B$9,$C$14,$C$15,E$20,D$19,$C$16,$C223,$B223,E$21)</f>
        <v/>
      </c>
      <c r="F223" s="34" t="str">
        <f ca="1">_xll.DBRW($B$9,$C$14,$C$15,F$20,F$19,$C$16,$C223,$B223,F$21)</f>
        <v/>
      </c>
      <c r="G223" s="34" t="str">
        <f ca="1">_xll.DBRW($B$9,$C$14,$C$15,G$20,F$19,$C$16,$C223,$B223,G$21)</f>
        <v/>
      </c>
      <c r="H223" s="34" t="str">
        <f ca="1">_xll.DBRW($B$9,$C$14,$C$15,H$20,H$19,$C$16,$C223,$B223,H$21)</f>
        <v/>
      </c>
      <c r="I223" s="34" t="str">
        <f ca="1">_xll.DBRW($B$9,$C$14,$C$15,I$20,H$19,$C$16,$C223,$B223,I$21)</f>
        <v/>
      </c>
      <c r="J223" s="34" t="str">
        <f ca="1">_xll.DBRW($B$9,$C$14,$C$15,J$20,J$19,$C$16,$C223,$B223,J$21)</f>
        <v/>
      </c>
      <c r="K223" s="34" t="str">
        <f ca="1">_xll.DBRW($B$9,$C$14,$C$15,K$20,J$19,$C$16,$C223,$B223,K$21)</f>
        <v/>
      </c>
      <c r="L223" s="34" t="str">
        <f ca="1">_xll.DBRW($B$9,$C$14,$C$15,L$20,L$19,$C$16,$C223,$B223,L$21)</f>
        <v/>
      </c>
      <c r="M223" s="34" t="str">
        <f ca="1">_xll.DBRW($B$9,$C$14,$C$15,M$20,L$19,$C$16,$C223,$B223,M$21)</f>
        <v/>
      </c>
      <c r="N223" s="34" t="str">
        <f ca="1">_xll.DBRW($B$9,$C$14,$C$15,N$20,N$19,$C$16,$C223,$B223,N$21)</f>
        <v/>
      </c>
      <c r="O223" s="34" t="str">
        <f ca="1">_xll.DBRW($B$9,$C$14,$C$15,O$20,N$19,$C$16,$C223,$B223,O$21)</f>
        <v/>
      </c>
      <c r="P223" s="34" t="str">
        <f ca="1">_xll.DBRW($B$9,$C$14,$C$15,P$20,$P$19,$C$16,$C223,$B223,P$21)</f>
        <v/>
      </c>
      <c r="Q223" s="34" t="str">
        <f ca="1">_xll.DBRW($B$9,$C$14,$C$15,Q$20,$P$19,$C$16,$C223,$B223,Q$21)</f>
        <v/>
      </c>
    </row>
    <row r="224" spans="1:17" x14ac:dyDescent="0.25">
      <c r="A224">
        <f ca="1">IF(_xll.TM1RPTELISCONSOLIDATED($C$22,$C224),IF(_xll.TM1RPTELLEV($C$22,$C224)&lt;=3,_xll.TM1RPTELLEV($C$22,$C224),"D"),"N")</f>
        <v>1</v>
      </c>
      <c r="B224" s="8" t="s">
        <v>75</v>
      </c>
      <c r="C224" s="39" t="s">
        <v>38</v>
      </c>
      <c r="D224" s="34" t="str">
        <f ca="1">_xll.DBRW($B$9,$C$14,$C$15,D$20,D$19,$C$16,$C224,$B224,D$21)</f>
        <v/>
      </c>
      <c r="E224" s="34" t="str">
        <f ca="1">_xll.DBRW($B$9,$C$14,$C$15,E$20,D$19,$C$16,$C224,$B224,E$21)</f>
        <v/>
      </c>
      <c r="F224" s="34" t="str">
        <f ca="1">_xll.DBRW($B$9,$C$14,$C$15,F$20,F$19,$C$16,$C224,$B224,F$21)</f>
        <v/>
      </c>
      <c r="G224" s="34" t="str">
        <f ca="1">_xll.DBRW($B$9,$C$14,$C$15,G$20,F$19,$C$16,$C224,$B224,G$21)</f>
        <v/>
      </c>
      <c r="H224" s="34" t="str">
        <f ca="1">_xll.DBRW($B$9,$C$14,$C$15,H$20,H$19,$C$16,$C224,$B224,H$21)</f>
        <v/>
      </c>
      <c r="I224" s="34" t="str">
        <f ca="1">_xll.DBRW($B$9,$C$14,$C$15,I$20,H$19,$C$16,$C224,$B224,I$21)</f>
        <v/>
      </c>
      <c r="J224" s="34" t="str">
        <f ca="1">_xll.DBRW($B$9,$C$14,$C$15,J$20,J$19,$C$16,$C224,$B224,J$21)</f>
        <v/>
      </c>
      <c r="K224" s="34" t="str">
        <f ca="1">_xll.DBRW($B$9,$C$14,$C$15,K$20,J$19,$C$16,$C224,$B224,K$21)</f>
        <v/>
      </c>
      <c r="L224" s="34" t="str">
        <f ca="1">_xll.DBRW($B$9,$C$14,$C$15,L$20,L$19,$C$16,$C224,$B224,L$21)</f>
        <v/>
      </c>
      <c r="M224" s="34" t="str">
        <f ca="1">_xll.DBRW($B$9,$C$14,$C$15,M$20,L$19,$C$16,$C224,$B224,M$21)</f>
        <v/>
      </c>
      <c r="N224" s="34" t="str">
        <f ca="1">_xll.DBRW($B$9,$C$14,$C$15,N$20,N$19,$C$16,$C224,$B224,N$21)</f>
        <v/>
      </c>
      <c r="O224" s="34" t="str">
        <f ca="1">_xll.DBRW($B$9,$C$14,$C$15,O$20,N$19,$C$16,$C224,$B224,O$21)</f>
        <v/>
      </c>
      <c r="P224" s="34" t="str">
        <f ca="1">_xll.DBRW($B$9,$C$14,$C$15,P$20,$P$19,$C$16,$C224,$B224,P$21)</f>
        <v/>
      </c>
      <c r="Q224" s="34" t="str">
        <f ca="1">_xll.DBRW($B$9,$C$14,$C$15,Q$20,$P$19,$C$16,$C224,$B224,Q$21)</f>
        <v/>
      </c>
    </row>
    <row r="225" spans="1:17" x14ac:dyDescent="0.25">
      <c r="A225">
        <f ca="1">IF(_xll.TM1RPTELISCONSOLIDATED($C$22,$C225),IF(_xll.TM1RPTELLEV($C$22,$C225)&lt;=3,_xll.TM1RPTELLEV($C$22,$C225),"D"),"N")</f>
        <v>1</v>
      </c>
      <c r="B225" s="8" t="s">
        <v>75</v>
      </c>
      <c r="C225" s="39" t="s">
        <v>39</v>
      </c>
      <c r="D225" s="34" t="str">
        <f ca="1">_xll.DBRW($B$9,$C$14,$C$15,D$20,D$19,$C$16,$C225,$B225,D$21)</f>
        <v/>
      </c>
      <c r="E225" s="34" t="str">
        <f ca="1">_xll.DBRW($B$9,$C$14,$C$15,E$20,D$19,$C$16,$C225,$B225,E$21)</f>
        <v/>
      </c>
      <c r="F225" s="34" t="str">
        <f ca="1">_xll.DBRW($B$9,$C$14,$C$15,F$20,F$19,$C$16,$C225,$B225,F$21)</f>
        <v/>
      </c>
      <c r="G225" s="34" t="str">
        <f ca="1">_xll.DBRW($B$9,$C$14,$C$15,G$20,F$19,$C$16,$C225,$B225,G$21)</f>
        <v/>
      </c>
      <c r="H225" s="34" t="str">
        <f ca="1">_xll.DBRW($B$9,$C$14,$C$15,H$20,H$19,$C$16,$C225,$B225,H$21)</f>
        <v/>
      </c>
      <c r="I225" s="34" t="str">
        <f ca="1">_xll.DBRW($B$9,$C$14,$C$15,I$20,H$19,$C$16,$C225,$B225,I$21)</f>
        <v/>
      </c>
      <c r="J225" s="34" t="str">
        <f ca="1">_xll.DBRW($B$9,$C$14,$C$15,J$20,J$19,$C$16,$C225,$B225,J$21)</f>
        <v/>
      </c>
      <c r="K225" s="34" t="str">
        <f ca="1">_xll.DBRW($B$9,$C$14,$C$15,K$20,J$19,$C$16,$C225,$B225,K$21)</f>
        <v/>
      </c>
      <c r="L225" s="34" t="str">
        <f ca="1">_xll.DBRW($B$9,$C$14,$C$15,L$20,L$19,$C$16,$C225,$B225,L$21)</f>
        <v/>
      </c>
      <c r="M225" s="34" t="str">
        <f ca="1">_xll.DBRW($B$9,$C$14,$C$15,M$20,L$19,$C$16,$C225,$B225,M$21)</f>
        <v/>
      </c>
      <c r="N225" s="34" t="str">
        <f ca="1">_xll.DBRW($B$9,$C$14,$C$15,N$20,N$19,$C$16,$C225,$B225,N$21)</f>
        <v/>
      </c>
      <c r="O225" s="34" t="str">
        <f ca="1">_xll.DBRW($B$9,$C$14,$C$15,O$20,N$19,$C$16,$C225,$B225,O$21)</f>
        <v/>
      </c>
      <c r="P225" s="34" t="str">
        <f ca="1">_xll.DBRW($B$9,$C$14,$C$15,P$20,$P$19,$C$16,$C225,$B225,P$21)</f>
        <v/>
      </c>
      <c r="Q225" s="34" t="str">
        <f ca="1">_xll.DBRW($B$9,$C$14,$C$15,Q$20,$P$19,$C$16,$C225,$B225,Q$21)</f>
        <v/>
      </c>
    </row>
    <row r="226" spans="1:17" x14ac:dyDescent="0.25">
      <c r="A226">
        <f ca="1">IF(_xll.TM1RPTELISCONSOLIDATED($C$22,$C226),IF(_xll.TM1RPTELLEV($C$22,$C226)&lt;=3,_xll.TM1RPTELLEV($C$22,$C226),"D"),"N")</f>
        <v>1</v>
      </c>
      <c r="B226" s="8" t="s">
        <v>75</v>
      </c>
      <c r="C226" s="39" t="s">
        <v>40</v>
      </c>
      <c r="D226" s="34" t="str">
        <f ca="1">_xll.DBRW($B$9,$C$14,$C$15,D$20,D$19,$C$16,$C226,$B226,D$21)</f>
        <v/>
      </c>
      <c r="E226" s="34" t="str">
        <f ca="1">_xll.DBRW($B$9,$C$14,$C$15,E$20,D$19,$C$16,$C226,$B226,E$21)</f>
        <v/>
      </c>
      <c r="F226" s="34" t="str">
        <f ca="1">_xll.DBRW($B$9,$C$14,$C$15,F$20,F$19,$C$16,$C226,$B226,F$21)</f>
        <v/>
      </c>
      <c r="G226" s="34" t="str">
        <f ca="1">_xll.DBRW($B$9,$C$14,$C$15,G$20,F$19,$C$16,$C226,$B226,G$21)</f>
        <v/>
      </c>
      <c r="H226" s="34" t="str">
        <f ca="1">_xll.DBRW($B$9,$C$14,$C$15,H$20,H$19,$C$16,$C226,$B226,H$21)</f>
        <v/>
      </c>
      <c r="I226" s="34" t="str">
        <f ca="1">_xll.DBRW($B$9,$C$14,$C$15,I$20,H$19,$C$16,$C226,$B226,I$21)</f>
        <v/>
      </c>
      <c r="J226" s="34" t="str">
        <f ca="1">_xll.DBRW($B$9,$C$14,$C$15,J$20,J$19,$C$16,$C226,$B226,J$21)</f>
        <v/>
      </c>
      <c r="K226" s="34" t="str">
        <f ca="1">_xll.DBRW($B$9,$C$14,$C$15,K$20,J$19,$C$16,$C226,$B226,K$21)</f>
        <v/>
      </c>
      <c r="L226" s="34" t="str">
        <f ca="1">_xll.DBRW($B$9,$C$14,$C$15,L$20,L$19,$C$16,$C226,$B226,L$21)</f>
        <v/>
      </c>
      <c r="M226" s="34" t="str">
        <f ca="1">_xll.DBRW($B$9,$C$14,$C$15,M$20,L$19,$C$16,$C226,$B226,M$21)</f>
        <v/>
      </c>
      <c r="N226" s="34" t="str">
        <f ca="1">_xll.DBRW($B$9,$C$14,$C$15,N$20,N$19,$C$16,$C226,$B226,N$21)</f>
        <v/>
      </c>
      <c r="O226" s="34" t="str">
        <f ca="1">_xll.DBRW($B$9,$C$14,$C$15,O$20,N$19,$C$16,$C226,$B226,O$21)</f>
        <v/>
      </c>
      <c r="P226" s="34" t="str">
        <f ca="1">_xll.DBRW($B$9,$C$14,$C$15,P$20,$P$19,$C$16,$C226,$B226,P$21)</f>
        <v/>
      </c>
      <c r="Q226" s="34" t="str">
        <f ca="1">_xll.DBRW($B$9,$C$14,$C$15,Q$20,$P$19,$C$16,$C226,$B226,Q$21)</f>
        <v/>
      </c>
    </row>
    <row r="227" spans="1:17" x14ac:dyDescent="0.25">
      <c r="A227">
        <f ca="1">IF(_xll.TM1RPTELISCONSOLIDATED($C$22,$C227),IF(_xll.TM1RPTELLEV($C$22,$C227)&lt;=3,_xll.TM1RPTELLEV($C$22,$C227),"D"),"N")</f>
        <v>1</v>
      </c>
      <c r="B227" s="8" t="s">
        <v>75</v>
      </c>
      <c r="C227" s="39" t="s">
        <v>41</v>
      </c>
      <c r="D227" s="34" t="str">
        <f ca="1">_xll.DBRW($B$9,$C$14,$C$15,D$20,D$19,$C$16,$C227,$B227,D$21)</f>
        <v/>
      </c>
      <c r="E227" s="34" t="str">
        <f ca="1">_xll.DBRW($B$9,$C$14,$C$15,E$20,D$19,$C$16,$C227,$B227,E$21)</f>
        <v/>
      </c>
      <c r="F227" s="34" t="str">
        <f ca="1">_xll.DBRW($B$9,$C$14,$C$15,F$20,F$19,$C$16,$C227,$B227,F$21)</f>
        <v/>
      </c>
      <c r="G227" s="34" t="str">
        <f ca="1">_xll.DBRW($B$9,$C$14,$C$15,G$20,F$19,$C$16,$C227,$B227,G$21)</f>
        <v/>
      </c>
      <c r="H227" s="34" t="str">
        <f ca="1">_xll.DBRW($B$9,$C$14,$C$15,H$20,H$19,$C$16,$C227,$B227,H$21)</f>
        <v/>
      </c>
      <c r="I227" s="34" t="str">
        <f ca="1">_xll.DBRW($B$9,$C$14,$C$15,I$20,H$19,$C$16,$C227,$B227,I$21)</f>
        <v/>
      </c>
      <c r="J227" s="34" t="str">
        <f ca="1">_xll.DBRW($B$9,$C$14,$C$15,J$20,J$19,$C$16,$C227,$B227,J$21)</f>
        <v/>
      </c>
      <c r="K227" s="34" t="str">
        <f ca="1">_xll.DBRW($B$9,$C$14,$C$15,K$20,J$19,$C$16,$C227,$B227,K$21)</f>
        <v/>
      </c>
      <c r="L227" s="34" t="str">
        <f ca="1">_xll.DBRW($B$9,$C$14,$C$15,L$20,L$19,$C$16,$C227,$B227,L$21)</f>
        <v/>
      </c>
      <c r="M227" s="34" t="str">
        <f ca="1">_xll.DBRW($B$9,$C$14,$C$15,M$20,L$19,$C$16,$C227,$B227,M$21)</f>
        <v/>
      </c>
      <c r="N227" s="34" t="str">
        <f ca="1">_xll.DBRW($B$9,$C$14,$C$15,N$20,N$19,$C$16,$C227,$B227,N$21)</f>
        <v/>
      </c>
      <c r="O227" s="34" t="str">
        <f ca="1">_xll.DBRW($B$9,$C$14,$C$15,O$20,N$19,$C$16,$C227,$B227,O$21)</f>
        <v/>
      </c>
      <c r="P227" s="34" t="str">
        <f ca="1">_xll.DBRW($B$9,$C$14,$C$15,P$20,$P$19,$C$16,$C227,$B227,P$21)</f>
        <v/>
      </c>
      <c r="Q227" s="34" t="str">
        <f ca="1">_xll.DBRW($B$9,$C$14,$C$15,Q$20,$P$19,$C$16,$C227,$B227,Q$21)</f>
        <v/>
      </c>
    </row>
    <row r="228" spans="1:17" x14ac:dyDescent="0.25">
      <c r="A228">
        <f ca="1">IF(_xll.TM1RPTELISCONSOLIDATED($C$22,$C228),IF(_xll.TM1RPTELLEV($C$22,$C228)&lt;=3,_xll.TM1RPTELLEV($C$22,$C228),"D"),"N")</f>
        <v>1</v>
      </c>
      <c r="B228" s="8" t="s">
        <v>75</v>
      </c>
      <c r="C228" s="39" t="s">
        <v>42</v>
      </c>
      <c r="D228" s="34" t="str">
        <f ca="1">_xll.DBRW($B$9,$C$14,$C$15,D$20,D$19,$C$16,$C228,$B228,D$21)</f>
        <v/>
      </c>
      <c r="E228" s="34" t="str">
        <f ca="1">_xll.DBRW($B$9,$C$14,$C$15,E$20,D$19,$C$16,$C228,$B228,E$21)</f>
        <v/>
      </c>
      <c r="F228" s="34" t="str">
        <f ca="1">_xll.DBRW($B$9,$C$14,$C$15,F$20,F$19,$C$16,$C228,$B228,F$21)</f>
        <v/>
      </c>
      <c r="G228" s="34" t="str">
        <f ca="1">_xll.DBRW($B$9,$C$14,$C$15,G$20,F$19,$C$16,$C228,$B228,G$21)</f>
        <v/>
      </c>
      <c r="H228" s="34" t="str">
        <f ca="1">_xll.DBRW($B$9,$C$14,$C$15,H$20,H$19,$C$16,$C228,$B228,H$21)</f>
        <v/>
      </c>
      <c r="I228" s="34" t="str">
        <f ca="1">_xll.DBRW($B$9,$C$14,$C$15,I$20,H$19,$C$16,$C228,$B228,I$21)</f>
        <v/>
      </c>
      <c r="J228" s="34" t="str">
        <f ca="1">_xll.DBRW($B$9,$C$14,$C$15,J$20,J$19,$C$16,$C228,$B228,J$21)</f>
        <v/>
      </c>
      <c r="K228" s="34" t="str">
        <f ca="1">_xll.DBRW($B$9,$C$14,$C$15,K$20,J$19,$C$16,$C228,$B228,K$21)</f>
        <v/>
      </c>
      <c r="L228" s="34" t="str">
        <f ca="1">_xll.DBRW($B$9,$C$14,$C$15,L$20,L$19,$C$16,$C228,$B228,L$21)</f>
        <v/>
      </c>
      <c r="M228" s="34" t="str">
        <f ca="1">_xll.DBRW($B$9,$C$14,$C$15,M$20,L$19,$C$16,$C228,$B228,M$21)</f>
        <v/>
      </c>
      <c r="N228" s="34" t="str">
        <f ca="1">_xll.DBRW($B$9,$C$14,$C$15,N$20,N$19,$C$16,$C228,$B228,N$21)</f>
        <v/>
      </c>
      <c r="O228" s="34" t="str">
        <f ca="1">_xll.DBRW($B$9,$C$14,$C$15,O$20,N$19,$C$16,$C228,$B228,O$21)</f>
        <v/>
      </c>
      <c r="P228" s="34" t="str">
        <f ca="1">_xll.DBRW($B$9,$C$14,$C$15,P$20,$P$19,$C$16,$C228,$B228,P$21)</f>
        <v/>
      </c>
      <c r="Q228" s="34" t="str">
        <f ca="1">_xll.DBRW($B$9,$C$14,$C$15,Q$20,$P$19,$C$16,$C228,$B228,Q$21)</f>
        <v/>
      </c>
    </row>
  </sheetData>
  <mergeCells count="7">
    <mergeCell ref="P19:Q19"/>
    <mergeCell ref="D19:E19"/>
    <mergeCell ref="H19:I19"/>
    <mergeCell ref="J19:K19"/>
    <mergeCell ref="L19:M19"/>
    <mergeCell ref="N19:O19"/>
    <mergeCell ref="F19:G19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8194" r:id="rId4" name="TIButton1">
          <controlPr defaultSize="0" print="0" autoLine="0" r:id="rId5">
            <anchor moveWithCells="1">
              <from>
                <xdr:col>8</xdr:col>
                <xdr:colOff>419100</xdr:colOff>
                <xdr:row>13</xdr:row>
                <xdr:rowOff>0</xdr:rowOff>
              </from>
              <to>
                <xdr:col>10</xdr:col>
                <xdr:colOff>552450</xdr:colOff>
                <xdr:row>15</xdr:row>
                <xdr:rowOff>123825</xdr:rowOff>
              </to>
            </anchor>
          </controlPr>
        </control>
      </mc:Choice>
      <mc:Fallback>
        <control shapeId="8194" r:id="rId4" name="TIButton1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B47"/>
  <sheetViews>
    <sheetView workbookViewId="0"/>
  </sheetViews>
  <sheetFormatPr defaultRowHeight="15" x14ac:dyDescent="0.25"/>
  <sheetData>
    <row r="19" spans="2:2" x14ac:dyDescent="0.25">
      <c r="B19" t="s">
        <v>6</v>
      </c>
    </row>
    <row r="20" spans="2:2" x14ac:dyDescent="0.25">
      <c r="B20" t="s">
        <v>7</v>
      </c>
    </row>
    <row r="21" spans="2:2" x14ac:dyDescent="0.25">
      <c r="B21" t="s">
        <v>8</v>
      </c>
    </row>
    <row r="22" spans="2:2" x14ac:dyDescent="0.25">
      <c r="B22" t="s">
        <v>9</v>
      </c>
    </row>
    <row r="23" spans="2:2" x14ac:dyDescent="0.25">
      <c r="B23" t="s">
        <v>10</v>
      </c>
    </row>
    <row r="24" spans="2:2" x14ac:dyDescent="0.25">
      <c r="B24" t="s">
        <v>11</v>
      </c>
    </row>
    <row r="25" spans="2:2" x14ac:dyDescent="0.25">
      <c r="B25" t="s">
        <v>12</v>
      </c>
    </row>
    <row r="26" spans="2:2" x14ac:dyDescent="0.25">
      <c r="B26" t="s">
        <v>13</v>
      </c>
    </row>
    <row r="27" spans="2:2" x14ac:dyDescent="0.25">
      <c r="B27" t="s">
        <v>14</v>
      </c>
    </row>
    <row r="28" spans="2:2" x14ac:dyDescent="0.25">
      <c r="B28" t="s">
        <v>15</v>
      </c>
    </row>
    <row r="29" spans="2:2" x14ac:dyDescent="0.25">
      <c r="B29" t="s">
        <v>16</v>
      </c>
    </row>
    <row r="30" spans="2:2" x14ac:dyDescent="0.25">
      <c r="B30" t="s">
        <v>17</v>
      </c>
    </row>
    <row r="31" spans="2:2" x14ac:dyDescent="0.25">
      <c r="B31" t="s">
        <v>18</v>
      </c>
    </row>
    <row r="32" spans="2:2" x14ac:dyDescent="0.25">
      <c r="B32" t="s">
        <v>19</v>
      </c>
    </row>
    <row r="33" spans="2:2" x14ac:dyDescent="0.25">
      <c r="B33" t="s">
        <v>20</v>
      </c>
    </row>
    <row r="34" spans="2:2" x14ac:dyDescent="0.25">
      <c r="B34" t="s">
        <v>21</v>
      </c>
    </row>
    <row r="35" spans="2:2" x14ac:dyDescent="0.25">
      <c r="B35" t="s">
        <v>22</v>
      </c>
    </row>
    <row r="36" spans="2:2" x14ac:dyDescent="0.25">
      <c r="B36" t="s">
        <v>23</v>
      </c>
    </row>
    <row r="37" spans="2:2" x14ac:dyDescent="0.25">
      <c r="B37" t="s">
        <v>24</v>
      </c>
    </row>
    <row r="38" spans="2:2" x14ac:dyDescent="0.25">
      <c r="B38" t="s">
        <v>25</v>
      </c>
    </row>
    <row r="39" spans="2:2" x14ac:dyDescent="0.25">
      <c r="B39" t="s">
        <v>26</v>
      </c>
    </row>
    <row r="40" spans="2:2" x14ac:dyDescent="0.25">
      <c r="B40" t="s">
        <v>27</v>
      </c>
    </row>
    <row r="41" spans="2:2" x14ac:dyDescent="0.25">
      <c r="B41" t="s">
        <v>28</v>
      </c>
    </row>
    <row r="42" spans="2:2" x14ac:dyDescent="0.25">
      <c r="B42" t="s">
        <v>29</v>
      </c>
    </row>
    <row r="43" spans="2:2" x14ac:dyDescent="0.25">
      <c r="B43" t="s">
        <v>30</v>
      </c>
    </row>
    <row r="44" spans="2:2" x14ac:dyDescent="0.25">
      <c r="B44" t="s">
        <v>31</v>
      </c>
    </row>
    <row r="45" spans="2:2" x14ac:dyDescent="0.25">
      <c r="B45" t="s">
        <v>32</v>
      </c>
    </row>
    <row r="46" spans="2:2" x14ac:dyDescent="0.25">
      <c r="B46" t="s">
        <v>33</v>
      </c>
    </row>
    <row r="47" spans="2:2" x14ac:dyDescent="0.25">
      <c r="B47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9:C27"/>
  <sheetViews>
    <sheetView workbookViewId="0"/>
  </sheetViews>
  <sheetFormatPr defaultRowHeight="15" x14ac:dyDescent="0.25"/>
  <sheetData>
    <row r="19" spans="3:3" x14ac:dyDescent="0.25">
      <c r="C19" t="s">
        <v>35</v>
      </c>
    </row>
    <row r="20" spans="3:3" x14ac:dyDescent="0.25">
      <c r="C20" t="s">
        <v>43</v>
      </c>
    </row>
    <row r="21" spans="3:3" x14ac:dyDescent="0.25">
      <c r="C21" t="s">
        <v>36</v>
      </c>
    </row>
    <row r="22" spans="3:3" x14ac:dyDescent="0.25">
      <c r="C22" t="s">
        <v>37</v>
      </c>
    </row>
    <row r="23" spans="3:3" x14ac:dyDescent="0.25">
      <c r="C23" t="s">
        <v>38</v>
      </c>
    </row>
    <row r="24" spans="3:3" x14ac:dyDescent="0.25">
      <c r="C24" t="s">
        <v>39</v>
      </c>
    </row>
    <row r="25" spans="3:3" x14ac:dyDescent="0.25">
      <c r="C25" t="s">
        <v>40</v>
      </c>
    </row>
    <row r="26" spans="3:3" x14ac:dyDescent="0.25">
      <c r="C26" t="s">
        <v>41</v>
      </c>
    </row>
    <row r="27" spans="3:3" x14ac:dyDescent="0.25">
      <c r="C2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12</vt:i4>
      </vt:variant>
    </vt:vector>
  </HeadingPairs>
  <TitlesOfParts>
    <vt:vector size="20" baseType="lpstr">
      <vt:lpstr>QTY</vt:lpstr>
      <vt:lpstr>Unit Price</vt:lpstr>
      <vt:lpstr>Sales</vt:lpstr>
      <vt:lpstr>{AR}01</vt:lpstr>
      <vt:lpstr>{AR}11</vt:lpstr>
      <vt:lpstr>Comments</vt:lpstr>
      <vt:lpstr>{AR}21</vt:lpstr>
      <vt:lpstr>{AR}31</vt:lpstr>
      <vt:lpstr>Comments!TM1RPTDATARNGARPT1</vt:lpstr>
      <vt:lpstr>QTY!TM1RPTDATARNGARPT1</vt:lpstr>
      <vt:lpstr>Sales!TM1RPTDATARNGARPT1</vt:lpstr>
      <vt:lpstr>'Unit Price'!TM1RPTDATARNGARPT1</vt:lpstr>
      <vt:lpstr>Comments!TM1RPTFMTIDCOL</vt:lpstr>
      <vt:lpstr>QTY!TM1RPTFMTIDCOL</vt:lpstr>
      <vt:lpstr>Sales!TM1RPTFMTIDCOL</vt:lpstr>
      <vt:lpstr>'Unit Price'!TM1RPTFMTIDCOL</vt:lpstr>
      <vt:lpstr>Comments!TM1RPTFMTRNG</vt:lpstr>
      <vt:lpstr>QTY!TM1RPTFMTRNG</vt:lpstr>
      <vt:lpstr>Sales!TM1RPTFMTRNG</vt:lpstr>
      <vt:lpstr>'Unit Price'!TM1RPTFMTRNG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Orsolya KRUPP</dc:creator>
  <cp:lastModifiedBy>Serveurs COGNOS</cp:lastModifiedBy>
  <dcterms:created xsi:type="dcterms:W3CDTF">2017-05-16T15:01:24Z</dcterms:created>
  <dcterms:modified xsi:type="dcterms:W3CDTF">2022-01-28T13:20:28Z</dcterms:modified>
</cp:coreProperties>
</file>