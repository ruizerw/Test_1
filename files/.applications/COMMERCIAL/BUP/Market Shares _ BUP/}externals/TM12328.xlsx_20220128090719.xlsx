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5\"/>
    </mc:Choice>
  </mc:AlternateContent>
  <bookViews>
    <workbookView xWindow="0" yWindow="0" windowWidth="12240" windowHeight="5505"/>
  </bookViews>
  <sheets>
    <sheet name="QTY" sheetId="1" r:id="rId1"/>
    <sheet name="Unit Price" sheetId="4" r:id="rId2"/>
    <sheet name="Sales" sheetId="5" r:id="rId3"/>
    <sheet name="{AR}01" sheetId="2" state="hidden" r:id="rId4"/>
    <sheet name="{AR}11" sheetId="3" state="hidden" r:id="rId5"/>
  </sheets>
  <definedNames>
    <definedName name="TM1REBUILDOPTION">1</definedName>
    <definedName name="TM1RPTDATARNGARPT1" localSheetId="0">QTY!$23:$23</definedName>
    <definedName name="TM1RPTDATARNGARPT1" localSheetId="2">Sales!$23:$23</definedName>
    <definedName name="TM1RPTDATARNGARPT1" localSheetId="1">'Unit Price'!$23:$23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0">QTY!$B$1:$T$8</definedName>
    <definedName name="TM1RPTFMTRNG" localSheetId="2">Sales!$B$1:$T$8</definedName>
    <definedName name="TM1RPTFMTRNG" localSheetId="1">'Unit Price'!$B$1:$T$8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5" l="1"/>
  <c r="C16" i="1"/>
  <c r="C16" i="5"/>
  <c r="C17" i="1"/>
  <c r="C17" i="5"/>
  <c r="C15" i="1"/>
  <c r="C15" i="5"/>
  <c r="C23" i="5"/>
  <c r="B23" i="5"/>
  <c r="B9" i="4"/>
  <c r="C16" i="4"/>
  <c r="C17" i="4"/>
  <c r="S20" i="4"/>
  <c r="C15" i="4"/>
  <c r="P20" i="4"/>
  <c r="M20" i="4"/>
  <c r="J20" i="4"/>
  <c r="G20" i="4"/>
  <c r="D20" i="4"/>
  <c r="C23" i="4"/>
  <c r="B23" i="4"/>
  <c r="B9" i="1"/>
  <c r="C23" i="1"/>
  <c r="B23" i="1"/>
  <c r="D23" i="5"/>
  <c r="D23" i="4"/>
  <c r="S23" i="5"/>
  <c r="T23" i="5"/>
  <c r="U23" i="5"/>
  <c r="P23" i="5"/>
  <c r="Q23" i="5"/>
  <c r="R23" i="5"/>
  <c r="M23" i="5"/>
  <c r="N23" i="5"/>
  <c r="O23" i="5"/>
  <c r="J23" i="5"/>
  <c r="K23" i="5"/>
  <c r="L23" i="5"/>
  <c r="G23" i="5"/>
  <c r="H23" i="5"/>
  <c r="I23" i="5"/>
  <c r="E23" i="5"/>
  <c r="F23" i="5"/>
  <c r="A23" i="5"/>
  <c r="A5" i="5"/>
  <c r="A4" i="5"/>
  <c r="A3" i="5"/>
  <c r="A2" i="5"/>
  <c r="S23" i="4"/>
  <c r="T23" i="4"/>
  <c r="U23" i="4"/>
  <c r="P23" i="4"/>
  <c r="Q23" i="4"/>
  <c r="R23" i="4"/>
  <c r="M23" i="4"/>
  <c r="N23" i="4"/>
  <c r="O23" i="4"/>
  <c r="J23" i="4"/>
  <c r="K23" i="4"/>
  <c r="L23" i="4"/>
  <c r="G23" i="4"/>
  <c r="H23" i="4"/>
  <c r="I23" i="4"/>
  <c r="E23" i="4"/>
  <c r="F23" i="4"/>
  <c r="A23" i="4"/>
  <c r="A5" i="4"/>
  <c r="A4" i="4"/>
  <c r="A3" i="4"/>
  <c r="A2" i="4"/>
  <c r="S23" i="1"/>
  <c r="T23" i="1"/>
  <c r="U23" i="1"/>
  <c r="P23" i="1"/>
  <c r="Q23" i="1"/>
  <c r="R23" i="1"/>
  <c r="M23" i="1"/>
  <c r="N23" i="1"/>
  <c r="O23" i="1"/>
  <c r="J23" i="1"/>
  <c r="K23" i="1"/>
  <c r="L23" i="1"/>
  <c r="G23" i="1"/>
  <c r="H23" i="1"/>
  <c r="I23" i="1"/>
  <c r="D23" i="1"/>
  <c r="E23" i="1"/>
  <c r="F23" i="1"/>
  <c r="A23" i="1"/>
  <c r="A5" i="1"/>
  <c r="A4" i="1"/>
  <c r="A3" i="1"/>
  <c r="A2" i="1"/>
</calcChain>
</file>

<file path=xl/sharedStrings.xml><?xml version="1.0" encoding="utf-8"?>
<sst xmlns="http://schemas.openxmlformats.org/spreadsheetml/2006/main" count="161" uniqueCount="58">
  <si>
    <t>Origin_Company</t>
  </si>
  <si>
    <t>Currency</t>
  </si>
  <si>
    <t>Prev_IC_mapping</t>
  </si>
  <si>
    <t>KUHN_Scope</t>
  </si>
  <si>
    <t>KUHN Sales</t>
  </si>
  <si>
    <t>QTY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</si>
  <si>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</si>
  <si>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</si>
  <si>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</si>
  <si>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</si>
  <si>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</si>
  <si>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</si>
  <si>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</si>
  <si>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</si>
  <si>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</si>
  <si>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</si>
  <si>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</si>
  <si>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</si>
  <si>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</si>
  <si>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</si>
  <si>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</si>
  <si>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</si>
  <si>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</si>
  <si>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</si>
  <si>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</si>
  <si>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</si>
  <si>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</si>
  <si>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</si>
  <si>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</si>
  <si>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</si>
  <si>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</si>
  <si>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</si>
  <si>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</si>
  <si>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</si>
  <si>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</si>
  <si>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Total Country SOM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</si>
  <si>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</si>
  <si>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</si>
  <si>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</si>
  <si>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</si>
  <si>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</si>
  <si>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</si>
  <si>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</si>
  <si>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</si>
  <si>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</si>
  <si>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</si>
  <si>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</si>
  <si>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</si>
  <si>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Market shares % (qty)</t>
  </si>
  <si>
    <t>AC2017</t>
  </si>
  <si>
    <t>FC3_2018</t>
  </si>
  <si>
    <t>PL2019 (update 2018)</t>
  </si>
  <si>
    <t>PL2020 (update 2018)</t>
  </si>
  <si>
    <t>PL2021 (update 2018)</t>
  </si>
  <si>
    <t>PL2022 (update 2018)</t>
  </si>
  <si>
    <t>Unit.Price</t>
  </si>
  <si>
    <t>%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</si>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</sst>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- &quot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164" fontId="3" fillId="2" borderId="1" xfId="0" applyNumberFormat="1" applyFont="1" applyFill="1" applyBorder="1" applyAlignment="1"/>
    <xf numFmtId="164" fontId="0" fillId="2" borderId="0" xfId="0" applyNumberFormat="1" applyFill="1" applyAlignment="1"/>
    <xf numFmtId="9" fontId="5" fillId="2" borderId="0" xfId="1" applyFont="1" applyFill="1"/>
    <xf numFmtId="4" fontId="6" fillId="0" borderId="0" xfId="0" applyNumberFormat="1" applyFont="1"/>
    <xf numFmtId="9" fontId="6" fillId="2" borderId="5" xfId="1" applyNumberFormat="1" applyFont="1" applyFill="1" applyBorder="1"/>
    <xf numFmtId="9" fontId="6" fillId="3" borderId="5" xfId="1" applyNumberFormat="1" applyFont="1" applyFill="1" applyBorder="1"/>
    <xf numFmtId="0" fontId="0" fillId="4" borderId="0" xfId="0" applyFill="1"/>
    <xf numFmtId="0" fontId="4" fillId="6" borderId="0" xfId="0" applyFont="1" applyFill="1" applyAlignment="1">
      <alignment horizontal="center"/>
    </xf>
    <xf numFmtId="0" fontId="0" fillId="7" borderId="0" xfId="0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3" fontId="6" fillId="2" borderId="2" xfId="0" applyNumberFormat="1" applyFont="1" applyFill="1" applyBorder="1"/>
    <xf numFmtId="3" fontId="6" fillId="2" borderId="6" xfId="0" applyNumberFormat="1" applyFont="1" applyFill="1" applyBorder="1"/>
    <xf numFmtId="3" fontId="6" fillId="3" borderId="3" xfId="0" applyNumberFormat="1" applyFont="1" applyFill="1" applyBorder="1"/>
    <xf numFmtId="3" fontId="6" fillId="3" borderId="0" xfId="0" applyNumberFormat="1" applyFont="1" applyFill="1" applyBorder="1"/>
    <xf numFmtId="3" fontId="6" fillId="3" borderId="4" xfId="0" applyNumberFormat="1" applyFont="1" applyFill="1" applyBorder="1"/>
    <xf numFmtId="3" fontId="6" fillId="3" borderId="7" xfId="0" applyNumberFormat="1" applyFont="1" applyFill="1" applyBorder="1"/>
    <xf numFmtId="3" fontId="6" fillId="0" borderId="0" xfId="0" applyNumberFormat="1" applyFont="1"/>
    <xf numFmtId="0" fontId="0" fillId="0" borderId="0" xfId="0" applyFill="1"/>
    <xf numFmtId="0" fontId="4" fillId="6" borderId="0" xfId="0" applyFon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651933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15400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447675</xdr:colOff>
          <xdr:row>16</xdr:row>
          <xdr:rowOff>171450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84666</xdr:rowOff>
    </xdr:from>
    <xdr:to>
      <xdr:col>4</xdr:col>
      <xdr:colOff>651933</xdr:colOff>
      <xdr:row>13</xdr:row>
      <xdr:rowOff>84666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7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4097" name="TIButton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16933</xdr:colOff>
      <xdr:row>9</xdr:row>
      <xdr:rowOff>8466</xdr:rowOff>
    </xdr:from>
    <xdr:to>
      <xdr:col>4</xdr:col>
      <xdr:colOff>668866</xdr:colOff>
      <xdr:row>13</xdr:row>
      <xdr:rowOff>8466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" y="7535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V23"/>
  <sheetViews>
    <sheetView showGridLines="0" tabSelected="1" topLeftCell="B1" zoomScale="90" zoomScaleNormal="90" workbookViewId="0">
      <pane xSplit="2" ySplit="22" topLeftCell="D23" activePane="bottomRight" state="frozen"/>
      <selection activeCell="B10" sqref="B10"/>
      <selection pane="topRight" activeCell="D10" sqref="D10"/>
      <selection pane="bottomLeft" activeCell="B23" sqref="B23"/>
      <selection pane="bottomRight" activeCell="C15" sqref="C15"/>
    </sheetView>
  </sheetViews>
  <sheetFormatPr defaultColWidth="0" defaultRowHeight="15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  <col min="23" max="16384" width="11.5703125" hidden="1"/>
  </cols>
  <sheetData>
    <row r="1" spans="1:22" hidden="1" x14ac:dyDescent="0.25">
      <c r="A1" t="s">
        <v>46</v>
      </c>
    </row>
    <row r="2" spans="1:22" hidden="1" x14ac:dyDescent="0.25">
      <c r="A2">
        <f>0</f>
        <v>0</v>
      </c>
      <c r="B2" s="2"/>
      <c r="C2" s="1"/>
      <c r="D2" s="16"/>
      <c r="E2" s="17"/>
      <c r="F2" s="8"/>
      <c r="G2" s="16"/>
      <c r="H2" s="17"/>
      <c r="I2" s="8"/>
      <c r="J2" s="16"/>
      <c r="K2" s="17"/>
      <c r="L2" s="8"/>
      <c r="M2" s="16"/>
      <c r="N2" s="17"/>
      <c r="O2" s="8"/>
      <c r="P2" s="16"/>
      <c r="Q2" s="17"/>
      <c r="R2" s="8"/>
      <c r="S2" s="16"/>
      <c r="T2" s="17"/>
      <c r="U2" s="8"/>
    </row>
    <row r="3" spans="1:22" hidden="1" x14ac:dyDescent="0.25">
      <c r="A3">
        <f>1</f>
        <v>1</v>
      </c>
      <c r="B3" s="3"/>
      <c r="C3" s="10"/>
      <c r="D3" s="18"/>
      <c r="E3" s="19"/>
      <c r="F3" s="9"/>
      <c r="G3" s="18"/>
      <c r="H3" s="19"/>
      <c r="I3" s="9"/>
      <c r="J3" s="18"/>
      <c r="K3" s="19"/>
      <c r="L3" s="9"/>
      <c r="M3" s="18"/>
      <c r="N3" s="19"/>
      <c r="O3" s="9"/>
      <c r="P3" s="18"/>
      <c r="Q3" s="19"/>
      <c r="R3" s="9"/>
      <c r="S3" s="18"/>
      <c r="T3" s="19"/>
      <c r="U3" s="9"/>
    </row>
    <row r="4" spans="1:22" hidden="1" x14ac:dyDescent="0.25">
      <c r="A4">
        <f>2</f>
        <v>2</v>
      </c>
      <c r="B4" s="3"/>
      <c r="C4" s="10"/>
      <c r="D4" s="18"/>
      <c r="E4" s="19"/>
      <c r="F4" s="9"/>
      <c r="G4" s="18"/>
      <c r="H4" s="19"/>
      <c r="I4" s="9"/>
      <c r="J4" s="18"/>
      <c r="K4" s="19"/>
      <c r="L4" s="9"/>
      <c r="M4" s="18"/>
      <c r="N4" s="19"/>
      <c r="O4" s="9"/>
      <c r="P4" s="18"/>
      <c r="Q4" s="19"/>
      <c r="R4" s="9"/>
      <c r="S4" s="18"/>
      <c r="T4" s="19"/>
      <c r="U4" s="9"/>
    </row>
    <row r="5" spans="1:22" hidden="1" x14ac:dyDescent="0.25">
      <c r="A5">
        <f>3</f>
        <v>3</v>
      </c>
      <c r="B5" s="3"/>
      <c r="C5" s="10"/>
      <c r="D5" s="18"/>
      <c r="E5" s="19"/>
      <c r="F5" s="9"/>
      <c r="G5" s="18"/>
      <c r="H5" s="19"/>
      <c r="I5" s="9"/>
      <c r="J5" s="18"/>
      <c r="K5" s="19"/>
      <c r="L5" s="9"/>
      <c r="M5" s="18"/>
      <c r="N5" s="19"/>
      <c r="O5" s="9"/>
      <c r="P5" s="18"/>
      <c r="Q5" s="19"/>
      <c r="R5" s="9"/>
      <c r="S5" s="18"/>
      <c r="T5" s="19"/>
      <c r="U5" s="9"/>
    </row>
    <row r="6" spans="1:22" hidden="1" x14ac:dyDescent="0.25">
      <c r="A6" t="s">
        <v>44</v>
      </c>
      <c r="B6" s="3"/>
      <c r="C6" s="10"/>
      <c r="D6" s="20"/>
      <c r="E6" s="21"/>
      <c r="F6" s="9"/>
      <c r="G6" s="20"/>
      <c r="H6" s="21"/>
      <c r="I6" s="9"/>
      <c r="J6" s="20"/>
      <c r="K6" s="21"/>
      <c r="L6" s="9"/>
      <c r="M6" s="20"/>
      <c r="N6" s="21"/>
      <c r="O6" s="9"/>
      <c r="P6" s="20"/>
      <c r="Q6" s="21"/>
      <c r="R6" s="9"/>
      <c r="S6" s="20"/>
      <c r="T6" s="21"/>
      <c r="U6" s="9"/>
    </row>
    <row r="7" spans="1:22" hidden="1" x14ac:dyDescent="0.25">
      <c r="A7" t="s">
        <v>45</v>
      </c>
      <c r="B7" s="3"/>
      <c r="C7" s="10"/>
      <c r="D7" s="22"/>
      <c r="E7" s="22"/>
      <c r="F7" s="7"/>
      <c r="G7" s="22"/>
      <c r="H7" s="22"/>
      <c r="I7" s="7"/>
      <c r="J7" s="22"/>
      <c r="K7" s="22"/>
      <c r="L7" s="7"/>
      <c r="M7" s="22"/>
      <c r="N7" s="22"/>
      <c r="O7" s="7"/>
      <c r="P7" s="22"/>
      <c r="Q7" s="22"/>
      <c r="R7" s="7"/>
      <c r="S7" s="22"/>
      <c r="T7" s="22"/>
      <c r="U7" s="7"/>
    </row>
    <row r="8" spans="1:22" hidden="1" x14ac:dyDescent="0.25">
      <c r="A8" t="s">
        <v>47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3"/>
    </row>
    <row r="10" spans="1:22" s="12" customFormat="1" x14ac:dyDescent="0.25">
      <c r="V10" s="23"/>
    </row>
    <row r="11" spans="1:22" s="12" customFormat="1" x14ac:dyDescent="0.25">
      <c r="V11" s="23"/>
    </row>
    <row r="12" spans="1:22" s="12" customFormat="1" x14ac:dyDescent="0.25">
      <c r="V12" s="23"/>
    </row>
    <row r="13" spans="1:22" s="12" customFormat="1" x14ac:dyDescent="0.25">
      <c r="V13" s="23"/>
    </row>
    <row r="14" spans="1:22" s="13" customFormat="1" x14ac:dyDescent="0.25">
      <c r="V14" s="23"/>
    </row>
    <row r="15" spans="1:22" s="13" customFormat="1" x14ac:dyDescent="0.25">
      <c r="B15" s="14" t="s">
        <v>0</v>
      </c>
      <c r="C15" s="15" t="str">
        <f ca="1">_xll.SUBNM("CXMD:DIM_Origin_Company","","KNL","Name EN")</f>
        <v>KNL</v>
      </c>
      <c r="V15" s="23"/>
    </row>
    <row r="16" spans="1:22" s="13" customFormat="1" x14ac:dyDescent="0.25">
      <c r="B16" s="14" t="s">
        <v>1</v>
      </c>
      <c r="C16" s="15" t="str">
        <f ca="1">_xll.SUBNM("CXMD:Currency","","CD_LC","Description EN")</f>
        <v>Local currency</v>
      </c>
      <c r="V16" s="23"/>
    </row>
    <row r="17" spans="1:22" s="13" customFormat="1" x14ac:dyDescent="0.25">
      <c r="B17" s="14" t="s">
        <v>2</v>
      </c>
      <c r="C17" s="15" t="str">
        <f ca="1">_xll.SUBNM("CXMD:DIM_Prev_IC_mapping","","99 - Kuhn Group","Groupement_Alias")</f>
        <v>99 - Kuhn Group</v>
      </c>
      <c r="V17" s="23"/>
    </row>
    <row r="18" spans="1:22" s="13" customFormat="1" x14ac:dyDescent="0.25">
      <c r="V18" s="23"/>
    </row>
    <row r="19" spans="1:22" s="13" customFormat="1" x14ac:dyDescent="0.25">
      <c r="V19" s="23"/>
    </row>
    <row r="20" spans="1:22" ht="16.899999999999999" customHeight="1" x14ac:dyDescent="0.25">
      <c r="B20" s="13"/>
      <c r="C20" s="13"/>
      <c r="D20" s="24" t="s">
        <v>49</v>
      </c>
      <c r="E20" s="24"/>
      <c r="F20" s="24" t="s">
        <v>48</v>
      </c>
      <c r="G20" s="24" t="s">
        <v>50</v>
      </c>
      <c r="H20" s="24"/>
      <c r="I20" s="24" t="s">
        <v>48</v>
      </c>
      <c r="J20" s="24" t="s">
        <v>51</v>
      </c>
      <c r="K20" s="24"/>
      <c r="L20" s="24" t="s">
        <v>48</v>
      </c>
      <c r="M20" s="24" t="s">
        <v>52</v>
      </c>
      <c r="N20" s="24"/>
      <c r="O20" s="24" t="s">
        <v>48</v>
      </c>
      <c r="P20" s="24" t="s">
        <v>53</v>
      </c>
      <c r="Q20" s="24"/>
      <c r="R20" s="24" t="s">
        <v>48</v>
      </c>
      <c r="S20" s="24" t="s">
        <v>54</v>
      </c>
      <c r="T20" s="24"/>
      <c r="U20" s="24" t="s">
        <v>48</v>
      </c>
      <c r="V20" s="23"/>
    </row>
    <row r="21" spans="1:22" x14ac:dyDescent="0.25">
      <c r="B21" s="13"/>
      <c r="C21" s="13"/>
      <c r="D21" s="11" t="s">
        <v>3</v>
      </c>
      <c r="E21" s="11" t="s">
        <v>4</v>
      </c>
      <c r="F21" s="24"/>
      <c r="G21" s="11" t="s">
        <v>3</v>
      </c>
      <c r="H21" s="11" t="s">
        <v>4</v>
      </c>
      <c r="I21" s="24"/>
      <c r="J21" s="11" t="s">
        <v>3</v>
      </c>
      <c r="K21" s="11" t="s">
        <v>4</v>
      </c>
      <c r="L21" s="24"/>
      <c r="M21" s="11" t="s">
        <v>3</v>
      </c>
      <c r="N21" s="11" t="s">
        <v>4</v>
      </c>
      <c r="O21" s="24"/>
      <c r="P21" s="11" t="s">
        <v>3</v>
      </c>
      <c r="Q21" s="11" t="s">
        <v>4</v>
      </c>
      <c r="R21" s="24"/>
      <c r="S21" s="11" t="s">
        <v>3</v>
      </c>
      <c r="T21" s="11" t="s">
        <v>4</v>
      </c>
      <c r="U21" s="24"/>
    </row>
    <row r="22" spans="1:22" x14ac:dyDescent="0.25">
      <c r="B22" s="13"/>
      <c r="C22" s="13"/>
      <c r="D22" s="11" t="s">
        <v>5</v>
      </c>
      <c r="E22" s="11" t="s">
        <v>5</v>
      </c>
      <c r="F22" s="24"/>
      <c r="G22" s="11" t="s">
        <v>5</v>
      </c>
      <c r="H22" s="11" t="s">
        <v>5</v>
      </c>
      <c r="I22" s="24"/>
      <c r="J22" s="11" t="s">
        <v>5</v>
      </c>
      <c r="K22" s="11" t="s">
        <v>5</v>
      </c>
      <c r="L22" s="24"/>
      <c r="M22" s="11" t="s">
        <v>5</v>
      </c>
      <c r="N22" s="11" t="s">
        <v>5</v>
      </c>
      <c r="O22" s="24"/>
      <c r="P22" s="11" t="s">
        <v>5</v>
      </c>
      <c r="Q22" s="11" t="s">
        <v>5</v>
      </c>
      <c r="R22" s="24"/>
      <c r="S22" s="11" t="s">
        <v>5</v>
      </c>
      <c r="T22" s="11" t="s">
        <v>5</v>
      </c>
      <c r="U22" s="24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_xll.TM1RPTROW($B$9,"CXMD:DIM_Configuration","Product_Line","","Description EN",0)</f>
        <v/>
      </c>
      <c r="C23" s="5" t="str">
        <f ca="1">_xll.TM1RPTROW($B$9,"CXMD:DIM_Country","Total Country SOM","","Description",0)</f>
        <v/>
      </c>
      <c r="D23" s="16" t="str">
        <f ca="1">_xll.DBRW($B$9,$C$16,$C$17,D$21,D$20,$C$15,$C23,$B23,D$22)</f>
        <v/>
      </c>
      <c r="E23" s="17" t="str">
        <f ca="1">_xll.DBRW($B$9,$C$16,$C$17,E$21,D$20,$C$15,$C23,$B23,E$22)</f>
        <v/>
      </c>
      <c r="F23" s="8" t="e">
        <f ca="1">IF(D23&lt;&gt;0,E23/D23,0)</f>
        <v>#VALUE!</v>
      </c>
      <c r="G23" s="16" t="str">
        <f ca="1">_xll.DBRW($B$9,$C$16,$C$17,G$21,G$20,$C$15,$C23,$B23,G$22)</f>
        <v/>
      </c>
      <c r="H23" s="17" t="str">
        <f ca="1">_xll.DBRW($B$9,$C$16,$C$17,H$21,G$20,$C$15,$C23,$B23,H$22)</f>
        <v/>
      </c>
      <c r="I23" s="8" t="e">
        <f ca="1">IF(G23&lt;&gt;0,H23/G23,0)</f>
        <v>#VALUE!</v>
      </c>
      <c r="J23" s="16" t="str">
        <f ca="1">_xll.DBRW($B$9,$C$16,$C$17,J$21,J$20,$C$15,$C23,$B23,J$22)</f>
        <v/>
      </c>
      <c r="K23" s="17" t="str">
        <f ca="1">_xll.DBRW($B$9,$C$16,$C$17,K$21,J$20,$C$15,$C23,$B23,K$22)</f>
        <v/>
      </c>
      <c r="L23" s="8" t="e">
        <f ca="1">IF(J23&lt;&gt;0,K23/J23,0)</f>
        <v>#VALUE!</v>
      </c>
      <c r="M23" s="16" t="str">
        <f ca="1">_xll.DBRW($B$9,$C$16,$C$17,M$21,M$20,$C$15,$C23,$B23,M$22)</f>
        <v/>
      </c>
      <c r="N23" s="17" t="str">
        <f ca="1">_xll.DBRW($B$9,$C$16,$C$17,N$21,M$20,$C$15,$C23,$B23,N$22)</f>
        <v/>
      </c>
      <c r="O23" s="8" t="e">
        <f ca="1">IF(M23&lt;&gt;0,N23/M23,0)</f>
        <v>#VALUE!</v>
      </c>
      <c r="P23" s="16" t="str">
        <f ca="1">_xll.DBRW($B$9,$C$16,$C$17,P$21,P$20,$C$15,$C23,$B23,P$22)</f>
        <v/>
      </c>
      <c r="Q23" s="17" t="str">
        <f ca="1">_xll.DBRW($B$9,$C$16,$C$17,Q$21,P$20,$C$15,$C23,$B23,Q$22)</f>
        <v/>
      </c>
      <c r="R23" s="8" t="e">
        <f ca="1">IF(P23&lt;&gt;0,Q23/P23,0)</f>
        <v>#VALUE!</v>
      </c>
      <c r="S23" s="16" t="str">
        <f ca="1">_xll.DBRW($B$9,$C$16,$C$17,S$21,S$20,$C$15,$C23,$B23,S$22)</f>
        <v/>
      </c>
      <c r="T23" s="17" t="str">
        <f ca="1">_xll.DBRW($B$9,$C$16,$C$17,T$21,S$20,$C$15,$C23,$B23,T$22)</f>
        <v/>
      </c>
      <c r="U23" s="6" t="e">
        <f ca="1">IF(S23&lt;&gt;0,T23/S23,0)</f>
        <v>#VALUE!</v>
      </c>
    </row>
  </sheetData>
  <mergeCells count="12">
    <mergeCell ref="U20:U22"/>
    <mergeCell ref="M20:N20"/>
    <mergeCell ref="J20:K20"/>
    <mergeCell ref="G20:H20"/>
    <mergeCell ref="D20:E20"/>
    <mergeCell ref="S20:T20"/>
    <mergeCell ref="P20:Q20"/>
    <mergeCell ref="F20:F22"/>
    <mergeCell ref="I20:I22"/>
    <mergeCell ref="L20:L22"/>
    <mergeCell ref="O20:O22"/>
    <mergeCell ref="R20:R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447675</xdr:colOff>
                <xdr:row>16</xdr:row>
                <xdr:rowOff>171450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V23"/>
  <sheetViews>
    <sheetView showGridLines="0" topLeftCell="B10" zoomScale="90" zoomScaleNormal="90" workbookViewId="0">
      <selection activeCell="C15" sqref="C15"/>
    </sheetView>
  </sheetViews>
  <sheetFormatPr defaultColWidth="0" defaultRowHeight="15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  <col min="23" max="16384" width="11.5703125" hidden="1"/>
  </cols>
  <sheetData>
    <row r="1" spans="1:22" hidden="1" x14ac:dyDescent="0.25">
      <c r="A1" t="s">
        <v>46</v>
      </c>
    </row>
    <row r="2" spans="1:22" hidden="1" x14ac:dyDescent="0.25">
      <c r="A2">
        <f>0</f>
        <v>0</v>
      </c>
      <c r="B2" s="2"/>
      <c r="C2" s="1"/>
      <c r="D2" s="16"/>
      <c r="E2" s="17"/>
      <c r="F2" s="8"/>
      <c r="G2" s="16"/>
      <c r="H2" s="17"/>
      <c r="I2" s="8"/>
      <c r="J2" s="16"/>
      <c r="K2" s="17"/>
      <c r="L2" s="8"/>
      <c r="M2" s="16"/>
      <c r="N2" s="17"/>
      <c r="O2" s="8"/>
      <c r="P2" s="16"/>
      <c r="Q2" s="17"/>
      <c r="R2" s="8"/>
      <c r="S2" s="16"/>
      <c r="T2" s="17"/>
      <c r="U2" s="8"/>
    </row>
    <row r="3" spans="1:22" hidden="1" x14ac:dyDescent="0.25">
      <c r="A3">
        <f>1</f>
        <v>1</v>
      </c>
      <c r="B3" s="3"/>
      <c r="C3" s="10"/>
      <c r="D3" s="18"/>
      <c r="E3" s="19"/>
      <c r="F3" s="9"/>
      <c r="G3" s="18"/>
      <c r="H3" s="19"/>
      <c r="I3" s="9"/>
      <c r="J3" s="18"/>
      <c r="K3" s="19"/>
      <c r="L3" s="9"/>
      <c r="M3" s="18"/>
      <c r="N3" s="19"/>
      <c r="O3" s="9"/>
      <c r="P3" s="18"/>
      <c r="Q3" s="19"/>
      <c r="R3" s="9"/>
      <c r="S3" s="18"/>
      <c r="T3" s="19"/>
      <c r="U3" s="9"/>
    </row>
    <row r="4" spans="1:22" hidden="1" x14ac:dyDescent="0.25">
      <c r="A4">
        <f>2</f>
        <v>2</v>
      </c>
      <c r="B4" s="3"/>
      <c r="C4" s="10"/>
      <c r="D4" s="18"/>
      <c r="E4" s="19"/>
      <c r="F4" s="9"/>
      <c r="G4" s="18"/>
      <c r="H4" s="19"/>
      <c r="I4" s="9"/>
      <c r="J4" s="18"/>
      <c r="K4" s="19"/>
      <c r="L4" s="9"/>
      <c r="M4" s="18"/>
      <c r="N4" s="19"/>
      <c r="O4" s="9"/>
      <c r="P4" s="18"/>
      <c r="Q4" s="19"/>
      <c r="R4" s="9"/>
      <c r="S4" s="18"/>
      <c r="T4" s="19"/>
      <c r="U4" s="9"/>
    </row>
    <row r="5" spans="1:22" hidden="1" x14ac:dyDescent="0.25">
      <c r="A5">
        <f>3</f>
        <v>3</v>
      </c>
      <c r="B5" s="3"/>
      <c r="C5" s="10"/>
      <c r="D5" s="18"/>
      <c r="E5" s="19"/>
      <c r="F5" s="9"/>
      <c r="G5" s="18"/>
      <c r="H5" s="19"/>
      <c r="I5" s="9"/>
      <c r="J5" s="18"/>
      <c r="K5" s="19"/>
      <c r="L5" s="9"/>
      <c r="M5" s="18"/>
      <c r="N5" s="19"/>
      <c r="O5" s="9"/>
      <c r="P5" s="18"/>
      <c r="Q5" s="19"/>
      <c r="R5" s="9"/>
      <c r="S5" s="18"/>
      <c r="T5" s="19"/>
      <c r="U5" s="9"/>
    </row>
    <row r="6" spans="1:22" hidden="1" x14ac:dyDescent="0.25">
      <c r="A6" t="s">
        <v>44</v>
      </c>
      <c r="B6" s="3"/>
      <c r="C6" s="10"/>
      <c r="D6" s="20"/>
      <c r="E6" s="21"/>
      <c r="F6" s="9"/>
      <c r="G6" s="20"/>
      <c r="H6" s="21"/>
      <c r="I6" s="9"/>
      <c r="J6" s="20"/>
      <c r="K6" s="21"/>
      <c r="L6" s="9"/>
      <c r="M6" s="20"/>
      <c r="N6" s="21"/>
      <c r="O6" s="9"/>
      <c r="P6" s="20"/>
      <c r="Q6" s="21"/>
      <c r="R6" s="9"/>
      <c r="S6" s="20"/>
      <c r="T6" s="21"/>
      <c r="U6" s="9"/>
    </row>
    <row r="7" spans="1:22" hidden="1" x14ac:dyDescent="0.25">
      <c r="A7" t="s">
        <v>45</v>
      </c>
      <c r="B7" s="3"/>
      <c r="C7" s="10"/>
      <c r="D7" s="22"/>
      <c r="E7" s="22"/>
      <c r="F7" s="7"/>
      <c r="G7" s="22"/>
      <c r="H7" s="22"/>
      <c r="I7" s="7"/>
      <c r="J7" s="22"/>
      <c r="K7" s="22"/>
      <c r="L7" s="7"/>
      <c r="M7" s="22"/>
      <c r="N7" s="22"/>
      <c r="O7" s="7"/>
      <c r="P7" s="22"/>
      <c r="Q7" s="22"/>
      <c r="R7" s="7"/>
      <c r="S7" s="22"/>
      <c r="T7" s="22"/>
      <c r="U7" s="7"/>
    </row>
    <row r="8" spans="1:22" hidden="1" x14ac:dyDescent="0.25">
      <c r="A8" t="s">
        <v>47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3"/>
    </row>
    <row r="10" spans="1:22" s="12" customFormat="1" x14ac:dyDescent="0.25">
      <c r="V10" s="23"/>
    </row>
    <row r="11" spans="1:22" s="12" customFormat="1" x14ac:dyDescent="0.25">
      <c r="V11" s="23"/>
    </row>
    <row r="12" spans="1:22" s="12" customFormat="1" x14ac:dyDescent="0.25">
      <c r="V12" s="23"/>
    </row>
    <row r="13" spans="1:22" s="12" customFormat="1" x14ac:dyDescent="0.25">
      <c r="V13" s="23"/>
    </row>
    <row r="14" spans="1:22" s="13" customFormat="1" x14ac:dyDescent="0.25">
      <c r="V14" s="23"/>
    </row>
    <row r="15" spans="1:22" s="13" customFormat="1" x14ac:dyDescent="0.25">
      <c r="B15" s="14" t="s">
        <v>0</v>
      </c>
      <c r="C15" s="15" t="str">
        <f ca="1">QTY!C15</f>
        <v>KNL</v>
      </c>
      <c r="V15" s="23"/>
    </row>
    <row r="16" spans="1:22" s="13" customFormat="1" x14ac:dyDescent="0.25">
      <c r="B16" s="14" t="s">
        <v>1</v>
      </c>
      <c r="C16" s="15" t="str">
        <f ca="1">QTY!C16</f>
        <v>Local currency</v>
      </c>
      <c r="V16" s="23"/>
    </row>
    <row r="17" spans="1:22" s="13" customFormat="1" x14ac:dyDescent="0.25">
      <c r="B17" s="14" t="s">
        <v>2</v>
      </c>
      <c r="C17" s="15" t="str">
        <f ca="1">QTY!C17</f>
        <v>99 - Kuhn Group</v>
      </c>
      <c r="V17" s="23"/>
    </row>
    <row r="18" spans="1:22" s="13" customFormat="1" x14ac:dyDescent="0.25">
      <c r="V18" s="23"/>
    </row>
    <row r="19" spans="1:22" s="13" customFormat="1" x14ac:dyDescent="0.25">
      <c r="V19" s="23"/>
    </row>
    <row r="20" spans="1:22" ht="16.899999999999999" customHeight="1" x14ac:dyDescent="0.25">
      <c r="B20" s="13"/>
      <c r="C20" s="13"/>
      <c r="D20" s="24" t="str">
        <f>QTY!D20</f>
        <v>AC2017</v>
      </c>
      <c r="E20" s="24"/>
      <c r="F20" s="24" t="s">
        <v>56</v>
      </c>
      <c r="G20" s="24" t="str">
        <f>QTY!G20</f>
        <v>FC3_2018</v>
      </c>
      <c r="H20" s="24"/>
      <c r="I20" s="24" t="s">
        <v>56</v>
      </c>
      <c r="J20" s="24" t="str">
        <f>QTY!J20</f>
        <v>PL2019 (update 2018)</v>
      </c>
      <c r="K20" s="24"/>
      <c r="L20" s="24" t="s">
        <v>56</v>
      </c>
      <c r="M20" s="24" t="str">
        <f>QTY!M20</f>
        <v>PL2020 (update 2018)</v>
      </c>
      <c r="N20" s="24"/>
      <c r="O20" s="24" t="s">
        <v>56</v>
      </c>
      <c r="P20" s="24" t="str">
        <f>QTY!P20</f>
        <v>PL2021 (update 2018)</v>
      </c>
      <c r="Q20" s="24"/>
      <c r="R20" s="24" t="s">
        <v>56</v>
      </c>
      <c r="S20" s="24" t="str">
        <f>QTY!S20</f>
        <v>PL2022 (update 2018)</v>
      </c>
      <c r="T20" s="24"/>
      <c r="U20" s="24" t="s">
        <v>56</v>
      </c>
      <c r="V20" s="23"/>
    </row>
    <row r="21" spans="1:22" x14ac:dyDescent="0.25">
      <c r="B21" s="13"/>
      <c r="C21" s="13"/>
      <c r="D21" s="11" t="s">
        <v>3</v>
      </c>
      <c r="E21" s="11" t="s">
        <v>4</v>
      </c>
      <c r="F21" s="24"/>
      <c r="G21" s="11" t="s">
        <v>3</v>
      </c>
      <c r="H21" s="11" t="s">
        <v>4</v>
      </c>
      <c r="I21" s="24"/>
      <c r="J21" s="11" t="s">
        <v>3</v>
      </c>
      <c r="K21" s="11" t="s">
        <v>4</v>
      </c>
      <c r="L21" s="24"/>
      <c r="M21" s="11" t="s">
        <v>3</v>
      </c>
      <c r="N21" s="11" t="s">
        <v>4</v>
      </c>
      <c r="O21" s="24"/>
      <c r="P21" s="11" t="s">
        <v>3</v>
      </c>
      <c r="Q21" s="11" t="s">
        <v>4</v>
      </c>
      <c r="R21" s="24"/>
      <c r="S21" s="11" t="s">
        <v>3</v>
      </c>
      <c r="T21" s="11" t="s">
        <v>4</v>
      </c>
      <c r="U21" s="24"/>
    </row>
    <row r="22" spans="1:22" x14ac:dyDescent="0.25">
      <c r="B22" s="13"/>
      <c r="C22" s="13"/>
      <c r="D22" s="11" t="s">
        <v>55</v>
      </c>
      <c r="E22" s="11" t="s">
        <v>55</v>
      </c>
      <c r="F22" s="24"/>
      <c r="G22" s="11" t="s">
        <v>55</v>
      </c>
      <c r="H22" s="11" t="s">
        <v>55</v>
      </c>
      <c r="I22" s="24"/>
      <c r="J22" s="11" t="s">
        <v>55</v>
      </c>
      <c r="K22" s="11" t="s">
        <v>55</v>
      </c>
      <c r="L22" s="24"/>
      <c r="M22" s="11" t="s">
        <v>55</v>
      </c>
      <c r="N22" s="11" t="s">
        <v>55</v>
      </c>
      <c r="O22" s="24"/>
      <c r="P22" s="11" t="s">
        <v>55</v>
      </c>
      <c r="Q22" s="11" t="s">
        <v>55</v>
      </c>
      <c r="R22" s="24"/>
      <c r="S22" s="11" t="s">
        <v>55</v>
      </c>
      <c r="T22" s="11" t="s">
        <v>55</v>
      </c>
      <c r="U22" s="24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_xll.TM1RPTROW($B$9,"CXMD:DIM_Configuration","Product_Line",,"Description EN",0)</f>
        <v/>
      </c>
      <c r="C23" s="5" t="str">
        <f ca="1">_xll.TM1RPTROW($B$9,"CXMD:DIM_Country","Total Country SOM","","Description",0)</f>
        <v/>
      </c>
      <c r="D23" s="16" t="str">
        <f ca="1">_xll.DBRW($B$9,$C$16,$C$17,D$21,D$20,$C$15,$C23,$B23,D$22)</f>
        <v/>
      </c>
      <c r="E23" s="17" t="str">
        <f ca="1">_xll.DBRW($B$9,$C$16,$C$17,E$21,D$20,$C$15,$C23,$B23,E$22)</f>
        <v/>
      </c>
      <c r="F23" s="8" t="e">
        <f ca="1">IF(D23&lt;&gt;0,E23/D23,0)</f>
        <v>#VALUE!</v>
      </c>
      <c r="G23" s="16" t="str">
        <f ca="1">_xll.DBRW($B$9,$C$16,$C$17,G$21,G$20,$C$15,$C23,$B23,G$22)</f>
        <v/>
      </c>
      <c r="H23" s="17" t="str">
        <f ca="1">_xll.DBRW($B$9,$C$16,$C$17,H$21,G$20,$C$15,$C23,$B23,H$22)</f>
        <v/>
      </c>
      <c r="I23" s="8" t="e">
        <f ca="1">IF(G23&lt;&gt;0,H23/G23,0)</f>
        <v>#VALUE!</v>
      </c>
      <c r="J23" s="16" t="str">
        <f ca="1">_xll.DBRW($B$9,$C$16,$C$17,J$21,J$20,$C$15,$C23,$B23,J$22)</f>
        <v/>
      </c>
      <c r="K23" s="17" t="str">
        <f ca="1">_xll.DBRW($B$9,$C$16,$C$17,K$21,J$20,$C$15,$C23,$B23,K$22)</f>
        <v/>
      </c>
      <c r="L23" s="8" t="e">
        <f ca="1">IF(J23&lt;&gt;0,K23/J23,0)</f>
        <v>#VALUE!</v>
      </c>
      <c r="M23" s="16" t="str">
        <f ca="1">_xll.DBRW($B$9,$C$16,$C$17,M$21,M$20,$C$15,$C23,$B23,M$22)</f>
        <v/>
      </c>
      <c r="N23" s="17" t="str">
        <f ca="1">_xll.DBRW($B$9,$C$16,$C$17,N$21,M$20,$C$15,$C23,$B23,N$22)</f>
        <v/>
      </c>
      <c r="O23" s="8" t="e">
        <f ca="1">IF(M23&lt;&gt;0,N23/M23,0)</f>
        <v>#VALUE!</v>
      </c>
      <c r="P23" s="16" t="str">
        <f ca="1">_xll.DBRW($B$9,$C$16,$C$17,P$21,P$20,$C$15,$C23,$B23,P$22)</f>
        <v/>
      </c>
      <c r="Q23" s="17" t="str">
        <f ca="1">_xll.DBRW($B$9,$C$16,$C$17,Q$21,P$20,$C$15,$C23,$B23,Q$22)</f>
        <v/>
      </c>
      <c r="R23" s="8" t="e">
        <f ca="1">IF(P23&lt;&gt;0,Q23/P23,0)</f>
        <v>#VALUE!</v>
      </c>
      <c r="S23" s="16" t="str">
        <f ca="1">_xll.DBRW($B$9,$C$16,$C$17,S$21,S$20,$C$15,$C23,$B23,S$22)</f>
        <v/>
      </c>
      <c r="T23" s="17" t="str">
        <f ca="1">_xll.DBRW($B$9,$C$16,$C$17,T$21,S$20,$C$15,$C23,$B23,T$22)</f>
        <v/>
      </c>
      <c r="U23" s="6" t="e">
        <f ca="1">IF(S23&lt;&gt;0,T23/S23,0)</f>
        <v>#VALUE!</v>
      </c>
    </row>
  </sheetData>
  <mergeCells count="12">
    <mergeCell ref="U20:U22"/>
    <mergeCell ref="D20:E20"/>
    <mergeCell ref="F20:F22"/>
    <mergeCell ref="G20:H20"/>
    <mergeCell ref="I20:I22"/>
    <mergeCell ref="J20:K20"/>
    <mergeCell ref="L20:L22"/>
    <mergeCell ref="M20:N20"/>
    <mergeCell ref="O20:O22"/>
    <mergeCell ref="P20:Q20"/>
    <mergeCell ref="R20:R22"/>
    <mergeCell ref="S20:T20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4097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V23"/>
  <sheetViews>
    <sheetView showGridLines="0" topLeftCell="B10" zoomScale="90" zoomScaleNormal="90" workbookViewId="0">
      <selection activeCell="B9" sqref="B9"/>
    </sheetView>
  </sheetViews>
  <sheetFormatPr defaultColWidth="0" defaultRowHeight="15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  <col min="23" max="16384" width="11.5703125" hidden="1"/>
  </cols>
  <sheetData>
    <row r="1" spans="1:22" hidden="1" x14ac:dyDescent="0.25">
      <c r="A1" t="s">
        <v>46</v>
      </c>
    </row>
    <row r="2" spans="1:22" hidden="1" x14ac:dyDescent="0.25">
      <c r="A2">
        <f>0</f>
        <v>0</v>
      </c>
      <c r="B2" s="2"/>
      <c r="C2" s="1"/>
      <c r="D2" s="16"/>
      <c r="E2" s="17"/>
      <c r="F2" s="8"/>
      <c r="G2" s="16"/>
      <c r="H2" s="17"/>
      <c r="I2" s="8"/>
      <c r="J2" s="16"/>
      <c r="K2" s="17"/>
      <c r="L2" s="8"/>
      <c r="M2" s="16"/>
      <c r="N2" s="17"/>
      <c r="O2" s="8"/>
      <c r="P2" s="16"/>
      <c r="Q2" s="17"/>
      <c r="R2" s="8"/>
      <c r="S2" s="16"/>
      <c r="T2" s="17"/>
      <c r="U2" s="8"/>
    </row>
    <row r="3" spans="1:22" hidden="1" x14ac:dyDescent="0.25">
      <c r="A3">
        <f>1</f>
        <v>1</v>
      </c>
      <c r="B3" s="3"/>
      <c r="C3" s="10"/>
      <c r="D3" s="18"/>
      <c r="E3" s="19"/>
      <c r="F3" s="9"/>
      <c r="G3" s="18"/>
      <c r="H3" s="19"/>
      <c r="I3" s="9"/>
      <c r="J3" s="18"/>
      <c r="K3" s="19"/>
      <c r="L3" s="9"/>
      <c r="M3" s="18"/>
      <c r="N3" s="19"/>
      <c r="O3" s="9"/>
      <c r="P3" s="18"/>
      <c r="Q3" s="19"/>
      <c r="R3" s="9"/>
      <c r="S3" s="18"/>
      <c r="T3" s="19"/>
      <c r="U3" s="9"/>
    </row>
    <row r="4" spans="1:22" hidden="1" x14ac:dyDescent="0.25">
      <c r="A4">
        <f>2</f>
        <v>2</v>
      </c>
      <c r="B4" s="3"/>
      <c r="C4" s="10"/>
      <c r="D4" s="18"/>
      <c r="E4" s="19"/>
      <c r="F4" s="9"/>
      <c r="G4" s="18"/>
      <c r="H4" s="19"/>
      <c r="I4" s="9"/>
      <c r="J4" s="18"/>
      <c r="K4" s="19"/>
      <c r="L4" s="9"/>
      <c r="M4" s="18"/>
      <c r="N4" s="19"/>
      <c r="O4" s="9"/>
      <c r="P4" s="18"/>
      <c r="Q4" s="19"/>
      <c r="R4" s="9"/>
      <c r="S4" s="18"/>
      <c r="T4" s="19"/>
      <c r="U4" s="9"/>
    </row>
    <row r="5" spans="1:22" hidden="1" x14ac:dyDescent="0.25">
      <c r="A5">
        <f>3</f>
        <v>3</v>
      </c>
      <c r="B5" s="3"/>
      <c r="C5" s="10"/>
      <c r="D5" s="18"/>
      <c r="E5" s="19"/>
      <c r="F5" s="9"/>
      <c r="G5" s="18"/>
      <c r="H5" s="19"/>
      <c r="I5" s="9"/>
      <c r="J5" s="18"/>
      <c r="K5" s="19"/>
      <c r="L5" s="9"/>
      <c r="M5" s="18"/>
      <c r="N5" s="19"/>
      <c r="O5" s="9"/>
      <c r="P5" s="18"/>
      <c r="Q5" s="19"/>
      <c r="R5" s="9"/>
      <c r="S5" s="18"/>
      <c r="T5" s="19"/>
      <c r="U5" s="9"/>
    </row>
    <row r="6" spans="1:22" hidden="1" x14ac:dyDescent="0.25">
      <c r="A6" t="s">
        <v>44</v>
      </c>
      <c r="B6" s="3"/>
      <c r="C6" s="10"/>
      <c r="D6" s="20"/>
      <c r="E6" s="21"/>
      <c r="F6" s="9"/>
      <c r="G6" s="20"/>
      <c r="H6" s="21"/>
      <c r="I6" s="9"/>
      <c r="J6" s="20"/>
      <c r="K6" s="21"/>
      <c r="L6" s="9"/>
      <c r="M6" s="20"/>
      <c r="N6" s="21"/>
      <c r="O6" s="9"/>
      <c r="P6" s="20"/>
      <c r="Q6" s="21"/>
      <c r="R6" s="9"/>
      <c r="S6" s="20"/>
      <c r="T6" s="21"/>
      <c r="U6" s="9"/>
    </row>
    <row r="7" spans="1:22" hidden="1" x14ac:dyDescent="0.25">
      <c r="A7" t="s">
        <v>45</v>
      </c>
      <c r="B7" s="3"/>
      <c r="C7" s="10"/>
      <c r="D7" s="22"/>
      <c r="E7" s="22"/>
      <c r="F7" s="7"/>
      <c r="G7" s="22"/>
      <c r="H7" s="22"/>
      <c r="I7" s="7"/>
      <c r="J7" s="22"/>
      <c r="K7" s="22"/>
      <c r="L7" s="7"/>
      <c r="M7" s="22"/>
      <c r="N7" s="22"/>
      <c r="O7" s="7"/>
      <c r="P7" s="22"/>
      <c r="Q7" s="22"/>
      <c r="R7" s="7"/>
      <c r="S7" s="22"/>
      <c r="T7" s="22"/>
      <c r="U7" s="7"/>
    </row>
    <row r="8" spans="1:22" hidden="1" x14ac:dyDescent="0.25">
      <c r="A8" t="s">
        <v>47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3"/>
    </row>
    <row r="10" spans="1:22" s="12" customFormat="1" x14ac:dyDescent="0.25">
      <c r="V10" s="23"/>
    </row>
    <row r="11" spans="1:22" s="12" customFormat="1" x14ac:dyDescent="0.25">
      <c r="V11" s="23"/>
    </row>
    <row r="12" spans="1:22" s="12" customFormat="1" x14ac:dyDescent="0.25">
      <c r="V12" s="23"/>
    </row>
    <row r="13" spans="1:22" s="12" customFormat="1" x14ac:dyDescent="0.25">
      <c r="V13" s="23"/>
    </row>
    <row r="14" spans="1:22" s="13" customFormat="1" x14ac:dyDescent="0.25">
      <c r="V14" s="23"/>
    </row>
    <row r="15" spans="1:22" s="13" customFormat="1" x14ac:dyDescent="0.25">
      <c r="B15" s="14" t="s">
        <v>0</v>
      </c>
      <c r="C15" s="15" t="str">
        <f ca="1">QTY!C15</f>
        <v>KNL</v>
      </c>
      <c r="V15" s="23"/>
    </row>
    <row r="16" spans="1:22" s="13" customFormat="1" x14ac:dyDescent="0.25">
      <c r="B16" s="14" t="s">
        <v>1</v>
      </c>
      <c r="C16" s="15" t="str">
        <f ca="1">QTY!C16</f>
        <v>Local currency</v>
      </c>
      <c r="V16" s="23"/>
    </row>
    <row r="17" spans="1:22" s="13" customFormat="1" x14ac:dyDescent="0.25">
      <c r="B17" s="14" t="s">
        <v>2</v>
      </c>
      <c r="C17" s="15" t="str">
        <f ca="1">QTY!C17</f>
        <v>99 - Kuhn Group</v>
      </c>
      <c r="V17" s="23"/>
    </row>
    <row r="18" spans="1:22" s="13" customFormat="1" x14ac:dyDescent="0.25">
      <c r="V18" s="23"/>
    </row>
    <row r="19" spans="1:22" s="13" customFormat="1" x14ac:dyDescent="0.25">
      <c r="V19" s="23"/>
    </row>
    <row r="20" spans="1:22" ht="16.899999999999999" customHeight="1" x14ac:dyDescent="0.25">
      <c r="B20" s="13"/>
      <c r="C20" s="13"/>
      <c r="D20" s="24" t="s">
        <v>49</v>
      </c>
      <c r="E20" s="24"/>
      <c r="F20" s="24" t="s">
        <v>56</v>
      </c>
      <c r="G20" s="24" t="s">
        <v>50</v>
      </c>
      <c r="H20" s="24"/>
      <c r="I20" s="24" t="s">
        <v>56</v>
      </c>
      <c r="J20" s="24" t="s">
        <v>51</v>
      </c>
      <c r="K20" s="24"/>
      <c r="L20" s="24" t="s">
        <v>56</v>
      </c>
      <c r="M20" s="24" t="s">
        <v>52</v>
      </c>
      <c r="N20" s="24"/>
      <c r="O20" s="24" t="s">
        <v>56</v>
      </c>
      <c r="P20" s="24" t="s">
        <v>53</v>
      </c>
      <c r="Q20" s="24"/>
      <c r="R20" s="24" t="s">
        <v>56</v>
      </c>
      <c r="S20" s="24" t="s">
        <v>54</v>
      </c>
      <c r="T20" s="24"/>
      <c r="U20" s="24" t="s">
        <v>56</v>
      </c>
      <c r="V20" s="23"/>
    </row>
    <row r="21" spans="1:22" x14ac:dyDescent="0.25">
      <c r="B21" s="13"/>
      <c r="C21" s="13"/>
      <c r="D21" s="11" t="s">
        <v>3</v>
      </c>
      <c r="E21" s="11" t="s">
        <v>4</v>
      </c>
      <c r="F21" s="24"/>
      <c r="G21" s="11" t="s">
        <v>3</v>
      </c>
      <c r="H21" s="11" t="s">
        <v>4</v>
      </c>
      <c r="I21" s="24"/>
      <c r="J21" s="11" t="s">
        <v>3</v>
      </c>
      <c r="K21" s="11" t="s">
        <v>4</v>
      </c>
      <c r="L21" s="24"/>
      <c r="M21" s="11" t="s">
        <v>3</v>
      </c>
      <c r="N21" s="11" t="s">
        <v>4</v>
      </c>
      <c r="O21" s="24"/>
      <c r="P21" s="11" t="s">
        <v>3</v>
      </c>
      <c r="Q21" s="11" t="s">
        <v>4</v>
      </c>
      <c r="R21" s="24"/>
      <c r="S21" s="11" t="s">
        <v>3</v>
      </c>
      <c r="T21" s="11" t="s">
        <v>4</v>
      </c>
      <c r="U21" s="24"/>
    </row>
    <row r="22" spans="1:22" x14ac:dyDescent="0.25">
      <c r="B22" s="13"/>
      <c r="C22" s="13"/>
      <c r="D22" s="11" t="s">
        <v>57</v>
      </c>
      <c r="E22" s="11" t="s">
        <v>57</v>
      </c>
      <c r="F22" s="24"/>
      <c r="G22" s="11" t="s">
        <v>57</v>
      </c>
      <c r="H22" s="11" t="s">
        <v>57</v>
      </c>
      <c r="I22" s="24"/>
      <c r="J22" s="11" t="s">
        <v>57</v>
      </c>
      <c r="K22" s="11" t="s">
        <v>57</v>
      </c>
      <c r="L22" s="24"/>
      <c r="M22" s="11" t="s">
        <v>57</v>
      </c>
      <c r="N22" s="11" t="s">
        <v>57</v>
      </c>
      <c r="O22" s="24"/>
      <c r="P22" s="11" t="s">
        <v>57</v>
      </c>
      <c r="Q22" s="11" t="s">
        <v>57</v>
      </c>
      <c r="R22" s="24"/>
      <c r="S22" s="11" t="s">
        <v>57</v>
      </c>
      <c r="T22" s="11" t="s">
        <v>57</v>
      </c>
      <c r="U22" s="24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_xll.TM1RPTROW($B$9,"CXMD:DIM_Configuration","Product_Line",,"Description EN",0)</f>
        <v/>
      </c>
      <c r="C23" s="5" t="str">
        <f ca="1">_xll.TM1RPTROW($B$9,"CXMD:DIM_Country","Total Country SOM","","Description",0)</f>
        <v/>
      </c>
      <c r="D23" s="16" t="str">
        <f ca="1">_xll.DBRW($B$9,$C$16,$C$17,D$21,D$20,$C$15,$C23,$B23,D$22)</f>
        <v/>
      </c>
      <c r="E23" s="17" t="str">
        <f ca="1">_xll.DBRW($B$9,$C$16,$C$17,E$21,D$20,$C$15,$C23,$B23,E$22)</f>
        <v/>
      </c>
      <c r="F23" s="8" t="e">
        <f ca="1">IF(D23&lt;&gt;0,E23/D23,0)</f>
        <v>#VALUE!</v>
      </c>
      <c r="G23" s="16" t="str">
        <f ca="1">_xll.DBRW($B$9,$C$16,$C$17,G$21,G$20,$C$15,$C23,$B23,G$22)</f>
        <v/>
      </c>
      <c r="H23" s="17" t="str">
        <f ca="1">_xll.DBRW($B$9,$C$16,$C$17,H$21,G$20,$C$15,$C23,$B23,H$22)</f>
        <v/>
      </c>
      <c r="I23" s="8" t="e">
        <f ca="1">IF(G23&lt;&gt;0,H23/G23,0)</f>
        <v>#VALUE!</v>
      </c>
      <c r="J23" s="16" t="str">
        <f ca="1">_xll.DBRW($B$9,$C$16,$C$17,J$21,J$20,$C$15,$C23,$B23,J$22)</f>
        <v/>
      </c>
      <c r="K23" s="17" t="str">
        <f ca="1">_xll.DBRW($B$9,$C$16,$C$17,K$21,J$20,$C$15,$C23,$B23,K$22)</f>
        <v/>
      </c>
      <c r="L23" s="8" t="e">
        <f ca="1">IF(J23&lt;&gt;0,K23/J23,0)</f>
        <v>#VALUE!</v>
      </c>
      <c r="M23" s="16" t="str">
        <f ca="1">_xll.DBRW($B$9,$C$16,$C$17,M$21,M$20,$C$15,$C23,$B23,M$22)</f>
        <v/>
      </c>
      <c r="N23" s="17" t="str">
        <f ca="1">_xll.DBRW($B$9,$C$16,$C$17,N$21,M$20,$C$15,$C23,$B23,N$22)</f>
        <v/>
      </c>
      <c r="O23" s="8" t="e">
        <f ca="1">IF(M23&lt;&gt;0,N23/M23,0)</f>
        <v>#VALUE!</v>
      </c>
      <c r="P23" s="16" t="str">
        <f ca="1">_xll.DBRW($B$9,$C$16,$C$17,P$21,P$20,$C$15,$C23,$B23,P$22)</f>
        <v/>
      </c>
      <c r="Q23" s="17" t="str">
        <f ca="1">_xll.DBRW($B$9,$C$16,$C$17,Q$21,P$20,$C$15,$C23,$B23,Q$22)</f>
        <v/>
      </c>
      <c r="R23" s="8" t="e">
        <f ca="1">IF(P23&lt;&gt;0,Q23/P23,0)</f>
        <v>#VALUE!</v>
      </c>
      <c r="S23" s="16" t="str">
        <f ca="1">_xll.DBRW($B$9,$C$16,$C$17,S$21,S$20,$C$15,$C23,$B23,S$22)</f>
        <v/>
      </c>
      <c r="T23" s="17" t="str">
        <f ca="1">_xll.DBRW($B$9,$C$16,$C$17,T$21,S$20,$C$15,$C23,$B23,T$22)</f>
        <v/>
      </c>
      <c r="U23" s="6" t="e">
        <f ca="1">IF(S23&lt;&gt;0,T23/S23,0)</f>
        <v>#VALUE!</v>
      </c>
    </row>
  </sheetData>
  <mergeCells count="12">
    <mergeCell ref="U20:U22"/>
    <mergeCell ref="D20:E20"/>
    <mergeCell ref="F20:F22"/>
    <mergeCell ref="G20:H20"/>
    <mergeCell ref="I20:I22"/>
    <mergeCell ref="J20:K20"/>
    <mergeCell ref="L20:L22"/>
    <mergeCell ref="M20:N20"/>
    <mergeCell ref="O20:O22"/>
    <mergeCell ref="P20:Q20"/>
    <mergeCell ref="R20:R22"/>
    <mergeCell ref="S20:T20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topLeftCell="A7" workbookViewId="0"/>
  </sheetViews>
  <sheetFormatPr defaultColWidth="11.42578125" defaultRowHeight="15" x14ac:dyDescent="0.25"/>
  <sheetData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topLeftCell="A10" workbookViewId="0"/>
  </sheetViews>
  <sheetFormatPr defaultColWidth="11.42578125" defaultRowHeight="15" x14ac:dyDescent="0.25"/>
  <sheetData>
    <row r="19" spans="3:3" x14ac:dyDescent="0.25">
      <c r="C19" t="s">
        <v>35</v>
      </c>
    </row>
    <row r="20" spans="3:3" x14ac:dyDescent="0.25">
      <c r="C20" t="s">
        <v>43</v>
      </c>
    </row>
    <row r="21" spans="3:3" x14ac:dyDescent="0.25">
      <c r="C21" t="s">
        <v>36</v>
      </c>
    </row>
    <row r="22" spans="3:3" x14ac:dyDescent="0.25">
      <c r="C22" t="s">
        <v>37</v>
      </c>
    </row>
    <row r="23" spans="3:3" x14ac:dyDescent="0.25">
      <c r="C23" t="s">
        <v>38</v>
      </c>
    </row>
    <row r="24" spans="3:3" x14ac:dyDescent="0.25">
      <c r="C24" t="s">
        <v>39</v>
      </c>
    </row>
    <row r="25" spans="3:3" x14ac:dyDescent="0.25">
      <c r="C25" t="s">
        <v>40</v>
      </c>
    </row>
    <row r="26" spans="3:3" x14ac:dyDescent="0.25">
      <c r="C26" t="s">
        <v>41</v>
      </c>
    </row>
    <row r="27" spans="3:3" x14ac:dyDescent="0.25">
      <c r="C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QTY</vt:lpstr>
      <vt:lpstr>Unit Price</vt:lpstr>
      <vt:lpstr>Sales</vt:lpstr>
      <vt:lpstr>{AR}01</vt:lpstr>
      <vt:lpstr>{AR}11</vt:lpstr>
      <vt:lpstr>QTY!TM1RPTDATARNGARPT1</vt:lpstr>
      <vt:lpstr>Sales!TM1RPTDATARNGARPT1</vt:lpstr>
      <vt:lpstr>'Unit Price'!TM1RPTDATARNGARPT1</vt:lpstr>
      <vt:lpstr>QTY!TM1RPTFMTIDCOL</vt:lpstr>
      <vt:lpstr>Sales!TM1RPTFMTIDCOL</vt:lpstr>
      <vt:lpstr>'Unit Price'!TM1RPTFMTIDCOL</vt:lpstr>
      <vt:lpstr>QTY!TM1RPTFMTRNG</vt:lpstr>
      <vt:lpstr>Sales!TM1RPTFMTRNG</vt:lpstr>
      <vt:lpstr>'Unit Price'!TM1RPTFMTRNG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2017-05-16T15:01:24Z</dcterms:created>
  <dcterms:modified xsi:type="dcterms:W3CDTF">2022-01-28T09:07:13Z</dcterms:modified>
</cp:coreProperties>
</file>