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6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Price'!$M$16</definedName>
    <definedName name="configuration">QTY!$C$18</definedName>
    <definedName name="country">'Unit Price'!$M$18</definedName>
    <definedName name="currency">QTY!$C$16</definedName>
    <definedName name="market_actor">'Unit Price'!$M$17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Comments!$B$1:$P$8</definedName>
    <definedName name="TM1RPTFMTRNG" localSheetId="0">QTY!$B$1:$W$8</definedName>
    <definedName name="TM1RPTFMTRNG" localSheetId="2">Sales!$B$1:$W$8</definedName>
    <definedName name="TM1RPTFMTRNG" localSheetId="1">'Unit Price'!$B$1:$W$8</definedName>
    <definedName name="unit_price_global">'Unit Price'!$M$19</definedName>
  </definedNames>
  <calcPr calcId="162913" calcMode="manual" concurrentCalc="0"/>
</workbook>
</file>

<file path=xl/calcChain.xml><?xml version="1.0" encoding="utf-8"?>
<calcChain xmlns="http://schemas.openxmlformats.org/spreadsheetml/2006/main">
  <c r="A32" i="7" l="1"/>
  <c r="A31" i="7"/>
  <c r="A30" i="7"/>
  <c r="A29" i="7"/>
  <c r="A28" i="7"/>
  <c r="A27" i="7"/>
  <c r="A26" i="7"/>
  <c r="A25" i="7"/>
  <c r="B9" i="7"/>
  <c r="C15" i="7"/>
  <c r="C18" i="7"/>
  <c r="U22" i="1"/>
  <c r="O21" i="7"/>
  <c r="C17" i="1"/>
  <c r="C16" i="7"/>
  <c r="C18" i="1"/>
  <c r="C17" i="7"/>
  <c r="P32" i="7"/>
  <c r="O32" i="7"/>
  <c r="R22" i="1"/>
  <c r="M21" i="7"/>
  <c r="N32" i="7"/>
  <c r="M32" i="7"/>
  <c r="O22" i="1"/>
  <c r="K21" i="7"/>
  <c r="L32" i="7"/>
  <c r="K32" i="7"/>
  <c r="L22" i="1"/>
  <c r="I21" i="7"/>
  <c r="J32" i="7"/>
  <c r="I32" i="7"/>
  <c r="I22" i="1"/>
  <c r="G21" i="7"/>
  <c r="H32" i="7"/>
  <c r="G32" i="7"/>
  <c r="F22" i="1"/>
  <c r="E21" i="7"/>
  <c r="F32" i="7"/>
  <c r="E32" i="7"/>
  <c r="C22" i="1"/>
  <c r="C21" i="7"/>
  <c r="D32" i="7"/>
  <c r="C32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U24" i="1"/>
  <c r="U24" i="6"/>
  <c r="U22" i="6"/>
  <c r="C17" i="6"/>
  <c r="C18" i="6"/>
  <c r="U34" i="6"/>
  <c r="V24" i="1"/>
  <c r="V24" i="6"/>
  <c r="V34" i="6"/>
  <c r="W34" i="6"/>
  <c r="R24" i="1"/>
  <c r="R24" i="6"/>
  <c r="R22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U33" i="6"/>
  <c r="V33" i="6"/>
  <c r="W33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U32" i="6"/>
  <c r="V32" i="6"/>
  <c r="W32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U31" i="6"/>
  <c r="V31" i="6"/>
  <c r="W31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U30" i="6"/>
  <c r="V30" i="6"/>
  <c r="W30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U29" i="6"/>
  <c r="V29" i="6"/>
  <c r="W29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U28" i="6"/>
  <c r="V28" i="6"/>
  <c r="W28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U27" i="6"/>
  <c r="V27" i="6"/>
  <c r="W27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A34" i="1"/>
  <c r="A33" i="1"/>
  <c r="A32" i="1"/>
  <c r="A31" i="1"/>
  <c r="A30" i="1"/>
  <c r="A29" i="1"/>
  <c r="A28" i="1"/>
  <c r="A27" i="1"/>
  <c r="B9" i="1"/>
  <c r="U34" i="1"/>
  <c r="V34" i="1"/>
  <c r="W34" i="1"/>
  <c r="R34" i="1"/>
  <c r="S34" i="1"/>
  <c r="T34" i="1"/>
  <c r="O34" i="1"/>
  <c r="P34" i="1"/>
  <c r="Q34" i="1"/>
  <c r="L34" i="1"/>
  <c r="M34" i="1"/>
  <c r="N34" i="1"/>
  <c r="I34" i="1"/>
  <c r="J34" i="1"/>
  <c r="K34" i="1"/>
  <c r="F34" i="1"/>
  <c r="G34" i="1"/>
  <c r="H34" i="1"/>
  <c r="C34" i="1"/>
  <c r="D34" i="1"/>
  <c r="E34" i="1"/>
  <c r="U33" i="1"/>
  <c r="V33" i="1"/>
  <c r="W33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U32" i="1"/>
  <c r="V32" i="1"/>
  <c r="W32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U31" i="1"/>
  <c r="V31" i="1"/>
  <c r="W31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U30" i="1"/>
  <c r="V30" i="1"/>
  <c r="W30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U29" i="1"/>
  <c r="V29" i="1"/>
  <c r="W29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U28" i="1"/>
  <c r="V28" i="1"/>
  <c r="W28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U27" i="1"/>
  <c r="V27" i="1"/>
  <c r="W27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A36" i="9"/>
  <c r="A35" i="9"/>
  <c r="A34" i="9"/>
  <c r="A33" i="9"/>
  <c r="A32" i="9"/>
  <c r="A31" i="9"/>
  <c r="A30" i="9"/>
  <c r="A29" i="9"/>
  <c r="B9" i="9"/>
  <c r="C16" i="9"/>
  <c r="C19" i="9"/>
  <c r="U26" i="9"/>
  <c r="U24" i="9"/>
  <c r="C17" i="9"/>
  <c r="C18" i="9"/>
  <c r="U36" i="9"/>
  <c r="V26" i="9"/>
  <c r="V36" i="9"/>
  <c r="W36" i="9"/>
  <c r="R26" i="9"/>
  <c r="R24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U35" i="9"/>
  <c r="V35" i="9"/>
  <c r="W35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U34" i="9"/>
  <c r="V34" i="9"/>
  <c r="W34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U33" i="9"/>
  <c r="V33" i="9"/>
  <c r="W33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U32" i="9"/>
  <c r="V32" i="9"/>
  <c r="W32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U31" i="9"/>
  <c r="V31" i="9"/>
  <c r="W31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U30" i="9"/>
  <c r="V30" i="9"/>
  <c r="W30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U29" i="9"/>
  <c r="V29" i="9"/>
  <c r="W29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B24" i="7"/>
  <c r="B26" i="6"/>
  <c r="M18" i="9"/>
  <c r="B28" i="9"/>
  <c r="B26" i="1"/>
  <c r="F24" i="7"/>
  <c r="E24" i="7"/>
  <c r="F26" i="6"/>
  <c r="G26" i="6"/>
  <c r="H26" i="6"/>
  <c r="F28" i="9"/>
  <c r="G28" i="9"/>
  <c r="H28" i="9"/>
  <c r="F26" i="1"/>
  <c r="G26" i="1"/>
  <c r="H26" i="1"/>
  <c r="M17" i="9"/>
  <c r="M16" i="9"/>
  <c r="U28" i="9"/>
  <c r="V28" i="9"/>
  <c r="W28" i="9"/>
  <c r="R28" i="9"/>
  <c r="S28" i="9"/>
  <c r="T28" i="9"/>
  <c r="O28" i="9"/>
  <c r="P28" i="9"/>
  <c r="Q28" i="9"/>
  <c r="L28" i="9"/>
  <c r="M28" i="9"/>
  <c r="N28" i="9"/>
  <c r="I28" i="9"/>
  <c r="J28" i="9"/>
  <c r="K28" i="9"/>
  <c r="C28" i="9"/>
  <c r="D28" i="9"/>
  <c r="E28" i="9"/>
  <c r="A28" i="9"/>
  <c r="A5" i="9"/>
  <c r="A4" i="9"/>
  <c r="A3" i="9"/>
  <c r="A2" i="9"/>
  <c r="P24" i="7"/>
  <c r="N24" i="7"/>
  <c r="L24" i="7"/>
  <c r="J24" i="7"/>
  <c r="H24" i="7"/>
  <c r="D24" i="7"/>
  <c r="O24" i="7"/>
  <c r="M24" i="7"/>
  <c r="K24" i="7"/>
  <c r="I24" i="7"/>
  <c r="G24" i="7"/>
  <c r="C24" i="7"/>
  <c r="A24" i="7"/>
  <c r="A5" i="7"/>
  <c r="A4" i="7"/>
  <c r="A3" i="7"/>
  <c r="A2" i="7"/>
  <c r="V26" i="6"/>
  <c r="U26" i="6"/>
  <c r="S26" i="6"/>
  <c r="R26" i="6"/>
  <c r="P26" i="6"/>
  <c r="O26" i="6"/>
  <c r="M26" i="6"/>
  <c r="L26" i="6"/>
  <c r="J26" i="6"/>
  <c r="I26" i="6"/>
  <c r="D26" i="6"/>
  <c r="C26" i="6"/>
  <c r="W26" i="6"/>
  <c r="T26" i="6"/>
  <c r="Q26" i="6"/>
  <c r="N26" i="6"/>
  <c r="K26" i="6"/>
  <c r="E26" i="6"/>
  <c r="A26" i="6"/>
  <c r="A5" i="6"/>
  <c r="A4" i="6"/>
  <c r="A3" i="6"/>
  <c r="A2" i="6"/>
  <c r="C26" i="1"/>
  <c r="U26" i="1"/>
  <c r="V26" i="1"/>
  <c r="W26" i="1"/>
  <c r="R26" i="1"/>
  <c r="S26" i="1"/>
  <c r="T26" i="1"/>
  <c r="O26" i="1"/>
  <c r="P26" i="1"/>
  <c r="Q26" i="1"/>
  <c r="L26" i="1"/>
  <c r="M26" i="1"/>
  <c r="N26" i="1"/>
  <c r="I26" i="1"/>
  <c r="J26" i="1"/>
  <c r="K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<sst xmlns="http://schemas.openxmlformats.org/spreadsheetml/2006/main" count="161" uniqueCount="29">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</sst>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942"/>
  <ax:ocxPr ax:name="_ExtentY" ax:value="156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05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90"/>
  <ax:ocxPr ax:name="_ExtentY" ax:value="74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0</xdr:rowOff>
        </xdr:from>
        <xdr:to>
          <xdr:col>5</xdr:col>
          <xdr:colOff>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523875</xdr:colOff>
          <xdr:row>18</xdr:row>
          <xdr:rowOff>0</xdr:rowOff>
        </xdr:from>
        <xdr:to>
          <xdr:col>5</xdr:col>
          <xdr:colOff>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</xdr:colOff>
          <xdr:row>20</xdr:row>
          <xdr:rowOff>0</xdr:rowOff>
        </xdr:from>
        <xdr:to>
          <xdr:col>14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18</xdr:row>
          <xdr:rowOff>9525</xdr:rowOff>
        </xdr:from>
        <xdr:to>
          <xdr:col>4</xdr:col>
          <xdr:colOff>695325</xdr:colOff>
          <xdr:row>18</xdr:row>
          <xdr:rowOff>257175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15</xdr:row>
          <xdr:rowOff>142875</xdr:rowOff>
        </xdr:from>
        <xdr:to>
          <xdr:col>3</xdr:col>
          <xdr:colOff>1285875</xdr:colOff>
          <xdr:row>16</xdr:row>
          <xdr:rowOff>200025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Z58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7.7109375" style="33" bestFit="1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4" width="0.85546875" customWidth="1"/>
    <col min="25" max="25" width="11.42578125" hidden="1" customWidth="1"/>
    <col min="26" max="26" width="16.7109375" hidden="1" customWidth="1"/>
    <col min="27" max="16384" width="11.42578125" hidden="1"/>
  </cols>
  <sheetData>
    <row r="1" spans="1:23" ht="13.5" hidden="1" customHeight="1" x14ac:dyDescent="0.25">
      <c r="A1" t="s">
        <v>15</v>
      </c>
    </row>
    <row r="2" spans="1:23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</row>
    <row r="3" spans="1:23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</row>
    <row r="4" spans="1:23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</row>
    <row r="5" spans="1:23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</row>
    <row r="6" spans="1:23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</row>
    <row r="7" spans="1:23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</row>
    <row r="8" spans="1:23" ht="26.25" hidden="1" customHeight="1" x14ac:dyDescent="0.25">
      <c r="A8" t="s">
        <v>16</v>
      </c>
    </row>
    <row r="9" spans="1:23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3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</row>
    <row r="11" spans="1:23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</row>
    <row r="12" spans="1:23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</row>
    <row r="13" spans="1:23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  <c r="U13" s="9"/>
      <c r="V13" s="9"/>
      <c r="W13" s="39"/>
    </row>
    <row r="14" spans="1:23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</row>
    <row r="15" spans="1:23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</row>
    <row r="16" spans="1:23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7"/>
      <c r="K16" s="48"/>
      <c r="L16" s="42"/>
      <c r="M16" s="42"/>
      <c r="N16" s="43"/>
      <c r="O16" s="42"/>
      <c r="P16" s="42"/>
      <c r="Q16" s="43"/>
      <c r="R16" s="42"/>
      <c r="S16" s="42"/>
      <c r="T16" s="43"/>
      <c r="U16" s="42"/>
      <c r="V16" s="42"/>
      <c r="W16" s="43"/>
    </row>
    <row r="17" spans="1:23" s="23" customFormat="1" ht="18" customHeight="1" x14ac:dyDescent="0.25">
      <c r="B17" s="41" t="s">
        <v>1</v>
      </c>
      <c r="C17" s="25" t="str">
        <f ca="1">_xll.SUBNM("CXMD:DIM_Origin_Company","","-1","Name EN")</f>
        <v>Not available</v>
      </c>
      <c r="D17" s="42"/>
      <c r="E17" s="43"/>
      <c r="F17" s="42"/>
      <c r="G17" s="47"/>
      <c r="H17" s="49"/>
      <c r="I17" s="42"/>
      <c r="J17" s="47"/>
      <c r="K17" s="49"/>
      <c r="L17" s="42"/>
      <c r="M17" s="42"/>
      <c r="N17" s="43"/>
      <c r="O17" s="42"/>
      <c r="P17" s="42"/>
      <c r="Q17" s="43"/>
      <c r="R17" s="42"/>
      <c r="S17" s="42"/>
      <c r="T17" s="43"/>
      <c r="U17" s="42"/>
      <c r="V17" s="42"/>
      <c r="W17" s="43"/>
    </row>
    <row r="18" spans="1:23" s="23" customFormat="1" ht="18" customHeight="1" x14ac:dyDescent="0.25">
      <c r="B18" s="41" t="s">
        <v>2</v>
      </c>
      <c r="C18" s="25" t="str">
        <f ca="1">_xll.SUBNM("CXMD:DIM_Configuration","Product_Line","TOTAL PRODUCT","Description EN")</f>
        <v>TOTAL PRODUCT</v>
      </c>
      <c r="D18" s="42"/>
      <c r="E18" s="43"/>
      <c r="F18" s="42"/>
      <c r="G18" s="47"/>
      <c r="H18" s="49"/>
      <c r="I18" s="42"/>
      <c r="J18" s="47"/>
      <c r="K18" s="49"/>
      <c r="L18" s="42"/>
      <c r="M18" s="42"/>
      <c r="N18" s="43"/>
      <c r="O18" s="42"/>
      <c r="P18" s="42"/>
      <c r="Q18" s="43"/>
      <c r="R18" s="42"/>
      <c r="S18" s="42"/>
      <c r="T18" s="43"/>
      <c r="U18" s="42"/>
      <c r="V18" s="42"/>
      <c r="W18" s="43"/>
    </row>
    <row r="19" spans="1:23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7"/>
      <c r="K19" s="50"/>
      <c r="L19" s="42"/>
      <c r="M19" s="44"/>
      <c r="N19" s="43"/>
      <c r="O19" s="42"/>
      <c r="P19" s="42"/>
      <c r="Q19" s="43"/>
      <c r="R19" s="42"/>
      <c r="S19" s="42"/>
      <c r="T19" s="43"/>
      <c r="U19" s="42"/>
      <c r="V19" s="42"/>
      <c r="W19" s="43"/>
    </row>
    <row r="20" spans="1:23" s="23" customFormat="1" x14ac:dyDescent="0.25">
      <c r="B20" s="42"/>
      <c r="C20" s="42"/>
      <c r="D20" s="42"/>
      <c r="E20" s="43"/>
      <c r="F20" s="42"/>
      <c r="G20" s="51"/>
      <c r="H20" s="52"/>
      <c r="I20" s="42"/>
      <c r="J20" s="51"/>
      <c r="K20" s="52"/>
      <c r="L20" s="42"/>
      <c r="M20" s="42"/>
      <c r="N20" s="43"/>
      <c r="O20" s="42"/>
      <c r="P20" s="42"/>
      <c r="Q20" s="43"/>
      <c r="R20" s="42"/>
      <c r="S20" s="42"/>
      <c r="T20" s="43"/>
      <c r="U20" s="42"/>
      <c r="V20" s="42"/>
      <c r="W20" s="43"/>
    </row>
    <row r="21" spans="1:23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51"/>
      <c r="K21" s="52"/>
      <c r="L21" s="42"/>
      <c r="M21" s="42"/>
      <c r="N21" s="43"/>
      <c r="O21" s="42"/>
      <c r="P21" s="42"/>
      <c r="Q21" s="43"/>
      <c r="R21" s="42"/>
      <c r="S21" s="42"/>
      <c r="T21" s="43"/>
      <c r="U21" s="42"/>
      <c r="V21" s="42"/>
      <c r="W21" s="43"/>
    </row>
    <row r="22" spans="1:23" s="23" customFormat="1" ht="15.75" thickBot="1" x14ac:dyDescent="0.3">
      <c r="B22" s="42"/>
      <c r="C22" s="81" t="str">
        <f ca="1">_xll.SUBNM("CXMD:Actuality","Actuality_Market_Share","AC2019","Description EN")</f>
        <v>AC2019</v>
      </c>
      <c r="D22" s="82"/>
      <c r="E22" s="82"/>
      <c r="F22" s="81" t="str">
        <f ca="1">_xll.SUBNM("CXMD:Actuality","Actuality_Market_Share","AC2020","Description EN")</f>
        <v>AC2020</v>
      </c>
      <c r="G22" s="82"/>
      <c r="H22" s="83"/>
      <c r="I22" s="81" t="str">
        <f ca="1">_xll.SUBNM("CXMD:Actuality","Actuality_Market_Share","AC2021","Description EN")</f>
        <v>AC2021</v>
      </c>
      <c r="J22" s="82"/>
      <c r="K22" s="83"/>
      <c r="L22" s="82" t="str">
        <f ca="1">_xll.SUBNM("CXMD:Actuality","Actuality_Market_Share","AC2022","Description EN")</f>
        <v>AC2022</v>
      </c>
      <c r="M22" s="82"/>
      <c r="N22" s="83"/>
      <c r="O22" s="81" t="str">
        <f ca="1">_xll.SUBNM("CXMD:Actuality","Actuality_Market_Share","AC2023","Description EN")</f>
        <v>AC2023</v>
      </c>
      <c r="P22" s="82"/>
      <c r="Q22" s="83"/>
      <c r="R22" s="81" t="str">
        <f ca="1">_xll.SUBNM("CXMD:Actuality","Actuality_Market_Share","BU2024draft","Description EN")</f>
        <v>BU2024draft</v>
      </c>
      <c r="S22" s="82"/>
      <c r="T22" s="83"/>
      <c r="U22" s="81" t="str">
        <f ca="1">_xll.SUBNM("CXMD:Actuality","Actuality_Market_Share","PL2025 (update 2023)","Description EN")</f>
        <v>PL2025 (update 2023)</v>
      </c>
      <c r="V22" s="82"/>
      <c r="W22" s="83"/>
    </row>
    <row r="23" spans="1:23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  <c r="U23" s="53"/>
      <c r="V23" s="45"/>
      <c r="W23" s="54"/>
    </row>
    <row r="24" spans="1:23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  <c r="U24" s="53" t="str">
        <f ca="1">_xll.SUBNM("CXMD:Market_Actor","Market_Actor","Kuhn_scope","Description")</f>
        <v>KUHN_Scope</v>
      </c>
      <c r="V24" s="45" t="str">
        <f ca="1">_xll.SUBNM("CXMD:Market_Actor","Market_Actor","KUHN SOM","Description")</f>
        <v>KUHN Sales</v>
      </c>
      <c r="W24" s="55" t="s">
        <v>17</v>
      </c>
    </row>
    <row r="25" spans="1:23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  <c r="U25" s="56" t="s">
        <v>4</v>
      </c>
      <c r="V25" s="57" t="s">
        <v>4</v>
      </c>
      <c r="W25" s="58"/>
    </row>
    <row r="26" spans="1:23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2031.9999999999998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  <c r="U26" s="1">
        <f ca="1">_xll.DBRW($B$9,$C$16,$C$19,U$24,U$22,$C$17,$B26,$C$18,U$25)</f>
        <v>0</v>
      </c>
      <c r="V26" s="1">
        <f ca="1">_xll.DBRW($B$9,$C$16,$C$19,V$24,U$22,$C$17,$B26,$C$18,V$25)</f>
        <v>0</v>
      </c>
      <c r="W26" s="34">
        <f ca="1">IF(U26&lt;&gt;0,V26/U26,0)</f>
        <v>0</v>
      </c>
    </row>
    <row r="27" spans="1:23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  <c r="U27" s="2">
        <f ca="1">_xll.DBRW($B$9,$C$16,$C$19,U$24,U$22,$C$17,$B27,$C$18,U$25)</f>
        <v>0</v>
      </c>
      <c r="V27" s="2">
        <f ca="1">_xll.DBRW($B$9,$C$16,$C$19,V$24,U$22,$C$17,$B27,$C$18,V$25)</f>
        <v>0</v>
      </c>
      <c r="W27" s="35">
        <f t="shared" ref="W27:W34" ca="1" si="6">IF(U27&lt;&gt;0,V27/U27,0)</f>
        <v>0</v>
      </c>
    </row>
    <row r="28" spans="1:23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  <c r="U28" s="2">
        <f ca="1">_xll.DBRW($B$9,$C$16,$C$19,U$24,U$22,$C$17,$B28,$C$18,U$25)</f>
        <v>0</v>
      </c>
      <c r="V28" s="2">
        <f ca="1">_xll.DBRW($B$9,$C$16,$C$19,V$24,U$22,$C$17,$B28,$C$18,V$25)</f>
        <v>0</v>
      </c>
      <c r="W28" s="35">
        <f t="shared" ca="1" si="6"/>
        <v>0</v>
      </c>
    </row>
    <row r="29" spans="1:23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  <c r="U29" s="2">
        <f ca="1">_xll.DBRW($B$9,$C$16,$C$19,U$24,U$22,$C$17,$B29,$C$18,U$25)</f>
        <v>0</v>
      </c>
      <c r="V29" s="2">
        <f ca="1">_xll.DBRW($B$9,$C$16,$C$19,V$24,U$22,$C$17,$B29,$C$18,V$25)</f>
        <v>0</v>
      </c>
      <c r="W29" s="35">
        <f t="shared" ca="1" si="6"/>
        <v>0</v>
      </c>
    </row>
    <row r="30" spans="1:23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  <c r="U30" s="2">
        <f ca="1">_xll.DBRW($B$9,$C$16,$C$19,U$24,U$22,$C$17,$B30,$C$18,U$25)</f>
        <v>0</v>
      </c>
      <c r="V30" s="2">
        <f ca="1">_xll.DBRW($B$9,$C$16,$C$19,V$24,U$22,$C$17,$B30,$C$18,V$25)</f>
        <v>0</v>
      </c>
      <c r="W30" s="35">
        <f t="shared" ca="1" si="6"/>
        <v>0</v>
      </c>
    </row>
    <row r="31" spans="1:23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2031.9999999999998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  <c r="U31" s="2">
        <f ca="1">_xll.DBRW($B$9,$C$16,$C$19,U$24,U$22,$C$17,$B31,$C$18,U$25)</f>
        <v>0</v>
      </c>
      <c r="V31" s="2">
        <f ca="1">_xll.DBRW($B$9,$C$16,$C$19,V$24,U$22,$C$17,$B31,$C$18,V$25)</f>
        <v>0</v>
      </c>
      <c r="W31" s="35">
        <f t="shared" ca="1" si="6"/>
        <v>0</v>
      </c>
    </row>
    <row r="32" spans="1:23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  <c r="U32" s="2">
        <f ca="1">_xll.DBRW($B$9,$C$16,$C$19,U$24,U$22,$C$17,$B32,$C$18,U$25)</f>
        <v>0</v>
      </c>
      <c r="V32" s="2">
        <f ca="1">_xll.DBRW($B$9,$C$16,$C$19,V$24,U$22,$C$17,$B32,$C$18,V$25)</f>
        <v>0</v>
      </c>
      <c r="W32" s="35">
        <f t="shared" ca="1" si="6"/>
        <v>0</v>
      </c>
    </row>
    <row r="33" spans="1:23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  <c r="U33" s="2">
        <f ca="1">_xll.DBRW($B$9,$C$16,$C$19,U$24,U$22,$C$17,$B33,$C$18,U$25)</f>
        <v>0</v>
      </c>
      <c r="V33" s="2">
        <f ca="1">_xll.DBRW($B$9,$C$16,$C$19,V$24,U$22,$C$17,$B33,$C$18,V$25)</f>
        <v>0</v>
      </c>
      <c r="W33" s="35">
        <f t="shared" ca="1" si="6"/>
        <v>0</v>
      </c>
    </row>
    <row r="34" spans="1:23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  <c r="U34" s="2">
        <f ca="1">_xll.DBRW($B$9,$C$16,$C$19,U$24,U$22,$C$17,$B34,$C$18,U$25)</f>
        <v>0</v>
      </c>
      <c r="V34" s="2">
        <f ca="1">_xll.DBRW($B$9,$C$16,$C$19,V$24,U$22,$C$17,$B34,$C$18,V$25)</f>
        <v>0</v>
      </c>
      <c r="W34" s="35">
        <f t="shared" ca="1" si="6"/>
        <v>0</v>
      </c>
    </row>
    <row r="35" spans="1:23" hidden="1" x14ac:dyDescent="0.25"/>
    <row r="36" spans="1:23" hidden="1" x14ac:dyDescent="0.25"/>
    <row r="37" spans="1:23" hidden="1" x14ac:dyDescent="0.25"/>
    <row r="38" spans="1:23" hidden="1" x14ac:dyDescent="0.25"/>
    <row r="39" spans="1:23" hidden="1" x14ac:dyDescent="0.25"/>
    <row r="40" spans="1:23" hidden="1" x14ac:dyDescent="0.25"/>
    <row r="41" spans="1:23" hidden="1" x14ac:dyDescent="0.25"/>
    <row r="42" spans="1:23" hidden="1" x14ac:dyDescent="0.25"/>
    <row r="43" spans="1:23" hidden="1" x14ac:dyDescent="0.25"/>
    <row r="44" spans="1:23" hidden="1" x14ac:dyDescent="0.25"/>
    <row r="45" spans="1:23" hidden="1" x14ac:dyDescent="0.25"/>
    <row r="46" spans="1:23" hidden="1" x14ac:dyDescent="0.25"/>
    <row r="47" spans="1:23" hidden="1" x14ac:dyDescent="0.25"/>
    <row r="48" spans="1:23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</sheetData>
  <mergeCells count="7">
    <mergeCell ref="U22:W22"/>
    <mergeCell ref="C22:E22"/>
    <mergeCell ref="I22:K22"/>
    <mergeCell ref="L22:N22"/>
    <mergeCell ref="O22:Q22"/>
    <mergeCell ref="R22:T22"/>
    <mergeCell ref="F22:H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85725</xdr:colOff>
                <xdr:row>18</xdr:row>
                <xdr:rowOff>0</xdr:rowOff>
              </from>
              <to>
                <xdr:col>5</xdr:col>
                <xdr:colOff>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Z60"/>
  <sheetViews>
    <sheetView showGridLines="0" topLeftCell="B9" workbookViewId="0">
      <pane xSplit="1" ySplit="20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B45" sqref="A45:XFD60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4" width="0.85546875" customWidth="1"/>
    <col min="25" max="25" width="11.42578125" hidden="1" customWidth="1"/>
    <col min="26" max="26" width="16.7109375" hidden="1" customWidth="1"/>
    <col min="27" max="16384" width="11.42578125" hidden="1"/>
  </cols>
  <sheetData>
    <row r="1" spans="1:23" hidden="1" x14ac:dyDescent="0.25">
      <c r="A1" t="s">
        <v>15</v>
      </c>
    </row>
    <row r="2" spans="1:23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</row>
    <row r="3" spans="1:23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</row>
    <row r="4" spans="1:23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</row>
    <row r="5" spans="1:23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</row>
    <row r="6" spans="1:23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</row>
    <row r="7" spans="1:23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</row>
    <row r="8" spans="1:23" hidden="1" x14ac:dyDescent="0.25">
      <c r="A8" t="s">
        <v>16</v>
      </c>
    </row>
    <row r="9" spans="1:23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3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</row>
    <row r="11" spans="1:23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</row>
    <row r="12" spans="1:23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</row>
    <row r="13" spans="1:23" ht="15.75" thickBot="1" x14ac:dyDescent="0.3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66"/>
      <c r="N13" s="67"/>
      <c r="O13" s="9"/>
      <c r="P13" s="9"/>
      <c r="Q13" s="39"/>
      <c r="R13" s="9"/>
      <c r="S13" s="9"/>
      <c r="T13" s="39"/>
      <c r="U13" s="9"/>
      <c r="V13" s="9"/>
      <c r="W13" s="39"/>
    </row>
    <row r="14" spans="1:23" ht="15.75" hidden="1" thickBot="1" x14ac:dyDescent="0.3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</row>
    <row r="15" spans="1:23" ht="15.75" hidden="1" thickBot="1" x14ac:dyDescent="0.3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</row>
    <row r="16" spans="1:23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7"/>
      <c r="I16" s="7"/>
      <c r="J16" s="65"/>
      <c r="K16" s="84" t="s">
        <v>28</v>
      </c>
      <c r="L16" s="71" t="s">
        <v>26</v>
      </c>
      <c r="M16" s="68" t="str">
        <f ca="1">_xll.SUBNM("CXMD:Actuality","Market_Share_Current_Actuality","Total_Actuals","Description EN")</f>
        <v>Total_Actuals</v>
      </c>
      <c r="N16" s="72"/>
      <c r="O16" s="73"/>
      <c r="P16" s="74"/>
      <c r="Q16" s="40"/>
      <c r="R16" s="7"/>
      <c r="S16" s="7"/>
      <c r="T16" s="40"/>
      <c r="U16" s="7"/>
      <c r="V16" s="7"/>
      <c r="W16" s="40"/>
    </row>
    <row r="17" spans="1:23" ht="16.899999999999999" customHeight="1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65"/>
      <c r="H17" s="7"/>
      <c r="I17" s="7"/>
      <c r="J17" s="65"/>
      <c r="K17" s="85"/>
      <c r="L17" s="75" t="s">
        <v>27</v>
      </c>
      <c r="M17" s="49" t="str">
        <f ca="1">_xll.SUBNM("CXMD:Market_Actor","Market_Actor_Filter","Global_Market","Description")</f>
        <v>Global_Market</v>
      </c>
      <c r="N17" s="70"/>
      <c r="O17" s="46"/>
      <c r="P17" s="76"/>
      <c r="Q17" s="40"/>
      <c r="R17" s="7"/>
      <c r="S17" s="7"/>
      <c r="T17" s="40"/>
      <c r="U17" s="7"/>
      <c r="V17" s="7"/>
      <c r="W17" s="40"/>
    </row>
    <row r="18" spans="1:23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7"/>
      <c r="I18" s="7"/>
      <c r="J18" s="65"/>
      <c r="K18" s="85"/>
      <c r="L18" s="75" t="s">
        <v>24</v>
      </c>
      <c r="M18" s="49" t="str">
        <f ca="1">_xll.SUBNM("CXMD:DIM_Country","Total Country SOM","Total Country SOM","Description")</f>
        <v>Total Country SOM</v>
      </c>
      <c r="N18" s="70"/>
      <c r="O18" s="46"/>
      <c r="P18" s="76"/>
      <c r="Q18" s="40"/>
      <c r="R18" s="7"/>
      <c r="S18" s="7"/>
      <c r="T18" s="40"/>
      <c r="U18" s="7"/>
      <c r="V18" s="7"/>
      <c r="W18" s="40"/>
    </row>
    <row r="19" spans="1:23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7"/>
      <c r="I19" s="7"/>
      <c r="J19" s="65"/>
      <c r="K19" s="85"/>
      <c r="L19" s="75" t="s">
        <v>25</v>
      </c>
      <c r="M19" s="50">
        <v>0</v>
      </c>
      <c r="N19" s="70"/>
      <c r="O19" s="46"/>
      <c r="P19" s="76"/>
      <c r="Q19" s="40"/>
      <c r="R19" s="7"/>
      <c r="S19" s="7"/>
      <c r="T19" s="40"/>
      <c r="U19" s="7"/>
      <c r="V19" s="7"/>
      <c r="W19" s="40"/>
    </row>
    <row r="20" spans="1:23" x14ac:dyDescent="0.25">
      <c r="B20" s="7"/>
      <c r="C20" s="7"/>
      <c r="D20" s="7"/>
      <c r="E20" s="40"/>
      <c r="F20" s="7"/>
      <c r="G20" s="7"/>
      <c r="H20" s="7"/>
      <c r="I20" s="7"/>
      <c r="J20" s="7"/>
      <c r="K20" s="85"/>
      <c r="L20" s="77"/>
      <c r="M20" s="46"/>
      <c r="N20" s="70"/>
      <c r="O20" s="46"/>
      <c r="P20" s="76"/>
      <c r="Q20" s="40"/>
      <c r="R20" s="7"/>
      <c r="S20" s="7"/>
      <c r="T20" s="40"/>
      <c r="U20" s="7"/>
      <c r="V20" s="7"/>
      <c r="W20" s="40"/>
    </row>
    <row r="21" spans="1:23" x14ac:dyDescent="0.25">
      <c r="B21" s="7"/>
      <c r="C21" s="7"/>
      <c r="D21" s="7"/>
      <c r="E21" s="40"/>
      <c r="F21" s="7"/>
      <c r="G21" s="7"/>
      <c r="H21" s="7"/>
      <c r="I21" s="7"/>
      <c r="J21" s="7"/>
      <c r="K21" s="85"/>
      <c r="L21" s="77"/>
      <c r="M21" s="46"/>
      <c r="N21" s="70"/>
      <c r="O21" s="46"/>
      <c r="P21" s="76"/>
      <c r="Q21" s="40"/>
      <c r="R21" s="7"/>
      <c r="S21" s="7"/>
      <c r="T21" s="40"/>
      <c r="U21" s="7"/>
      <c r="V21" s="7"/>
      <c r="W21" s="40"/>
    </row>
    <row r="22" spans="1:23" ht="15.75" thickBot="1" x14ac:dyDescent="0.3">
      <c r="B22" s="7"/>
      <c r="C22" s="7"/>
      <c r="D22" s="7"/>
      <c r="E22" s="40"/>
      <c r="F22" s="7"/>
      <c r="G22" s="7"/>
      <c r="H22" s="7"/>
      <c r="I22" s="7"/>
      <c r="J22" s="7"/>
      <c r="K22" s="86"/>
      <c r="L22" s="78"/>
      <c r="M22" s="69"/>
      <c r="N22" s="79"/>
      <c r="O22" s="69"/>
      <c r="P22" s="80"/>
      <c r="Q22" s="40"/>
      <c r="R22" s="7"/>
      <c r="S22" s="7"/>
      <c r="T22" s="40"/>
      <c r="U22" s="7"/>
      <c r="V22" s="7"/>
      <c r="W22" s="40"/>
    </row>
    <row r="23" spans="1:23" ht="15.75" thickBot="1" x14ac:dyDescent="0.3">
      <c r="B23" s="7"/>
      <c r="C23" s="7"/>
      <c r="D23" s="7"/>
      <c r="E23" s="40"/>
      <c r="F23" s="7"/>
      <c r="G23" s="7"/>
      <c r="H23" s="51"/>
      <c r="I23" s="7"/>
      <c r="J23" s="7"/>
      <c r="K23" s="51"/>
      <c r="L23" s="52"/>
      <c r="M23" s="7"/>
      <c r="N23" s="40"/>
      <c r="O23" s="7"/>
      <c r="P23" s="7"/>
      <c r="Q23" s="40"/>
      <c r="R23" s="7"/>
      <c r="S23" s="7"/>
      <c r="T23" s="40"/>
      <c r="U23" s="7"/>
      <c r="V23" s="7"/>
      <c r="W23" s="40"/>
    </row>
    <row r="24" spans="1:23" ht="15.75" thickBot="1" x14ac:dyDescent="0.3">
      <c r="B24" s="7"/>
      <c r="C24" s="87" t="str">
        <f ca="1">QTY!C22</f>
        <v>AC2019</v>
      </c>
      <c r="D24" s="88"/>
      <c r="E24" s="89"/>
      <c r="F24" s="87" t="str">
        <f ca="1">QTY!F22</f>
        <v>AC2020</v>
      </c>
      <c r="G24" s="88"/>
      <c r="H24" s="89"/>
      <c r="I24" s="87" t="str">
        <f ca="1">QTY!I22</f>
        <v>AC2021</v>
      </c>
      <c r="J24" s="88"/>
      <c r="K24" s="89"/>
      <c r="L24" s="87" t="str">
        <f ca="1">QTY!L22</f>
        <v>AC2022</v>
      </c>
      <c r="M24" s="88"/>
      <c r="N24" s="89"/>
      <c r="O24" s="87" t="str">
        <f ca="1">QTY!O22</f>
        <v>AC2023</v>
      </c>
      <c r="P24" s="88"/>
      <c r="Q24" s="89"/>
      <c r="R24" s="87" t="str">
        <f ca="1">QTY!R22</f>
        <v>BU2024draft</v>
      </c>
      <c r="S24" s="88"/>
      <c r="T24" s="89"/>
      <c r="U24" s="87" t="str">
        <f ca="1">QTY!U22</f>
        <v>PL2025 (update 2023)</v>
      </c>
      <c r="V24" s="88"/>
      <c r="W24" s="89"/>
    </row>
    <row r="25" spans="1:23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  <c r="U25" s="59"/>
      <c r="V25" s="11"/>
      <c r="W25" s="60"/>
    </row>
    <row r="26" spans="1:23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  <c r="U26" s="59" t="str">
        <f ca="1">QTY!U24</f>
        <v>KUHN_Scope</v>
      </c>
      <c r="V26" s="11" t="str">
        <f ca="1">QTY!V24</f>
        <v>KUHN Sales</v>
      </c>
      <c r="W26" s="61" t="s">
        <v>17</v>
      </c>
    </row>
    <row r="27" spans="1:23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  <c r="U27" s="62" t="s">
        <v>23</v>
      </c>
      <c r="V27" s="63" t="s">
        <v>23</v>
      </c>
      <c r="W27" s="64"/>
    </row>
    <row r="28" spans="1:23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  <c r="U28" s="1">
        <f ca="1">_xll.DBRW($B$9,$C$16,$C$19,U$26,U$24,$C$17,$B28,$C$18,U$27)</f>
        <v>0</v>
      </c>
      <c r="V28" s="1">
        <f ca="1">_xll.DBRW($B$9,$C$16,$C$19,V$26,U$24,$C$17,$B28,$C$18,V$27)</f>
        <v>0</v>
      </c>
      <c r="W28" s="34">
        <f ca="1">IF(U28&lt;&gt;0,V28/U28,0)</f>
        <v>0</v>
      </c>
    </row>
    <row r="29" spans="1:23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  <c r="U29" s="2">
        <f ca="1">_xll.DBRW($B$9,$C$16,$C$19,U$26,U$24,$C$17,$B29,$C$18,U$27)</f>
        <v>0</v>
      </c>
      <c r="V29" s="2">
        <f ca="1">_xll.DBRW($B$9,$C$16,$C$19,V$26,U$24,$C$17,$B29,$C$18,V$27)</f>
        <v>0</v>
      </c>
      <c r="W29" s="35">
        <f t="shared" ref="W29:W36" ca="1" si="6">IF(U29&lt;&gt;0,V29/U29,0)</f>
        <v>0</v>
      </c>
    </row>
    <row r="30" spans="1:23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  <c r="U30" s="2">
        <f ca="1">_xll.DBRW($B$9,$C$16,$C$19,U$26,U$24,$C$17,$B30,$C$18,U$27)</f>
        <v>0</v>
      </c>
      <c r="V30" s="2">
        <f ca="1">_xll.DBRW($B$9,$C$16,$C$19,V$26,U$24,$C$17,$B30,$C$18,V$27)</f>
        <v>0</v>
      </c>
      <c r="W30" s="35">
        <f t="shared" ca="1" si="6"/>
        <v>0</v>
      </c>
    </row>
    <row r="31" spans="1:23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  <c r="U31" s="2">
        <f ca="1">_xll.DBRW($B$9,$C$16,$C$19,U$26,U$24,$C$17,$B31,$C$18,U$27)</f>
        <v>0</v>
      </c>
      <c r="V31" s="2">
        <f ca="1">_xll.DBRW($B$9,$C$16,$C$19,V$26,U$24,$C$17,$B31,$C$18,V$27)</f>
        <v>0</v>
      </c>
      <c r="W31" s="35">
        <f t="shared" ca="1" si="6"/>
        <v>0</v>
      </c>
    </row>
    <row r="32" spans="1:23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  <c r="U32" s="2">
        <f ca="1">_xll.DBRW($B$9,$C$16,$C$19,U$26,U$24,$C$17,$B32,$C$18,U$27)</f>
        <v>0</v>
      </c>
      <c r="V32" s="2">
        <f ca="1">_xll.DBRW($B$9,$C$16,$C$19,V$26,U$24,$C$17,$B32,$C$18,V$27)</f>
        <v>0</v>
      </c>
      <c r="W32" s="35">
        <f t="shared" ca="1" si="6"/>
        <v>0</v>
      </c>
    </row>
    <row r="33" spans="1:23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  <c r="U33" s="2">
        <f ca="1">_xll.DBRW($B$9,$C$16,$C$19,U$26,U$24,$C$17,$B33,$C$18,U$27)</f>
        <v>0</v>
      </c>
      <c r="V33" s="2">
        <f ca="1">_xll.DBRW($B$9,$C$16,$C$19,V$26,U$24,$C$17,$B33,$C$18,V$27)</f>
        <v>0</v>
      </c>
      <c r="W33" s="35">
        <f t="shared" ca="1" si="6"/>
        <v>0</v>
      </c>
    </row>
    <row r="34" spans="1:23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  <c r="U34" s="2">
        <f ca="1">_xll.DBRW($B$9,$C$16,$C$19,U$26,U$24,$C$17,$B34,$C$18,U$27)</f>
        <v>0</v>
      </c>
      <c r="V34" s="2">
        <f ca="1">_xll.DBRW($B$9,$C$16,$C$19,V$26,U$24,$C$17,$B34,$C$18,V$27)</f>
        <v>0</v>
      </c>
      <c r="W34" s="35">
        <f t="shared" ca="1" si="6"/>
        <v>0</v>
      </c>
    </row>
    <row r="35" spans="1:23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  <c r="U35" s="2">
        <f ca="1">_xll.DBRW($B$9,$C$16,$C$19,U$26,U$24,$C$17,$B35,$C$18,U$27)</f>
        <v>0</v>
      </c>
      <c r="V35" s="2">
        <f ca="1">_xll.DBRW($B$9,$C$16,$C$19,V$26,U$24,$C$17,$B35,$C$18,V$27)</f>
        <v>0</v>
      </c>
      <c r="W35" s="35">
        <f t="shared" ca="1" si="6"/>
        <v>0</v>
      </c>
    </row>
    <row r="36" spans="1:23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  <c r="U36" s="2">
        <f ca="1">_xll.DBRW($B$9,$C$16,$C$19,U$26,U$24,$C$17,$B36,$C$18,U$27)</f>
        <v>0</v>
      </c>
      <c r="V36" s="2">
        <f ca="1">_xll.DBRW($B$9,$C$16,$C$19,V$26,U$24,$C$17,$B36,$C$18,V$27)</f>
        <v>0</v>
      </c>
      <c r="W36" s="35">
        <f t="shared" ca="1" si="6"/>
        <v>0</v>
      </c>
    </row>
    <row r="37" spans="1:23" hidden="1" x14ac:dyDescent="0.25"/>
    <row r="38" spans="1:23" hidden="1" x14ac:dyDescent="0.25"/>
    <row r="39" spans="1:23" hidden="1" x14ac:dyDescent="0.25"/>
    <row r="40" spans="1:23" hidden="1" x14ac:dyDescent="0.25"/>
    <row r="41" spans="1:23" hidden="1" x14ac:dyDescent="0.25"/>
    <row r="42" spans="1:23" hidden="1" x14ac:dyDescent="0.25"/>
    <row r="43" spans="1:23" hidden="1" x14ac:dyDescent="0.25"/>
    <row r="44" spans="1:23" hidden="1" x14ac:dyDescent="0.25"/>
    <row r="45" spans="1:23" hidden="1" x14ac:dyDescent="0.25"/>
    <row r="46" spans="1:23" hidden="1" x14ac:dyDescent="0.25"/>
    <row r="47" spans="1:23" hidden="1" x14ac:dyDescent="0.25"/>
    <row r="48" spans="1:23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</sheetData>
  <mergeCells count="8">
    <mergeCell ref="K16:K22"/>
    <mergeCell ref="U24:W24"/>
    <mergeCell ref="C24:E24"/>
    <mergeCell ref="I24:K24"/>
    <mergeCell ref="L24:N24"/>
    <mergeCell ref="O24:Q24"/>
    <mergeCell ref="R24:T24"/>
    <mergeCell ref="F24:H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5" r:id="rId4" name="TIButton1">
          <controlPr defaultSize="0" print="0" autoLine="0" autoPict="0" r:id="rId5">
            <anchor moveWithCells="1">
              <from>
                <xdr:col>3</xdr:col>
                <xdr:colOff>523875</xdr:colOff>
                <xdr:row>18</xdr:row>
                <xdr:rowOff>0</xdr:rowOff>
              </from>
              <to>
                <xdr:col>5</xdr:col>
                <xdr:colOff>0</xdr:colOff>
                <xdr:row>20</xdr:row>
                <xdr:rowOff>123825</xdr:rowOff>
              </to>
            </anchor>
          </controlPr>
        </control>
      </mc:Choice>
      <mc:Fallback>
        <control shapeId="11265" r:id="rId4" name="TIButton1"/>
      </mc:Fallback>
    </mc:AlternateContent>
    <mc:AlternateContent xmlns:mc="http://schemas.openxmlformats.org/markup-compatibility/2006">
      <mc:Choice Requires="x14">
        <control shapeId="11268" r:id="rId6" name="TIButton2">
          <controlPr defaultSize="0" print="0" autoLine="0" autoPict="0" r:id="rId7">
            <anchor moveWithCells="1">
              <from>
                <xdr:col>12</xdr:col>
                <xdr:colOff>57150</xdr:colOff>
                <xdr:row>20</xdr:row>
                <xdr:rowOff>0</xdr:rowOff>
              </from>
              <to>
                <xdr:col>14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6" name="TI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Z58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B43" sqref="A43:XFD58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2" width="16.7109375" customWidth="1"/>
    <col min="23" max="23" width="10.7109375" style="33" customWidth="1"/>
    <col min="24" max="24" width="0.85546875" customWidth="1"/>
    <col min="25" max="25" width="11.42578125" hidden="1" customWidth="1"/>
    <col min="26" max="26" width="16.7109375" hidden="1" customWidth="1"/>
    <col min="27" max="16384" width="11.42578125" hidden="1"/>
  </cols>
  <sheetData>
    <row r="1" spans="1:23" hidden="1" x14ac:dyDescent="0.25">
      <c r="A1" t="s">
        <v>15</v>
      </c>
    </row>
    <row r="2" spans="1:23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  <c r="U2" s="1"/>
      <c r="V2" s="1"/>
      <c r="W2" s="34"/>
    </row>
    <row r="3" spans="1:23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  <c r="U3" s="2"/>
      <c r="V3" s="2"/>
      <c r="W3" s="35"/>
    </row>
    <row r="4" spans="1:23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  <c r="U4" s="4"/>
      <c r="V4" s="4"/>
      <c r="W4" s="36"/>
    </row>
    <row r="5" spans="1:23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  <c r="U5" s="5"/>
      <c r="V5" s="5"/>
      <c r="W5" s="37"/>
    </row>
    <row r="6" spans="1:23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  <c r="U6" s="2"/>
      <c r="V6" s="2"/>
      <c r="W6" s="35"/>
    </row>
    <row r="7" spans="1:23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  <c r="U7" s="3"/>
      <c r="V7" s="3"/>
      <c r="W7" s="38"/>
    </row>
    <row r="8" spans="1:23" hidden="1" x14ac:dyDescent="0.25">
      <c r="A8" t="s">
        <v>16</v>
      </c>
    </row>
    <row r="9" spans="1:23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3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  <c r="U10" s="9"/>
      <c r="V10" s="9"/>
      <c r="W10" s="39"/>
    </row>
    <row r="11" spans="1:23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  <c r="U11" s="9"/>
      <c r="V11" s="9"/>
      <c r="W11" s="39"/>
    </row>
    <row r="12" spans="1:23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  <c r="U12" s="9"/>
      <c r="V12" s="9"/>
      <c r="W12" s="39"/>
    </row>
    <row r="13" spans="1:23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  <c r="U13" s="9"/>
      <c r="V13" s="9"/>
      <c r="W13" s="39"/>
    </row>
    <row r="14" spans="1:23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  <c r="U14" s="9"/>
      <c r="V14" s="9"/>
      <c r="W14" s="39"/>
    </row>
    <row r="15" spans="1:23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  <c r="U15" s="9"/>
      <c r="V15" s="9"/>
      <c r="W15" s="39"/>
    </row>
    <row r="16" spans="1:23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  <c r="U16" s="7"/>
      <c r="V16" s="7"/>
      <c r="W16" s="40"/>
    </row>
    <row r="17" spans="1:23" x14ac:dyDescent="0.25">
      <c r="B17" s="8" t="s">
        <v>1</v>
      </c>
      <c r="C17" s="6" t="str">
        <f ca="1">QTY!C17</f>
        <v>Not available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  <c r="U17" s="7"/>
      <c r="V17" s="7"/>
      <c r="W17" s="40"/>
    </row>
    <row r="18" spans="1:23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  <c r="U18" s="7"/>
      <c r="V18" s="7"/>
      <c r="W18" s="40"/>
    </row>
    <row r="19" spans="1:23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7"/>
      <c r="K19" s="40"/>
      <c r="L19" s="7"/>
      <c r="M19" s="10"/>
      <c r="N19" s="40"/>
      <c r="O19" s="7"/>
      <c r="P19" s="7"/>
      <c r="Q19" s="40"/>
      <c r="R19" s="7"/>
      <c r="S19" s="7"/>
      <c r="T19" s="40"/>
      <c r="U19" s="7"/>
      <c r="V19" s="7"/>
      <c r="W19" s="40"/>
    </row>
    <row r="20" spans="1:23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  <c r="U20" s="7"/>
      <c r="V20" s="7"/>
      <c r="W20" s="40"/>
    </row>
    <row r="21" spans="1:23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  <c r="U21" s="7"/>
      <c r="V21" s="7"/>
      <c r="W21" s="40"/>
    </row>
    <row r="22" spans="1:23" ht="15.75" thickBot="1" x14ac:dyDescent="0.3">
      <c r="B22" s="7"/>
      <c r="C22" s="87" t="str">
        <f ca="1">QTY!C22</f>
        <v>AC2019</v>
      </c>
      <c r="D22" s="88"/>
      <c r="E22" s="89"/>
      <c r="F22" s="87" t="str">
        <f ca="1">QTY!F22</f>
        <v>AC2020</v>
      </c>
      <c r="G22" s="88"/>
      <c r="H22" s="89"/>
      <c r="I22" s="87" t="str">
        <f ca="1">QTY!I22</f>
        <v>AC2021</v>
      </c>
      <c r="J22" s="88"/>
      <c r="K22" s="89"/>
      <c r="L22" s="87" t="str">
        <f ca="1">QTY!L22</f>
        <v>AC2022</v>
      </c>
      <c r="M22" s="88"/>
      <c r="N22" s="89"/>
      <c r="O22" s="87" t="str">
        <f ca="1">QTY!O22</f>
        <v>AC2023</v>
      </c>
      <c r="P22" s="88"/>
      <c r="Q22" s="89"/>
      <c r="R22" s="87" t="str">
        <f ca="1">QTY!R22</f>
        <v>BU2024draft</v>
      </c>
      <c r="S22" s="88"/>
      <c r="T22" s="89"/>
      <c r="U22" s="87" t="str">
        <f ca="1">QTY!U22</f>
        <v>PL2025 (update 2023)</v>
      </c>
      <c r="V22" s="88"/>
      <c r="W22" s="89"/>
    </row>
    <row r="23" spans="1:23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  <c r="U23" s="59"/>
      <c r="V23" s="11"/>
      <c r="W23" s="60"/>
    </row>
    <row r="24" spans="1:23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  <c r="U24" s="59" t="str">
        <f ca="1">QTY!U24</f>
        <v>KUHN_Scope</v>
      </c>
      <c r="V24" s="11" t="str">
        <f ca="1">QTY!V24</f>
        <v>KUHN Sales</v>
      </c>
      <c r="W24" s="61" t="s">
        <v>17</v>
      </c>
    </row>
    <row r="25" spans="1:23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  <c r="U25" s="62" t="s">
        <v>18</v>
      </c>
      <c r="V25" s="63" t="s">
        <v>18</v>
      </c>
      <c r="W25" s="64"/>
    </row>
    <row r="26" spans="1:23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  <c r="U26" s="1">
        <f ca="1">_xll.DBRW($B$9,$C$16,$C$19,U$24,U$22,$C$17,$B26,$C$18,U$25)</f>
        <v>0</v>
      </c>
      <c r="V26" s="1">
        <f ca="1">_xll.DBRW($B$9,$C$16,$C$19,V$24,U$22,$C$17,$B26,$C$18,V$25)</f>
        <v>0</v>
      </c>
      <c r="W26" s="34">
        <f ca="1">IF(U26&lt;&gt;0,V26/U26,0)</f>
        <v>0</v>
      </c>
    </row>
    <row r="27" spans="1:23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  <c r="U27" s="2">
        <f ca="1">_xll.DBRW($B$9,$C$16,$C$19,U$24,U$22,$C$17,$B27,$C$18,U$25)</f>
        <v>0</v>
      </c>
      <c r="V27" s="2">
        <f ca="1">_xll.DBRW($B$9,$C$16,$C$19,V$24,U$22,$C$17,$B27,$C$18,V$25)</f>
        <v>0</v>
      </c>
      <c r="W27" s="35">
        <f t="shared" ref="W27:W34" ca="1" si="6">IF(U27&lt;&gt;0,V27/U27,0)</f>
        <v>0</v>
      </c>
    </row>
    <row r="28" spans="1:23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  <c r="U28" s="2">
        <f ca="1">_xll.DBRW($B$9,$C$16,$C$19,U$24,U$22,$C$17,$B28,$C$18,U$25)</f>
        <v>0</v>
      </c>
      <c r="V28" s="2">
        <f ca="1">_xll.DBRW($B$9,$C$16,$C$19,V$24,U$22,$C$17,$B28,$C$18,V$25)</f>
        <v>0</v>
      </c>
      <c r="W28" s="35">
        <f t="shared" ca="1" si="6"/>
        <v>0</v>
      </c>
    </row>
    <row r="29" spans="1:23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  <c r="U29" s="2">
        <f ca="1">_xll.DBRW($B$9,$C$16,$C$19,U$24,U$22,$C$17,$B29,$C$18,U$25)</f>
        <v>0</v>
      </c>
      <c r="V29" s="2">
        <f ca="1">_xll.DBRW($B$9,$C$16,$C$19,V$24,U$22,$C$17,$B29,$C$18,V$25)</f>
        <v>0</v>
      </c>
      <c r="W29" s="35">
        <f t="shared" ca="1" si="6"/>
        <v>0</v>
      </c>
    </row>
    <row r="30" spans="1:23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  <c r="U30" s="2">
        <f ca="1">_xll.DBRW($B$9,$C$16,$C$19,U$24,U$22,$C$17,$B30,$C$18,U$25)</f>
        <v>0</v>
      </c>
      <c r="V30" s="2">
        <f ca="1">_xll.DBRW($B$9,$C$16,$C$19,V$24,U$22,$C$17,$B30,$C$18,V$25)</f>
        <v>0</v>
      </c>
      <c r="W30" s="35">
        <f t="shared" ca="1" si="6"/>
        <v>0</v>
      </c>
    </row>
    <row r="31" spans="1:23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  <c r="U31" s="2">
        <f ca="1">_xll.DBRW($B$9,$C$16,$C$19,U$24,U$22,$C$17,$B31,$C$18,U$25)</f>
        <v>0</v>
      </c>
      <c r="V31" s="2">
        <f ca="1">_xll.DBRW($B$9,$C$16,$C$19,V$24,U$22,$C$17,$B31,$C$18,V$25)</f>
        <v>0</v>
      </c>
      <c r="W31" s="35">
        <f t="shared" ca="1" si="6"/>
        <v>0</v>
      </c>
    </row>
    <row r="32" spans="1:23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  <c r="U32" s="2">
        <f ca="1">_xll.DBRW($B$9,$C$16,$C$19,U$24,U$22,$C$17,$B32,$C$18,U$25)</f>
        <v>0</v>
      </c>
      <c r="V32" s="2">
        <f ca="1">_xll.DBRW($B$9,$C$16,$C$19,V$24,U$22,$C$17,$B32,$C$18,V$25)</f>
        <v>0</v>
      </c>
      <c r="W32" s="35">
        <f t="shared" ca="1" si="6"/>
        <v>0</v>
      </c>
    </row>
    <row r="33" spans="1:23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  <c r="U33" s="2">
        <f ca="1">_xll.DBRW($B$9,$C$16,$C$19,U$24,U$22,$C$17,$B33,$C$18,U$25)</f>
        <v>0</v>
      </c>
      <c r="V33" s="2">
        <f ca="1">_xll.DBRW($B$9,$C$16,$C$19,V$24,U$22,$C$17,$B33,$C$18,V$25)</f>
        <v>0</v>
      </c>
      <c r="W33" s="35">
        <f t="shared" ca="1" si="6"/>
        <v>0</v>
      </c>
    </row>
    <row r="34" spans="1:23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  <c r="U34" s="2">
        <f ca="1">_xll.DBRW($B$9,$C$16,$C$19,U$24,U$22,$C$17,$B34,$C$18,U$25)</f>
        <v>0</v>
      </c>
      <c r="V34" s="2">
        <f ca="1">_xll.DBRW($B$9,$C$16,$C$19,V$24,U$22,$C$17,$B34,$C$18,V$25)</f>
        <v>0</v>
      </c>
      <c r="W34" s="35">
        <f t="shared" ca="1" si="6"/>
        <v>0</v>
      </c>
    </row>
    <row r="35" spans="1:23" hidden="1" x14ac:dyDescent="0.25"/>
    <row r="36" spans="1:23" hidden="1" x14ac:dyDescent="0.25"/>
    <row r="37" spans="1:23" hidden="1" x14ac:dyDescent="0.25"/>
    <row r="38" spans="1:23" hidden="1" x14ac:dyDescent="0.25"/>
    <row r="39" spans="1:23" hidden="1" x14ac:dyDescent="0.25"/>
    <row r="40" spans="1:23" hidden="1" x14ac:dyDescent="0.25"/>
    <row r="41" spans="1:23" hidden="1" x14ac:dyDescent="0.25"/>
    <row r="42" spans="1:23" hidden="1" x14ac:dyDescent="0.25"/>
    <row r="43" spans="1:23" hidden="1" x14ac:dyDescent="0.25"/>
    <row r="44" spans="1:23" hidden="1" x14ac:dyDescent="0.25"/>
    <row r="45" spans="1:23" hidden="1" x14ac:dyDescent="0.25"/>
    <row r="46" spans="1:23" hidden="1" x14ac:dyDescent="0.25"/>
    <row r="47" spans="1:23" hidden="1" x14ac:dyDescent="0.25"/>
    <row r="48" spans="1:23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</sheetData>
  <mergeCells count="7">
    <mergeCell ref="U22:W22"/>
    <mergeCell ref="C22:E22"/>
    <mergeCell ref="I22:K22"/>
    <mergeCell ref="L22:N22"/>
    <mergeCell ref="O22:Q22"/>
    <mergeCell ref="R22:T22"/>
    <mergeCell ref="F22:H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4</xdr:col>
                <xdr:colOff>66675</xdr:colOff>
                <xdr:row>18</xdr:row>
                <xdr:rowOff>9525</xdr:rowOff>
              </from>
              <to>
                <xdr:col>4</xdr:col>
                <xdr:colOff>695325</xdr:colOff>
                <xdr:row>18</xdr:row>
                <xdr:rowOff>257175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N56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B41" sqref="A41:XFD56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6" width="21" customWidth="1"/>
    <col min="17" max="17" width="2.5703125" customWidth="1"/>
    <col min="18" max="1002" width="0" hidden="1" customWidth="1"/>
    <col min="1003" max="16384" width="11.42578125" hidden="1"/>
  </cols>
  <sheetData>
    <row r="1" spans="1:16" hidden="1" x14ac:dyDescent="0.25">
      <c r="A1" t="s">
        <v>15</v>
      </c>
    </row>
    <row r="2" spans="1:16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  <c r="O2" s="19"/>
      <c r="P2" s="28"/>
    </row>
    <row r="3" spans="1:16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  <c r="O3" s="20"/>
      <c r="P3" s="29"/>
    </row>
    <row r="4" spans="1:16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  <c r="O4" s="4"/>
      <c r="P4" s="26"/>
    </row>
    <row r="5" spans="1:16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  <c r="O5" s="5"/>
      <c r="P5" s="27"/>
    </row>
    <row r="6" spans="1:16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  <c r="O6" s="20"/>
      <c r="P6" s="29"/>
    </row>
    <row r="7" spans="1:16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  <c r="O7" s="21"/>
      <c r="P7" s="30"/>
    </row>
    <row r="8" spans="1:16" hidden="1" x14ac:dyDescent="0.25">
      <c r="A8" t="s">
        <v>16</v>
      </c>
    </row>
    <row r="9" spans="1:16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_xll.TM1RPTTITLE("CXMD:DIM8Configuration",$C$17),TM1RPTFMTRNG,TM1RPTFMTIDCOL)</f>
        <v>CXMD:OTC_DATA_MARKET_ANALYSIS_COMMENTS:ARPT1</v>
      </c>
    </row>
    <row r="10" spans="1:16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6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idden="1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</row>
    <row r="16" spans="1:16" x14ac:dyDescent="0.25">
      <c r="B16" s="24" t="s">
        <v>1</v>
      </c>
      <c r="C16" s="25" t="str">
        <f ca="1">QTY!C17</f>
        <v>Not available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23"/>
      <c r="H17" s="23"/>
      <c r="I17" s="10"/>
      <c r="J17" s="10" t="s">
        <v>22</v>
      </c>
      <c r="K17" s="23"/>
      <c r="L17" s="23"/>
      <c r="M17" s="23"/>
      <c r="N17" s="23"/>
      <c r="O17" s="23"/>
      <c r="P17" s="23"/>
    </row>
    <row r="18" spans="1:16" hidden="1" x14ac:dyDescent="0.25">
      <c r="B18" s="24" t="s">
        <v>3</v>
      </c>
      <c r="C18" s="25" t="str">
        <f ca="1">_xll.SUBNM("CXMD:Prev_IC_mapping","","99 - Kuhn Group")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idden="1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6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x14ac:dyDescent="0.25">
      <c r="B21" s="23"/>
      <c r="C21" s="90" t="str">
        <f ca="1">QTY!C22</f>
        <v>AC2019</v>
      </c>
      <c r="D21" s="91"/>
      <c r="E21" s="90" t="str">
        <f ca="1">QTY!F22</f>
        <v>AC2020</v>
      </c>
      <c r="F21" s="91"/>
      <c r="G21" s="90" t="str">
        <f ca="1">QTY!I22</f>
        <v>AC2021</v>
      </c>
      <c r="H21" s="91"/>
      <c r="I21" s="90" t="str">
        <f ca="1">QTY!L22</f>
        <v>AC2022</v>
      </c>
      <c r="J21" s="91"/>
      <c r="K21" s="90" t="str">
        <f ca="1">QTY!O22</f>
        <v>AC2023</v>
      </c>
      <c r="L21" s="91"/>
      <c r="M21" s="90" t="str">
        <f ca="1">QTY!R22</f>
        <v>BU2024draft</v>
      </c>
      <c r="N21" s="91"/>
      <c r="O21" s="90" t="str">
        <f ca="1">QTY!U22</f>
        <v>PL2025 (update 2023)</v>
      </c>
      <c r="P21" s="91"/>
    </row>
    <row r="22" spans="1:16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  <c r="O22" s="31" t="s">
        <v>19</v>
      </c>
      <c r="P22" s="32" t="s">
        <v>20</v>
      </c>
    </row>
    <row r="23" spans="1:16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  <c r="O23" s="31" t="s">
        <v>21</v>
      </c>
      <c r="P23" s="32" t="s">
        <v>21</v>
      </c>
    </row>
    <row r="24" spans="1:16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  <c r="O24" s="19" t="str">
        <f ca="1">_xll.DBRW($B$9,$C$15,$C$18,O$22,O$21,$C$16,$B24,$C$17,O$23)</f>
        <v/>
      </c>
      <c r="P24" s="28" t="str">
        <f ca="1">_xll.DBRW($B$9,$C$15,$C$18,P$22,O$21,$C$16,$B24,$C$17,P$23)</f>
        <v/>
      </c>
    </row>
    <row r="25" spans="1:16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  <c r="O25" s="20" t="str">
        <f ca="1">_xll.DBRW($B$9,$C$15,$C$18,O$22,O$21,$C$16,$B25,$C$17,O$23)</f>
        <v/>
      </c>
      <c r="P25" s="29" t="str">
        <f ca="1">_xll.DBRW($B$9,$C$15,$C$18,P$22,O$21,$C$16,$B25,$C$17,P$23)</f>
        <v/>
      </c>
    </row>
    <row r="26" spans="1:16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  <c r="O26" s="20" t="str">
        <f ca="1">_xll.DBRW($B$9,$C$15,$C$18,O$22,O$21,$C$16,$B26,$C$17,O$23)</f>
        <v/>
      </c>
      <c r="P26" s="29" t="str">
        <f ca="1">_xll.DBRW($B$9,$C$15,$C$18,P$22,O$21,$C$16,$B26,$C$17,P$23)</f>
        <v/>
      </c>
    </row>
    <row r="27" spans="1:16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  <c r="O27" s="20" t="str">
        <f ca="1">_xll.DBRW($B$9,$C$15,$C$18,O$22,O$21,$C$16,$B27,$C$17,O$23)</f>
        <v/>
      </c>
      <c r="P27" s="29" t="str">
        <f ca="1">_xll.DBRW($B$9,$C$15,$C$18,P$22,O$21,$C$16,$B27,$C$17,P$23)</f>
        <v/>
      </c>
    </row>
    <row r="28" spans="1:16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  <c r="O28" s="20" t="str">
        <f ca="1">_xll.DBRW($B$9,$C$15,$C$18,O$22,O$21,$C$16,$B28,$C$17,O$23)</f>
        <v/>
      </c>
      <c r="P28" s="29" t="str">
        <f ca="1">_xll.DBRW($B$9,$C$15,$C$18,P$22,O$21,$C$16,$B28,$C$17,P$23)</f>
        <v/>
      </c>
    </row>
    <row r="29" spans="1:16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  <c r="O29" s="20" t="str">
        <f ca="1">_xll.DBRW($B$9,$C$15,$C$18,O$22,O$21,$C$16,$B29,$C$17,O$23)</f>
        <v/>
      </c>
      <c r="P29" s="29" t="str">
        <f ca="1">_xll.DBRW($B$9,$C$15,$C$18,P$22,O$21,$C$16,$B29,$C$17,P$23)</f>
        <v/>
      </c>
    </row>
    <row r="30" spans="1:16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  <c r="O30" s="20" t="str">
        <f ca="1">_xll.DBRW($B$9,$C$15,$C$18,O$22,O$21,$C$16,$B30,$C$17,O$23)</f>
        <v/>
      </c>
      <c r="P30" s="29" t="str">
        <f ca="1">_xll.DBRW($B$9,$C$15,$C$18,P$22,O$21,$C$16,$B30,$C$17,P$23)</f>
        <v/>
      </c>
    </row>
    <row r="31" spans="1:16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  <c r="O31" s="20" t="str">
        <f ca="1">_xll.DBRW($B$9,$C$15,$C$18,O$22,O$21,$C$16,$B31,$C$17,O$23)</f>
        <v/>
      </c>
      <c r="P31" s="29" t="str">
        <f ca="1">_xll.DBRW($B$9,$C$15,$C$18,P$22,O$21,$C$16,$B31,$C$17,P$23)</f>
        <v/>
      </c>
    </row>
    <row r="32" spans="1:16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  <c r="O32" s="20" t="str">
        <f ca="1">_xll.DBRW($B$9,$C$15,$C$18,O$22,O$21,$C$16,$B32,$C$17,O$23)</f>
        <v/>
      </c>
      <c r="P32" s="29" t="str">
        <f ca="1">_xll.DBRW($B$9,$C$15,$C$18,P$22,O$21,$C$16,$B32,$C$17,P$23)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</sheetData>
  <mergeCells count="7">
    <mergeCell ref="C21:D21"/>
    <mergeCell ref="O21:P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3</xdr:col>
                <xdr:colOff>590550</xdr:colOff>
                <xdr:row>15</xdr:row>
                <xdr:rowOff>142875</xdr:rowOff>
              </from>
              <to>
                <xdr:col>3</xdr:col>
                <xdr:colOff>1285875</xdr:colOff>
                <xdr:row>16</xdr:row>
                <xdr:rowOff>200025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2024-01-29T09:52:53Z</dcterms:modified>
</cp:coreProperties>
</file>