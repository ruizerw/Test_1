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0" yWindow="0" windowWidth="12240" windowHeight="5505"/>
  </bookViews>
  <sheets>
    <sheet name="Feuil1" sheetId="1" r:id="rId1"/>
    <sheet name="{AR}01" sheetId="2" state="hidden" r:id="rId2"/>
    <sheet name="{AR}11" sheetId="3" state="hidden" r:id="rId3"/>
  </sheets>
  <definedNames>
    <definedName name="TM1REBUILDOPTION">1</definedName>
    <definedName name="TM1RPTDATARNGARPT1" localSheetId="0">Feuil1!$23:$23</definedName>
    <definedName name="TM1RPTFMTIDCOL" localSheetId="0">Feuil1!$A$1:$A$8</definedName>
    <definedName name="TM1RPTFMTRNG" localSheetId="0">Feuil1!$B$1:$T$8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6" i="1"/>
  <c r="C17" i="1"/>
  <c r="C15" i="1"/>
  <c r="C23" i="1"/>
  <c r="B23" i="1"/>
  <c r="S23" i="1"/>
  <c r="T23" i="1"/>
  <c r="U23" i="1"/>
  <c r="P23" i="1"/>
  <c r="Q23" i="1"/>
  <c r="R23" i="1"/>
  <c r="M23" i="1"/>
  <c r="N23" i="1"/>
  <c r="O23" i="1"/>
  <c r="J23" i="1"/>
  <c r="K23" i="1"/>
  <c r="L23" i="1"/>
  <c r="G23" i="1"/>
  <c r="H23" i="1"/>
  <c r="I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<sst xmlns="http://schemas.openxmlformats.org/spreadsheetml/2006/main" count="81" uniqueCount="55">
  <si>
    <t>Origin_Company</t>
  </si>
  <si>
    <t>Currency</t>
  </si>
  <si>
    <t>Prev_IC_mapping</t>
  </si>
  <si>
    <t>AC2016</t>
  </si>
  <si>
    <t>FC3_2017</t>
  </si>
  <si>
    <t>PL2018 (update 2017)</t>
  </si>
  <si>
    <t>PL2019 (update 2017)</t>
  </si>
  <si>
    <t>PL2020 (update 2017)</t>
  </si>
  <si>
    <t>PL2021 (update 2017)</t>
  </si>
  <si>
    <t>KUHN_Scope</t>
  </si>
  <si>
    <t>KUHN Sales</t>
  </si>
  <si>
    <t>QTY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</si>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</sst>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4" fontId="0" fillId="2" borderId="0" xfId="0" applyNumberFormat="1" applyFill="1" applyAlignment="1"/>
    <xf numFmtId="9" fontId="5" fillId="2" borderId="0" xfId="1" applyFont="1" applyFill="1"/>
    <xf numFmtId="4" fontId="6" fillId="0" borderId="0" xfId="0" applyNumberFormat="1" applyFont="1"/>
    <xf numFmtId="9" fontId="6" fillId="2" borderId="5" xfId="1" applyNumberFormat="1" applyFont="1" applyFill="1" applyBorder="1"/>
    <xf numFmtId="9" fontId="6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3" fontId="6" fillId="2" borderId="2" xfId="0" applyNumberFormat="1" applyFont="1" applyFill="1" applyBorder="1"/>
    <xf numFmtId="3" fontId="6" fillId="2" borderId="6" xfId="0" applyNumberFormat="1" applyFont="1" applyFill="1" applyBorder="1"/>
    <xf numFmtId="3" fontId="6" fillId="3" borderId="3" xfId="0" applyNumberFormat="1" applyFont="1" applyFill="1" applyBorder="1"/>
    <xf numFmtId="3" fontId="6" fillId="3" borderId="0" xfId="0" applyNumberFormat="1" applyFont="1" applyFill="1" applyBorder="1"/>
    <xf numFmtId="3" fontId="6" fillId="3" borderId="4" xfId="0" applyNumberFormat="1" applyFont="1" applyFill="1" applyBorder="1"/>
    <xf numFmtId="3" fontId="6" fillId="3" borderId="7" xfId="0" applyNumberFormat="1" applyFont="1" applyFill="1" applyBorder="1"/>
    <xf numFmtId="3" fontId="6" fillId="0" borderId="0" xfId="0" applyNumberFormat="1" applyFont="1"/>
    <xf numFmtId="0" fontId="0" fillId="0" borderId="0" xfId="0" applyFill="1"/>
    <xf numFmtId="0" fontId="4" fillId="6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67733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4</xdr:col>
          <xdr:colOff>1114425</xdr:colOff>
          <xdr:row>17</xdr:row>
          <xdr:rowOff>76200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V229"/>
  <sheetViews>
    <sheetView showGridLines="0" tabSelected="1" topLeftCell="B10" zoomScale="90" zoomScaleNormal="90" workbookViewId="0">
      <pane xSplit="2" ySplit="13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0" defaultRowHeight="15" zeroHeight="1" x14ac:dyDescent="0.25"/>
  <cols>
    <col min="1" max="1" width="18.7109375" hidden="1" customWidth="1"/>
    <col min="2" max="2" width="5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  <col min="23" max="16384" width="11.5703125" hidden="1"/>
  </cols>
  <sheetData>
    <row r="1" spans="1:22" hidden="1" x14ac:dyDescent="0.25">
      <c r="A1" t="s">
        <v>52</v>
      </c>
    </row>
    <row r="2" spans="1:22" hidden="1" x14ac:dyDescent="0.25">
      <c r="A2">
        <f>0</f>
        <v>0</v>
      </c>
      <c r="B2" s="2"/>
      <c r="C2" s="1"/>
      <c r="D2" s="16"/>
      <c r="E2" s="17"/>
      <c r="F2" s="8"/>
      <c r="G2" s="16"/>
      <c r="H2" s="17"/>
      <c r="I2" s="8"/>
      <c r="J2" s="16"/>
      <c r="K2" s="17"/>
      <c r="L2" s="8"/>
      <c r="M2" s="16"/>
      <c r="N2" s="17"/>
      <c r="O2" s="8"/>
      <c r="P2" s="16"/>
      <c r="Q2" s="17"/>
      <c r="R2" s="8"/>
      <c r="S2" s="16"/>
      <c r="T2" s="17"/>
      <c r="U2" s="8"/>
    </row>
    <row r="3" spans="1:22" hidden="1" x14ac:dyDescent="0.25">
      <c r="A3">
        <f>1</f>
        <v>1</v>
      </c>
      <c r="B3" s="3"/>
      <c r="C3" s="10"/>
      <c r="D3" s="18"/>
      <c r="E3" s="19"/>
      <c r="F3" s="9"/>
      <c r="G3" s="18"/>
      <c r="H3" s="19"/>
      <c r="I3" s="9"/>
      <c r="J3" s="18"/>
      <c r="K3" s="19"/>
      <c r="L3" s="9"/>
      <c r="M3" s="18"/>
      <c r="N3" s="19"/>
      <c r="O3" s="9"/>
      <c r="P3" s="18"/>
      <c r="Q3" s="19"/>
      <c r="R3" s="9"/>
      <c r="S3" s="18"/>
      <c r="T3" s="19"/>
      <c r="U3" s="9"/>
    </row>
    <row r="4" spans="1:22" hidden="1" x14ac:dyDescent="0.25">
      <c r="A4">
        <f>2</f>
        <v>2</v>
      </c>
      <c r="B4" s="3"/>
      <c r="C4" s="10"/>
      <c r="D4" s="18"/>
      <c r="E4" s="19"/>
      <c r="F4" s="9"/>
      <c r="G4" s="18"/>
      <c r="H4" s="19"/>
      <c r="I4" s="9"/>
      <c r="J4" s="18"/>
      <c r="K4" s="19"/>
      <c r="L4" s="9"/>
      <c r="M4" s="18"/>
      <c r="N4" s="19"/>
      <c r="O4" s="9"/>
      <c r="P4" s="18"/>
      <c r="Q4" s="19"/>
      <c r="R4" s="9"/>
      <c r="S4" s="18"/>
      <c r="T4" s="19"/>
      <c r="U4" s="9"/>
    </row>
    <row r="5" spans="1:22" hidden="1" x14ac:dyDescent="0.25">
      <c r="A5">
        <f>3</f>
        <v>3</v>
      </c>
      <c r="B5" s="3"/>
      <c r="C5" s="10"/>
      <c r="D5" s="18"/>
      <c r="E5" s="19"/>
      <c r="F5" s="9"/>
      <c r="G5" s="18"/>
      <c r="H5" s="19"/>
      <c r="I5" s="9"/>
      <c r="J5" s="18"/>
      <c r="K5" s="19"/>
      <c r="L5" s="9"/>
      <c r="M5" s="18"/>
      <c r="N5" s="19"/>
      <c r="O5" s="9"/>
      <c r="P5" s="18"/>
      <c r="Q5" s="19"/>
      <c r="R5" s="9"/>
      <c r="S5" s="18"/>
      <c r="T5" s="19"/>
      <c r="U5" s="9"/>
    </row>
    <row r="6" spans="1:22" hidden="1" x14ac:dyDescent="0.25">
      <c r="A6" t="s">
        <v>50</v>
      </c>
      <c r="B6" s="3"/>
      <c r="C6" s="10"/>
      <c r="D6" s="20"/>
      <c r="E6" s="21"/>
      <c r="F6" s="9"/>
      <c r="G6" s="20"/>
      <c r="H6" s="21"/>
      <c r="I6" s="9"/>
      <c r="J6" s="20"/>
      <c r="K6" s="21"/>
      <c r="L6" s="9"/>
      <c r="M6" s="20"/>
      <c r="N6" s="21"/>
      <c r="O6" s="9"/>
      <c r="P6" s="20"/>
      <c r="Q6" s="21"/>
      <c r="R6" s="9"/>
      <c r="S6" s="20"/>
      <c r="T6" s="21"/>
      <c r="U6" s="9"/>
    </row>
    <row r="7" spans="1:22" hidden="1" x14ac:dyDescent="0.25">
      <c r="A7" t="s">
        <v>51</v>
      </c>
      <c r="B7" s="3"/>
      <c r="C7" s="10"/>
      <c r="D7" s="22"/>
      <c r="E7" s="22"/>
      <c r="F7" s="7"/>
      <c r="G7" s="22"/>
      <c r="H7" s="22"/>
      <c r="I7" s="7"/>
      <c r="J7" s="22"/>
      <c r="K7" s="22"/>
      <c r="L7" s="7"/>
      <c r="M7" s="22"/>
      <c r="N7" s="22"/>
      <c r="O7" s="7"/>
      <c r="P7" s="22"/>
      <c r="Q7" s="22"/>
      <c r="R7" s="7"/>
      <c r="S7" s="22"/>
      <c r="T7" s="22"/>
      <c r="U7" s="7"/>
    </row>
    <row r="8" spans="1:22" hidden="1" x14ac:dyDescent="0.25">
      <c r="A8" t="s">
        <v>53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3"/>
    </row>
    <row r="10" spans="1:22" s="12" customFormat="1" x14ac:dyDescent="0.25">
      <c r="V10" s="23"/>
    </row>
    <row r="11" spans="1:22" s="12" customFormat="1" x14ac:dyDescent="0.25">
      <c r="V11" s="23"/>
    </row>
    <row r="12" spans="1:22" s="12" customFormat="1" x14ac:dyDescent="0.25">
      <c r="V12" s="23"/>
    </row>
    <row r="13" spans="1:22" s="12" customFormat="1" x14ac:dyDescent="0.25">
      <c r="V13" s="23"/>
    </row>
    <row r="14" spans="1:22" s="13" customFormat="1" x14ac:dyDescent="0.25">
      <c r="V14" s="23"/>
    </row>
    <row r="15" spans="1:22" s="13" customFormat="1" x14ac:dyDescent="0.25">
      <c r="B15" s="14" t="s">
        <v>0</v>
      </c>
      <c r="C15" s="15" t="str">
        <f ca="1">_xll.SUBNM("CXMD:DIM_Origin_Company","","KNL","Name EN")</f>
        <v>KNL</v>
      </c>
      <c r="V15" s="23"/>
    </row>
    <row r="16" spans="1:22" s="13" customFormat="1" x14ac:dyDescent="0.25">
      <c r="B16" s="14" t="s">
        <v>1</v>
      </c>
      <c r="C16" s="15" t="str">
        <f ca="1">_xll.SUBNM("CXMD:Currency","","CD_LC","Description EN")</f>
        <v>Local currency</v>
      </c>
      <c r="V16" s="23"/>
    </row>
    <row r="17" spans="1:22" s="13" customFormat="1" x14ac:dyDescent="0.25">
      <c r="B17" s="14" t="s">
        <v>2</v>
      </c>
      <c r="C17" s="15" t="str">
        <f ca="1">_xll.SUBNM("CXMD:DIM_Prev_IC_mapping","","99 - Kuhn Group","Groupement_Alias")</f>
        <v>99 - Kuhn Group</v>
      </c>
      <c r="V17" s="23"/>
    </row>
    <row r="18" spans="1:22" s="13" customFormat="1" x14ac:dyDescent="0.25">
      <c r="V18" s="23"/>
    </row>
    <row r="19" spans="1:22" s="13" customFormat="1" x14ac:dyDescent="0.25">
      <c r="V19" s="23"/>
    </row>
    <row r="20" spans="1:22" ht="16.899999999999999" customHeight="1" x14ac:dyDescent="0.25">
      <c r="B20" s="13"/>
      <c r="C20" s="13"/>
      <c r="D20" s="24" t="s">
        <v>3</v>
      </c>
      <c r="E20" s="24"/>
      <c r="F20" s="24" t="s">
        <v>54</v>
      </c>
      <c r="G20" s="24" t="s">
        <v>4</v>
      </c>
      <c r="H20" s="24"/>
      <c r="I20" s="24" t="s">
        <v>54</v>
      </c>
      <c r="J20" s="24" t="s">
        <v>5</v>
      </c>
      <c r="K20" s="24"/>
      <c r="L20" s="24" t="s">
        <v>54</v>
      </c>
      <c r="M20" s="24" t="s">
        <v>6</v>
      </c>
      <c r="N20" s="24"/>
      <c r="O20" s="24" t="s">
        <v>54</v>
      </c>
      <c r="P20" s="24" t="s">
        <v>7</v>
      </c>
      <c r="Q20" s="24"/>
      <c r="R20" s="24" t="s">
        <v>54</v>
      </c>
      <c r="S20" s="24" t="s">
        <v>8</v>
      </c>
      <c r="T20" s="24"/>
      <c r="U20" s="24" t="s">
        <v>54</v>
      </c>
      <c r="V20" s="23"/>
    </row>
    <row r="21" spans="1:22" x14ac:dyDescent="0.25">
      <c r="B21" s="13"/>
      <c r="C21" s="13"/>
      <c r="D21" s="11" t="s">
        <v>9</v>
      </c>
      <c r="E21" s="11" t="s">
        <v>10</v>
      </c>
      <c r="F21" s="24"/>
      <c r="G21" s="11" t="s">
        <v>9</v>
      </c>
      <c r="H21" s="11" t="s">
        <v>10</v>
      </c>
      <c r="I21" s="24"/>
      <c r="J21" s="11" t="s">
        <v>9</v>
      </c>
      <c r="K21" s="11" t="s">
        <v>10</v>
      </c>
      <c r="L21" s="24"/>
      <c r="M21" s="11" t="s">
        <v>9</v>
      </c>
      <c r="N21" s="11" t="s">
        <v>10</v>
      </c>
      <c r="O21" s="24"/>
      <c r="P21" s="11" t="s">
        <v>9</v>
      </c>
      <c r="Q21" s="11" t="s">
        <v>10</v>
      </c>
      <c r="R21" s="24"/>
      <c r="S21" s="11" t="s">
        <v>9</v>
      </c>
      <c r="T21" s="11" t="s">
        <v>10</v>
      </c>
      <c r="U21" s="24"/>
    </row>
    <row r="22" spans="1:22" x14ac:dyDescent="0.25">
      <c r="B22" s="13"/>
      <c r="C22" s="13"/>
      <c r="D22" s="11" t="s">
        <v>11</v>
      </c>
      <c r="E22" s="11" t="s">
        <v>11</v>
      </c>
      <c r="F22" s="24"/>
      <c r="G22" s="11" t="s">
        <v>11</v>
      </c>
      <c r="H22" s="11" t="s">
        <v>11</v>
      </c>
      <c r="I22" s="24"/>
      <c r="J22" s="11" t="s">
        <v>11</v>
      </c>
      <c r="K22" s="11" t="s">
        <v>11</v>
      </c>
      <c r="L22" s="24"/>
      <c r="M22" s="11" t="s">
        <v>11</v>
      </c>
      <c r="N22" s="11" t="s">
        <v>11</v>
      </c>
      <c r="O22" s="24"/>
      <c r="P22" s="11" t="s">
        <v>11</v>
      </c>
      <c r="Q22" s="11" t="s">
        <v>11</v>
      </c>
      <c r="R22" s="24"/>
      <c r="S22" s="11" t="s">
        <v>11</v>
      </c>
      <c r="T22" s="11" t="s">
        <v>11</v>
      </c>
      <c r="U22" s="24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_xll.TM1RPTROW($B$9,"CXMD:DIM_Configuration","Product_Line","","Description EN",0)</f>
        <v/>
      </c>
      <c r="C23" s="5" t="str">
        <f ca="1">_xll.TM1RPTROW($B$9,"CXMD:DIM_Country","Total Country SOM","","Description",0)</f>
        <v/>
      </c>
      <c r="D23" s="16" t="str">
        <f ca="1">_xll.DBRW($B$9,$C$16,$C$17,D$21,D$20,$C$15,$C23,$B23,D$22)</f>
        <v/>
      </c>
      <c r="E23" s="17" t="str">
        <f ca="1">_xll.DBRW($B$9,$C$16,$C$17,E$21,D$20,$C$15,$C23,$B23,E$22)</f>
        <v/>
      </c>
      <c r="F23" s="8" t="e">
        <f ca="1">IF(D23&lt;&gt;0,E23/D23,0)</f>
        <v>#VALUE!</v>
      </c>
      <c r="G23" s="16" t="str">
        <f ca="1">_xll.DBRW($B$9,$C$16,$C$17,G$21,G$20,$C$15,$C23,$B23,G$22)</f>
        <v/>
      </c>
      <c r="H23" s="17" t="str">
        <f ca="1">_xll.DBRW($B$9,$C$16,$C$17,H$21,G$20,$C$15,$C23,$B23,H$22)</f>
        <v/>
      </c>
      <c r="I23" s="8" t="e">
        <f ca="1">IF(G23&lt;&gt;0,H23/G23,0)</f>
        <v>#VALUE!</v>
      </c>
      <c r="J23" s="16" t="str">
        <f ca="1">_xll.DBRW($B$9,$C$16,$C$17,J$21,J$20,$C$15,$C23,$B23,J$22)</f>
        <v/>
      </c>
      <c r="K23" s="17" t="str">
        <f ca="1">_xll.DBRW($B$9,$C$16,$C$17,K$21,J$20,$C$15,$C23,$B23,K$22)</f>
        <v/>
      </c>
      <c r="L23" s="8" t="e">
        <f ca="1">IF(J23&lt;&gt;0,K23/J23,0)</f>
        <v>#VALUE!</v>
      </c>
      <c r="M23" s="16" t="str">
        <f ca="1">_xll.DBRW($B$9,$C$16,$C$17,M$21,M$20,$C$15,$C23,$B23,M$22)</f>
        <v/>
      </c>
      <c r="N23" s="17" t="str">
        <f ca="1">_xll.DBRW($B$9,$C$16,$C$17,N$21,M$20,$C$15,$C23,$B23,N$22)</f>
        <v/>
      </c>
      <c r="O23" s="8" t="e">
        <f ca="1">IF(M23&lt;&gt;0,N23/M23,0)</f>
        <v>#VALUE!</v>
      </c>
      <c r="P23" s="16" t="str">
        <f ca="1">_xll.DBRW($B$9,$C$16,$C$17,P$21,P$20,$C$15,$C23,$B23,P$22)</f>
        <v/>
      </c>
      <c r="Q23" s="17" t="str">
        <f ca="1">_xll.DBRW($B$9,$C$16,$C$17,Q$21,P$20,$C$15,$C23,$B23,Q$22)</f>
        <v/>
      </c>
      <c r="R23" s="8" t="e">
        <f ca="1">IF(P23&lt;&gt;0,Q23/P23,0)</f>
        <v>#VALUE!</v>
      </c>
      <c r="S23" s="16" t="str">
        <f ca="1">_xll.DBRW($B$9,$C$16,$C$17,S$21,S$20,$C$15,$C23,$B23,S$22)</f>
        <v/>
      </c>
      <c r="T23" s="17" t="str">
        <f ca="1">_xll.DBRW($B$9,$C$16,$C$17,T$21,S$20,$C$15,$C23,$B23,T$22)</f>
        <v/>
      </c>
      <c r="U23" s="6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M20:N20"/>
    <mergeCell ref="J20:K20"/>
    <mergeCell ref="G20:H20"/>
    <mergeCell ref="D20:E20"/>
    <mergeCell ref="S20:T20"/>
    <mergeCell ref="P20:Q20"/>
    <mergeCell ref="F20:F22"/>
    <mergeCell ref="I20:I22"/>
    <mergeCell ref="L20:L22"/>
    <mergeCell ref="O20:O22"/>
    <mergeCell ref="R20:R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238125</xdr:colOff>
                <xdr:row>18</xdr:row>
                <xdr:rowOff>38100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workbookViewId="0"/>
  </sheetViews>
  <sheetFormatPr defaultColWidth="11.42578125" defaultRowHeight="15" x14ac:dyDescent="0.25"/>
  <sheetData>
    <row r="19" spans="2:2" x14ac:dyDescent="0.25">
      <c r="B19" t="s">
        <v>12</v>
      </c>
    </row>
    <row r="20" spans="2:2" x14ac:dyDescent="0.25">
      <c r="B20" t="s">
        <v>13</v>
      </c>
    </row>
    <row r="21" spans="2:2" x14ac:dyDescent="0.25">
      <c r="B21" t="s">
        <v>14</v>
      </c>
    </row>
    <row r="22" spans="2:2" x14ac:dyDescent="0.25">
      <c r="B22" t="s">
        <v>15</v>
      </c>
    </row>
    <row r="23" spans="2:2" x14ac:dyDescent="0.25">
      <c r="B23" t="s">
        <v>16</v>
      </c>
    </row>
    <row r="24" spans="2:2" x14ac:dyDescent="0.25">
      <c r="B24" t="s">
        <v>17</v>
      </c>
    </row>
    <row r="25" spans="2:2" x14ac:dyDescent="0.25">
      <c r="B25" t="s">
        <v>18</v>
      </c>
    </row>
    <row r="26" spans="2:2" x14ac:dyDescent="0.25">
      <c r="B26" t="s">
        <v>19</v>
      </c>
    </row>
    <row r="27" spans="2:2" x14ac:dyDescent="0.25">
      <c r="B27" t="s">
        <v>20</v>
      </c>
    </row>
    <row r="28" spans="2:2" x14ac:dyDescent="0.25">
      <c r="B28" t="s">
        <v>21</v>
      </c>
    </row>
    <row r="29" spans="2:2" x14ac:dyDescent="0.25">
      <c r="B29" t="s">
        <v>22</v>
      </c>
    </row>
    <row r="30" spans="2:2" x14ac:dyDescent="0.25">
      <c r="B30" t="s">
        <v>23</v>
      </c>
    </row>
    <row r="31" spans="2:2" x14ac:dyDescent="0.25">
      <c r="B31" t="s">
        <v>24</v>
      </c>
    </row>
    <row r="32" spans="2:2" x14ac:dyDescent="0.25">
      <c r="B32" t="s">
        <v>25</v>
      </c>
    </row>
    <row r="33" spans="2:2" x14ac:dyDescent="0.25">
      <c r="B33" t="s">
        <v>26</v>
      </c>
    </row>
    <row r="34" spans="2:2" x14ac:dyDescent="0.25">
      <c r="B34" t="s">
        <v>27</v>
      </c>
    </row>
    <row r="35" spans="2:2" x14ac:dyDescent="0.25">
      <c r="B35" t="s">
        <v>28</v>
      </c>
    </row>
    <row r="36" spans="2:2" x14ac:dyDescent="0.25">
      <c r="B36" t="s">
        <v>29</v>
      </c>
    </row>
    <row r="37" spans="2:2" x14ac:dyDescent="0.25">
      <c r="B37" t="s">
        <v>30</v>
      </c>
    </row>
    <row r="38" spans="2:2" x14ac:dyDescent="0.25">
      <c r="B38" t="s">
        <v>31</v>
      </c>
    </row>
    <row r="39" spans="2:2" x14ac:dyDescent="0.25">
      <c r="B39" t="s">
        <v>32</v>
      </c>
    </row>
    <row r="40" spans="2:2" x14ac:dyDescent="0.25">
      <c r="B40" t="s">
        <v>33</v>
      </c>
    </row>
    <row r="41" spans="2:2" x14ac:dyDescent="0.25">
      <c r="B41" t="s">
        <v>34</v>
      </c>
    </row>
    <row r="42" spans="2:2" x14ac:dyDescent="0.25">
      <c r="B42" t="s">
        <v>35</v>
      </c>
    </row>
    <row r="43" spans="2:2" x14ac:dyDescent="0.25">
      <c r="B43" t="s">
        <v>36</v>
      </c>
    </row>
    <row r="44" spans="2:2" x14ac:dyDescent="0.25">
      <c r="B44" t="s">
        <v>37</v>
      </c>
    </row>
    <row r="45" spans="2:2" x14ac:dyDescent="0.25">
      <c r="B45" t="s">
        <v>38</v>
      </c>
    </row>
    <row r="46" spans="2:2" x14ac:dyDescent="0.25">
      <c r="B46" t="s">
        <v>39</v>
      </c>
    </row>
    <row r="47" spans="2:2" x14ac:dyDescent="0.25">
      <c r="B4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topLeftCell="A10" workbookViewId="0"/>
  </sheetViews>
  <sheetFormatPr defaultColWidth="11.42578125" defaultRowHeight="15" x14ac:dyDescent="0.25"/>
  <sheetData>
    <row r="19" spans="3:3" x14ac:dyDescent="0.25">
      <c r="C19" t="s">
        <v>41</v>
      </c>
    </row>
    <row r="20" spans="3:3" x14ac:dyDescent="0.25">
      <c r="C20" t="s">
        <v>49</v>
      </c>
    </row>
    <row r="21" spans="3:3" x14ac:dyDescent="0.25">
      <c r="C21" t="s">
        <v>42</v>
      </c>
    </row>
    <row r="22" spans="3:3" x14ac:dyDescent="0.25">
      <c r="C22" t="s">
        <v>43</v>
      </c>
    </row>
    <row r="23" spans="3:3" x14ac:dyDescent="0.25">
      <c r="C23" t="s">
        <v>44</v>
      </c>
    </row>
    <row r="24" spans="3:3" x14ac:dyDescent="0.25">
      <c r="C24" t="s">
        <v>45</v>
      </c>
    </row>
    <row r="25" spans="3:3" x14ac:dyDescent="0.25">
      <c r="C25" t="s">
        <v>46</v>
      </c>
    </row>
    <row r="26" spans="3:3" x14ac:dyDescent="0.25">
      <c r="C26" t="s">
        <v>47</v>
      </c>
    </row>
    <row r="27" spans="3:3" x14ac:dyDescent="0.25">
      <c r="C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Feuil1</vt:lpstr>
      <vt:lpstr>{AR}01</vt:lpstr>
      <vt:lpstr>{AR}11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2022-01-28T08:39:09Z</dcterms:modified>
</cp:coreProperties>
</file>