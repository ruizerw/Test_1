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drawings/drawing2.xml" ContentType="application/vnd.openxmlformats-officedocument.drawing+xml"/>
  <Override PartName="/xl/activeX/activeX2.xml" ContentType="application/vnd.ms-office.activeX+xml"/>
  <Override PartName="/xl/activeX/activeX3.xml" ContentType="application/vnd.ms-office.activeX+xml"/>
  <Override PartName="/xl/activeX/activeX1.bin" ContentType="application/vnd.ms-office.activeX"/>
  <Override PartName="/xl/drawings/drawing3.xml" ContentType="application/vnd.openxmlformats-officedocument.drawing+xml"/>
  <Override PartName="/xl/activeX/activeX4.xml" ContentType="application/vnd.ms-office.activeX+xml"/>
  <Override PartName="/xl/drawings/drawing4.xml" ContentType="application/vnd.openxmlformats-officedocument.drawing+xml"/>
  <Override PartName="/xl/activeX/activeX5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v191\AppData\Local\Temp\35\"/>
    </mc:Choice>
  </mc:AlternateContent>
  <bookViews>
    <workbookView xWindow="4005" yWindow="1965" windowWidth="21840" windowHeight="12270"/>
  </bookViews>
  <sheets>
    <sheet name="QTY" sheetId="1" r:id="rId1"/>
    <sheet name="Unit Price" sheetId="9" r:id="rId2"/>
    <sheet name="Sales" sheetId="6" r:id="rId3"/>
    <sheet name="Comments" sheetId="7" r:id="rId4"/>
  </sheets>
  <definedNames>
    <definedName name="actuality">'Unit Price'!$J$16</definedName>
    <definedName name="configuration">QTY!$C$18</definedName>
    <definedName name="country">'Unit Price'!$J$18</definedName>
    <definedName name="currency">QTY!$C$16</definedName>
    <definedName name="market_actor">'Unit Price'!$J$17</definedName>
    <definedName name="origin_company">QTY!$C$17</definedName>
    <definedName name="prev_ic_mapping">QTY!$C$19</definedName>
    <definedName name="TM1REBUILDOPTION">1</definedName>
    <definedName name="TM1RPTDATARNGARPT1" localSheetId="3">Comments!$24:$32</definedName>
    <definedName name="TM1RPTDATARNGARPT1" localSheetId="0">QTY!$26:$34</definedName>
    <definedName name="TM1RPTDATARNGARPT1" localSheetId="2">Sales!$26:$34</definedName>
    <definedName name="TM1RPTDATARNGARPT1" localSheetId="1">'Unit Price'!$28:$36</definedName>
    <definedName name="TM1RPTFMTIDCOL" localSheetId="3">Comments!$A$1:$A$8</definedName>
    <definedName name="TM1RPTFMTIDCOL" localSheetId="0">QTY!$A$1:$A$8</definedName>
    <definedName name="TM1RPTFMTIDCOL" localSheetId="2">Sales!$A$1:$A$8</definedName>
    <definedName name="TM1RPTFMTIDCOL" localSheetId="1">'Unit Price'!$A$1:$A$8</definedName>
    <definedName name="TM1RPTFMTRNG" localSheetId="3">Comments!$B$1:$N$8</definedName>
    <definedName name="TM1RPTFMTRNG" localSheetId="0">QTY!$B$1:$T$8</definedName>
    <definedName name="TM1RPTFMTRNG" localSheetId="2">Sales!$B$1:$T$8</definedName>
    <definedName name="TM1RPTFMTRNG" localSheetId="1">'Unit Price'!$B$1:$T$8</definedName>
    <definedName name="unit_price_global">'Unit Price'!$J$19</definedName>
  </definedNames>
  <calcPr calcId="162913" calcMode="manual" concurrentCalc="0"/>
</workbook>
</file>

<file path=xl/calcChain.xml><?xml version="1.0" encoding="utf-8"?>
<calcChain xmlns="http://schemas.openxmlformats.org/spreadsheetml/2006/main">
  <c r="A32" i="7" l="1"/>
  <c r="A31" i="7"/>
  <c r="A30" i="7"/>
  <c r="A29" i="7"/>
  <c r="A28" i="7"/>
  <c r="A27" i="7"/>
  <c r="A26" i="7"/>
  <c r="A25" i="7"/>
  <c r="B9" i="7"/>
  <c r="C15" i="7"/>
  <c r="C18" i="7"/>
  <c r="R22" i="1"/>
  <c r="M21" i="7"/>
  <c r="C17" i="1"/>
  <c r="C16" i="7"/>
  <c r="C18" i="1"/>
  <c r="C17" i="7"/>
  <c r="N32" i="7"/>
  <c r="M32" i="7"/>
  <c r="O22" i="1"/>
  <c r="K21" i="7"/>
  <c r="L32" i="7"/>
  <c r="K32" i="7"/>
  <c r="L22" i="1"/>
  <c r="I21" i="7"/>
  <c r="J32" i="7"/>
  <c r="I32" i="7"/>
  <c r="I22" i="1"/>
  <c r="G21" i="7"/>
  <c r="H32" i="7"/>
  <c r="G32" i="7"/>
  <c r="F22" i="1"/>
  <c r="E21" i="7"/>
  <c r="F32" i="7"/>
  <c r="E32" i="7"/>
  <c r="C22" i="1"/>
  <c r="C21" i="7"/>
  <c r="D32" i="7"/>
  <c r="C32" i="7"/>
  <c r="N31" i="7"/>
  <c r="M31" i="7"/>
  <c r="L31" i="7"/>
  <c r="K31" i="7"/>
  <c r="J31" i="7"/>
  <c r="I31" i="7"/>
  <c r="H31" i="7"/>
  <c r="G31" i="7"/>
  <c r="F31" i="7"/>
  <c r="E31" i="7"/>
  <c r="D31" i="7"/>
  <c r="C31" i="7"/>
  <c r="N30" i="7"/>
  <c r="M30" i="7"/>
  <c r="L30" i="7"/>
  <c r="K30" i="7"/>
  <c r="J30" i="7"/>
  <c r="I30" i="7"/>
  <c r="H30" i="7"/>
  <c r="G30" i="7"/>
  <c r="F30" i="7"/>
  <c r="E30" i="7"/>
  <c r="D30" i="7"/>
  <c r="C30" i="7"/>
  <c r="N29" i="7"/>
  <c r="M29" i="7"/>
  <c r="L29" i="7"/>
  <c r="K29" i="7"/>
  <c r="J29" i="7"/>
  <c r="I29" i="7"/>
  <c r="H29" i="7"/>
  <c r="G29" i="7"/>
  <c r="F29" i="7"/>
  <c r="E29" i="7"/>
  <c r="D29" i="7"/>
  <c r="C29" i="7"/>
  <c r="N28" i="7"/>
  <c r="M28" i="7"/>
  <c r="L28" i="7"/>
  <c r="K28" i="7"/>
  <c r="J28" i="7"/>
  <c r="I28" i="7"/>
  <c r="H28" i="7"/>
  <c r="G28" i="7"/>
  <c r="F28" i="7"/>
  <c r="E28" i="7"/>
  <c r="D28" i="7"/>
  <c r="C28" i="7"/>
  <c r="N27" i="7"/>
  <c r="M27" i="7"/>
  <c r="L27" i="7"/>
  <c r="K27" i="7"/>
  <c r="J27" i="7"/>
  <c r="I27" i="7"/>
  <c r="H27" i="7"/>
  <c r="G27" i="7"/>
  <c r="F27" i="7"/>
  <c r="E27" i="7"/>
  <c r="D27" i="7"/>
  <c r="C27" i="7"/>
  <c r="N26" i="7"/>
  <c r="M26" i="7"/>
  <c r="L26" i="7"/>
  <c r="K26" i="7"/>
  <c r="J26" i="7"/>
  <c r="I26" i="7"/>
  <c r="H26" i="7"/>
  <c r="G26" i="7"/>
  <c r="F26" i="7"/>
  <c r="E26" i="7"/>
  <c r="D26" i="7"/>
  <c r="C26" i="7"/>
  <c r="N25" i="7"/>
  <c r="M25" i="7"/>
  <c r="L25" i="7"/>
  <c r="K25" i="7"/>
  <c r="J25" i="7"/>
  <c r="I25" i="7"/>
  <c r="H25" i="7"/>
  <c r="G25" i="7"/>
  <c r="F25" i="7"/>
  <c r="E25" i="7"/>
  <c r="D25" i="7"/>
  <c r="C25" i="7"/>
  <c r="B24" i="7"/>
  <c r="A34" i="6"/>
  <c r="A33" i="6"/>
  <c r="A32" i="6"/>
  <c r="A31" i="6"/>
  <c r="A30" i="6"/>
  <c r="A29" i="6"/>
  <c r="A28" i="6"/>
  <c r="A27" i="6"/>
  <c r="B9" i="6"/>
  <c r="C16" i="1"/>
  <c r="C16" i="6"/>
  <c r="C19" i="1"/>
  <c r="C19" i="6"/>
  <c r="R24" i="1"/>
  <c r="R24" i="6"/>
  <c r="R22" i="6"/>
  <c r="C17" i="6"/>
  <c r="C18" i="6"/>
  <c r="R34" i="6"/>
  <c r="S24" i="1"/>
  <c r="S24" i="6"/>
  <c r="S34" i="6"/>
  <c r="T34" i="6"/>
  <c r="O24" i="1"/>
  <c r="O24" i="6"/>
  <c r="O22" i="6"/>
  <c r="O34" i="6"/>
  <c r="P24" i="1"/>
  <c r="P24" i="6"/>
  <c r="P34" i="6"/>
  <c r="Q34" i="6"/>
  <c r="L24" i="1"/>
  <c r="L24" i="6"/>
  <c r="L22" i="6"/>
  <c r="L34" i="6"/>
  <c r="M24" i="1"/>
  <c r="M24" i="6"/>
  <c r="M34" i="6"/>
  <c r="N34" i="6"/>
  <c r="I24" i="1"/>
  <c r="I24" i="6"/>
  <c r="I22" i="6"/>
  <c r="I34" i="6"/>
  <c r="J24" i="1"/>
  <c r="J24" i="6"/>
  <c r="J34" i="6"/>
  <c r="K34" i="6"/>
  <c r="F24" i="1"/>
  <c r="F24" i="6"/>
  <c r="F22" i="6"/>
  <c r="F34" i="6"/>
  <c r="G24" i="1"/>
  <c r="G24" i="6"/>
  <c r="G34" i="6"/>
  <c r="H34" i="6"/>
  <c r="C24" i="1"/>
  <c r="C24" i="6"/>
  <c r="C22" i="6"/>
  <c r="C34" i="6"/>
  <c r="D24" i="1"/>
  <c r="D24" i="6"/>
  <c r="D34" i="6"/>
  <c r="E34" i="6"/>
  <c r="R33" i="6"/>
  <c r="S33" i="6"/>
  <c r="T33" i="6"/>
  <c r="O33" i="6"/>
  <c r="P33" i="6"/>
  <c r="Q33" i="6"/>
  <c r="L33" i="6"/>
  <c r="M33" i="6"/>
  <c r="N33" i="6"/>
  <c r="I33" i="6"/>
  <c r="J33" i="6"/>
  <c r="K33" i="6"/>
  <c r="F33" i="6"/>
  <c r="G33" i="6"/>
  <c r="H33" i="6"/>
  <c r="C33" i="6"/>
  <c r="D33" i="6"/>
  <c r="E33" i="6"/>
  <c r="R32" i="6"/>
  <c r="S32" i="6"/>
  <c r="T32" i="6"/>
  <c r="O32" i="6"/>
  <c r="P32" i="6"/>
  <c r="Q32" i="6"/>
  <c r="L32" i="6"/>
  <c r="M32" i="6"/>
  <c r="N32" i="6"/>
  <c r="I32" i="6"/>
  <c r="J32" i="6"/>
  <c r="K32" i="6"/>
  <c r="F32" i="6"/>
  <c r="G32" i="6"/>
  <c r="H32" i="6"/>
  <c r="C32" i="6"/>
  <c r="D32" i="6"/>
  <c r="E32" i="6"/>
  <c r="R31" i="6"/>
  <c r="S31" i="6"/>
  <c r="T31" i="6"/>
  <c r="O31" i="6"/>
  <c r="P31" i="6"/>
  <c r="Q31" i="6"/>
  <c r="L31" i="6"/>
  <c r="M31" i="6"/>
  <c r="N31" i="6"/>
  <c r="I31" i="6"/>
  <c r="J31" i="6"/>
  <c r="K31" i="6"/>
  <c r="F31" i="6"/>
  <c r="G31" i="6"/>
  <c r="H31" i="6"/>
  <c r="C31" i="6"/>
  <c r="D31" i="6"/>
  <c r="E31" i="6"/>
  <c r="R30" i="6"/>
  <c r="S30" i="6"/>
  <c r="T30" i="6"/>
  <c r="O30" i="6"/>
  <c r="P30" i="6"/>
  <c r="Q30" i="6"/>
  <c r="L30" i="6"/>
  <c r="M30" i="6"/>
  <c r="N30" i="6"/>
  <c r="I30" i="6"/>
  <c r="J30" i="6"/>
  <c r="K30" i="6"/>
  <c r="F30" i="6"/>
  <c r="G30" i="6"/>
  <c r="H30" i="6"/>
  <c r="C30" i="6"/>
  <c r="D30" i="6"/>
  <c r="E30" i="6"/>
  <c r="R29" i="6"/>
  <c r="S29" i="6"/>
  <c r="T29" i="6"/>
  <c r="O29" i="6"/>
  <c r="P29" i="6"/>
  <c r="Q29" i="6"/>
  <c r="L29" i="6"/>
  <c r="M29" i="6"/>
  <c r="N29" i="6"/>
  <c r="I29" i="6"/>
  <c r="J29" i="6"/>
  <c r="K29" i="6"/>
  <c r="F29" i="6"/>
  <c r="G29" i="6"/>
  <c r="H29" i="6"/>
  <c r="C29" i="6"/>
  <c r="D29" i="6"/>
  <c r="E29" i="6"/>
  <c r="R28" i="6"/>
  <c r="S28" i="6"/>
  <c r="T28" i="6"/>
  <c r="O28" i="6"/>
  <c r="P28" i="6"/>
  <c r="Q28" i="6"/>
  <c r="L28" i="6"/>
  <c r="M28" i="6"/>
  <c r="N28" i="6"/>
  <c r="I28" i="6"/>
  <c r="J28" i="6"/>
  <c r="K28" i="6"/>
  <c r="F28" i="6"/>
  <c r="G28" i="6"/>
  <c r="H28" i="6"/>
  <c r="C28" i="6"/>
  <c r="D28" i="6"/>
  <c r="E28" i="6"/>
  <c r="R27" i="6"/>
  <c r="S27" i="6"/>
  <c r="T27" i="6"/>
  <c r="O27" i="6"/>
  <c r="P27" i="6"/>
  <c r="Q27" i="6"/>
  <c r="L27" i="6"/>
  <c r="M27" i="6"/>
  <c r="N27" i="6"/>
  <c r="I27" i="6"/>
  <c r="J27" i="6"/>
  <c r="K27" i="6"/>
  <c r="F27" i="6"/>
  <c r="G27" i="6"/>
  <c r="H27" i="6"/>
  <c r="C27" i="6"/>
  <c r="D27" i="6"/>
  <c r="E27" i="6"/>
  <c r="B26" i="6"/>
  <c r="A36" i="9"/>
  <c r="A35" i="9"/>
  <c r="A34" i="9"/>
  <c r="A33" i="9"/>
  <c r="A32" i="9"/>
  <c r="A31" i="9"/>
  <c r="A30" i="9"/>
  <c r="A29" i="9"/>
  <c r="B9" i="9"/>
  <c r="C16" i="9"/>
  <c r="C19" i="9"/>
  <c r="R26" i="9"/>
  <c r="R24" i="9"/>
  <c r="C17" i="9"/>
  <c r="C18" i="9"/>
  <c r="R36" i="9"/>
  <c r="S26" i="9"/>
  <c r="S36" i="9"/>
  <c r="T36" i="9"/>
  <c r="O26" i="9"/>
  <c r="O24" i="9"/>
  <c r="O36" i="9"/>
  <c r="P26" i="9"/>
  <c r="P36" i="9"/>
  <c r="Q36" i="9"/>
  <c r="L26" i="9"/>
  <c r="L24" i="9"/>
  <c r="L36" i="9"/>
  <c r="M26" i="9"/>
  <c r="M36" i="9"/>
  <c r="N36" i="9"/>
  <c r="I26" i="9"/>
  <c r="I24" i="9"/>
  <c r="I36" i="9"/>
  <c r="J26" i="9"/>
  <c r="J36" i="9"/>
  <c r="K36" i="9"/>
  <c r="F26" i="9"/>
  <c r="F24" i="9"/>
  <c r="F36" i="9"/>
  <c r="G26" i="9"/>
  <c r="G36" i="9"/>
  <c r="H36" i="9"/>
  <c r="C26" i="9"/>
  <c r="C24" i="9"/>
  <c r="C36" i="9"/>
  <c r="D26" i="9"/>
  <c r="D36" i="9"/>
  <c r="E36" i="9"/>
  <c r="R35" i="9"/>
  <c r="S35" i="9"/>
  <c r="T35" i="9"/>
  <c r="O35" i="9"/>
  <c r="P35" i="9"/>
  <c r="Q35" i="9"/>
  <c r="L35" i="9"/>
  <c r="M35" i="9"/>
  <c r="N35" i="9"/>
  <c r="I35" i="9"/>
  <c r="J35" i="9"/>
  <c r="K35" i="9"/>
  <c r="F35" i="9"/>
  <c r="G35" i="9"/>
  <c r="H35" i="9"/>
  <c r="C35" i="9"/>
  <c r="D35" i="9"/>
  <c r="E35" i="9"/>
  <c r="R34" i="9"/>
  <c r="S34" i="9"/>
  <c r="T34" i="9"/>
  <c r="O34" i="9"/>
  <c r="P34" i="9"/>
  <c r="Q34" i="9"/>
  <c r="L34" i="9"/>
  <c r="M34" i="9"/>
  <c r="N34" i="9"/>
  <c r="I34" i="9"/>
  <c r="J34" i="9"/>
  <c r="K34" i="9"/>
  <c r="F34" i="9"/>
  <c r="G34" i="9"/>
  <c r="H34" i="9"/>
  <c r="C34" i="9"/>
  <c r="D34" i="9"/>
  <c r="E34" i="9"/>
  <c r="R33" i="9"/>
  <c r="S33" i="9"/>
  <c r="T33" i="9"/>
  <c r="O33" i="9"/>
  <c r="P33" i="9"/>
  <c r="Q33" i="9"/>
  <c r="L33" i="9"/>
  <c r="M33" i="9"/>
  <c r="N33" i="9"/>
  <c r="I33" i="9"/>
  <c r="J33" i="9"/>
  <c r="K33" i="9"/>
  <c r="F33" i="9"/>
  <c r="G33" i="9"/>
  <c r="H33" i="9"/>
  <c r="C33" i="9"/>
  <c r="D33" i="9"/>
  <c r="E33" i="9"/>
  <c r="R32" i="9"/>
  <c r="S32" i="9"/>
  <c r="T32" i="9"/>
  <c r="O32" i="9"/>
  <c r="P32" i="9"/>
  <c r="Q32" i="9"/>
  <c r="L32" i="9"/>
  <c r="M32" i="9"/>
  <c r="N32" i="9"/>
  <c r="I32" i="9"/>
  <c r="J32" i="9"/>
  <c r="K32" i="9"/>
  <c r="F32" i="9"/>
  <c r="G32" i="9"/>
  <c r="H32" i="9"/>
  <c r="C32" i="9"/>
  <c r="D32" i="9"/>
  <c r="E32" i="9"/>
  <c r="R31" i="9"/>
  <c r="S31" i="9"/>
  <c r="T31" i="9"/>
  <c r="O31" i="9"/>
  <c r="P31" i="9"/>
  <c r="Q31" i="9"/>
  <c r="L31" i="9"/>
  <c r="M31" i="9"/>
  <c r="N31" i="9"/>
  <c r="I31" i="9"/>
  <c r="J31" i="9"/>
  <c r="K31" i="9"/>
  <c r="F31" i="9"/>
  <c r="G31" i="9"/>
  <c r="H31" i="9"/>
  <c r="C31" i="9"/>
  <c r="D31" i="9"/>
  <c r="E31" i="9"/>
  <c r="R30" i="9"/>
  <c r="S30" i="9"/>
  <c r="T30" i="9"/>
  <c r="O30" i="9"/>
  <c r="P30" i="9"/>
  <c r="Q30" i="9"/>
  <c r="L30" i="9"/>
  <c r="M30" i="9"/>
  <c r="N30" i="9"/>
  <c r="I30" i="9"/>
  <c r="J30" i="9"/>
  <c r="K30" i="9"/>
  <c r="F30" i="9"/>
  <c r="G30" i="9"/>
  <c r="H30" i="9"/>
  <c r="C30" i="9"/>
  <c r="D30" i="9"/>
  <c r="E30" i="9"/>
  <c r="R29" i="9"/>
  <c r="S29" i="9"/>
  <c r="T29" i="9"/>
  <c r="O29" i="9"/>
  <c r="P29" i="9"/>
  <c r="Q29" i="9"/>
  <c r="L29" i="9"/>
  <c r="M29" i="9"/>
  <c r="N29" i="9"/>
  <c r="I29" i="9"/>
  <c r="J29" i="9"/>
  <c r="K29" i="9"/>
  <c r="F29" i="9"/>
  <c r="G29" i="9"/>
  <c r="H29" i="9"/>
  <c r="C29" i="9"/>
  <c r="D29" i="9"/>
  <c r="E29" i="9"/>
  <c r="B28" i="9"/>
  <c r="A34" i="1"/>
  <c r="A33" i="1"/>
  <c r="A32" i="1"/>
  <c r="A31" i="1"/>
  <c r="A30" i="1"/>
  <c r="A29" i="1"/>
  <c r="A28" i="1"/>
  <c r="A27" i="1"/>
  <c r="B9" i="1"/>
  <c r="R34" i="1"/>
  <c r="S34" i="1"/>
  <c r="T34" i="1"/>
  <c r="O34" i="1"/>
  <c r="P34" i="1"/>
  <c r="Q34" i="1"/>
  <c r="L34" i="1"/>
  <c r="M34" i="1"/>
  <c r="N34" i="1"/>
  <c r="I34" i="1"/>
  <c r="J34" i="1"/>
  <c r="K34" i="1"/>
  <c r="F34" i="1"/>
  <c r="G34" i="1"/>
  <c r="H34" i="1"/>
  <c r="C34" i="1"/>
  <c r="D34" i="1"/>
  <c r="E34" i="1"/>
  <c r="R33" i="1"/>
  <c r="S33" i="1"/>
  <c r="T33" i="1"/>
  <c r="O33" i="1"/>
  <c r="P33" i="1"/>
  <c r="Q33" i="1"/>
  <c r="L33" i="1"/>
  <c r="M33" i="1"/>
  <c r="N33" i="1"/>
  <c r="I33" i="1"/>
  <c r="J33" i="1"/>
  <c r="K33" i="1"/>
  <c r="F33" i="1"/>
  <c r="G33" i="1"/>
  <c r="H33" i="1"/>
  <c r="C33" i="1"/>
  <c r="D33" i="1"/>
  <c r="E33" i="1"/>
  <c r="R32" i="1"/>
  <c r="S32" i="1"/>
  <c r="T32" i="1"/>
  <c r="O32" i="1"/>
  <c r="P32" i="1"/>
  <c r="Q32" i="1"/>
  <c r="L32" i="1"/>
  <c r="M32" i="1"/>
  <c r="N32" i="1"/>
  <c r="I32" i="1"/>
  <c r="J32" i="1"/>
  <c r="K32" i="1"/>
  <c r="F32" i="1"/>
  <c r="G32" i="1"/>
  <c r="H32" i="1"/>
  <c r="C32" i="1"/>
  <c r="D32" i="1"/>
  <c r="E32" i="1"/>
  <c r="R31" i="1"/>
  <c r="S31" i="1"/>
  <c r="T31" i="1"/>
  <c r="O31" i="1"/>
  <c r="P31" i="1"/>
  <c r="Q31" i="1"/>
  <c r="L31" i="1"/>
  <c r="M31" i="1"/>
  <c r="N31" i="1"/>
  <c r="I31" i="1"/>
  <c r="J31" i="1"/>
  <c r="K31" i="1"/>
  <c r="F31" i="1"/>
  <c r="G31" i="1"/>
  <c r="H31" i="1"/>
  <c r="C31" i="1"/>
  <c r="D31" i="1"/>
  <c r="E31" i="1"/>
  <c r="R30" i="1"/>
  <c r="S30" i="1"/>
  <c r="T30" i="1"/>
  <c r="O30" i="1"/>
  <c r="P30" i="1"/>
  <c r="Q30" i="1"/>
  <c r="L30" i="1"/>
  <c r="M30" i="1"/>
  <c r="N30" i="1"/>
  <c r="I30" i="1"/>
  <c r="J30" i="1"/>
  <c r="K30" i="1"/>
  <c r="F30" i="1"/>
  <c r="G30" i="1"/>
  <c r="H30" i="1"/>
  <c r="C30" i="1"/>
  <c r="D30" i="1"/>
  <c r="E30" i="1"/>
  <c r="R29" i="1"/>
  <c r="S29" i="1"/>
  <c r="T29" i="1"/>
  <c r="O29" i="1"/>
  <c r="P29" i="1"/>
  <c r="Q29" i="1"/>
  <c r="L29" i="1"/>
  <c r="M29" i="1"/>
  <c r="N29" i="1"/>
  <c r="I29" i="1"/>
  <c r="J29" i="1"/>
  <c r="K29" i="1"/>
  <c r="F29" i="1"/>
  <c r="G29" i="1"/>
  <c r="H29" i="1"/>
  <c r="C29" i="1"/>
  <c r="D29" i="1"/>
  <c r="E29" i="1"/>
  <c r="R28" i="1"/>
  <c r="S28" i="1"/>
  <c r="T28" i="1"/>
  <c r="O28" i="1"/>
  <c r="P28" i="1"/>
  <c r="Q28" i="1"/>
  <c r="L28" i="1"/>
  <c r="M28" i="1"/>
  <c r="N28" i="1"/>
  <c r="I28" i="1"/>
  <c r="J28" i="1"/>
  <c r="K28" i="1"/>
  <c r="F28" i="1"/>
  <c r="G28" i="1"/>
  <c r="H28" i="1"/>
  <c r="C28" i="1"/>
  <c r="D28" i="1"/>
  <c r="E28" i="1"/>
  <c r="R27" i="1"/>
  <c r="S27" i="1"/>
  <c r="T27" i="1"/>
  <c r="O27" i="1"/>
  <c r="P27" i="1"/>
  <c r="Q27" i="1"/>
  <c r="L27" i="1"/>
  <c r="M27" i="1"/>
  <c r="N27" i="1"/>
  <c r="I27" i="1"/>
  <c r="J27" i="1"/>
  <c r="K27" i="1"/>
  <c r="F27" i="1"/>
  <c r="G27" i="1"/>
  <c r="H27" i="1"/>
  <c r="C27" i="1"/>
  <c r="D27" i="1"/>
  <c r="E27" i="1"/>
  <c r="B26" i="1"/>
  <c r="J17" i="9"/>
  <c r="J16" i="9"/>
  <c r="J18" i="9"/>
  <c r="R28" i="9"/>
  <c r="S28" i="9"/>
  <c r="T28" i="9"/>
  <c r="O28" i="9"/>
  <c r="P28" i="9"/>
  <c r="Q28" i="9"/>
  <c r="L28" i="9"/>
  <c r="M28" i="9"/>
  <c r="N28" i="9"/>
  <c r="I28" i="9"/>
  <c r="J28" i="9"/>
  <c r="K28" i="9"/>
  <c r="F28" i="9"/>
  <c r="G28" i="9"/>
  <c r="H28" i="9"/>
  <c r="C28" i="9"/>
  <c r="D28" i="9"/>
  <c r="E28" i="9"/>
  <c r="A28" i="9"/>
  <c r="A5" i="9"/>
  <c r="A4" i="9"/>
  <c r="A3" i="9"/>
  <c r="A2" i="9"/>
  <c r="N24" i="7"/>
  <c r="L24" i="7"/>
  <c r="J24" i="7"/>
  <c r="H24" i="7"/>
  <c r="F24" i="7"/>
  <c r="D24" i="7"/>
  <c r="M24" i="7"/>
  <c r="K24" i="7"/>
  <c r="I24" i="7"/>
  <c r="G24" i="7"/>
  <c r="E24" i="7"/>
  <c r="C24" i="7"/>
  <c r="A24" i="7"/>
  <c r="A5" i="7"/>
  <c r="A4" i="7"/>
  <c r="A3" i="7"/>
  <c r="A2" i="7"/>
  <c r="S26" i="6"/>
  <c r="R26" i="6"/>
  <c r="P26" i="6"/>
  <c r="O26" i="6"/>
  <c r="M26" i="6"/>
  <c r="L26" i="6"/>
  <c r="J26" i="6"/>
  <c r="I26" i="6"/>
  <c r="G26" i="6"/>
  <c r="F26" i="6"/>
  <c r="D26" i="6"/>
  <c r="C26" i="6"/>
  <c r="T26" i="6"/>
  <c r="Q26" i="6"/>
  <c r="N26" i="6"/>
  <c r="K26" i="6"/>
  <c r="H26" i="6"/>
  <c r="E26" i="6"/>
  <c r="A26" i="6"/>
  <c r="A5" i="6"/>
  <c r="A4" i="6"/>
  <c r="A3" i="6"/>
  <c r="A2" i="6"/>
  <c r="C26" i="1"/>
  <c r="R26" i="1"/>
  <c r="S26" i="1"/>
  <c r="T26" i="1"/>
  <c r="O26" i="1"/>
  <c r="P26" i="1"/>
  <c r="Q26" i="1"/>
  <c r="L26" i="1"/>
  <c r="M26" i="1"/>
  <c r="N26" i="1"/>
  <c r="I26" i="1"/>
  <c r="J26" i="1"/>
  <c r="K26" i="1"/>
  <c r="F26" i="1"/>
  <c r="G26" i="1"/>
  <c r="H26" i="1"/>
  <c r="D26" i="1"/>
  <c r="E26" i="1"/>
  <c r="A26" i="1"/>
  <c r="A5" i="1"/>
  <c r="A4" i="1"/>
  <c r="A3" i="1"/>
  <c r="A2" i="1"/>
</calcChain>
</file>

<file path=xl/sharedStrings.xml><?xml version="1.0" encoding="utf-8"?>
<sst xmlns="http://schemas.openxmlformats.org/spreadsheetml/2006/main" count="148" uniqueCount="29">
  <si>
    <t>Currency</t>
  </si>
  <si>
    <t>Origin_Company</t>
  </si>
  <si>
    <t>Configuration</t>
  </si>
  <si>
    <t>Prev_IC_mapping</t>
  </si>
  <si>
    <t>QTY</t>
  </si>
  <si>
    <t>EU + EFTA</t>
  </si>
  <si>
    <t>Eastern Europe</t>
  </si>
  <si>
    <t>North_America</t>
  </si>
  <si>
    <t>South &amp; Central America</t>
  </si>
  <si>
    <t>Asia</t>
  </si>
  <si>
    <t>Oceania</t>
  </si>
  <si>
    <t>Others</t>
  </si>
  <si>
    <t>France + DOM</t>
  </si>
  <si>
    <t>D</t>
  </si>
  <si>
    <t>N</t>
  </si>
  <si>
    <t>[Begin Format Range]</t>
  </si>
  <si>
    <t>[End Format Range]</t>
  </si>
  <si>
    <t>%</t>
  </si>
  <si>
    <t>SALES</t>
  </si>
  <si>
    <t>KUHN_Scope</t>
  </si>
  <si>
    <t>KUHN Sales</t>
  </si>
  <si>
    <t>Comments</t>
  </si>
  <si>
    <t>Market Share (Comments)</t>
  </si>
  <si>
    <t>Unit.Price</t>
  </si>
  <si>
    <t>Country</t>
  </si>
  <si>
    <t>Global Unit Price :</t>
  </si>
  <si>
    <t>Actuality</t>
  </si>
  <si>
    <t>Market Actor</t>
  </si>
  <si>
    <r>
      <rPr>
        <b/>
        <sz val="12"/>
        <color rgb="FFFFFF00"/>
        <rFont val="Calibri"/>
        <family val="2"/>
        <scheme val="minor"/>
      </rPr>
      <t>Copy of the unit price</t>
    </r>
    <r>
      <rPr>
        <b/>
        <sz val="11"/>
        <color rgb="FFFFFF00"/>
        <rFont val="Calibri"/>
        <family val="2"/>
        <scheme val="minor"/>
      </rPr>
      <t xml:space="preserve">         </t>
    </r>
    <r>
      <rPr>
        <b/>
        <i/>
        <sz val="11"/>
        <color rgb="FFFFFF00"/>
        <rFont val="Calibri"/>
        <family val="2"/>
        <scheme val="minor"/>
      </rPr>
      <t>(use always local currency)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</si>
</sst>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- &quot;@"/>
    <numFmt numFmtId="165" formatCode="&quot;+ &quot;@"/>
  </numFmts>
  <fonts count="1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b/>
      <sz val="12"/>
      <color rgb="FFFFFF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FFFF00"/>
      </bottom>
      <diagonal/>
    </border>
    <border>
      <left/>
      <right/>
      <top style="medium">
        <color rgb="FFFFFF00"/>
      </top>
      <bottom/>
      <diagonal/>
    </border>
    <border>
      <left/>
      <right style="medium">
        <color rgb="FFFFFF00"/>
      </right>
      <top style="medium">
        <color rgb="FFFFFF00"/>
      </top>
      <bottom/>
      <diagonal/>
    </border>
    <border>
      <left/>
      <right style="medium">
        <color rgb="FFFFFF00"/>
      </right>
      <top/>
      <bottom/>
      <diagonal/>
    </border>
    <border>
      <left/>
      <right/>
      <top/>
      <bottom style="medium">
        <color rgb="FFFFFF00"/>
      </bottom>
      <diagonal/>
    </border>
    <border>
      <left/>
      <right style="medium">
        <color rgb="FFFFFF00"/>
      </right>
      <top/>
      <bottom style="medium">
        <color rgb="FFFFFF00"/>
      </bottom>
      <diagonal/>
    </border>
    <border>
      <left style="medium">
        <color rgb="FFFFFF00"/>
      </left>
      <right/>
      <top style="medium">
        <color rgb="FFFFFF00"/>
      </top>
      <bottom/>
      <diagonal/>
    </border>
    <border>
      <left style="medium">
        <color rgb="FFFFFF00"/>
      </left>
      <right/>
      <top/>
      <bottom/>
      <diagonal/>
    </border>
    <border>
      <left style="medium">
        <color rgb="FFFFFF00"/>
      </left>
      <right/>
      <top/>
      <bottom style="medium">
        <color rgb="FFFFFF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2">
    <xf numFmtId="0" fontId="0" fillId="0" borderId="0" xfId="0"/>
    <xf numFmtId="3" fontId="1" fillId="2" borderId="0" xfId="0" applyNumberFormat="1" applyFont="1" applyFill="1"/>
    <xf numFmtId="3" fontId="1" fillId="3" borderId="0" xfId="0" applyNumberFormat="1" applyFont="1" applyFill="1"/>
    <xf numFmtId="3" fontId="1" fillId="0" borderId="0" xfId="0" applyNumberFormat="1" applyFont="1"/>
    <xf numFmtId="3" fontId="1" fillId="4" borderId="0" xfId="0" applyNumberFormat="1" applyFont="1" applyFill="1"/>
    <xf numFmtId="3" fontId="1" fillId="5" borderId="0" xfId="0" applyNumberFormat="1" applyFont="1" applyFill="1"/>
    <xf numFmtId="0" fontId="3" fillId="6" borderId="0" xfId="0" applyFont="1" applyFill="1"/>
    <xf numFmtId="0" fontId="4" fillId="6" borderId="0" xfId="0" applyFont="1" applyFill="1"/>
    <xf numFmtId="0" fontId="5" fillId="6" borderId="0" xfId="0" applyFont="1" applyFill="1"/>
    <xf numFmtId="0" fontId="0" fillId="7" borderId="0" xfId="0" applyFill="1" applyBorder="1"/>
    <xf numFmtId="3" fontId="6" fillId="6" borderId="0" xfId="0" applyNumberFormat="1" applyFont="1" applyFill="1"/>
    <xf numFmtId="0" fontId="3" fillId="6" borderId="0" xfId="0" applyFont="1" applyFill="1" applyBorder="1" applyAlignment="1">
      <alignment horizontal="center"/>
    </xf>
    <xf numFmtId="164" fontId="0" fillId="2" borderId="2" xfId="0" applyNumberFormat="1" applyFill="1" applyBorder="1" applyAlignment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0" borderId="2" xfId="0" applyBorder="1"/>
    <xf numFmtId="165" fontId="0" fillId="3" borderId="2" xfId="0" applyNumberFormat="1" applyFill="1" applyBorder="1" applyAlignment="1">
      <alignment horizontal="left" indent="1"/>
    </xf>
    <xf numFmtId="0" fontId="1" fillId="2" borderId="0" xfId="0" applyNumberFormat="1" applyFont="1" applyFill="1"/>
    <xf numFmtId="0" fontId="1" fillId="3" borderId="0" xfId="0" applyNumberFormat="1" applyFont="1" applyFill="1"/>
    <xf numFmtId="0" fontId="1" fillId="0" borderId="0" xfId="0" applyNumberFormat="1" applyFont="1"/>
    <xf numFmtId="0" fontId="0" fillId="7" borderId="0" xfId="0" applyFill="1"/>
    <xf numFmtId="0" fontId="0" fillId="8" borderId="0" xfId="0" applyFill="1"/>
    <xf numFmtId="0" fontId="7" fillId="8" borderId="0" xfId="0" applyFont="1" applyFill="1"/>
    <xf numFmtId="0" fontId="3" fillId="8" borderId="0" xfId="0" applyFont="1" applyFill="1"/>
    <xf numFmtId="3" fontId="1" fillId="4" borderId="2" xfId="0" applyNumberFormat="1" applyFont="1" applyFill="1" applyBorder="1"/>
    <xf numFmtId="3" fontId="1" fillId="5" borderId="2" xfId="0" applyNumberFormat="1" applyFont="1" applyFill="1" applyBorder="1"/>
    <xf numFmtId="0" fontId="1" fillId="2" borderId="2" xfId="0" applyNumberFormat="1" applyFont="1" applyFill="1" applyBorder="1"/>
    <xf numFmtId="0" fontId="1" fillId="3" borderId="2" xfId="0" applyNumberFormat="1" applyFont="1" applyFill="1" applyBorder="1"/>
    <xf numFmtId="0" fontId="1" fillId="0" borderId="2" xfId="0" applyNumberFormat="1" applyFont="1" applyBorder="1"/>
    <xf numFmtId="0" fontId="8" fillId="9" borderId="1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9" fontId="0" fillId="0" borderId="0" xfId="1" applyNumberFormat="1" applyFont="1"/>
    <xf numFmtId="9" fontId="1" fillId="2" borderId="2" xfId="1" applyNumberFormat="1" applyFont="1" applyFill="1" applyBorder="1"/>
    <xf numFmtId="9" fontId="1" fillId="3" borderId="2" xfId="1" applyNumberFormat="1" applyFont="1" applyFill="1" applyBorder="1"/>
    <xf numFmtId="9" fontId="1" fillId="4" borderId="2" xfId="1" applyNumberFormat="1" applyFont="1" applyFill="1" applyBorder="1"/>
    <xf numFmtId="9" fontId="1" fillId="5" borderId="2" xfId="1" applyNumberFormat="1" applyFont="1" applyFill="1" applyBorder="1"/>
    <xf numFmtId="9" fontId="1" fillId="0" borderId="2" xfId="1" applyNumberFormat="1" applyFont="1" applyBorder="1"/>
    <xf numFmtId="9" fontId="0" fillId="7" borderId="0" xfId="0" applyNumberFormat="1" applyFill="1" applyBorder="1"/>
    <xf numFmtId="9" fontId="4" fillId="6" borderId="0" xfId="1" applyNumberFormat="1" applyFont="1" applyFill="1"/>
    <xf numFmtId="0" fontId="5" fillId="8" borderId="0" xfId="0" applyFont="1" applyFill="1"/>
    <xf numFmtId="0" fontId="4" fillId="8" borderId="0" xfId="0" applyFont="1" applyFill="1"/>
    <xf numFmtId="9" fontId="4" fillId="8" borderId="0" xfId="1" applyNumberFormat="1" applyFont="1" applyFill="1"/>
    <xf numFmtId="3" fontId="6" fillId="8" borderId="0" xfId="0" applyNumberFormat="1" applyFont="1" applyFill="1"/>
    <xf numFmtId="0" fontId="3" fillId="8" borderId="0" xfId="0" applyFont="1" applyFill="1" applyBorder="1" applyAlignment="1">
      <alignment horizontal="center"/>
    </xf>
    <xf numFmtId="0" fontId="4" fillId="6" borderId="0" xfId="0" applyFont="1" applyFill="1" applyBorder="1"/>
    <xf numFmtId="0" fontId="5" fillId="8" borderId="0" xfId="0" applyFont="1" applyFill="1" applyBorder="1"/>
    <xf numFmtId="9" fontId="3" fillId="8" borderId="0" xfId="1" applyNumberFormat="1" applyFont="1" applyFill="1" applyBorder="1"/>
    <xf numFmtId="0" fontId="3" fillId="8" borderId="0" xfId="0" applyFont="1" applyFill="1" applyBorder="1"/>
    <xf numFmtId="2" fontId="4" fillId="8" borderId="0" xfId="0" applyNumberFormat="1" applyFont="1" applyFill="1" applyBorder="1"/>
    <xf numFmtId="0" fontId="4" fillId="8" borderId="0" xfId="0" applyFont="1" applyFill="1" applyBorder="1"/>
    <xf numFmtId="9" fontId="4" fillId="8" borderId="0" xfId="1" applyNumberFormat="1" applyFont="1" applyFill="1" applyBorder="1"/>
    <xf numFmtId="0" fontId="3" fillId="8" borderId="5" xfId="0" applyFont="1" applyFill="1" applyBorder="1" applyAlignment="1">
      <alignment horizontal="center"/>
    </xf>
    <xf numFmtId="9" fontId="3" fillId="8" borderId="6" xfId="0" applyNumberFormat="1" applyFont="1" applyFill="1" applyBorder="1" applyAlignment="1">
      <alignment horizontal="center"/>
    </xf>
    <xf numFmtId="9" fontId="3" fillId="8" borderId="6" xfId="1" applyNumberFormat="1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9" fontId="3" fillId="8" borderId="9" xfId="1" applyNumberFormat="1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9" fontId="3" fillId="6" borderId="6" xfId="0" applyNumberFormat="1" applyFont="1" applyFill="1" applyBorder="1" applyAlignment="1">
      <alignment horizontal="center"/>
    </xf>
    <xf numFmtId="9" fontId="3" fillId="6" borderId="6" xfId="1" applyNumberFormat="1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9" fontId="3" fillId="6" borderId="9" xfId="1" applyNumberFormat="1" applyFont="1" applyFill="1" applyBorder="1" applyAlignment="1">
      <alignment horizontal="center"/>
    </xf>
    <xf numFmtId="0" fontId="4" fillId="6" borderId="0" xfId="0" applyFont="1" applyFill="1" applyAlignment="1"/>
    <xf numFmtId="0" fontId="0" fillId="7" borderId="13" xfId="0" applyFill="1" applyBorder="1"/>
    <xf numFmtId="9" fontId="0" fillId="7" borderId="13" xfId="0" applyNumberFormat="1" applyFill="1" applyBorder="1"/>
    <xf numFmtId="9" fontId="3" fillId="8" borderId="14" xfId="1" applyNumberFormat="1" applyFont="1" applyFill="1" applyBorder="1"/>
    <xf numFmtId="0" fontId="4" fillId="6" borderId="17" xfId="0" applyFont="1" applyFill="1" applyBorder="1"/>
    <xf numFmtId="9" fontId="4" fillId="6" borderId="0" xfId="1" applyNumberFormat="1" applyFont="1" applyFill="1" applyBorder="1"/>
    <xf numFmtId="0" fontId="5" fillId="8" borderId="19" xfId="0" applyFont="1" applyFill="1" applyBorder="1"/>
    <xf numFmtId="9" fontId="4" fillId="6" borderId="14" xfId="1" applyNumberFormat="1" applyFont="1" applyFill="1" applyBorder="1"/>
    <xf numFmtId="0" fontId="4" fillId="6" borderId="14" xfId="0" applyFont="1" applyFill="1" applyBorder="1"/>
    <xf numFmtId="0" fontId="4" fillId="6" borderId="15" xfId="0" applyFont="1" applyFill="1" applyBorder="1"/>
    <xf numFmtId="0" fontId="5" fillId="8" borderId="20" xfId="0" applyFont="1" applyFill="1" applyBorder="1"/>
    <xf numFmtId="0" fontId="4" fillId="6" borderId="16" xfId="0" applyFont="1" applyFill="1" applyBorder="1"/>
    <xf numFmtId="9" fontId="4" fillId="8" borderId="20" xfId="1" applyNumberFormat="1" applyFont="1" applyFill="1" applyBorder="1"/>
    <xf numFmtId="9" fontId="4" fillId="8" borderId="21" xfId="1" applyNumberFormat="1" applyFont="1" applyFill="1" applyBorder="1"/>
    <xf numFmtId="9" fontId="4" fillId="6" borderId="17" xfId="1" applyNumberFormat="1" applyFont="1" applyFill="1" applyBorder="1"/>
    <xf numFmtId="0" fontId="4" fillId="6" borderId="18" xfId="0" applyFont="1" applyFill="1" applyBorder="1"/>
    <xf numFmtId="0" fontId="3" fillId="8" borderId="10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0" fontId="9" fillId="6" borderId="19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1271"/>
  <ax:ocxPr ax:name="_ExtentY" ax:value="6085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143"/>
  <ax:ocxPr ax:name="_ExtentY" ax:value="1164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1271"/>
  <ax:ocxPr ax:name="_ExtentY" ax:value="6085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381"/>
  <ax:ocxPr ax:name="_ExtentY" ax:value="1164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0</xdr:rowOff>
        </xdr:from>
        <xdr:to>
          <xdr:col>5</xdr:col>
          <xdr:colOff>628650</xdr:colOff>
          <xdr:row>19</xdr:row>
          <xdr:rowOff>19050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9</xdr:row>
      <xdr:rowOff>19050</xdr:rowOff>
    </xdr:from>
    <xdr:to>
      <xdr:col>6</xdr:col>
      <xdr:colOff>828675</xdr:colOff>
      <xdr:row>12</xdr:row>
      <xdr:rowOff>179750</xdr:rowOff>
    </xdr:to>
    <xdr:pic>
      <xdr:nvPicPr>
        <xdr:cNvPr id="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050"/>
          <a:ext cx="7191375" cy="7398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0</xdr:rowOff>
        </xdr:from>
        <xdr:to>
          <xdr:col>6</xdr:col>
          <xdr:colOff>190500</xdr:colOff>
          <xdr:row>20</xdr:row>
          <xdr:rowOff>123825</xdr:rowOff>
        </xdr:to>
        <xdr:sp macro="" textlink="">
          <xdr:nvSpPr>
            <xdr:cNvPr id="11265" name="TIButton1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9526</xdr:colOff>
      <xdr:row>9</xdr:row>
      <xdr:rowOff>28575</xdr:rowOff>
    </xdr:from>
    <xdr:to>
      <xdr:col>6</xdr:col>
      <xdr:colOff>733426</xdr:colOff>
      <xdr:row>12</xdr:row>
      <xdr:rowOff>133350</xdr:rowOff>
    </xdr:to>
    <xdr:pic>
      <xdr:nvPicPr>
        <xdr:cNvPr id="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6" y="28575"/>
          <a:ext cx="7029450" cy="676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20</xdr:row>
          <xdr:rowOff>0</xdr:rowOff>
        </xdr:from>
        <xdr:to>
          <xdr:col>11</xdr:col>
          <xdr:colOff>1085850</xdr:colOff>
          <xdr:row>22</xdr:row>
          <xdr:rowOff>57150</xdr:rowOff>
        </xdr:to>
        <xdr:sp macro="" textlink="">
          <xdr:nvSpPr>
            <xdr:cNvPr id="11268" name="TIButton2" hidden="1">
              <a:extLst>
                <a:ext uri="{63B3BB69-23CF-44E3-9099-C40C66FF867C}">
                  <a14:compatExt spid="_x0000_s112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</xdr:row>
          <xdr:rowOff>0</xdr:rowOff>
        </xdr:from>
        <xdr:to>
          <xdr:col>5</xdr:col>
          <xdr:colOff>628650</xdr:colOff>
          <xdr:row>18</xdr:row>
          <xdr:rowOff>247650</xdr:rowOff>
        </xdr:to>
        <xdr:sp macro="" textlink="">
          <xdr:nvSpPr>
            <xdr:cNvPr id="6145" name="TIButton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19051</xdr:colOff>
      <xdr:row>9</xdr:row>
      <xdr:rowOff>9526</xdr:rowOff>
    </xdr:from>
    <xdr:to>
      <xdr:col>6</xdr:col>
      <xdr:colOff>876301</xdr:colOff>
      <xdr:row>12</xdr:row>
      <xdr:rowOff>104775</xdr:rowOff>
    </xdr:to>
    <xdr:pic>
      <xdr:nvPicPr>
        <xdr:cNvPr id="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1" y="9526"/>
          <a:ext cx="7162800" cy="6667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5</xdr:col>
      <xdr:colOff>377190</xdr:colOff>
      <xdr:row>12</xdr:row>
      <xdr:rowOff>133555</xdr:rowOff>
    </xdr:to>
    <xdr:pic>
      <xdr:nvPicPr>
        <xdr:cNvPr id="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714500"/>
          <a:ext cx="7378065" cy="7050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15</xdr:row>
          <xdr:rowOff>95250</xdr:rowOff>
        </xdr:from>
        <xdr:to>
          <xdr:col>5</xdr:col>
          <xdr:colOff>704850</xdr:colOff>
          <xdr:row>16</xdr:row>
          <xdr:rowOff>152400</xdr:rowOff>
        </xdr:to>
        <xdr:sp macro="" textlink="">
          <xdr:nvSpPr>
            <xdr:cNvPr id="7169" name="TIButton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4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3.xml"/><Relationship Id="rId5" Type="http://schemas.openxmlformats.org/officeDocument/2006/relationships/image" Target="../media/image3.emf"/><Relationship Id="rId4" Type="http://schemas.openxmlformats.org/officeDocument/2006/relationships/control" Target="../activeX/activeX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5.emf"/><Relationship Id="rId4" Type="http://schemas.openxmlformats.org/officeDocument/2006/relationships/control" Target="../activeX/activeX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5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image" Target="../media/image6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W42"/>
  <sheetViews>
    <sheetView showGridLines="0" tabSelected="1" topLeftCell="B1" workbookViewId="0">
      <pane xSplit="1" ySplit="26" topLeftCell="C27" activePane="bottomRight" state="frozen"/>
      <selection activeCell="B10" sqref="B10"/>
      <selection pane="topRight" activeCell="C10" sqref="C10"/>
      <selection pane="bottomLeft" activeCell="B26" sqref="B26"/>
      <selection pane="bottomRight" activeCell="C17" sqref="C17"/>
    </sheetView>
  </sheetViews>
  <sheetFormatPr defaultColWidth="0" defaultRowHeight="15" zeroHeight="1" x14ac:dyDescent="0.25"/>
  <cols>
    <col min="1" max="1" width="20.140625" hidden="1" customWidth="1"/>
    <col min="2" max="2" width="33.7109375" customWidth="1"/>
    <col min="3" max="3" width="17.5703125" bestFit="1" customWidth="1"/>
    <col min="4" max="4" width="16.7109375" customWidth="1"/>
    <col min="5" max="5" width="10.7109375" style="33" customWidth="1"/>
    <col min="6" max="7" width="16.7109375" customWidth="1"/>
    <col min="8" max="8" width="17.7109375" style="33" bestFit="1" customWidth="1"/>
    <col min="9" max="10" width="16.7109375" customWidth="1"/>
    <col min="11" max="11" width="10.7109375" style="33" customWidth="1"/>
    <col min="12" max="13" width="16.7109375" customWidth="1"/>
    <col min="14" max="14" width="10.7109375" style="33" customWidth="1"/>
    <col min="15" max="16" width="16.7109375" customWidth="1"/>
    <col min="17" max="17" width="10.7109375" style="33" customWidth="1"/>
    <col min="18" max="19" width="16.7109375" customWidth="1"/>
    <col min="20" max="20" width="10.7109375" style="33" customWidth="1"/>
    <col min="21" max="21" width="0.85546875" customWidth="1"/>
    <col min="22" max="22" width="11.42578125" hidden="1" customWidth="1"/>
    <col min="23" max="23" width="16.7109375" hidden="1" customWidth="1"/>
    <col min="24" max="16384" width="11.42578125" hidden="1"/>
  </cols>
  <sheetData>
    <row r="1" spans="1:20" ht="13.5" hidden="1" customHeight="1" x14ac:dyDescent="0.25">
      <c r="A1" t="s">
        <v>15</v>
      </c>
    </row>
    <row r="2" spans="1:20" ht="21.75" hidden="1" customHeight="1" x14ac:dyDescent="0.25">
      <c r="A2">
        <f>0</f>
        <v>0</v>
      </c>
      <c r="B2" s="13"/>
      <c r="C2" s="1"/>
      <c r="D2" s="1"/>
      <c r="E2" s="34"/>
      <c r="F2" s="1"/>
      <c r="G2" s="1"/>
      <c r="H2" s="34"/>
      <c r="I2" s="1"/>
      <c r="J2" s="1"/>
      <c r="K2" s="34"/>
      <c r="L2" s="1"/>
      <c r="M2" s="1"/>
      <c r="N2" s="34"/>
      <c r="O2" s="1"/>
      <c r="P2" s="1"/>
      <c r="Q2" s="34"/>
      <c r="R2" s="1"/>
      <c r="S2" s="1"/>
      <c r="T2" s="34"/>
    </row>
    <row r="3" spans="1:20" ht="26.25" hidden="1" customHeight="1" x14ac:dyDescent="0.25">
      <c r="A3">
        <f>1</f>
        <v>1</v>
      </c>
      <c r="B3" s="14"/>
      <c r="C3" s="2"/>
      <c r="D3" s="2"/>
      <c r="E3" s="35"/>
      <c r="F3" s="2"/>
      <c r="G3" s="2"/>
      <c r="H3" s="35"/>
      <c r="I3" s="2"/>
      <c r="J3" s="2"/>
      <c r="K3" s="35"/>
      <c r="L3" s="2"/>
      <c r="M3" s="2"/>
      <c r="N3" s="35"/>
      <c r="O3" s="2"/>
      <c r="P3" s="2"/>
      <c r="Q3" s="35"/>
      <c r="R3" s="2"/>
      <c r="S3" s="2"/>
      <c r="T3" s="35"/>
    </row>
    <row r="4" spans="1:20" ht="25.5" hidden="1" customHeight="1" x14ac:dyDescent="0.25">
      <c r="A4">
        <f>2</f>
        <v>2</v>
      </c>
      <c r="B4" s="15"/>
      <c r="C4" s="4"/>
      <c r="D4" s="4"/>
      <c r="E4" s="36"/>
      <c r="F4" s="4"/>
      <c r="G4" s="4"/>
      <c r="H4" s="36"/>
      <c r="I4" s="4"/>
      <c r="J4" s="4"/>
      <c r="K4" s="36"/>
      <c r="L4" s="4"/>
      <c r="M4" s="4"/>
      <c r="N4" s="36"/>
      <c r="O4" s="4"/>
      <c r="P4" s="4"/>
      <c r="Q4" s="36"/>
      <c r="R4" s="4"/>
      <c r="S4" s="4"/>
      <c r="T4" s="36"/>
    </row>
    <row r="5" spans="1:20" ht="36" hidden="1" customHeight="1" x14ac:dyDescent="0.25">
      <c r="A5">
        <f>3</f>
        <v>3</v>
      </c>
      <c r="B5" s="16"/>
      <c r="C5" s="5"/>
      <c r="D5" s="5"/>
      <c r="E5" s="37"/>
      <c r="F5" s="5"/>
      <c r="G5" s="5"/>
      <c r="H5" s="37"/>
      <c r="I5" s="5"/>
      <c r="J5" s="5"/>
      <c r="K5" s="37"/>
      <c r="L5" s="5"/>
      <c r="M5" s="5"/>
      <c r="N5" s="37"/>
      <c r="O5" s="5"/>
      <c r="P5" s="5"/>
      <c r="Q5" s="37"/>
      <c r="R5" s="5"/>
      <c r="S5" s="5"/>
      <c r="T5" s="37"/>
    </row>
    <row r="6" spans="1:20" ht="25.5" hidden="1" customHeight="1" x14ac:dyDescent="0.25">
      <c r="A6" t="s">
        <v>13</v>
      </c>
      <c r="B6" s="14"/>
      <c r="C6" s="2"/>
      <c r="D6" s="2"/>
      <c r="E6" s="35"/>
      <c r="F6" s="2"/>
      <c r="G6" s="2"/>
      <c r="H6" s="35"/>
      <c r="I6" s="2"/>
      <c r="J6" s="2"/>
      <c r="K6" s="35"/>
      <c r="L6" s="2"/>
      <c r="M6" s="2"/>
      <c r="N6" s="35"/>
      <c r="O6" s="2"/>
      <c r="P6" s="2"/>
      <c r="Q6" s="35"/>
      <c r="R6" s="2"/>
      <c r="S6" s="2"/>
      <c r="T6" s="35"/>
    </row>
    <row r="7" spans="1:20" ht="28.5" hidden="1" customHeight="1" x14ac:dyDescent="0.25">
      <c r="A7" t="s">
        <v>14</v>
      </c>
      <c r="B7" s="17"/>
      <c r="C7" s="3"/>
      <c r="D7" s="3"/>
      <c r="E7" s="38"/>
      <c r="F7" s="3"/>
      <c r="G7" s="3"/>
      <c r="H7" s="38"/>
      <c r="I7" s="3"/>
      <c r="J7" s="3"/>
      <c r="K7" s="38"/>
      <c r="L7" s="3"/>
      <c r="M7" s="3"/>
      <c r="N7" s="38"/>
      <c r="O7" s="3"/>
      <c r="P7" s="3"/>
      <c r="Q7" s="38"/>
      <c r="R7" s="3"/>
      <c r="S7" s="3"/>
      <c r="T7" s="38"/>
    </row>
    <row r="8" spans="1:20" ht="26.25" hidden="1" customHeight="1" x14ac:dyDescent="0.25">
      <c r="A8" t="s">
        <v>16</v>
      </c>
    </row>
    <row r="9" spans="1:20" ht="23.25" hidden="1" customHeight="1" x14ac:dyDescent="0.25">
      <c r="B9" t="str">
        <f ca="1">_xll.TM1RPTVIEW("CXMD:OTC_DATA_MARKET_ANALYSIS:ARPT1", 0, _xll.TM1RPTTITLE("CXMD:Currency",$C$16), _xll.TM1RPTTITLE("CXMD:DIM_Prev_IC_mapping",$C$19), _xll.TM1RPTTITLE("CXMD:DIM_Origin_Company",$C$17), _xll.TM1RPTTITLE("CXMD:DIM_Configuration",$C$18),TM1RPTFMTRNG,TM1RPTFMTIDCOL)</f>
        <v>CXMD:OTC_DATA_MARKET_ANALYSIS:ARPT1</v>
      </c>
    </row>
    <row r="10" spans="1:20" x14ac:dyDescent="0.25">
      <c r="B10" s="9"/>
      <c r="C10" s="9"/>
      <c r="D10" s="9"/>
      <c r="E10" s="39"/>
      <c r="F10" s="9"/>
      <c r="G10" s="9"/>
      <c r="H10" s="39"/>
      <c r="I10" s="9"/>
      <c r="J10" s="9"/>
      <c r="K10" s="39"/>
      <c r="L10" s="9"/>
      <c r="M10" s="9"/>
      <c r="N10" s="39"/>
      <c r="O10" s="9"/>
      <c r="P10" s="9"/>
      <c r="Q10" s="39"/>
      <c r="R10" s="9"/>
      <c r="S10" s="9"/>
      <c r="T10" s="39"/>
    </row>
    <row r="11" spans="1:20" x14ac:dyDescent="0.25">
      <c r="B11" s="9"/>
      <c r="C11" s="9"/>
      <c r="D11" s="9"/>
      <c r="E11" s="39"/>
      <c r="F11" s="9"/>
      <c r="G11" s="9"/>
      <c r="H11" s="39"/>
      <c r="I11" s="9"/>
      <c r="J11" s="9"/>
      <c r="K11" s="39"/>
      <c r="L11" s="9"/>
      <c r="M11" s="9"/>
      <c r="N11" s="39"/>
      <c r="O11" s="9"/>
      <c r="P11" s="9"/>
      <c r="Q11" s="39"/>
      <c r="R11" s="9"/>
      <c r="S11" s="9"/>
      <c r="T11" s="39"/>
    </row>
    <row r="12" spans="1:20" x14ac:dyDescent="0.25">
      <c r="B12" s="9"/>
      <c r="C12" s="9"/>
      <c r="D12" s="9"/>
      <c r="E12" s="39"/>
      <c r="F12" s="9"/>
      <c r="G12" s="9"/>
      <c r="H12" s="39"/>
      <c r="I12" s="9"/>
      <c r="J12" s="9"/>
      <c r="K12" s="39"/>
      <c r="L12" s="9"/>
      <c r="M12" s="9"/>
      <c r="N12" s="39"/>
      <c r="O12" s="9"/>
      <c r="P12" s="9"/>
      <c r="Q12" s="39"/>
      <c r="R12" s="9"/>
      <c r="S12" s="9"/>
      <c r="T12" s="39"/>
    </row>
    <row r="13" spans="1:20" x14ac:dyDescent="0.25">
      <c r="B13" s="9"/>
      <c r="C13" s="9"/>
      <c r="D13" s="9"/>
      <c r="E13" s="39"/>
      <c r="F13" s="9"/>
      <c r="G13" s="9"/>
      <c r="H13" s="39"/>
      <c r="I13" s="9"/>
      <c r="J13" s="9"/>
      <c r="K13" s="39"/>
      <c r="L13" s="9"/>
      <c r="M13" s="9"/>
      <c r="N13" s="39"/>
      <c r="O13" s="9"/>
      <c r="P13" s="9"/>
      <c r="Q13" s="39"/>
      <c r="R13" s="9"/>
      <c r="S13" s="9"/>
      <c r="T13" s="39"/>
    </row>
    <row r="14" spans="1:20" hidden="1" x14ac:dyDescent="0.25">
      <c r="B14" s="9"/>
      <c r="C14" s="9"/>
      <c r="D14" s="9"/>
      <c r="E14" s="39"/>
      <c r="F14" s="9"/>
      <c r="G14" s="9"/>
      <c r="H14" s="39"/>
      <c r="I14" s="9"/>
      <c r="J14" s="9"/>
      <c r="K14" s="39"/>
      <c r="L14" s="9"/>
      <c r="M14" s="9"/>
      <c r="N14" s="39"/>
      <c r="O14" s="9"/>
      <c r="P14" s="9"/>
      <c r="Q14" s="39"/>
      <c r="R14" s="9"/>
      <c r="S14" s="9"/>
      <c r="T14" s="39"/>
    </row>
    <row r="15" spans="1:20" hidden="1" x14ac:dyDescent="0.25">
      <c r="B15" s="9"/>
      <c r="C15" s="9"/>
      <c r="D15" s="9"/>
      <c r="E15" s="39"/>
      <c r="F15" s="9"/>
      <c r="G15" s="9"/>
      <c r="H15" s="39"/>
      <c r="I15" s="9"/>
      <c r="J15" s="9"/>
      <c r="K15" s="39"/>
      <c r="L15" s="9"/>
      <c r="M15" s="9"/>
      <c r="N15" s="39"/>
      <c r="O15" s="9"/>
      <c r="P15" s="9"/>
      <c r="Q15" s="39"/>
      <c r="R15" s="9"/>
      <c r="S15" s="9"/>
      <c r="T15" s="39"/>
    </row>
    <row r="16" spans="1:20" s="23" customFormat="1" ht="18" customHeight="1" x14ac:dyDescent="0.25">
      <c r="B16" s="41" t="s">
        <v>0</v>
      </c>
      <c r="C16" s="25" t="str">
        <f ca="1">_xll.SUBNM("CXMD:Currency","Par Défaut","CD_LC","Description EN")</f>
        <v>Local currency</v>
      </c>
      <c r="D16" s="42"/>
      <c r="E16" s="43"/>
      <c r="F16" s="42"/>
      <c r="G16" s="47"/>
      <c r="H16" s="48"/>
      <c r="I16" s="42"/>
      <c r="J16" s="42"/>
      <c r="K16" s="43"/>
      <c r="L16" s="42"/>
      <c r="M16" s="42"/>
      <c r="N16" s="43"/>
      <c r="O16" s="42"/>
      <c r="P16" s="42"/>
      <c r="Q16" s="43"/>
      <c r="R16" s="42"/>
      <c r="S16" s="42"/>
      <c r="T16" s="43"/>
    </row>
    <row r="17" spans="1:20" s="23" customFormat="1" ht="18" customHeight="1" x14ac:dyDescent="0.25">
      <c r="B17" s="41" t="s">
        <v>1</v>
      </c>
      <c r="C17" s="25" t="str">
        <f ca="1">_xll.SUBNM("CXMD:DIM_Origin_Company","","SILVA","Name EN")</f>
        <v>SILVA</v>
      </c>
      <c r="D17" s="42"/>
      <c r="E17" s="43"/>
      <c r="F17" s="42"/>
      <c r="G17" s="47"/>
      <c r="H17" s="49"/>
      <c r="I17" s="42"/>
      <c r="J17" s="42"/>
      <c r="K17" s="43"/>
      <c r="L17" s="42"/>
      <c r="M17" s="42"/>
      <c r="N17" s="43"/>
      <c r="O17" s="42"/>
      <c r="P17" s="42"/>
      <c r="Q17" s="43"/>
      <c r="R17" s="42"/>
      <c r="S17" s="42"/>
      <c r="T17" s="43"/>
    </row>
    <row r="18" spans="1:20" s="23" customFormat="1" ht="18" customHeight="1" x14ac:dyDescent="0.25">
      <c r="B18" s="41" t="s">
        <v>2</v>
      </c>
      <c r="C18" s="25" t="str">
        <f ca="1">_xll.SUBNM("CXMD:DIM_Configuration","Par défaut","TOTAL PRODUCT","Description EN")</f>
        <v>TOTAL PRODUCT</v>
      </c>
      <c r="D18" s="42"/>
      <c r="E18" s="43"/>
      <c r="F18" s="42"/>
      <c r="G18" s="47"/>
      <c r="H18" s="49"/>
      <c r="I18" s="42"/>
      <c r="J18" s="42"/>
      <c r="K18" s="43"/>
      <c r="L18" s="42"/>
      <c r="M18" s="42"/>
      <c r="N18" s="43"/>
      <c r="O18" s="42"/>
      <c r="P18" s="42"/>
      <c r="Q18" s="43"/>
      <c r="R18" s="42"/>
      <c r="S18" s="42"/>
      <c r="T18" s="43"/>
    </row>
    <row r="19" spans="1:20" s="23" customFormat="1" ht="18" customHeight="1" x14ac:dyDescent="0.35">
      <c r="B19" s="41" t="s">
        <v>3</v>
      </c>
      <c r="C19" s="25" t="str">
        <f ca="1">_xll.SUBNM("CXMD:DIM_Prev_IC_mapping","","99 - Kuhn Group","Groupement_Alias")</f>
        <v>99 - Kuhn Group</v>
      </c>
      <c r="D19" s="42"/>
      <c r="E19" s="43"/>
      <c r="F19" s="42"/>
      <c r="G19" s="47"/>
      <c r="H19" s="50"/>
      <c r="I19" s="42"/>
      <c r="J19" s="44"/>
      <c r="K19" s="43"/>
      <c r="L19" s="42"/>
      <c r="M19" s="42"/>
      <c r="N19" s="43"/>
      <c r="O19" s="42"/>
      <c r="P19" s="42"/>
      <c r="Q19" s="43"/>
      <c r="R19" s="42"/>
      <c r="S19" s="42"/>
      <c r="T19" s="43"/>
    </row>
    <row r="20" spans="1:20" s="23" customFormat="1" x14ac:dyDescent="0.25">
      <c r="B20" s="42"/>
      <c r="C20" s="42"/>
      <c r="D20" s="42"/>
      <c r="E20" s="43"/>
      <c r="F20" s="42"/>
      <c r="G20" s="51"/>
      <c r="H20" s="52"/>
      <c r="I20" s="42"/>
      <c r="J20" s="42"/>
      <c r="K20" s="43"/>
      <c r="L20" s="42"/>
      <c r="M20" s="42"/>
      <c r="N20" s="43"/>
      <c r="O20" s="42"/>
      <c r="P20" s="42"/>
      <c r="Q20" s="43"/>
      <c r="R20" s="42"/>
      <c r="S20" s="42"/>
      <c r="T20" s="43"/>
    </row>
    <row r="21" spans="1:20" s="23" customFormat="1" ht="15.75" thickBot="1" x14ac:dyDescent="0.3">
      <c r="B21" s="42"/>
      <c r="C21" s="42"/>
      <c r="D21" s="42"/>
      <c r="E21" s="43"/>
      <c r="F21" s="42"/>
      <c r="G21" s="51"/>
      <c r="H21" s="52"/>
      <c r="I21" s="42"/>
      <c r="J21" s="42"/>
      <c r="K21" s="43"/>
      <c r="L21" s="42"/>
      <c r="M21" s="42"/>
      <c r="N21" s="43"/>
      <c r="O21" s="42"/>
      <c r="P21" s="42"/>
      <c r="Q21" s="43"/>
      <c r="R21" s="42"/>
      <c r="S21" s="42"/>
      <c r="T21" s="43"/>
    </row>
    <row r="22" spans="1:20" s="23" customFormat="1" ht="15.75" thickBot="1" x14ac:dyDescent="0.3">
      <c r="B22" s="42"/>
      <c r="C22" s="81" t="str">
        <f ca="1">_xll.SUBNM("CXMD:Actuality","Actuality_Market_Share","AC2018","Description EN")</f>
        <v>AC2018</v>
      </c>
      <c r="D22" s="82"/>
      <c r="E22" s="82"/>
      <c r="F22" s="81" t="str">
        <f ca="1">_xll.SUBNM("CXMD:Actuality","Actuality_Market_Share","FC3_2019","Description EN")</f>
        <v>FC3_2019</v>
      </c>
      <c r="G22" s="82"/>
      <c r="H22" s="83"/>
      <c r="I22" s="82" t="str">
        <f ca="1">_xll.SUBNM("CXMD:Actuality","Actuality_Market_Share","PL2020 (update 2019)","Description EN")</f>
        <v>PL2020 (update 2019)</v>
      </c>
      <c r="J22" s="82"/>
      <c r="K22" s="83"/>
      <c r="L22" s="81" t="str">
        <f ca="1">_xll.SUBNM("CXMD:Actuality","Actuality_Market_Share","PL2021 (update 2019)","Description EN")</f>
        <v>PL2021 (update 2019)</v>
      </c>
      <c r="M22" s="82"/>
      <c r="N22" s="83"/>
      <c r="O22" s="81" t="str">
        <f ca="1">_xll.SUBNM("CXMD:Actuality","Actuality_Market_Share","PL2022 (update 2019)","Description EN")</f>
        <v>PL2022 (update 2019)</v>
      </c>
      <c r="P22" s="82"/>
      <c r="Q22" s="83"/>
      <c r="R22" s="81" t="str">
        <f ca="1">_xll.SUBNM("CXMD:Actuality","Actuality_Market_Share","PL2023 (update 2019)","Description EN")</f>
        <v>PL2023 (update 2019)</v>
      </c>
      <c r="S22" s="82"/>
      <c r="T22" s="83"/>
    </row>
    <row r="23" spans="1:20" s="23" customFormat="1" x14ac:dyDescent="0.25">
      <c r="B23" s="42"/>
      <c r="C23" s="53"/>
      <c r="D23" s="45"/>
      <c r="E23" s="54"/>
      <c r="F23" s="53"/>
      <c r="G23" s="45"/>
      <c r="H23" s="54"/>
      <c r="I23" s="53"/>
      <c r="J23" s="45"/>
      <c r="K23" s="54"/>
      <c r="L23" s="53"/>
      <c r="M23" s="45"/>
      <c r="N23" s="54"/>
      <c r="O23" s="53"/>
      <c r="P23" s="45"/>
      <c r="Q23" s="54"/>
      <c r="R23" s="53"/>
      <c r="S23" s="45"/>
      <c r="T23" s="54"/>
    </row>
    <row r="24" spans="1:20" s="23" customFormat="1" x14ac:dyDescent="0.25">
      <c r="B24" s="42"/>
      <c r="C24" s="53" t="str">
        <f ca="1">_xll.SUBNM("CXMD:Market_Actor","Market_Actor","Kuhn_scope","Description")</f>
        <v>KUHN_Scope</v>
      </c>
      <c r="D24" s="45" t="str">
        <f ca="1">_xll.SUBNM("CXMD:Market_Actor","Market_Actor","KUHN SOM","Description")</f>
        <v>KUHN Sales</v>
      </c>
      <c r="E24" s="55" t="s">
        <v>17</v>
      </c>
      <c r="F24" s="53" t="str">
        <f ca="1">_xll.SUBNM("CXMD:Market_Actor","Market_Actor","Kuhn_scope","Description")</f>
        <v>KUHN_Scope</v>
      </c>
      <c r="G24" s="45" t="str">
        <f ca="1">_xll.SUBNM("CXMD:Market_Actor","Market_Actor","KUHN SOM","Description")</f>
        <v>KUHN Sales</v>
      </c>
      <c r="H24" s="55" t="s">
        <v>17</v>
      </c>
      <c r="I24" s="53" t="str">
        <f ca="1">_xll.SUBNM("CXMD:Market_Actor","Market_Actor","Kuhn_scope","Description")</f>
        <v>KUHN_Scope</v>
      </c>
      <c r="J24" s="45" t="str">
        <f ca="1">_xll.SUBNM("CXMD:Market_Actor","Market_Actor","KUHN SOM","Description")</f>
        <v>KUHN Sales</v>
      </c>
      <c r="K24" s="55" t="s">
        <v>17</v>
      </c>
      <c r="L24" s="53" t="str">
        <f ca="1">_xll.SUBNM("CXMD:Market_Actor","Market_Actor","Kuhn_scope","Description")</f>
        <v>KUHN_Scope</v>
      </c>
      <c r="M24" s="45" t="str">
        <f ca="1">_xll.SUBNM("CXMD:Market_Actor","Market_Actor","KUHN SOM","Description")</f>
        <v>KUHN Sales</v>
      </c>
      <c r="N24" s="55" t="s">
        <v>17</v>
      </c>
      <c r="O24" s="53" t="str">
        <f ca="1">_xll.SUBNM("CXMD:Market_Actor","Market_Actor","Kuhn_scope","Description")</f>
        <v>KUHN_Scope</v>
      </c>
      <c r="P24" s="45" t="str">
        <f ca="1">_xll.SUBNM("CXMD:Market_Actor","Market_Actor","KUHN SOM","Description")</f>
        <v>KUHN Sales</v>
      </c>
      <c r="Q24" s="55" t="s">
        <v>17</v>
      </c>
      <c r="R24" s="53" t="str">
        <f ca="1">_xll.SUBNM("CXMD:Market_Actor","Market_Actor","Kuhn_scope","Description")</f>
        <v>KUHN_Scope</v>
      </c>
      <c r="S24" s="45" t="str">
        <f ca="1">_xll.SUBNM("CXMD:Market_Actor","Market_Actor","KUHN SOM","Description")</f>
        <v>KUHN Sales</v>
      </c>
      <c r="T24" s="55" t="s">
        <v>17</v>
      </c>
    </row>
    <row r="25" spans="1:20" s="23" customFormat="1" ht="15.75" thickBot="1" x14ac:dyDescent="0.3">
      <c r="B25" s="42"/>
      <c r="C25" s="56" t="s">
        <v>4</v>
      </c>
      <c r="D25" s="57" t="s">
        <v>4</v>
      </c>
      <c r="E25" s="58"/>
      <c r="F25" s="56" t="s">
        <v>4</v>
      </c>
      <c r="G25" s="57" t="s">
        <v>4</v>
      </c>
      <c r="H25" s="58"/>
      <c r="I25" s="56" t="s">
        <v>4</v>
      </c>
      <c r="J25" s="57" t="s">
        <v>4</v>
      </c>
      <c r="K25" s="58"/>
      <c r="L25" s="56" t="s">
        <v>4</v>
      </c>
      <c r="M25" s="57" t="s">
        <v>4</v>
      </c>
      <c r="N25" s="58"/>
      <c r="O25" s="56" t="s">
        <v>4</v>
      </c>
      <c r="P25" s="57" t="s">
        <v>4</v>
      </c>
      <c r="Q25" s="58"/>
      <c r="R25" s="56" t="s">
        <v>4</v>
      </c>
      <c r="S25" s="57" t="s">
        <v>4</v>
      </c>
      <c r="T25" s="58"/>
    </row>
    <row r="26" spans="1:20" x14ac:dyDescent="0.25">
      <c r="A26">
        <f ca="1">IF(_xll.TM1RPTELISCONSOLIDATED($B$26,$B26),IF(_xll.TM1RPTELLEV($B$26,$B26)&lt;=3,_xll.TM1RPTELLEV($B$26,$B26),"D"),"N")</f>
        <v>0</v>
      </c>
      <c r="B26" s="12" t="str">
        <f ca="1">_xll.TM1RPTROW($B$9,"CXMD:DIM_Country","Total Country SOM","","Description",0)</f>
        <v>Total Country SOM</v>
      </c>
      <c r="C26" s="1">
        <f ca="1">_xll.DBRW($B$9,$C$16,$C$19,C$24,C$22,$C$17,$B26,$C$18,C$25)</f>
        <v>0</v>
      </c>
      <c r="D26" s="1">
        <f ca="1">_xll.DBRW($B$9,$C$16,$C$19,D$24,C$22,$C$17,$B26,$C$18,D$25)</f>
        <v>0</v>
      </c>
      <c r="E26" s="34">
        <f ca="1">IF(C26&lt;&gt;0,D26/C26,0)</f>
        <v>0</v>
      </c>
      <c r="F26" s="1">
        <f ca="1">_xll.DBRW($B$9,$C$16,$C$19,F$24,F$22,$C$17,$B26,$C$18,F$25)</f>
        <v>0</v>
      </c>
      <c r="G26" s="1">
        <f ca="1">_xll.DBRW($B$9,$C$16,$C$19,G$24,F$22,$C$17,$B26,$C$18,G$25)</f>
        <v>0</v>
      </c>
      <c r="H26" s="34">
        <f ca="1">IF(F26&lt;&gt;0,G26/F26,0)</f>
        <v>0</v>
      </c>
      <c r="I26" s="1">
        <f ca="1">_xll.DBRW($B$9,$C$16,$C$19,I$24,I$22,$C$17,$B26,$C$18,I$25)</f>
        <v>0</v>
      </c>
      <c r="J26" s="1">
        <f ca="1">_xll.DBRW($B$9,$C$16,$C$19,J$24,I$22,$C$17,$B26,$C$18,J$25)</f>
        <v>0</v>
      </c>
      <c r="K26" s="34">
        <f ca="1">IF(I26&lt;&gt;0,J26/I26,0)</f>
        <v>0</v>
      </c>
      <c r="L26" s="1">
        <f ca="1">_xll.DBRW($B$9,$C$16,$C$19,L$24,L$22,$C$17,$B26,$C$18,L$25)</f>
        <v>0</v>
      </c>
      <c r="M26" s="1">
        <f ca="1">_xll.DBRW($B$9,$C$16,$C$19,M$24,L$22,$C$17,$B26,$C$18,M$25)</f>
        <v>0</v>
      </c>
      <c r="N26" s="34">
        <f ca="1">IF(L26&lt;&gt;0,M26/L26,0)</f>
        <v>0</v>
      </c>
      <c r="O26" s="1">
        <f ca="1">_xll.DBRW($B$9,$C$16,$C$19,O$24,O$22,$C$17,$B26,$C$18,O$25)</f>
        <v>0</v>
      </c>
      <c r="P26" s="1">
        <f ca="1">_xll.DBRW($B$9,$C$16,$C$19,P$24,O$22,$C$17,$B26,$C$18,P$25)</f>
        <v>0</v>
      </c>
      <c r="Q26" s="34">
        <f ca="1">IF(O26&lt;&gt;0,P26/O26,0)</f>
        <v>0</v>
      </c>
      <c r="R26" s="1">
        <f ca="1">_xll.DBRW($B$9,$C$16,$C$19,R$24,R$22,$C$17,$B26,$C$18,R$25)</f>
        <v>0</v>
      </c>
      <c r="S26" s="1">
        <f ca="1">_xll.DBRW($B$9,$C$16,$C$19,S$24,R$22,$C$17,$B26,$C$18,S$25)</f>
        <v>0</v>
      </c>
      <c r="T26" s="34">
        <f ca="1">IF(R26&lt;&gt;0,S26/R26,0)</f>
        <v>0</v>
      </c>
    </row>
    <row r="27" spans="1:20" x14ac:dyDescent="0.25">
      <c r="A27">
        <f ca="1">IF(_xll.TM1RPTELISCONSOLIDATED($B$26,$B27),IF(_xll.TM1RPTELLEV($B$26,$B27)&lt;=3,_xll.TM1RPTELLEV($B$26,$B27),"D"),"N")</f>
        <v>1</v>
      </c>
      <c r="B27" s="18" t="s">
        <v>12</v>
      </c>
      <c r="C27" s="2">
        <f ca="1">_xll.DBRW($B$9,$C$16,$C$19,C$24,C$22,$C$17,$B27,$C$18,C$25)</f>
        <v>0</v>
      </c>
      <c r="D27" s="2">
        <f ca="1">_xll.DBRW($B$9,$C$16,$C$19,D$24,C$22,$C$17,$B27,$C$18,D$25)</f>
        <v>0</v>
      </c>
      <c r="E27" s="35">
        <f t="shared" ref="E27:E34" ca="1" si="0">IF(C27&lt;&gt;0,D27/C27,0)</f>
        <v>0</v>
      </c>
      <c r="F27" s="2">
        <f ca="1">_xll.DBRW($B$9,$C$16,$C$19,F$24,F$22,$C$17,$B27,$C$18,F$25)</f>
        <v>0</v>
      </c>
      <c r="G27" s="2">
        <f ca="1">_xll.DBRW($B$9,$C$16,$C$19,G$24,F$22,$C$17,$B27,$C$18,G$25)</f>
        <v>0</v>
      </c>
      <c r="H27" s="35">
        <f t="shared" ref="H27:H34" ca="1" si="1">IF(F27&lt;&gt;0,G27/F27,0)</f>
        <v>0</v>
      </c>
      <c r="I27" s="2">
        <f ca="1">_xll.DBRW($B$9,$C$16,$C$19,I$24,I$22,$C$17,$B27,$C$18,I$25)</f>
        <v>0</v>
      </c>
      <c r="J27" s="2">
        <f ca="1">_xll.DBRW($B$9,$C$16,$C$19,J$24,I$22,$C$17,$B27,$C$18,J$25)</f>
        <v>0</v>
      </c>
      <c r="K27" s="35">
        <f t="shared" ref="K27:K34" ca="1" si="2">IF(I27&lt;&gt;0,J27/I27,0)</f>
        <v>0</v>
      </c>
      <c r="L27" s="2">
        <f ca="1">_xll.DBRW($B$9,$C$16,$C$19,L$24,L$22,$C$17,$B27,$C$18,L$25)</f>
        <v>0</v>
      </c>
      <c r="M27" s="2">
        <f ca="1">_xll.DBRW($B$9,$C$16,$C$19,M$24,L$22,$C$17,$B27,$C$18,M$25)</f>
        <v>0</v>
      </c>
      <c r="N27" s="35">
        <f t="shared" ref="N27:N34" ca="1" si="3">IF(L27&lt;&gt;0,M27/L27,0)</f>
        <v>0</v>
      </c>
      <c r="O27" s="2">
        <f ca="1">_xll.DBRW($B$9,$C$16,$C$19,O$24,O$22,$C$17,$B27,$C$18,O$25)</f>
        <v>0</v>
      </c>
      <c r="P27" s="2">
        <f ca="1">_xll.DBRW($B$9,$C$16,$C$19,P$24,O$22,$C$17,$B27,$C$18,P$25)</f>
        <v>0</v>
      </c>
      <c r="Q27" s="35">
        <f t="shared" ref="Q27:Q34" ca="1" si="4">IF(O27&lt;&gt;0,P27/O27,0)</f>
        <v>0</v>
      </c>
      <c r="R27" s="2">
        <f ca="1">_xll.DBRW($B$9,$C$16,$C$19,R$24,R$22,$C$17,$B27,$C$18,R$25)</f>
        <v>0</v>
      </c>
      <c r="S27" s="2">
        <f ca="1">_xll.DBRW($B$9,$C$16,$C$19,S$24,R$22,$C$17,$B27,$C$18,S$25)</f>
        <v>0</v>
      </c>
      <c r="T27" s="35">
        <f t="shared" ref="T27:T34" ca="1" si="5">IF(R27&lt;&gt;0,S27/R27,0)</f>
        <v>0</v>
      </c>
    </row>
    <row r="28" spans="1:20" x14ac:dyDescent="0.25">
      <c r="A28">
        <f ca="1">IF(_xll.TM1RPTELISCONSOLIDATED($B$26,$B28),IF(_xll.TM1RPTELLEV($B$26,$B28)&lt;=3,_xll.TM1RPTELLEV($B$26,$B28),"D"),"N")</f>
        <v>1</v>
      </c>
      <c r="B28" s="18" t="s">
        <v>5</v>
      </c>
      <c r="C28" s="2">
        <f ca="1">_xll.DBRW($B$9,$C$16,$C$19,C$24,C$22,$C$17,$B28,$C$18,C$25)</f>
        <v>0</v>
      </c>
      <c r="D28" s="2">
        <f ca="1">_xll.DBRW($B$9,$C$16,$C$19,D$24,C$22,$C$17,$B28,$C$18,D$25)</f>
        <v>0</v>
      </c>
      <c r="E28" s="35">
        <f t="shared" ca="1" si="0"/>
        <v>0</v>
      </c>
      <c r="F28" s="2">
        <f ca="1">_xll.DBRW($B$9,$C$16,$C$19,F$24,F$22,$C$17,$B28,$C$18,F$25)</f>
        <v>0</v>
      </c>
      <c r="G28" s="2">
        <f ca="1">_xll.DBRW($B$9,$C$16,$C$19,G$24,F$22,$C$17,$B28,$C$18,G$25)</f>
        <v>0</v>
      </c>
      <c r="H28" s="35">
        <f t="shared" ca="1" si="1"/>
        <v>0</v>
      </c>
      <c r="I28" s="2">
        <f ca="1">_xll.DBRW($B$9,$C$16,$C$19,I$24,I$22,$C$17,$B28,$C$18,I$25)</f>
        <v>0</v>
      </c>
      <c r="J28" s="2">
        <f ca="1">_xll.DBRW($B$9,$C$16,$C$19,J$24,I$22,$C$17,$B28,$C$18,J$25)</f>
        <v>0</v>
      </c>
      <c r="K28" s="35">
        <f t="shared" ca="1" si="2"/>
        <v>0</v>
      </c>
      <c r="L28" s="2">
        <f ca="1">_xll.DBRW($B$9,$C$16,$C$19,L$24,L$22,$C$17,$B28,$C$18,L$25)</f>
        <v>0</v>
      </c>
      <c r="M28" s="2">
        <f ca="1">_xll.DBRW($B$9,$C$16,$C$19,M$24,L$22,$C$17,$B28,$C$18,M$25)</f>
        <v>0</v>
      </c>
      <c r="N28" s="35">
        <f t="shared" ca="1" si="3"/>
        <v>0</v>
      </c>
      <c r="O28" s="2">
        <f ca="1">_xll.DBRW($B$9,$C$16,$C$19,O$24,O$22,$C$17,$B28,$C$18,O$25)</f>
        <v>0</v>
      </c>
      <c r="P28" s="2">
        <f ca="1">_xll.DBRW($B$9,$C$16,$C$19,P$24,O$22,$C$17,$B28,$C$18,P$25)</f>
        <v>0</v>
      </c>
      <c r="Q28" s="35">
        <f t="shared" ca="1" si="4"/>
        <v>0</v>
      </c>
      <c r="R28" s="2">
        <f ca="1">_xll.DBRW($B$9,$C$16,$C$19,R$24,R$22,$C$17,$B28,$C$18,R$25)</f>
        <v>0</v>
      </c>
      <c r="S28" s="2">
        <f ca="1">_xll.DBRW($B$9,$C$16,$C$19,S$24,R$22,$C$17,$B28,$C$18,S$25)</f>
        <v>0</v>
      </c>
      <c r="T28" s="35">
        <f t="shared" ca="1" si="5"/>
        <v>0</v>
      </c>
    </row>
    <row r="29" spans="1:20" x14ac:dyDescent="0.25">
      <c r="A29">
        <f ca="1">IF(_xll.TM1RPTELISCONSOLIDATED($B$26,$B29),IF(_xll.TM1RPTELLEV($B$26,$B29)&lt;=3,_xll.TM1RPTELLEV($B$26,$B29),"D"),"N")</f>
        <v>1</v>
      </c>
      <c r="B29" s="18" t="s">
        <v>6</v>
      </c>
      <c r="C29" s="2">
        <f ca="1">_xll.DBRW($B$9,$C$16,$C$19,C$24,C$22,$C$17,$B29,$C$18,C$25)</f>
        <v>0</v>
      </c>
      <c r="D29" s="2">
        <f ca="1">_xll.DBRW($B$9,$C$16,$C$19,D$24,C$22,$C$17,$B29,$C$18,D$25)</f>
        <v>0</v>
      </c>
      <c r="E29" s="35">
        <f t="shared" ca="1" si="0"/>
        <v>0</v>
      </c>
      <c r="F29" s="2">
        <f ca="1">_xll.DBRW($B$9,$C$16,$C$19,F$24,F$22,$C$17,$B29,$C$18,F$25)</f>
        <v>0</v>
      </c>
      <c r="G29" s="2">
        <f ca="1">_xll.DBRW($B$9,$C$16,$C$19,G$24,F$22,$C$17,$B29,$C$18,G$25)</f>
        <v>0</v>
      </c>
      <c r="H29" s="35">
        <f t="shared" ca="1" si="1"/>
        <v>0</v>
      </c>
      <c r="I29" s="2">
        <f ca="1">_xll.DBRW($B$9,$C$16,$C$19,I$24,I$22,$C$17,$B29,$C$18,I$25)</f>
        <v>0</v>
      </c>
      <c r="J29" s="2">
        <f ca="1">_xll.DBRW($B$9,$C$16,$C$19,J$24,I$22,$C$17,$B29,$C$18,J$25)</f>
        <v>0</v>
      </c>
      <c r="K29" s="35">
        <f t="shared" ca="1" si="2"/>
        <v>0</v>
      </c>
      <c r="L29" s="2">
        <f ca="1">_xll.DBRW($B$9,$C$16,$C$19,L$24,L$22,$C$17,$B29,$C$18,L$25)</f>
        <v>0</v>
      </c>
      <c r="M29" s="2">
        <f ca="1">_xll.DBRW($B$9,$C$16,$C$19,M$24,L$22,$C$17,$B29,$C$18,M$25)</f>
        <v>0</v>
      </c>
      <c r="N29" s="35">
        <f t="shared" ca="1" si="3"/>
        <v>0</v>
      </c>
      <c r="O29" s="2">
        <f ca="1">_xll.DBRW($B$9,$C$16,$C$19,O$24,O$22,$C$17,$B29,$C$18,O$25)</f>
        <v>0</v>
      </c>
      <c r="P29" s="2">
        <f ca="1">_xll.DBRW($B$9,$C$16,$C$19,P$24,O$22,$C$17,$B29,$C$18,P$25)</f>
        <v>0</v>
      </c>
      <c r="Q29" s="35">
        <f t="shared" ca="1" si="4"/>
        <v>0</v>
      </c>
      <c r="R29" s="2">
        <f ca="1">_xll.DBRW($B$9,$C$16,$C$19,R$24,R$22,$C$17,$B29,$C$18,R$25)</f>
        <v>0</v>
      </c>
      <c r="S29" s="2">
        <f ca="1">_xll.DBRW($B$9,$C$16,$C$19,S$24,R$22,$C$17,$B29,$C$18,S$25)</f>
        <v>0</v>
      </c>
      <c r="T29" s="35">
        <f t="shared" ca="1" si="5"/>
        <v>0</v>
      </c>
    </row>
    <row r="30" spans="1:20" x14ac:dyDescent="0.25">
      <c r="A30">
        <f ca="1">IF(_xll.TM1RPTELISCONSOLIDATED($B$26,$B30),IF(_xll.TM1RPTELLEV($B$26,$B30)&lt;=3,_xll.TM1RPTELLEV($B$26,$B30),"D"),"N")</f>
        <v>1</v>
      </c>
      <c r="B30" s="18" t="s">
        <v>7</v>
      </c>
      <c r="C30" s="2">
        <f ca="1">_xll.DBRW($B$9,$C$16,$C$19,C$24,C$22,$C$17,$B30,$C$18,C$25)</f>
        <v>0</v>
      </c>
      <c r="D30" s="2">
        <f ca="1">_xll.DBRW($B$9,$C$16,$C$19,D$24,C$22,$C$17,$B30,$C$18,D$25)</f>
        <v>0</v>
      </c>
      <c r="E30" s="35">
        <f t="shared" ca="1" si="0"/>
        <v>0</v>
      </c>
      <c r="F30" s="2">
        <f ca="1">_xll.DBRW($B$9,$C$16,$C$19,F$24,F$22,$C$17,$B30,$C$18,F$25)</f>
        <v>0</v>
      </c>
      <c r="G30" s="2">
        <f ca="1">_xll.DBRW($B$9,$C$16,$C$19,G$24,F$22,$C$17,$B30,$C$18,G$25)</f>
        <v>0</v>
      </c>
      <c r="H30" s="35">
        <f t="shared" ca="1" si="1"/>
        <v>0</v>
      </c>
      <c r="I30" s="2">
        <f ca="1">_xll.DBRW($B$9,$C$16,$C$19,I$24,I$22,$C$17,$B30,$C$18,I$25)</f>
        <v>0</v>
      </c>
      <c r="J30" s="2">
        <f ca="1">_xll.DBRW($B$9,$C$16,$C$19,J$24,I$22,$C$17,$B30,$C$18,J$25)</f>
        <v>0</v>
      </c>
      <c r="K30" s="35">
        <f t="shared" ca="1" si="2"/>
        <v>0</v>
      </c>
      <c r="L30" s="2">
        <f ca="1">_xll.DBRW($B$9,$C$16,$C$19,L$24,L$22,$C$17,$B30,$C$18,L$25)</f>
        <v>0</v>
      </c>
      <c r="M30" s="2">
        <f ca="1">_xll.DBRW($B$9,$C$16,$C$19,M$24,L$22,$C$17,$B30,$C$18,M$25)</f>
        <v>0</v>
      </c>
      <c r="N30" s="35">
        <f t="shared" ca="1" si="3"/>
        <v>0</v>
      </c>
      <c r="O30" s="2">
        <f ca="1">_xll.DBRW($B$9,$C$16,$C$19,O$24,O$22,$C$17,$B30,$C$18,O$25)</f>
        <v>0</v>
      </c>
      <c r="P30" s="2">
        <f ca="1">_xll.DBRW($B$9,$C$16,$C$19,P$24,O$22,$C$17,$B30,$C$18,P$25)</f>
        <v>0</v>
      </c>
      <c r="Q30" s="35">
        <f t="shared" ca="1" si="4"/>
        <v>0</v>
      </c>
      <c r="R30" s="2">
        <f ca="1">_xll.DBRW($B$9,$C$16,$C$19,R$24,R$22,$C$17,$B30,$C$18,R$25)</f>
        <v>0</v>
      </c>
      <c r="S30" s="2">
        <f ca="1">_xll.DBRW($B$9,$C$16,$C$19,S$24,R$22,$C$17,$B30,$C$18,S$25)</f>
        <v>0</v>
      </c>
      <c r="T30" s="35">
        <f t="shared" ca="1" si="5"/>
        <v>0</v>
      </c>
    </row>
    <row r="31" spans="1:20" x14ac:dyDescent="0.25">
      <c r="A31">
        <f ca="1">IF(_xll.TM1RPTELISCONSOLIDATED($B$26,$B31),IF(_xll.TM1RPTELLEV($B$26,$B31)&lt;=3,_xll.TM1RPTELLEV($B$26,$B31),"D"),"N")</f>
        <v>1</v>
      </c>
      <c r="B31" s="18" t="s">
        <v>8</v>
      </c>
      <c r="C31" s="2">
        <f ca="1">_xll.DBRW($B$9,$C$16,$C$19,C$24,C$22,$C$17,$B31,$C$18,C$25)</f>
        <v>0</v>
      </c>
      <c r="D31" s="2">
        <f ca="1">_xll.DBRW($B$9,$C$16,$C$19,D$24,C$22,$C$17,$B31,$C$18,D$25)</f>
        <v>0</v>
      </c>
      <c r="E31" s="35">
        <f t="shared" ca="1" si="0"/>
        <v>0</v>
      </c>
      <c r="F31" s="2">
        <f ca="1">_xll.DBRW($B$9,$C$16,$C$19,F$24,F$22,$C$17,$B31,$C$18,F$25)</f>
        <v>0</v>
      </c>
      <c r="G31" s="2">
        <f ca="1">_xll.DBRW($B$9,$C$16,$C$19,G$24,F$22,$C$17,$B31,$C$18,G$25)</f>
        <v>0</v>
      </c>
      <c r="H31" s="35">
        <f t="shared" ca="1" si="1"/>
        <v>0</v>
      </c>
      <c r="I31" s="2">
        <f ca="1">_xll.DBRW($B$9,$C$16,$C$19,I$24,I$22,$C$17,$B31,$C$18,I$25)</f>
        <v>0</v>
      </c>
      <c r="J31" s="2">
        <f ca="1">_xll.DBRW($B$9,$C$16,$C$19,J$24,I$22,$C$17,$B31,$C$18,J$25)</f>
        <v>0</v>
      </c>
      <c r="K31" s="35">
        <f t="shared" ca="1" si="2"/>
        <v>0</v>
      </c>
      <c r="L31" s="2">
        <f ca="1">_xll.DBRW($B$9,$C$16,$C$19,L$24,L$22,$C$17,$B31,$C$18,L$25)</f>
        <v>0</v>
      </c>
      <c r="M31" s="2">
        <f ca="1">_xll.DBRW($B$9,$C$16,$C$19,M$24,L$22,$C$17,$B31,$C$18,M$25)</f>
        <v>0</v>
      </c>
      <c r="N31" s="35">
        <f t="shared" ca="1" si="3"/>
        <v>0</v>
      </c>
      <c r="O31" s="2">
        <f ca="1">_xll.DBRW($B$9,$C$16,$C$19,O$24,O$22,$C$17,$B31,$C$18,O$25)</f>
        <v>0</v>
      </c>
      <c r="P31" s="2">
        <f ca="1">_xll.DBRW($B$9,$C$16,$C$19,P$24,O$22,$C$17,$B31,$C$18,P$25)</f>
        <v>0</v>
      </c>
      <c r="Q31" s="35">
        <f t="shared" ca="1" si="4"/>
        <v>0</v>
      </c>
      <c r="R31" s="2">
        <f ca="1">_xll.DBRW($B$9,$C$16,$C$19,R$24,R$22,$C$17,$B31,$C$18,R$25)</f>
        <v>0</v>
      </c>
      <c r="S31" s="2">
        <f ca="1">_xll.DBRW($B$9,$C$16,$C$19,S$24,R$22,$C$17,$B31,$C$18,S$25)</f>
        <v>0</v>
      </c>
      <c r="T31" s="35">
        <f t="shared" ca="1" si="5"/>
        <v>0</v>
      </c>
    </row>
    <row r="32" spans="1:20" x14ac:dyDescent="0.25">
      <c r="A32">
        <f ca="1">IF(_xll.TM1RPTELISCONSOLIDATED($B$26,$B32),IF(_xll.TM1RPTELLEV($B$26,$B32)&lt;=3,_xll.TM1RPTELLEV($B$26,$B32),"D"),"N")</f>
        <v>1</v>
      </c>
      <c r="B32" s="18" t="s">
        <v>9</v>
      </c>
      <c r="C32" s="2">
        <f ca="1">_xll.DBRW($B$9,$C$16,$C$19,C$24,C$22,$C$17,$B32,$C$18,C$25)</f>
        <v>0</v>
      </c>
      <c r="D32" s="2">
        <f ca="1">_xll.DBRW($B$9,$C$16,$C$19,D$24,C$22,$C$17,$B32,$C$18,D$25)</f>
        <v>0</v>
      </c>
      <c r="E32" s="35">
        <f t="shared" ca="1" si="0"/>
        <v>0</v>
      </c>
      <c r="F32" s="2">
        <f ca="1">_xll.DBRW($B$9,$C$16,$C$19,F$24,F$22,$C$17,$B32,$C$18,F$25)</f>
        <v>0</v>
      </c>
      <c r="G32" s="2">
        <f ca="1">_xll.DBRW($B$9,$C$16,$C$19,G$24,F$22,$C$17,$B32,$C$18,G$25)</f>
        <v>0</v>
      </c>
      <c r="H32" s="35">
        <f t="shared" ca="1" si="1"/>
        <v>0</v>
      </c>
      <c r="I32" s="2">
        <f ca="1">_xll.DBRW($B$9,$C$16,$C$19,I$24,I$22,$C$17,$B32,$C$18,I$25)</f>
        <v>0</v>
      </c>
      <c r="J32" s="2">
        <f ca="1">_xll.DBRW($B$9,$C$16,$C$19,J$24,I$22,$C$17,$B32,$C$18,J$25)</f>
        <v>0</v>
      </c>
      <c r="K32" s="35">
        <f t="shared" ca="1" si="2"/>
        <v>0</v>
      </c>
      <c r="L32" s="2">
        <f ca="1">_xll.DBRW($B$9,$C$16,$C$19,L$24,L$22,$C$17,$B32,$C$18,L$25)</f>
        <v>0</v>
      </c>
      <c r="M32" s="2">
        <f ca="1">_xll.DBRW($B$9,$C$16,$C$19,M$24,L$22,$C$17,$B32,$C$18,M$25)</f>
        <v>0</v>
      </c>
      <c r="N32" s="35">
        <f t="shared" ca="1" si="3"/>
        <v>0</v>
      </c>
      <c r="O32" s="2">
        <f ca="1">_xll.DBRW($B$9,$C$16,$C$19,O$24,O$22,$C$17,$B32,$C$18,O$25)</f>
        <v>0</v>
      </c>
      <c r="P32" s="2">
        <f ca="1">_xll.DBRW($B$9,$C$16,$C$19,P$24,O$22,$C$17,$B32,$C$18,P$25)</f>
        <v>0</v>
      </c>
      <c r="Q32" s="35">
        <f t="shared" ca="1" si="4"/>
        <v>0</v>
      </c>
      <c r="R32" s="2">
        <f ca="1">_xll.DBRW($B$9,$C$16,$C$19,R$24,R$22,$C$17,$B32,$C$18,R$25)</f>
        <v>0</v>
      </c>
      <c r="S32" s="2">
        <f ca="1">_xll.DBRW($B$9,$C$16,$C$19,S$24,R$22,$C$17,$B32,$C$18,S$25)</f>
        <v>0</v>
      </c>
      <c r="T32" s="35">
        <f t="shared" ca="1" si="5"/>
        <v>0</v>
      </c>
    </row>
    <row r="33" spans="1:20" x14ac:dyDescent="0.25">
      <c r="A33">
        <f ca="1">IF(_xll.TM1RPTELISCONSOLIDATED($B$26,$B33),IF(_xll.TM1RPTELLEV($B$26,$B33)&lt;=3,_xll.TM1RPTELLEV($B$26,$B33),"D"),"N")</f>
        <v>1</v>
      </c>
      <c r="B33" s="18" t="s">
        <v>10</v>
      </c>
      <c r="C33" s="2">
        <f ca="1">_xll.DBRW($B$9,$C$16,$C$19,C$24,C$22,$C$17,$B33,$C$18,C$25)</f>
        <v>0</v>
      </c>
      <c r="D33" s="2">
        <f ca="1">_xll.DBRW($B$9,$C$16,$C$19,D$24,C$22,$C$17,$B33,$C$18,D$25)</f>
        <v>0</v>
      </c>
      <c r="E33" s="35">
        <f t="shared" ca="1" si="0"/>
        <v>0</v>
      </c>
      <c r="F33" s="2">
        <f ca="1">_xll.DBRW($B$9,$C$16,$C$19,F$24,F$22,$C$17,$B33,$C$18,F$25)</f>
        <v>0</v>
      </c>
      <c r="G33" s="2">
        <f ca="1">_xll.DBRW($B$9,$C$16,$C$19,G$24,F$22,$C$17,$B33,$C$18,G$25)</f>
        <v>0</v>
      </c>
      <c r="H33" s="35">
        <f t="shared" ca="1" si="1"/>
        <v>0</v>
      </c>
      <c r="I33" s="2">
        <f ca="1">_xll.DBRW($B$9,$C$16,$C$19,I$24,I$22,$C$17,$B33,$C$18,I$25)</f>
        <v>0</v>
      </c>
      <c r="J33" s="2">
        <f ca="1">_xll.DBRW($B$9,$C$16,$C$19,J$24,I$22,$C$17,$B33,$C$18,J$25)</f>
        <v>0</v>
      </c>
      <c r="K33" s="35">
        <f t="shared" ca="1" si="2"/>
        <v>0</v>
      </c>
      <c r="L33" s="2">
        <f ca="1">_xll.DBRW($B$9,$C$16,$C$19,L$24,L$22,$C$17,$B33,$C$18,L$25)</f>
        <v>0</v>
      </c>
      <c r="M33" s="2">
        <f ca="1">_xll.DBRW($B$9,$C$16,$C$19,M$24,L$22,$C$17,$B33,$C$18,M$25)</f>
        <v>0</v>
      </c>
      <c r="N33" s="35">
        <f t="shared" ca="1" si="3"/>
        <v>0</v>
      </c>
      <c r="O33" s="2">
        <f ca="1">_xll.DBRW($B$9,$C$16,$C$19,O$24,O$22,$C$17,$B33,$C$18,O$25)</f>
        <v>0</v>
      </c>
      <c r="P33" s="2">
        <f ca="1">_xll.DBRW($B$9,$C$16,$C$19,P$24,O$22,$C$17,$B33,$C$18,P$25)</f>
        <v>0</v>
      </c>
      <c r="Q33" s="35">
        <f t="shared" ca="1" si="4"/>
        <v>0</v>
      </c>
      <c r="R33" s="2">
        <f ca="1">_xll.DBRW($B$9,$C$16,$C$19,R$24,R$22,$C$17,$B33,$C$18,R$25)</f>
        <v>0</v>
      </c>
      <c r="S33" s="2">
        <f ca="1">_xll.DBRW($B$9,$C$16,$C$19,S$24,R$22,$C$17,$B33,$C$18,S$25)</f>
        <v>0</v>
      </c>
      <c r="T33" s="35">
        <f t="shared" ca="1" si="5"/>
        <v>0</v>
      </c>
    </row>
    <row r="34" spans="1:20" x14ac:dyDescent="0.25">
      <c r="A34">
        <f ca="1">IF(_xll.TM1RPTELISCONSOLIDATED($B$26,$B34),IF(_xll.TM1RPTELLEV($B$26,$B34)&lt;=3,_xll.TM1RPTELLEV($B$26,$B34),"D"),"N")</f>
        <v>1</v>
      </c>
      <c r="B34" s="18" t="s">
        <v>11</v>
      </c>
      <c r="C34" s="2">
        <f ca="1">_xll.DBRW($B$9,$C$16,$C$19,C$24,C$22,$C$17,$B34,$C$18,C$25)</f>
        <v>0</v>
      </c>
      <c r="D34" s="2">
        <f ca="1">_xll.DBRW($B$9,$C$16,$C$19,D$24,C$22,$C$17,$B34,$C$18,D$25)</f>
        <v>0</v>
      </c>
      <c r="E34" s="35">
        <f t="shared" ca="1" si="0"/>
        <v>0</v>
      </c>
      <c r="F34" s="2">
        <f ca="1">_xll.DBRW($B$9,$C$16,$C$19,F$24,F$22,$C$17,$B34,$C$18,F$25)</f>
        <v>0</v>
      </c>
      <c r="G34" s="2">
        <f ca="1">_xll.DBRW($B$9,$C$16,$C$19,G$24,F$22,$C$17,$B34,$C$18,G$25)</f>
        <v>0</v>
      </c>
      <c r="H34" s="35">
        <f t="shared" ca="1" si="1"/>
        <v>0</v>
      </c>
      <c r="I34" s="2">
        <f ca="1">_xll.DBRW($B$9,$C$16,$C$19,I$24,I$22,$C$17,$B34,$C$18,I$25)</f>
        <v>0</v>
      </c>
      <c r="J34" s="2">
        <f ca="1">_xll.DBRW($B$9,$C$16,$C$19,J$24,I$22,$C$17,$B34,$C$18,J$25)</f>
        <v>0</v>
      </c>
      <c r="K34" s="35">
        <f t="shared" ca="1" si="2"/>
        <v>0</v>
      </c>
      <c r="L34" s="2">
        <f ca="1">_xll.DBRW($B$9,$C$16,$C$19,L$24,L$22,$C$17,$B34,$C$18,L$25)</f>
        <v>0</v>
      </c>
      <c r="M34" s="2">
        <f ca="1">_xll.DBRW($B$9,$C$16,$C$19,M$24,L$22,$C$17,$B34,$C$18,M$25)</f>
        <v>0</v>
      </c>
      <c r="N34" s="35">
        <f t="shared" ca="1" si="3"/>
        <v>0</v>
      </c>
      <c r="O34" s="2">
        <f ca="1">_xll.DBRW($B$9,$C$16,$C$19,O$24,O$22,$C$17,$B34,$C$18,O$25)</f>
        <v>0</v>
      </c>
      <c r="P34" s="2">
        <f ca="1">_xll.DBRW($B$9,$C$16,$C$19,P$24,O$22,$C$17,$B34,$C$18,P$25)</f>
        <v>0</v>
      </c>
      <c r="Q34" s="35">
        <f t="shared" ca="1" si="4"/>
        <v>0</v>
      </c>
      <c r="R34" s="2">
        <f ca="1">_xll.DBRW($B$9,$C$16,$C$19,R$24,R$22,$C$17,$B34,$C$18,R$25)</f>
        <v>0</v>
      </c>
      <c r="S34" s="2">
        <f ca="1">_xll.DBRW($B$9,$C$16,$C$19,S$24,R$22,$C$17,$B34,$C$18,S$25)</f>
        <v>0</v>
      </c>
      <c r="T34" s="35">
        <f t="shared" ca="1" si="5"/>
        <v>0</v>
      </c>
    </row>
    <row r="35" spans="1:20" hidden="1" x14ac:dyDescent="0.25"/>
    <row r="36" spans="1:20" hidden="1" x14ac:dyDescent="0.25"/>
    <row r="37" spans="1:20" hidden="1" x14ac:dyDescent="0.25"/>
    <row r="38" spans="1:20" hidden="1" x14ac:dyDescent="0.25"/>
    <row r="39" spans="1:20" hidden="1" x14ac:dyDescent="0.25"/>
    <row r="40" spans="1:20" hidden="1" x14ac:dyDescent="0.25"/>
    <row r="41" spans="1:20" hidden="1" x14ac:dyDescent="0.25"/>
    <row r="42" spans="1:20" hidden="1" x14ac:dyDescent="0.25"/>
  </sheetData>
  <mergeCells count="6">
    <mergeCell ref="R22:T22"/>
    <mergeCell ref="C22:E22"/>
    <mergeCell ref="F22:H22"/>
    <mergeCell ref="I22:K22"/>
    <mergeCell ref="L22:N22"/>
    <mergeCell ref="O22:Q2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5</xdr:col>
                <xdr:colOff>0</xdr:colOff>
                <xdr:row>18</xdr:row>
                <xdr:rowOff>0</xdr:rowOff>
              </from>
              <to>
                <xdr:col>5</xdr:col>
                <xdr:colOff>628650</xdr:colOff>
                <xdr:row>19</xdr:row>
                <xdr:rowOff>19050</xdr:rowOff>
              </to>
            </anchor>
          </controlPr>
        </control>
      </mc:Choice>
      <mc:Fallback>
        <control shapeId="1025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/>
  <dimension ref="A1:W44"/>
  <sheetViews>
    <sheetView showGridLines="0" topLeftCell="B9" workbookViewId="0">
      <pane xSplit="1" ySplit="20" topLeftCell="C29" activePane="bottomRight" state="frozen"/>
      <selection activeCell="B10" sqref="B10"/>
      <selection pane="topRight" activeCell="C10" sqref="C10"/>
      <selection pane="bottomLeft" activeCell="B26" sqref="B26"/>
      <selection pane="bottomRight" activeCell="C17" sqref="C17"/>
    </sheetView>
  </sheetViews>
  <sheetFormatPr defaultColWidth="0" defaultRowHeight="15" zeroHeight="1" x14ac:dyDescent="0.25"/>
  <cols>
    <col min="1" max="1" width="20.140625" hidden="1" customWidth="1"/>
    <col min="2" max="2" width="33.7109375" customWidth="1"/>
    <col min="3" max="4" width="16.7109375" customWidth="1"/>
    <col min="5" max="5" width="10.7109375" style="33" customWidth="1"/>
    <col min="6" max="7" width="16.7109375" customWidth="1"/>
    <col min="8" max="8" width="10.7109375" style="33" customWidth="1"/>
    <col min="9" max="10" width="16.7109375" customWidth="1"/>
    <col min="11" max="11" width="10.7109375" style="33" customWidth="1"/>
    <col min="12" max="13" width="16.7109375" customWidth="1"/>
    <col min="14" max="14" width="10.7109375" style="33" customWidth="1"/>
    <col min="15" max="16" width="16.7109375" customWidth="1"/>
    <col min="17" max="17" width="10.7109375" style="33" customWidth="1"/>
    <col min="18" max="19" width="16.7109375" customWidth="1"/>
    <col min="20" max="20" width="10.7109375" style="33" customWidth="1"/>
    <col min="21" max="21" width="0.85546875" customWidth="1"/>
    <col min="22" max="22" width="11.42578125" hidden="1" customWidth="1"/>
    <col min="23" max="23" width="16.7109375" hidden="1" customWidth="1"/>
    <col min="24" max="16384" width="11.42578125" hidden="1"/>
  </cols>
  <sheetData>
    <row r="1" spans="1:20" hidden="1" x14ac:dyDescent="0.25">
      <c r="A1" t="s">
        <v>15</v>
      </c>
    </row>
    <row r="2" spans="1:20" hidden="1" x14ac:dyDescent="0.25">
      <c r="A2">
        <f>0</f>
        <v>0</v>
      </c>
      <c r="B2" s="13"/>
      <c r="C2" s="1"/>
      <c r="D2" s="1"/>
      <c r="E2" s="34"/>
      <c r="F2" s="1"/>
      <c r="G2" s="1"/>
      <c r="H2" s="34"/>
      <c r="I2" s="1"/>
      <c r="J2" s="1"/>
      <c r="K2" s="34"/>
      <c r="L2" s="1"/>
      <c r="M2" s="1"/>
      <c r="N2" s="34"/>
      <c r="O2" s="1"/>
      <c r="P2" s="1"/>
      <c r="Q2" s="34"/>
      <c r="R2" s="1"/>
      <c r="S2" s="1"/>
      <c r="T2" s="34"/>
    </row>
    <row r="3" spans="1:20" hidden="1" x14ac:dyDescent="0.25">
      <c r="A3">
        <f>1</f>
        <v>1</v>
      </c>
      <c r="B3" s="14"/>
      <c r="C3" s="2"/>
      <c r="D3" s="2"/>
      <c r="E3" s="35"/>
      <c r="F3" s="2"/>
      <c r="G3" s="2"/>
      <c r="H3" s="35"/>
      <c r="I3" s="2"/>
      <c r="J3" s="2"/>
      <c r="K3" s="35"/>
      <c r="L3" s="2"/>
      <c r="M3" s="2"/>
      <c r="N3" s="35"/>
      <c r="O3" s="2"/>
      <c r="P3" s="2"/>
      <c r="Q3" s="35"/>
      <c r="R3" s="2"/>
      <c r="S3" s="2"/>
      <c r="T3" s="35"/>
    </row>
    <row r="4" spans="1:20" hidden="1" x14ac:dyDescent="0.25">
      <c r="A4">
        <f>2</f>
        <v>2</v>
      </c>
      <c r="B4" s="15"/>
      <c r="C4" s="4"/>
      <c r="D4" s="4"/>
      <c r="E4" s="36"/>
      <c r="F4" s="4"/>
      <c r="G4" s="4"/>
      <c r="H4" s="36"/>
      <c r="I4" s="4"/>
      <c r="J4" s="4"/>
      <c r="K4" s="36"/>
      <c r="L4" s="4"/>
      <c r="M4" s="4"/>
      <c r="N4" s="36"/>
      <c r="O4" s="4"/>
      <c r="P4" s="4"/>
      <c r="Q4" s="36"/>
      <c r="R4" s="4"/>
      <c r="S4" s="4"/>
      <c r="T4" s="36"/>
    </row>
    <row r="5" spans="1:20" hidden="1" x14ac:dyDescent="0.25">
      <c r="A5">
        <f>3</f>
        <v>3</v>
      </c>
      <c r="B5" s="16"/>
      <c r="C5" s="5"/>
      <c r="D5" s="5"/>
      <c r="E5" s="37"/>
      <c r="F5" s="5"/>
      <c r="G5" s="5"/>
      <c r="H5" s="37"/>
      <c r="I5" s="5"/>
      <c r="J5" s="5"/>
      <c r="K5" s="37"/>
      <c r="L5" s="5"/>
      <c r="M5" s="5"/>
      <c r="N5" s="37"/>
      <c r="O5" s="5"/>
      <c r="P5" s="5"/>
      <c r="Q5" s="37"/>
      <c r="R5" s="5"/>
      <c r="S5" s="5"/>
      <c r="T5" s="37"/>
    </row>
    <row r="6" spans="1:20" hidden="1" x14ac:dyDescent="0.25">
      <c r="A6" t="s">
        <v>13</v>
      </c>
      <c r="B6" s="14"/>
      <c r="C6" s="2"/>
      <c r="D6" s="2"/>
      <c r="E6" s="35"/>
      <c r="F6" s="2"/>
      <c r="G6" s="2"/>
      <c r="H6" s="35"/>
      <c r="I6" s="2"/>
      <c r="J6" s="2"/>
      <c r="K6" s="35"/>
      <c r="L6" s="2"/>
      <c r="M6" s="2"/>
      <c r="N6" s="35"/>
      <c r="O6" s="2"/>
      <c r="P6" s="2"/>
      <c r="Q6" s="35"/>
      <c r="R6" s="2"/>
      <c r="S6" s="2"/>
      <c r="T6" s="35"/>
    </row>
    <row r="7" spans="1:20" hidden="1" x14ac:dyDescent="0.25">
      <c r="A7" t="s">
        <v>14</v>
      </c>
      <c r="B7" s="17"/>
      <c r="C7" s="3"/>
      <c r="D7" s="3"/>
      <c r="E7" s="38"/>
      <c r="F7" s="3"/>
      <c r="G7" s="3"/>
      <c r="H7" s="38"/>
      <c r="I7" s="3"/>
      <c r="J7" s="3"/>
      <c r="K7" s="38"/>
      <c r="L7" s="3"/>
      <c r="M7" s="3"/>
      <c r="N7" s="38"/>
      <c r="O7" s="3"/>
      <c r="P7" s="3"/>
      <c r="Q7" s="38"/>
      <c r="R7" s="3"/>
      <c r="S7" s="3"/>
      <c r="T7" s="38"/>
    </row>
    <row r="8" spans="1:20" hidden="1" x14ac:dyDescent="0.25">
      <c r="A8" t="s">
        <v>16</v>
      </c>
    </row>
    <row r="9" spans="1:20" ht="24.75" hidden="1" customHeight="1" x14ac:dyDescent="0.25">
      <c r="B9" t="str">
        <f ca="1">_xll.TM1RPTVIEW("CXMD:OTC_DATA_MARKET_ANALYSIS:ARPT1", 0, _xll.TM1RPTTITLE("CXMD:Currency",$C$16), _xll.TM1RPTTITLE("CXMD:DIM_Prev_IC_mapping",$C$19), _xll.TM1RPTTITLE("CXMD:DIM_Origin_Company",$C$17), _xll.TM1RPTTITLE("CXMD:DIM_Configuration",$C$18),TM1RPTFMTRNG,TM1RPTFMTIDCOL)</f>
        <v>CXMD:OTC_DATA_MARKET_ANALYSIS:ARPT1</v>
      </c>
    </row>
    <row r="10" spans="1:20" x14ac:dyDescent="0.25">
      <c r="B10" s="9"/>
      <c r="C10" s="9"/>
      <c r="D10" s="9"/>
      <c r="E10" s="39"/>
      <c r="F10" s="9"/>
      <c r="G10" s="9"/>
      <c r="H10" s="39"/>
      <c r="I10" s="9"/>
      <c r="J10" s="9"/>
      <c r="K10" s="39"/>
      <c r="L10" s="9"/>
      <c r="M10" s="9"/>
      <c r="N10" s="39"/>
      <c r="O10" s="9"/>
      <c r="P10" s="9"/>
      <c r="Q10" s="39"/>
      <c r="R10" s="9"/>
      <c r="S10" s="9"/>
      <c r="T10" s="39"/>
    </row>
    <row r="11" spans="1:20" x14ac:dyDescent="0.25">
      <c r="B11" s="9"/>
      <c r="C11" s="9"/>
      <c r="D11" s="9"/>
      <c r="E11" s="39"/>
      <c r="F11" s="9"/>
      <c r="G11" s="9"/>
      <c r="H11" s="39"/>
      <c r="I11" s="9"/>
      <c r="J11" s="9"/>
      <c r="K11" s="39"/>
      <c r="L11" s="9"/>
      <c r="M11" s="9"/>
      <c r="N11" s="39"/>
      <c r="O11" s="9"/>
      <c r="P11" s="9"/>
      <c r="Q11" s="39"/>
      <c r="R11" s="9"/>
      <c r="S11" s="9"/>
      <c r="T11" s="39"/>
    </row>
    <row r="12" spans="1:20" x14ac:dyDescent="0.25">
      <c r="B12" s="9"/>
      <c r="C12" s="9"/>
      <c r="D12" s="9"/>
      <c r="E12" s="39"/>
      <c r="F12" s="9"/>
      <c r="G12" s="9"/>
      <c r="H12" s="39"/>
      <c r="I12" s="9"/>
      <c r="J12" s="9"/>
      <c r="K12" s="39"/>
      <c r="L12" s="9"/>
      <c r="M12" s="9"/>
      <c r="N12" s="39"/>
      <c r="O12" s="9"/>
      <c r="P12" s="9"/>
      <c r="Q12" s="39"/>
      <c r="R12" s="9"/>
      <c r="S12" s="9"/>
      <c r="T12" s="39"/>
    </row>
    <row r="13" spans="1:20" ht="15.75" thickBot="1" x14ac:dyDescent="0.3">
      <c r="B13" s="9"/>
      <c r="C13" s="9"/>
      <c r="D13" s="9"/>
      <c r="E13" s="39"/>
      <c r="F13" s="9"/>
      <c r="G13" s="9"/>
      <c r="H13" s="39"/>
      <c r="I13" s="9"/>
      <c r="J13" s="66"/>
      <c r="K13" s="67"/>
      <c r="L13" s="9"/>
      <c r="M13" s="9"/>
      <c r="N13" s="39"/>
      <c r="O13" s="9"/>
      <c r="P13" s="9"/>
      <c r="Q13" s="39"/>
      <c r="R13" s="9"/>
      <c r="S13" s="9"/>
      <c r="T13" s="39"/>
    </row>
    <row r="14" spans="1:20" hidden="1" x14ac:dyDescent="0.25">
      <c r="B14" s="9"/>
      <c r="C14" s="9"/>
      <c r="D14" s="9"/>
      <c r="E14" s="39"/>
      <c r="F14" s="9"/>
      <c r="G14" s="9"/>
      <c r="H14" s="39"/>
      <c r="I14" s="9"/>
      <c r="J14" s="9"/>
      <c r="K14" s="39"/>
      <c r="L14" s="9"/>
      <c r="M14" s="9"/>
      <c r="N14" s="39"/>
      <c r="O14" s="9"/>
      <c r="P14" s="9"/>
      <c r="Q14" s="39"/>
      <c r="R14" s="9"/>
      <c r="S14" s="9"/>
      <c r="T14" s="39"/>
    </row>
    <row r="15" spans="1:20" hidden="1" x14ac:dyDescent="0.25">
      <c r="B15" s="9"/>
      <c r="C15" s="9"/>
      <c r="D15" s="9"/>
      <c r="E15" s="39"/>
      <c r="F15" s="9"/>
      <c r="G15" s="9"/>
      <c r="H15" s="39"/>
      <c r="I15" s="9"/>
      <c r="J15" s="9"/>
      <c r="K15" s="39"/>
      <c r="L15" s="9"/>
      <c r="M15" s="9"/>
      <c r="N15" s="39"/>
      <c r="O15" s="9"/>
      <c r="P15" s="9"/>
      <c r="Q15" s="39"/>
      <c r="R15" s="9"/>
      <c r="S15" s="9"/>
      <c r="T15" s="39"/>
    </row>
    <row r="16" spans="1:20" ht="16.899999999999999" customHeight="1" x14ac:dyDescent="0.25">
      <c r="B16" s="8" t="s">
        <v>0</v>
      </c>
      <c r="C16" s="6" t="str">
        <f ca="1">QTY!C16</f>
        <v>Local currency</v>
      </c>
      <c r="D16" s="7"/>
      <c r="E16" s="40"/>
      <c r="F16" s="7"/>
      <c r="G16" s="65"/>
      <c r="H16" s="84" t="s">
        <v>28</v>
      </c>
      <c r="I16" s="71" t="s">
        <v>26</v>
      </c>
      <c r="J16" s="68" t="str">
        <f ca="1">_xll.SUBNM("CXMD:Actuality","Market_Share_Current_Actuality","Total_Actuals","Description EN")</f>
        <v>Total_Actuals</v>
      </c>
      <c r="K16" s="72"/>
      <c r="L16" s="73"/>
      <c r="M16" s="74"/>
      <c r="N16" s="40"/>
      <c r="O16" s="7"/>
      <c r="P16" s="7"/>
      <c r="Q16" s="40"/>
      <c r="R16" s="7"/>
      <c r="S16" s="7"/>
      <c r="T16" s="40"/>
    </row>
    <row r="17" spans="1:20" ht="16.899999999999999" customHeight="1" x14ac:dyDescent="0.25">
      <c r="B17" s="8" t="s">
        <v>1</v>
      </c>
      <c r="C17" s="6" t="str">
        <f ca="1">QTY!C17</f>
        <v>SILVA</v>
      </c>
      <c r="D17" s="7"/>
      <c r="E17" s="40"/>
      <c r="F17" s="7"/>
      <c r="G17" s="65"/>
      <c r="H17" s="85"/>
      <c r="I17" s="75" t="s">
        <v>27</v>
      </c>
      <c r="J17" s="49" t="str">
        <f ca="1">_xll.SUBNM("CXMD:Market_Actor","Market_Actor_Filter","Global_Market","Description")</f>
        <v>Global_Market</v>
      </c>
      <c r="K17" s="70"/>
      <c r="L17" s="46"/>
      <c r="M17" s="76"/>
      <c r="N17" s="40"/>
      <c r="O17" s="7"/>
      <c r="P17" s="7"/>
      <c r="Q17" s="40"/>
      <c r="R17" s="7"/>
      <c r="S17" s="7"/>
      <c r="T17" s="40"/>
    </row>
    <row r="18" spans="1:20" ht="16.899999999999999" customHeight="1" x14ac:dyDescent="0.25">
      <c r="B18" s="8" t="s">
        <v>2</v>
      </c>
      <c r="C18" s="6" t="str">
        <f ca="1">QTY!C18</f>
        <v>TOTAL PRODUCT</v>
      </c>
      <c r="D18" s="7"/>
      <c r="E18" s="40"/>
      <c r="F18" s="7"/>
      <c r="G18" s="65"/>
      <c r="H18" s="85"/>
      <c r="I18" s="75" t="s">
        <v>24</v>
      </c>
      <c r="J18" s="49" t="str">
        <f ca="1">_xll.SUBNM("CXMD:Country","Total Country SOM","Total Country SOM","Description")</f>
        <v>Total Country SOM</v>
      </c>
      <c r="K18" s="70"/>
      <c r="L18" s="46"/>
      <c r="M18" s="76"/>
      <c r="N18" s="40"/>
      <c r="O18" s="7"/>
      <c r="P18" s="7"/>
      <c r="Q18" s="40"/>
      <c r="R18" s="7"/>
      <c r="S18" s="7"/>
      <c r="T18" s="40"/>
    </row>
    <row r="19" spans="1:20" ht="16.899999999999999" customHeight="1" x14ac:dyDescent="0.25">
      <c r="B19" s="8" t="s">
        <v>3</v>
      </c>
      <c r="C19" s="6" t="str">
        <f ca="1">QTY!C19</f>
        <v>99 - Kuhn Group</v>
      </c>
      <c r="D19" s="7"/>
      <c r="E19" s="40"/>
      <c r="F19" s="7"/>
      <c r="G19" s="65"/>
      <c r="H19" s="85"/>
      <c r="I19" s="75" t="s">
        <v>25</v>
      </c>
      <c r="J19" s="50">
        <v>0</v>
      </c>
      <c r="K19" s="70"/>
      <c r="L19" s="46"/>
      <c r="M19" s="76"/>
      <c r="N19" s="40"/>
      <c r="O19" s="7"/>
      <c r="P19" s="7"/>
      <c r="Q19" s="40"/>
      <c r="R19" s="7"/>
      <c r="S19" s="7"/>
      <c r="T19" s="40"/>
    </row>
    <row r="20" spans="1:20" x14ac:dyDescent="0.25">
      <c r="B20" s="7"/>
      <c r="C20" s="7"/>
      <c r="D20" s="7"/>
      <c r="E20" s="40"/>
      <c r="F20" s="7"/>
      <c r="G20" s="7"/>
      <c r="H20" s="85"/>
      <c r="I20" s="77"/>
      <c r="J20" s="46"/>
      <c r="K20" s="70"/>
      <c r="L20" s="46"/>
      <c r="M20" s="76"/>
      <c r="N20" s="40"/>
      <c r="O20" s="7"/>
      <c r="P20" s="7"/>
      <c r="Q20" s="40"/>
      <c r="R20" s="7"/>
      <c r="S20" s="7"/>
      <c r="T20" s="40"/>
    </row>
    <row r="21" spans="1:20" x14ac:dyDescent="0.25">
      <c r="B21" s="7"/>
      <c r="C21" s="7"/>
      <c r="D21" s="7"/>
      <c r="E21" s="40"/>
      <c r="F21" s="7"/>
      <c r="G21" s="7"/>
      <c r="H21" s="85"/>
      <c r="I21" s="77"/>
      <c r="J21" s="46"/>
      <c r="K21" s="70"/>
      <c r="L21" s="46"/>
      <c r="M21" s="76"/>
      <c r="N21" s="40"/>
      <c r="O21" s="7"/>
      <c r="P21" s="7"/>
      <c r="Q21" s="40"/>
      <c r="R21" s="7"/>
      <c r="S21" s="7"/>
      <c r="T21" s="40"/>
    </row>
    <row r="22" spans="1:20" ht="15.75" thickBot="1" x14ac:dyDescent="0.3">
      <c r="B22" s="7"/>
      <c r="C22" s="7"/>
      <c r="D22" s="7"/>
      <c r="E22" s="40"/>
      <c r="F22" s="7"/>
      <c r="G22" s="7"/>
      <c r="H22" s="86"/>
      <c r="I22" s="78"/>
      <c r="J22" s="69"/>
      <c r="K22" s="79"/>
      <c r="L22" s="69"/>
      <c r="M22" s="80"/>
      <c r="N22" s="40"/>
      <c r="O22" s="7"/>
      <c r="P22" s="7"/>
      <c r="Q22" s="40"/>
      <c r="R22" s="7"/>
      <c r="S22" s="7"/>
      <c r="T22" s="40"/>
    </row>
    <row r="23" spans="1:20" ht="15.75" thickBot="1" x14ac:dyDescent="0.3">
      <c r="B23" s="7"/>
      <c r="C23" s="7"/>
      <c r="D23" s="7"/>
      <c r="E23" s="40"/>
      <c r="F23" s="7"/>
      <c r="G23" s="7"/>
      <c r="H23" s="51"/>
      <c r="I23" s="52"/>
      <c r="J23" s="7"/>
      <c r="K23" s="40"/>
      <c r="L23" s="7"/>
      <c r="M23" s="7"/>
      <c r="N23" s="40"/>
      <c r="O23" s="7"/>
      <c r="P23" s="7"/>
      <c r="Q23" s="40"/>
      <c r="R23" s="7"/>
      <c r="S23" s="7"/>
      <c r="T23" s="40"/>
    </row>
    <row r="24" spans="1:20" ht="15.75" thickBot="1" x14ac:dyDescent="0.3">
      <c r="B24" s="7"/>
      <c r="C24" s="87" t="str">
        <f ca="1">QTY!C22</f>
        <v>AC2018</v>
      </c>
      <c r="D24" s="88"/>
      <c r="E24" s="89"/>
      <c r="F24" s="87" t="str">
        <f ca="1">QTY!F22</f>
        <v>FC3_2019</v>
      </c>
      <c r="G24" s="88"/>
      <c r="H24" s="89"/>
      <c r="I24" s="87" t="str">
        <f ca="1">QTY!I22</f>
        <v>PL2020 (update 2019)</v>
      </c>
      <c r="J24" s="88"/>
      <c r="K24" s="89"/>
      <c r="L24" s="87" t="str">
        <f ca="1">QTY!L22</f>
        <v>PL2021 (update 2019)</v>
      </c>
      <c r="M24" s="88"/>
      <c r="N24" s="89"/>
      <c r="O24" s="87" t="str">
        <f ca="1">QTY!O22</f>
        <v>PL2022 (update 2019)</v>
      </c>
      <c r="P24" s="88"/>
      <c r="Q24" s="89"/>
      <c r="R24" s="87" t="str">
        <f ca="1">QTY!R22</f>
        <v>PL2023 (update 2019)</v>
      </c>
      <c r="S24" s="88"/>
      <c r="T24" s="89"/>
    </row>
    <row r="25" spans="1:20" x14ac:dyDescent="0.25">
      <c r="B25" s="7"/>
      <c r="C25" s="59"/>
      <c r="D25" s="11"/>
      <c r="E25" s="60"/>
      <c r="F25" s="59"/>
      <c r="G25" s="11"/>
      <c r="H25" s="60"/>
      <c r="I25" s="59"/>
      <c r="J25" s="11"/>
      <c r="K25" s="60"/>
      <c r="L25" s="59"/>
      <c r="M25" s="11"/>
      <c r="N25" s="60"/>
      <c r="O25" s="59"/>
      <c r="P25" s="11"/>
      <c r="Q25" s="60"/>
      <c r="R25" s="59"/>
      <c r="S25" s="11"/>
      <c r="T25" s="60"/>
    </row>
    <row r="26" spans="1:20" x14ac:dyDescent="0.25">
      <c r="B26" s="7"/>
      <c r="C26" s="59" t="str">
        <f ca="1">QTY!C24</f>
        <v>KUHN_Scope</v>
      </c>
      <c r="D26" s="11" t="str">
        <f ca="1">QTY!D24</f>
        <v>KUHN Sales</v>
      </c>
      <c r="E26" s="61" t="s">
        <v>17</v>
      </c>
      <c r="F26" s="59" t="str">
        <f ca="1">QTY!F24</f>
        <v>KUHN_Scope</v>
      </c>
      <c r="G26" s="11" t="str">
        <f ca="1">QTY!G24</f>
        <v>KUHN Sales</v>
      </c>
      <c r="H26" s="61" t="s">
        <v>17</v>
      </c>
      <c r="I26" s="59" t="str">
        <f ca="1">QTY!I24</f>
        <v>KUHN_Scope</v>
      </c>
      <c r="J26" s="11" t="str">
        <f ca="1">QTY!J24</f>
        <v>KUHN Sales</v>
      </c>
      <c r="K26" s="61" t="s">
        <v>17</v>
      </c>
      <c r="L26" s="59" t="str">
        <f ca="1">QTY!L24</f>
        <v>KUHN_Scope</v>
      </c>
      <c r="M26" s="11" t="str">
        <f ca="1">QTY!M24</f>
        <v>KUHN Sales</v>
      </c>
      <c r="N26" s="61" t="s">
        <v>17</v>
      </c>
      <c r="O26" s="59" t="str">
        <f ca="1">QTY!O24</f>
        <v>KUHN_Scope</v>
      </c>
      <c r="P26" s="11" t="str">
        <f ca="1">QTY!P24</f>
        <v>KUHN Sales</v>
      </c>
      <c r="Q26" s="61" t="s">
        <v>17</v>
      </c>
      <c r="R26" s="59" t="str">
        <f ca="1">QTY!R24</f>
        <v>KUHN_Scope</v>
      </c>
      <c r="S26" s="11" t="str">
        <f ca="1">QTY!S24</f>
        <v>KUHN Sales</v>
      </c>
      <c r="T26" s="61" t="s">
        <v>17</v>
      </c>
    </row>
    <row r="27" spans="1:20" ht="15.75" thickBot="1" x14ac:dyDescent="0.3">
      <c r="B27" s="7"/>
      <c r="C27" s="62" t="s">
        <v>23</v>
      </c>
      <c r="D27" s="63" t="s">
        <v>23</v>
      </c>
      <c r="E27" s="64"/>
      <c r="F27" s="62" t="s">
        <v>23</v>
      </c>
      <c r="G27" s="63" t="s">
        <v>23</v>
      </c>
      <c r="H27" s="64"/>
      <c r="I27" s="62" t="s">
        <v>23</v>
      </c>
      <c r="J27" s="63" t="s">
        <v>23</v>
      </c>
      <c r="K27" s="64"/>
      <c r="L27" s="62" t="s">
        <v>23</v>
      </c>
      <c r="M27" s="63" t="s">
        <v>23</v>
      </c>
      <c r="N27" s="64"/>
      <c r="O27" s="62" t="s">
        <v>23</v>
      </c>
      <c r="P27" s="63" t="s">
        <v>23</v>
      </c>
      <c r="Q27" s="64"/>
      <c r="R27" s="62" t="s">
        <v>23</v>
      </c>
      <c r="S27" s="63" t="s">
        <v>23</v>
      </c>
      <c r="T27" s="64"/>
    </row>
    <row r="28" spans="1:20" x14ac:dyDescent="0.25">
      <c r="A28" t="str">
        <f ca="1">IF(_xll.TM1RPTELISCONSOLIDATED($B$28,$B28),IF(_xll.TM1RPTELLEV($B$28,$B28)&lt;=3,_xll.TM1RPTELLEV($B$28,$B28),"D"),"N")</f>
        <v>N</v>
      </c>
      <c r="B28" s="12" t="str">
        <f ca="1">_xll.TM1RPTROW($B$9,"CXMD:DIM_Country","Total Country SOM","","Description",0)</f>
        <v>Total Country SOM</v>
      </c>
      <c r="C28" s="1">
        <f ca="1">_xll.DBRW($B$9,$C$16,$C$19,C$26,C$24,$C$17,$B28,$C$18,C$27)</f>
        <v>0</v>
      </c>
      <c r="D28" s="1">
        <f ca="1">_xll.DBRW($B$9,$C$16,$C$19,D$26,C$24,$C$17,$B28,$C$18,D$27)</f>
        <v>0</v>
      </c>
      <c r="E28" s="34">
        <f ca="1">IF(C28&lt;&gt;0,D28/C28,0)</f>
        <v>0</v>
      </c>
      <c r="F28" s="1">
        <f ca="1">_xll.DBRW($B$9,$C$16,$C$19,F$26,F$24,$C$17,$B28,$C$18,F$27)</f>
        <v>0</v>
      </c>
      <c r="G28" s="1">
        <f ca="1">_xll.DBRW($B$9,$C$16,$C$19,G$26,F$24,$C$17,$B28,$C$18,G$27)</f>
        <v>0</v>
      </c>
      <c r="H28" s="34">
        <f ca="1">IF(F28&lt;&gt;0,G28/F28,0)</f>
        <v>0</v>
      </c>
      <c r="I28" s="1">
        <f ca="1">_xll.DBRW($B$9,$C$16,$C$19,I$26,I$24,$C$17,$B28,$C$18,I$27)</f>
        <v>0</v>
      </c>
      <c r="J28" s="1">
        <f ca="1">_xll.DBRW($B$9,$C$16,$C$19,J$26,I$24,$C$17,$B28,$C$18,J$27)</f>
        <v>0</v>
      </c>
      <c r="K28" s="34">
        <f ca="1">IF(I28&lt;&gt;0,J28/I28,0)</f>
        <v>0</v>
      </c>
      <c r="L28" s="1">
        <f ca="1">_xll.DBRW($B$9,$C$16,$C$19,L$26,L$24,$C$17,$B28,$C$18,L$27)</f>
        <v>0</v>
      </c>
      <c r="M28" s="1">
        <f ca="1">_xll.DBRW($B$9,$C$16,$C$19,M$26,L$24,$C$17,$B28,$C$18,M$27)</f>
        <v>0</v>
      </c>
      <c r="N28" s="34">
        <f ca="1">IF(L28&lt;&gt;0,M28/L28,0)</f>
        <v>0</v>
      </c>
      <c r="O28" s="1">
        <f ca="1">_xll.DBRW($B$9,$C$16,$C$19,O$26,O$24,$C$17,$B28,$C$18,O$27)</f>
        <v>0</v>
      </c>
      <c r="P28" s="1">
        <f ca="1">_xll.DBRW($B$9,$C$16,$C$19,P$26,O$24,$C$17,$B28,$C$18,P$27)</f>
        <v>0</v>
      </c>
      <c r="Q28" s="34">
        <f ca="1">IF(O28&lt;&gt;0,P28/O28,0)</f>
        <v>0</v>
      </c>
      <c r="R28" s="1">
        <f ca="1">_xll.DBRW($B$9,$C$16,$C$19,R$26,R$24,$C$17,$B28,$C$18,R$27)</f>
        <v>0</v>
      </c>
      <c r="S28" s="1">
        <f ca="1">_xll.DBRW($B$9,$C$16,$C$19,S$26,R$24,$C$17,$B28,$C$18,S$27)</f>
        <v>0</v>
      </c>
      <c r="T28" s="34">
        <f ca="1">IF(R28&lt;&gt;0,S28/R28,0)</f>
        <v>0</v>
      </c>
    </row>
    <row r="29" spans="1:20" x14ac:dyDescent="0.25">
      <c r="A29">
        <f ca="1">IF(_xll.TM1RPTELISCONSOLIDATED($B$28,$B29),IF(_xll.TM1RPTELLEV($B$28,$B29)&lt;=3,_xll.TM1RPTELLEV($B$28,$B29),"D"),"N")</f>
        <v>1</v>
      </c>
      <c r="B29" s="18" t="s">
        <v>12</v>
      </c>
      <c r="C29" s="2">
        <f ca="1">_xll.DBRW($B$9,$C$16,$C$19,C$26,C$24,$C$17,$B29,$C$18,C$27)</f>
        <v>0</v>
      </c>
      <c r="D29" s="2">
        <f ca="1">_xll.DBRW($B$9,$C$16,$C$19,D$26,C$24,$C$17,$B29,$C$18,D$27)</f>
        <v>0</v>
      </c>
      <c r="E29" s="35">
        <f t="shared" ref="E29:E36" ca="1" si="0">IF(C29&lt;&gt;0,D29/C29,0)</f>
        <v>0</v>
      </c>
      <c r="F29" s="2">
        <f ca="1">_xll.DBRW($B$9,$C$16,$C$19,F$26,F$24,$C$17,$B29,$C$18,F$27)</f>
        <v>0</v>
      </c>
      <c r="G29" s="2">
        <f ca="1">_xll.DBRW($B$9,$C$16,$C$19,G$26,F$24,$C$17,$B29,$C$18,G$27)</f>
        <v>0</v>
      </c>
      <c r="H29" s="35">
        <f t="shared" ref="H29:H36" ca="1" si="1">IF(F29&lt;&gt;0,G29/F29,0)</f>
        <v>0</v>
      </c>
      <c r="I29" s="2">
        <f ca="1">_xll.DBRW($B$9,$C$16,$C$19,I$26,I$24,$C$17,$B29,$C$18,I$27)</f>
        <v>0</v>
      </c>
      <c r="J29" s="2">
        <f ca="1">_xll.DBRW($B$9,$C$16,$C$19,J$26,I$24,$C$17,$B29,$C$18,J$27)</f>
        <v>0</v>
      </c>
      <c r="K29" s="35">
        <f t="shared" ref="K29:K36" ca="1" si="2">IF(I29&lt;&gt;0,J29/I29,0)</f>
        <v>0</v>
      </c>
      <c r="L29" s="2">
        <f ca="1">_xll.DBRW($B$9,$C$16,$C$19,L$26,L$24,$C$17,$B29,$C$18,L$27)</f>
        <v>0</v>
      </c>
      <c r="M29" s="2">
        <f ca="1">_xll.DBRW($B$9,$C$16,$C$19,M$26,L$24,$C$17,$B29,$C$18,M$27)</f>
        <v>0</v>
      </c>
      <c r="N29" s="35">
        <f t="shared" ref="N29:N36" ca="1" si="3">IF(L29&lt;&gt;0,M29/L29,0)</f>
        <v>0</v>
      </c>
      <c r="O29" s="2">
        <f ca="1">_xll.DBRW($B$9,$C$16,$C$19,O$26,O$24,$C$17,$B29,$C$18,O$27)</f>
        <v>0</v>
      </c>
      <c r="P29" s="2">
        <f ca="1">_xll.DBRW($B$9,$C$16,$C$19,P$26,O$24,$C$17,$B29,$C$18,P$27)</f>
        <v>0</v>
      </c>
      <c r="Q29" s="35">
        <f t="shared" ref="Q29:Q36" ca="1" si="4">IF(O29&lt;&gt;0,P29/O29,0)</f>
        <v>0</v>
      </c>
      <c r="R29" s="2">
        <f ca="1">_xll.DBRW($B$9,$C$16,$C$19,R$26,R$24,$C$17,$B29,$C$18,R$27)</f>
        <v>0</v>
      </c>
      <c r="S29" s="2">
        <f ca="1">_xll.DBRW($B$9,$C$16,$C$19,S$26,R$24,$C$17,$B29,$C$18,S$27)</f>
        <v>0</v>
      </c>
      <c r="T29" s="35">
        <f t="shared" ref="T29:T36" ca="1" si="5">IF(R29&lt;&gt;0,S29/R29,0)</f>
        <v>0</v>
      </c>
    </row>
    <row r="30" spans="1:20" x14ac:dyDescent="0.25">
      <c r="A30">
        <f ca="1">IF(_xll.TM1RPTELISCONSOLIDATED($B$28,$B30),IF(_xll.TM1RPTELLEV($B$28,$B30)&lt;=3,_xll.TM1RPTELLEV($B$28,$B30),"D"),"N")</f>
        <v>1</v>
      </c>
      <c r="B30" s="18" t="s">
        <v>5</v>
      </c>
      <c r="C30" s="2">
        <f ca="1">_xll.DBRW($B$9,$C$16,$C$19,C$26,C$24,$C$17,$B30,$C$18,C$27)</f>
        <v>0</v>
      </c>
      <c r="D30" s="2">
        <f ca="1">_xll.DBRW($B$9,$C$16,$C$19,D$26,C$24,$C$17,$B30,$C$18,D$27)</f>
        <v>0</v>
      </c>
      <c r="E30" s="35">
        <f t="shared" ca="1" si="0"/>
        <v>0</v>
      </c>
      <c r="F30" s="2">
        <f ca="1">_xll.DBRW($B$9,$C$16,$C$19,F$26,F$24,$C$17,$B30,$C$18,F$27)</f>
        <v>0</v>
      </c>
      <c r="G30" s="2">
        <f ca="1">_xll.DBRW($B$9,$C$16,$C$19,G$26,F$24,$C$17,$B30,$C$18,G$27)</f>
        <v>0</v>
      </c>
      <c r="H30" s="35">
        <f t="shared" ca="1" si="1"/>
        <v>0</v>
      </c>
      <c r="I30" s="2">
        <f ca="1">_xll.DBRW($B$9,$C$16,$C$19,I$26,I$24,$C$17,$B30,$C$18,I$27)</f>
        <v>0</v>
      </c>
      <c r="J30" s="2">
        <f ca="1">_xll.DBRW($B$9,$C$16,$C$19,J$26,I$24,$C$17,$B30,$C$18,J$27)</f>
        <v>0</v>
      </c>
      <c r="K30" s="35">
        <f t="shared" ca="1" si="2"/>
        <v>0</v>
      </c>
      <c r="L30" s="2">
        <f ca="1">_xll.DBRW($B$9,$C$16,$C$19,L$26,L$24,$C$17,$B30,$C$18,L$27)</f>
        <v>0</v>
      </c>
      <c r="M30" s="2">
        <f ca="1">_xll.DBRW($B$9,$C$16,$C$19,M$26,L$24,$C$17,$B30,$C$18,M$27)</f>
        <v>0</v>
      </c>
      <c r="N30" s="35">
        <f t="shared" ca="1" si="3"/>
        <v>0</v>
      </c>
      <c r="O30" s="2">
        <f ca="1">_xll.DBRW($B$9,$C$16,$C$19,O$26,O$24,$C$17,$B30,$C$18,O$27)</f>
        <v>0</v>
      </c>
      <c r="P30" s="2">
        <f ca="1">_xll.DBRW($B$9,$C$16,$C$19,P$26,O$24,$C$17,$B30,$C$18,P$27)</f>
        <v>0</v>
      </c>
      <c r="Q30" s="35">
        <f t="shared" ca="1" si="4"/>
        <v>0</v>
      </c>
      <c r="R30" s="2">
        <f ca="1">_xll.DBRW($B$9,$C$16,$C$19,R$26,R$24,$C$17,$B30,$C$18,R$27)</f>
        <v>0</v>
      </c>
      <c r="S30" s="2">
        <f ca="1">_xll.DBRW($B$9,$C$16,$C$19,S$26,R$24,$C$17,$B30,$C$18,S$27)</f>
        <v>0</v>
      </c>
      <c r="T30" s="35">
        <f t="shared" ca="1" si="5"/>
        <v>0</v>
      </c>
    </row>
    <row r="31" spans="1:20" x14ac:dyDescent="0.25">
      <c r="A31">
        <f ca="1">IF(_xll.TM1RPTELISCONSOLIDATED($B$28,$B31),IF(_xll.TM1RPTELLEV($B$28,$B31)&lt;=3,_xll.TM1RPTELLEV($B$28,$B31),"D"),"N")</f>
        <v>1</v>
      </c>
      <c r="B31" s="18" t="s">
        <v>6</v>
      </c>
      <c r="C31" s="2">
        <f ca="1">_xll.DBRW($B$9,$C$16,$C$19,C$26,C$24,$C$17,$B31,$C$18,C$27)</f>
        <v>0</v>
      </c>
      <c r="D31" s="2">
        <f ca="1">_xll.DBRW($B$9,$C$16,$C$19,D$26,C$24,$C$17,$B31,$C$18,D$27)</f>
        <v>0</v>
      </c>
      <c r="E31" s="35">
        <f t="shared" ca="1" si="0"/>
        <v>0</v>
      </c>
      <c r="F31" s="2">
        <f ca="1">_xll.DBRW($B$9,$C$16,$C$19,F$26,F$24,$C$17,$B31,$C$18,F$27)</f>
        <v>0</v>
      </c>
      <c r="G31" s="2">
        <f ca="1">_xll.DBRW($B$9,$C$16,$C$19,G$26,F$24,$C$17,$B31,$C$18,G$27)</f>
        <v>0</v>
      </c>
      <c r="H31" s="35">
        <f t="shared" ca="1" si="1"/>
        <v>0</v>
      </c>
      <c r="I31" s="2">
        <f ca="1">_xll.DBRW($B$9,$C$16,$C$19,I$26,I$24,$C$17,$B31,$C$18,I$27)</f>
        <v>0</v>
      </c>
      <c r="J31" s="2">
        <f ca="1">_xll.DBRW($B$9,$C$16,$C$19,J$26,I$24,$C$17,$B31,$C$18,J$27)</f>
        <v>0</v>
      </c>
      <c r="K31" s="35">
        <f t="shared" ca="1" si="2"/>
        <v>0</v>
      </c>
      <c r="L31" s="2">
        <f ca="1">_xll.DBRW($B$9,$C$16,$C$19,L$26,L$24,$C$17,$B31,$C$18,L$27)</f>
        <v>0</v>
      </c>
      <c r="M31" s="2">
        <f ca="1">_xll.DBRW($B$9,$C$16,$C$19,M$26,L$24,$C$17,$B31,$C$18,M$27)</f>
        <v>0</v>
      </c>
      <c r="N31" s="35">
        <f t="shared" ca="1" si="3"/>
        <v>0</v>
      </c>
      <c r="O31" s="2">
        <f ca="1">_xll.DBRW($B$9,$C$16,$C$19,O$26,O$24,$C$17,$B31,$C$18,O$27)</f>
        <v>0</v>
      </c>
      <c r="P31" s="2">
        <f ca="1">_xll.DBRW($B$9,$C$16,$C$19,P$26,O$24,$C$17,$B31,$C$18,P$27)</f>
        <v>0</v>
      </c>
      <c r="Q31" s="35">
        <f t="shared" ca="1" si="4"/>
        <v>0</v>
      </c>
      <c r="R31" s="2">
        <f ca="1">_xll.DBRW($B$9,$C$16,$C$19,R$26,R$24,$C$17,$B31,$C$18,R$27)</f>
        <v>0</v>
      </c>
      <c r="S31" s="2">
        <f ca="1">_xll.DBRW($B$9,$C$16,$C$19,S$26,R$24,$C$17,$B31,$C$18,S$27)</f>
        <v>0</v>
      </c>
      <c r="T31" s="35">
        <f t="shared" ca="1" si="5"/>
        <v>0</v>
      </c>
    </row>
    <row r="32" spans="1:20" x14ac:dyDescent="0.25">
      <c r="A32">
        <f ca="1">IF(_xll.TM1RPTELISCONSOLIDATED($B$28,$B32),IF(_xll.TM1RPTELLEV($B$28,$B32)&lt;=3,_xll.TM1RPTELLEV($B$28,$B32),"D"),"N")</f>
        <v>1</v>
      </c>
      <c r="B32" s="18" t="s">
        <v>7</v>
      </c>
      <c r="C32" s="2">
        <f ca="1">_xll.DBRW($B$9,$C$16,$C$19,C$26,C$24,$C$17,$B32,$C$18,C$27)</f>
        <v>0</v>
      </c>
      <c r="D32" s="2">
        <f ca="1">_xll.DBRW($B$9,$C$16,$C$19,D$26,C$24,$C$17,$B32,$C$18,D$27)</f>
        <v>0</v>
      </c>
      <c r="E32" s="35">
        <f t="shared" ca="1" si="0"/>
        <v>0</v>
      </c>
      <c r="F32" s="2">
        <f ca="1">_xll.DBRW($B$9,$C$16,$C$19,F$26,F$24,$C$17,$B32,$C$18,F$27)</f>
        <v>0</v>
      </c>
      <c r="G32" s="2">
        <f ca="1">_xll.DBRW($B$9,$C$16,$C$19,G$26,F$24,$C$17,$B32,$C$18,G$27)</f>
        <v>0</v>
      </c>
      <c r="H32" s="35">
        <f t="shared" ca="1" si="1"/>
        <v>0</v>
      </c>
      <c r="I32" s="2">
        <f ca="1">_xll.DBRW($B$9,$C$16,$C$19,I$26,I$24,$C$17,$B32,$C$18,I$27)</f>
        <v>0</v>
      </c>
      <c r="J32" s="2">
        <f ca="1">_xll.DBRW($B$9,$C$16,$C$19,J$26,I$24,$C$17,$B32,$C$18,J$27)</f>
        <v>0</v>
      </c>
      <c r="K32" s="35">
        <f t="shared" ca="1" si="2"/>
        <v>0</v>
      </c>
      <c r="L32" s="2">
        <f ca="1">_xll.DBRW($B$9,$C$16,$C$19,L$26,L$24,$C$17,$B32,$C$18,L$27)</f>
        <v>0</v>
      </c>
      <c r="M32" s="2">
        <f ca="1">_xll.DBRW($B$9,$C$16,$C$19,M$26,L$24,$C$17,$B32,$C$18,M$27)</f>
        <v>0</v>
      </c>
      <c r="N32" s="35">
        <f t="shared" ca="1" si="3"/>
        <v>0</v>
      </c>
      <c r="O32" s="2">
        <f ca="1">_xll.DBRW($B$9,$C$16,$C$19,O$26,O$24,$C$17,$B32,$C$18,O$27)</f>
        <v>0</v>
      </c>
      <c r="P32" s="2">
        <f ca="1">_xll.DBRW($B$9,$C$16,$C$19,P$26,O$24,$C$17,$B32,$C$18,P$27)</f>
        <v>0</v>
      </c>
      <c r="Q32" s="35">
        <f t="shared" ca="1" si="4"/>
        <v>0</v>
      </c>
      <c r="R32" s="2">
        <f ca="1">_xll.DBRW($B$9,$C$16,$C$19,R$26,R$24,$C$17,$B32,$C$18,R$27)</f>
        <v>0</v>
      </c>
      <c r="S32" s="2">
        <f ca="1">_xll.DBRW($B$9,$C$16,$C$19,S$26,R$24,$C$17,$B32,$C$18,S$27)</f>
        <v>0</v>
      </c>
      <c r="T32" s="35">
        <f t="shared" ca="1" si="5"/>
        <v>0</v>
      </c>
    </row>
    <row r="33" spans="1:20" x14ac:dyDescent="0.25">
      <c r="A33">
        <f ca="1">IF(_xll.TM1RPTELISCONSOLIDATED($B$28,$B33),IF(_xll.TM1RPTELLEV($B$28,$B33)&lt;=3,_xll.TM1RPTELLEV($B$28,$B33),"D"),"N")</f>
        <v>1</v>
      </c>
      <c r="B33" s="18" t="s">
        <v>8</v>
      </c>
      <c r="C33" s="2">
        <f ca="1">_xll.DBRW($B$9,$C$16,$C$19,C$26,C$24,$C$17,$B33,$C$18,C$27)</f>
        <v>0</v>
      </c>
      <c r="D33" s="2">
        <f ca="1">_xll.DBRW($B$9,$C$16,$C$19,D$26,C$24,$C$17,$B33,$C$18,D$27)</f>
        <v>0</v>
      </c>
      <c r="E33" s="35">
        <f t="shared" ca="1" si="0"/>
        <v>0</v>
      </c>
      <c r="F33" s="2">
        <f ca="1">_xll.DBRW($B$9,$C$16,$C$19,F$26,F$24,$C$17,$B33,$C$18,F$27)</f>
        <v>0</v>
      </c>
      <c r="G33" s="2">
        <f ca="1">_xll.DBRW($B$9,$C$16,$C$19,G$26,F$24,$C$17,$B33,$C$18,G$27)</f>
        <v>0</v>
      </c>
      <c r="H33" s="35">
        <f t="shared" ca="1" si="1"/>
        <v>0</v>
      </c>
      <c r="I33" s="2">
        <f ca="1">_xll.DBRW($B$9,$C$16,$C$19,I$26,I$24,$C$17,$B33,$C$18,I$27)</f>
        <v>0</v>
      </c>
      <c r="J33" s="2">
        <f ca="1">_xll.DBRW($B$9,$C$16,$C$19,J$26,I$24,$C$17,$B33,$C$18,J$27)</f>
        <v>0</v>
      </c>
      <c r="K33" s="35">
        <f t="shared" ca="1" si="2"/>
        <v>0</v>
      </c>
      <c r="L33" s="2">
        <f ca="1">_xll.DBRW($B$9,$C$16,$C$19,L$26,L$24,$C$17,$B33,$C$18,L$27)</f>
        <v>0</v>
      </c>
      <c r="M33" s="2">
        <f ca="1">_xll.DBRW($B$9,$C$16,$C$19,M$26,L$24,$C$17,$B33,$C$18,M$27)</f>
        <v>0</v>
      </c>
      <c r="N33" s="35">
        <f t="shared" ca="1" si="3"/>
        <v>0</v>
      </c>
      <c r="O33" s="2">
        <f ca="1">_xll.DBRW($B$9,$C$16,$C$19,O$26,O$24,$C$17,$B33,$C$18,O$27)</f>
        <v>0</v>
      </c>
      <c r="P33" s="2">
        <f ca="1">_xll.DBRW($B$9,$C$16,$C$19,P$26,O$24,$C$17,$B33,$C$18,P$27)</f>
        <v>0</v>
      </c>
      <c r="Q33" s="35">
        <f t="shared" ca="1" si="4"/>
        <v>0</v>
      </c>
      <c r="R33" s="2">
        <f ca="1">_xll.DBRW($B$9,$C$16,$C$19,R$26,R$24,$C$17,$B33,$C$18,R$27)</f>
        <v>0</v>
      </c>
      <c r="S33" s="2">
        <f ca="1">_xll.DBRW($B$9,$C$16,$C$19,S$26,R$24,$C$17,$B33,$C$18,S$27)</f>
        <v>0</v>
      </c>
      <c r="T33" s="35">
        <f t="shared" ca="1" si="5"/>
        <v>0</v>
      </c>
    </row>
    <row r="34" spans="1:20" x14ac:dyDescent="0.25">
      <c r="A34">
        <f ca="1">IF(_xll.TM1RPTELISCONSOLIDATED($B$28,$B34),IF(_xll.TM1RPTELLEV($B$28,$B34)&lt;=3,_xll.TM1RPTELLEV($B$28,$B34),"D"),"N")</f>
        <v>1</v>
      </c>
      <c r="B34" s="18" t="s">
        <v>9</v>
      </c>
      <c r="C34" s="2">
        <f ca="1">_xll.DBRW($B$9,$C$16,$C$19,C$26,C$24,$C$17,$B34,$C$18,C$27)</f>
        <v>0</v>
      </c>
      <c r="D34" s="2">
        <f ca="1">_xll.DBRW($B$9,$C$16,$C$19,D$26,C$24,$C$17,$B34,$C$18,D$27)</f>
        <v>0</v>
      </c>
      <c r="E34" s="35">
        <f t="shared" ca="1" si="0"/>
        <v>0</v>
      </c>
      <c r="F34" s="2">
        <f ca="1">_xll.DBRW($B$9,$C$16,$C$19,F$26,F$24,$C$17,$B34,$C$18,F$27)</f>
        <v>0</v>
      </c>
      <c r="G34" s="2">
        <f ca="1">_xll.DBRW($B$9,$C$16,$C$19,G$26,F$24,$C$17,$B34,$C$18,G$27)</f>
        <v>0</v>
      </c>
      <c r="H34" s="35">
        <f t="shared" ca="1" si="1"/>
        <v>0</v>
      </c>
      <c r="I34" s="2">
        <f ca="1">_xll.DBRW($B$9,$C$16,$C$19,I$26,I$24,$C$17,$B34,$C$18,I$27)</f>
        <v>0</v>
      </c>
      <c r="J34" s="2">
        <f ca="1">_xll.DBRW($B$9,$C$16,$C$19,J$26,I$24,$C$17,$B34,$C$18,J$27)</f>
        <v>0</v>
      </c>
      <c r="K34" s="35">
        <f t="shared" ca="1" si="2"/>
        <v>0</v>
      </c>
      <c r="L34" s="2">
        <f ca="1">_xll.DBRW($B$9,$C$16,$C$19,L$26,L$24,$C$17,$B34,$C$18,L$27)</f>
        <v>0</v>
      </c>
      <c r="M34" s="2">
        <f ca="1">_xll.DBRW($B$9,$C$16,$C$19,M$26,L$24,$C$17,$B34,$C$18,M$27)</f>
        <v>0</v>
      </c>
      <c r="N34" s="35">
        <f t="shared" ca="1" si="3"/>
        <v>0</v>
      </c>
      <c r="O34" s="2">
        <f ca="1">_xll.DBRW($B$9,$C$16,$C$19,O$26,O$24,$C$17,$B34,$C$18,O$27)</f>
        <v>0</v>
      </c>
      <c r="P34" s="2">
        <f ca="1">_xll.DBRW($B$9,$C$16,$C$19,P$26,O$24,$C$17,$B34,$C$18,P$27)</f>
        <v>0</v>
      </c>
      <c r="Q34" s="35">
        <f t="shared" ca="1" si="4"/>
        <v>0</v>
      </c>
      <c r="R34" s="2">
        <f ca="1">_xll.DBRW($B$9,$C$16,$C$19,R$26,R$24,$C$17,$B34,$C$18,R$27)</f>
        <v>0</v>
      </c>
      <c r="S34" s="2">
        <f ca="1">_xll.DBRW($B$9,$C$16,$C$19,S$26,R$24,$C$17,$B34,$C$18,S$27)</f>
        <v>0</v>
      </c>
      <c r="T34" s="35">
        <f t="shared" ca="1" si="5"/>
        <v>0</v>
      </c>
    </row>
    <row r="35" spans="1:20" x14ac:dyDescent="0.25">
      <c r="A35">
        <f ca="1">IF(_xll.TM1RPTELISCONSOLIDATED($B$28,$B35),IF(_xll.TM1RPTELLEV($B$28,$B35)&lt;=3,_xll.TM1RPTELLEV($B$28,$B35),"D"),"N")</f>
        <v>1</v>
      </c>
      <c r="B35" s="18" t="s">
        <v>10</v>
      </c>
      <c r="C35" s="2">
        <f ca="1">_xll.DBRW($B$9,$C$16,$C$19,C$26,C$24,$C$17,$B35,$C$18,C$27)</f>
        <v>0</v>
      </c>
      <c r="D35" s="2">
        <f ca="1">_xll.DBRW($B$9,$C$16,$C$19,D$26,C$24,$C$17,$B35,$C$18,D$27)</f>
        <v>0</v>
      </c>
      <c r="E35" s="35">
        <f t="shared" ca="1" si="0"/>
        <v>0</v>
      </c>
      <c r="F35" s="2">
        <f ca="1">_xll.DBRW($B$9,$C$16,$C$19,F$26,F$24,$C$17,$B35,$C$18,F$27)</f>
        <v>0</v>
      </c>
      <c r="G35" s="2">
        <f ca="1">_xll.DBRW($B$9,$C$16,$C$19,G$26,F$24,$C$17,$B35,$C$18,G$27)</f>
        <v>0</v>
      </c>
      <c r="H35" s="35">
        <f t="shared" ca="1" si="1"/>
        <v>0</v>
      </c>
      <c r="I35" s="2">
        <f ca="1">_xll.DBRW($B$9,$C$16,$C$19,I$26,I$24,$C$17,$B35,$C$18,I$27)</f>
        <v>0</v>
      </c>
      <c r="J35" s="2">
        <f ca="1">_xll.DBRW($B$9,$C$16,$C$19,J$26,I$24,$C$17,$B35,$C$18,J$27)</f>
        <v>0</v>
      </c>
      <c r="K35" s="35">
        <f t="shared" ca="1" si="2"/>
        <v>0</v>
      </c>
      <c r="L35" s="2">
        <f ca="1">_xll.DBRW($B$9,$C$16,$C$19,L$26,L$24,$C$17,$B35,$C$18,L$27)</f>
        <v>0</v>
      </c>
      <c r="M35" s="2">
        <f ca="1">_xll.DBRW($B$9,$C$16,$C$19,M$26,L$24,$C$17,$B35,$C$18,M$27)</f>
        <v>0</v>
      </c>
      <c r="N35" s="35">
        <f t="shared" ca="1" si="3"/>
        <v>0</v>
      </c>
      <c r="O35" s="2">
        <f ca="1">_xll.DBRW($B$9,$C$16,$C$19,O$26,O$24,$C$17,$B35,$C$18,O$27)</f>
        <v>0</v>
      </c>
      <c r="P35" s="2">
        <f ca="1">_xll.DBRW($B$9,$C$16,$C$19,P$26,O$24,$C$17,$B35,$C$18,P$27)</f>
        <v>0</v>
      </c>
      <c r="Q35" s="35">
        <f t="shared" ca="1" si="4"/>
        <v>0</v>
      </c>
      <c r="R35" s="2">
        <f ca="1">_xll.DBRW($B$9,$C$16,$C$19,R$26,R$24,$C$17,$B35,$C$18,R$27)</f>
        <v>0</v>
      </c>
      <c r="S35" s="2">
        <f ca="1">_xll.DBRW($B$9,$C$16,$C$19,S$26,R$24,$C$17,$B35,$C$18,S$27)</f>
        <v>0</v>
      </c>
      <c r="T35" s="35">
        <f t="shared" ca="1" si="5"/>
        <v>0</v>
      </c>
    </row>
    <row r="36" spans="1:20" x14ac:dyDescent="0.25">
      <c r="A36">
        <f ca="1">IF(_xll.TM1RPTELISCONSOLIDATED($B$28,$B36),IF(_xll.TM1RPTELLEV($B$28,$B36)&lt;=3,_xll.TM1RPTELLEV($B$28,$B36),"D"),"N")</f>
        <v>1</v>
      </c>
      <c r="B36" s="18" t="s">
        <v>11</v>
      </c>
      <c r="C36" s="2">
        <f ca="1">_xll.DBRW($B$9,$C$16,$C$19,C$26,C$24,$C$17,$B36,$C$18,C$27)</f>
        <v>0</v>
      </c>
      <c r="D36" s="2">
        <f ca="1">_xll.DBRW($B$9,$C$16,$C$19,D$26,C$24,$C$17,$B36,$C$18,D$27)</f>
        <v>0</v>
      </c>
      <c r="E36" s="35">
        <f t="shared" ca="1" si="0"/>
        <v>0</v>
      </c>
      <c r="F36" s="2">
        <f ca="1">_xll.DBRW($B$9,$C$16,$C$19,F$26,F$24,$C$17,$B36,$C$18,F$27)</f>
        <v>0</v>
      </c>
      <c r="G36" s="2">
        <f ca="1">_xll.DBRW($B$9,$C$16,$C$19,G$26,F$24,$C$17,$B36,$C$18,G$27)</f>
        <v>0</v>
      </c>
      <c r="H36" s="35">
        <f t="shared" ca="1" si="1"/>
        <v>0</v>
      </c>
      <c r="I36" s="2">
        <f ca="1">_xll.DBRW($B$9,$C$16,$C$19,I$26,I$24,$C$17,$B36,$C$18,I$27)</f>
        <v>0</v>
      </c>
      <c r="J36" s="2">
        <f ca="1">_xll.DBRW($B$9,$C$16,$C$19,J$26,I$24,$C$17,$B36,$C$18,J$27)</f>
        <v>0</v>
      </c>
      <c r="K36" s="35">
        <f t="shared" ca="1" si="2"/>
        <v>0</v>
      </c>
      <c r="L36" s="2">
        <f ca="1">_xll.DBRW($B$9,$C$16,$C$19,L$26,L$24,$C$17,$B36,$C$18,L$27)</f>
        <v>0</v>
      </c>
      <c r="M36" s="2">
        <f ca="1">_xll.DBRW($B$9,$C$16,$C$19,M$26,L$24,$C$17,$B36,$C$18,M$27)</f>
        <v>0</v>
      </c>
      <c r="N36" s="35">
        <f t="shared" ca="1" si="3"/>
        <v>0</v>
      </c>
      <c r="O36" s="2">
        <f ca="1">_xll.DBRW($B$9,$C$16,$C$19,O$26,O$24,$C$17,$B36,$C$18,O$27)</f>
        <v>0</v>
      </c>
      <c r="P36" s="2">
        <f ca="1">_xll.DBRW($B$9,$C$16,$C$19,P$26,O$24,$C$17,$B36,$C$18,P$27)</f>
        <v>0</v>
      </c>
      <c r="Q36" s="35">
        <f t="shared" ca="1" si="4"/>
        <v>0</v>
      </c>
      <c r="R36" s="2">
        <f ca="1">_xll.DBRW($B$9,$C$16,$C$19,R$26,R$24,$C$17,$B36,$C$18,R$27)</f>
        <v>0</v>
      </c>
      <c r="S36" s="2">
        <f ca="1">_xll.DBRW($B$9,$C$16,$C$19,S$26,R$24,$C$17,$B36,$C$18,S$27)</f>
        <v>0</v>
      </c>
      <c r="T36" s="35">
        <f t="shared" ca="1" si="5"/>
        <v>0</v>
      </c>
    </row>
    <row r="37" spans="1:20" hidden="1" x14ac:dyDescent="0.25"/>
    <row r="38" spans="1:20" hidden="1" x14ac:dyDescent="0.25"/>
    <row r="39" spans="1:20" hidden="1" x14ac:dyDescent="0.25"/>
    <row r="40" spans="1:20" hidden="1" x14ac:dyDescent="0.25"/>
    <row r="41" spans="1:20" hidden="1" x14ac:dyDescent="0.25"/>
    <row r="42" spans="1:20" hidden="1" x14ac:dyDescent="0.25"/>
    <row r="43" spans="1:20" hidden="1" x14ac:dyDescent="0.25"/>
    <row r="44" spans="1:20" hidden="1" x14ac:dyDescent="0.25"/>
  </sheetData>
  <mergeCells count="7">
    <mergeCell ref="H16:H22"/>
    <mergeCell ref="R24:T24"/>
    <mergeCell ref="C24:E24"/>
    <mergeCell ref="F24:H24"/>
    <mergeCell ref="I24:K24"/>
    <mergeCell ref="L24:N24"/>
    <mergeCell ref="O24:Q24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1265" r:id="rId4" name="TIButton1">
          <controlPr defaultSize="0" print="0" autoLine="0" autoPict="0" r:id="rId5">
            <anchor moveWithCells="1">
              <from>
                <xdr:col>5</xdr:col>
                <xdr:colOff>0</xdr:colOff>
                <xdr:row>18</xdr:row>
                <xdr:rowOff>0</xdr:rowOff>
              </from>
              <to>
                <xdr:col>6</xdr:col>
                <xdr:colOff>190500</xdr:colOff>
                <xdr:row>20</xdr:row>
                <xdr:rowOff>123825</xdr:rowOff>
              </to>
            </anchor>
          </controlPr>
        </control>
      </mc:Choice>
      <mc:Fallback>
        <control shapeId="11265" r:id="rId4" name="TIButton1"/>
      </mc:Fallback>
    </mc:AlternateContent>
    <mc:AlternateContent xmlns:mc="http://schemas.openxmlformats.org/markup-compatibility/2006">
      <mc:Choice Requires="x14">
        <control shapeId="11268" r:id="rId6" name="TIButton2">
          <controlPr defaultSize="0" print="0" autoLine="0" autoPict="0" r:id="rId7">
            <anchor moveWithCells="1">
              <from>
                <xdr:col>9</xdr:col>
                <xdr:colOff>57150</xdr:colOff>
                <xdr:row>20</xdr:row>
                <xdr:rowOff>0</xdr:rowOff>
              </from>
              <to>
                <xdr:col>11</xdr:col>
                <xdr:colOff>1085850</xdr:colOff>
                <xdr:row>22</xdr:row>
                <xdr:rowOff>57150</xdr:rowOff>
              </to>
            </anchor>
          </controlPr>
        </control>
      </mc:Choice>
      <mc:Fallback>
        <control shapeId="11268" r:id="rId6" name="TIButton2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W42"/>
  <sheetViews>
    <sheetView showGridLines="0" topLeftCell="B9" workbookViewId="0">
      <pane xSplit="1" ySplit="18" topLeftCell="C27" activePane="bottomRight" state="frozen"/>
      <selection activeCell="B10" sqref="B10"/>
      <selection pane="topRight" activeCell="C10" sqref="C10"/>
      <selection pane="bottomLeft" activeCell="B26" sqref="B26"/>
      <selection pane="bottomRight" activeCell="C17" sqref="C17"/>
    </sheetView>
  </sheetViews>
  <sheetFormatPr defaultColWidth="0" defaultRowHeight="15" zeroHeight="1" x14ac:dyDescent="0.25"/>
  <cols>
    <col min="1" max="1" width="20.140625" hidden="1" customWidth="1"/>
    <col min="2" max="2" width="33.7109375" customWidth="1"/>
    <col min="3" max="4" width="16.7109375" customWidth="1"/>
    <col min="5" max="5" width="10.7109375" style="33" customWidth="1"/>
    <col min="6" max="7" width="16.7109375" customWidth="1"/>
    <col min="8" max="8" width="10.7109375" style="33" customWidth="1"/>
    <col min="9" max="10" width="16.7109375" customWidth="1"/>
    <col min="11" max="11" width="10.7109375" style="33" customWidth="1"/>
    <col min="12" max="13" width="16.7109375" customWidth="1"/>
    <col min="14" max="14" width="10.7109375" style="33" customWidth="1"/>
    <col min="15" max="16" width="16.7109375" customWidth="1"/>
    <col min="17" max="17" width="10.7109375" style="33" customWidth="1"/>
    <col min="18" max="19" width="16.7109375" customWidth="1"/>
    <col min="20" max="20" width="10.7109375" style="33" customWidth="1"/>
    <col min="21" max="21" width="0.85546875" customWidth="1"/>
    <col min="22" max="22" width="11.42578125" hidden="1" customWidth="1"/>
    <col min="23" max="23" width="16.7109375" hidden="1" customWidth="1"/>
    <col min="24" max="16384" width="11.42578125" hidden="1"/>
  </cols>
  <sheetData>
    <row r="1" spans="1:20" hidden="1" x14ac:dyDescent="0.25">
      <c r="A1" t="s">
        <v>15</v>
      </c>
    </row>
    <row r="2" spans="1:20" hidden="1" x14ac:dyDescent="0.25">
      <c r="A2">
        <f>0</f>
        <v>0</v>
      </c>
      <c r="B2" s="13"/>
      <c r="C2" s="1"/>
      <c r="D2" s="1"/>
      <c r="E2" s="34"/>
      <c r="F2" s="1"/>
      <c r="G2" s="1"/>
      <c r="H2" s="34"/>
      <c r="I2" s="1"/>
      <c r="J2" s="1"/>
      <c r="K2" s="34"/>
      <c r="L2" s="1"/>
      <c r="M2" s="1"/>
      <c r="N2" s="34"/>
      <c r="O2" s="1"/>
      <c r="P2" s="1"/>
      <c r="Q2" s="34"/>
      <c r="R2" s="1"/>
      <c r="S2" s="1"/>
      <c r="T2" s="34"/>
    </row>
    <row r="3" spans="1:20" hidden="1" x14ac:dyDescent="0.25">
      <c r="A3">
        <f>1</f>
        <v>1</v>
      </c>
      <c r="B3" s="14"/>
      <c r="C3" s="2"/>
      <c r="D3" s="2"/>
      <c r="E3" s="35"/>
      <c r="F3" s="2"/>
      <c r="G3" s="2"/>
      <c r="H3" s="35"/>
      <c r="I3" s="2"/>
      <c r="J3" s="2"/>
      <c r="K3" s="35"/>
      <c r="L3" s="2"/>
      <c r="M3" s="2"/>
      <c r="N3" s="35"/>
      <c r="O3" s="2"/>
      <c r="P3" s="2"/>
      <c r="Q3" s="35"/>
      <c r="R3" s="2"/>
      <c r="S3" s="2"/>
      <c r="T3" s="35"/>
    </row>
    <row r="4" spans="1:20" hidden="1" x14ac:dyDescent="0.25">
      <c r="A4">
        <f>2</f>
        <v>2</v>
      </c>
      <c r="B4" s="15"/>
      <c r="C4" s="4"/>
      <c r="D4" s="4"/>
      <c r="E4" s="36"/>
      <c r="F4" s="4"/>
      <c r="G4" s="4"/>
      <c r="H4" s="36"/>
      <c r="I4" s="4"/>
      <c r="J4" s="4"/>
      <c r="K4" s="36"/>
      <c r="L4" s="4"/>
      <c r="M4" s="4"/>
      <c r="N4" s="36"/>
      <c r="O4" s="4"/>
      <c r="P4" s="4"/>
      <c r="Q4" s="36"/>
      <c r="R4" s="4"/>
      <c r="S4" s="4"/>
      <c r="T4" s="36"/>
    </row>
    <row r="5" spans="1:20" hidden="1" x14ac:dyDescent="0.25">
      <c r="A5">
        <f>3</f>
        <v>3</v>
      </c>
      <c r="B5" s="16"/>
      <c r="C5" s="5"/>
      <c r="D5" s="5"/>
      <c r="E5" s="37"/>
      <c r="F5" s="5"/>
      <c r="G5" s="5"/>
      <c r="H5" s="37"/>
      <c r="I5" s="5"/>
      <c r="J5" s="5"/>
      <c r="K5" s="37"/>
      <c r="L5" s="5"/>
      <c r="M5" s="5"/>
      <c r="N5" s="37"/>
      <c r="O5" s="5"/>
      <c r="P5" s="5"/>
      <c r="Q5" s="37"/>
      <c r="R5" s="5"/>
      <c r="S5" s="5"/>
      <c r="T5" s="37"/>
    </row>
    <row r="6" spans="1:20" hidden="1" x14ac:dyDescent="0.25">
      <c r="A6" t="s">
        <v>13</v>
      </c>
      <c r="B6" s="14"/>
      <c r="C6" s="2"/>
      <c r="D6" s="2"/>
      <c r="E6" s="35"/>
      <c r="F6" s="2"/>
      <c r="G6" s="2"/>
      <c r="H6" s="35"/>
      <c r="I6" s="2"/>
      <c r="J6" s="2"/>
      <c r="K6" s="35"/>
      <c r="L6" s="2"/>
      <c r="M6" s="2"/>
      <c r="N6" s="35"/>
      <c r="O6" s="2"/>
      <c r="P6" s="2"/>
      <c r="Q6" s="35"/>
      <c r="R6" s="2"/>
      <c r="S6" s="2"/>
      <c r="T6" s="35"/>
    </row>
    <row r="7" spans="1:20" hidden="1" x14ac:dyDescent="0.25">
      <c r="A7" t="s">
        <v>14</v>
      </c>
      <c r="B7" s="17"/>
      <c r="C7" s="3"/>
      <c r="D7" s="3"/>
      <c r="E7" s="38"/>
      <c r="F7" s="3"/>
      <c r="G7" s="3"/>
      <c r="H7" s="38"/>
      <c r="I7" s="3"/>
      <c r="J7" s="3"/>
      <c r="K7" s="38"/>
      <c r="L7" s="3"/>
      <c r="M7" s="3"/>
      <c r="N7" s="38"/>
      <c r="O7" s="3"/>
      <c r="P7" s="3"/>
      <c r="Q7" s="38"/>
      <c r="R7" s="3"/>
      <c r="S7" s="3"/>
      <c r="T7" s="38"/>
    </row>
    <row r="8" spans="1:20" hidden="1" x14ac:dyDescent="0.25">
      <c r="A8" t="s">
        <v>16</v>
      </c>
    </row>
    <row r="9" spans="1:20" ht="32.25" hidden="1" customHeight="1" x14ac:dyDescent="0.25">
      <c r="B9" t="str">
        <f ca="1">_xll.TM1RPTVIEW("CXMD:OTC_DATA_MARKET_ANALYSIS:ARPT1", 0, _xll.TM1RPTTITLE("CXMD:Currency",$C$16), _xll.TM1RPTTITLE("CXMD:DIM_Prev_IC_mapping",$C$19), _xll.TM1RPTTITLE("CXMD:DIM_Origin_Company",$C$17), _xll.TM1RPTTITLE("CXMD:DIM_Configuration",$C$18),TM1RPTFMTRNG,TM1RPTFMTIDCOL)</f>
        <v>CXMD:OTC_DATA_MARKET_ANALYSIS:ARPT1</v>
      </c>
    </row>
    <row r="10" spans="1:20" x14ac:dyDescent="0.25">
      <c r="B10" s="9"/>
      <c r="C10" s="9"/>
      <c r="D10" s="9"/>
      <c r="E10" s="39"/>
      <c r="F10" s="9"/>
      <c r="G10" s="9"/>
      <c r="H10" s="39"/>
      <c r="I10" s="9"/>
      <c r="J10" s="9"/>
      <c r="K10" s="39"/>
      <c r="L10" s="9"/>
      <c r="M10" s="9"/>
      <c r="N10" s="39"/>
      <c r="O10" s="9"/>
      <c r="P10" s="9"/>
      <c r="Q10" s="39"/>
      <c r="R10" s="9"/>
      <c r="S10" s="9"/>
      <c r="T10" s="39"/>
    </row>
    <row r="11" spans="1:20" x14ac:dyDescent="0.25">
      <c r="B11" s="9"/>
      <c r="C11" s="9"/>
      <c r="D11" s="9"/>
      <c r="E11" s="39"/>
      <c r="F11" s="9"/>
      <c r="G11" s="9"/>
      <c r="H11" s="39"/>
      <c r="I11" s="9"/>
      <c r="J11" s="9"/>
      <c r="K11" s="39"/>
      <c r="L11" s="9"/>
      <c r="M11" s="9"/>
      <c r="N11" s="39"/>
      <c r="O11" s="9"/>
      <c r="P11" s="9"/>
      <c r="Q11" s="39"/>
      <c r="R11" s="9"/>
      <c r="S11" s="9"/>
      <c r="T11" s="39"/>
    </row>
    <row r="12" spans="1:20" x14ac:dyDescent="0.25">
      <c r="B12" s="9"/>
      <c r="C12" s="9"/>
      <c r="D12" s="9"/>
      <c r="E12" s="39"/>
      <c r="F12" s="9"/>
      <c r="G12" s="9"/>
      <c r="H12" s="39"/>
      <c r="I12" s="9"/>
      <c r="J12" s="9"/>
      <c r="K12" s="39"/>
      <c r="L12" s="9"/>
      <c r="M12" s="9"/>
      <c r="N12" s="39"/>
      <c r="O12" s="9"/>
      <c r="P12" s="9"/>
      <c r="Q12" s="39"/>
      <c r="R12" s="9"/>
      <c r="S12" s="9"/>
      <c r="T12" s="39"/>
    </row>
    <row r="13" spans="1:20" x14ac:dyDescent="0.25">
      <c r="B13" s="9"/>
      <c r="C13" s="9"/>
      <c r="D13" s="9"/>
      <c r="E13" s="39"/>
      <c r="F13" s="9"/>
      <c r="G13" s="9"/>
      <c r="H13" s="39"/>
      <c r="I13" s="9"/>
      <c r="J13" s="9"/>
      <c r="K13" s="39"/>
      <c r="L13" s="9"/>
      <c r="M13" s="9"/>
      <c r="N13" s="39"/>
      <c r="O13" s="9"/>
      <c r="P13" s="9"/>
      <c r="Q13" s="39"/>
      <c r="R13" s="9"/>
      <c r="S13" s="9"/>
      <c r="T13" s="39"/>
    </row>
    <row r="14" spans="1:20" hidden="1" x14ac:dyDescent="0.25">
      <c r="B14" s="9"/>
      <c r="C14" s="9"/>
      <c r="D14" s="9"/>
      <c r="E14" s="39"/>
      <c r="F14" s="9"/>
      <c r="G14" s="9"/>
      <c r="H14" s="39"/>
      <c r="I14" s="9"/>
      <c r="J14" s="9"/>
      <c r="K14" s="39"/>
      <c r="L14" s="9"/>
      <c r="M14" s="9"/>
      <c r="N14" s="39"/>
      <c r="O14" s="9"/>
      <c r="P14" s="9"/>
      <c r="Q14" s="39"/>
      <c r="R14" s="9"/>
      <c r="S14" s="9"/>
      <c r="T14" s="39"/>
    </row>
    <row r="15" spans="1:20" hidden="1" x14ac:dyDescent="0.25">
      <c r="B15" s="9"/>
      <c r="C15" s="9"/>
      <c r="D15" s="9"/>
      <c r="E15" s="39"/>
      <c r="F15" s="9"/>
      <c r="G15" s="9"/>
      <c r="H15" s="39"/>
      <c r="I15" s="9"/>
      <c r="J15" s="9"/>
      <c r="K15" s="39"/>
      <c r="L15" s="9"/>
      <c r="M15" s="9"/>
      <c r="N15" s="39"/>
      <c r="O15" s="9"/>
      <c r="P15" s="9"/>
      <c r="Q15" s="39"/>
      <c r="R15" s="9"/>
      <c r="S15" s="9"/>
      <c r="T15" s="39"/>
    </row>
    <row r="16" spans="1:20" x14ac:dyDescent="0.25">
      <c r="B16" s="8" t="s">
        <v>0</v>
      </c>
      <c r="C16" s="6" t="str">
        <f ca="1">QTY!C16</f>
        <v>Local currency</v>
      </c>
      <c r="D16" s="7"/>
      <c r="E16" s="40"/>
      <c r="F16" s="7"/>
      <c r="G16" s="7"/>
      <c r="H16" s="40"/>
      <c r="I16" s="7"/>
      <c r="J16" s="7"/>
      <c r="K16" s="40"/>
      <c r="L16" s="7"/>
      <c r="M16" s="7"/>
      <c r="N16" s="40"/>
      <c r="O16" s="7"/>
      <c r="P16" s="7"/>
      <c r="Q16" s="40"/>
      <c r="R16" s="7"/>
      <c r="S16" s="7"/>
      <c r="T16" s="40"/>
    </row>
    <row r="17" spans="1:20" x14ac:dyDescent="0.25">
      <c r="B17" s="8" t="s">
        <v>1</v>
      </c>
      <c r="C17" s="6" t="str">
        <f ca="1">QTY!C17</f>
        <v>SILVA</v>
      </c>
      <c r="D17" s="7"/>
      <c r="E17" s="40"/>
      <c r="F17" s="7"/>
      <c r="G17" s="7"/>
      <c r="H17" s="40"/>
      <c r="I17" s="7"/>
      <c r="J17" s="7"/>
      <c r="K17" s="40"/>
      <c r="L17" s="7"/>
      <c r="M17" s="7"/>
      <c r="N17" s="40"/>
      <c r="O17" s="7"/>
      <c r="P17" s="7"/>
      <c r="Q17" s="40"/>
      <c r="R17" s="7"/>
      <c r="S17" s="7"/>
      <c r="T17" s="40"/>
    </row>
    <row r="18" spans="1:20" x14ac:dyDescent="0.25">
      <c r="B18" s="8" t="s">
        <v>2</v>
      </c>
      <c r="C18" s="6" t="str">
        <f ca="1">QTY!C18</f>
        <v>TOTAL PRODUCT</v>
      </c>
      <c r="D18" s="7"/>
      <c r="E18" s="40"/>
      <c r="F18" s="7"/>
      <c r="G18" s="7"/>
      <c r="H18" s="40"/>
      <c r="I18" s="7"/>
      <c r="J18" s="7"/>
      <c r="K18" s="40"/>
      <c r="L18" s="7"/>
      <c r="M18" s="7"/>
      <c r="N18" s="40"/>
      <c r="O18" s="7"/>
      <c r="P18" s="7"/>
      <c r="Q18" s="40"/>
      <c r="R18" s="7"/>
      <c r="S18" s="7"/>
      <c r="T18" s="40"/>
    </row>
    <row r="19" spans="1:20" ht="21" x14ac:dyDescent="0.35">
      <c r="B19" s="8" t="s">
        <v>3</v>
      </c>
      <c r="C19" s="6" t="str">
        <f ca="1">QTY!C19</f>
        <v>99 - Kuhn Group</v>
      </c>
      <c r="D19" s="7"/>
      <c r="E19" s="40"/>
      <c r="F19" s="7"/>
      <c r="G19" s="7"/>
      <c r="H19" s="40"/>
      <c r="I19" s="7"/>
      <c r="J19" s="10"/>
      <c r="K19" s="40"/>
      <c r="L19" s="7"/>
      <c r="M19" s="7"/>
      <c r="N19" s="40"/>
      <c r="O19" s="7"/>
      <c r="P19" s="7"/>
      <c r="Q19" s="40"/>
      <c r="R19" s="7"/>
      <c r="S19" s="7"/>
      <c r="T19" s="40"/>
    </row>
    <row r="20" spans="1:20" x14ac:dyDescent="0.25">
      <c r="B20" s="7"/>
      <c r="C20" s="7"/>
      <c r="D20" s="7"/>
      <c r="E20" s="40"/>
      <c r="F20" s="7"/>
      <c r="G20" s="7"/>
      <c r="H20" s="40"/>
      <c r="I20" s="7"/>
      <c r="J20" s="7"/>
      <c r="K20" s="40"/>
      <c r="L20" s="7"/>
      <c r="M20" s="7"/>
      <c r="N20" s="40"/>
      <c r="O20" s="7"/>
      <c r="P20" s="7"/>
      <c r="Q20" s="40"/>
      <c r="R20" s="7"/>
      <c r="S20" s="7"/>
      <c r="T20" s="40"/>
    </row>
    <row r="21" spans="1:20" ht="15.75" thickBot="1" x14ac:dyDescent="0.3">
      <c r="B21" s="7"/>
      <c r="C21" s="7"/>
      <c r="D21" s="7"/>
      <c r="E21" s="40"/>
      <c r="F21" s="7"/>
      <c r="G21" s="7"/>
      <c r="H21" s="40"/>
      <c r="I21" s="7"/>
      <c r="J21" s="7"/>
      <c r="K21" s="40"/>
      <c r="L21" s="7"/>
      <c r="M21" s="7"/>
      <c r="N21" s="40"/>
      <c r="O21" s="7"/>
      <c r="P21" s="7"/>
      <c r="Q21" s="40"/>
      <c r="R21" s="7"/>
      <c r="S21" s="7"/>
      <c r="T21" s="40"/>
    </row>
    <row r="22" spans="1:20" ht="15.75" thickBot="1" x14ac:dyDescent="0.3">
      <c r="B22" s="7"/>
      <c r="C22" s="87" t="str">
        <f ca="1">QTY!C22</f>
        <v>AC2018</v>
      </c>
      <c r="D22" s="88"/>
      <c r="E22" s="89"/>
      <c r="F22" s="87" t="str">
        <f ca="1">QTY!F22</f>
        <v>FC3_2019</v>
      </c>
      <c r="G22" s="88"/>
      <c r="H22" s="89"/>
      <c r="I22" s="87" t="str">
        <f ca="1">QTY!I22</f>
        <v>PL2020 (update 2019)</v>
      </c>
      <c r="J22" s="88"/>
      <c r="K22" s="89"/>
      <c r="L22" s="87" t="str">
        <f ca="1">QTY!L22</f>
        <v>PL2021 (update 2019)</v>
      </c>
      <c r="M22" s="88"/>
      <c r="N22" s="89"/>
      <c r="O22" s="87" t="str">
        <f ca="1">QTY!O22</f>
        <v>PL2022 (update 2019)</v>
      </c>
      <c r="P22" s="88"/>
      <c r="Q22" s="89"/>
      <c r="R22" s="87" t="str">
        <f ca="1">QTY!R22</f>
        <v>PL2023 (update 2019)</v>
      </c>
      <c r="S22" s="88"/>
      <c r="T22" s="89"/>
    </row>
    <row r="23" spans="1:20" x14ac:dyDescent="0.25">
      <c r="B23" s="7"/>
      <c r="C23" s="59"/>
      <c r="D23" s="11"/>
      <c r="E23" s="60"/>
      <c r="F23" s="59"/>
      <c r="G23" s="11"/>
      <c r="H23" s="60"/>
      <c r="I23" s="59"/>
      <c r="J23" s="11"/>
      <c r="K23" s="60"/>
      <c r="L23" s="59"/>
      <c r="M23" s="11"/>
      <c r="N23" s="60"/>
      <c r="O23" s="59"/>
      <c r="P23" s="11"/>
      <c r="Q23" s="60"/>
      <c r="R23" s="59"/>
      <c r="S23" s="11"/>
      <c r="T23" s="60"/>
    </row>
    <row r="24" spans="1:20" x14ac:dyDescent="0.25">
      <c r="B24" s="7"/>
      <c r="C24" s="59" t="str">
        <f ca="1">QTY!C24</f>
        <v>KUHN_Scope</v>
      </c>
      <c r="D24" s="11" t="str">
        <f ca="1">QTY!D24</f>
        <v>KUHN Sales</v>
      </c>
      <c r="E24" s="61" t="s">
        <v>17</v>
      </c>
      <c r="F24" s="59" t="str">
        <f ca="1">QTY!F24</f>
        <v>KUHN_Scope</v>
      </c>
      <c r="G24" s="11" t="str">
        <f ca="1">QTY!G24</f>
        <v>KUHN Sales</v>
      </c>
      <c r="H24" s="61" t="s">
        <v>17</v>
      </c>
      <c r="I24" s="59" t="str">
        <f ca="1">QTY!I24</f>
        <v>KUHN_Scope</v>
      </c>
      <c r="J24" s="11" t="str">
        <f ca="1">QTY!J24</f>
        <v>KUHN Sales</v>
      </c>
      <c r="K24" s="61" t="s">
        <v>17</v>
      </c>
      <c r="L24" s="59" t="str">
        <f ca="1">QTY!L24</f>
        <v>KUHN_Scope</v>
      </c>
      <c r="M24" s="11" t="str">
        <f ca="1">QTY!M24</f>
        <v>KUHN Sales</v>
      </c>
      <c r="N24" s="61" t="s">
        <v>17</v>
      </c>
      <c r="O24" s="59" t="str">
        <f ca="1">QTY!O24</f>
        <v>KUHN_Scope</v>
      </c>
      <c r="P24" s="11" t="str">
        <f ca="1">QTY!P24</f>
        <v>KUHN Sales</v>
      </c>
      <c r="Q24" s="61" t="s">
        <v>17</v>
      </c>
      <c r="R24" s="59" t="str">
        <f ca="1">QTY!R24</f>
        <v>KUHN_Scope</v>
      </c>
      <c r="S24" s="11" t="str">
        <f ca="1">QTY!S24</f>
        <v>KUHN Sales</v>
      </c>
      <c r="T24" s="61" t="s">
        <v>17</v>
      </c>
    </row>
    <row r="25" spans="1:20" ht="15.75" thickBot="1" x14ac:dyDescent="0.3">
      <c r="B25" s="7"/>
      <c r="C25" s="62" t="s">
        <v>18</v>
      </c>
      <c r="D25" s="63" t="s">
        <v>18</v>
      </c>
      <c r="E25" s="64"/>
      <c r="F25" s="62" t="s">
        <v>18</v>
      </c>
      <c r="G25" s="63" t="s">
        <v>18</v>
      </c>
      <c r="H25" s="64"/>
      <c r="I25" s="62" t="s">
        <v>18</v>
      </c>
      <c r="J25" s="63" t="s">
        <v>18</v>
      </c>
      <c r="K25" s="64"/>
      <c r="L25" s="62" t="s">
        <v>18</v>
      </c>
      <c r="M25" s="63" t="s">
        <v>18</v>
      </c>
      <c r="N25" s="64"/>
      <c r="O25" s="62" t="s">
        <v>18</v>
      </c>
      <c r="P25" s="63" t="s">
        <v>18</v>
      </c>
      <c r="Q25" s="64"/>
      <c r="R25" s="62" t="s">
        <v>18</v>
      </c>
      <c r="S25" s="63" t="s">
        <v>18</v>
      </c>
      <c r="T25" s="64"/>
    </row>
    <row r="26" spans="1:20" x14ac:dyDescent="0.25">
      <c r="A26" t="str">
        <f ca="1">IF(_xll.TM1RPTELISCONSOLIDATED($B$26,$B26),IF(_xll.TM1RPTELLEV($B$26,$B26)&lt;=3,_xll.TM1RPTELLEV($B$26,$B26),"D"),"N")</f>
        <v>N</v>
      </c>
      <c r="B26" s="12" t="str">
        <f ca="1">_xll.TM1RPTROW($B$9,"CXMD:DIM_Country","Total Country SOM","","Description",0)</f>
        <v>Total Country SOM</v>
      </c>
      <c r="C26" s="1">
        <f ca="1">_xll.DBRW($B$9,$C$16,$C$19,C$24,C$22,$C$17,$B26,$C$18,C$25)</f>
        <v>0</v>
      </c>
      <c r="D26" s="1">
        <f ca="1">_xll.DBRW($B$9,$C$16,$C$19,D$24,C$22,$C$17,$B26,$C$18,D$25)</f>
        <v>0</v>
      </c>
      <c r="E26" s="34">
        <f ca="1">IF(C26&lt;&gt;0,D26/C26,0)</f>
        <v>0</v>
      </c>
      <c r="F26" s="1">
        <f ca="1">_xll.DBRW($B$9,$C$16,$C$19,F$24,F$22,$C$17,$B26,$C$18,F$25)</f>
        <v>0</v>
      </c>
      <c r="G26" s="1">
        <f ca="1">_xll.DBRW($B$9,$C$16,$C$19,G$24,F$22,$C$17,$B26,$C$18,G$25)</f>
        <v>0</v>
      </c>
      <c r="H26" s="34">
        <f ca="1">IF(F26&lt;&gt;0,G26/F26,0)</f>
        <v>0</v>
      </c>
      <c r="I26" s="1">
        <f ca="1">_xll.DBRW($B$9,$C$16,$C$19,I$24,I$22,$C$17,$B26,$C$18,I$25)</f>
        <v>0</v>
      </c>
      <c r="J26" s="1">
        <f ca="1">_xll.DBRW($B$9,$C$16,$C$19,J$24,I$22,$C$17,$B26,$C$18,J$25)</f>
        <v>0</v>
      </c>
      <c r="K26" s="34">
        <f ca="1">IF(I26&lt;&gt;0,J26/I26,0)</f>
        <v>0</v>
      </c>
      <c r="L26" s="1">
        <f ca="1">_xll.DBRW($B$9,$C$16,$C$19,L$24,L$22,$C$17,$B26,$C$18,L$25)</f>
        <v>0</v>
      </c>
      <c r="M26" s="1">
        <f ca="1">_xll.DBRW($B$9,$C$16,$C$19,M$24,L$22,$C$17,$B26,$C$18,M$25)</f>
        <v>0</v>
      </c>
      <c r="N26" s="34">
        <f ca="1">IF(L26&lt;&gt;0,M26/L26,0)</f>
        <v>0</v>
      </c>
      <c r="O26" s="1">
        <f ca="1">_xll.DBRW($B$9,$C$16,$C$19,O$24,O$22,$C$17,$B26,$C$18,O$25)</f>
        <v>0</v>
      </c>
      <c r="P26" s="1">
        <f ca="1">_xll.DBRW($B$9,$C$16,$C$19,P$24,O$22,$C$17,$B26,$C$18,P$25)</f>
        <v>0</v>
      </c>
      <c r="Q26" s="34">
        <f ca="1">IF(O26&lt;&gt;0,P26/O26,0)</f>
        <v>0</v>
      </c>
      <c r="R26" s="1">
        <f ca="1">_xll.DBRW($B$9,$C$16,$C$19,R$24,R$22,$C$17,$B26,$C$18,R$25)</f>
        <v>0</v>
      </c>
      <c r="S26" s="1">
        <f ca="1">_xll.DBRW($B$9,$C$16,$C$19,S$24,R$22,$C$17,$B26,$C$18,S$25)</f>
        <v>0</v>
      </c>
      <c r="T26" s="34">
        <f ca="1">IF(R26&lt;&gt;0,S26/R26,0)</f>
        <v>0</v>
      </c>
    </row>
    <row r="27" spans="1:20" x14ac:dyDescent="0.25">
      <c r="A27">
        <f ca="1">IF(_xll.TM1RPTELISCONSOLIDATED($B$26,$B27),IF(_xll.TM1RPTELLEV($B$26,$B27)&lt;=3,_xll.TM1RPTELLEV($B$26,$B27),"D"),"N")</f>
        <v>1</v>
      </c>
      <c r="B27" s="18" t="s">
        <v>12</v>
      </c>
      <c r="C27" s="2">
        <f ca="1">_xll.DBRW($B$9,$C$16,$C$19,C$24,C$22,$C$17,$B27,$C$18,C$25)</f>
        <v>0</v>
      </c>
      <c r="D27" s="2">
        <f ca="1">_xll.DBRW($B$9,$C$16,$C$19,D$24,C$22,$C$17,$B27,$C$18,D$25)</f>
        <v>0</v>
      </c>
      <c r="E27" s="35">
        <f t="shared" ref="E27:E34" ca="1" si="0">IF(C27&lt;&gt;0,D27/C27,0)</f>
        <v>0</v>
      </c>
      <c r="F27" s="2">
        <f ca="1">_xll.DBRW($B$9,$C$16,$C$19,F$24,F$22,$C$17,$B27,$C$18,F$25)</f>
        <v>0</v>
      </c>
      <c r="G27" s="2">
        <f ca="1">_xll.DBRW($B$9,$C$16,$C$19,G$24,F$22,$C$17,$B27,$C$18,G$25)</f>
        <v>0</v>
      </c>
      <c r="H27" s="35">
        <f t="shared" ref="H27:H34" ca="1" si="1">IF(F27&lt;&gt;0,G27/F27,0)</f>
        <v>0</v>
      </c>
      <c r="I27" s="2">
        <f ca="1">_xll.DBRW($B$9,$C$16,$C$19,I$24,I$22,$C$17,$B27,$C$18,I$25)</f>
        <v>0</v>
      </c>
      <c r="J27" s="2">
        <f ca="1">_xll.DBRW($B$9,$C$16,$C$19,J$24,I$22,$C$17,$B27,$C$18,J$25)</f>
        <v>0</v>
      </c>
      <c r="K27" s="35">
        <f t="shared" ref="K27:K34" ca="1" si="2">IF(I27&lt;&gt;0,J27/I27,0)</f>
        <v>0</v>
      </c>
      <c r="L27" s="2">
        <f ca="1">_xll.DBRW($B$9,$C$16,$C$19,L$24,L$22,$C$17,$B27,$C$18,L$25)</f>
        <v>0</v>
      </c>
      <c r="M27" s="2">
        <f ca="1">_xll.DBRW($B$9,$C$16,$C$19,M$24,L$22,$C$17,$B27,$C$18,M$25)</f>
        <v>0</v>
      </c>
      <c r="N27" s="35">
        <f t="shared" ref="N27:N34" ca="1" si="3">IF(L27&lt;&gt;0,M27/L27,0)</f>
        <v>0</v>
      </c>
      <c r="O27" s="2">
        <f ca="1">_xll.DBRW($B$9,$C$16,$C$19,O$24,O$22,$C$17,$B27,$C$18,O$25)</f>
        <v>0</v>
      </c>
      <c r="P27" s="2">
        <f ca="1">_xll.DBRW($B$9,$C$16,$C$19,P$24,O$22,$C$17,$B27,$C$18,P$25)</f>
        <v>0</v>
      </c>
      <c r="Q27" s="35">
        <f t="shared" ref="Q27:Q34" ca="1" si="4">IF(O27&lt;&gt;0,P27/O27,0)</f>
        <v>0</v>
      </c>
      <c r="R27" s="2">
        <f ca="1">_xll.DBRW($B$9,$C$16,$C$19,R$24,R$22,$C$17,$B27,$C$18,R$25)</f>
        <v>0</v>
      </c>
      <c r="S27" s="2">
        <f ca="1">_xll.DBRW($B$9,$C$16,$C$19,S$24,R$22,$C$17,$B27,$C$18,S$25)</f>
        <v>0</v>
      </c>
      <c r="T27" s="35">
        <f t="shared" ref="T27:T34" ca="1" si="5">IF(R27&lt;&gt;0,S27/R27,0)</f>
        <v>0</v>
      </c>
    </row>
    <row r="28" spans="1:20" x14ac:dyDescent="0.25">
      <c r="A28">
        <f ca="1">IF(_xll.TM1RPTELISCONSOLIDATED($B$26,$B28),IF(_xll.TM1RPTELLEV($B$26,$B28)&lt;=3,_xll.TM1RPTELLEV($B$26,$B28),"D"),"N")</f>
        <v>1</v>
      </c>
      <c r="B28" s="18" t="s">
        <v>5</v>
      </c>
      <c r="C28" s="2">
        <f ca="1">_xll.DBRW($B$9,$C$16,$C$19,C$24,C$22,$C$17,$B28,$C$18,C$25)</f>
        <v>0</v>
      </c>
      <c r="D28" s="2">
        <f ca="1">_xll.DBRW($B$9,$C$16,$C$19,D$24,C$22,$C$17,$B28,$C$18,D$25)</f>
        <v>0</v>
      </c>
      <c r="E28" s="35">
        <f t="shared" ca="1" si="0"/>
        <v>0</v>
      </c>
      <c r="F28" s="2">
        <f ca="1">_xll.DBRW($B$9,$C$16,$C$19,F$24,F$22,$C$17,$B28,$C$18,F$25)</f>
        <v>0</v>
      </c>
      <c r="G28" s="2">
        <f ca="1">_xll.DBRW($B$9,$C$16,$C$19,G$24,F$22,$C$17,$B28,$C$18,G$25)</f>
        <v>0</v>
      </c>
      <c r="H28" s="35">
        <f t="shared" ca="1" si="1"/>
        <v>0</v>
      </c>
      <c r="I28" s="2">
        <f ca="1">_xll.DBRW($B$9,$C$16,$C$19,I$24,I$22,$C$17,$B28,$C$18,I$25)</f>
        <v>0</v>
      </c>
      <c r="J28" s="2">
        <f ca="1">_xll.DBRW($B$9,$C$16,$C$19,J$24,I$22,$C$17,$B28,$C$18,J$25)</f>
        <v>0</v>
      </c>
      <c r="K28" s="35">
        <f t="shared" ca="1" si="2"/>
        <v>0</v>
      </c>
      <c r="L28" s="2">
        <f ca="1">_xll.DBRW($B$9,$C$16,$C$19,L$24,L$22,$C$17,$B28,$C$18,L$25)</f>
        <v>0</v>
      </c>
      <c r="M28" s="2">
        <f ca="1">_xll.DBRW($B$9,$C$16,$C$19,M$24,L$22,$C$17,$B28,$C$18,M$25)</f>
        <v>0</v>
      </c>
      <c r="N28" s="35">
        <f t="shared" ca="1" si="3"/>
        <v>0</v>
      </c>
      <c r="O28" s="2">
        <f ca="1">_xll.DBRW($B$9,$C$16,$C$19,O$24,O$22,$C$17,$B28,$C$18,O$25)</f>
        <v>0</v>
      </c>
      <c r="P28" s="2">
        <f ca="1">_xll.DBRW($B$9,$C$16,$C$19,P$24,O$22,$C$17,$B28,$C$18,P$25)</f>
        <v>0</v>
      </c>
      <c r="Q28" s="35">
        <f t="shared" ca="1" si="4"/>
        <v>0</v>
      </c>
      <c r="R28" s="2">
        <f ca="1">_xll.DBRW($B$9,$C$16,$C$19,R$24,R$22,$C$17,$B28,$C$18,R$25)</f>
        <v>0</v>
      </c>
      <c r="S28" s="2">
        <f ca="1">_xll.DBRW($B$9,$C$16,$C$19,S$24,R$22,$C$17,$B28,$C$18,S$25)</f>
        <v>0</v>
      </c>
      <c r="T28" s="35">
        <f t="shared" ca="1" si="5"/>
        <v>0</v>
      </c>
    </row>
    <row r="29" spans="1:20" x14ac:dyDescent="0.25">
      <c r="A29">
        <f ca="1">IF(_xll.TM1RPTELISCONSOLIDATED($B$26,$B29),IF(_xll.TM1RPTELLEV($B$26,$B29)&lt;=3,_xll.TM1RPTELLEV($B$26,$B29),"D"),"N")</f>
        <v>1</v>
      </c>
      <c r="B29" s="18" t="s">
        <v>6</v>
      </c>
      <c r="C29" s="2">
        <f ca="1">_xll.DBRW($B$9,$C$16,$C$19,C$24,C$22,$C$17,$B29,$C$18,C$25)</f>
        <v>0</v>
      </c>
      <c r="D29" s="2">
        <f ca="1">_xll.DBRW($B$9,$C$16,$C$19,D$24,C$22,$C$17,$B29,$C$18,D$25)</f>
        <v>0</v>
      </c>
      <c r="E29" s="35">
        <f t="shared" ca="1" si="0"/>
        <v>0</v>
      </c>
      <c r="F29" s="2">
        <f ca="1">_xll.DBRW($B$9,$C$16,$C$19,F$24,F$22,$C$17,$B29,$C$18,F$25)</f>
        <v>0</v>
      </c>
      <c r="G29" s="2">
        <f ca="1">_xll.DBRW($B$9,$C$16,$C$19,G$24,F$22,$C$17,$B29,$C$18,G$25)</f>
        <v>0</v>
      </c>
      <c r="H29" s="35">
        <f t="shared" ca="1" si="1"/>
        <v>0</v>
      </c>
      <c r="I29" s="2">
        <f ca="1">_xll.DBRW($B$9,$C$16,$C$19,I$24,I$22,$C$17,$B29,$C$18,I$25)</f>
        <v>0</v>
      </c>
      <c r="J29" s="2">
        <f ca="1">_xll.DBRW($B$9,$C$16,$C$19,J$24,I$22,$C$17,$B29,$C$18,J$25)</f>
        <v>0</v>
      </c>
      <c r="K29" s="35">
        <f t="shared" ca="1" si="2"/>
        <v>0</v>
      </c>
      <c r="L29" s="2">
        <f ca="1">_xll.DBRW($B$9,$C$16,$C$19,L$24,L$22,$C$17,$B29,$C$18,L$25)</f>
        <v>0</v>
      </c>
      <c r="M29" s="2">
        <f ca="1">_xll.DBRW($B$9,$C$16,$C$19,M$24,L$22,$C$17,$B29,$C$18,M$25)</f>
        <v>0</v>
      </c>
      <c r="N29" s="35">
        <f t="shared" ca="1" si="3"/>
        <v>0</v>
      </c>
      <c r="O29" s="2">
        <f ca="1">_xll.DBRW($B$9,$C$16,$C$19,O$24,O$22,$C$17,$B29,$C$18,O$25)</f>
        <v>0</v>
      </c>
      <c r="P29" s="2">
        <f ca="1">_xll.DBRW($B$9,$C$16,$C$19,P$24,O$22,$C$17,$B29,$C$18,P$25)</f>
        <v>0</v>
      </c>
      <c r="Q29" s="35">
        <f t="shared" ca="1" si="4"/>
        <v>0</v>
      </c>
      <c r="R29" s="2">
        <f ca="1">_xll.DBRW($B$9,$C$16,$C$19,R$24,R$22,$C$17,$B29,$C$18,R$25)</f>
        <v>0</v>
      </c>
      <c r="S29" s="2">
        <f ca="1">_xll.DBRW($B$9,$C$16,$C$19,S$24,R$22,$C$17,$B29,$C$18,S$25)</f>
        <v>0</v>
      </c>
      <c r="T29" s="35">
        <f t="shared" ca="1" si="5"/>
        <v>0</v>
      </c>
    </row>
    <row r="30" spans="1:20" x14ac:dyDescent="0.25">
      <c r="A30">
        <f ca="1">IF(_xll.TM1RPTELISCONSOLIDATED($B$26,$B30),IF(_xll.TM1RPTELLEV($B$26,$B30)&lt;=3,_xll.TM1RPTELLEV($B$26,$B30),"D"),"N")</f>
        <v>1</v>
      </c>
      <c r="B30" s="18" t="s">
        <v>7</v>
      </c>
      <c r="C30" s="2">
        <f ca="1">_xll.DBRW($B$9,$C$16,$C$19,C$24,C$22,$C$17,$B30,$C$18,C$25)</f>
        <v>0</v>
      </c>
      <c r="D30" s="2">
        <f ca="1">_xll.DBRW($B$9,$C$16,$C$19,D$24,C$22,$C$17,$B30,$C$18,D$25)</f>
        <v>0</v>
      </c>
      <c r="E30" s="35">
        <f t="shared" ca="1" si="0"/>
        <v>0</v>
      </c>
      <c r="F30" s="2">
        <f ca="1">_xll.DBRW($B$9,$C$16,$C$19,F$24,F$22,$C$17,$B30,$C$18,F$25)</f>
        <v>0</v>
      </c>
      <c r="G30" s="2">
        <f ca="1">_xll.DBRW($B$9,$C$16,$C$19,G$24,F$22,$C$17,$B30,$C$18,G$25)</f>
        <v>0</v>
      </c>
      <c r="H30" s="35">
        <f t="shared" ca="1" si="1"/>
        <v>0</v>
      </c>
      <c r="I30" s="2">
        <f ca="1">_xll.DBRW($B$9,$C$16,$C$19,I$24,I$22,$C$17,$B30,$C$18,I$25)</f>
        <v>0</v>
      </c>
      <c r="J30" s="2">
        <f ca="1">_xll.DBRW($B$9,$C$16,$C$19,J$24,I$22,$C$17,$B30,$C$18,J$25)</f>
        <v>0</v>
      </c>
      <c r="K30" s="35">
        <f t="shared" ca="1" si="2"/>
        <v>0</v>
      </c>
      <c r="L30" s="2">
        <f ca="1">_xll.DBRW($B$9,$C$16,$C$19,L$24,L$22,$C$17,$B30,$C$18,L$25)</f>
        <v>0</v>
      </c>
      <c r="M30" s="2">
        <f ca="1">_xll.DBRW($B$9,$C$16,$C$19,M$24,L$22,$C$17,$B30,$C$18,M$25)</f>
        <v>0</v>
      </c>
      <c r="N30" s="35">
        <f t="shared" ca="1" si="3"/>
        <v>0</v>
      </c>
      <c r="O30" s="2">
        <f ca="1">_xll.DBRW($B$9,$C$16,$C$19,O$24,O$22,$C$17,$B30,$C$18,O$25)</f>
        <v>0</v>
      </c>
      <c r="P30" s="2">
        <f ca="1">_xll.DBRW($B$9,$C$16,$C$19,P$24,O$22,$C$17,$B30,$C$18,P$25)</f>
        <v>0</v>
      </c>
      <c r="Q30" s="35">
        <f t="shared" ca="1" si="4"/>
        <v>0</v>
      </c>
      <c r="R30" s="2">
        <f ca="1">_xll.DBRW($B$9,$C$16,$C$19,R$24,R$22,$C$17,$B30,$C$18,R$25)</f>
        <v>0</v>
      </c>
      <c r="S30" s="2">
        <f ca="1">_xll.DBRW($B$9,$C$16,$C$19,S$24,R$22,$C$17,$B30,$C$18,S$25)</f>
        <v>0</v>
      </c>
      <c r="T30" s="35">
        <f t="shared" ca="1" si="5"/>
        <v>0</v>
      </c>
    </row>
    <row r="31" spans="1:20" x14ac:dyDescent="0.25">
      <c r="A31">
        <f ca="1">IF(_xll.TM1RPTELISCONSOLIDATED($B$26,$B31),IF(_xll.TM1RPTELLEV($B$26,$B31)&lt;=3,_xll.TM1RPTELLEV($B$26,$B31),"D"),"N")</f>
        <v>1</v>
      </c>
      <c r="B31" s="18" t="s">
        <v>8</v>
      </c>
      <c r="C31" s="2">
        <f ca="1">_xll.DBRW($B$9,$C$16,$C$19,C$24,C$22,$C$17,$B31,$C$18,C$25)</f>
        <v>0</v>
      </c>
      <c r="D31" s="2">
        <f ca="1">_xll.DBRW($B$9,$C$16,$C$19,D$24,C$22,$C$17,$B31,$C$18,D$25)</f>
        <v>0</v>
      </c>
      <c r="E31" s="35">
        <f t="shared" ca="1" si="0"/>
        <v>0</v>
      </c>
      <c r="F31" s="2">
        <f ca="1">_xll.DBRW($B$9,$C$16,$C$19,F$24,F$22,$C$17,$B31,$C$18,F$25)</f>
        <v>0</v>
      </c>
      <c r="G31" s="2">
        <f ca="1">_xll.DBRW($B$9,$C$16,$C$19,G$24,F$22,$C$17,$B31,$C$18,G$25)</f>
        <v>0</v>
      </c>
      <c r="H31" s="35">
        <f t="shared" ca="1" si="1"/>
        <v>0</v>
      </c>
      <c r="I31" s="2">
        <f ca="1">_xll.DBRW($B$9,$C$16,$C$19,I$24,I$22,$C$17,$B31,$C$18,I$25)</f>
        <v>0</v>
      </c>
      <c r="J31" s="2">
        <f ca="1">_xll.DBRW($B$9,$C$16,$C$19,J$24,I$22,$C$17,$B31,$C$18,J$25)</f>
        <v>0</v>
      </c>
      <c r="K31" s="35">
        <f t="shared" ca="1" si="2"/>
        <v>0</v>
      </c>
      <c r="L31" s="2">
        <f ca="1">_xll.DBRW($B$9,$C$16,$C$19,L$24,L$22,$C$17,$B31,$C$18,L$25)</f>
        <v>0</v>
      </c>
      <c r="M31" s="2">
        <f ca="1">_xll.DBRW($B$9,$C$16,$C$19,M$24,L$22,$C$17,$B31,$C$18,M$25)</f>
        <v>0</v>
      </c>
      <c r="N31" s="35">
        <f t="shared" ca="1" si="3"/>
        <v>0</v>
      </c>
      <c r="O31" s="2">
        <f ca="1">_xll.DBRW($B$9,$C$16,$C$19,O$24,O$22,$C$17,$B31,$C$18,O$25)</f>
        <v>0</v>
      </c>
      <c r="P31" s="2">
        <f ca="1">_xll.DBRW($B$9,$C$16,$C$19,P$24,O$22,$C$17,$B31,$C$18,P$25)</f>
        <v>0</v>
      </c>
      <c r="Q31" s="35">
        <f t="shared" ca="1" si="4"/>
        <v>0</v>
      </c>
      <c r="R31" s="2">
        <f ca="1">_xll.DBRW($B$9,$C$16,$C$19,R$24,R$22,$C$17,$B31,$C$18,R$25)</f>
        <v>0</v>
      </c>
      <c r="S31" s="2">
        <f ca="1">_xll.DBRW($B$9,$C$16,$C$19,S$24,R$22,$C$17,$B31,$C$18,S$25)</f>
        <v>0</v>
      </c>
      <c r="T31" s="35">
        <f t="shared" ca="1" si="5"/>
        <v>0</v>
      </c>
    </row>
    <row r="32" spans="1:20" x14ac:dyDescent="0.25">
      <c r="A32">
        <f ca="1">IF(_xll.TM1RPTELISCONSOLIDATED($B$26,$B32),IF(_xll.TM1RPTELLEV($B$26,$B32)&lt;=3,_xll.TM1RPTELLEV($B$26,$B32),"D"),"N")</f>
        <v>1</v>
      </c>
      <c r="B32" s="18" t="s">
        <v>9</v>
      </c>
      <c r="C32" s="2">
        <f ca="1">_xll.DBRW($B$9,$C$16,$C$19,C$24,C$22,$C$17,$B32,$C$18,C$25)</f>
        <v>0</v>
      </c>
      <c r="D32" s="2">
        <f ca="1">_xll.DBRW($B$9,$C$16,$C$19,D$24,C$22,$C$17,$B32,$C$18,D$25)</f>
        <v>0</v>
      </c>
      <c r="E32" s="35">
        <f t="shared" ca="1" si="0"/>
        <v>0</v>
      </c>
      <c r="F32" s="2">
        <f ca="1">_xll.DBRW($B$9,$C$16,$C$19,F$24,F$22,$C$17,$B32,$C$18,F$25)</f>
        <v>0</v>
      </c>
      <c r="G32" s="2">
        <f ca="1">_xll.DBRW($B$9,$C$16,$C$19,G$24,F$22,$C$17,$B32,$C$18,G$25)</f>
        <v>0</v>
      </c>
      <c r="H32" s="35">
        <f t="shared" ca="1" si="1"/>
        <v>0</v>
      </c>
      <c r="I32" s="2">
        <f ca="1">_xll.DBRW($B$9,$C$16,$C$19,I$24,I$22,$C$17,$B32,$C$18,I$25)</f>
        <v>0</v>
      </c>
      <c r="J32" s="2">
        <f ca="1">_xll.DBRW($B$9,$C$16,$C$19,J$24,I$22,$C$17,$B32,$C$18,J$25)</f>
        <v>0</v>
      </c>
      <c r="K32" s="35">
        <f t="shared" ca="1" si="2"/>
        <v>0</v>
      </c>
      <c r="L32" s="2">
        <f ca="1">_xll.DBRW($B$9,$C$16,$C$19,L$24,L$22,$C$17,$B32,$C$18,L$25)</f>
        <v>0</v>
      </c>
      <c r="M32" s="2">
        <f ca="1">_xll.DBRW($B$9,$C$16,$C$19,M$24,L$22,$C$17,$B32,$C$18,M$25)</f>
        <v>0</v>
      </c>
      <c r="N32" s="35">
        <f t="shared" ca="1" si="3"/>
        <v>0</v>
      </c>
      <c r="O32" s="2">
        <f ca="1">_xll.DBRW($B$9,$C$16,$C$19,O$24,O$22,$C$17,$B32,$C$18,O$25)</f>
        <v>0</v>
      </c>
      <c r="P32" s="2">
        <f ca="1">_xll.DBRW($B$9,$C$16,$C$19,P$24,O$22,$C$17,$B32,$C$18,P$25)</f>
        <v>0</v>
      </c>
      <c r="Q32" s="35">
        <f t="shared" ca="1" si="4"/>
        <v>0</v>
      </c>
      <c r="R32" s="2">
        <f ca="1">_xll.DBRW($B$9,$C$16,$C$19,R$24,R$22,$C$17,$B32,$C$18,R$25)</f>
        <v>0</v>
      </c>
      <c r="S32" s="2">
        <f ca="1">_xll.DBRW($B$9,$C$16,$C$19,S$24,R$22,$C$17,$B32,$C$18,S$25)</f>
        <v>0</v>
      </c>
      <c r="T32" s="35">
        <f t="shared" ca="1" si="5"/>
        <v>0</v>
      </c>
    </row>
    <row r="33" spans="1:20" x14ac:dyDescent="0.25">
      <c r="A33">
        <f ca="1">IF(_xll.TM1RPTELISCONSOLIDATED($B$26,$B33),IF(_xll.TM1RPTELLEV($B$26,$B33)&lt;=3,_xll.TM1RPTELLEV($B$26,$B33),"D"),"N")</f>
        <v>1</v>
      </c>
      <c r="B33" s="18" t="s">
        <v>10</v>
      </c>
      <c r="C33" s="2">
        <f ca="1">_xll.DBRW($B$9,$C$16,$C$19,C$24,C$22,$C$17,$B33,$C$18,C$25)</f>
        <v>0</v>
      </c>
      <c r="D33" s="2">
        <f ca="1">_xll.DBRW($B$9,$C$16,$C$19,D$24,C$22,$C$17,$B33,$C$18,D$25)</f>
        <v>0</v>
      </c>
      <c r="E33" s="35">
        <f t="shared" ca="1" si="0"/>
        <v>0</v>
      </c>
      <c r="F33" s="2">
        <f ca="1">_xll.DBRW($B$9,$C$16,$C$19,F$24,F$22,$C$17,$B33,$C$18,F$25)</f>
        <v>0</v>
      </c>
      <c r="G33" s="2">
        <f ca="1">_xll.DBRW($B$9,$C$16,$C$19,G$24,F$22,$C$17,$B33,$C$18,G$25)</f>
        <v>0</v>
      </c>
      <c r="H33" s="35">
        <f t="shared" ca="1" si="1"/>
        <v>0</v>
      </c>
      <c r="I33" s="2">
        <f ca="1">_xll.DBRW($B$9,$C$16,$C$19,I$24,I$22,$C$17,$B33,$C$18,I$25)</f>
        <v>0</v>
      </c>
      <c r="J33" s="2">
        <f ca="1">_xll.DBRW($B$9,$C$16,$C$19,J$24,I$22,$C$17,$B33,$C$18,J$25)</f>
        <v>0</v>
      </c>
      <c r="K33" s="35">
        <f t="shared" ca="1" si="2"/>
        <v>0</v>
      </c>
      <c r="L33" s="2">
        <f ca="1">_xll.DBRW($B$9,$C$16,$C$19,L$24,L$22,$C$17,$B33,$C$18,L$25)</f>
        <v>0</v>
      </c>
      <c r="M33" s="2">
        <f ca="1">_xll.DBRW($B$9,$C$16,$C$19,M$24,L$22,$C$17,$B33,$C$18,M$25)</f>
        <v>0</v>
      </c>
      <c r="N33" s="35">
        <f t="shared" ca="1" si="3"/>
        <v>0</v>
      </c>
      <c r="O33" s="2">
        <f ca="1">_xll.DBRW($B$9,$C$16,$C$19,O$24,O$22,$C$17,$B33,$C$18,O$25)</f>
        <v>0</v>
      </c>
      <c r="P33" s="2">
        <f ca="1">_xll.DBRW($B$9,$C$16,$C$19,P$24,O$22,$C$17,$B33,$C$18,P$25)</f>
        <v>0</v>
      </c>
      <c r="Q33" s="35">
        <f t="shared" ca="1" si="4"/>
        <v>0</v>
      </c>
      <c r="R33" s="2">
        <f ca="1">_xll.DBRW($B$9,$C$16,$C$19,R$24,R$22,$C$17,$B33,$C$18,R$25)</f>
        <v>0</v>
      </c>
      <c r="S33" s="2">
        <f ca="1">_xll.DBRW($B$9,$C$16,$C$19,S$24,R$22,$C$17,$B33,$C$18,S$25)</f>
        <v>0</v>
      </c>
      <c r="T33" s="35">
        <f t="shared" ca="1" si="5"/>
        <v>0</v>
      </c>
    </row>
    <row r="34" spans="1:20" x14ac:dyDescent="0.25">
      <c r="A34">
        <f ca="1">IF(_xll.TM1RPTELISCONSOLIDATED($B$26,$B34),IF(_xll.TM1RPTELLEV($B$26,$B34)&lt;=3,_xll.TM1RPTELLEV($B$26,$B34),"D"),"N")</f>
        <v>1</v>
      </c>
      <c r="B34" s="18" t="s">
        <v>11</v>
      </c>
      <c r="C34" s="2">
        <f ca="1">_xll.DBRW($B$9,$C$16,$C$19,C$24,C$22,$C$17,$B34,$C$18,C$25)</f>
        <v>0</v>
      </c>
      <c r="D34" s="2">
        <f ca="1">_xll.DBRW($B$9,$C$16,$C$19,D$24,C$22,$C$17,$B34,$C$18,D$25)</f>
        <v>0</v>
      </c>
      <c r="E34" s="35">
        <f t="shared" ca="1" si="0"/>
        <v>0</v>
      </c>
      <c r="F34" s="2">
        <f ca="1">_xll.DBRW($B$9,$C$16,$C$19,F$24,F$22,$C$17,$B34,$C$18,F$25)</f>
        <v>0</v>
      </c>
      <c r="G34" s="2">
        <f ca="1">_xll.DBRW($B$9,$C$16,$C$19,G$24,F$22,$C$17,$B34,$C$18,G$25)</f>
        <v>0</v>
      </c>
      <c r="H34" s="35">
        <f t="shared" ca="1" si="1"/>
        <v>0</v>
      </c>
      <c r="I34" s="2">
        <f ca="1">_xll.DBRW($B$9,$C$16,$C$19,I$24,I$22,$C$17,$B34,$C$18,I$25)</f>
        <v>0</v>
      </c>
      <c r="J34" s="2">
        <f ca="1">_xll.DBRW($B$9,$C$16,$C$19,J$24,I$22,$C$17,$B34,$C$18,J$25)</f>
        <v>0</v>
      </c>
      <c r="K34" s="35">
        <f t="shared" ca="1" si="2"/>
        <v>0</v>
      </c>
      <c r="L34" s="2">
        <f ca="1">_xll.DBRW($B$9,$C$16,$C$19,L$24,L$22,$C$17,$B34,$C$18,L$25)</f>
        <v>0</v>
      </c>
      <c r="M34" s="2">
        <f ca="1">_xll.DBRW($B$9,$C$16,$C$19,M$24,L$22,$C$17,$B34,$C$18,M$25)</f>
        <v>0</v>
      </c>
      <c r="N34" s="35">
        <f t="shared" ca="1" si="3"/>
        <v>0</v>
      </c>
      <c r="O34" s="2">
        <f ca="1">_xll.DBRW($B$9,$C$16,$C$19,O$24,O$22,$C$17,$B34,$C$18,O$25)</f>
        <v>0</v>
      </c>
      <c r="P34" s="2">
        <f ca="1">_xll.DBRW($B$9,$C$16,$C$19,P$24,O$22,$C$17,$B34,$C$18,P$25)</f>
        <v>0</v>
      </c>
      <c r="Q34" s="35">
        <f t="shared" ca="1" si="4"/>
        <v>0</v>
      </c>
      <c r="R34" s="2">
        <f ca="1">_xll.DBRW($B$9,$C$16,$C$19,R$24,R$22,$C$17,$B34,$C$18,R$25)</f>
        <v>0</v>
      </c>
      <c r="S34" s="2">
        <f ca="1">_xll.DBRW($B$9,$C$16,$C$19,S$24,R$22,$C$17,$B34,$C$18,S$25)</f>
        <v>0</v>
      </c>
      <c r="T34" s="35">
        <f t="shared" ca="1" si="5"/>
        <v>0</v>
      </c>
    </row>
    <row r="35" spans="1:20" hidden="1" x14ac:dyDescent="0.25"/>
    <row r="36" spans="1:20" hidden="1" x14ac:dyDescent="0.25"/>
    <row r="37" spans="1:20" hidden="1" x14ac:dyDescent="0.25"/>
    <row r="38" spans="1:20" hidden="1" x14ac:dyDescent="0.25"/>
    <row r="39" spans="1:20" hidden="1" x14ac:dyDescent="0.25"/>
    <row r="40" spans="1:20" hidden="1" x14ac:dyDescent="0.25"/>
    <row r="41" spans="1:20" hidden="1" x14ac:dyDescent="0.25"/>
    <row r="42" spans="1:20" hidden="1" x14ac:dyDescent="0.25"/>
  </sheetData>
  <mergeCells count="6">
    <mergeCell ref="R22:T22"/>
    <mergeCell ref="C22:E22"/>
    <mergeCell ref="F22:H22"/>
    <mergeCell ref="I22:K22"/>
    <mergeCell ref="L22:N22"/>
    <mergeCell ref="O22:Q22"/>
  </mergeCells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6145" r:id="rId4" name="TIButton1">
          <controlPr defaultSize="0" print="0" autoLine="0" autoPict="0" r:id="rId5">
            <anchor moveWithCells="1">
              <from>
                <xdr:col>5</xdr:col>
                <xdr:colOff>0</xdr:colOff>
                <xdr:row>18</xdr:row>
                <xdr:rowOff>0</xdr:rowOff>
              </from>
              <to>
                <xdr:col>5</xdr:col>
                <xdr:colOff>628650</xdr:colOff>
                <xdr:row>18</xdr:row>
                <xdr:rowOff>247650</xdr:rowOff>
              </to>
            </anchor>
          </controlPr>
        </control>
      </mc:Choice>
      <mc:Fallback>
        <control shapeId="6145" r:id="rId4" name="TIButton1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"/>
  <dimension ref="A1:ALL40"/>
  <sheetViews>
    <sheetView showGridLines="0" topLeftCell="B1" workbookViewId="0">
      <pane xSplit="1" ySplit="24" topLeftCell="C25" activePane="bottomRight" state="frozen"/>
      <selection activeCell="B1" sqref="B1"/>
      <selection pane="topRight" activeCell="C1" sqref="C1"/>
      <selection pane="bottomLeft" activeCell="B21" sqref="B21"/>
      <selection pane="bottomRight" activeCell="C16" sqref="C16"/>
    </sheetView>
  </sheetViews>
  <sheetFormatPr defaultColWidth="0" defaultRowHeight="15" zeroHeight="1" x14ac:dyDescent="0.25"/>
  <cols>
    <col min="1" max="1" width="20.140625" hidden="1" customWidth="1"/>
    <col min="2" max="2" width="42" bestFit="1" customWidth="1"/>
    <col min="3" max="14" width="21" customWidth="1"/>
    <col min="15" max="15" width="2.5703125" customWidth="1"/>
    <col min="16" max="1000" width="0" hidden="1" customWidth="1"/>
    <col min="1001" max="16384" width="11.42578125" hidden="1"/>
  </cols>
  <sheetData>
    <row r="1" spans="1:14" hidden="1" x14ac:dyDescent="0.25">
      <c r="A1" t="s">
        <v>15</v>
      </c>
    </row>
    <row r="2" spans="1:14" hidden="1" x14ac:dyDescent="0.25">
      <c r="A2">
        <f>0</f>
        <v>0</v>
      </c>
      <c r="B2" s="13"/>
      <c r="C2" s="19"/>
      <c r="D2" s="28"/>
      <c r="E2" s="19"/>
      <c r="F2" s="28"/>
      <c r="G2" s="19"/>
      <c r="H2" s="28"/>
      <c r="I2" s="19"/>
      <c r="J2" s="28"/>
      <c r="K2" s="19"/>
      <c r="L2" s="28"/>
      <c r="M2" s="19"/>
      <c r="N2" s="28"/>
    </row>
    <row r="3" spans="1:14" hidden="1" x14ac:dyDescent="0.25">
      <c r="A3">
        <f>1</f>
        <v>1</v>
      </c>
      <c r="B3" s="14"/>
      <c r="C3" s="20"/>
      <c r="D3" s="29"/>
      <c r="E3" s="20"/>
      <c r="F3" s="29"/>
      <c r="G3" s="20"/>
      <c r="H3" s="29"/>
      <c r="I3" s="20"/>
      <c r="J3" s="29"/>
      <c r="K3" s="20"/>
      <c r="L3" s="29"/>
      <c r="M3" s="20"/>
      <c r="N3" s="29"/>
    </row>
    <row r="4" spans="1:14" hidden="1" x14ac:dyDescent="0.25">
      <c r="A4">
        <f>2</f>
        <v>2</v>
      </c>
      <c r="B4" s="26"/>
      <c r="C4" s="4"/>
      <c r="D4" s="26"/>
      <c r="E4" s="4"/>
      <c r="F4" s="26"/>
      <c r="G4" s="4"/>
      <c r="H4" s="26"/>
      <c r="I4" s="4"/>
      <c r="J4" s="26"/>
      <c r="K4" s="4"/>
      <c r="L4" s="26"/>
      <c r="M4" s="4"/>
      <c r="N4" s="26"/>
    </row>
    <row r="5" spans="1:14" hidden="1" x14ac:dyDescent="0.25">
      <c r="A5">
        <f>3</f>
        <v>3</v>
      </c>
      <c r="B5" s="27"/>
      <c r="C5" s="5"/>
      <c r="D5" s="27"/>
      <c r="E5" s="5"/>
      <c r="F5" s="27"/>
      <c r="G5" s="5"/>
      <c r="H5" s="27"/>
      <c r="I5" s="5"/>
      <c r="J5" s="27"/>
      <c r="K5" s="5"/>
      <c r="L5" s="27"/>
      <c r="M5" s="5"/>
      <c r="N5" s="27"/>
    </row>
    <row r="6" spans="1:14" hidden="1" x14ac:dyDescent="0.25">
      <c r="A6" t="s">
        <v>13</v>
      </c>
      <c r="B6" s="14"/>
      <c r="C6" s="20"/>
      <c r="D6" s="29"/>
      <c r="E6" s="20"/>
      <c r="F6" s="29"/>
      <c r="G6" s="20"/>
      <c r="H6" s="29"/>
      <c r="I6" s="20"/>
      <c r="J6" s="29"/>
      <c r="K6" s="20"/>
      <c r="L6" s="29"/>
      <c r="M6" s="20"/>
      <c r="N6" s="29"/>
    </row>
    <row r="7" spans="1:14" hidden="1" x14ac:dyDescent="0.25">
      <c r="A7" t="s">
        <v>14</v>
      </c>
      <c r="B7" s="17"/>
      <c r="C7" s="21"/>
      <c r="D7" s="30"/>
      <c r="E7" s="21"/>
      <c r="F7" s="30"/>
      <c r="G7" s="21"/>
      <c r="H7" s="30"/>
      <c r="I7" s="21"/>
      <c r="J7" s="30"/>
      <c r="K7" s="21"/>
      <c r="L7" s="30"/>
      <c r="M7" s="21"/>
      <c r="N7" s="30"/>
    </row>
    <row r="8" spans="1:14" hidden="1" x14ac:dyDescent="0.25">
      <c r="A8" t="s">
        <v>16</v>
      </c>
    </row>
    <row r="9" spans="1:14" hidden="1" x14ac:dyDescent="0.25">
      <c r="B9" t="str">
        <f ca="1">_xll.TM1RPTVIEW("CXMD:OTC_DATA_MARKET_ANALYSIS_COMMENTS:ARPT1", 0, _xll.TM1RPTTITLE("CXMD:Currency",$C$15), _xll.TM1RPTTITLE("CXMD:DIM_Prev_IC_mapping",$C$18), _xll.TM1RPTTITLE("CXMD:DIM_Origin_Company",$C$16), _xll.TM1RPTTITLE("CXMD:DIM_Configuration",$C$17),TM1RPTFMTRNG,TM1RPTFMTIDCOL)</f>
        <v>CXMD:OTC_DATA_MARKET_ANALYSIS_COMMENTS:ARPT1</v>
      </c>
    </row>
    <row r="10" spans="1:14" x14ac:dyDescent="0.25"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</row>
    <row r="11" spans="1:14" x14ac:dyDescent="0.25"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</row>
    <row r="12" spans="1:14" x14ac:dyDescent="0.25"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</row>
    <row r="13" spans="1:14" x14ac:dyDescent="0.25"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</row>
    <row r="14" spans="1:14" ht="6.95" customHeight="1" x14ac:dyDescent="0.25"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</row>
    <row r="15" spans="1:14" hidden="1" x14ac:dyDescent="0.25">
      <c r="B15" s="24" t="s">
        <v>0</v>
      </c>
      <c r="C15" s="25" t="str">
        <f ca="1">_xll.SUBNM("CXMD:Currency","Par défaut","CD_LC","Description EN")</f>
        <v>Local currency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</row>
    <row r="16" spans="1:14" x14ac:dyDescent="0.25">
      <c r="B16" s="24" t="s">
        <v>1</v>
      </c>
      <c r="C16" s="25" t="str">
        <f ca="1">QTY!C17</f>
        <v>SILVA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</row>
    <row r="17" spans="1:14" ht="21" x14ac:dyDescent="0.35">
      <c r="B17" s="24" t="s">
        <v>2</v>
      </c>
      <c r="C17" s="25" t="str">
        <f ca="1">QTY!C18</f>
        <v>TOTAL PRODUCT</v>
      </c>
      <c r="D17" s="23"/>
      <c r="E17" s="23"/>
      <c r="F17" s="23"/>
      <c r="G17" s="10"/>
      <c r="H17" s="10" t="s">
        <v>22</v>
      </c>
      <c r="I17" s="23"/>
      <c r="J17" s="23"/>
      <c r="K17" s="23"/>
      <c r="L17" s="23"/>
      <c r="M17" s="23"/>
      <c r="N17" s="23"/>
    </row>
    <row r="18" spans="1:14" hidden="1" x14ac:dyDescent="0.25">
      <c r="B18" s="24" t="s">
        <v>3</v>
      </c>
      <c r="C18" s="25" t="str">
        <f ca="1">_xll.SUBNM("CXMD:DIM_Prev_IC_mapping","","99 - Kuhn Group","Groupement_Alias")</f>
        <v>99 - Kuhn Group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</row>
    <row r="19" spans="1:14" x14ac:dyDescent="0.25"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</row>
    <row r="20" spans="1:14" x14ac:dyDescent="0.25"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</row>
    <row r="21" spans="1:14" x14ac:dyDescent="0.25">
      <c r="B21" s="23"/>
      <c r="C21" s="90" t="str">
        <f ca="1">QTY!C22</f>
        <v>AC2018</v>
      </c>
      <c r="D21" s="91"/>
      <c r="E21" s="90" t="str">
        <f ca="1">QTY!F22</f>
        <v>FC3_2019</v>
      </c>
      <c r="F21" s="91"/>
      <c r="G21" s="90" t="str">
        <f ca="1">QTY!I22</f>
        <v>PL2020 (update 2019)</v>
      </c>
      <c r="H21" s="91"/>
      <c r="I21" s="90" t="str">
        <f ca="1">QTY!L22</f>
        <v>PL2021 (update 2019)</v>
      </c>
      <c r="J21" s="91"/>
      <c r="K21" s="90" t="str">
        <f ca="1">QTY!O22</f>
        <v>PL2022 (update 2019)</v>
      </c>
      <c r="L21" s="91"/>
      <c r="M21" s="90" t="str">
        <f ca="1">QTY!R22</f>
        <v>PL2023 (update 2019)</v>
      </c>
      <c r="N21" s="91"/>
    </row>
    <row r="22" spans="1:14" x14ac:dyDescent="0.25">
      <c r="B22" s="23"/>
      <c r="C22" s="31" t="s">
        <v>19</v>
      </c>
      <c r="D22" s="32" t="s">
        <v>20</v>
      </c>
      <c r="E22" s="31" t="s">
        <v>19</v>
      </c>
      <c r="F22" s="32" t="s">
        <v>20</v>
      </c>
      <c r="G22" s="31" t="s">
        <v>19</v>
      </c>
      <c r="H22" s="32" t="s">
        <v>20</v>
      </c>
      <c r="I22" s="31" t="s">
        <v>19</v>
      </c>
      <c r="J22" s="32" t="s">
        <v>20</v>
      </c>
      <c r="K22" s="31" t="s">
        <v>19</v>
      </c>
      <c r="L22" s="32" t="s">
        <v>20</v>
      </c>
      <c r="M22" s="31" t="s">
        <v>19</v>
      </c>
      <c r="N22" s="32" t="s">
        <v>20</v>
      </c>
    </row>
    <row r="23" spans="1:14" x14ac:dyDescent="0.25">
      <c r="B23" s="23"/>
      <c r="C23" s="31" t="s">
        <v>21</v>
      </c>
      <c r="D23" s="32" t="s">
        <v>21</v>
      </c>
      <c r="E23" s="31" t="s">
        <v>21</v>
      </c>
      <c r="F23" s="32" t="s">
        <v>21</v>
      </c>
      <c r="G23" s="31" t="s">
        <v>21</v>
      </c>
      <c r="H23" s="32" t="s">
        <v>21</v>
      </c>
      <c r="I23" s="31" t="s">
        <v>21</v>
      </c>
      <c r="J23" s="32" t="s">
        <v>21</v>
      </c>
      <c r="K23" s="31" t="s">
        <v>21</v>
      </c>
      <c r="L23" s="32" t="s">
        <v>21</v>
      </c>
      <c r="M23" s="31" t="s">
        <v>21</v>
      </c>
      <c r="N23" s="32" t="s">
        <v>21</v>
      </c>
    </row>
    <row r="24" spans="1:14" x14ac:dyDescent="0.25">
      <c r="A24">
        <f ca="1">IF(_xll.TM1RPTELISCONSOLIDATED($B$24,$B24),IF(_xll.TM1RPTELLEV($B$24,$B24)&lt;=3,_xll.TM1RPTELLEV($B$24,$B24),"D"),"N")</f>
        <v>0</v>
      </c>
      <c r="B24" s="12" t="str">
        <f ca="1">_xll.TM1RPTROW($B$9,"CXMD:DIM_Country","Total Country SOM","","Description",0)</f>
        <v>Total Country SOM</v>
      </c>
      <c r="C24" s="19" t="str">
        <f ca="1">_xll.DBRW($B$9,$C$15,$C$18,C$22,C$21,$C$16,$B24,$C$17,C$23)</f>
        <v/>
      </c>
      <c r="D24" s="28" t="str">
        <f ca="1">_xll.DBRW($B$9,$C$15,$C$18,D$22,C$21,$C$16,$B24,$C$17,D$23)</f>
        <v/>
      </c>
      <c r="E24" s="19" t="str">
        <f ca="1">_xll.DBRW($B$9,$C$15,$C$18,E$22,E$21,$C$16,$B24,$C$17,E$23)</f>
        <v/>
      </c>
      <c r="F24" s="28" t="str">
        <f ca="1">_xll.DBRW($B$9,$C$15,$C$18,F$22,E$21,$C$16,$B24,$C$17,F$23)</f>
        <v/>
      </c>
      <c r="G24" s="19" t="str">
        <f ca="1">_xll.DBRW($B$9,$C$15,$C$18,G$22,G$21,$C$16,$B24,$C$17,G$23)</f>
        <v/>
      </c>
      <c r="H24" s="28" t="str">
        <f ca="1">_xll.DBRW($B$9,$C$15,$C$18,H$22,G$21,$C$16,$B24,$C$17,H$23)</f>
        <v/>
      </c>
      <c r="I24" s="19" t="str">
        <f ca="1">_xll.DBRW($B$9,$C$15,$C$18,I$22,I$21,$C$16,$B24,$C$17,I$23)</f>
        <v/>
      </c>
      <c r="J24" s="28" t="str">
        <f ca="1">_xll.DBRW($B$9,$C$15,$C$18,J$22,I$21,$C$16,$B24,$C$17,J$23)</f>
        <v/>
      </c>
      <c r="K24" s="19" t="str">
        <f ca="1">_xll.DBRW($B$9,$C$15,$C$18,K$22,K$21,$C$16,$B24,$C$17,K$23)</f>
        <v/>
      </c>
      <c r="L24" s="28" t="str">
        <f ca="1">_xll.DBRW($B$9,$C$15,$C$18,L$22,K$21,$C$16,$B24,$C$17,L$23)</f>
        <v/>
      </c>
      <c r="M24" s="19" t="str">
        <f ca="1">_xll.DBRW($B$9,$C$15,$C$18,M$22,M$21,$C$16,$B24,$C$17,M$23)</f>
        <v/>
      </c>
      <c r="N24" s="28" t="str">
        <f ca="1">_xll.DBRW($B$9,$C$15,$C$18,N$22,M$21,$C$16,$B24,$C$17,N$23)</f>
        <v/>
      </c>
    </row>
    <row r="25" spans="1:14" x14ac:dyDescent="0.25">
      <c r="A25">
        <f ca="1">IF(_xll.TM1RPTELISCONSOLIDATED($B$24,$B25),IF(_xll.TM1RPTELLEV($B$24,$B25)&lt;=3,_xll.TM1RPTELLEV($B$24,$B25),"D"),"N")</f>
        <v>1</v>
      </c>
      <c r="B25" s="18" t="s">
        <v>12</v>
      </c>
      <c r="C25" s="20" t="str">
        <f ca="1">_xll.DBRW($B$9,$C$15,$C$18,C$22,C$21,$C$16,$B25,$C$17,C$23)</f>
        <v/>
      </c>
      <c r="D25" s="29" t="str">
        <f ca="1">_xll.DBRW($B$9,$C$15,$C$18,D$22,C$21,$C$16,$B25,$C$17,D$23)</f>
        <v/>
      </c>
      <c r="E25" s="20" t="str">
        <f ca="1">_xll.DBRW($B$9,$C$15,$C$18,E$22,E$21,$C$16,$B25,$C$17,E$23)</f>
        <v/>
      </c>
      <c r="F25" s="29" t="str">
        <f ca="1">_xll.DBRW($B$9,$C$15,$C$18,F$22,E$21,$C$16,$B25,$C$17,F$23)</f>
        <v/>
      </c>
      <c r="G25" s="20" t="str">
        <f ca="1">_xll.DBRW($B$9,$C$15,$C$18,G$22,G$21,$C$16,$B25,$C$17,G$23)</f>
        <v/>
      </c>
      <c r="H25" s="29" t="str">
        <f ca="1">_xll.DBRW($B$9,$C$15,$C$18,H$22,G$21,$C$16,$B25,$C$17,H$23)</f>
        <v/>
      </c>
      <c r="I25" s="20" t="str">
        <f ca="1">_xll.DBRW($B$9,$C$15,$C$18,I$22,I$21,$C$16,$B25,$C$17,I$23)</f>
        <v/>
      </c>
      <c r="J25" s="29" t="str">
        <f ca="1">_xll.DBRW($B$9,$C$15,$C$18,J$22,I$21,$C$16,$B25,$C$17,J$23)</f>
        <v/>
      </c>
      <c r="K25" s="20" t="str">
        <f ca="1">_xll.DBRW($B$9,$C$15,$C$18,K$22,K$21,$C$16,$B25,$C$17,K$23)</f>
        <v/>
      </c>
      <c r="L25" s="29" t="str">
        <f ca="1">_xll.DBRW($B$9,$C$15,$C$18,L$22,K$21,$C$16,$B25,$C$17,L$23)</f>
        <v/>
      </c>
      <c r="M25" s="20" t="str">
        <f ca="1">_xll.DBRW($B$9,$C$15,$C$18,M$22,M$21,$C$16,$B25,$C$17,M$23)</f>
        <v/>
      </c>
      <c r="N25" s="29" t="str">
        <f ca="1">_xll.DBRW($B$9,$C$15,$C$18,N$22,M$21,$C$16,$B25,$C$17,N$23)</f>
        <v/>
      </c>
    </row>
    <row r="26" spans="1:14" x14ac:dyDescent="0.25">
      <c r="A26">
        <f ca="1">IF(_xll.TM1RPTELISCONSOLIDATED($B$24,$B26),IF(_xll.TM1RPTELLEV($B$24,$B26)&lt;=3,_xll.TM1RPTELLEV($B$24,$B26),"D"),"N")</f>
        <v>1</v>
      </c>
      <c r="B26" s="18" t="s">
        <v>5</v>
      </c>
      <c r="C26" s="20" t="str">
        <f ca="1">_xll.DBRW($B$9,$C$15,$C$18,C$22,C$21,$C$16,$B26,$C$17,C$23)</f>
        <v/>
      </c>
      <c r="D26" s="29" t="str">
        <f ca="1">_xll.DBRW($B$9,$C$15,$C$18,D$22,C$21,$C$16,$B26,$C$17,D$23)</f>
        <v/>
      </c>
      <c r="E26" s="20" t="str">
        <f ca="1">_xll.DBRW($B$9,$C$15,$C$18,E$22,E$21,$C$16,$B26,$C$17,E$23)</f>
        <v/>
      </c>
      <c r="F26" s="29" t="str">
        <f ca="1">_xll.DBRW($B$9,$C$15,$C$18,F$22,E$21,$C$16,$B26,$C$17,F$23)</f>
        <v/>
      </c>
      <c r="G26" s="20" t="str">
        <f ca="1">_xll.DBRW($B$9,$C$15,$C$18,G$22,G$21,$C$16,$B26,$C$17,G$23)</f>
        <v/>
      </c>
      <c r="H26" s="29" t="str">
        <f ca="1">_xll.DBRW($B$9,$C$15,$C$18,H$22,G$21,$C$16,$B26,$C$17,H$23)</f>
        <v/>
      </c>
      <c r="I26" s="20" t="str">
        <f ca="1">_xll.DBRW($B$9,$C$15,$C$18,I$22,I$21,$C$16,$B26,$C$17,I$23)</f>
        <v/>
      </c>
      <c r="J26" s="29" t="str">
        <f ca="1">_xll.DBRW($B$9,$C$15,$C$18,J$22,I$21,$C$16,$B26,$C$17,J$23)</f>
        <v/>
      </c>
      <c r="K26" s="20" t="str">
        <f ca="1">_xll.DBRW($B$9,$C$15,$C$18,K$22,K$21,$C$16,$B26,$C$17,K$23)</f>
        <v/>
      </c>
      <c r="L26" s="29" t="str">
        <f ca="1">_xll.DBRW($B$9,$C$15,$C$18,L$22,K$21,$C$16,$B26,$C$17,L$23)</f>
        <v/>
      </c>
      <c r="M26" s="20" t="str">
        <f ca="1">_xll.DBRW($B$9,$C$15,$C$18,M$22,M$21,$C$16,$B26,$C$17,M$23)</f>
        <v/>
      </c>
      <c r="N26" s="29" t="str">
        <f ca="1">_xll.DBRW($B$9,$C$15,$C$18,N$22,M$21,$C$16,$B26,$C$17,N$23)</f>
        <v/>
      </c>
    </row>
    <row r="27" spans="1:14" x14ac:dyDescent="0.25">
      <c r="A27">
        <f ca="1">IF(_xll.TM1RPTELISCONSOLIDATED($B$24,$B27),IF(_xll.TM1RPTELLEV($B$24,$B27)&lt;=3,_xll.TM1RPTELLEV($B$24,$B27),"D"),"N")</f>
        <v>1</v>
      </c>
      <c r="B27" s="18" t="s">
        <v>6</v>
      </c>
      <c r="C27" s="20" t="str">
        <f ca="1">_xll.DBRW($B$9,$C$15,$C$18,C$22,C$21,$C$16,$B27,$C$17,C$23)</f>
        <v/>
      </c>
      <c r="D27" s="29" t="str">
        <f ca="1">_xll.DBRW($B$9,$C$15,$C$18,D$22,C$21,$C$16,$B27,$C$17,D$23)</f>
        <v/>
      </c>
      <c r="E27" s="20" t="str">
        <f ca="1">_xll.DBRW($B$9,$C$15,$C$18,E$22,E$21,$C$16,$B27,$C$17,E$23)</f>
        <v/>
      </c>
      <c r="F27" s="29" t="str">
        <f ca="1">_xll.DBRW($B$9,$C$15,$C$18,F$22,E$21,$C$16,$B27,$C$17,F$23)</f>
        <v/>
      </c>
      <c r="G27" s="20" t="str">
        <f ca="1">_xll.DBRW($B$9,$C$15,$C$18,G$22,G$21,$C$16,$B27,$C$17,G$23)</f>
        <v/>
      </c>
      <c r="H27" s="29" t="str">
        <f ca="1">_xll.DBRW($B$9,$C$15,$C$18,H$22,G$21,$C$16,$B27,$C$17,H$23)</f>
        <v/>
      </c>
      <c r="I27" s="20" t="str">
        <f ca="1">_xll.DBRW($B$9,$C$15,$C$18,I$22,I$21,$C$16,$B27,$C$17,I$23)</f>
        <v/>
      </c>
      <c r="J27" s="29" t="str">
        <f ca="1">_xll.DBRW($B$9,$C$15,$C$18,J$22,I$21,$C$16,$B27,$C$17,J$23)</f>
        <v/>
      </c>
      <c r="K27" s="20" t="str">
        <f ca="1">_xll.DBRW($B$9,$C$15,$C$18,K$22,K$21,$C$16,$B27,$C$17,K$23)</f>
        <v/>
      </c>
      <c r="L27" s="29" t="str">
        <f ca="1">_xll.DBRW($B$9,$C$15,$C$18,L$22,K$21,$C$16,$B27,$C$17,L$23)</f>
        <v/>
      </c>
      <c r="M27" s="20" t="str">
        <f ca="1">_xll.DBRW($B$9,$C$15,$C$18,M$22,M$21,$C$16,$B27,$C$17,M$23)</f>
        <v/>
      </c>
      <c r="N27" s="29" t="str">
        <f ca="1">_xll.DBRW($B$9,$C$15,$C$18,N$22,M$21,$C$16,$B27,$C$17,N$23)</f>
        <v/>
      </c>
    </row>
    <row r="28" spans="1:14" x14ac:dyDescent="0.25">
      <c r="A28">
        <f ca="1">IF(_xll.TM1RPTELISCONSOLIDATED($B$24,$B28),IF(_xll.TM1RPTELLEV($B$24,$B28)&lt;=3,_xll.TM1RPTELLEV($B$24,$B28),"D"),"N")</f>
        <v>1</v>
      </c>
      <c r="B28" s="18" t="s">
        <v>7</v>
      </c>
      <c r="C28" s="20" t="str">
        <f ca="1">_xll.DBRW($B$9,$C$15,$C$18,C$22,C$21,$C$16,$B28,$C$17,C$23)</f>
        <v/>
      </c>
      <c r="D28" s="29" t="str">
        <f ca="1">_xll.DBRW($B$9,$C$15,$C$18,D$22,C$21,$C$16,$B28,$C$17,D$23)</f>
        <v/>
      </c>
      <c r="E28" s="20" t="str">
        <f ca="1">_xll.DBRW($B$9,$C$15,$C$18,E$22,E$21,$C$16,$B28,$C$17,E$23)</f>
        <v/>
      </c>
      <c r="F28" s="29" t="str">
        <f ca="1">_xll.DBRW($B$9,$C$15,$C$18,F$22,E$21,$C$16,$B28,$C$17,F$23)</f>
        <v/>
      </c>
      <c r="G28" s="20" t="str">
        <f ca="1">_xll.DBRW($B$9,$C$15,$C$18,G$22,G$21,$C$16,$B28,$C$17,G$23)</f>
        <v/>
      </c>
      <c r="H28" s="29" t="str">
        <f ca="1">_xll.DBRW($B$9,$C$15,$C$18,H$22,G$21,$C$16,$B28,$C$17,H$23)</f>
        <v/>
      </c>
      <c r="I28" s="20" t="str">
        <f ca="1">_xll.DBRW($B$9,$C$15,$C$18,I$22,I$21,$C$16,$B28,$C$17,I$23)</f>
        <v/>
      </c>
      <c r="J28" s="29" t="str">
        <f ca="1">_xll.DBRW($B$9,$C$15,$C$18,J$22,I$21,$C$16,$B28,$C$17,J$23)</f>
        <v/>
      </c>
      <c r="K28" s="20" t="str">
        <f ca="1">_xll.DBRW($B$9,$C$15,$C$18,K$22,K$21,$C$16,$B28,$C$17,K$23)</f>
        <v/>
      </c>
      <c r="L28" s="29" t="str">
        <f ca="1">_xll.DBRW($B$9,$C$15,$C$18,L$22,K$21,$C$16,$B28,$C$17,L$23)</f>
        <v/>
      </c>
      <c r="M28" s="20" t="str">
        <f ca="1">_xll.DBRW($B$9,$C$15,$C$18,M$22,M$21,$C$16,$B28,$C$17,M$23)</f>
        <v/>
      </c>
      <c r="N28" s="29" t="str">
        <f ca="1">_xll.DBRW($B$9,$C$15,$C$18,N$22,M$21,$C$16,$B28,$C$17,N$23)</f>
        <v/>
      </c>
    </row>
    <row r="29" spans="1:14" x14ac:dyDescent="0.25">
      <c r="A29">
        <f ca="1">IF(_xll.TM1RPTELISCONSOLIDATED($B$24,$B29),IF(_xll.TM1RPTELLEV($B$24,$B29)&lt;=3,_xll.TM1RPTELLEV($B$24,$B29),"D"),"N")</f>
        <v>1</v>
      </c>
      <c r="B29" s="18" t="s">
        <v>8</v>
      </c>
      <c r="C29" s="20" t="str">
        <f ca="1">_xll.DBRW($B$9,$C$15,$C$18,C$22,C$21,$C$16,$B29,$C$17,C$23)</f>
        <v/>
      </c>
      <c r="D29" s="29" t="str">
        <f ca="1">_xll.DBRW($B$9,$C$15,$C$18,D$22,C$21,$C$16,$B29,$C$17,D$23)</f>
        <v/>
      </c>
      <c r="E29" s="20" t="str">
        <f ca="1">_xll.DBRW($B$9,$C$15,$C$18,E$22,E$21,$C$16,$B29,$C$17,E$23)</f>
        <v/>
      </c>
      <c r="F29" s="29" t="str">
        <f ca="1">_xll.DBRW($B$9,$C$15,$C$18,F$22,E$21,$C$16,$B29,$C$17,F$23)</f>
        <v/>
      </c>
      <c r="G29" s="20" t="str">
        <f ca="1">_xll.DBRW($B$9,$C$15,$C$18,G$22,G$21,$C$16,$B29,$C$17,G$23)</f>
        <v/>
      </c>
      <c r="H29" s="29" t="str">
        <f ca="1">_xll.DBRW($B$9,$C$15,$C$18,H$22,G$21,$C$16,$B29,$C$17,H$23)</f>
        <v/>
      </c>
      <c r="I29" s="20" t="str">
        <f ca="1">_xll.DBRW($B$9,$C$15,$C$18,I$22,I$21,$C$16,$B29,$C$17,I$23)</f>
        <v/>
      </c>
      <c r="J29" s="29" t="str">
        <f ca="1">_xll.DBRW($B$9,$C$15,$C$18,J$22,I$21,$C$16,$B29,$C$17,J$23)</f>
        <v/>
      </c>
      <c r="K29" s="20" t="str">
        <f ca="1">_xll.DBRW($B$9,$C$15,$C$18,K$22,K$21,$C$16,$B29,$C$17,K$23)</f>
        <v/>
      </c>
      <c r="L29" s="29" t="str">
        <f ca="1">_xll.DBRW($B$9,$C$15,$C$18,L$22,K$21,$C$16,$B29,$C$17,L$23)</f>
        <v/>
      </c>
      <c r="M29" s="20" t="str">
        <f ca="1">_xll.DBRW($B$9,$C$15,$C$18,M$22,M$21,$C$16,$B29,$C$17,M$23)</f>
        <v/>
      </c>
      <c r="N29" s="29" t="str">
        <f ca="1">_xll.DBRW($B$9,$C$15,$C$18,N$22,M$21,$C$16,$B29,$C$17,N$23)</f>
        <v/>
      </c>
    </row>
    <row r="30" spans="1:14" x14ac:dyDescent="0.25">
      <c r="A30">
        <f ca="1">IF(_xll.TM1RPTELISCONSOLIDATED($B$24,$B30),IF(_xll.TM1RPTELLEV($B$24,$B30)&lt;=3,_xll.TM1RPTELLEV($B$24,$B30),"D"),"N")</f>
        <v>1</v>
      </c>
      <c r="B30" s="18" t="s">
        <v>9</v>
      </c>
      <c r="C30" s="20" t="str">
        <f ca="1">_xll.DBRW($B$9,$C$15,$C$18,C$22,C$21,$C$16,$B30,$C$17,C$23)</f>
        <v/>
      </c>
      <c r="D30" s="29" t="str">
        <f ca="1">_xll.DBRW($B$9,$C$15,$C$18,D$22,C$21,$C$16,$B30,$C$17,D$23)</f>
        <v/>
      </c>
      <c r="E30" s="20" t="str">
        <f ca="1">_xll.DBRW($B$9,$C$15,$C$18,E$22,E$21,$C$16,$B30,$C$17,E$23)</f>
        <v/>
      </c>
      <c r="F30" s="29" t="str">
        <f ca="1">_xll.DBRW($B$9,$C$15,$C$18,F$22,E$21,$C$16,$B30,$C$17,F$23)</f>
        <v/>
      </c>
      <c r="G30" s="20" t="str">
        <f ca="1">_xll.DBRW($B$9,$C$15,$C$18,G$22,G$21,$C$16,$B30,$C$17,G$23)</f>
        <v/>
      </c>
      <c r="H30" s="29" t="str">
        <f ca="1">_xll.DBRW($B$9,$C$15,$C$18,H$22,G$21,$C$16,$B30,$C$17,H$23)</f>
        <v/>
      </c>
      <c r="I30" s="20" t="str">
        <f ca="1">_xll.DBRW($B$9,$C$15,$C$18,I$22,I$21,$C$16,$B30,$C$17,I$23)</f>
        <v/>
      </c>
      <c r="J30" s="29" t="str">
        <f ca="1">_xll.DBRW($B$9,$C$15,$C$18,J$22,I$21,$C$16,$B30,$C$17,J$23)</f>
        <v/>
      </c>
      <c r="K30" s="20" t="str">
        <f ca="1">_xll.DBRW($B$9,$C$15,$C$18,K$22,K$21,$C$16,$B30,$C$17,K$23)</f>
        <v/>
      </c>
      <c r="L30" s="29" t="str">
        <f ca="1">_xll.DBRW($B$9,$C$15,$C$18,L$22,K$21,$C$16,$B30,$C$17,L$23)</f>
        <v/>
      </c>
      <c r="M30" s="20" t="str">
        <f ca="1">_xll.DBRW($B$9,$C$15,$C$18,M$22,M$21,$C$16,$B30,$C$17,M$23)</f>
        <v/>
      </c>
      <c r="N30" s="29" t="str">
        <f ca="1">_xll.DBRW($B$9,$C$15,$C$18,N$22,M$21,$C$16,$B30,$C$17,N$23)</f>
        <v/>
      </c>
    </row>
    <row r="31" spans="1:14" x14ac:dyDescent="0.25">
      <c r="A31">
        <f ca="1">IF(_xll.TM1RPTELISCONSOLIDATED($B$24,$B31),IF(_xll.TM1RPTELLEV($B$24,$B31)&lt;=3,_xll.TM1RPTELLEV($B$24,$B31),"D"),"N")</f>
        <v>1</v>
      </c>
      <c r="B31" s="18" t="s">
        <v>10</v>
      </c>
      <c r="C31" s="20" t="str">
        <f ca="1">_xll.DBRW($B$9,$C$15,$C$18,C$22,C$21,$C$16,$B31,$C$17,C$23)</f>
        <v/>
      </c>
      <c r="D31" s="29" t="str">
        <f ca="1">_xll.DBRW($B$9,$C$15,$C$18,D$22,C$21,$C$16,$B31,$C$17,D$23)</f>
        <v/>
      </c>
      <c r="E31" s="20" t="str">
        <f ca="1">_xll.DBRW($B$9,$C$15,$C$18,E$22,E$21,$C$16,$B31,$C$17,E$23)</f>
        <v/>
      </c>
      <c r="F31" s="29" t="str">
        <f ca="1">_xll.DBRW($B$9,$C$15,$C$18,F$22,E$21,$C$16,$B31,$C$17,F$23)</f>
        <v/>
      </c>
      <c r="G31" s="20" t="str">
        <f ca="1">_xll.DBRW($B$9,$C$15,$C$18,G$22,G$21,$C$16,$B31,$C$17,G$23)</f>
        <v/>
      </c>
      <c r="H31" s="29" t="str">
        <f ca="1">_xll.DBRW($B$9,$C$15,$C$18,H$22,G$21,$C$16,$B31,$C$17,H$23)</f>
        <v/>
      </c>
      <c r="I31" s="20" t="str">
        <f ca="1">_xll.DBRW($B$9,$C$15,$C$18,I$22,I$21,$C$16,$B31,$C$17,I$23)</f>
        <v/>
      </c>
      <c r="J31" s="29" t="str">
        <f ca="1">_xll.DBRW($B$9,$C$15,$C$18,J$22,I$21,$C$16,$B31,$C$17,J$23)</f>
        <v/>
      </c>
      <c r="K31" s="20" t="str">
        <f ca="1">_xll.DBRW($B$9,$C$15,$C$18,K$22,K$21,$C$16,$B31,$C$17,K$23)</f>
        <v/>
      </c>
      <c r="L31" s="29" t="str">
        <f ca="1">_xll.DBRW($B$9,$C$15,$C$18,L$22,K$21,$C$16,$B31,$C$17,L$23)</f>
        <v/>
      </c>
      <c r="M31" s="20" t="str">
        <f ca="1">_xll.DBRW($B$9,$C$15,$C$18,M$22,M$21,$C$16,$B31,$C$17,M$23)</f>
        <v/>
      </c>
      <c r="N31" s="29" t="str">
        <f ca="1">_xll.DBRW($B$9,$C$15,$C$18,N$22,M$21,$C$16,$B31,$C$17,N$23)</f>
        <v/>
      </c>
    </row>
    <row r="32" spans="1:14" x14ac:dyDescent="0.25">
      <c r="A32">
        <f ca="1">IF(_xll.TM1RPTELISCONSOLIDATED($B$24,$B32),IF(_xll.TM1RPTELLEV($B$24,$B32)&lt;=3,_xll.TM1RPTELLEV($B$24,$B32),"D"),"N")</f>
        <v>1</v>
      </c>
      <c r="B32" s="18" t="s">
        <v>11</v>
      </c>
      <c r="C32" s="20" t="str">
        <f ca="1">_xll.DBRW($B$9,$C$15,$C$18,C$22,C$21,$C$16,$B32,$C$17,C$23)</f>
        <v/>
      </c>
      <c r="D32" s="29" t="str">
        <f ca="1">_xll.DBRW($B$9,$C$15,$C$18,D$22,C$21,$C$16,$B32,$C$17,D$23)</f>
        <v/>
      </c>
      <c r="E32" s="20" t="str">
        <f ca="1">_xll.DBRW($B$9,$C$15,$C$18,E$22,E$21,$C$16,$B32,$C$17,E$23)</f>
        <v/>
      </c>
      <c r="F32" s="29" t="str">
        <f ca="1">_xll.DBRW($B$9,$C$15,$C$18,F$22,E$21,$C$16,$B32,$C$17,F$23)</f>
        <v/>
      </c>
      <c r="G32" s="20" t="str">
        <f ca="1">_xll.DBRW($B$9,$C$15,$C$18,G$22,G$21,$C$16,$B32,$C$17,G$23)</f>
        <v/>
      </c>
      <c r="H32" s="29" t="str">
        <f ca="1">_xll.DBRW($B$9,$C$15,$C$18,H$22,G$21,$C$16,$B32,$C$17,H$23)</f>
        <v/>
      </c>
      <c r="I32" s="20" t="str">
        <f ca="1">_xll.DBRW($B$9,$C$15,$C$18,I$22,I$21,$C$16,$B32,$C$17,I$23)</f>
        <v/>
      </c>
      <c r="J32" s="29" t="str">
        <f ca="1">_xll.DBRW($B$9,$C$15,$C$18,J$22,I$21,$C$16,$B32,$C$17,J$23)</f>
        <v/>
      </c>
      <c r="K32" s="20" t="str">
        <f ca="1">_xll.DBRW($B$9,$C$15,$C$18,K$22,K$21,$C$16,$B32,$C$17,K$23)</f>
        <v/>
      </c>
      <c r="L32" s="29" t="str">
        <f ca="1">_xll.DBRW($B$9,$C$15,$C$18,L$22,K$21,$C$16,$B32,$C$17,L$23)</f>
        <v/>
      </c>
      <c r="M32" s="20" t="str">
        <f ca="1">_xll.DBRW($B$9,$C$15,$C$18,M$22,M$21,$C$16,$B32,$C$17,M$23)</f>
        <v/>
      </c>
      <c r="N32" s="29" t="str">
        <f ca="1">_xll.DBRW($B$9,$C$15,$C$18,N$22,M$21,$C$16,$B32,$C$17,N$23)</f>
        <v/>
      </c>
    </row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</sheetData>
  <mergeCells count="6">
    <mergeCell ref="C21:D21"/>
    <mergeCell ref="M21:N21"/>
    <mergeCell ref="K21:L21"/>
    <mergeCell ref="I21:J21"/>
    <mergeCell ref="G21:H21"/>
    <mergeCell ref="E21:F21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7169" r:id="rId3" name="TIButton1">
          <controlPr defaultSize="0" print="0" autoLine="0" autoPict="0" r:id="rId4">
            <anchor moveWithCells="1">
              <from>
                <xdr:col>5</xdr:col>
                <xdr:colOff>9525</xdr:colOff>
                <xdr:row>15</xdr:row>
                <xdr:rowOff>95250</xdr:rowOff>
              </from>
              <to>
                <xdr:col>5</xdr:col>
                <xdr:colOff>704850</xdr:colOff>
                <xdr:row>16</xdr:row>
                <xdr:rowOff>152400</xdr:rowOff>
              </to>
            </anchor>
          </controlPr>
        </control>
      </mc:Choice>
      <mc:Fallback>
        <control shapeId="7169" r:id="rId3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20</vt:i4>
      </vt:variant>
    </vt:vector>
  </HeadingPairs>
  <TitlesOfParts>
    <vt:vector size="24" baseType="lpstr">
      <vt:lpstr>QTY</vt:lpstr>
      <vt:lpstr>Unit Price</vt:lpstr>
      <vt:lpstr>Sales</vt:lpstr>
      <vt:lpstr>Comments</vt:lpstr>
      <vt:lpstr>actuality</vt:lpstr>
      <vt:lpstr>configuration</vt:lpstr>
      <vt:lpstr>country</vt:lpstr>
      <vt:lpstr>currency</vt:lpstr>
      <vt:lpstr>market_actor</vt:lpstr>
      <vt:lpstr>origin_company</vt:lpstr>
      <vt:lpstr>prev_ic_mapping</vt:lpstr>
      <vt:lpstr>Comments!TM1RPTDATARNGARPT1</vt:lpstr>
      <vt:lpstr>QTY!TM1RPTDATARNGARPT1</vt:lpstr>
      <vt:lpstr>Sales!TM1RPTDATARNGARPT1</vt:lpstr>
      <vt:lpstr>'Unit Price'!TM1RPTDATARNGARPT1</vt:lpstr>
      <vt:lpstr>Comments!TM1RPTFMTIDCOL</vt:lpstr>
      <vt:lpstr>QTY!TM1RPTFMTIDCOL</vt:lpstr>
      <vt:lpstr>Sales!TM1RPTFMTIDCOL</vt:lpstr>
      <vt:lpstr>'Unit Price'!TM1RPTFMTIDCOL</vt:lpstr>
      <vt:lpstr>Comments!TM1RPTFMTRNG</vt:lpstr>
      <vt:lpstr>QTY!TM1RPTFMTRNG</vt:lpstr>
      <vt:lpstr>Sales!TM1RPTFMTRNG</vt:lpstr>
      <vt:lpstr>'Unit Price'!TM1RPTFMTRNG</vt:lpstr>
      <vt:lpstr>unit_price_global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2015-05-15T12:04:35Z</dcterms:created>
  <dcterms:modified xsi:type="dcterms:W3CDTF">2022-01-28T09:17:40Z</dcterms:modified>
</cp:coreProperties>
</file>